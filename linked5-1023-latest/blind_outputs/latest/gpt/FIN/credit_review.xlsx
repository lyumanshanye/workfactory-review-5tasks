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ntrolPanel" sheetId="1" state="visible" r:id="rId3"/>
    <sheet name="RawFinancials" sheetId="2" state="visible" r:id="rId4"/>
    <sheet name="_RawBaseline" sheetId="3" state="hidden" r:id="rId5"/>
    <sheet name="InstitutionSnapshot" sheetId="4" state="visible" r:id="rId6"/>
    <sheet name="BankQuarter" sheetId="5" state="visible" r:id="rId7"/>
    <sheet name="DataAudit" sheetId="6" state="visible" r:id="rId8"/>
    <sheet name="PeerQuarter" sheetId="7" state="visible" r:id="rId9"/>
    <sheet name="EndpointBridge" sheetId="8" state="visible" r:id="rId10"/>
    <sheet name="Priority" sheetId="9" state="visible" r:id="rId11"/>
    <sheet name="Sources" sheetId="10" state="visible" r:id="rId12"/>
  </sheets>
  <definedNames>
    <definedName function="false" hidden="true" localSheetId="4" name="_xlnm._FilterDatabase" vbProcedure="false">BankQuarter!$A$4:$AC$750</definedName>
    <definedName function="false" hidden="true" localSheetId="7" name="_xlnm._FilterDatabase" vbProcedure="false">EndpointBridge!$A$18:$M$72</definedName>
    <definedName function="false" hidden="true" localSheetId="3" name="_xlnm._FilterDatabase" vbProcedure="false">InstitutionSnapshot!$A$4:$G$359</definedName>
    <definedName function="false" hidden="true" localSheetId="6" name="_xlnm._FilterDatabase" vbProcedure="false">PeerQuarter!$A$4:$G$60</definedName>
    <definedName function="false" hidden="true" localSheetId="8" name="_xlnm._FilterDatabase" vbProcedure="false">Priority!$A$4:$V$16</definedName>
    <definedName function="false" hidden="true" localSheetId="1" name="_xlnm._FilterDatabase" vbProcedure="false">RawFinancials!$A$4:$Z$750</definedName>
    <definedName function="false" hidden="true" localSheetId="9" name="_xlnm._FilterDatabase" vbProcedure="false">Sources!$A$4:$F$28</definedName>
    <definedName function="false" hidden="false" name="WF_COMMON_N_ALL" vbProcedure="false">EndpointBridge!$I$5</definedName>
    <definedName function="false" hidden="false" name="WF_COMMON_N_ME" vbProcedure="false">EndpointBridge!$I$6</definedName>
    <definedName function="false" hidden="false" name="WF_COMMON_N_NH" vbProcedure="false">EndpointBridge!$I$7</definedName>
    <definedName function="false" hidden="false" name="WF_COMMON_N_VT" vbProcedure="false">EndpointBridge!$I$8</definedName>
    <definedName function="false" hidden="false" name="WF_END_PERIOD" vbProcedure="false">ControlPanel!$B$6</definedName>
    <definedName function="false" hidden="false" name="WF_ENTERING_ASSETS_ALL" vbProcedure="false">EndpointBridge!$L$5</definedName>
    <definedName function="false" hidden="false" name="WF_ENTERING_ASSETS_ME" vbProcedure="false">EndpointBridge!$L$6</definedName>
    <definedName function="false" hidden="false" name="WF_ENTERING_ASSETS_NH" vbProcedure="false">EndpointBridge!$L$7</definedName>
    <definedName function="false" hidden="false" name="WF_ENTERING_ASSETS_VT" vbProcedure="false">EndpointBridge!$L$8</definedName>
    <definedName function="false" hidden="false" name="WF_ENTERING_N_ALL" vbProcedure="false">EndpointBridge!$J$5</definedName>
    <definedName function="false" hidden="false" name="WF_ENTERING_N_ME" vbProcedure="false">EndpointBridge!$J$6</definedName>
    <definedName function="false" hidden="false" name="WF_ENTERING_N_NH" vbProcedure="false">EndpointBridge!$J$7</definedName>
    <definedName function="false" hidden="false" name="WF_ENTERING_N_VT" vbProcedure="false">EndpointBridge!$J$8</definedName>
    <definedName function="false" hidden="false" name="WF_EXITING_ASSETS_ALL" vbProcedure="false">EndpointBridge!$M$5</definedName>
    <definedName function="false" hidden="false" name="WF_EXITING_ASSETS_ME" vbProcedure="false">EndpointBridge!$M$6</definedName>
    <definedName function="false" hidden="false" name="WF_EXITING_ASSETS_NH" vbProcedure="false">EndpointBridge!$M$7</definedName>
    <definedName function="false" hidden="false" name="WF_EXITING_ASSETS_VT" vbProcedure="false">EndpointBridge!$M$8</definedName>
    <definedName function="false" hidden="false" name="WF_EXITING_N_ALL" vbProcedure="false">EndpointBridge!$K$5</definedName>
    <definedName function="false" hidden="false" name="WF_EXITING_N_ME" vbProcedure="false">EndpointBridge!$K$6</definedName>
    <definedName function="false" hidden="false" name="WF_EXITING_N_NH" vbProcedure="false">EndpointBridge!$K$7</definedName>
    <definedName function="false" hidden="false" name="WF_EXITING_N_VT" vbProcedure="false">EndpointBridge!$K$8</definedName>
    <definedName function="false" hidden="false" name="WF_FIXED_CHANGE_ALL" vbProcedure="false">EndpointBridge!$G$5</definedName>
    <definedName function="false" hidden="false" name="WF_FIXED_CHANGE_ME" vbProcedure="false">EndpointBridge!$G$6</definedName>
    <definedName function="false" hidden="false" name="WF_FIXED_CHANGE_NH" vbProcedure="false">EndpointBridge!$G$7</definedName>
    <definedName function="false" hidden="false" name="WF_FIXED_CHANGE_VT" vbProcedure="false">EndpointBridge!$G$8</definedName>
    <definedName function="false" hidden="false" name="WF_FIXED_END_ALL" vbProcedure="false">EndpointBridge!$F$5</definedName>
    <definedName function="false" hidden="false" name="WF_FIXED_END_ME" vbProcedure="false">EndpointBridge!$F$6</definedName>
    <definedName function="false" hidden="false" name="WF_FIXED_END_NH" vbProcedure="false">EndpointBridge!$F$7</definedName>
    <definedName function="false" hidden="false" name="WF_FIXED_END_VT" vbProcedure="false">EndpointBridge!$F$8</definedName>
    <definedName function="false" hidden="false" name="WF_FIXED_START_ALL" vbProcedure="false">EndpointBridge!$E$5</definedName>
    <definedName function="false" hidden="false" name="WF_FIXED_START_ME" vbProcedure="false">EndpointBridge!$E$6</definedName>
    <definedName function="false" hidden="false" name="WF_FIXED_START_NH" vbProcedure="false">EndpointBridge!$E$7</definedName>
    <definedName function="false" hidden="false" name="WF_FIXED_START_VT" vbProcedure="false">EndpointBridge!$E$8</definedName>
    <definedName function="false" hidden="false" name="WF_MODEL_VALID" vbProcedure="false">ControlPanel!$B$9</definedName>
    <definedName function="false" hidden="false" name="WF_OBS_CHANGE_ALL" vbProcedure="false">EndpointBridge!$D$5</definedName>
    <definedName function="false" hidden="false" name="WF_OBS_CHANGE_ME" vbProcedure="false">EndpointBridge!$D$6</definedName>
    <definedName function="false" hidden="false" name="WF_OBS_CHANGE_NH" vbProcedure="false">EndpointBridge!$D$7</definedName>
    <definedName function="false" hidden="false" name="WF_OBS_CHANGE_VT" vbProcedure="false">EndpointBridge!$D$8</definedName>
    <definedName function="false" hidden="false" name="WF_OBS_END_ALL" vbProcedure="false">EndpointBridge!$C$5</definedName>
    <definedName function="false" hidden="false" name="WF_OBS_END_ME" vbProcedure="false">EndpointBridge!$C$6</definedName>
    <definedName function="false" hidden="false" name="WF_OBS_END_NH" vbProcedure="false">EndpointBridge!$C$7</definedName>
    <definedName function="false" hidden="false" name="WF_OBS_END_VT" vbProcedure="false">EndpointBridge!$C$8</definedName>
    <definedName function="false" hidden="false" name="WF_OBS_START_ALL" vbProcedure="false">EndpointBridge!$B$5</definedName>
    <definedName function="false" hidden="false" name="WF_OBS_START_ME" vbProcedure="false">EndpointBridge!$B$6</definedName>
    <definedName function="false" hidden="false" name="WF_OBS_START_NH" vbProcedure="false">EndpointBridge!$B$7</definedName>
    <definedName function="false" hidden="false" name="WF_OBS_START_VT" vbProcedure="false">EndpointBridge!$B$8</definedName>
    <definedName function="false" hidden="false" name="WF_PRIORITY_1" vbProcedure="false">Priority!$B$5</definedName>
    <definedName function="false" hidden="false" name="WF_PRIORITY_10" vbProcedure="false">Priority!$B$14</definedName>
    <definedName function="false" hidden="false" name="WF_PRIORITY_11" vbProcedure="false">Priority!$B$15</definedName>
    <definedName function="false" hidden="false" name="WF_PRIORITY_12" vbProcedure="false">Priority!$B$16</definedName>
    <definedName function="false" hidden="false" name="WF_PRIORITY_2" vbProcedure="false">Priority!$B$6</definedName>
    <definedName function="false" hidden="false" name="WF_PRIORITY_3" vbProcedure="false">Priority!$B$7</definedName>
    <definedName function="false" hidden="false" name="WF_PRIORITY_4" vbProcedure="false">Priority!$B$8</definedName>
    <definedName function="false" hidden="false" name="WF_PRIORITY_5" vbProcedure="false">Priority!$B$9</definedName>
    <definedName function="false" hidden="false" name="WF_PRIORITY_6" vbProcedure="false">Priority!$B$10</definedName>
    <definedName function="false" hidden="false" name="WF_PRIORITY_7" vbProcedure="false">Priority!$B$11</definedName>
    <definedName function="false" hidden="false" name="WF_PRIORITY_8" vbProcedure="false">Priority!$B$12</definedName>
    <definedName function="false" hidden="false" name="WF_PRIORITY_9" vbProcedure="false">Priority!$B$13</definedName>
    <definedName function="false" hidden="false" name="WF_PRIORITY_COUNT" vbProcedure="false">Priority!$B$19</definedName>
    <definedName function="false" hidden="false" name="WF_RAW_UNCHANGED" vbProcedure="false">ControlPanel!$B$10</definedName>
    <definedName function="false" hidden="false" name="WF_RESIDUAL_ALL" vbProcedure="false">EndpointBridge!$H$5</definedName>
    <definedName function="false" hidden="false" name="WF_RESIDUAL_ME" vbProcedure="false">EndpointBridge!$H$6</definedName>
    <definedName function="false" hidden="false" name="WF_RESIDUAL_NH" vbProcedure="false">EndpointBridge!$H$7</definedName>
    <definedName function="false" hidden="false" name="WF_RESIDUAL_VT" vbProcedure="false">EndpointBridge!$H$8</definedName>
    <definedName function="false" hidden="false" name="WF_REVIEW_SLOTS" vbProcedure="false">ControlPanel!$B$7</definedName>
    <definedName function="false" hidden="false" name="WF_SNAPSHOT_CURRENT" vbProcedure="false">ControlPanel!$B$11</definedName>
    <definedName function="false" hidden="false" name="WF_START_PERIOD" vbProcedure="false">ControlPanel!$B$5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<sst xmlns="http://schemas.openxmlformats.org/spreadsheetml/2006/main" count="23342" uniqueCount="8504">
  <si>
    <t xml:space="preserve">Credit Review Control Panel</t>
  </si>
  <si>
    <t xml:space="preserve">Blue cells are editable model inputs. Static Word/CSV snapshots reflect only default inputs and unchanged source amounts.</t>
  </si>
  <si>
    <t xml:space="preserve">Input</t>
  </si>
  <si>
    <t xml:space="preserve">Value</t>
  </si>
  <si>
    <t xml:space="preserve">Rule / status</t>
  </si>
  <si>
    <t xml:space="preserve">Start period</t>
  </si>
  <si>
    <t xml:space="preserve">Existing YYYYMMDD quarter; must precede end</t>
  </si>
  <si>
    <t xml:space="preserve">End period</t>
  </si>
  <si>
    <t xml:space="preserve">Existing YYYYMMDD quarter; must follow start</t>
  </si>
  <si>
    <t xml:space="preserve">Review slots</t>
  </si>
  <si>
    <t xml:space="preserve">Integer 3–12</t>
  </si>
  <si>
    <t xml:space="preserve">Model valid</t>
  </si>
  <si>
    <t xml:space="preserve">FALSE clears all priority outputs</t>
  </si>
  <si>
    <t xml:space="preserve">Raw amounts unchanged</t>
  </si>
  <si>
    <t xml:space="preserve">Exact comparison for ASSET, P9ASSET, NAASSET; blank differs from 0</t>
  </si>
  <si>
    <t xml:space="preserve">Static snapshot current</t>
  </si>
  <si>
    <t xml:space="preserve">TRUE only for default inputs and unchanged raw amounts</t>
  </si>
  <si>
    <t xml:space="preserve">Interpretation</t>
  </si>
  <si>
    <t xml:space="preserve">If MODEL VALID is FALSE, correct the period/order/slot inputs or ensure the end period has enough valid banks and at least one valid bank in each state. Priority names and count are automatically cleared. Parameter or raw-amount changes do not update the static memo or follow-up CSV; re-export them. Amount corrections are an internal verified-copy scenario and do not assert the public source was wrong.</t>
  </si>
  <si>
    <t xml:space="preserve">Raw Financials — Editable Local Copy</t>
  </si>
  <si>
    <t xml:space="preserve">746 source records in original order. Only ASSET, P9ASSET and NAASSET are unlocked; blanks remain distinct from numeric zero.</t>
  </si>
  <si>
    <t xml:space="preserve">source_row</t>
  </si>
  <si>
    <t xml:space="preserve">ASSET</t>
  </si>
  <si>
    <t xml:space="preserve">CERT</t>
  </si>
  <si>
    <t xml:space="preserve">DEP</t>
  </si>
  <si>
    <t xml:space="preserve">ELNATRY</t>
  </si>
  <si>
    <t xml:space="preserve">EQ</t>
  </si>
  <si>
    <t xml:space="preserve">EQV</t>
  </si>
  <si>
    <t xml:space="preserve">ID</t>
  </si>
  <si>
    <t xml:space="preserve">LNATRESR</t>
  </si>
  <si>
    <t xml:space="preserve">LNCI</t>
  </si>
  <si>
    <t xml:space="preserve">LNCON</t>
  </si>
  <si>
    <t xml:space="preserve">LNLSGR</t>
  </si>
  <si>
    <t xml:space="preserve">LNLSNET</t>
  </si>
  <si>
    <t xml:space="preserve">LNRE</t>
  </si>
  <si>
    <t xml:space="preserve">NAASSET</t>
  </si>
  <si>
    <t xml:space="preserve">NAMEFULL</t>
  </si>
  <si>
    <t xml:space="preserve">NCLNLSR</t>
  </si>
  <si>
    <t xml:space="preserve">NIMY</t>
  </si>
  <si>
    <t xml:space="preserve">NTLNLS</t>
  </si>
  <si>
    <t xml:space="preserve">P3ASSET</t>
  </si>
  <si>
    <t xml:space="preserve">P9ASSET</t>
  </si>
  <si>
    <t xml:space="preserve">RBCRWAJ</t>
  </si>
  <si>
    <t xml:space="preserve">REPDTE</t>
  </si>
  <si>
    <t xml:space="preserve">ROA</t>
  </si>
  <si>
    <t xml:space="preserve">ROE</t>
  </si>
  <si>
    <t xml:space="preserve">STALP</t>
  </si>
  <si>
    <t xml:space="preserve">0.08</t>
  </si>
  <si>
    <t xml:space="preserve">12.515095582995142</t>
  </si>
  <si>
    <t xml:space="preserve">11971_20220331</t>
  </si>
  <si>
    <t xml:space="preserve">0.8726555144377637</t>
  </si>
  <si>
    <t xml:space="preserve">201303</t>
  </si>
  <si>
    <t xml:space="preserve">7873</t>
  </si>
  <si>
    <t xml:space="preserve">2634216</t>
  </si>
  <si>
    <t xml:space="preserve">BAR HARBOR BANK &amp; TRUST</t>
  </si>
  <si>
    <t xml:space="preserve">0.3784141376966862</t>
  </si>
  <si>
    <t xml:space="preserve">3.006742138500755</t>
  </si>
  <si>
    <t xml:space="preserve">-95</t>
  </si>
  <si>
    <t xml:space="preserve">4642</t>
  </si>
  <si>
    <t xml:space="preserve">8.77</t>
  </si>
  <si>
    <t xml:space="preserve">ME</t>
  </si>
  <si>
    <t xml:space="preserve">0</t>
  </si>
  <si>
    <t xml:space="preserve">10.155544238889068</t>
  </si>
  <si>
    <t xml:space="preserve">12874_20220331</t>
  </si>
  <si>
    <t xml:space="preserve">1.0653480801084996</t>
  </si>
  <si>
    <t xml:space="preserve">138143</t>
  </si>
  <si>
    <t xml:space="preserve">5249</t>
  </si>
  <si>
    <t xml:space="preserve">725098</t>
  </si>
  <si>
    <t xml:space="preserve">KATAHDIN TRUST COMPANY</t>
  </si>
  <si>
    <t xml:space="preserve">0.14585772254559248</t>
  </si>
  <si>
    <t xml:space="preserve">3.4019504411499137</t>
  </si>
  <si>
    <t xml:space="preserve">-5</t>
  </si>
  <si>
    <t xml:space="preserve">374</t>
  </si>
  <si>
    <t xml:space="preserve">7.95</t>
  </si>
  <si>
    <t xml:space="preserve">8.302224015105038</t>
  </si>
  <si>
    <t xml:space="preserve">13063_20220331</t>
  </si>
  <si>
    <t xml:space="preserve">1.2180099706634604</t>
  </si>
  <si>
    <t xml:space="preserve">55361</t>
  </si>
  <si>
    <t xml:space="preserve">837</t>
  </si>
  <si>
    <t xml:space="preserve">1208488</t>
  </si>
  <si>
    <t xml:space="preserve">KENNEBUNK SAVINGS BANK</t>
  </si>
  <si>
    <t xml:space="preserve">0.13111120011705188</t>
  </si>
  <si>
    <t xml:space="preserve">3.2711147741028457</t>
  </si>
  <si>
    <t xml:space="preserve">3</t>
  </si>
  <si>
    <t xml:space="preserve">5.56</t>
  </si>
  <si>
    <t xml:space="preserve">0.1</t>
  </si>
  <si>
    <t xml:space="preserve">11.710117989146562</t>
  </si>
  <si>
    <t xml:space="preserve">14134_20220331</t>
  </si>
  <si>
    <t xml:space="preserve">1.4014366486247207</t>
  </si>
  <si>
    <t xml:space="preserve">27870</t>
  </si>
  <si>
    <t xml:space="preserve">26813</t>
  </si>
  <si>
    <t xml:space="preserve">588030</t>
  </si>
  <si>
    <t xml:space="preserve">PASSUMPSIC SAVINGS BANK</t>
  </si>
  <si>
    <t xml:space="preserve">1.3437560782577784</t>
  </si>
  <si>
    <t xml:space="preserve">2.742437977347796</t>
  </si>
  <si>
    <t xml:space="preserve">19</t>
  </si>
  <si>
    <t xml:space="preserve">4990</t>
  </si>
  <si>
    <t xml:space="preserve">-3.23</t>
  </si>
  <si>
    <t xml:space="preserve">VT</t>
  </si>
  <si>
    <t xml:space="preserve">8.457421011980673</t>
  </si>
  <si>
    <t xml:space="preserve">14136_20220331</t>
  </si>
  <si>
    <t xml:space="preserve">1.1501745063903168</t>
  </si>
  <si>
    <t xml:space="preserve">12518</t>
  </si>
  <si>
    <t xml:space="preserve">11422</t>
  </si>
  <si>
    <t xml:space="preserve">119805</t>
  </si>
  <si>
    <t xml:space="preserve">WELLS RIVER SAVINGS BANK</t>
  </si>
  <si>
    <t xml:space="preserve">0.6707976138416983</t>
  </si>
  <si>
    <t xml:space="preserve">3.4223699758291275</t>
  </si>
  <si>
    <t xml:space="preserve">7</t>
  </si>
  <si>
    <t xml:space="preserve">803</t>
  </si>
  <si>
    <t xml:space="preserve">2.14</t>
  </si>
  <si>
    <t xml:space="preserve">8.75596496313211</t>
  </si>
  <si>
    <t xml:space="preserve">14140_20220331</t>
  </si>
  <si>
    <t xml:space="preserve">1.1077738349896176</t>
  </si>
  <si>
    <t xml:space="preserve">82518</t>
  </si>
  <si>
    <t xml:space="preserve">1318</t>
  </si>
  <si>
    <t xml:space="preserve">947256</t>
  </si>
  <si>
    <t xml:space="preserve">NORTHFIELD SAVINGS BANK</t>
  </si>
  <si>
    <t xml:space="preserve">0.58348392835331</t>
  </si>
  <si>
    <t xml:space="preserve">2.9698131336094122</t>
  </si>
  <si>
    <t xml:space="preserve">9</t>
  </si>
  <si>
    <t xml:space="preserve">785</t>
  </si>
  <si>
    <t xml:space="preserve">7.07</t>
  </si>
  <si>
    <t xml:space="preserve">6.9039450767055435</t>
  </si>
  <si>
    <t xml:space="preserve">14158_20220331</t>
  </si>
  <si>
    <t xml:space="preserve">1.0031734264943204</t>
  </si>
  <si>
    <t xml:space="preserve">44549</t>
  </si>
  <si>
    <t xml:space="preserve">2157</t>
  </si>
  <si>
    <t xml:space="preserve">822627</t>
  </si>
  <si>
    <t xml:space="preserve">UNION BANK</t>
  </si>
  <si>
    <t xml:space="preserve">0.5576662258127016</t>
  </si>
  <si>
    <t xml:space="preserve">3.185373520467468</t>
  </si>
  <si>
    <t xml:space="preserve">1620</t>
  </si>
  <si>
    <t xml:space="preserve">11.64</t>
  </si>
  <si>
    <t xml:space="preserve">8.915502675119438</t>
  </si>
  <si>
    <t xml:space="preserve">14168_20220331</t>
  </si>
  <si>
    <t xml:space="preserve">1.5327875284455024</t>
  </si>
  <si>
    <t xml:space="preserve">9537</t>
  </si>
  <si>
    <t xml:space="preserve">8111</t>
  </si>
  <si>
    <t xml:space="preserve">188225</t>
  </si>
  <si>
    <t xml:space="preserve">PEOPLES TRUST COMPANY OF ST. ALBANS</t>
  </si>
  <si>
    <t xml:space="preserve">0.6214851821819989</t>
  </si>
  <si>
    <t xml:space="preserve">2.4184590804383865</t>
  </si>
  <si>
    <t xml:space="preserve">34</t>
  </si>
  <si>
    <t xml:space="preserve">187</t>
  </si>
  <si>
    <t xml:space="preserve">1.45</t>
  </si>
  <si>
    <t xml:space="preserve">8.36255624147267</t>
  </si>
  <si>
    <t xml:space="preserve">14240_20220331</t>
  </si>
  <si>
    <t xml:space="preserve">1.1483381231280392</t>
  </si>
  <si>
    <t xml:space="preserve">29648</t>
  </si>
  <si>
    <t xml:space="preserve">17990</t>
  </si>
  <si>
    <t xml:space="preserve">815200</t>
  </si>
  <si>
    <t xml:space="preserve">NORTHWAY BANK</t>
  </si>
  <si>
    <t xml:space="preserve">0.26725841851892274</t>
  </si>
  <si>
    <t xml:space="preserve">2.8194207261510216</t>
  </si>
  <si>
    <t xml:space="preserve">-4</t>
  </si>
  <si>
    <t xml:space="preserve">1936</t>
  </si>
  <si>
    <t xml:space="preserve">0.79</t>
  </si>
  <si>
    <t xml:space="preserve">NH</t>
  </si>
  <si>
    <t xml:space="preserve">-0.08</t>
  </si>
  <si>
    <t xml:space="preserve">9.949154000984887</t>
  </si>
  <si>
    <t xml:space="preserve">17115_20220331</t>
  </si>
  <si>
    <t xml:space="preserve">1.1671320266694696</t>
  </si>
  <si>
    <t xml:space="preserve">43003</t>
  </si>
  <si>
    <t xml:space="preserve">3606</t>
  </si>
  <si>
    <t xml:space="preserve">648819</t>
  </si>
  <si>
    <t xml:space="preserve">PARTNERS BANK OF NEW ENGLAND</t>
  </si>
  <si>
    <t xml:space="preserve">0.02498168263818755</t>
  </si>
  <si>
    <t xml:space="preserve">3.5126361724170407</t>
  </si>
  <si>
    <t xml:space="preserve">240</t>
  </si>
  <si>
    <t xml:space="preserve">62</t>
  </si>
  <si>
    <t xml:space="preserve">11.05</t>
  </si>
  <si>
    <t xml:space="preserve">0.06</t>
  </si>
  <si>
    <t xml:space="preserve">9.828704563750078</t>
  </si>
  <si>
    <t xml:space="preserve">17180_20220331</t>
  </si>
  <si>
    <t xml:space="preserve">0.9861620605817762</t>
  </si>
  <si>
    <t xml:space="preserve">44797</t>
  </si>
  <si>
    <t xml:space="preserve">141431</t>
  </si>
  <si>
    <t xml:space="preserve">1131745</t>
  </si>
  <si>
    <t xml:space="preserve">MEREDITH VILLAGE SAVINGS BANK</t>
  </si>
  <si>
    <t xml:space="preserve">0.5033170985208444</t>
  </si>
  <si>
    <t xml:space="preserve">3.569993155239652</t>
  </si>
  <si>
    <t xml:space="preserve">36</t>
  </si>
  <si>
    <t xml:space="preserve">1540</t>
  </si>
  <si>
    <t xml:space="preserve">8.11</t>
  </si>
  <si>
    <t xml:space="preserve">12.15653432882429</t>
  </si>
  <si>
    <t xml:space="preserve">17443_20220331</t>
  </si>
  <si>
    <t xml:space="preserve">0.858419069393285</t>
  </si>
  <si>
    <t xml:space="preserve">1909</t>
  </si>
  <si>
    <t xml:space="preserve">187330</t>
  </si>
  <si>
    <t xml:space="preserve">PISCATAQUA SAVINGS BANK</t>
  </si>
  <si>
    <t xml:space="preserve">0.44561581777382614</t>
  </si>
  <si>
    <t xml:space="preserve">2.012217920234347</t>
  </si>
  <si>
    <t xml:space="preserve">2524</t>
  </si>
  <si>
    <t xml:space="preserve">4.79</t>
  </si>
  <si>
    <t xml:space="preserve">0.02</t>
  </si>
  <si>
    <t xml:space="preserve">12.290823973882512</t>
  </si>
  <si>
    <t xml:space="preserve">17658_20220331</t>
  </si>
  <si>
    <t xml:space="preserve">0.8562761051287341</t>
  </si>
  <si>
    <t xml:space="preserve">77695</t>
  </si>
  <si>
    <t xml:space="preserve">58315</t>
  </si>
  <si>
    <t xml:space="preserve">1066725</t>
  </si>
  <si>
    <t xml:space="preserve">NORWAY SAVINGS BANK</t>
  </si>
  <si>
    <t xml:space="preserve">0.10883526745964917</t>
  </si>
  <si>
    <t xml:space="preserve">3.3598510799951353</t>
  </si>
  <si>
    <t xml:space="preserve">2</t>
  </si>
  <si>
    <t xml:space="preserve">1175</t>
  </si>
  <si>
    <t xml:space="preserve">6.72</t>
  </si>
  <si>
    <t xml:space="preserve">0.03</t>
  </si>
  <si>
    <t xml:space="preserve">12.964040277443772</t>
  </si>
  <si>
    <t xml:space="preserve">17741_20220331</t>
  </si>
  <si>
    <t xml:space="preserve">0.9716792278777305</t>
  </si>
  <si>
    <t xml:space="preserve">42174</t>
  </si>
  <si>
    <t xml:space="preserve">3486</t>
  </si>
  <si>
    <t xml:space="preserve">789023</t>
  </si>
  <si>
    <t xml:space="preserve">MAINE COMMUNITY BANK</t>
  </si>
  <si>
    <t xml:space="preserve">0.2154964136225863</t>
  </si>
  <si>
    <t xml:space="preserve">3.2566694050388145</t>
  </si>
  <si>
    <t xml:space="preserve">4</t>
  </si>
  <si>
    <t xml:space="preserve">1992</t>
  </si>
  <si>
    <t xml:space="preserve">4.49</t>
  </si>
  <si>
    <t xml:space="preserve">10.943720328010357</t>
  </si>
  <si>
    <t xml:space="preserve">17743_20220331</t>
  </si>
  <si>
    <t xml:space="preserve">0.5443254318819803</t>
  </si>
  <si>
    <t xml:space="preserve">25760</t>
  </si>
  <si>
    <t xml:space="preserve">5293</t>
  </si>
  <si>
    <t xml:space="preserve">913020</t>
  </si>
  <si>
    <t xml:space="preserve">SACO &amp; BIDDEFORD SAVINGS INSTITUTION</t>
  </si>
  <si>
    <t xml:space="preserve">0.3924763920493847</t>
  </si>
  <si>
    <t xml:space="preserve">2.7468647354716746</t>
  </si>
  <si>
    <t xml:space="preserve">-7</t>
  </si>
  <si>
    <t xml:space="preserve">1605</t>
  </si>
  <si>
    <t xml:space="preserve">3.56</t>
  </si>
  <si>
    <t xml:space="preserve">-0.06</t>
  </si>
  <si>
    <t xml:space="preserve">7.931758235156177</t>
  </si>
  <si>
    <t xml:space="preserve">17748_20220331</t>
  </si>
  <si>
    <t xml:space="preserve">0.813721881642695</t>
  </si>
  <si>
    <t xml:space="preserve">144260</t>
  </si>
  <si>
    <t xml:space="preserve">2958</t>
  </si>
  <si>
    <t xml:space="preserve">1126405</t>
  </si>
  <si>
    <t xml:space="preserve">GORHAM SAVINGS BANK</t>
  </si>
  <si>
    <t xml:space="preserve">0.683927914156348</t>
  </si>
  <si>
    <t xml:space="preserve">3.1526445314825664</t>
  </si>
  <si>
    <t xml:space="preserve">47</t>
  </si>
  <si>
    <t xml:space="preserve">2878</t>
  </si>
  <si>
    <t xml:space="preserve">-3.64</t>
  </si>
  <si>
    <t xml:space="preserve">0.05</t>
  </si>
  <si>
    <t xml:space="preserve">13.618692199124663</t>
  </si>
  <si>
    <t xml:space="preserve">17749_20220331</t>
  </si>
  <si>
    <t xml:space="preserve">1.4444711466250113</t>
  </si>
  <si>
    <t xml:space="preserve">50144</t>
  </si>
  <si>
    <t xml:space="preserve">10017</t>
  </si>
  <si>
    <t xml:space="preserve">656163</t>
  </si>
  <si>
    <t xml:space="preserve">BATH SAVINGS INSTITUTION</t>
  </si>
  <si>
    <t xml:space="preserve">0.03785034095346811</t>
  </si>
  <si>
    <t xml:space="preserve">2.7984726265800055</t>
  </si>
  <si>
    <t xml:space="preserve">1</t>
  </si>
  <si>
    <t xml:space="preserve">305</t>
  </si>
  <si>
    <t xml:space="preserve">1.25</t>
  </si>
  <si>
    <t xml:space="preserve">0.07</t>
  </si>
  <si>
    <t xml:space="preserve">9.503637562737492</t>
  </si>
  <si>
    <t xml:space="preserve">17751_20220331</t>
  </si>
  <si>
    <t xml:space="preserve">1.084337237946438</t>
  </si>
  <si>
    <t xml:space="preserve">117124</t>
  </si>
  <si>
    <t xml:space="preserve">1660</t>
  </si>
  <si>
    <t xml:space="preserve">1069307</t>
  </si>
  <si>
    <t xml:space="preserve">ANDROSCOGGIN SAVINGS BANK</t>
  </si>
  <si>
    <t xml:space="preserve">0.21683044580672675</t>
  </si>
  <si>
    <t xml:space="preserve">2.982631067124586</t>
  </si>
  <si>
    <t xml:space="preserve">1342</t>
  </si>
  <si>
    <t xml:space="preserve">5.27</t>
  </si>
  <si>
    <t xml:space="preserve">0.04</t>
  </si>
  <si>
    <t xml:space="preserve">13.515681235331023</t>
  </si>
  <si>
    <t xml:space="preserve">17897_20220331</t>
  </si>
  <si>
    <t xml:space="preserve">0.6246701906145322</t>
  </si>
  <si>
    <t xml:space="preserve">58243</t>
  </si>
  <si>
    <t xml:space="preserve">2749</t>
  </si>
  <si>
    <t xml:space="preserve">1218428</t>
  </si>
  <si>
    <t xml:space="preserve">KENNEBEC SAVINGS BANK</t>
  </si>
  <si>
    <t xml:space="preserve">0.2685780046603544</t>
  </si>
  <si>
    <t xml:space="preserve">3.2380780979089954</t>
  </si>
  <si>
    <t xml:space="preserve">12</t>
  </si>
  <si>
    <t xml:space="preserve">1421</t>
  </si>
  <si>
    <t xml:space="preserve">-1.48</t>
  </si>
  <si>
    <t xml:space="preserve">8.11168888091965</t>
  </si>
  <si>
    <t xml:space="preserve">17951_20220331</t>
  </si>
  <si>
    <t xml:space="preserve">0.8551346529475999</t>
  </si>
  <si>
    <t xml:space="preserve">24011</t>
  </si>
  <si>
    <t xml:space="preserve">1618</t>
  </si>
  <si>
    <t xml:space="preserve">451241</t>
  </si>
  <si>
    <t xml:space="preserve">FRANKLIN SAVINGS BANK</t>
  </si>
  <si>
    <t xml:space="preserve">0.2298229308795451</t>
  </si>
  <si>
    <t xml:space="preserve">3.1538555347019983</t>
  </si>
  <si>
    <t xml:space="preserve">-3</t>
  </si>
  <si>
    <t xml:space="preserve">57</t>
  </si>
  <si>
    <t xml:space="preserve">10.65</t>
  </si>
  <si>
    <t xml:space="preserve">9.330462537681367</t>
  </si>
  <si>
    <t xml:space="preserve">17960_20220331</t>
  </si>
  <si>
    <t xml:space="preserve">1.014196195568406</t>
  </si>
  <si>
    <t xml:space="preserve">96589</t>
  </si>
  <si>
    <t xml:space="preserve">142477</t>
  </si>
  <si>
    <t xml:space="preserve">931204</t>
  </si>
  <si>
    <t xml:space="preserve">MERRIMACK COUNTY SAVINGS BANK</t>
  </si>
  <si>
    <t xml:space="preserve">0.04911001387198444</t>
  </si>
  <si>
    <t xml:space="preserve">3.594639407408482</t>
  </si>
  <si>
    <t xml:space="preserve">1292</t>
  </si>
  <si>
    <t xml:space="preserve">9.982179972118093</t>
  </si>
  <si>
    <t xml:space="preserve">18012_20220331</t>
  </si>
  <si>
    <t xml:space="preserve">1.2359245685231353</t>
  </si>
  <si>
    <t xml:space="preserve">56828</t>
  </si>
  <si>
    <t xml:space="preserve">37005</t>
  </si>
  <si>
    <t xml:space="preserve">1823571</t>
  </si>
  <si>
    <t xml:space="preserve">BANK OF NEW HAMPSHIRE</t>
  </si>
  <si>
    <t xml:space="preserve">0.08725129184446848</t>
  </si>
  <si>
    <t xml:space="preserve">3.4982109039270335</t>
  </si>
  <si>
    <t xml:space="preserve">30</t>
  </si>
  <si>
    <t xml:space="preserve">1160</t>
  </si>
  <si>
    <t xml:space="preserve">13.47</t>
  </si>
  <si>
    <t xml:space="preserve">8.18682844180425</t>
  </si>
  <si>
    <t xml:space="preserve">18013_20220331</t>
  </si>
  <si>
    <t xml:space="preserve">0.9565945296903279</t>
  </si>
  <si>
    <t xml:space="preserve">115058</t>
  </si>
  <si>
    <t xml:space="preserve">10633</t>
  </si>
  <si>
    <t xml:space="preserve">1912027</t>
  </si>
  <si>
    <t xml:space="preserve">MASCOMA BANK</t>
  </si>
  <si>
    <t xml:space="preserve">0.08246593877007646</t>
  </si>
  <si>
    <t xml:space="preserve">3.0029717738264363</t>
  </si>
  <si>
    <t xml:space="preserve">-26</t>
  </si>
  <si>
    <t xml:space="preserve">2301</t>
  </si>
  <si>
    <t xml:space="preserve">8.73</t>
  </si>
  <si>
    <t xml:space="preserve">-0.11</t>
  </si>
  <si>
    <t xml:space="preserve">11.083339759151473</t>
  </si>
  <si>
    <t xml:space="preserve">18028_20220331</t>
  </si>
  <si>
    <t xml:space="preserve">0.9287751263359539</t>
  </si>
  <si>
    <t xml:space="preserve">15550</t>
  </si>
  <si>
    <t xml:space="preserve">5989</t>
  </si>
  <si>
    <t xml:space="preserve">228591</t>
  </si>
  <si>
    <t xml:space="preserve">SUGAR RIVER BANK</t>
  </si>
  <si>
    <t xml:space="preserve">0.4880078358629417</t>
  </si>
  <si>
    <t xml:space="preserve">3.1425864411036155</t>
  </si>
  <si>
    <t xml:space="preserve">22</t>
  </si>
  <si>
    <t xml:space="preserve">1113</t>
  </si>
  <si>
    <t xml:space="preserve">6.76</t>
  </si>
  <si>
    <t xml:space="preserve">7.098063599218333</t>
  </si>
  <si>
    <t xml:space="preserve">18030_20220331</t>
  </si>
  <si>
    <t xml:space="preserve">0.9415617854862298</t>
  </si>
  <si>
    <t xml:space="preserve">24798</t>
  </si>
  <si>
    <t xml:space="preserve">77370</t>
  </si>
  <si>
    <t xml:space="preserve">480899</t>
  </si>
  <si>
    <t xml:space="preserve">SAVINGS BANK OF WALPOLE</t>
  </si>
  <si>
    <t xml:space="preserve">0.14872185716934105</t>
  </si>
  <si>
    <t xml:space="preserve">2.947572623592937</t>
  </si>
  <si>
    <t xml:space="preserve">-1</t>
  </si>
  <si>
    <t xml:space="preserve">184</t>
  </si>
  <si>
    <t xml:space="preserve">4.73</t>
  </si>
  <si>
    <t xml:space="preserve">7.412472780356268</t>
  </si>
  <si>
    <t xml:space="preserve">18031_20220331</t>
  </si>
  <si>
    <t xml:space="preserve">1.2103130061577752</t>
  </si>
  <si>
    <t xml:space="preserve">32100</t>
  </si>
  <si>
    <t xml:space="preserve">8415</t>
  </si>
  <si>
    <t xml:space="preserve">409259</t>
  </si>
  <si>
    <t xml:space="preserve">WOODSVILLE GUARANTY SAVINGS BANK</t>
  </si>
  <si>
    <t xml:space="preserve">0.14531480448882741</t>
  </si>
  <si>
    <t xml:space="preserve">2.834947166893708</t>
  </si>
  <si>
    <t xml:space="preserve">1504</t>
  </si>
  <si>
    <t xml:space="preserve">5.98</t>
  </si>
  <si>
    <t xml:space="preserve">14.298153449046113</t>
  </si>
  <si>
    <t xml:space="preserve">18038_20220331</t>
  </si>
  <si>
    <t xml:space="preserve">1.24057032046899</t>
  </si>
  <si>
    <t xml:space="preserve">17613</t>
  </si>
  <si>
    <t xml:space="preserve">3264</t>
  </si>
  <si>
    <t xml:space="preserve">352425</t>
  </si>
  <si>
    <t xml:space="preserve">CLAREMONT SAVINGS BANK</t>
  </si>
  <si>
    <t xml:space="preserve">0.6969275778193761</t>
  </si>
  <si>
    <t xml:space="preserve">3.1380952956016825</t>
  </si>
  <si>
    <t xml:space="preserve">-82</t>
  </si>
  <si>
    <t xml:space="preserve">1771</t>
  </si>
  <si>
    <t xml:space="preserve">-4.87</t>
  </si>
  <si>
    <t xml:space="preserve">6.457031623165646</t>
  </si>
  <si>
    <t xml:space="preserve">18408_20220331</t>
  </si>
  <si>
    <t xml:space="preserve">1.2436279812147077</t>
  </si>
  <si>
    <t xml:space="preserve">286708</t>
  </si>
  <si>
    <t xml:space="preserve">28127</t>
  </si>
  <si>
    <t xml:space="preserve">3927693</t>
  </si>
  <si>
    <t xml:space="preserve">BANGOR SAVINGS BANK</t>
  </si>
  <si>
    <t xml:space="preserve">0.12516487920759417</t>
  </si>
  <si>
    <t xml:space="preserve">2.7372141081760786</t>
  </si>
  <si>
    <t xml:space="preserve">182</t>
  </si>
  <si>
    <t xml:space="preserve">3765</t>
  </si>
  <si>
    <t xml:space="preserve">8.39</t>
  </si>
  <si>
    <t xml:space="preserve">0.01</t>
  </si>
  <si>
    <t xml:space="preserve">10.611762562019752</t>
  </si>
  <si>
    <t xml:space="preserve">19531_20220331</t>
  </si>
  <si>
    <t xml:space="preserve">1.4408225760515279</t>
  </si>
  <si>
    <t xml:space="preserve">204310</t>
  </si>
  <si>
    <t xml:space="preserve">12774</t>
  </si>
  <si>
    <t xml:space="preserve">1619552</t>
  </si>
  <si>
    <t xml:space="preserve">MACHIAS SAVINGS BANK</t>
  </si>
  <si>
    <t xml:space="preserve">0.3904509903677396</t>
  </si>
  <si>
    <t xml:space="preserve">3.5195445056966723</t>
  </si>
  <si>
    <t xml:space="preserve">24</t>
  </si>
  <si>
    <t xml:space="preserve">2467</t>
  </si>
  <si>
    <t xml:space="preserve">6.95</t>
  </si>
  <si>
    <t xml:space="preserve">12.484805826251378</t>
  </si>
  <si>
    <t xml:space="preserve">19532_20220331</t>
  </si>
  <si>
    <t xml:space="preserve">1.1798820517637278</t>
  </si>
  <si>
    <t xml:space="preserve">20391</t>
  </si>
  <si>
    <t xml:space="preserve">38849</t>
  </si>
  <si>
    <t xml:space="preserve">494485</t>
  </si>
  <si>
    <t xml:space="preserve">SKOWHEGAN SAVINGS BANK</t>
  </si>
  <si>
    <t xml:space="preserve">0.5603640367793856</t>
  </si>
  <si>
    <t xml:space="preserve">3.104180995103524</t>
  </si>
  <si>
    <t xml:space="preserve">615</t>
  </si>
  <si>
    <t xml:space="preserve">5.79</t>
  </si>
  <si>
    <t xml:space="preserve">15.801447657772478</t>
  </si>
  <si>
    <t xml:space="preserve">19690_20220331</t>
  </si>
  <si>
    <t xml:space="preserve">0.471953421378289</t>
  </si>
  <si>
    <t xml:space="preserve">25804</t>
  </si>
  <si>
    <t xml:space="preserve">777</t>
  </si>
  <si>
    <t xml:space="preserve">1226509</t>
  </si>
  <si>
    <t xml:space="preserve">NORTHEAST BANK</t>
  </si>
  <si>
    <t xml:space="preserve">1.453512669141663</t>
  </si>
  <si>
    <t xml:space="preserve">5.763816795520608</t>
  </si>
  <si>
    <t xml:space="preserve">-63</t>
  </si>
  <si>
    <t xml:space="preserve">6729</t>
  </si>
  <si>
    <t xml:space="preserve">17.4</t>
  </si>
  <si>
    <t xml:space="preserve">19.7958455052771</t>
  </si>
  <si>
    <t xml:space="preserve">19836_20220331</t>
  </si>
  <si>
    <t xml:space="preserve">0.9116281679078835</t>
  </si>
  <si>
    <t xml:space="preserve">44135</t>
  </si>
  <si>
    <t xml:space="preserve">11311</t>
  </si>
  <si>
    <t xml:space="preserve">423906</t>
  </si>
  <si>
    <t xml:space="preserve">0.4177127015516379</t>
  </si>
  <si>
    <t xml:space="preserve">3.874297323992147</t>
  </si>
  <si>
    <t xml:space="preserve">3713</t>
  </si>
  <si>
    <t xml:space="preserve">3.52</t>
  </si>
  <si>
    <t xml:space="preserve">-0.21</t>
  </si>
  <si>
    <t xml:space="preserve">15.497096700057696</t>
  </si>
  <si>
    <t xml:space="preserve">24540_20220331</t>
  </si>
  <si>
    <t xml:space="preserve">1.1751452278092887</t>
  </si>
  <si>
    <t xml:space="preserve">46308</t>
  </si>
  <si>
    <t xml:space="preserve">17</t>
  </si>
  <si>
    <t xml:space="preserve">1008814</t>
  </si>
  <si>
    <t xml:space="preserve">BANK OF NEW ENGLAND</t>
  </si>
  <si>
    <t xml:space="preserve">0.07983855957523928</t>
  </si>
  <si>
    <t xml:space="preserve">4.186552819537463</t>
  </si>
  <si>
    <t xml:space="preserve">14.73</t>
  </si>
  <si>
    <t xml:space="preserve">15.102031922427411</t>
  </si>
  <si>
    <t xml:space="preserve">27824_20220331</t>
  </si>
  <si>
    <t xml:space="preserve">0.8431471635101286</t>
  </si>
  <si>
    <t xml:space="preserve">22180</t>
  </si>
  <si>
    <t xml:space="preserve">20605</t>
  </si>
  <si>
    <t xml:space="preserve">361042</t>
  </si>
  <si>
    <t xml:space="preserve">SALEM CO-OPERATIVE BANK</t>
  </si>
  <si>
    <t xml:space="preserve">0.25157094520367357</t>
  </si>
  <si>
    <t xml:space="preserve">2.8708461882947085</t>
  </si>
  <si>
    <t xml:space="preserve">408</t>
  </si>
  <si>
    <t xml:space="preserve">1.72</t>
  </si>
  <si>
    <t xml:space="preserve">9.7505588475322</t>
  </si>
  <si>
    <t xml:space="preserve">28155_20220331</t>
  </si>
  <si>
    <t xml:space="preserve">0.5890065694273661</t>
  </si>
  <si>
    <t xml:space="preserve">5388</t>
  </si>
  <si>
    <t xml:space="preserve">3851</t>
  </si>
  <si>
    <t xml:space="preserve">146330</t>
  </si>
  <si>
    <t xml:space="preserve">PROFILE BANK</t>
  </si>
  <si>
    <t xml:space="preserve">0.1399485043852796</t>
  </si>
  <si>
    <t xml:space="preserve">2.6792038699611456</t>
  </si>
  <si>
    <t xml:space="preserve">357</t>
  </si>
  <si>
    <t xml:space="preserve">2.32</t>
  </si>
  <si>
    <t xml:space="preserve">7.764764677762809</t>
  </si>
  <si>
    <t xml:space="preserve">28288_20220331</t>
  </si>
  <si>
    <t xml:space="preserve">1.164161508989095</t>
  </si>
  <si>
    <t xml:space="preserve">3708</t>
  </si>
  <si>
    <t xml:space="preserve">587</t>
  </si>
  <si>
    <t xml:space="preserve">73777</t>
  </si>
  <si>
    <t xml:space="preserve">AUBURN SAVINGS BANK, FSB</t>
  </si>
  <si>
    <t xml:space="preserve">0.8118318463146048</t>
  </si>
  <si>
    <t xml:space="preserve">3.433944886321642</t>
  </si>
  <si>
    <t xml:space="preserve">-2</t>
  </si>
  <si>
    <t xml:space="preserve">345</t>
  </si>
  <si>
    <t xml:space="preserve">10.948511391751973</t>
  </si>
  <si>
    <t xml:space="preserve">28369_20220331</t>
  </si>
  <si>
    <t xml:space="preserve">0.7764039510948401</t>
  </si>
  <si>
    <t xml:space="preserve">9635</t>
  </si>
  <si>
    <t xml:space="preserve">948</t>
  </si>
  <si>
    <t xml:space="preserve">71823</t>
  </si>
  <si>
    <t xml:space="preserve">ROCKLAND SAVINGS BANK, FSB</t>
  </si>
  <si>
    <t xml:space="preserve">0.6078607446294122</t>
  </si>
  <si>
    <t xml:space="preserve">3.624812233741289</t>
  </si>
  <si>
    <t xml:space="preserve">13</t>
  </si>
  <si>
    <t xml:space="preserve">-0.73</t>
  </si>
  <si>
    <t xml:space="preserve">7.3569155805253414</t>
  </si>
  <si>
    <t xml:space="preserve">28837_20220331</t>
  </si>
  <si>
    <t xml:space="preserve">1.1713138994507817</t>
  </si>
  <si>
    <t xml:space="preserve">6477</t>
  </si>
  <si>
    <t xml:space="preserve">887</t>
  </si>
  <si>
    <t xml:space="preserve">187142</t>
  </si>
  <si>
    <t xml:space="preserve">THE BRATTLEBORO SAVINGS AND LOAN ASSOCIATION</t>
  </si>
  <si>
    <t xml:space="preserve">0.03749471905365442</t>
  </si>
  <si>
    <t xml:space="preserve">2.3740785379936655</t>
  </si>
  <si>
    <t xml:space="preserve">128</t>
  </si>
  <si>
    <t xml:space="preserve">507</t>
  </si>
  <si>
    <t xml:space="preserve">4.24</t>
  </si>
  <si>
    <t xml:space="preserve">13.346157267390144</t>
  </si>
  <si>
    <t xml:space="preserve">29636_20220331</t>
  </si>
  <si>
    <t xml:space="preserve">1.5363797039546359</t>
  </si>
  <si>
    <t xml:space="preserve">1323</t>
  </si>
  <si>
    <t xml:space="preserve">2075</t>
  </si>
  <si>
    <t xml:space="preserve">106963</t>
  </si>
  <si>
    <t xml:space="preserve">FIRST FEDERAL SAVINGS AND LOAN ASSOCIATION OF BATH</t>
  </si>
  <si>
    <t xml:space="preserve">1.1350246704470137</t>
  </si>
  <si>
    <t xml:space="preserve">2.994331908567181</t>
  </si>
  <si>
    <t xml:space="preserve">2145</t>
  </si>
  <si>
    <t xml:space="preserve">0.3</t>
  </si>
  <si>
    <t xml:space="preserve">8.887860201365584</t>
  </si>
  <si>
    <t xml:space="preserve">29743_20220331</t>
  </si>
  <si>
    <t xml:space="preserve">0.44282209323200283</t>
  </si>
  <si>
    <t xml:space="preserve">22643</t>
  </si>
  <si>
    <t xml:space="preserve">17066</t>
  </si>
  <si>
    <t xml:space="preserve">116459</t>
  </si>
  <si>
    <t xml:space="preserve">AROOSTOOK COUNTY FEDERAL SAVINGS AND LOAN ASSOCIATION</t>
  </si>
  <si>
    <t xml:space="preserve">0.377852056387153</t>
  </si>
  <si>
    <t xml:space="preserve">2.488467860235768</t>
  </si>
  <si>
    <t xml:space="preserve">646</t>
  </si>
  <si>
    <t xml:space="preserve">6.58</t>
  </si>
  <si>
    <t xml:space="preserve">9.277836812372051</t>
  </si>
  <si>
    <t xml:space="preserve">29744_20220331</t>
  </si>
  <si>
    <t xml:space="preserve">0.9597950750548152</t>
  </si>
  <si>
    <t xml:space="preserve">28459</t>
  </si>
  <si>
    <t xml:space="preserve">5712</t>
  </si>
  <si>
    <t xml:space="preserve">375814</t>
  </si>
  <si>
    <t xml:space="preserve">FIRST SEACOAST BANK</t>
  </si>
  <si>
    <t xml:space="preserve">0.20951045707539215</t>
  </si>
  <si>
    <t xml:space="preserve">3.187654378278726</t>
  </si>
  <si>
    <t xml:space="preserve">8</t>
  </si>
  <si>
    <t xml:space="preserve">138</t>
  </si>
  <si>
    <t xml:space="preserve">3.25</t>
  </si>
  <si>
    <t xml:space="preserve">9.270109875932656</t>
  </si>
  <si>
    <t xml:space="preserve">30350_20220331</t>
  </si>
  <si>
    <t xml:space="preserve">1.443209816111084</t>
  </si>
  <si>
    <t xml:space="preserve">11781</t>
  </si>
  <si>
    <t xml:space="preserve">796</t>
  </si>
  <si>
    <t xml:space="preserve">362415</t>
  </si>
  <si>
    <t xml:space="preserve">THE BANK OF BENNINGTON</t>
  </si>
  <si>
    <t xml:space="preserve">0.7478475587536236</t>
  </si>
  <si>
    <t xml:space="preserve">2.6487893330451135</t>
  </si>
  <si>
    <t xml:space="preserve">1525</t>
  </si>
  <si>
    <t xml:space="preserve">6.56</t>
  </si>
  <si>
    <t xml:space="preserve">12.291196724732444</t>
  </si>
  <si>
    <t xml:space="preserve">30878_20220331</t>
  </si>
  <si>
    <t xml:space="preserve">1.1397293687205994</t>
  </si>
  <si>
    <t xml:space="preserve">122</t>
  </si>
  <si>
    <t xml:space="preserve">68091</t>
  </si>
  <si>
    <t xml:space="preserve">BAR HARBOR SAVINGS AND LOAN ASSOCIATION</t>
  </si>
  <si>
    <t xml:space="preserve">0.7825657703699402</t>
  </si>
  <si>
    <t xml:space="preserve">1.9851626559256899</t>
  </si>
  <si>
    <t xml:space="preserve">375</t>
  </si>
  <si>
    <t xml:space="preserve">1.41</t>
  </si>
  <si>
    <t xml:space="preserve">6.5867204218035695</t>
  </si>
  <si>
    <t xml:space="preserve">33418_20220331</t>
  </si>
  <si>
    <t xml:space="preserve">2.0821319426452605</t>
  </si>
  <si>
    <t xml:space="preserve">41526</t>
  </si>
  <si>
    <t xml:space="preserve">14294</t>
  </si>
  <si>
    <t xml:space="preserve">351485</t>
  </si>
  <si>
    <t xml:space="preserve">LEDYARD NATIONAL BANK</t>
  </si>
  <si>
    <t xml:space="preserve">0.46216977426391315</t>
  </si>
  <si>
    <t xml:space="preserve">2.64547208066041</t>
  </si>
  <si>
    <t xml:space="preserve">308</t>
  </si>
  <si>
    <t xml:space="preserve">13.83</t>
  </si>
  <si>
    <t xml:space="preserve">9.149402787595381</t>
  </si>
  <si>
    <t xml:space="preserve">4255_20220331</t>
  </si>
  <si>
    <t xml:space="preserve">0.8972236899813975</t>
  </si>
  <si>
    <t xml:space="preserve">332872</t>
  </si>
  <si>
    <t xml:space="preserve">18973</t>
  </si>
  <si>
    <t xml:space="preserve">3509153</t>
  </si>
  <si>
    <t xml:space="preserve">THE CAMDEN NATIONAL BANK</t>
  </si>
  <si>
    <t xml:space="preserve">0.12572992973865854</t>
  </si>
  <si>
    <t xml:space="preserve">2.9274468214083593</t>
  </si>
  <si>
    <t xml:space="preserve">250</t>
  </si>
  <si>
    <t xml:space="preserve">1301</t>
  </si>
  <si>
    <t xml:space="preserve">13.21</t>
  </si>
  <si>
    <t xml:space="preserve">8.144526402209678</t>
  </si>
  <si>
    <t xml:space="preserve">4256_20220331</t>
  </si>
  <si>
    <t xml:space="preserve">0.9232041261357062</t>
  </si>
  <si>
    <t xml:space="preserve">226654</t>
  </si>
  <si>
    <t xml:space="preserve">22077</t>
  </si>
  <si>
    <t xml:space="preserve">1691982</t>
  </si>
  <si>
    <t xml:space="preserve">FIRST NATIONAL BANK</t>
  </si>
  <si>
    <t xml:space="preserve">0.29834612600922383</t>
  </si>
  <si>
    <t xml:space="preserve">3.1576840282930827</t>
  </si>
  <si>
    <t xml:space="preserve">205</t>
  </si>
  <si>
    <t xml:space="preserve">892</t>
  </si>
  <si>
    <t xml:space="preserve">18.79</t>
  </si>
  <si>
    <t xml:space="preserve">0.15</t>
  </si>
  <si>
    <t xml:space="preserve">9.513828769307878</t>
  </si>
  <si>
    <t xml:space="preserve">59086_20220331</t>
  </si>
  <si>
    <t xml:space="preserve">1.1506354816875988</t>
  </si>
  <si>
    <t xml:space="preserve">115306</t>
  </si>
  <si>
    <t xml:space="preserve">512616</t>
  </si>
  <si>
    <t xml:space="preserve">PRIMARY BANK</t>
  </si>
  <si>
    <t xml:space="preserve">0.06575610847251066</t>
  </si>
  <si>
    <t xml:space="preserve">3.224722875377897</t>
  </si>
  <si>
    <t xml:space="preserve">11.87</t>
  </si>
  <si>
    <t xml:space="preserve">0.31</t>
  </si>
  <si>
    <t xml:space="preserve">14.634711442141917</t>
  </si>
  <si>
    <t xml:space="preserve">59176_20220331</t>
  </si>
  <si>
    <t xml:space="preserve">0.8493851730755562</t>
  </si>
  <si>
    <t xml:space="preserve">14832</t>
  </si>
  <si>
    <t xml:space="preserve">14</t>
  </si>
  <si>
    <t xml:space="preserve">111596</t>
  </si>
  <si>
    <t xml:space="preserve">THE MILLYARD BANK</t>
  </si>
  <si>
    <t xml:space="preserve">0.037316085009595566</t>
  </si>
  <si>
    <t xml:space="preserve">2.9851187397478904</t>
  </si>
  <si>
    <t xml:space="preserve">0.23</t>
  </si>
  <si>
    <t xml:space="preserve">0.34</t>
  </si>
  <si>
    <t xml:space="preserve">8.930745000074644</t>
  </si>
  <si>
    <t xml:space="preserve">6271_20220331</t>
  </si>
  <si>
    <t xml:space="preserve">1.1324415589261394</t>
  </si>
  <si>
    <t xml:space="preserve">116404</t>
  </si>
  <si>
    <t xml:space="preserve">3056</t>
  </si>
  <si>
    <t xml:space="preserve">688922</t>
  </si>
  <si>
    <t xml:space="preserve">COMMUNITY NATIONAL BANK</t>
  </si>
  <si>
    <t xml:space="preserve">0.8709653809558663</t>
  </si>
  <si>
    <t xml:space="preserve">3.224023057619829</t>
  </si>
  <si>
    <t xml:space="preserve">682</t>
  </si>
  <si>
    <t xml:space="preserve">2673</t>
  </si>
  <si>
    <t xml:space="preserve">10.92</t>
  </si>
  <si>
    <t xml:space="preserve">6.17604405897854</t>
  </si>
  <si>
    <t xml:space="preserve">6275_20220331</t>
  </si>
  <si>
    <t xml:space="preserve">1.0989049656570207</t>
  </si>
  <si>
    <t xml:space="preserve">24050</t>
  </si>
  <si>
    <t xml:space="preserve">12501</t>
  </si>
  <si>
    <t xml:space="preserve">281069</t>
  </si>
  <si>
    <t xml:space="preserve">THE NATIONAL BANK OF MIDDLEBURY</t>
  </si>
  <si>
    <t xml:space="preserve">0.6337264947641031</t>
  </si>
  <si>
    <t xml:space="preserve">2.5345588039532965</t>
  </si>
  <si>
    <t xml:space="preserve">381</t>
  </si>
  <si>
    <t xml:space="preserve">6.87</t>
  </si>
  <si>
    <t xml:space="preserve">9.67999238077097</t>
  </si>
  <si>
    <t xml:space="preserve">6280_20220331</t>
  </si>
  <si>
    <t xml:space="preserve">1.3348398030828827</t>
  </si>
  <si>
    <t xml:space="preserve">2686</t>
  </si>
  <si>
    <t xml:space="preserve">1876</t>
  </si>
  <si>
    <t xml:space="preserve">61128</t>
  </si>
  <si>
    <t xml:space="preserve">THE FIRST NATIONAL BANK OF ORWELL</t>
  </si>
  <si>
    <t xml:space="preserve">1.3493664756678234</t>
  </si>
  <si>
    <t xml:space="preserve">3.8404763381504683</t>
  </si>
  <si>
    <t xml:space="preserve">644</t>
  </si>
  <si>
    <t xml:space="preserve">12.54</t>
  </si>
  <si>
    <t xml:space="preserve">12.082327363772599</t>
  </si>
  <si>
    <t xml:space="preserve">11971_20220630</t>
  </si>
  <si>
    <t xml:space="preserve">0.8699240848787522</t>
  </si>
  <si>
    <t xml:space="preserve">204215</t>
  </si>
  <si>
    <t xml:space="preserve">8150</t>
  </si>
  <si>
    <t xml:space="preserve">2707057</t>
  </si>
  <si>
    <t xml:space="preserve">0.31481467240708166</t>
  </si>
  <si>
    <t xml:space="preserve">3.1430121951366146</t>
  </si>
  <si>
    <t xml:space="preserve">-127</t>
  </si>
  <si>
    <t xml:space="preserve">1169</t>
  </si>
  <si>
    <t xml:space="preserve">9.3</t>
  </si>
  <si>
    <t xml:space="preserve">9.79596027479092</t>
  </si>
  <si>
    <t xml:space="preserve">12874_20220630</t>
  </si>
  <si>
    <t xml:space="preserve">1.0582332905545537</t>
  </si>
  <si>
    <t xml:space="preserve">135529</t>
  </si>
  <si>
    <t xml:space="preserve">5199</t>
  </si>
  <si>
    <t xml:space="preserve">730867</t>
  </si>
  <si>
    <t xml:space="preserve">0.12630570040775216</t>
  </si>
  <si>
    <t xml:space="preserve">3.500294111077191</t>
  </si>
  <si>
    <t xml:space="preserve">-13</t>
  </si>
  <si>
    <t xml:space="preserve">242</t>
  </si>
  <si>
    <t xml:space="preserve">8.85</t>
  </si>
  <si>
    <t xml:space="preserve">7.688724139658368</t>
  </si>
  <si>
    <t xml:space="preserve">13063_20220630</t>
  </si>
  <si>
    <t xml:space="preserve">1.179600767559831</t>
  </si>
  <si>
    <t xml:space="preserve">51462</t>
  </si>
  <si>
    <t xml:space="preserve">893</t>
  </si>
  <si>
    <t xml:space="preserve">1248323</t>
  </si>
  <si>
    <t xml:space="preserve">0.11605225993173024</t>
  </si>
  <si>
    <t xml:space="preserve">3.3480286364921783</t>
  </si>
  <si>
    <t xml:space="preserve">7.06</t>
  </si>
  <si>
    <t xml:space="preserve">11.306188031508405</t>
  </si>
  <si>
    <t xml:space="preserve">14134_20220630</t>
  </si>
  <si>
    <t xml:space="preserve">1.3431228617070126</t>
  </si>
  <si>
    <t xml:space="preserve">33956</t>
  </si>
  <si>
    <t xml:space="preserve">24559</t>
  </si>
  <si>
    <t xml:space="preserve">610177</t>
  </si>
  <si>
    <t xml:space="preserve">1.4322116659444706</t>
  </si>
  <si>
    <t xml:space="preserve">2.909487993389981</t>
  </si>
  <si>
    <t xml:space="preserve">295</t>
  </si>
  <si>
    <t xml:space="preserve">3228</t>
  </si>
  <si>
    <t xml:space="preserve">-7.73</t>
  </si>
  <si>
    <t xml:space="preserve">7.183838383838384</t>
  </si>
  <si>
    <t xml:space="preserve">14136_20220630</t>
  </si>
  <si>
    <t xml:space="preserve">1.0763110756131793</t>
  </si>
  <si>
    <t xml:space="preserve">13764</t>
  </si>
  <si>
    <t xml:space="preserve">12183</t>
  </si>
  <si>
    <t xml:space="preserve">127571</t>
  </si>
  <si>
    <t xml:space="preserve">0.6536961359812034</t>
  </si>
  <si>
    <t xml:space="preserve">3.4791873074469675</t>
  </si>
  <si>
    <t xml:space="preserve">3.62</t>
  </si>
  <si>
    <t xml:space="preserve">8.16678268133092</t>
  </si>
  <si>
    <t xml:space="preserve">14140_20220630</t>
  </si>
  <si>
    <t xml:space="preserve">1.0967850139867525</t>
  </si>
  <si>
    <t xml:space="preserve">88677</t>
  </si>
  <si>
    <t xml:space="preserve">1269</t>
  </si>
  <si>
    <t xml:space="preserve">955320</t>
  </si>
  <si>
    <t xml:space="preserve">0.2790103466768263</t>
  </si>
  <si>
    <t xml:space="preserve">3.0363997512209298</t>
  </si>
  <si>
    <t xml:space="preserve">26</t>
  </si>
  <si>
    <t xml:space="preserve">499</t>
  </si>
  <si>
    <t xml:space="preserve">7.9</t>
  </si>
  <si>
    <t xml:space="preserve">6.347276632114869</t>
  </si>
  <si>
    <t xml:space="preserve">14158_20220630</t>
  </si>
  <si>
    <t xml:space="preserve">1.0134076012860798</t>
  </si>
  <si>
    <t xml:space="preserve">44278</t>
  </si>
  <si>
    <t xml:space="preserve">2085</t>
  </si>
  <si>
    <t xml:space="preserve">814626</t>
  </si>
  <si>
    <t xml:space="preserve">0.18530534675794627</t>
  </si>
  <si>
    <t xml:space="preserve">3.3544119376732127</t>
  </si>
  <si>
    <t xml:space="preserve">849</t>
  </si>
  <si>
    <t xml:space="preserve">13.45</t>
  </si>
  <si>
    <t xml:space="preserve">8.818514871201726</t>
  </si>
  <si>
    <t xml:space="preserve">14168_20220630</t>
  </si>
  <si>
    <t xml:space="preserve">1.4474640748080505</t>
  </si>
  <si>
    <t xml:space="preserve">11194</t>
  </si>
  <si>
    <t xml:space="preserve">8894</t>
  </si>
  <si>
    <t xml:space="preserve">197927</t>
  </si>
  <si>
    <t xml:space="preserve">0.549209795154207</t>
  </si>
  <si>
    <t xml:space="preserve">2.670353332316835</t>
  </si>
  <si>
    <t xml:space="preserve">467</t>
  </si>
  <si>
    <t xml:space="preserve">3.41</t>
  </si>
  <si>
    <t xml:space="preserve">7.23218473575905</t>
  </si>
  <si>
    <t xml:space="preserve">14240_20220630</t>
  </si>
  <si>
    <t xml:space="preserve">1.139372951350951</t>
  </si>
  <si>
    <t xml:space="preserve">24677</t>
  </si>
  <si>
    <t xml:space="preserve">17572</t>
  </si>
  <si>
    <t xml:space="preserve">854140</t>
  </si>
  <si>
    <t xml:space="preserve">0.22268930906127893</t>
  </si>
  <si>
    <t xml:space="preserve">2.9104989861578705</t>
  </si>
  <si>
    <t xml:space="preserve">-78</t>
  </si>
  <si>
    <t xml:space="preserve">733</t>
  </si>
  <si>
    <t xml:space="preserve">-0.55</t>
  </si>
  <si>
    <t xml:space="preserve">-0.07</t>
  </si>
  <si>
    <t xml:space="preserve">8.515742161734673</t>
  </si>
  <si>
    <t xml:space="preserve">17115_20220630</t>
  </si>
  <si>
    <t xml:space="preserve">1.0288152350366784</t>
  </si>
  <si>
    <t xml:space="preserve">45258</t>
  </si>
  <si>
    <t xml:space="preserve">3773</t>
  </si>
  <si>
    <t xml:space="preserve">729767</t>
  </si>
  <si>
    <t xml:space="preserve">0.02129237963363545</t>
  </si>
  <si>
    <t xml:space="preserve">3.531200652154282</t>
  </si>
  <si>
    <t xml:space="preserve">196</t>
  </si>
  <si>
    <t xml:space="preserve">394</t>
  </si>
  <si>
    <t xml:space="preserve">4.33</t>
  </si>
  <si>
    <t xml:space="preserve">9.149515674424004</t>
  </si>
  <si>
    <t xml:space="preserve">17180_20220630</t>
  </si>
  <si>
    <t xml:space="preserve">0.9201888096579239</t>
  </si>
  <si>
    <t xml:space="preserve">44037</t>
  </si>
  <si>
    <t xml:space="preserve">170718</t>
  </si>
  <si>
    <t xml:space="preserve">1208418</t>
  </si>
  <si>
    <t xml:space="preserve">0.4506244050503386</t>
  </si>
  <si>
    <t xml:space="preserve">3.5802199658085883</t>
  </si>
  <si>
    <t xml:space="preserve">88</t>
  </si>
  <si>
    <t xml:space="preserve">692</t>
  </si>
  <si>
    <t xml:space="preserve">7.8</t>
  </si>
  <si>
    <t xml:space="preserve">11.431732771891696</t>
  </si>
  <si>
    <t xml:space="preserve">17443_20220630</t>
  </si>
  <si>
    <t xml:space="preserve">0.8515016772798143</t>
  </si>
  <si>
    <t xml:space="preserve">1410</t>
  </si>
  <si>
    <t xml:space="preserve">188865</t>
  </si>
  <si>
    <t xml:space="preserve">0.09344469701344449</t>
  </si>
  <si>
    <t xml:space="preserve">2.0785312041965596</t>
  </si>
  <si>
    <t xml:space="preserve">141</t>
  </si>
  <si>
    <t xml:space="preserve">4.86</t>
  </si>
  <si>
    <t xml:space="preserve">11.144945293844701</t>
  </si>
  <si>
    <t xml:space="preserve">17658_20220630</t>
  </si>
  <si>
    <t xml:space="preserve">0.8121793596352292</t>
  </si>
  <si>
    <t xml:space="preserve">78762</t>
  </si>
  <si>
    <t xml:space="preserve">60843</t>
  </si>
  <si>
    <t xml:space="preserve">1131615</t>
  </si>
  <si>
    <t xml:space="preserve">0.04549115990186531</t>
  </si>
  <si>
    <t xml:space="preserve">3.441711804720757</t>
  </si>
  <si>
    <t xml:space="preserve">3501</t>
  </si>
  <si>
    <t xml:space="preserve">-1.03</t>
  </si>
  <si>
    <t xml:space="preserve">12.865964409736113</t>
  </si>
  <si>
    <t xml:space="preserve">17741_20220630</t>
  </si>
  <si>
    <t xml:space="preserve">0.9719106322421224</t>
  </si>
  <si>
    <t xml:space="preserve">42508</t>
  </si>
  <si>
    <t xml:space="preserve">3332</t>
  </si>
  <si>
    <t xml:space="preserve">791890</t>
  </si>
  <si>
    <t xml:space="preserve">0.2434778693998214</t>
  </si>
  <si>
    <t xml:space="preserve">3.358459239113185</t>
  </si>
  <si>
    <t xml:space="preserve">1852</t>
  </si>
  <si>
    <t xml:space="preserve">4.32</t>
  </si>
  <si>
    <t xml:space="preserve">-0.01</t>
  </si>
  <si>
    <t xml:space="preserve">9.939011169058562</t>
  </si>
  <si>
    <t xml:space="preserve">17743_20220630</t>
  </si>
  <si>
    <t xml:space="preserve">0.5204606974152115</t>
  </si>
  <si>
    <t xml:space="preserve">10654</t>
  </si>
  <si>
    <t xml:space="preserve">5546</t>
  </si>
  <si>
    <t xml:space="preserve">937147</t>
  </si>
  <si>
    <t xml:space="preserve">0.3162252534366541</t>
  </si>
  <si>
    <t xml:space="preserve">2.8012173068243085</t>
  </si>
  <si>
    <t xml:space="preserve">735</t>
  </si>
  <si>
    <t xml:space="preserve">2.81</t>
  </si>
  <si>
    <t xml:space="preserve">7.264793278788733</t>
  </si>
  <si>
    <t xml:space="preserve">17748_20220630</t>
  </si>
  <si>
    <t xml:space="preserve">0.8316537641004784</t>
  </si>
  <si>
    <t xml:space="preserve">151034</t>
  </si>
  <si>
    <t xml:space="preserve">2941</t>
  </si>
  <si>
    <t xml:space="preserve">1160705</t>
  </si>
  <si>
    <t xml:space="preserve">0.6512086490624458</t>
  </si>
  <si>
    <t xml:space="preserve">3.1361009667049378</t>
  </si>
  <si>
    <t xml:space="preserve">100</t>
  </si>
  <si>
    <t xml:space="preserve">1109</t>
  </si>
  <si>
    <t xml:space="preserve">2.56</t>
  </si>
  <si>
    <t xml:space="preserve">12.355928987403972</t>
  </si>
  <si>
    <t xml:space="preserve">17749_20220630</t>
  </si>
  <si>
    <t xml:space="preserve">1.4111398945036548</t>
  </si>
  <si>
    <t xml:space="preserve">51726</t>
  </si>
  <si>
    <t xml:space="preserve">10530</t>
  </si>
  <si>
    <t xml:space="preserve">683137</t>
  </si>
  <si>
    <t xml:space="preserve">0.039976043237626546</t>
  </si>
  <si>
    <t xml:space="preserve">2.8319691373300917</t>
  </si>
  <si>
    <t xml:space="preserve">253</t>
  </si>
  <si>
    <t xml:space="preserve">-1.15</t>
  </si>
  <si>
    <t xml:space="preserve">8.850679177617844</t>
  </si>
  <si>
    <t xml:space="preserve">17751_20220630</t>
  </si>
  <si>
    <t xml:space="preserve">1.0585883014324884</t>
  </si>
  <si>
    <t xml:space="preserve">116943</t>
  </si>
  <si>
    <t xml:space="preserve">3247</t>
  </si>
  <si>
    <t xml:space="preserve">1119342</t>
  </si>
  <si>
    <t xml:space="preserve">0.13462174207428856</t>
  </si>
  <si>
    <t xml:space="preserve">3.0214591664733708</t>
  </si>
  <si>
    <t xml:space="preserve">-244</t>
  </si>
  <si>
    <t xml:space="preserve">2004</t>
  </si>
  <si>
    <t xml:space="preserve">6.04</t>
  </si>
  <si>
    <t xml:space="preserve">12.493822421297484</t>
  </si>
  <si>
    <t xml:space="preserve">17897_20220630</t>
  </si>
  <si>
    <t xml:space="preserve">0.6211340065406347</t>
  </si>
  <si>
    <t xml:space="preserve">59285</t>
  </si>
  <si>
    <t xml:space="preserve">2829</t>
  </si>
  <si>
    <t xml:space="preserve">1273567</t>
  </si>
  <si>
    <t xml:space="preserve">0.30705556730369316</t>
  </si>
  <si>
    <t xml:space="preserve">3.2193162686074697</t>
  </si>
  <si>
    <t xml:space="preserve">11</t>
  </si>
  <si>
    <t xml:space="preserve">1718</t>
  </si>
  <si>
    <t xml:space="preserve">-4.54</t>
  </si>
  <si>
    <t xml:space="preserve">7.422947144032649</t>
  </si>
  <si>
    <t xml:space="preserve">17951_20220630</t>
  </si>
  <si>
    <t xml:space="preserve">0.8144951909797881</t>
  </si>
  <si>
    <t xml:space="preserve">24396</t>
  </si>
  <si>
    <t xml:space="preserve">1572</t>
  </si>
  <si>
    <t xml:space="preserve">484788</t>
  </si>
  <si>
    <t xml:space="preserve">0.15999378029294</t>
  </si>
  <si>
    <t xml:space="preserve">3.1815138322077905</t>
  </si>
  <si>
    <t xml:space="preserve">31</t>
  </si>
  <si>
    <t xml:space="preserve">11.53</t>
  </si>
  <si>
    <t xml:space="preserve">0.11</t>
  </si>
  <si>
    <t xml:space="preserve">8.487202167062856</t>
  </si>
  <si>
    <t xml:space="preserve">17960_20220630</t>
  </si>
  <si>
    <t xml:space="preserve">0.9870790296410623</t>
  </si>
  <si>
    <t xml:space="preserve">101427</t>
  </si>
  <si>
    <t xml:space="preserve">165699</t>
  </si>
  <si>
    <t xml:space="preserve">1000783</t>
  </si>
  <si>
    <t xml:space="preserve">0.08112707269777197</t>
  </si>
  <si>
    <t xml:space="preserve">3.6123703271062673</t>
  </si>
  <si>
    <t xml:space="preserve">818</t>
  </si>
  <si>
    <t xml:space="preserve">8.65</t>
  </si>
  <si>
    <t xml:space="preserve">9.742351521358135</t>
  </si>
  <si>
    <t xml:space="preserve">18012_20220630</t>
  </si>
  <si>
    <t xml:space="preserve">1.2061077333660217</t>
  </si>
  <si>
    <t xml:space="preserve">53604</t>
  </si>
  <si>
    <t xml:space="preserve">35736</t>
  </si>
  <si>
    <t xml:space="preserve">1869790</t>
  </si>
  <si>
    <t xml:space="preserve">0.05981136172823133</t>
  </si>
  <si>
    <t xml:space="preserve">3.5534284616975396</t>
  </si>
  <si>
    <t xml:space="preserve">2539</t>
  </si>
  <si>
    <t xml:space="preserve">12.6</t>
  </si>
  <si>
    <t xml:space="preserve">7.552958588411675</t>
  </si>
  <si>
    <t xml:space="preserve">18013_20220630</t>
  </si>
  <si>
    <t xml:space="preserve">0.9225485223373144</t>
  </si>
  <si>
    <t xml:space="preserve">113370</t>
  </si>
  <si>
    <t xml:space="preserve">12266</t>
  </si>
  <si>
    <t xml:space="preserve">2000239</t>
  </si>
  <si>
    <t xml:space="preserve">0.11328152862203696</t>
  </si>
  <si>
    <t xml:space="preserve">3.1039383031798597</t>
  </si>
  <si>
    <t xml:space="preserve">-43</t>
  </si>
  <si>
    <t xml:space="preserve">3104</t>
  </si>
  <si>
    <t xml:space="preserve">9.07</t>
  </si>
  <si>
    <t xml:space="preserve">-0.02</t>
  </si>
  <si>
    <t xml:space="preserve">10.097178924171834</t>
  </si>
  <si>
    <t xml:space="preserve">18028_20220630</t>
  </si>
  <si>
    <t xml:space="preserve">0.9015749504320827</t>
  </si>
  <si>
    <t xml:space="preserve">16916</t>
  </si>
  <si>
    <t xml:space="preserve">6431</t>
  </si>
  <si>
    <t xml:space="preserve">238410</t>
  </si>
  <si>
    <t xml:space="preserve">0.4580615930733772</t>
  </si>
  <si>
    <t xml:space="preserve">3.219510523199022</t>
  </si>
  <si>
    <t xml:space="preserve">61</t>
  </si>
  <si>
    <t xml:space="preserve">879</t>
  </si>
  <si>
    <t xml:space="preserve">6.26</t>
  </si>
  <si>
    <t xml:space="preserve">6.503463357042741</t>
  </si>
  <si>
    <t xml:space="preserve">18030_20220630</t>
  </si>
  <si>
    <t xml:space="preserve">0.9277778645874025</t>
  </si>
  <si>
    <t xml:space="preserve">28037</t>
  </si>
  <si>
    <t xml:space="preserve">84156</t>
  </si>
  <si>
    <t xml:space="preserve">507226</t>
  </si>
  <si>
    <t xml:space="preserve">0.11016141381627263</t>
  </si>
  <si>
    <t xml:space="preserve">3.0189317106152807</t>
  </si>
  <si>
    <t xml:space="preserve">-30</t>
  </si>
  <si>
    <t xml:space="preserve">123</t>
  </si>
  <si>
    <t xml:space="preserve">5.29</t>
  </si>
  <si>
    <t xml:space="preserve">6.374152513313376</t>
  </si>
  <si>
    <t xml:space="preserve">18031_20220630</t>
  </si>
  <si>
    <t xml:space="preserve">1.1769329562282</t>
  </si>
  <si>
    <t xml:space="preserve">30545</t>
  </si>
  <si>
    <t xml:space="preserve">8127</t>
  </si>
  <si>
    <t xml:space="preserve">422436</t>
  </si>
  <si>
    <t xml:space="preserve">0.1232843704894179</t>
  </si>
  <si>
    <t xml:space="preserve">2.9103451448524487</t>
  </si>
  <si>
    <t xml:space="preserve">1081</t>
  </si>
  <si>
    <t xml:space="preserve">6.21</t>
  </si>
  <si>
    <t xml:space="preserve">-0.13</t>
  </si>
  <si>
    <t xml:space="preserve">13.158497761700943</t>
  </si>
  <si>
    <t xml:space="preserve">18038_20220630</t>
  </si>
  <si>
    <t xml:space="preserve">1.106684737223979</t>
  </si>
  <si>
    <t xml:space="preserve">17550</t>
  </si>
  <si>
    <t xml:space="preserve">3145</t>
  </si>
  <si>
    <t xml:space="preserve">361193</t>
  </si>
  <si>
    <t xml:space="preserve">0.6812052514134735</t>
  </si>
  <si>
    <t xml:space="preserve">3.1604360231180046</t>
  </si>
  <si>
    <t xml:space="preserve">-72</t>
  </si>
  <si>
    <t xml:space="preserve">680</t>
  </si>
  <si>
    <t xml:space="preserve">-8.88</t>
  </si>
  <si>
    <t xml:space="preserve">-0.14</t>
  </si>
  <si>
    <t xml:space="preserve">5.68065481953057</t>
  </si>
  <si>
    <t xml:space="preserve">18408_20220630</t>
  </si>
  <si>
    <t xml:space="preserve">1.0504414333623253</t>
  </si>
  <si>
    <t xml:space="preserve">300704</t>
  </si>
  <si>
    <t xml:space="preserve">28143</t>
  </si>
  <si>
    <t xml:space="preserve">4174105</t>
  </si>
  <si>
    <t xml:space="preserve">0.07789651900227028</t>
  </si>
  <si>
    <t xml:space="preserve">2.7118700858047897</t>
  </si>
  <si>
    <t xml:space="preserve">330</t>
  </si>
  <si>
    <t xml:space="preserve">2128</t>
  </si>
  <si>
    <t xml:space="preserve">10.28</t>
  </si>
  <si>
    <t xml:space="preserve">9.772343954113161</t>
  </si>
  <si>
    <t xml:space="preserve">19531_20220630</t>
  </si>
  <si>
    <t xml:space="preserve">1.337865987864061</t>
  </si>
  <si>
    <t xml:space="preserve">242350</t>
  </si>
  <si>
    <t xml:space="preserve">12873</t>
  </si>
  <si>
    <t xml:space="preserve">1741067</t>
  </si>
  <si>
    <t xml:space="preserve">0.32583885087120806</t>
  </si>
  <si>
    <t xml:space="preserve">3.5309272680306814</t>
  </si>
  <si>
    <t xml:space="preserve">33</t>
  </si>
  <si>
    <t xml:space="preserve">3231</t>
  </si>
  <si>
    <t xml:space="preserve">3.85</t>
  </si>
  <si>
    <t xml:space="preserve">11.92773895245872</t>
  </si>
  <si>
    <t xml:space="preserve">19532_20220630</t>
  </si>
  <si>
    <t xml:space="preserve">1.1473548337005153</t>
  </si>
  <si>
    <t xml:space="preserve">22566</t>
  </si>
  <si>
    <t xml:space="preserve">41806</t>
  </si>
  <si>
    <t xml:space="preserve">509274</t>
  </si>
  <si>
    <t xml:space="preserve">0.15217834370177705</t>
  </si>
  <si>
    <t xml:space="preserve">3.2143821469369858</t>
  </si>
  <si>
    <t xml:space="preserve">596</t>
  </si>
  <si>
    <t xml:space="preserve">3.8</t>
  </si>
  <si>
    <t xml:space="preserve">-0.15</t>
  </si>
  <si>
    <t xml:space="preserve">15.689122601735326</t>
  </si>
  <si>
    <t xml:space="preserve">19690_20220630</t>
  </si>
  <si>
    <t xml:space="preserve">0.3853269224579382</t>
  </si>
  <si>
    <t xml:space="preserve">24614</t>
  </si>
  <si>
    <t xml:space="preserve">719</t>
  </si>
  <si>
    <t xml:space="preserve">1299838</t>
  </si>
  <si>
    <t xml:space="preserve">0.9921325254853754</t>
  </si>
  <si>
    <t xml:space="preserve">6.028078557567399</t>
  </si>
  <si>
    <t xml:space="preserve">-155</t>
  </si>
  <si>
    <t xml:space="preserve">590</t>
  </si>
  <si>
    <t xml:space="preserve">17.05</t>
  </si>
  <si>
    <t xml:space="preserve">20.621520844010107</t>
  </si>
  <si>
    <t xml:space="preserve">19836_20220630</t>
  </si>
  <si>
    <t xml:space="preserve">0.864915692897268</t>
  </si>
  <si>
    <t xml:space="preserve">49522</t>
  </si>
  <si>
    <t xml:space="preserve">11852</t>
  </si>
  <si>
    <t xml:space="preserve">447011</t>
  </si>
  <si>
    <t xml:space="preserve">0.3736879339825376</t>
  </si>
  <si>
    <t xml:space="preserve">3.968270421346038</t>
  </si>
  <si>
    <t xml:space="preserve">-18</t>
  </si>
  <si>
    <t xml:space="preserve">1378</t>
  </si>
  <si>
    <t xml:space="preserve">16.109679686601705</t>
  </si>
  <si>
    <t xml:space="preserve">24540_20220630</t>
  </si>
  <si>
    <t xml:space="preserve">1.2160803730618899</t>
  </si>
  <si>
    <t xml:space="preserve">42956</t>
  </si>
  <si>
    <t xml:space="preserve">114</t>
  </si>
  <si>
    <t xml:space="preserve">1028877</t>
  </si>
  <si>
    <t xml:space="preserve">0.07508091360606331</t>
  </si>
  <si>
    <t xml:space="preserve">4.29022601129675</t>
  </si>
  <si>
    <t xml:space="preserve">-15</t>
  </si>
  <si>
    <t xml:space="preserve">13.94</t>
  </si>
  <si>
    <t xml:space="preserve">14.385675189083589</t>
  </si>
  <si>
    <t xml:space="preserve">27824_20220630</t>
  </si>
  <si>
    <t xml:space="preserve">0.8080286994949162</t>
  </si>
  <si>
    <t xml:space="preserve">22410</t>
  </si>
  <si>
    <t xml:space="preserve">28849</t>
  </si>
  <si>
    <t xml:space="preserve">376867</t>
  </si>
  <si>
    <t xml:space="preserve">0.2266165180016687</t>
  </si>
  <si>
    <t xml:space="preserve">2.9356123296963994</t>
  </si>
  <si>
    <t xml:space="preserve">848</t>
  </si>
  <si>
    <t xml:space="preserve">2.53</t>
  </si>
  <si>
    <t xml:space="preserve">9.20093701197293</t>
  </si>
  <si>
    <t xml:space="preserve">28155_20220630</t>
  </si>
  <si>
    <t xml:space="preserve">0.5768768528162808</t>
  </si>
  <si>
    <t xml:space="preserve">5461</t>
  </si>
  <si>
    <t xml:space="preserve">4201</t>
  </si>
  <si>
    <t xml:space="preserve">148908</t>
  </si>
  <si>
    <t xml:space="preserve">0.008012178511337233</t>
  </si>
  <si>
    <t xml:space="preserve">2.6851475459664096</t>
  </si>
  <si>
    <t xml:space="preserve">5</t>
  </si>
  <si>
    <t xml:space="preserve">958</t>
  </si>
  <si>
    <t xml:space="preserve">2.69</t>
  </si>
  <si>
    <t xml:space="preserve">6.680446381297601</t>
  </si>
  <si>
    <t xml:space="preserve">28288_20220630</t>
  </si>
  <si>
    <t xml:space="preserve">1.114899464588978</t>
  </si>
  <si>
    <t xml:space="preserve">3133</t>
  </si>
  <si>
    <t xml:space="preserve">518</t>
  </si>
  <si>
    <t xml:space="preserve">76277</t>
  </si>
  <si>
    <t xml:space="preserve">0.5289290483166315</t>
  </si>
  <si>
    <t xml:space="preserve">3.521506075340914</t>
  </si>
  <si>
    <t xml:space="preserve">38</t>
  </si>
  <si>
    <t xml:space="preserve">1.28</t>
  </si>
  <si>
    <t xml:space="preserve">10.703563653030825</t>
  </si>
  <si>
    <t xml:space="preserve">28369_20220630</t>
  </si>
  <si>
    <t xml:space="preserve">0.7887877505902261</t>
  </si>
  <si>
    <t xml:space="preserve">10612</t>
  </si>
  <si>
    <t xml:space="preserve">917</t>
  </si>
  <si>
    <t xml:space="preserve">72699</t>
  </si>
  <si>
    <t xml:space="preserve">0.5076627045321178</t>
  </si>
  <si>
    <t xml:space="preserve">3.6061876394302668</t>
  </si>
  <si>
    <t xml:space="preserve">89</t>
  </si>
  <si>
    <t xml:space="preserve">-0.28</t>
  </si>
  <si>
    <t xml:space="preserve">7.7073549735628</t>
  </si>
  <si>
    <t xml:space="preserve">28837_20220630</t>
  </si>
  <si>
    <t xml:space="preserve">1.2038357355272016</t>
  </si>
  <si>
    <t xml:space="preserve">6574</t>
  </si>
  <si>
    <t xml:space="preserve">1145</t>
  </si>
  <si>
    <t xml:space="preserve">186376</t>
  </si>
  <si>
    <t xml:space="preserve">2.603549735704557</t>
  </si>
  <si>
    <t xml:space="preserve">135</t>
  </si>
  <si>
    <t xml:space="preserve">65</t>
  </si>
  <si>
    <t xml:space="preserve">4.96</t>
  </si>
  <si>
    <t xml:space="preserve">13.123860918489653</t>
  </si>
  <si>
    <t xml:space="preserve">29636_20220630</t>
  </si>
  <si>
    <t xml:space="preserve">1.5100551062763903</t>
  </si>
  <si>
    <t xml:space="preserve">1377</t>
  </si>
  <si>
    <t xml:space="preserve">2115</t>
  </si>
  <si>
    <t xml:space="preserve">110096</t>
  </si>
  <si>
    <t xml:space="preserve">1.8929363772990766</t>
  </si>
  <si>
    <t xml:space="preserve">3.0327020982738793</t>
  </si>
  <si>
    <t xml:space="preserve">0.99</t>
  </si>
  <si>
    <t xml:space="preserve">8.218527852807885</t>
  </si>
  <si>
    <t xml:space="preserve">29743_20220630</t>
  </si>
  <si>
    <t xml:space="preserve">0.36348949919224555</t>
  </si>
  <si>
    <t xml:space="preserve">21981</t>
  </si>
  <si>
    <t xml:space="preserve">18389</t>
  </si>
  <si>
    <t xml:space="preserve">118416</t>
  </si>
  <si>
    <t xml:space="preserve">0.3929388799138395</t>
  </si>
  <si>
    <t xml:space="preserve">2.561073793950506</t>
  </si>
  <si>
    <t xml:space="preserve">98</t>
  </si>
  <si>
    <t xml:space="preserve">84</t>
  </si>
  <si>
    <t xml:space="preserve">8.46</t>
  </si>
  <si>
    <t xml:space="preserve">8.362105114649507</t>
  </si>
  <si>
    <t xml:space="preserve">29744_20220630</t>
  </si>
  <si>
    <t xml:space="preserve">0.9473681473140566</t>
  </si>
  <si>
    <t xml:space="preserve">24641</t>
  </si>
  <si>
    <t xml:space="preserve">7166</t>
  </si>
  <si>
    <t xml:space="preserve">380896</t>
  </si>
  <si>
    <t xml:space="preserve">0.15655109104668186</t>
  </si>
  <si>
    <t xml:space="preserve">3.1805264117919805</t>
  </si>
  <si>
    <t xml:space="preserve">10</t>
  </si>
  <si>
    <t xml:space="preserve">2.74</t>
  </si>
  <si>
    <t xml:space="preserve">9.38386689581823</t>
  </si>
  <si>
    <t xml:space="preserve">30350_20220630</t>
  </si>
  <si>
    <t xml:space="preserve">1.3722224019148042</t>
  </si>
  <si>
    <t xml:space="preserve">10553</t>
  </si>
  <si>
    <t xml:space="preserve">876</t>
  </si>
  <si>
    <t xml:space="preserve">365913</t>
  </si>
  <si>
    <t xml:space="preserve">0.7326066565320051</t>
  </si>
  <si>
    <t xml:space="preserve">2.7224935742628844</t>
  </si>
  <si>
    <t xml:space="preserve">213</t>
  </si>
  <si>
    <t xml:space="preserve">662</t>
  </si>
  <si>
    <t xml:space="preserve">12.307539682539682</t>
  </si>
  <si>
    <t xml:space="preserve">30878_20220630</t>
  </si>
  <si>
    <t xml:space="preserve">1.1080485115766263</t>
  </si>
  <si>
    <t xml:space="preserve">92</t>
  </si>
  <si>
    <t xml:space="preserve">71756</t>
  </si>
  <si>
    <t xml:space="preserve">0.6422271223814774</t>
  </si>
  <si>
    <t xml:space="preserve">2.047452150817338</t>
  </si>
  <si>
    <t xml:space="preserve">361</t>
  </si>
  <si>
    <t xml:space="preserve">2.51</t>
  </si>
  <si>
    <t xml:space="preserve">8.10972828743797</t>
  </si>
  <si>
    <t xml:space="preserve">33418_20220630</t>
  </si>
  <si>
    <t xml:space="preserve">2.1032289324972253</t>
  </si>
  <si>
    <t xml:space="preserve">40513</t>
  </si>
  <si>
    <t xml:space="preserve">13342</t>
  </si>
  <si>
    <t xml:space="preserve">347512</t>
  </si>
  <si>
    <t xml:space="preserve">0.7470885519666007</t>
  </si>
  <si>
    <t xml:space="preserve">2.716920402049042</t>
  </si>
  <si>
    <t xml:space="preserve">497</t>
  </si>
  <si>
    <t xml:space="preserve">14.67</t>
  </si>
  <si>
    <t xml:space="preserve">92.04252525737708</t>
  </si>
  <si>
    <t xml:space="preserve">35206_20220630</t>
  </si>
  <si>
    <t xml:space="preserve">FIDELITY PERSONAL TRUST COMPANY, FSB</t>
  </si>
  <si>
    <t xml:space="preserve">3.172668325799516</t>
  </si>
  <si>
    <t xml:space="preserve">2.59</t>
  </si>
  <si>
    <t xml:space="preserve">8.451394162144245</t>
  </si>
  <si>
    <t xml:space="preserve">4255_20220630</t>
  </si>
  <si>
    <t xml:space="preserve">0.9186689333820157</t>
  </si>
  <si>
    <t xml:space="preserve">338478</t>
  </si>
  <si>
    <t xml:space="preserve">19646</t>
  </si>
  <si>
    <t xml:space="preserve">3693323</t>
  </si>
  <si>
    <t xml:space="preserve">0.09402916164887178</t>
  </si>
  <si>
    <t xml:space="preserve">2.9344223980411077</t>
  </si>
  <si>
    <t xml:space="preserve">287</t>
  </si>
  <si>
    <t xml:space="preserve">2175</t>
  </si>
  <si>
    <t xml:space="preserve">13.12</t>
  </si>
  <si>
    <t xml:space="preserve">7.663266685902877</t>
  </si>
  <si>
    <t xml:space="preserve">4256_20220630</t>
  </si>
  <si>
    <t xml:space="preserve">0.9055674427235998</t>
  </si>
  <si>
    <t xml:space="preserve">229669</t>
  </si>
  <si>
    <t xml:space="preserve">21356</t>
  </si>
  <si>
    <t xml:space="preserve">1772843</t>
  </si>
  <si>
    <t xml:space="preserve">0.2732185457708139</t>
  </si>
  <si>
    <t xml:space="preserve">3.1307250423748574</t>
  </si>
  <si>
    <t xml:space="preserve">220</t>
  </si>
  <si>
    <t xml:space="preserve">997</t>
  </si>
  <si>
    <t xml:space="preserve">19.49</t>
  </si>
  <si>
    <t xml:space="preserve">0.16</t>
  </si>
  <si>
    <t xml:space="preserve">10.397201665987676</t>
  </si>
  <si>
    <t xml:space="preserve">59086_20220630</t>
  </si>
  <si>
    <t xml:space="preserve">1.1681442440015353</t>
  </si>
  <si>
    <t xml:space="preserve">114300</t>
  </si>
  <si>
    <t xml:space="preserve">527856</t>
  </si>
  <si>
    <t xml:space="preserve">0.06384631947499976</t>
  </si>
  <si>
    <t xml:space="preserve">3.412459440307321</t>
  </si>
  <si>
    <t xml:space="preserve">12.86</t>
  </si>
  <si>
    <t xml:space="preserve">0.32</t>
  </si>
  <si>
    <t xml:space="preserve">12.85911915182884</t>
  </si>
  <si>
    <t xml:space="preserve">59176_20220630</t>
  </si>
  <si>
    <t xml:space="preserve">0.8719153180399601</t>
  </si>
  <si>
    <t xml:space="preserve">18121</t>
  </si>
  <si>
    <t xml:space="preserve">123240</t>
  </si>
  <si>
    <t xml:space="preserve">0.03136964705125318</t>
  </si>
  <si>
    <t xml:space="preserve">3.1075444656769076</t>
  </si>
  <si>
    <t xml:space="preserve">1.23</t>
  </si>
  <si>
    <t xml:space="preserve">0.24</t>
  </si>
  <si>
    <t xml:space="preserve">8.622249895391416</t>
  </si>
  <si>
    <t xml:space="preserve">6271_20220630</t>
  </si>
  <si>
    <t xml:space="preserve">1.1692011429285556</t>
  </si>
  <si>
    <t xml:space="preserve">120847</t>
  </si>
  <si>
    <t xml:space="preserve">3287</t>
  </si>
  <si>
    <t xml:space="preserve">695923</t>
  </si>
  <si>
    <t xml:space="preserve">0.7265435500088049</t>
  </si>
  <si>
    <t xml:space="preserve">3.3012109092870214</t>
  </si>
  <si>
    <t xml:space="preserve">678</t>
  </si>
  <si>
    <t xml:space="preserve">1806</t>
  </si>
  <si>
    <t xml:space="preserve">12.71</t>
  </si>
  <si>
    <t xml:space="preserve">5.190576374122377</t>
  </si>
  <si>
    <t xml:space="preserve">6275_20220630</t>
  </si>
  <si>
    <t xml:space="preserve">0.9668143791790474</t>
  </si>
  <si>
    <t xml:space="preserve">24306</t>
  </si>
  <si>
    <t xml:space="preserve">12786</t>
  </si>
  <si>
    <t xml:space="preserve">288962</t>
  </si>
  <si>
    <t xml:space="preserve">0.545610950603702</t>
  </si>
  <si>
    <t xml:space="preserve">2.6357851323565415</t>
  </si>
  <si>
    <t xml:space="preserve">126</t>
  </si>
  <si>
    <t xml:space="preserve">8.86</t>
  </si>
  <si>
    <t xml:space="preserve">9.520054731617945</t>
  </si>
  <si>
    <t xml:space="preserve">6280_20220630</t>
  </si>
  <si>
    <t xml:space="preserve">1.3309728816287119</t>
  </si>
  <si>
    <t xml:space="preserve">3382</t>
  </si>
  <si>
    <t xml:space="preserve">2008</t>
  </si>
  <si>
    <t xml:space="preserve">61308</t>
  </si>
  <si>
    <t xml:space="preserve">1.2150961615836484</t>
  </si>
  <si>
    <t xml:space="preserve">3.968410175663042</t>
  </si>
  <si>
    <t xml:space="preserve">120</t>
  </si>
  <si>
    <t xml:space="preserve">14.37</t>
  </si>
  <si>
    <t xml:space="preserve">0.09</t>
  </si>
  <si>
    <t xml:space="preserve">11.322402890577868</t>
  </si>
  <si>
    <t xml:space="preserve">11971_20220930</t>
  </si>
  <si>
    <t xml:space="preserve">0.8774101775091483</t>
  </si>
  <si>
    <t xml:space="preserve">216709</t>
  </si>
  <si>
    <t xml:space="preserve">8133</t>
  </si>
  <si>
    <t xml:space="preserve">2826328</t>
  </si>
  <si>
    <t xml:space="preserve">0.28162138162117123</t>
  </si>
  <si>
    <t xml:space="preserve">3.303842589837933</t>
  </si>
  <si>
    <t xml:space="preserve">-83</t>
  </si>
  <si>
    <t xml:space="preserve">1064</t>
  </si>
  <si>
    <t xml:space="preserve">10.09</t>
  </si>
  <si>
    <t xml:space="preserve">9.70453205573866</t>
  </si>
  <si>
    <t xml:space="preserve">12874_20220930</t>
  </si>
  <si>
    <t xml:space="preserve">1.0735457097655217</t>
  </si>
  <si>
    <t xml:space="preserve">125703</t>
  </si>
  <si>
    <t xml:space="preserve">5372</t>
  </si>
  <si>
    <t xml:space="preserve">726597</t>
  </si>
  <si>
    <t xml:space="preserve">0.08414093197654945</t>
  </si>
  <si>
    <t xml:space="preserve">3.647985444361996</t>
  </si>
  <si>
    <t xml:space="preserve">774</t>
  </si>
  <si>
    <t xml:space="preserve">9.85</t>
  </si>
  <si>
    <t xml:space="preserve">7.022363131488267</t>
  </si>
  <si>
    <t xml:space="preserve">13063_20220930</t>
  </si>
  <si>
    <t xml:space="preserve">1.0452131596476943</t>
  </si>
  <si>
    <t xml:space="preserve">41370</t>
  </si>
  <si>
    <t xml:space="preserve">860</t>
  </si>
  <si>
    <t xml:space="preserve">1283499</t>
  </si>
  <si>
    <t xml:space="preserve">0.10200022204129967</t>
  </si>
  <si>
    <t xml:space="preserve">3.4335478478501975</t>
  </si>
  <si>
    <t xml:space="preserve">-161</t>
  </si>
  <si>
    <t xml:space="preserve">9.81</t>
  </si>
  <si>
    <t xml:space="preserve">10.917020672679005</t>
  </si>
  <si>
    <t xml:space="preserve">14134_20220930</t>
  </si>
  <si>
    <t xml:space="preserve">1.3553378293215652</t>
  </si>
  <si>
    <t xml:space="preserve">29795</t>
  </si>
  <si>
    <t xml:space="preserve">22934</t>
  </si>
  <si>
    <t xml:space="preserve">618286</t>
  </si>
  <si>
    <t xml:space="preserve">0.9880644116525549</t>
  </si>
  <si>
    <t xml:space="preserve">3.06728844867761</t>
  </si>
  <si>
    <t xml:space="preserve">332</t>
  </si>
  <si>
    <t xml:space="preserve">11227</t>
  </si>
  <si>
    <t xml:space="preserve">-4.85</t>
  </si>
  <si>
    <t xml:space="preserve">6.217024387002459</t>
  </si>
  <si>
    <t xml:space="preserve">14136_20220930</t>
  </si>
  <si>
    <t xml:space="preserve">0.9911536514795536</t>
  </si>
  <si>
    <t xml:space="preserve">12989</t>
  </si>
  <si>
    <t xml:space="preserve">12223</t>
  </si>
  <si>
    <t xml:space="preserve">131059</t>
  </si>
  <si>
    <t xml:space="preserve">0.6187155796964592</t>
  </si>
  <si>
    <t xml:space="preserve">3.5857559751799726</t>
  </si>
  <si>
    <t xml:space="preserve">458</t>
  </si>
  <si>
    <t xml:space="preserve">4.91</t>
  </si>
  <si>
    <t xml:space="preserve">7.460582971511089</t>
  </si>
  <si>
    <t xml:space="preserve">14140_20220930</t>
  </si>
  <si>
    <t xml:space="preserve">1.1005155605939991</t>
  </si>
  <si>
    <t xml:space="preserve">82112</t>
  </si>
  <si>
    <t xml:space="preserve">1215</t>
  </si>
  <si>
    <t xml:space="preserve">949170</t>
  </si>
  <si>
    <t xml:space="preserve">0.2560089691705601</t>
  </si>
  <si>
    <t xml:space="preserve">3.0766066056770436</t>
  </si>
  <si>
    <t xml:space="preserve">58</t>
  </si>
  <si>
    <t xml:space="preserve">8.14</t>
  </si>
  <si>
    <t xml:space="preserve">5.037850631972434</t>
  </si>
  <si>
    <t xml:space="preserve">14158_20220930</t>
  </si>
  <si>
    <t xml:space="preserve">0.884885330956663</t>
  </si>
  <si>
    <t xml:space="preserve">41999</t>
  </si>
  <si>
    <t xml:space="preserve">2028</t>
  </si>
  <si>
    <t xml:space="preserve">934155</t>
  </si>
  <si>
    <t xml:space="preserve">0.17920519472251842</t>
  </si>
  <si>
    <t xml:space="preserve">3.4255454515367085</t>
  </si>
  <si>
    <t xml:space="preserve">3371</t>
  </si>
  <si>
    <t xml:space="preserve">16.08</t>
  </si>
  <si>
    <t xml:space="preserve">8.170647287532253</t>
  </si>
  <si>
    <t xml:space="preserve">14168_20220930</t>
  </si>
  <si>
    <t xml:space="preserve">1.469341621927098</t>
  </si>
  <si>
    <t xml:space="preserve">10617</t>
  </si>
  <si>
    <t xml:space="preserve">8545</t>
  </si>
  <si>
    <t xml:space="preserve">195272</t>
  </si>
  <si>
    <t xml:space="preserve">0.6488919388043435</t>
  </si>
  <si>
    <t xml:space="preserve">2.8783067911572062</t>
  </si>
  <si>
    <t xml:space="preserve">52</t>
  </si>
  <si>
    <t xml:space="preserve">282</t>
  </si>
  <si>
    <t xml:space="preserve">5.07</t>
  </si>
  <si>
    <t xml:space="preserve">5.794838967976271</t>
  </si>
  <si>
    <t xml:space="preserve">14240_20220930</t>
  </si>
  <si>
    <t xml:space="preserve">1.1391837601429395</t>
  </si>
  <si>
    <t xml:space="preserve">23213</t>
  </si>
  <si>
    <t xml:space="preserve">16892</t>
  </si>
  <si>
    <t xml:space="preserve">921800</t>
  </si>
  <si>
    <t xml:space="preserve">0.21310093498437405</t>
  </si>
  <si>
    <t xml:space="preserve">2.9694341227224483</t>
  </si>
  <si>
    <t xml:space="preserve">-106</t>
  </si>
  <si>
    <t xml:space="preserve">321</t>
  </si>
  <si>
    <t xml:space="preserve">-0.04</t>
  </si>
  <si>
    <t xml:space="preserve">7.62851642018002</t>
  </si>
  <si>
    <t xml:space="preserve">17115_20220930</t>
  </si>
  <si>
    <t xml:space="preserve">0.9457510814976878</t>
  </si>
  <si>
    <t xml:space="preserve">42975</t>
  </si>
  <si>
    <t xml:space="preserve">4081</t>
  </si>
  <si>
    <t xml:space="preserve">796832</t>
  </si>
  <si>
    <t xml:space="preserve">0.018646511859181543</t>
  </si>
  <si>
    <t xml:space="preserve">3.551760618574413</t>
  </si>
  <si>
    <t xml:space="preserve">519</t>
  </si>
  <si>
    <t xml:space="preserve">3.32</t>
  </si>
  <si>
    <t xml:space="preserve">8.352739839135513</t>
  </si>
  <si>
    <t xml:space="preserve">17180_20220930</t>
  </si>
  <si>
    <t xml:space="preserve">0.895305032457631</t>
  </si>
  <si>
    <t xml:space="preserve">48894</t>
  </si>
  <si>
    <t xml:space="preserve">194686</t>
  </si>
  <si>
    <t xml:space="preserve">1316149</t>
  </si>
  <si>
    <t xml:space="preserve">0.3264964357221437</t>
  </si>
  <si>
    <t xml:space="preserve">3.5815635572432627</t>
  </si>
  <si>
    <t xml:space="preserve">1536</t>
  </si>
  <si>
    <t xml:space="preserve">8.01</t>
  </si>
  <si>
    <t xml:space="preserve">10.447276473750224</t>
  </si>
  <si>
    <t xml:space="preserve">17443_20220930</t>
  </si>
  <si>
    <t xml:space="preserve">0.8531552375903566</t>
  </si>
  <si>
    <t xml:space="preserve">954</t>
  </si>
  <si>
    <t xml:space="preserve">200117</t>
  </si>
  <si>
    <t xml:space="preserve">0.19322331164938392</t>
  </si>
  <si>
    <t xml:space="preserve">2.103601409686206</t>
  </si>
  <si>
    <t xml:space="preserve">254</t>
  </si>
  <si>
    <t xml:space="preserve">4.6</t>
  </si>
  <si>
    <t xml:space="preserve">10.086062615236772</t>
  </si>
  <si>
    <t xml:space="preserve">17658_20220930</t>
  </si>
  <si>
    <t xml:space="preserve">0.7608773674873615</t>
  </si>
  <si>
    <t xml:space="preserve">84346</t>
  </si>
  <si>
    <t xml:space="preserve">64497</t>
  </si>
  <si>
    <t xml:space="preserve">1161324</t>
  </si>
  <si>
    <t xml:space="preserve">0.0345231869345119</t>
  </si>
  <si>
    <t xml:space="preserve">3.5675158242222094</t>
  </si>
  <si>
    <t xml:space="preserve">2399</t>
  </si>
  <si>
    <t xml:space="preserve">-0.17</t>
  </si>
  <si>
    <t xml:space="preserve">12.621351541668973</t>
  </si>
  <si>
    <t xml:space="preserve">17741_20220930</t>
  </si>
  <si>
    <t xml:space="preserve">0.939976602573717</t>
  </si>
  <si>
    <t xml:space="preserve">42271</t>
  </si>
  <si>
    <t xml:space="preserve">3280</t>
  </si>
  <si>
    <t xml:space="preserve">825591</t>
  </si>
  <si>
    <t xml:space="preserve">0.23337432882382936</t>
  </si>
  <si>
    <t xml:space="preserve">3.459474894557087</t>
  </si>
  <si>
    <t xml:space="preserve">-6</t>
  </si>
  <si>
    <t xml:space="preserve">2126</t>
  </si>
  <si>
    <t xml:space="preserve">5.9</t>
  </si>
  <si>
    <t xml:space="preserve">9.202509957321762</t>
  </si>
  <si>
    <t xml:space="preserve">17743_20220930</t>
  </si>
  <si>
    <t xml:space="preserve">0.5129516894487944</t>
  </si>
  <si>
    <t xml:space="preserve">11845</t>
  </si>
  <si>
    <t xml:space="preserve">6456</t>
  </si>
  <si>
    <t xml:space="preserve">948998</t>
  </si>
  <si>
    <t xml:space="preserve">0.22277178419756555</t>
  </si>
  <si>
    <t xml:space="preserve">2.7891582180004155</t>
  </si>
  <si>
    <t xml:space="preserve">-237</t>
  </si>
  <si>
    <t xml:space="preserve">713</t>
  </si>
  <si>
    <t xml:space="preserve">3.48</t>
  </si>
  <si>
    <t xml:space="preserve">6.598185590758791</t>
  </si>
  <si>
    <t xml:space="preserve">17748_20220930</t>
  </si>
  <si>
    <t xml:space="preserve">0.8185830972280049</t>
  </si>
  <si>
    <t xml:space="preserve">140498</t>
  </si>
  <si>
    <t xml:space="preserve">3081</t>
  </si>
  <si>
    <t xml:space="preserve">1172003</t>
  </si>
  <si>
    <t xml:space="preserve">0.5373723423341085</t>
  </si>
  <si>
    <t xml:space="preserve">3.108022296879278</t>
  </si>
  <si>
    <t xml:space="preserve">318</t>
  </si>
  <si>
    <t xml:space="preserve">4.8</t>
  </si>
  <si>
    <t xml:space="preserve">11.33528445705073</t>
  </si>
  <si>
    <t xml:space="preserve">17749_20220930</t>
  </si>
  <si>
    <t xml:space="preserve">1.4054058639640645</t>
  </si>
  <si>
    <t xml:space="preserve">46145</t>
  </si>
  <si>
    <t xml:space="preserve">10227</t>
  </si>
  <si>
    <t xml:space="preserve">697329</t>
  </si>
  <si>
    <t xml:space="preserve">0.035347229978975464</t>
  </si>
  <si>
    <t xml:space="preserve">2.8989910526251146</t>
  </si>
  <si>
    <t xml:space="preserve">273</t>
  </si>
  <si>
    <t xml:space="preserve">0.98</t>
  </si>
  <si>
    <t xml:space="preserve">8.479109775417724</t>
  </si>
  <si>
    <t xml:space="preserve">17751_20220930</t>
  </si>
  <si>
    <t xml:space="preserve">1.0139345381939233</t>
  </si>
  <si>
    <t xml:space="preserve">111246</t>
  </si>
  <si>
    <t xml:space="preserve">3017</t>
  </si>
  <si>
    <t xml:space="preserve">1173949</t>
  </si>
  <si>
    <t xml:space="preserve">0.09865309020265199</t>
  </si>
  <si>
    <t xml:space="preserve">3.1350816490937716</t>
  </si>
  <si>
    <t xml:space="preserve">-291</t>
  </si>
  <si>
    <t xml:space="preserve">807</t>
  </si>
  <si>
    <t xml:space="preserve">7.17</t>
  </si>
  <si>
    <t xml:space="preserve">11.667959492708901</t>
  </si>
  <si>
    <t xml:space="preserve">17897_20220930</t>
  </si>
  <si>
    <t xml:space="preserve">0.6405032855680807</t>
  </si>
  <si>
    <t xml:space="preserve">64720</t>
  </si>
  <si>
    <t xml:space="preserve">3129</t>
  </si>
  <si>
    <t xml:space="preserve">1333939</t>
  </si>
  <si>
    <t xml:space="preserve">0.24602655567291204</t>
  </si>
  <si>
    <t xml:space="preserve">3.2250996507158707</t>
  </si>
  <si>
    <t xml:space="preserve">-128</t>
  </si>
  <si>
    <t xml:space="preserve">-2.89</t>
  </si>
  <si>
    <t xml:space="preserve">7.049189831198543</t>
  </si>
  <si>
    <t xml:space="preserve">17951_20220930</t>
  </si>
  <si>
    <t xml:space="preserve">0.85128900373308</t>
  </si>
  <si>
    <t xml:space="preserve">21389</t>
  </si>
  <si>
    <t xml:space="preserve">1636</t>
  </si>
  <si>
    <t xml:space="preserve">513395</t>
  </si>
  <si>
    <t xml:space="preserve">0.07589759039634765</t>
  </si>
  <si>
    <t xml:space="preserve">3.225522623239865</t>
  </si>
  <si>
    <t xml:space="preserve">12.99</t>
  </si>
  <si>
    <t xml:space="preserve">0.12</t>
  </si>
  <si>
    <t xml:space="preserve">7.916310451338184</t>
  </si>
  <si>
    <t xml:space="preserve">17960_20220930</t>
  </si>
  <si>
    <t xml:space="preserve">0.9615953060108482</t>
  </si>
  <si>
    <t xml:space="preserve">109964</t>
  </si>
  <si>
    <t xml:space="preserve">186516</t>
  </si>
  <si>
    <t xml:space="preserve">1072166</t>
  </si>
  <si>
    <t xml:space="preserve">0.07131139060906579</t>
  </si>
  <si>
    <t xml:space="preserve">3.607112631595235</t>
  </si>
  <si>
    <t xml:space="preserve">1090</t>
  </si>
  <si>
    <t xml:space="preserve">9.21</t>
  </si>
  <si>
    <t xml:space="preserve">9.613340561053892</t>
  </si>
  <si>
    <t xml:space="preserve">18012_20220930</t>
  </si>
  <si>
    <t xml:space="preserve">1.1857405498630098</t>
  </si>
  <si>
    <t xml:space="preserve">50796</t>
  </si>
  <si>
    <t xml:space="preserve">36004</t>
  </si>
  <si>
    <t xml:space="preserve">1901049</t>
  </si>
  <si>
    <t xml:space="preserve">0.054889620403968886</t>
  </si>
  <si>
    <t xml:space="preserve">3.5816181836716665</t>
  </si>
  <si>
    <t xml:space="preserve">1681</t>
  </si>
  <si>
    <t xml:space="preserve">12.17</t>
  </si>
  <si>
    <t xml:space="preserve">7.292876064114603</t>
  </si>
  <si>
    <t xml:space="preserve">18013_20220930</t>
  </si>
  <si>
    <t xml:space="preserve">0.9195310996595257</t>
  </si>
  <si>
    <t xml:space="preserve">102062</t>
  </si>
  <si>
    <t xml:space="preserve">16559</t>
  </si>
  <si>
    <t xml:space="preserve">2095543</t>
  </si>
  <si>
    <t xml:space="preserve">0.10179712348657749</t>
  </si>
  <si>
    <t xml:space="preserve">3.1559313745849553</t>
  </si>
  <si>
    <t xml:space="preserve">-39</t>
  </si>
  <si>
    <t xml:space="preserve">2713</t>
  </si>
  <si>
    <t xml:space="preserve">8.57</t>
  </si>
  <si>
    <t xml:space="preserve">9.085805109875771</t>
  </si>
  <si>
    <t xml:space="preserve">18028_20220930</t>
  </si>
  <si>
    <t xml:space="preserve">0.9278035047634591</t>
  </si>
  <si>
    <t xml:space="preserve">16788</t>
  </si>
  <si>
    <t xml:space="preserve">8019</t>
  </si>
  <si>
    <t xml:space="preserve">242821</t>
  </si>
  <si>
    <t xml:space="preserve">0.5552948856565821</t>
  </si>
  <si>
    <t xml:space="preserve">3.3467464043408603</t>
  </si>
  <si>
    <t xml:space="preserve">110</t>
  </si>
  <si>
    <t xml:space="preserve">351</t>
  </si>
  <si>
    <t xml:space="preserve">6.65</t>
  </si>
  <si>
    <t xml:space="preserve">0.13</t>
  </si>
  <si>
    <t xml:space="preserve">5.819731213293468</t>
  </si>
  <si>
    <t xml:space="preserve">18030_20220930</t>
  </si>
  <si>
    <t xml:space="preserve">0.9300335656734068</t>
  </si>
  <si>
    <t xml:space="preserve">30312</t>
  </si>
  <si>
    <t xml:space="preserve">89007</t>
  </si>
  <si>
    <t xml:space="preserve">539539</t>
  </si>
  <si>
    <t xml:space="preserve">0.19445321738364021</t>
  </si>
  <si>
    <t xml:space="preserve">3.13216431026469</t>
  </si>
  <si>
    <t xml:space="preserve">6.03</t>
  </si>
  <si>
    <t xml:space="preserve">5.19204578959438</t>
  </si>
  <si>
    <t xml:space="preserve">18031_20220930</t>
  </si>
  <si>
    <t xml:space="preserve">1.1092639302912175</t>
  </si>
  <si>
    <t xml:space="preserve">28825</t>
  </si>
  <si>
    <t xml:space="preserve">8856</t>
  </si>
  <si>
    <t xml:space="preserve">448513</t>
  </si>
  <si>
    <t xml:space="preserve">0.14066992397650505</t>
  </si>
  <si>
    <t xml:space="preserve">3.0040755000201487</t>
  </si>
  <si>
    <t xml:space="preserve">868</t>
  </si>
  <si>
    <t xml:space="preserve">7.71</t>
  </si>
  <si>
    <t xml:space="preserve">-0.09</t>
  </si>
  <si>
    <t xml:space="preserve">12.506393654247416</t>
  </si>
  <si>
    <t xml:space="preserve">18038_20220930</t>
  </si>
  <si>
    <t xml:space="preserve">1.0722123902977476</t>
  </si>
  <si>
    <t xml:space="preserve">17520</t>
  </si>
  <si>
    <t xml:space="preserve">3246</t>
  </si>
  <si>
    <t xml:space="preserve">381793</t>
  </si>
  <si>
    <t xml:space="preserve">0.6708453065444342</t>
  </si>
  <si>
    <t xml:space="preserve">3.18243691660641</t>
  </si>
  <si>
    <t xml:space="preserve">-168</t>
  </si>
  <si>
    <t xml:space="preserve">1188</t>
  </si>
  <si>
    <t xml:space="preserve">-7.81</t>
  </si>
  <si>
    <t xml:space="preserve">-0.19</t>
  </si>
  <si>
    <t xml:space="preserve">4.486681052328956</t>
  </si>
  <si>
    <t xml:space="preserve">18408_20220930</t>
  </si>
  <si>
    <t xml:space="preserve">0.8748067044666821</t>
  </si>
  <si>
    <t xml:space="preserve">297616</t>
  </si>
  <si>
    <t xml:space="preserve">28938</t>
  </si>
  <si>
    <t xml:space="preserve">4461506</t>
  </si>
  <si>
    <t xml:space="preserve">0.06554273830895292</t>
  </si>
  <si>
    <t xml:space="preserve">2.6901115457965</t>
  </si>
  <si>
    <t xml:space="preserve">268</t>
  </si>
  <si>
    <t xml:space="preserve">1920</t>
  </si>
  <si>
    <t xml:space="preserve">12.75</t>
  </si>
  <si>
    <t xml:space="preserve">9.33909036863475</t>
  </si>
  <si>
    <t xml:space="preserve">19531_20220930</t>
  </si>
  <si>
    <t xml:space="preserve">1.2974426897156635</t>
  </si>
  <si>
    <t xml:space="preserve">236379</t>
  </si>
  <si>
    <t xml:space="preserve">13005</t>
  </si>
  <si>
    <t xml:space="preserve">1791483</t>
  </si>
  <si>
    <t xml:space="preserve">0.31437462259618565</t>
  </si>
  <si>
    <t xml:space="preserve">3.5789791214717694</t>
  </si>
  <si>
    <t xml:space="preserve">93</t>
  </si>
  <si>
    <t xml:space="preserve">3339</t>
  </si>
  <si>
    <t xml:space="preserve">5.72</t>
  </si>
  <si>
    <t xml:space="preserve">10.667544474303593</t>
  </si>
  <si>
    <t xml:space="preserve">19532_20220930</t>
  </si>
  <si>
    <t xml:space="preserve">1.1120119592312678</t>
  </si>
  <si>
    <t xml:space="preserve">25822</t>
  </si>
  <si>
    <t xml:space="preserve">43323</t>
  </si>
  <si>
    <t xml:space="preserve">523247</t>
  </si>
  <si>
    <t xml:space="preserve">0.11301549143784809</t>
  </si>
  <si>
    <t xml:space="preserve">3.294432405063291</t>
  </si>
  <si>
    <t xml:space="preserve">23</t>
  </si>
  <si>
    <t xml:space="preserve">-0.03</t>
  </si>
  <si>
    <t xml:space="preserve">14.467598768290186</t>
  </si>
  <si>
    <t xml:space="preserve">19690_20220930</t>
  </si>
  <si>
    <t xml:space="preserve">0.40280832115392495</t>
  </si>
  <si>
    <t xml:space="preserve">22707</t>
  </si>
  <si>
    <t xml:space="preserve">653</t>
  </si>
  <si>
    <t xml:space="preserve">1458322</t>
  </si>
  <si>
    <t xml:space="preserve">0.9286172842878802</t>
  </si>
  <si>
    <t xml:space="preserve">5.949533429432749</t>
  </si>
  <si>
    <t xml:space="preserve">-174</t>
  </si>
  <si>
    <t xml:space="preserve">4098</t>
  </si>
  <si>
    <t xml:space="preserve">15.76</t>
  </si>
  <si>
    <t xml:space="preserve">19.90861889210332</t>
  </si>
  <si>
    <t xml:space="preserve">19836_20220930</t>
  </si>
  <si>
    <t xml:space="preserve">0.8266109375463644</t>
  </si>
  <si>
    <t xml:space="preserve">53274</t>
  </si>
  <si>
    <t xml:space="preserve">11850</t>
  </si>
  <si>
    <t xml:space="preserve">467906</t>
  </si>
  <si>
    <t xml:space="preserve">0.33488340546750145</t>
  </si>
  <si>
    <t xml:space="preserve">4.095078044051021</t>
  </si>
  <si>
    <t xml:space="preserve">4.62</t>
  </si>
  <si>
    <t xml:space="preserve">17.188160306469722</t>
  </si>
  <si>
    <t xml:space="preserve">24540_20220930</t>
  </si>
  <si>
    <t xml:space="preserve">1.1997437173631487</t>
  </si>
  <si>
    <t xml:space="preserve">45436</t>
  </si>
  <si>
    <t xml:space="preserve">177</t>
  </si>
  <si>
    <t xml:space="preserve">1077894</t>
  </si>
  <si>
    <t xml:space="preserve">0.06352069647281397</t>
  </si>
  <si>
    <t xml:space="preserve">4.576965729028156</t>
  </si>
  <si>
    <t xml:space="preserve">14.36</t>
  </si>
  <si>
    <t xml:space="preserve">13.871900878267377</t>
  </si>
  <si>
    <t xml:space="preserve">27824_20220930</t>
  </si>
  <si>
    <t xml:space="preserve">0.8149444157552495</t>
  </si>
  <si>
    <t xml:space="preserve">21793</t>
  </si>
  <si>
    <t xml:space="preserve">34521</t>
  </si>
  <si>
    <t xml:space="preserve">386057</t>
  </si>
  <si>
    <t xml:space="preserve">0.2671948904115572</t>
  </si>
  <si>
    <t xml:space="preserve">2.9096961453343577</t>
  </si>
  <si>
    <t xml:space="preserve">773</t>
  </si>
  <si>
    <t xml:space="preserve">8.93744214245668</t>
  </si>
  <si>
    <t xml:space="preserve">28155_20220930</t>
  </si>
  <si>
    <t xml:space="preserve">0.5790399144644042</t>
  </si>
  <si>
    <t xml:space="preserve">6105</t>
  </si>
  <si>
    <t xml:space="preserve">4615</t>
  </si>
  <si>
    <t xml:space="preserve">154358</t>
  </si>
  <si>
    <t xml:space="preserve">0.14298872192558146</t>
  </si>
  <si>
    <t xml:space="preserve">2.712770626163867</t>
  </si>
  <si>
    <t xml:space="preserve">420</t>
  </si>
  <si>
    <t xml:space="preserve">2.25</t>
  </si>
  <si>
    <t xml:space="preserve">5.806138148837962</t>
  </si>
  <si>
    <t xml:space="preserve">28288_20220930</t>
  </si>
  <si>
    <t xml:space="preserve">1.1026869188801516</t>
  </si>
  <si>
    <t xml:space="preserve">444</t>
  </si>
  <si>
    <t xml:space="preserve">77221</t>
  </si>
  <si>
    <t xml:space="preserve">0.4956327962910786</t>
  </si>
  <si>
    <t xml:space="preserve">3.5382917290913896</t>
  </si>
  <si>
    <t xml:space="preserve">46</t>
  </si>
  <si>
    <t xml:space="preserve">133</t>
  </si>
  <si>
    <t xml:space="preserve">10.602312539876202</t>
  </si>
  <si>
    <t xml:space="preserve">28369_20220930</t>
  </si>
  <si>
    <t xml:space="preserve">0.7245190339746214</t>
  </si>
  <si>
    <t xml:space="preserve">10475</t>
  </si>
  <si>
    <t xml:space="preserve">854</t>
  </si>
  <si>
    <t xml:space="preserve">72759</t>
  </si>
  <si>
    <t xml:space="preserve">0.5143948696957292</t>
  </si>
  <si>
    <t xml:space="preserve">3.620276686198766</t>
  </si>
  <si>
    <t xml:space="preserve">68</t>
  </si>
  <si>
    <t xml:space="preserve">1.68</t>
  </si>
  <si>
    <t xml:space="preserve">7.417158774011538</t>
  </si>
  <si>
    <t xml:space="preserve">28837_20220930</t>
  </si>
  <si>
    <t xml:space="preserve">1.2174324964471814</t>
  </si>
  <si>
    <t xml:space="preserve">6504</t>
  </si>
  <si>
    <t xml:space="preserve">187677</t>
  </si>
  <si>
    <t xml:space="preserve">0.12632243802305385</t>
  </si>
  <si>
    <t xml:space="preserve">2.8199966346666336</t>
  </si>
  <si>
    <t xml:space="preserve">132</t>
  </si>
  <si>
    <t xml:space="preserve">105</t>
  </si>
  <si>
    <t xml:space="preserve">6.48</t>
  </si>
  <si>
    <t xml:space="preserve">13.102912190111324</t>
  </si>
  <si>
    <t xml:space="preserve">29636_20220930</t>
  </si>
  <si>
    <t xml:space="preserve">1.4735219829615993</t>
  </si>
  <si>
    <t xml:space="preserve">1340</t>
  </si>
  <si>
    <t xml:space="preserve">1958</t>
  </si>
  <si>
    <t xml:space="preserve">115074</t>
  </si>
  <si>
    <t xml:space="preserve">1.797165974570829</t>
  </si>
  <si>
    <t xml:space="preserve">3.2525771712812404</t>
  </si>
  <si>
    <t xml:space="preserve">2.08</t>
  </si>
  <si>
    <t xml:space="preserve">7.680481283422459</t>
  </si>
  <si>
    <t xml:space="preserve">29743_20220930</t>
  </si>
  <si>
    <t xml:space="preserve">0.32865692141665853</t>
  </si>
  <si>
    <t xml:space="preserve">22426</t>
  </si>
  <si>
    <t xml:space="preserve">19352</t>
  </si>
  <si>
    <t xml:space="preserve">121914</t>
  </si>
  <si>
    <t xml:space="preserve">0.4104123745053795</t>
  </si>
  <si>
    <t xml:space="preserve">2.6376613762958434</t>
  </si>
  <si>
    <t xml:space="preserve">493</t>
  </si>
  <si>
    <t xml:space="preserve">7.358279783445207</t>
  </si>
  <si>
    <t xml:space="preserve">29744_20220930</t>
  </si>
  <si>
    <t xml:space="preserve">0.9066095988303118</t>
  </si>
  <si>
    <t xml:space="preserve">25090</t>
  </si>
  <si>
    <t xml:space="preserve">7352</t>
  </si>
  <si>
    <t xml:space="preserve">391735</t>
  </si>
  <si>
    <t xml:space="preserve">0.0012648013376538947</t>
  </si>
  <si>
    <t xml:space="preserve">3.1545933869480187</t>
  </si>
  <si>
    <t xml:space="preserve">6</t>
  </si>
  <si>
    <t xml:space="preserve">280</t>
  </si>
  <si>
    <t xml:space="preserve">3.31</t>
  </si>
  <si>
    <t xml:space="preserve">9.09310761789601</t>
  </si>
  <si>
    <t xml:space="preserve">30350_20220930</t>
  </si>
  <si>
    <t xml:space="preserve">1.3473505014565237</t>
  </si>
  <si>
    <t xml:space="preserve">11326</t>
  </si>
  <si>
    <t xml:space="preserve">1056</t>
  </si>
  <si>
    <t xml:space="preserve">373201</t>
  </si>
  <si>
    <t xml:space="preserve">0.525775975553664</t>
  </si>
  <si>
    <t xml:space="preserve">2.870390732848</t>
  </si>
  <si>
    <t xml:space="preserve">206</t>
  </si>
  <si>
    <t xml:space="preserve">720</t>
  </si>
  <si>
    <t xml:space="preserve">6.88</t>
  </si>
  <si>
    <t xml:space="preserve">12.256004138726944</t>
  </si>
  <si>
    <t xml:space="preserve">30878_20220930</t>
  </si>
  <si>
    <t xml:space="preserve">1.091300737049725</t>
  </si>
  <si>
    <t xml:space="preserve">103</t>
  </si>
  <si>
    <t xml:space="preserve">76223</t>
  </si>
  <si>
    <t xml:space="preserve">0.7642998027613412</t>
  </si>
  <si>
    <t xml:space="preserve">2.1495778830444205</t>
  </si>
  <si>
    <t xml:space="preserve">284</t>
  </si>
  <si>
    <t xml:space="preserve">2.4</t>
  </si>
  <si>
    <t xml:space="preserve">8.204616100997642</t>
  </si>
  <si>
    <t xml:space="preserve">33418_20220930</t>
  </si>
  <si>
    <t xml:space="preserve">1.9007158797457795</t>
  </si>
  <si>
    <t xml:space="preserve">38891</t>
  </si>
  <si>
    <t xml:space="preserve">11836</t>
  </si>
  <si>
    <t xml:space="preserve">346831</t>
  </si>
  <si>
    <t xml:space="preserve">0.9000115966296235</t>
  </si>
  <si>
    <t xml:space="preserve">2.742881981498173</t>
  </si>
  <si>
    <t xml:space="preserve">192</t>
  </si>
  <si>
    <t xml:space="preserve">14.95</t>
  </si>
  <si>
    <t xml:space="preserve">96.07663930339992</t>
  </si>
  <si>
    <t xml:space="preserve">35206_20220930</t>
  </si>
  <si>
    <t xml:space="preserve">3.6240226277120486</t>
  </si>
  <si>
    <t xml:space="preserve">2.49</t>
  </si>
  <si>
    <t xml:space="preserve">8.023273717626932</t>
  </si>
  <si>
    <t xml:space="preserve">4255_20220930</t>
  </si>
  <si>
    <t xml:space="preserve">0.945383667903394</t>
  </si>
  <si>
    <t xml:space="preserve">340321</t>
  </si>
  <si>
    <t xml:space="preserve">21084</t>
  </si>
  <si>
    <t xml:space="preserve">3828767</t>
  </si>
  <si>
    <t xml:space="preserve">0.0715337376649577</t>
  </si>
  <si>
    <t xml:space="preserve">2.9622478500978335</t>
  </si>
  <si>
    <t xml:space="preserve">502</t>
  </si>
  <si>
    <t xml:space="preserve">4708</t>
  </si>
  <si>
    <t xml:space="preserve">13.05</t>
  </si>
  <si>
    <t xml:space="preserve">7.082507832764233</t>
  </si>
  <si>
    <t xml:space="preserve">4256_20220930</t>
  </si>
  <si>
    <t xml:space="preserve">0.8819817274182915</t>
  </si>
  <si>
    <t xml:space="preserve">262426</t>
  </si>
  <si>
    <t xml:space="preserve">20819</t>
  </si>
  <si>
    <t xml:space="preserve">1841588</t>
  </si>
  <si>
    <t xml:space="preserve">0.10010898962580228</t>
  </si>
  <si>
    <t xml:space="preserve">3.1197944277144387</t>
  </si>
  <si>
    <t xml:space="preserve">434</t>
  </si>
  <si>
    <t xml:space="preserve">898</t>
  </si>
  <si>
    <t xml:space="preserve">20.01</t>
  </si>
  <si>
    <t xml:space="preserve">10.596146987969345</t>
  </si>
  <si>
    <t xml:space="preserve">59086_20220930</t>
  </si>
  <si>
    <t xml:space="preserve">1.1781480764393908</t>
  </si>
  <si>
    <t xml:space="preserve">119943</t>
  </si>
  <si>
    <t xml:space="preserve">546136</t>
  </si>
  <si>
    <t xml:space="preserve">0.061703040096119224</t>
  </si>
  <si>
    <t xml:space="preserve">3.626617524185105</t>
  </si>
  <si>
    <t xml:space="preserve">14.12</t>
  </si>
  <si>
    <t xml:space="preserve">0.28</t>
  </si>
  <si>
    <t xml:space="preserve">11.862309158215233</t>
  </si>
  <si>
    <t xml:space="preserve">59176_20220930</t>
  </si>
  <si>
    <t xml:space="preserve">0.944416408333934</t>
  </si>
  <si>
    <t xml:space="preserve">17036</t>
  </si>
  <si>
    <t xml:space="preserve">123660</t>
  </si>
  <si>
    <t xml:space="preserve">3.093222883095814</t>
  </si>
  <si>
    <t xml:space="preserve">0.26</t>
  </si>
  <si>
    <t xml:space="preserve">80.06384593243845</t>
  </si>
  <si>
    <t xml:space="preserve">59298_20220930</t>
  </si>
  <si>
    <t xml:space="preserve">0.9937238493723849</t>
  </si>
  <si>
    <t xml:space="preserve">3084</t>
  </si>
  <si>
    <t xml:space="preserve">7572</t>
  </si>
  <si>
    <t xml:space="preserve">BANK OF BURLINGTON</t>
  </si>
  <si>
    <t xml:space="preserve">0.5684937272801815</t>
  </si>
  <si>
    <t xml:space="preserve">-2.24</t>
  </si>
  <si>
    <t xml:space="preserve">0.17</t>
  </si>
  <si>
    <t xml:space="preserve">7.96407063108286</t>
  </si>
  <si>
    <t xml:space="preserve">6271_20220930</t>
  </si>
  <si>
    <t xml:space="preserve">1.1633698542062472</t>
  </si>
  <si>
    <t xml:space="preserve">124262</t>
  </si>
  <si>
    <t xml:space="preserve">3902</t>
  </si>
  <si>
    <t xml:space="preserve">716359</t>
  </si>
  <si>
    <t xml:space="preserve">1.2896131436510663</t>
  </si>
  <si>
    <t xml:space="preserve">3.38614224773598</t>
  </si>
  <si>
    <t xml:space="preserve">603</t>
  </si>
  <si>
    <t xml:space="preserve">987</t>
  </si>
  <si>
    <t xml:space="preserve">14.44</t>
  </si>
  <si>
    <t xml:space="preserve">3.976295482671545</t>
  </si>
  <si>
    <t xml:space="preserve">6275_20220930</t>
  </si>
  <si>
    <t xml:space="preserve">0.9278956687191142</t>
  </si>
  <si>
    <t xml:space="preserve">29293</t>
  </si>
  <si>
    <t xml:space="preserve">13387</t>
  </si>
  <si>
    <t xml:space="preserve">299919</t>
  </si>
  <si>
    <t xml:space="preserve">0.513001770566317</t>
  </si>
  <si>
    <t xml:space="preserve">2.745064603296473</t>
  </si>
  <si>
    <t xml:space="preserve">10.71</t>
  </si>
  <si>
    <t xml:space="preserve">0.14</t>
  </si>
  <si>
    <t xml:space="preserve">9.697833523375142</t>
  </si>
  <si>
    <t xml:space="preserve">6280_20220930</t>
  </si>
  <si>
    <t xml:space="preserve">1.3191686206951556</t>
  </si>
  <si>
    <t xml:space="preserve">3097</t>
  </si>
  <si>
    <t xml:space="preserve">61864</t>
  </si>
  <si>
    <t xml:space="preserve">1.0639485731604217</t>
  </si>
  <si>
    <t xml:space="preserve">4.114543251697566</t>
  </si>
  <si>
    <t xml:space="preserve">78</t>
  </si>
  <si>
    <t xml:space="preserve">659</t>
  </si>
  <si>
    <t xml:space="preserve">14.26</t>
  </si>
  <si>
    <t xml:space="preserve">11.449258409964006</t>
  </si>
  <si>
    <t xml:space="preserve">11971_20221231</t>
  </si>
  <si>
    <t xml:space="preserve">0.8908977534631669</t>
  </si>
  <si>
    <t xml:space="preserve">194294</t>
  </si>
  <si>
    <t xml:space="preserve">7800</t>
  </si>
  <si>
    <t xml:space="preserve">2876830</t>
  </si>
  <si>
    <t xml:space="preserve">0.23302522832269376</t>
  </si>
  <si>
    <t xml:space="preserve">3.45843569395616</t>
  </si>
  <si>
    <t xml:space="preserve">1146</t>
  </si>
  <si>
    <t xml:space="preserve">10.79</t>
  </si>
  <si>
    <t xml:space="preserve">-0.05</t>
  </si>
  <si>
    <t xml:space="preserve">9.898476123352324</t>
  </si>
  <si>
    <t xml:space="preserve">12874_20221231</t>
  </si>
  <si>
    <t xml:space="preserve">0.9908994133043053</t>
  </si>
  <si>
    <t xml:space="preserve">130722</t>
  </si>
  <si>
    <t xml:space="preserve">5348</t>
  </si>
  <si>
    <t xml:space="preserve">742194</t>
  </si>
  <si>
    <t xml:space="preserve">0.06736728644570197</t>
  </si>
  <si>
    <t xml:space="preserve">3.748219740609097</t>
  </si>
  <si>
    <t xml:space="preserve">-125</t>
  </si>
  <si>
    <t xml:space="preserve">390</t>
  </si>
  <si>
    <t xml:space="preserve">10.88</t>
  </si>
  <si>
    <t xml:space="preserve">7.383905018202095</t>
  </si>
  <si>
    <t xml:space="preserve">13063_20221231</t>
  </si>
  <si>
    <t xml:space="preserve">1.0148905520465525</t>
  </si>
  <si>
    <t xml:space="preserve">46233</t>
  </si>
  <si>
    <t xml:space="preserve">839</t>
  </si>
  <si>
    <t xml:space="preserve">1322057</t>
  </si>
  <si>
    <t xml:space="preserve">0.09538698364495078</t>
  </si>
  <si>
    <t xml:space="preserve">3.5304822201387087</t>
  </si>
  <si>
    <t xml:space="preserve">-159</t>
  </si>
  <si>
    <t xml:space="preserve">261</t>
  </si>
  <si>
    <t xml:space="preserve">9.45</t>
  </si>
  <si>
    <t xml:space="preserve">11.643104207357597</t>
  </si>
  <si>
    <t xml:space="preserve">14134_20221231</t>
  </si>
  <si>
    <t xml:space="preserve">1.0935927758167163</t>
  </si>
  <si>
    <t xml:space="preserve">28029</t>
  </si>
  <si>
    <t xml:space="preserve">22010</t>
  </si>
  <si>
    <t xml:space="preserve">611386</t>
  </si>
  <si>
    <t xml:space="preserve">2.1004746451485574</t>
  </si>
  <si>
    <t xml:space="preserve">3.1234075376026604</t>
  </si>
  <si>
    <t xml:space="preserve">5416</t>
  </si>
  <si>
    <t xml:space="preserve">1.92</t>
  </si>
  <si>
    <t xml:space="preserve">6.4075091695478985</t>
  </si>
  <si>
    <t xml:space="preserve">14136_20221231</t>
  </si>
  <si>
    <t xml:space="preserve">0.9581719707904026</t>
  </si>
  <si>
    <t xml:space="preserve">13222</t>
  </si>
  <si>
    <t xml:space="preserve">12457</t>
  </si>
  <si>
    <t xml:space="preserve">138613</t>
  </si>
  <si>
    <t xml:space="preserve">0.5551824170798977</t>
  </si>
  <si>
    <t xml:space="preserve">3.711786041691578</t>
  </si>
  <si>
    <t xml:space="preserve">90</t>
  </si>
  <si>
    <t xml:space="preserve">1094</t>
  </si>
  <si>
    <t xml:space="preserve">6.05</t>
  </si>
  <si>
    <t xml:space="preserve">8.056538601595893</t>
  </si>
  <si>
    <t xml:space="preserve">14140_20221231</t>
  </si>
  <si>
    <t xml:space="preserve">1.082780766675327</t>
  </si>
  <si>
    <t xml:space="preserve">86826</t>
  </si>
  <si>
    <t xml:space="preserve">1204</t>
  </si>
  <si>
    <t xml:space="preserve">963245</t>
  </si>
  <si>
    <t xml:space="preserve">0.25282684441906816</t>
  </si>
  <si>
    <t xml:space="preserve">3.115890741540425</t>
  </si>
  <si>
    <t xml:space="preserve">76</t>
  </si>
  <si>
    <t xml:space="preserve">734</t>
  </si>
  <si>
    <t xml:space="preserve">8.33</t>
  </si>
  <si>
    <t xml:space="preserve">5.321499128979203</t>
  </si>
  <si>
    <t xml:space="preserve">14158_20221231</t>
  </si>
  <si>
    <t xml:space="preserve">0.8680391101636252</t>
  </si>
  <si>
    <t xml:space="preserve">40782</t>
  </si>
  <si>
    <t xml:space="preserve">2089</t>
  </si>
  <si>
    <t xml:space="preserve">952332</t>
  </si>
  <si>
    <t xml:space="preserve">0.24951310073896266</t>
  </si>
  <si>
    <t xml:space="preserve">3.4235487904282733</t>
  </si>
  <si>
    <t xml:space="preserve">3040</t>
  </si>
  <si>
    <t xml:space="preserve">16.97</t>
  </si>
  <si>
    <t xml:space="preserve">8.6310589051942</t>
  </si>
  <si>
    <t xml:space="preserve">14168_20221231</t>
  </si>
  <si>
    <t xml:space="preserve">1.4268278090223765</t>
  </si>
  <si>
    <t xml:space="preserve">11593</t>
  </si>
  <si>
    <t xml:space="preserve">9164</t>
  </si>
  <si>
    <t xml:space="preserve">205944</t>
  </si>
  <si>
    <t xml:space="preserve">0.5485221969606319</t>
  </si>
  <si>
    <t xml:space="preserve">3.073284038118604</t>
  </si>
  <si>
    <t xml:space="preserve">204</t>
  </si>
  <si>
    <t xml:space="preserve">6.25</t>
  </si>
  <si>
    <t xml:space="preserve">6.248011015793979</t>
  </si>
  <si>
    <t xml:space="preserve">14240_20221231</t>
  </si>
  <si>
    <t xml:space="preserve">1.2214869883679171</t>
  </si>
  <si>
    <t xml:space="preserve">24518</t>
  </si>
  <si>
    <t xml:space="preserve">17452</t>
  </si>
  <si>
    <t xml:space="preserve">918654</t>
  </si>
  <si>
    <t xml:space="preserve">0.2325771439999828</t>
  </si>
  <si>
    <t xml:space="preserve">3.0142288735451594</t>
  </si>
  <si>
    <t xml:space="preserve">-94</t>
  </si>
  <si>
    <t xml:space="preserve">8212</t>
  </si>
  <si>
    <t xml:space="preserve">4.22</t>
  </si>
  <si>
    <t xml:space="preserve">7.8256758841355705</t>
  </si>
  <si>
    <t xml:space="preserve">17115_20221231</t>
  </si>
  <si>
    <t xml:space="preserve">0.9388651789603013</t>
  </si>
  <si>
    <t xml:space="preserve">40984</t>
  </si>
  <si>
    <t xml:space="preserve">4504</t>
  </si>
  <si>
    <t xml:space="preserve">825628</t>
  </si>
  <si>
    <t xml:space="preserve">0.03179543417565238</t>
  </si>
  <si>
    <t xml:space="preserve">3.5736838191672478</t>
  </si>
  <si>
    <t xml:space="preserve">216</t>
  </si>
  <si>
    <t xml:space="preserve">278</t>
  </si>
  <si>
    <t xml:space="preserve">7.35</t>
  </si>
  <si>
    <t xml:space="preserve">8.235917626656517</t>
  </si>
  <si>
    <t xml:space="preserve">17180_20221231</t>
  </si>
  <si>
    <t xml:space="preserve">0.9347199581019854</t>
  </si>
  <si>
    <t xml:space="preserve">49201</t>
  </si>
  <si>
    <t xml:space="preserve">202826</t>
  </si>
  <si>
    <t xml:space="preserve">1377049</t>
  </si>
  <si>
    <t xml:space="preserve">0.29531481782564845</t>
  </si>
  <si>
    <t xml:space="preserve">3.5266725963793517</t>
  </si>
  <si>
    <t xml:space="preserve">275</t>
  </si>
  <si>
    <t xml:space="preserve">2652</t>
  </si>
  <si>
    <t xml:space="preserve">8.53</t>
  </si>
  <si>
    <t xml:space="preserve">10.108277663302404</t>
  </si>
  <si>
    <t xml:space="preserve">17443_20221231</t>
  </si>
  <si>
    <t xml:space="preserve">0.8530663426111964</t>
  </si>
  <si>
    <t xml:space="preserve">969</t>
  </si>
  <si>
    <t xml:space="preserve">204787</t>
  </si>
  <si>
    <t xml:space="preserve">0.1384659330231567</t>
  </si>
  <si>
    <t xml:space="preserve">2.0493641304611327</t>
  </si>
  <si>
    <t xml:space="preserve">523</t>
  </si>
  <si>
    <t xml:space="preserve">3.75</t>
  </si>
  <si>
    <t xml:space="preserve">10.465558041284895</t>
  </si>
  <si>
    <t xml:space="preserve">17658_20221231</t>
  </si>
  <si>
    <t xml:space="preserve">0.6918920164533189</t>
  </si>
  <si>
    <t xml:space="preserve">87968</t>
  </si>
  <si>
    <t xml:space="preserve">64395</t>
  </si>
  <si>
    <t xml:space="preserve">1206667</t>
  </si>
  <si>
    <t xml:space="preserve">0.07192977547046518</t>
  </si>
  <si>
    <t xml:space="preserve">3.638239745851115</t>
  </si>
  <si>
    <t xml:space="preserve">533</t>
  </si>
  <si>
    <t xml:space="preserve">1734</t>
  </si>
  <si>
    <t xml:space="preserve">4.61</t>
  </si>
  <si>
    <t xml:space="preserve">12.964495279745172</t>
  </si>
  <si>
    <t xml:space="preserve">17741_20221231</t>
  </si>
  <si>
    <t xml:space="preserve">0.932551492471344</t>
  </si>
  <si>
    <t xml:space="preserve">45845</t>
  </si>
  <si>
    <t xml:space="preserve">3546</t>
  </si>
  <si>
    <t xml:space="preserve">840513</t>
  </si>
  <si>
    <t xml:space="preserve">0.21451513097798863</t>
  </si>
  <si>
    <t xml:space="preserve">3.559478990392301</t>
  </si>
  <si>
    <t xml:space="preserve">-9</t>
  </si>
  <si>
    <t xml:space="preserve">2400</t>
  </si>
  <si>
    <t xml:space="preserve">6.4</t>
  </si>
  <si>
    <t xml:space="preserve">9.403523451810694</t>
  </si>
  <si>
    <t xml:space="preserve">17743_20221231</t>
  </si>
  <si>
    <t xml:space="preserve">0.49750839342183345</t>
  </si>
  <si>
    <t xml:space="preserve">11335</t>
  </si>
  <si>
    <t xml:space="preserve">6789</t>
  </si>
  <si>
    <t xml:space="preserve">979208</t>
  </si>
  <si>
    <t xml:space="preserve">0.24651866062936437</t>
  </si>
  <si>
    <t xml:space="preserve">2.6949216119850976</t>
  </si>
  <si>
    <t xml:space="preserve">-240</t>
  </si>
  <si>
    <t xml:space="preserve">2594</t>
  </si>
  <si>
    <t xml:space="preserve">4.11</t>
  </si>
  <si>
    <t xml:space="preserve">6.624070886277475</t>
  </si>
  <si>
    <t xml:space="preserve">17748_20221231</t>
  </si>
  <si>
    <t xml:space="preserve">0.8175120145342631</t>
  </si>
  <si>
    <t xml:space="preserve">166333</t>
  </si>
  <si>
    <t xml:space="preserve">1231058</t>
  </si>
  <si>
    <t xml:space="preserve">0.49492227311362746</t>
  </si>
  <si>
    <t xml:space="preserve">3.034703127404098</t>
  </si>
  <si>
    <t xml:space="preserve">3233</t>
  </si>
  <si>
    <t xml:space="preserve">5.35</t>
  </si>
  <si>
    <t xml:space="preserve">11.781344781436406</t>
  </si>
  <si>
    <t xml:space="preserve">17749_20221231</t>
  </si>
  <si>
    <t xml:space="preserve">1.379666203558711</t>
  </si>
  <si>
    <t xml:space="preserve">48423</t>
  </si>
  <si>
    <t xml:space="preserve">9983</t>
  </si>
  <si>
    <t xml:space="preserve">714813</t>
  </si>
  <si>
    <t xml:space="preserve">0.028145190552597708</t>
  </si>
  <si>
    <t xml:space="preserve">2.9505181654767783</t>
  </si>
  <si>
    <t xml:space="preserve">965</t>
  </si>
  <si>
    <t xml:space="preserve">8.65288861793776</t>
  </si>
  <si>
    <t xml:space="preserve">17751_20221231</t>
  </si>
  <si>
    <t xml:space="preserve">1.2564445766408883</t>
  </si>
  <si>
    <t xml:space="preserve">116008</t>
  </si>
  <si>
    <t xml:space="preserve">1809</t>
  </si>
  <si>
    <t xml:space="preserve">1195113</t>
  </si>
  <si>
    <t xml:space="preserve">0.577285346024192</t>
  </si>
  <si>
    <t xml:space="preserve">3.255379887464121</t>
  </si>
  <si>
    <t xml:space="preserve">-458</t>
  </si>
  <si>
    <t xml:space="preserve">2294</t>
  </si>
  <si>
    <t xml:space="preserve">11.945340893989473</t>
  </si>
  <si>
    <t xml:space="preserve">17897_20221231</t>
  </si>
  <si>
    <t xml:space="preserve">0.6486853358764596</t>
  </si>
  <si>
    <t xml:space="preserve">70885</t>
  </si>
  <si>
    <t xml:space="preserve">3472</t>
  </si>
  <si>
    <t xml:space="preserve">1373061</t>
  </si>
  <si>
    <t xml:space="preserve">0.23986524131962786</t>
  </si>
  <si>
    <t xml:space="preserve">3.2108706281953094</t>
  </si>
  <si>
    <t xml:space="preserve">2597</t>
  </si>
  <si>
    <t xml:space="preserve">2.28</t>
  </si>
  <si>
    <t xml:space="preserve">7.230421109553585</t>
  </si>
  <si>
    <t xml:space="preserve">17951_20221231</t>
  </si>
  <si>
    <t xml:space="preserve">0.8152934173787809</t>
  </si>
  <si>
    <t xml:space="preserve">21098</t>
  </si>
  <si>
    <t xml:space="preserve">1648</t>
  </si>
  <si>
    <t xml:space="preserve">528227</t>
  </si>
  <si>
    <t xml:space="preserve">0.012956067664471646</t>
  </si>
  <si>
    <t xml:space="preserve">3.1978524844160994</t>
  </si>
  <si>
    <t xml:space="preserve">292</t>
  </si>
  <si>
    <t xml:space="preserve">12.35</t>
  </si>
  <si>
    <t xml:space="preserve">7.920722202913157</t>
  </si>
  <si>
    <t xml:space="preserve">17960_20221231</t>
  </si>
  <si>
    <t xml:space="preserve">0.9595670453528939</t>
  </si>
  <si>
    <t xml:space="preserve">105990</t>
  </si>
  <si>
    <t xml:space="preserve">197482</t>
  </si>
  <si>
    <t xml:space="preserve">1107173</t>
  </si>
  <si>
    <t xml:space="preserve">0.15117631272922444</t>
  </si>
  <si>
    <t xml:space="preserve">3.529272716995288</t>
  </si>
  <si>
    <t xml:space="preserve">2173</t>
  </si>
  <si>
    <t xml:space="preserve">8.9</t>
  </si>
  <si>
    <t xml:space="preserve">9.848718473763807</t>
  </si>
  <si>
    <t xml:space="preserve">18012_20221231</t>
  </si>
  <si>
    <t xml:space="preserve">1.1611851035404483</t>
  </si>
  <si>
    <t xml:space="preserve">45540</t>
  </si>
  <si>
    <t xml:space="preserve">34202</t>
  </si>
  <si>
    <t xml:space="preserve">1940541</t>
  </si>
  <si>
    <t xml:space="preserve">0.07685886135812511</t>
  </si>
  <si>
    <t xml:space="preserve">3.567736172133573</t>
  </si>
  <si>
    <t xml:space="preserve">51</t>
  </si>
  <si>
    <t xml:space="preserve">1590</t>
  </si>
  <si>
    <t xml:space="preserve">11.52</t>
  </si>
  <si>
    <t xml:space="preserve">7.423182845168692</t>
  </si>
  <si>
    <t xml:space="preserve">18013_20221231</t>
  </si>
  <si>
    <t xml:space="preserve">0.8641666309439688</t>
  </si>
  <si>
    <t xml:space="preserve">109331</t>
  </si>
  <si>
    <t xml:space="preserve">20430</t>
  </si>
  <si>
    <t xml:space="preserve">2150741</t>
  </si>
  <si>
    <t xml:space="preserve">0.07587040081788846</t>
  </si>
  <si>
    <t xml:space="preserve">3.17602118840462</t>
  </si>
  <si>
    <t xml:space="preserve">-34</t>
  </si>
  <si>
    <t xml:space="preserve">2395</t>
  </si>
  <si>
    <t xml:space="preserve">9.11</t>
  </si>
  <si>
    <t xml:space="preserve">9.325859456573793</t>
  </si>
  <si>
    <t xml:space="preserve">18028_20221231</t>
  </si>
  <si>
    <t xml:space="preserve">0.9594189568499343</t>
  </si>
  <si>
    <t xml:space="preserve">18569</t>
  </si>
  <si>
    <t xml:space="preserve">8838</t>
  </si>
  <si>
    <t xml:space="preserve">249816</t>
  </si>
  <si>
    <t xml:space="preserve">0.6006279833172108</t>
  </si>
  <si>
    <t xml:space="preserve">3.4418279702461674</t>
  </si>
  <si>
    <t xml:space="preserve">820</t>
  </si>
  <si>
    <t xml:space="preserve">0.19</t>
  </si>
  <si>
    <t xml:space="preserve">6.0058401971778075</t>
  </si>
  <si>
    <t xml:space="preserve">18030_20221231</t>
  </si>
  <si>
    <t xml:space="preserve">1.0006510215961453</t>
  </si>
  <si>
    <t xml:space="preserve">34512</t>
  </si>
  <si>
    <t xml:space="preserve">86350</t>
  </si>
  <si>
    <t xml:space="preserve">545923</t>
  </si>
  <si>
    <t xml:space="preserve">0.14906399778036092</t>
  </si>
  <si>
    <t xml:space="preserve">3.234388572312142</t>
  </si>
  <si>
    <t xml:space="preserve">172</t>
  </si>
  <si>
    <t xml:space="preserve">415</t>
  </si>
  <si>
    <t xml:space="preserve">5.8</t>
  </si>
  <si>
    <t xml:space="preserve">-0.12</t>
  </si>
  <si>
    <t xml:space="preserve">5.451100265248715</t>
  </si>
  <si>
    <t xml:space="preserve">18031_20221231</t>
  </si>
  <si>
    <t xml:space="preserve">0.9234011041087786</t>
  </si>
  <si>
    <t xml:space="preserve">28982</t>
  </si>
  <si>
    <t xml:space="preserve">8276</t>
  </si>
  <si>
    <t xml:space="preserve">458902</t>
  </si>
  <si>
    <t xml:space="preserve">0.13601652924679228</t>
  </si>
  <si>
    <t xml:space="preserve">3.044361266210751</t>
  </si>
  <si>
    <t xml:space="preserve">1137</t>
  </si>
  <si>
    <t xml:space="preserve">9.66</t>
  </si>
  <si>
    <t xml:space="preserve">12.043203133828015</t>
  </si>
  <si>
    <t xml:space="preserve">18038_20221231</t>
  </si>
  <si>
    <t xml:space="preserve">1.050051465851112</t>
  </si>
  <si>
    <t xml:space="preserve">16994</t>
  </si>
  <si>
    <t xml:space="preserve">3229</t>
  </si>
  <si>
    <t xml:space="preserve">400869</t>
  </si>
  <si>
    <t xml:space="preserve">0.5395892111778399</t>
  </si>
  <si>
    <t xml:space="preserve">3.108363445783797</t>
  </si>
  <si>
    <t xml:space="preserve">-169</t>
  </si>
  <si>
    <t xml:space="preserve">3681</t>
  </si>
  <si>
    <t xml:space="preserve">-2.12</t>
  </si>
  <si>
    <t xml:space="preserve">-0.16</t>
  </si>
  <si>
    <t xml:space="preserve">4.7316704398085925</t>
  </si>
  <si>
    <t xml:space="preserve">18408_20221231</t>
  </si>
  <si>
    <t xml:space="preserve">0.8067784977148692</t>
  </si>
  <si>
    <t xml:space="preserve">320720</t>
  </si>
  <si>
    <t xml:space="preserve">29697</t>
  </si>
  <si>
    <t xml:space="preserve">4659427</t>
  </si>
  <si>
    <t xml:space="preserve">0.12043027051146568</t>
  </si>
  <si>
    <t xml:space="preserve">2.637153369981305</t>
  </si>
  <si>
    <t xml:space="preserve">246</t>
  </si>
  <si>
    <t xml:space="preserve">7442</t>
  </si>
  <si>
    <t xml:space="preserve">12.38</t>
  </si>
  <si>
    <t xml:space="preserve">9.456604246724817</t>
  </si>
  <si>
    <t xml:space="preserve">19531_20221231</t>
  </si>
  <si>
    <t xml:space="preserve">1.2383503582200213</t>
  </si>
  <si>
    <t xml:space="preserve">244556</t>
  </si>
  <si>
    <t xml:space="preserve">13770</t>
  </si>
  <si>
    <t xml:space="preserve">1862223</t>
  </si>
  <si>
    <t xml:space="preserve">0.4430483465768761</t>
  </si>
  <si>
    <t xml:space="preserve">3.514971758300852</t>
  </si>
  <si>
    <t xml:space="preserve">201</t>
  </si>
  <si>
    <t xml:space="preserve">8421</t>
  </si>
  <si>
    <t xml:space="preserve">7.12</t>
  </si>
  <si>
    <t xml:space="preserve">11.330327891080913</t>
  </si>
  <si>
    <t xml:space="preserve">19532_20221231</t>
  </si>
  <si>
    <t xml:space="preserve">1.0768314954380267</t>
  </si>
  <si>
    <t xml:space="preserve">30200</t>
  </si>
  <si>
    <t xml:space="preserve">46433</t>
  </si>
  <si>
    <t xml:space="preserve">538421</t>
  </si>
  <si>
    <t xml:space="preserve">0.1464314454639323</t>
  </si>
  <si>
    <t xml:space="preserve">3.355947960533233</t>
  </si>
  <si>
    <t xml:space="preserve">45</t>
  </si>
  <si>
    <t xml:space="preserve">790</t>
  </si>
  <si>
    <t xml:space="preserve">9.376568385338173</t>
  </si>
  <si>
    <t xml:space="preserve">19690_20221231</t>
  </si>
  <si>
    <t xml:space="preserve">0.2559529726835777</t>
  </si>
  <si>
    <t xml:space="preserve">46473</t>
  </si>
  <si>
    <t xml:space="preserve">609</t>
  </si>
  <si>
    <t xml:space="preserve">2498346</t>
  </si>
  <si>
    <t xml:space="preserve">0.5149800958735717</t>
  </si>
  <si>
    <t xml:space="preserve">5.490301541109463</t>
  </si>
  <si>
    <t xml:space="preserve">-362</t>
  </si>
  <si>
    <t xml:space="preserve">10727</t>
  </si>
  <si>
    <t xml:space="preserve">16.18</t>
  </si>
  <si>
    <t xml:space="preserve">20.141944690636247</t>
  </si>
  <si>
    <t xml:space="preserve">19836_20221231</t>
  </si>
  <si>
    <t xml:space="preserve">0.892709299244933</t>
  </si>
  <si>
    <t xml:space="preserve">49718</t>
  </si>
  <si>
    <t xml:space="preserve">11831</t>
  </si>
  <si>
    <t xml:space="preserve">478823</t>
  </si>
  <si>
    <t xml:space="preserve">0.3698751490263611</t>
  </si>
  <si>
    <t xml:space="preserve">4.223694184691258</t>
  </si>
  <si>
    <t xml:space="preserve">111</t>
  </si>
  <si>
    <t xml:space="preserve">2966</t>
  </si>
  <si>
    <t xml:space="preserve">4.14</t>
  </si>
  <si>
    <t xml:space="preserve">17.059647864300473</t>
  </si>
  <si>
    <t xml:space="preserve">24540_20221231</t>
  </si>
  <si>
    <t xml:space="preserve">1.2199350802850286</t>
  </si>
  <si>
    <t xml:space="preserve">42837</t>
  </si>
  <si>
    <t xml:space="preserve">32</t>
  </si>
  <si>
    <t xml:space="preserve">1073926</t>
  </si>
  <si>
    <t xml:space="preserve">0.03421668173611028</t>
  </si>
  <si>
    <t xml:space="preserve">4.7442267386828485</t>
  </si>
  <si>
    <t xml:space="preserve">2026</t>
  </si>
  <si>
    <t xml:space="preserve">15.2</t>
  </si>
  <si>
    <t xml:space="preserve">13.558017535794036</t>
  </si>
  <si>
    <t xml:space="preserve">27824_20221231</t>
  </si>
  <si>
    <t xml:space="preserve">0.7715082068751935</t>
  </si>
  <si>
    <t xml:space="preserve">21116</t>
  </si>
  <si>
    <t xml:space="preserve">39942</t>
  </si>
  <si>
    <t xml:space="preserve">400511</t>
  </si>
  <si>
    <t xml:space="preserve">0.2182719108082998</t>
  </si>
  <si>
    <t xml:space="preserve">2.8355253433086225</t>
  </si>
  <si>
    <t xml:space="preserve">967</t>
  </si>
  <si>
    <t xml:space="preserve">1.69</t>
  </si>
  <si>
    <t xml:space="preserve">9.280591248845218</t>
  </si>
  <si>
    <t xml:space="preserve">28155_20221231</t>
  </si>
  <si>
    <t xml:space="preserve">0.5781699718505867</t>
  </si>
  <si>
    <t xml:space="preserve">6284</t>
  </si>
  <si>
    <t xml:space="preserve">5033</t>
  </si>
  <si>
    <t xml:space="preserve">157171</t>
  </si>
  <si>
    <t xml:space="preserve">0.04238226270677167</t>
  </si>
  <si>
    <t xml:space="preserve">2.778764747512108</t>
  </si>
  <si>
    <t xml:space="preserve">732</t>
  </si>
  <si>
    <t xml:space="preserve">1.38</t>
  </si>
  <si>
    <t xml:space="preserve">5.809957958785826</t>
  </si>
  <si>
    <t xml:space="preserve">28288_20221231</t>
  </si>
  <si>
    <t xml:space="preserve">1.0949090539579311</t>
  </si>
  <si>
    <t xml:space="preserve">3446</t>
  </si>
  <si>
    <t xml:space="preserve">633</t>
  </si>
  <si>
    <t xml:space="preserve">77866</t>
  </si>
  <si>
    <t xml:space="preserve">0.4623513870541612</t>
  </si>
  <si>
    <t xml:space="preserve">3.4673837310573075</t>
  </si>
  <si>
    <t xml:space="preserve">54</t>
  </si>
  <si>
    <t xml:space="preserve">1.43</t>
  </si>
  <si>
    <t xml:space="preserve">11.069455406471981</t>
  </si>
  <si>
    <t xml:space="preserve">28369_20221231</t>
  </si>
  <si>
    <t xml:space="preserve">0.7469603620304237</t>
  </si>
  <si>
    <t xml:space="preserve">10376</t>
  </si>
  <si>
    <t xml:space="preserve">789</t>
  </si>
  <si>
    <t xml:space="preserve">72816</t>
  </si>
  <si>
    <t xml:space="preserve">0.3312251240390382</t>
  </si>
  <si>
    <t xml:space="preserve">3.6817830192810117</t>
  </si>
  <si>
    <t xml:space="preserve">299</t>
  </si>
  <si>
    <t xml:space="preserve">1.11</t>
  </si>
  <si>
    <t xml:space="preserve">7.613940845461921</t>
  </si>
  <si>
    <t xml:space="preserve">28837_20221231</t>
  </si>
  <si>
    <t xml:space="preserve">1.220637850913489</t>
  </si>
  <si>
    <t xml:space="preserve">6121</t>
  </si>
  <si>
    <t xml:space="preserve">1547</t>
  </si>
  <si>
    <t xml:space="preserve">186207</t>
  </si>
  <si>
    <t xml:space="preserve">0.01007914783457466</t>
  </si>
  <si>
    <t xml:space="preserve">3.0095460023092113</t>
  </si>
  <si>
    <t xml:space="preserve">117</t>
  </si>
  <si>
    <t xml:space="preserve">480</t>
  </si>
  <si>
    <t xml:space="preserve">7.87</t>
  </si>
  <si>
    <t xml:space="preserve">13.403368056894491</t>
  </si>
  <si>
    <t xml:space="preserve">29636_20221231</t>
  </si>
  <si>
    <t xml:space="preserve">1.4302922007993044</t>
  </si>
  <si>
    <t xml:space="preserve">1819</t>
  </si>
  <si>
    <t xml:space="preserve">123566</t>
  </si>
  <si>
    <t xml:space="preserve">1.8028222943705676</t>
  </si>
  <si>
    <t xml:space="preserve">3.3470256227004107</t>
  </si>
  <si>
    <t xml:space="preserve">-42</t>
  </si>
  <si>
    <t xml:space="preserve">2724</t>
  </si>
  <si>
    <t xml:space="preserve">2.71</t>
  </si>
  <si>
    <t xml:space="preserve">8.240600531338748</t>
  </si>
  <si>
    <t xml:space="preserve">29743_20221231</t>
  </si>
  <si>
    <t xml:space="preserve">0.32453116548667565</t>
  </si>
  <si>
    <t xml:space="preserve">22468</t>
  </si>
  <si>
    <t xml:space="preserve">20308</t>
  </si>
  <si>
    <t xml:space="preserve">123469</t>
  </si>
  <si>
    <t xml:space="preserve">0.5190884064873941</t>
  </si>
  <si>
    <t xml:space="preserve">2.658148548295392</t>
  </si>
  <si>
    <t xml:space="preserve">910</t>
  </si>
  <si>
    <t xml:space="preserve">9.16</t>
  </si>
  <si>
    <t xml:space="preserve">7.434010364815452</t>
  </si>
  <si>
    <t xml:space="preserve">29744_20221231</t>
  </si>
  <si>
    <t xml:space="preserve">0.8905406178560856</t>
  </si>
  <si>
    <t xml:space="preserve">24059</t>
  </si>
  <si>
    <t xml:space="preserve">8168</t>
  </si>
  <si>
    <t xml:space="preserve">398423</t>
  </si>
  <si>
    <t xml:space="preserve">0.022139138265137324</t>
  </si>
  <si>
    <t xml:space="preserve">3.104802137551784</t>
  </si>
  <si>
    <t xml:space="preserve">-1.14</t>
  </si>
  <si>
    <t xml:space="preserve">9.268397883973766</t>
  </si>
  <si>
    <t xml:space="preserve">30350_20221231</t>
  </si>
  <si>
    <t xml:space="preserve">1.3009467449594363</t>
  </si>
  <si>
    <t xml:space="preserve">16386</t>
  </si>
  <si>
    <t xml:space="preserve">1149</t>
  </si>
  <si>
    <t xml:space="preserve">387605</t>
  </si>
  <si>
    <t xml:space="preserve">0.37584603553731216</t>
  </si>
  <si>
    <t xml:space="preserve">2.920726901931037</t>
  </si>
  <si>
    <t xml:space="preserve">194</t>
  </si>
  <si>
    <t xml:space="preserve">909</t>
  </si>
  <si>
    <t xml:space="preserve">7.72</t>
  </si>
  <si>
    <t xml:space="preserve">12.326354533581352</t>
  </si>
  <si>
    <t xml:space="preserve">30878_20221231</t>
  </si>
  <si>
    <t xml:space="preserve">1.0530827159737954</t>
  </si>
  <si>
    <t xml:space="preserve">80805</t>
  </si>
  <si>
    <t xml:space="preserve">0.8694054980713892</t>
  </si>
  <si>
    <t xml:space="preserve">2.205900475685801</t>
  </si>
  <si>
    <t xml:space="preserve">-0.49</t>
  </si>
  <si>
    <t xml:space="preserve">8.81502500754538</t>
  </si>
  <si>
    <t xml:space="preserve">33418_20221231</t>
  </si>
  <si>
    <t xml:space="preserve">1.0614350779020982</t>
  </si>
  <si>
    <t xml:space="preserve">41788</t>
  </si>
  <si>
    <t xml:space="preserve">11928</t>
  </si>
  <si>
    <t xml:space="preserve">358214</t>
  </si>
  <si>
    <t xml:space="preserve">0.41070881104356494</t>
  </si>
  <si>
    <t xml:space="preserve">2.813766761009036</t>
  </si>
  <si>
    <t xml:space="preserve">-8</t>
  </si>
  <si>
    <t xml:space="preserve">238</t>
  </si>
  <si>
    <t xml:space="preserve">12.66</t>
  </si>
  <si>
    <t xml:space="preserve">93.2500615308885</t>
  </si>
  <si>
    <t xml:space="preserve">35206_20221231</t>
  </si>
  <si>
    <t xml:space="preserve">4.031065851629273</t>
  </si>
  <si>
    <t xml:space="preserve">6.69</t>
  </si>
  <si>
    <t xml:space="preserve">8.136997773228122</t>
  </si>
  <si>
    <t xml:space="preserve">4255_20221231</t>
  </si>
  <si>
    <t xml:space="preserve">0.9194755388427489</t>
  </si>
  <si>
    <t xml:space="preserve">354169</t>
  </si>
  <si>
    <t xml:space="preserve">20661</t>
  </si>
  <si>
    <t xml:space="preserve">3978628</t>
  </si>
  <si>
    <t xml:space="preserve">0.07448543786031801</t>
  </si>
  <si>
    <t xml:space="preserve">2.9439226617271252</t>
  </si>
  <si>
    <t xml:space="preserve">764</t>
  </si>
  <si>
    <t xml:space="preserve">2554</t>
  </si>
  <si>
    <t xml:space="preserve">13.19</t>
  </si>
  <si>
    <t xml:space="preserve">7.402977832855716</t>
  </si>
  <si>
    <t xml:space="preserve">4256_20221231</t>
  </si>
  <si>
    <t xml:space="preserve">0.8732869648225619</t>
  </si>
  <si>
    <t xml:space="preserve">274364</t>
  </si>
  <si>
    <t xml:space="preserve">21063</t>
  </si>
  <si>
    <t xml:space="preserve">1898226</t>
  </si>
  <si>
    <t xml:space="preserve">0.10428476163072749</t>
  </si>
  <si>
    <t xml:space="preserve">3.110991752243191</t>
  </si>
  <si>
    <t xml:space="preserve">548</t>
  </si>
  <si>
    <t xml:space="preserve">19.7</t>
  </si>
  <si>
    <t xml:space="preserve">0.21</t>
  </si>
  <si>
    <t xml:space="preserve">11.665247611171662</t>
  </si>
  <si>
    <t xml:space="preserve">59086_20221231</t>
  </si>
  <si>
    <t xml:space="preserve">1.235683466238959</t>
  </si>
  <si>
    <t xml:space="preserve">120243</t>
  </si>
  <si>
    <t xml:space="preserve">568360</t>
  </si>
  <si>
    <t xml:space="preserve">0.05925580958901491</t>
  </si>
  <si>
    <t xml:space="preserve">3.9131911465910045</t>
  </si>
  <si>
    <t xml:space="preserve">15.26</t>
  </si>
  <si>
    <t xml:space="preserve">0.27</t>
  </si>
  <si>
    <t xml:space="preserve">13.150923745698243</t>
  </si>
  <si>
    <t xml:space="preserve">59176_20221231</t>
  </si>
  <si>
    <t xml:space="preserve">0.9470132374207423</t>
  </si>
  <si>
    <t xml:space="preserve">18249</t>
  </si>
  <si>
    <t xml:space="preserve">133568</t>
  </si>
  <si>
    <t xml:space="preserve">3.2291652099402346</t>
  </si>
  <si>
    <t xml:space="preserve">6.71</t>
  </si>
  <si>
    <t xml:space="preserve">0.22</t>
  </si>
  <si>
    <t xml:space="preserve">94.92795135063676</t>
  </si>
  <si>
    <t xml:space="preserve">59289_20221231</t>
  </si>
  <si>
    <t xml:space="preserve">1.079136690647482</t>
  </si>
  <si>
    <t xml:space="preserve">4675</t>
  </si>
  <si>
    <t xml:space="preserve">WALDEN MUTUAL BANK</t>
  </si>
  <si>
    <t xml:space="preserve">1.3684109087404839</t>
  </si>
  <si>
    <t xml:space="preserve">-13.15</t>
  </si>
  <si>
    <t xml:space="preserve">0.36</t>
  </si>
  <si>
    <t xml:space="preserve">33.96423248882265</t>
  </si>
  <si>
    <t xml:space="preserve">59298_20221231</t>
  </si>
  <si>
    <t xml:space="preserve">1.0021922956467273</t>
  </si>
  <si>
    <t xml:space="preserve">6633</t>
  </si>
  <si>
    <t xml:space="preserve">22127</t>
  </si>
  <si>
    <t xml:space="preserve">0.8211364791110091</t>
  </si>
  <si>
    <t xml:space="preserve">8.244861529190722</t>
  </si>
  <si>
    <t xml:space="preserve">6271_20221231</t>
  </si>
  <si>
    <t xml:space="preserve">1.1626851364809982</t>
  </si>
  <si>
    <t xml:space="preserve">116759</t>
  </si>
  <si>
    <t xml:space="preserve">3803</t>
  </si>
  <si>
    <t xml:space="preserve">740333</t>
  </si>
  <si>
    <t xml:space="preserve">1.1298431863633815</t>
  </si>
  <si>
    <t xml:space="preserve">3.509579803949266</t>
  </si>
  <si>
    <t xml:space="preserve">-21</t>
  </si>
  <si>
    <t xml:space="preserve">2601</t>
  </si>
  <si>
    <t xml:space="preserve">16.51</t>
  </si>
  <si>
    <t xml:space="preserve">4.583469038607682</t>
  </si>
  <si>
    <t xml:space="preserve">6275_20221231</t>
  </si>
  <si>
    <t xml:space="preserve">0.903217915002237</t>
  </si>
  <si>
    <t xml:space="preserve">33759</t>
  </si>
  <si>
    <t xml:space="preserve">13570</t>
  </si>
  <si>
    <t xml:space="preserve">307861</t>
  </si>
  <si>
    <t xml:space="preserve">0.4622312637003609</t>
  </si>
  <si>
    <t xml:space="preserve">2.865001696119407</t>
  </si>
  <si>
    <t xml:space="preserve">237</t>
  </si>
  <si>
    <t xml:space="preserve">10.62</t>
  </si>
  <si>
    <t xml:space="preserve">10.167068386974808</t>
  </si>
  <si>
    <t xml:space="preserve">6280_20221231</t>
  </si>
  <si>
    <t xml:space="preserve">1.304416403785489</t>
  </si>
  <si>
    <t xml:space="preserve">3426</t>
  </si>
  <si>
    <t xml:space="preserve">1765</t>
  </si>
  <si>
    <t xml:space="preserve">62573</t>
  </si>
  <si>
    <t xml:space="preserve">0.9810725552050472</t>
  </si>
  <si>
    <t xml:space="preserve">4.345793477515934</t>
  </si>
  <si>
    <t xml:space="preserve">1116</t>
  </si>
  <si>
    <t xml:space="preserve">14.82</t>
  </si>
  <si>
    <t xml:space="preserve">11.754568576022695</t>
  </si>
  <si>
    <t xml:space="preserve">11971_20230331</t>
  </si>
  <si>
    <t xml:space="preserve">0.9036264263607463</t>
  </si>
  <si>
    <t xml:space="preserve">195856</t>
  </si>
  <si>
    <t xml:space="preserve">7535</t>
  </si>
  <si>
    <t xml:space="preserve">2917862</t>
  </si>
  <si>
    <t xml:space="preserve">0.2694203946450107</t>
  </si>
  <si>
    <t xml:space="preserve">3.6283459318359705</t>
  </si>
  <si>
    <t xml:space="preserve">6311</t>
  </si>
  <si>
    <t xml:space="preserve">10.262666843409367</t>
  </si>
  <si>
    <t xml:space="preserve">12874_20230331</t>
  </si>
  <si>
    <t xml:space="preserve">1.0232951760443536</t>
  </si>
  <si>
    <t xml:space="preserve">133780</t>
  </si>
  <si>
    <t xml:space="preserve">4939</t>
  </si>
  <si>
    <t xml:space="preserve">753186</t>
  </si>
  <si>
    <t xml:space="preserve">0.06228867515667442</t>
  </si>
  <si>
    <t xml:space="preserve">3.92115359174494</t>
  </si>
  <si>
    <t xml:space="preserve">165</t>
  </si>
  <si>
    <t xml:space="preserve">11.03</t>
  </si>
  <si>
    <t xml:space="preserve">7.615444822696106</t>
  </si>
  <si>
    <t xml:space="preserve">13063_20230331</t>
  </si>
  <si>
    <t xml:space="preserve">1.1230195070982691</t>
  </si>
  <si>
    <t xml:space="preserve">53456</t>
  </si>
  <si>
    <t xml:space="preserve">932</t>
  </si>
  <si>
    <t xml:space="preserve">1363651</t>
  </si>
  <si>
    <t xml:space="preserve">0.10231020948577338</t>
  </si>
  <si>
    <t xml:space="preserve">3.324595748252629</t>
  </si>
  <si>
    <t xml:space="preserve">55</t>
  </si>
  <si>
    <t xml:space="preserve">1178</t>
  </si>
  <si>
    <t xml:space="preserve">5.76</t>
  </si>
  <si>
    <t xml:space="preserve">11.939303563563946</t>
  </si>
  <si>
    <t xml:space="preserve">14134_20230331</t>
  </si>
  <si>
    <t xml:space="preserve">1.109666246901135</t>
  </si>
  <si>
    <t xml:space="preserve">27912</t>
  </si>
  <si>
    <t xml:space="preserve">29009</t>
  </si>
  <si>
    <t xml:space="preserve">625870</t>
  </si>
  <si>
    <t xml:space="preserve">2.037627213446823</t>
  </si>
  <si>
    <t xml:space="preserve">3.395631381672483</t>
  </si>
  <si>
    <t xml:space="preserve">397</t>
  </si>
  <si>
    <t xml:space="preserve">4692</t>
  </si>
  <si>
    <t xml:space="preserve">5.89</t>
  </si>
  <si>
    <t xml:space="preserve">7.046637685826222</t>
  </si>
  <si>
    <t xml:space="preserve">14136_20230331</t>
  </si>
  <si>
    <t xml:space="preserve">1.3199167244968772</t>
  </si>
  <si>
    <t xml:space="preserve">13072</t>
  </si>
  <si>
    <t xml:space="preserve">14836</t>
  </si>
  <si>
    <t xml:space="preserve">142198</t>
  </si>
  <si>
    <t xml:space="preserve">0.22831367106176267</t>
  </si>
  <si>
    <t xml:space="preserve">4.150902194604397</t>
  </si>
  <si>
    <t xml:space="preserve">1355</t>
  </si>
  <si>
    <t xml:space="preserve">8.35</t>
  </si>
  <si>
    <t xml:space="preserve">8.573957100502765</t>
  </si>
  <si>
    <t xml:space="preserve">14140_20230331</t>
  </si>
  <si>
    <t xml:space="preserve">0.8181299283343552</t>
  </si>
  <si>
    <t xml:space="preserve">88947</t>
  </si>
  <si>
    <t xml:space="preserve">1356</t>
  </si>
  <si>
    <t xml:space="preserve">985236</t>
  </si>
  <si>
    <t xml:space="preserve">0.24110018190731888</t>
  </si>
  <si>
    <t xml:space="preserve">2.9487985027110897</t>
  </si>
  <si>
    <t xml:space="preserve">5.46</t>
  </si>
  <si>
    <t xml:space="preserve">5.631961550720997</t>
  </si>
  <si>
    <t xml:space="preserve">14158_20230331</t>
  </si>
  <si>
    <t xml:space="preserve">0.7100027032119072</t>
  </si>
  <si>
    <t xml:space="preserve">41376</t>
  </si>
  <si>
    <t xml:space="preserve">2300</t>
  </si>
  <si>
    <t xml:space="preserve">969682</t>
  </si>
  <si>
    <t xml:space="preserve">0.24052442311000435</t>
  </si>
  <si>
    <t xml:space="preserve">3.207638472479884</t>
  </si>
  <si>
    <t xml:space="preserve">1202</t>
  </si>
  <si>
    <t xml:space="preserve">17.35</t>
  </si>
  <si>
    <t xml:space="preserve">9.313911331653987</t>
  </si>
  <si>
    <t xml:space="preserve">14168_20230331</t>
  </si>
  <si>
    <t xml:space="preserve">1.5166484831173939</t>
  </si>
  <si>
    <t xml:space="preserve">11681</t>
  </si>
  <si>
    <t xml:space="preserve">9179</t>
  </si>
  <si>
    <t xml:space="preserve">210324</t>
  </si>
  <si>
    <t xml:space="preserve">0.45747624822651867</t>
  </si>
  <si>
    <t xml:space="preserve">3.741175359478668</t>
  </si>
  <si>
    <t xml:space="preserve">232</t>
  </si>
  <si>
    <t xml:space="preserve">8.79</t>
  </si>
  <si>
    <t xml:space="preserve">6.317395593169163</t>
  </si>
  <si>
    <t xml:space="preserve">14240_20230331</t>
  </si>
  <si>
    <t xml:space="preserve">1.1672668570718987</t>
  </si>
  <si>
    <t xml:space="preserve">24984</t>
  </si>
  <si>
    <t xml:space="preserve">17932</t>
  </si>
  <si>
    <t xml:space="preserve">939162</t>
  </si>
  <si>
    <t xml:space="preserve">0.2368840331111471</t>
  </si>
  <si>
    <t xml:space="preserve">2.9700610541534966</t>
  </si>
  <si>
    <t xml:space="preserve">2644</t>
  </si>
  <si>
    <t xml:space="preserve">7.03</t>
  </si>
  <si>
    <t xml:space="preserve">7.907781321917205</t>
  </si>
  <si>
    <t xml:space="preserve">17115_20230331</t>
  </si>
  <si>
    <t xml:space="preserve">1.0281384652738974</t>
  </si>
  <si>
    <t xml:space="preserve">41130</t>
  </si>
  <si>
    <t xml:space="preserve">4630</t>
  </si>
  <si>
    <t xml:space="preserve">851929</t>
  </si>
  <si>
    <t xml:space="preserve">0.030089024011970552</t>
  </si>
  <si>
    <t xml:space="preserve">3.1423377336719156</t>
  </si>
  <si>
    <t xml:space="preserve">37</t>
  </si>
  <si>
    <t xml:space="preserve">8.83</t>
  </si>
  <si>
    <t xml:space="preserve">8.347949696782107</t>
  </si>
  <si>
    <t xml:space="preserve">17180_20230331</t>
  </si>
  <si>
    <t xml:space="preserve">0.9428805781488488</t>
  </si>
  <si>
    <t xml:space="preserve">49856</t>
  </si>
  <si>
    <t xml:space="preserve">201536</t>
  </si>
  <si>
    <t xml:space="preserve">1397271</t>
  </si>
  <si>
    <t xml:space="preserve">0.3332692930735142</t>
  </si>
  <si>
    <t xml:space="preserve">3.0457547562242193</t>
  </si>
  <si>
    <t xml:space="preserve">72</t>
  </si>
  <si>
    <t xml:space="preserve">1615</t>
  </si>
  <si>
    <t xml:space="preserve">6.14</t>
  </si>
  <si>
    <t xml:space="preserve">10.562140214646124</t>
  </si>
  <si>
    <t xml:space="preserve">17443_20230331</t>
  </si>
  <si>
    <t xml:space="preserve">0.8297462347448447</t>
  </si>
  <si>
    <t xml:space="preserve">927</t>
  </si>
  <si>
    <t xml:space="preserve">206887</t>
  </si>
  <si>
    <t xml:space="preserve">0.11983625574015665</t>
  </si>
  <si>
    <t xml:space="preserve">1.741228905785429</t>
  </si>
  <si>
    <t xml:space="preserve">520</t>
  </si>
  <si>
    <t xml:space="preserve">10.905376208984658</t>
  </si>
  <si>
    <t xml:space="preserve">17658_20230331</t>
  </si>
  <si>
    <t xml:space="preserve">0.6032885426241228</t>
  </si>
  <si>
    <t xml:space="preserve">89661</t>
  </si>
  <si>
    <t xml:space="preserve">67833</t>
  </si>
  <si>
    <t xml:space="preserve">1226295</t>
  </si>
  <si>
    <t xml:space="preserve">0.054468614892302904</t>
  </si>
  <si>
    <t xml:space="preserve">3.498251851272771</t>
  </si>
  <si>
    <t xml:space="preserve">1867</t>
  </si>
  <si>
    <t xml:space="preserve">10.15</t>
  </si>
  <si>
    <t xml:space="preserve">13.11743639793876</t>
  </si>
  <si>
    <t xml:space="preserve">17741_20230331</t>
  </si>
  <si>
    <t xml:space="preserve">0.9701674114428481</t>
  </si>
  <si>
    <t xml:space="preserve">43923</t>
  </si>
  <si>
    <t xml:space="preserve">3582</t>
  </si>
  <si>
    <t xml:space="preserve">834361</t>
  </si>
  <si>
    <t xml:space="preserve">0.1989234868581127</t>
  </si>
  <si>
    <t xml:space="preserve">3.6297617476662167</t>
  </si>
  <si>
    <t xml:space="preserve">2512</t>
  </si>
  <si>
    <t xml:space="preserve">6.01</t>
  </si>
  <si>
    <t xml:space="preserve">9.369885119888572</t>
  </si>
  <si>
    <t xml:space="preserve">17743_20230331</t>
  </si>
  <si>
    <t xml:space="preserve">0.46660582657800265</t>
  </si>
  <si>
    <t xml:space="preserve">10295</t>
  </si>
  <si>
    <t xml:space="preserve">7106</t>
  </si>
  <si>
    <t xml:space="preserve">1004494</t>
  </si>
  <si>
    <t xml:space="preserve">0.2483147592704342</t>
  </si>
  <si>
    <t xml:space="preserve">2.168239703314169</t>
  </si>
  <si>
    <t xml:space="preserve">3655</t>
  </si>
  <si>
    <t xml:space="preserve">0.91</t>
  </si>
  <si>
    <t xml:space="preserve">0.2</t>
  </si>
  <si>
    <t xml:space="preserve">6.684846912550552</t>
  </si>
  <si>
    <t xml:space="preserve">17748_20230331</t>
  </si>
  <si>
    <t xml:space="preserve">0.7888616581968257</t>
  </si>
  <si>
    <t xml:space="preserve">161096</t>
  </si>
  <si>
    <t xml:space="preserve">3255</t>
  </si>
  <si>
    <t xml:space="preserve">1237527</t>
  </si>
  <si>
    <t xml:space="preserve">0.5131609221664515</t>
  </si>
  <si>
    <t xml:space="preserve">2.5524822685683923</t>
  </si>
  <si>
    <t xml:space="preserve">1111</t>
  </si>
  <si>
    <t xml:space="preserve">2887</t>
  </si>
  <si>
    <t xml:space="preserve">1.67</t>
  </si>
  <si>
    <t xml:space="preserve">12.614149304880684</t>
  </si>
  <si>
    <t xml:space="preserve">17749_20230331</t>
  </si>
  <si>
    <t xml:space="preserve">1.4406625604174688</t>
  </si>
  <si>
    <t xml:space="preserve">49547</t>
  </si>
  <si>
    <t xml:space="preserve">9780</t>
  </si>
  <si>
    <t xml:space="preserve">737350</t>
  </si>
  <si>
    <t xml:space="preserve">0.028070062876940843</t>
  </si>
  <si>
    <t xml:space="preserve">2.987929674297495</t>
  </si>
  <si>
    <t xml:space="preserve">1358</t>
  </si>
  <si>
    <t xml:space="preserve">10.8</t>
  </si>
  <si>
    <t xml:space="preserve">8.62153311002147</t>
  </si>
  <si>
    <t xml:space="preserve">17751_20230331</t>
  </si>
  <si>
    <t xml:space="preserve">0.9434141137851071</t>
  </si>
  <si>
    <t xml:space="preserve">113658</t>
  </si>
  <si>
    <t xml:space="preserve">1501</t>
  </si>
  <si>
    <t xml:space="preserve">1201597</t>
  </si>
  <si>
    <t xml:space="preserve">0.23445209189137053</t>
  </si>
  <si>
    <t xml:space="preserve">3.215237467447564</t>
  </si>
  <si>
    <t xml:space="preserve">4071</t>
  </si>
  <si>
    <t xml:space="preserve">2201</t>
  </si>
  <si>
    <t xml:space="preserve">12.014053632023062</t>
  </si>
  <si>
    <t xml:space="preserve">17897_20230331</t>
  </si>
  <si>
    <t xml:space="preserve">0.6029900450428013</t>
  </si>
  <si>
    <t xml:space="preserve">69971</t>
  </si>
  <si>
    <t xml:space="preserve">1396856</t>
  </si>
  <si>
    <t xml:space="preserve">0.27196459194637557</t>
  </si>
  <si>
    <t xml:space="preserve">2.6760874806526447</t>
  </si>
  <si>
    <t xml:space="preserve">-101</t>
  </si>
  <si>
    <t xml:space="preserve">5.48</t>
  </si>
  <si>
    <t xml:space="preserve">7.616820445303292</t>
  </si>
  <si>
    <t xml:space="preserve">17951_20230331</t>
  </si>
  <si>
    <t xml:space="preserve">0.8896780559135613</t>
  </si>
  <si>
    <t xml:space="preserve">22713</t>
  </si>
  <si>
    <t xml:space="preserve">1774</t>
  </si>
  <si>
    <t xml:space="preserve">531379</t>
  </si>
  <si>
    <t xml:space="preserve">0.012683041467950141</t>
  </si>
  <si>
    <t xml:space="preserve">2.8357805298565486</t>
  </si>
  <si>
    <t xml:space="preserve">-203</t>
  </si>
  <si>
    <t xml:space="preserve">2194</t>
  </si>
  <si>
    <t xml:space="preserve">7.67</t>
  </si>
  <si>
    <t xml:space="preserve">8.10079549325534</t>
  </si>
  <si>
    <t xml:space="preserve">17960_20230331</t>
  </si>
  <si>
    <t xml:space="preserve">1.0003443722304544</t>
  </si>
  <si>
    <t xml:space="preserve">113261</t>
  </si>
  <si>
    <t xml:space="preserve">202345</t>
  </si>
  <si>
    <t xml:space="preserve">1129791</t>
  </si>
  <si>
    <t xml:space="preserve">0.07194137435189234</t>
  </si>
  <si>
    <t xml:space="preserve">2.984886275023364</t>
  </si>
  <si>
    <t xml:space="preserve">2222</t>
  </si>
  <si>
    <t xml:space="preserve">6.94</t>
  </si>
  <si>
    <t xml:space="preserve">10.241298165356676</t>
  </si>
  <si>
    <t xml:space="preserve">18012_20230331</t>
  </si>
  <si>
    <t xml:space="preserve">1.2686959660196215</t>
  </si>
  <si>
    <t xml:space="preserve">46030</t>
  </si>
  <si>
    <t xml:space="preserve">34042</t>
  </si>
  <si>
    <t xml:space="preserve">1950430</t>
  </si>
  <si>
    <t xml:space="preserve">0.07137458852043516</t>
  </si>
  <si>
    <t xml:space="preserve">3.2387977484553474</t>
  </si>
  <si>
    <t xml:space="preserve">1100</t>
  </si>
  <si>
    <t xml:space="preserve">9.89</t>
  </si>
  <si>
    <t xml:space="preserve">7.685029932671155</t>
  </si>
  <si>
    <t xml:space="preserve">18013_20230331</t>
  </si>
  <si>
    <t xml:space="preserve">0.7424977639300013</t>
  </si>
  <si>
    <t xml:space="preserve">110218</t>
  </si>
  <si>
    <t xml:space="preserve">23888</t>
  </si>
  <si>
    <t xml:space="preserve">2187281</t>
  </si>
  <si>
    <t xml:space="preserve">0.04642312752110936</t>
  </si>
  <si>
    <t xml:space="preserve">2.981196328955302</t>
  </si>
  <si>
    <t xml:space="preserve">3732</t>
  </si>
  <si>
    <t xml:space="preserve">5.87</t>
  </si>
  <si>
    <t xml:space="preserve">9.906000505009748</t>
  </si>
  <si>
    <t xml:space="preserve">18028_20230331</t>
  </si>
  <si>
    <t xml:space="preserve">0.977234694199741</t>
  </si>
  <si>
    <t xml:space="preserve">15846</t>
  </si>
  <si>
    <t xml:space="preserve">8663</t>
  </si>
  <si>
    <t xml:space="preserve">250892</t>
  </si>
  <si>
    <t xml:space="preserve">0.6638565248965931</t>
  </si>
  <si>
    <t xml:space="preserve">3.5781437600525567</t>
  </si>
  <si>
    <t xml:space="preserve">87</t>
  </si>
  <si>
    <t xml:space="preserve">1473</t>
  </si>
  <si>
    <t xml:space="preserve">6.33</t>
  </si>
  <si>
    <t xml:space="preserve">6.350992022908571</t>
  </si>
  <si>
    <t xml:space="preserve">18030_20230331</t>
  </si>
  <si>
    <t xml:space="preserve">1.0186395459184587</t>
  </si>
  <si>
    <t xml:space="preserve">34886</t>
  </si>
  <si>
    <t xml:space="preserve">86405</t>
  </si>
  <si>
    <t xml:space="preserve">552801</t>
  </si>
  <si>
    <t xml:space="preserve">0.08970617199949865</t>
  </si>
  <si>
    <t xml:space="preserve">3.5049288061336252</t>
  </si>
  <si>
    <t xml:space="preserve">-12</t>
  </si>
  <si>
    <t xml:space="preserve">714</t>
  </si>
  <si>
    <t xml:space="preserve">10.13</t>
  </si>
  <si>
    <t xml:space="preserve">5.756175742366059</t>
  </si>
  <si>
    <t xml:space="preserve">18031_20230331</t>
  </si>
  <si>
    <t xml:space="preserve">0.8830442249249871</t>
  </si>
  <si>
    <t xml:space="preserve">28272</t>
  </si>
  <si>
    <t xml:space="preserve">7125</t>
  </si>
  <si>
    <t xml:space="preserve">463458</t>
  </si>
  <si>
    <t xml:space="preserve">0.18413685581506758</t>
  </si>
  <si>
    <t xml:space="preserve">2.865295281051132</t>
  </si>
  <si>
    <t xml:space="preserve">11.909397147606965</t>
  </si>
  <si>
    <t xml:space="preserve">18038_20230331</t>
  </si>
  <si>
    <t xml:space="preserve">0.9813530958642123</t>
  </si>
  <si>
    <t xml:space="preserve">17283</t>
  </si>
  <si>
    <t xml:space="preserve">3452</t>
  </si>
  <si>
    <t xml:space="preserve">414195</t>
  </si>
  <si>
    <t xml:space="preserve">0.5424336600525939</t>
  </si>
  <si>
    <t xml:space="preserve">2.596464779857416</t>
  </si>
  <si>
    <t xml:space="preserve">1813</t>
  </si>
  <si>
    <t xml:space="preserve">0.59</t>
  </si>
  <si>
    <t xml:space="preserve">5.123804523223177</t>
  </si>
  <si>
    <t xml:space="preserve">18408_20230331</t>
  </si>
  <si>
    <t xml:space="preserve">0.7735350003832534</t>
  </si>
  <si>
    <t xml:space="preserve">323957</t>
  </si>
  <si>
    <t xml:space="preserve">30117</t>
  </si>
  <si>
    <t xml:space="preserve">4673246</t>
  </si>
  <si>
    <t xml:space="preserve">0.056267128297758</t>
  </si>
  <si>
    <t xml:space="preserve">2.196734224216201</t>
  </si>
  <si>
    <t xml:space="preserve">1465</t>
  </si>
  <si>
    <t xml:space="preserve">5472</t>
  </si>
  <si>
    <t xml:space="preserve">1.48</t>
  </si>
  <si>
    <t xml:space="preserve">9.664878454094483</t>
  </si>
  <si>
    <t xml:space="preserve">19531_20230331</t>
  </si>
  <si>
    <t xml:space="preserve">1.2152921208369107</t>
  </si>
  <si>
    <t xml:space="preserve">238788</t>
  </si>
  <si>
    <t xml:space="preserve">14418</t>
  </si>
  <si>
    <t xml:space="preserve">1889220</t>
  </si>
  <si>
    <t xml:space="preserve">0.7827083623099439</t>
  </si>
  <si>
    <t xml:space="preserve">2.8390341463154933</t>
  </si>
  <si>
    <t xml:space="preserve">8568</t>
  </si>
  <si>
    <t xml:space="preserve">11.703452149868268</t>
  </si>
  <si>
    <t xml:space="preserve">19532_20230331</t>
  </si>
  <si>
    <t xml:space="preserve">1.0334972809775937</t>
  </si>
  <si>
    <t xml:space="preserve">34197</t>
  </si>
  <si>
    <t xml:space="preserve">47272</t>
  </si>
  <si>
    <t xml:space="preserve">552337</t>
  </si>
  <si>
    <t xml:space="preserve">0.12757456034258788</t>
  </si>
  <si>
    <t xml:space="preserve">3.56459940305092</t>
  </si>
  <si>
    <t xml:space="preserve">16</t>
  </si>
  <si>
    <t xml:space="preserve">427</t>
  </si>
  <si>
    <t xml:space="preserve">7.2</t>
  </si>
  <si>
    <t xml:space="preserve">9.903055281409703</t>
  </si>
  <si>
    <t xml:space="preserve">19690_20230331</t>
  </si>
  <si>
    <t xml:space="preserve">0.28257287945828247</t>
  </si>
  <si>
    <t xml:space="preserve">41557</t>
  </si>
  <si>
    <t xml:space="preserve">534</t>
  </si>
  <si>
    <t xml:space="preserve">2502703</t>
  </si>
  <si>
    <t xml:space="preserve">0.5786129942883782</t>
  </si>
  <si>
    <t xml:space="preserve">4.699121920824386</t>
  </si>
  <si>
    <t xml:space="preserve">6586</t>
  </si>
  <si>
    <t xml:space="preserve">18.3</t>
  </si>
  <si>
    <t xml:space="preserve">19.723507371304144</t>
  </si>
  <si>
    <t xml:space="preserve">19836_20230331</t>
  </si>
  <si>
    <t xml:space="preserve">0.8677649369044552</t>
  </si>
  <si>
    <t xml:space="preserve">49653</t>
  </si>
  <si>
    <t xml:space="preserve">12278</t>
  </si>
  <si>
    <t xml:space="preserve">492711</t>
  </si>
  <si>
    <t xml:space="preserve">0.49554951068761266</t>
  </si>
  <si>
    <t xml:space="preserve">4.185195445200986</t>
  </si>
  <si>
    <t xml:space="preserve">0.44</t>
  </si>
  <si>
    <t xml:space="preserve">17.090904636041493</t>
  </si>
  <si>
    <t xml:space="preserve">24540_20230331</t>
  </si>
  <si>
    <t xml:space="preserve">0.9985332280266275</t>
  </si>
  <si>
    <t xml:space="preserve">38781</t>
  </si>
  <si>
    <t xml:space="preserve">1123136</t>
  </si>
  <si>
    <t xml:space="preserve">0.03155675279250818</t>
  </si>
  <si>
    <t xml:space="preserve">5.051403422494842</t>
  </si>
  <si>
    <t xml:space="preserve">13.417743991994707</t>
  </si>
  <si>
    <t xml:space="preserve">27824_20230331</t>
  </si>
  <si>
    <t xml:space="preserve">0.7493199664687868</t>
  </si>
  <si>
    <t xml:space="preserve">20795</t>
  </si>
  <si>
    <t xml:space="preserve">40413</t>
  </si>
  <si>
    <t xml:space="preserve">406105</t>
  </si>
  <si>
    <t xml:space="preserve">0.29767505517253173</t>
  </si>
  <si>
    <t xml:space="preserve">2.102642377321313</t>
  </si>
  <si>
    <t xml:space="preserve">49</t>
  </si>
  <si>
    <t xml:space="preserve">-1.51</t>
  </si>
  <si>
    <t xml:space="preserve">9.254719620565155</t>
  </si>
  <si>
    <t xml:space="preserve">28155_20230331</t>
  </si>
  <si>
    <t xml:space="preserve">0.5677260488629934</t>
  </si>
  <si>
    <t xml:space="preserve">6272</t>
  </si>
  <si>
    <t xml:space="preserve">5371</t>
  </si>
  <si>
    <t xml:space="preserve">159904</t>
  </si>
  <si>
    <t xml:space="preserve">0.03233488996810039</t>
  </si>
  <si>
    <t xml:space="preserve">2.5980137696166743</t>
  </si>
  <si>
    <t xml:space="preserve">344</t>
  </si>
  <si>
    <t xml:space="preserve">6.022959584840383</t>
  </si>
  <si>
    <t xml:space="preserve">28288_20230331</t>
  </si>
  <si>
    <t xml:space="preserve">1.0914603335017685</t>
  </si>
  <si>
    <t xml:space="preserve">3222</t>
  </si>
  <si>
    <t xml:space="preserve">625</t>
  </si>
  <si>
    <t xml:space="preserve">78296</t>
  </si>
  <si>
    <t xml:space="preserve">0.3410813542193027</t>
  </si>
  <si>
    <t xml:space="preserve">3.007799923143234</t>
  </si>
  <si>
    <t xml:space="preserve">844</t>
  </si>
  <si>
    <t xml:space="preserve">1.26</t>
  </si>
  <si>
    <t xml:space="preserve">10.88513319965626</t>
  </si>
  <si>
    <t xml:space="preserve">28369_20230331</t>
  </si>
  <si>
    <t xml:space="preserve">0.7649541710492166</t>
  </si>
  <si>
    <t xml:space="preserve">10828</t>
  </si>
  <si>
    <t xml:space="preserve">757</t>
  </si>
  <si>
    <t xml:space="preserve">72647</t>
  </si>
  <si>
    <t xml:space="preserve">0.4453126067179368</t>
  </si>
  <si>
    <t xml:space="preserve">3.4921949200009736</t>
  </si>
  <si>
    <t xml:space="preserve">230</t>
  </si>
  <si>
    <t xml:space="preserve">-0.84</t>
  </si>
  <si>
    <t xml:space="preserve">8.439457872054199</t>
  </si>
  <si>
    <t xml:space="preserve">28837_20230331</t>
  </si>
  <si>
    <t xml:space="preserve">1.2147793726741094</t>
  </si>
  <si>
    <t xml:space="preserve">6280</t>
  </si>
  <si>
    <t xml:space="preserve">1194</t>
  </si>
  <si>
    <t xml:space="preserve">185815</t>
  </si>
  <si>
    <t xml:space="preserve">0.0101010101010101</t>
  </si>
  <si>
    <t xml:space="preserve">3.672235844215088</t>
  </si>
  <si>
    <t xml:space="preserve">454</t>
  </si>
  <si>
    <t xml:space="preserve">10.72</t>
  </si>
  <si>
    <t xml:space="preserve">13.370475042824642</t>
  </si>
  <si>
    <t xml:space="preserve">29636_20230331</t>
  </si>
  <si>
    <t xml:space="preserve">1.4485846218756593</t>
  </si>
  <si>
    <t xml:space="preserve">1626</t>
  </si>
  <si>
    <t xml:space="preserve">1707</t>
  </si>
  <si>
    <t xml:space="preserve">126133</t>
  </si>
  <si>
    <t xml:space="preserve">1.931446162500879</t>
  </si>
  <si>
    <t xml:space="preserve">3.568067336320534</t>
  </si>
  <si>
    <t xml:space="preserve">2283</t>
  </si>
  <si>
    <t xml:space="preserve">2.45</t>
  </si>
  <si>
    <t xml:space="preserve">8.563120425147899</t>
  </si>
  <si>
    <t xml:space="preserve">29743_20230331</t>
  </si>
  <si>
    <t xml:space="preserve">0.7546781333396685</t>
  </si>
  <si>
    <t xml:space="preserve">24692</t>
  </si>
  <si>
    <t xml:space="preserve">20551</t>
  </si>
  <si>
    <t xml:space="preserve">125326</t>
  </si>
  <si>
    <t xml:space="preserve">0.16075515327172374</t>
  </si>
  <si>
    <t xml:space="preserve">2.4734542982899677</t>
  </si>
  <si>
    <t xml:space="preserve">607</t>
  </si>
  <si>
    <t xml:space="preserve">8.45</t>
  </si>
  <si>
    <t xml:space="preserve">9.87860762563664</t>
  </si>
  <si>
    <t xml:space="preserve">29744_20230331</t>
  </si>
  <si>
    <t xml:space="preserve">0.8097405429647937</t>
  </si>
  <si>
    <t xml:space="preserve">24690</t>
  </si>
  <si>
    <t xml:space="preserve">8293</t>
  </si>
  <si>
    <t xml:space="preserve">402523</t>
  </si>
  <si>
    <t xml:space="preserve">0.0216850784482355</t>
  </si>
  <si>
    <t xml:space="preserve">2.482275650470627</t>
  </si>
  <si>
    <t xml:space="preserve">3.94</t>
  </si>
  <si>
    <t xml:space="preserve">9.582907919373982</t>
  </si>
  <si>
    <t xml:space="preserve">30350_20230331</t>
  </si>
  <si>
    <t xml:space="preserve">1.3036599139202898</t>
  </si>
  <si>
    <t xml:space="preserve">16693</t>
  </si>
  <si>
    <t xml:space="preserve">1231</t>
  </si>
  <si>
    <t xml:space="preserve">387999</t>
  </si>
  <si>
    <t xml:space="preserve">0.333991310629725</t>
  </si>
  <si>
    <t xml:space="preserve">3.0343632610760696</t>
  </si>
  <si>
    <t xml:space="preserve">-16</t>
  </si>
  <si>
    <t xml:space="preserve">1612</t>
  </si>
  <si>
    <t xml:space="preserve">8.72</t>
  </si>
  <si>
    <t xml:space="preserve">12.004190413947544</t>
  </si>
  <si>
    <t xml:space="preserve">30878_20230331</t>
  </si>
  <si>
    <t xml:space="preserve">1.0166269640751702</t>
  </si>
  <si>
    <t xml:space="preserve">97</t>
  </si>
  <si>
    <t xml:space="preserve">82273</t>
  </si>
  <si>
    <t xml:space="preserve">0.854207271589788</t>
  </si>
  <si>
    <t xml:space="preserve">2.0057929402963195</t>
  </si>
  <si>
    <t xml:space="preserve">25</t>
  </si>
  <si>
    <t xml:space="preserve">-2.47</t>
  </si>
  <si>
    <t xml:space="preserve">9.03629489907351</t>
  </si>
  <si>
    <t xml:space="preserve">33418_20230331</t>
  </si>
  <si>
    <t xml:space="preserve">0.7834959656010058</t>
  </si>
  <si>
    <t xml:space="preserve">46441</t>
  </si>
  <si>
    <t xml:space="preserve">11330</t>
  </si>
  <si>
    <t xml:space="preserve">360651</t>
  </si>
  <si>
    <t xml:space="preserve">0.35405874569118484</t>
  </si>
  <si>
    <t xml:space="preserve">3.0075522682401856</t>
  </si>
  <si>
    <t xml:space="preserve">10.44</t>
  </si>
  <si>
    <t xml:space="preserve">96.15373067107042</t>
  </si>
  <si>
    <t xml:space="preserve">35206_20230331</t>
  </si>
  <si>
    <t xml:space="preserve">4.349433632482942</t>
  </si>
  <si>
    <t xml:space="preserve">8.324420927217297</t>
  </si>
  <si>
    <t xml:space="preserve">4255_20230331</t>
  </si>
  <si>
    <t xml:space="preserve">0.9106671211745923</t>
  </si>
  <si>
    <t xml:space="preserve">347458</t>
  </si>
  <si>
    <t xml:space="preserve">19811</t>
  </si>
  <si>
    <t xml:space="preserve">4040536</t>
  </si>
  <si>
    <t xml:space="preserve">0.07254142684425174</t>
  </si>
  <si>
    <t xml:space="preserve">2.653211900231365</t>
  </si>
  <si>
    <t xml:space="preserve">227</t>
  </si>
  <si>
    <t xml:space="preserve">2138</t>
  </si>
  <si>
    <t xml:space="preserve">11.39</t>
  </si>
  <si>
    <t xml:space="preserve">7.199929703027704</t>
  </si>
  <si>
    <t xml:space="preserve">4256_20230331</t>
  </si>
  <si>
    <t xml:space="preserve">1.1830463974275374</t>
  </si>
  <si>
    <t xml:space="preserve">294299</t>
  </si>
  <si>
    <t xml:space="preserve">19435</t>
  </si>
  <si>
    <t xml:space="preserve">1959389</t>
  </si>
  <si>
    <t xml:space="preserve">0.10126852954363094</t>
  </si>
  <si>
    <t xml:space="preserve">2.7073245314139216</t>
  </si>
  <si>
    <t xml:space="preserve">946</t>
  </si>
  <si>
    <t xml:space="preserve">16.35</t>
  </si>
  <si>
    <t xml:space="preserve">11.616779584560154</t>
  </si>
  <si>
    <t xml:space="preserve">59086_20230331</t>
  </si>
  <si>
    <t xml:space="preserve">1.101419749156427</t>
  </si>
  <si>
    <t xml:space="preserve">118646</t>
  </si>
  <si>
    <t xml:space="preserve">574758</t>
  </si>
  <si>
    <t xml:space="preserve">0.3702945321332028</t>
  </si>
  <si>
    <t xml:space="preserve">4.144726386608041</t>
  </si>
  <si>
    <t xml:space="preserve">200</t>
  </si>
  <si>
    <t xml:space="preserve">14.18</t>
  </si>
  <si>
    <t xml:space="preserve">12.247006339516318</t>
  </si>
  <si>
    <t xml:space="preserve">59176_20230331</t>
  </si>
  <si>
    <t xml:space="preserve">0.9884048344476051</t>
  </si>
  <si>
    <t xml:space="preserve">18881</t>
  </si>
  <si>
    <t xml:space="preserve">137137</t>
  </si>
  <si>
    <t xml:space="preserve">2.881979794815569</t>
  </si>
  <si>
    <t xml:space="preserve">1.66</t>
  </si>
  <si>
    <t xml:space="preserve">0.9</t>
  </si>
  <si>
    <t xml:space="preserve">46.61691207781438</t>
  </si>
  <si>
    <t xml:space="preserve">59289_20230331</t>
  </si>
  <si>
    <t xml:space="preserve">1.1515096563605043</t>
  </si>
  <si>
    <t xml:space="preserve">5881</t>
  </si>
  <si>
    <t xml:space="preserve">10902</t>
  </si>
  <si>
    <t xml:space="preserve">3.924361104517762</t>
  </si>
  <si>
    <t xml:space="preserve">-13.02</t>
  </si>
  <si>
    <t xml:space="preserve">0.58</t>
  </si>
  <si>
    <t xml:space="preserve">24.900942455586673</t>
  </si>
  <si>
    <t xml:space="preserve">59298_20230331</t>
  </si>
  <si>
    <t xml:space="preserve">0.9994342824816143</t>
  </si>
  <si>
    <t xml:space="preserve">8264</t>
  </si>
  <si>
    <t xml:space="preserve">36750</t>
  </si>
  <si>
    <t xml:space="preserve">2.418097508474406</t>
  </si>
  <si>
    <t xml:space="preserve">-12.44</t>
  </si>
  <si>
    <t xml:space="preserve">8.924937868903386</t>
  </si>
  <si>
    <t xml:space="preserve">6271_20230331</t>
  </si>
  <si>
    <t xml:space="preserve">1.2193451157692836</t>
  </si>
  <si>
    <t xml:space="preserve">120865</t>
  </si>
  <si>
    <t xml:space="preserve">3347</t>
  </si>
  <si>
    <t xml:space="preserve">749840</t>
  </si>
  <si>
    <t xml:space="preserve">1.1405672009864365</t>
  </si>
  <si>
    <t xml:space="preserve">3.5677148678368695</t>
  </si>
  <si>
    <t xml:space="preserve">-96</t>
  </si>
  <si>
    <t xml:space="preserve">2551</t>
  </si>
  <si>
    <t xml:space="preserve">16.14</t>
  </si>
  <si>
    <t xml:space="preserve">5.3684709733213065</t>
  </si>
  <si>
    <t xml:space="preserve">6275_20230331</t>
  </si>
  <si>
    <t xml:space="preserve">0.42346080378489837</t>
  </si>
  <si>
    <t xml:space="preserve">34399</t>
  </si>
  <si>
    <t xml:space="preserve">13680</t>
  </si>
  <si>
    <t xml:space="preserve">314865</t>
  </si>
  <si>
    <t xml:space="preserve">0.4250420614539981</t>
  </si>
  <si>
    <t xml:space="preserve">3.1316128693876975</t>
  </si>
  <si>
    <t xml:space="preserve">12.03</t>
  </si>
  <si>
    <t xml:space="preserve">10.741340702272618</t>
  </si>
  <si>
    <t xml:space="preserve">6280_20230331</t>
  </si>
  <si>
    <t xml:space="preserve">1.2993950820960012</t>
  </si>
  <si>
    <t xml:space="preserve">3599</t>
  </si>
  <si>
    <t xml:space="preserve">1756</t>
  </si>
  <si>
    <t xml:space="preserve">62818</t>
  </si>
  <si>
    <t xml:space="preserve">0.9380155550318171</t>
  </si>
  <si>
    <t xml:space="preserve">4.843421723293427</t>
  </si>
  <si>
    <t xml:space="preserve">768</t>
  </si>
  <si>
    <t xml:space="preserve">18.7</t>
  </si>
  <si>
    <t xml:space="preserve">11.51701710978718</t>
  </si>
  <si>
    <t xml:space="preserve">11971_20230630</t>
  </si>
  <si>
    <t xml:space="preserve">0.9086896729454437</t>
  </si>
  <si>
    <t xml:space="preserve">218097</t>
  </si>
  <si>
    <t xml:space="preserve">7796</t>
  </si>
  <si>
    <t xml:space="preserve">2983787</t>
  </si>
  <si>
    <t xml:space="preserve">0.2415024962232025</t>
  </si>
  <si>
    <t xml:space="preserve">3.4759681665107354</t>
  </si>
  <si>
    <t xml:space="preserve">1816</t>
  </si>
  <si>
    <t xml:space="preserve">10.108782011242972</t>
  </si>
  <si>
    <t xml:space="preserve">12874_20230630</t>
  </si>
  <si>
    <t xml:space="preserve">0.9828057009643709</t>
  </si>
  <si>
    <t xml:space="preserve">141954</t>
  </si>
  <si>
    <t xml:space="preserve">5455</t>
  </si>
  <si>
    <t xml:space="preserve">773454</t>
  </si>
  <si>
    <t xml:space="preserve">0.05376818997069634</t>
  </si>
  <si>
    <t xml:space="preserve">3.902323850848409</t>
  </si>
  <si>
    <t xml:space="preserve">193</t>
  </si>
  <si>
    <t xml:space="preserve">10.9</t>
  </si>
  <si>
    <t xml:space="preserve">7.5609912232680525</t>
  </si>
  <si>
    <t xml:space="preserve">13063_20230630</t>
  </si>
  <si>
    <t xml:space="preserve">1.1635900442790998</t>
  </si>
  <si>
    <t xml:space="preserve">53620</t>
  </si>
  <si>
    <t xml:space="preserve">851</t>
  </si>
  <si>
    <t xml:space="preserve">1368738</t>
  </si>
  <si>
    <t xml:space="preserve">0.08751837741505952</t>
  </si>
  <si>
    <t xml:space="preserve">3.221178935607717</t>
  </si>
  <si>
    <t xml:space="preserve">53</t>
  </si>
  <si>
    <t xml:space="preserve">11.857940333145642</t>
  </si>
  <si>
    <t xml:space="preserve">14134_20230630</t>
  </si>
  <si>
    <t xml:space="preserve">1.1135964335193456</t>
  </si>
  <si>
    <t xml:space="preserve">28195</t>
  </si>
  <si>
    <t xml:space="preserve">29490</t>
  </si>
  <si>
    <t xml:space="preserve">638821</t>
  </si>
  <si>
    <t xml:space="preserve">1.8728667291007175</t>
  </si>
  <si>
    <t xml:space="preserve">3.293346337978831</t>
  </si>
  <si>
    <t xml:space="preserve">451</t>
  </si>
  <si>
    <t xml:space="preserve">5509</t>
  </si>
  <si>
    <t xml:space="preserve">5.94</t>
  </si>
  <si>
    <t xml:space="preserve">6.838411946696164</t>
  </si>
  <si>
    <t xml:space="preserve">14136_20230630</t>
  </si>
  <si>
    <t xml:space="preserve">1.30946709317362</t>
  </si>
  <si>
    <t xml:space="preserve">13599</t>
  </si>
  <si>
    <t xml:space="preserve">14936</t>
  </si>
  <si>
    <t xml:space="preserve">145006</t>
  </si>
  <si>
    <t xml:space="preserve">0.49751582386170284</t>
  </si>
  <si>
    <t xml:space="preserve">4.1160144672728185</t>
  </si>
  <si>
    <t xml:space="preserve">21</t>
  </si>
  <si>
    <t xml:space="preserve">9.74</t>
  </si>
  <si>
    <t xml:space="preserve">8.190630914436275</t>
  </si>
  <si>
    <t xml:space="preserve">14140_20230630</t>
  </si>
  <si>
    <t xml:space="preserve">0.8176708524332175</t>
  </si>
  <si>
    <t xml:space="preserve">93803</t>
  </si>
  <si>
    <t xml:space="preserve">1397</t>
  </si>
  <si>
    <t xml:space="preserve">1004595</t>
  </si>
  <si>
    <t xml:space="preserve">0.4417120736278936</t>
  </si>
  <si>
    <t xml:space="preserve">2.7602160616299014</t>
  </si>
  <si>
    <t xml:space="preserve">18</t>
  </si>
  <si>
    <t xml:space="preserve">169</t>
  </si>
  <si>
    <t xml:space="preserve">5.63828527665748</t>
  </si>
  <si>
    <t xml:space="preserve">14158_20230630</t>
  </si>
  <si>
    <t xml:space="preserve">0.7210947878035007</t>
  </si>
  <si>
    <t xml:space="preserve">41096</t>
  </si>
  <si>
    <t xml:space="preserve">2333</t>
  </si>
  <si>
    <t xml:space="preserve">933457</t>
  </si>
  <si>
    <t xml:space="preserve">0.21494580621694317</t>
  </si>
  <si>
    <t xml:space="preserve">3.1733370299014934</t>
  </si>
  <si>
    <t xml:space="preserve">286</t>
  </si>
  <si>
    <t xml:space="preserve">16.54</t>
  </si>
  <si>
    <t xml:space="preserve">0.18</t>
  </si>
  <si>
    <t xml:space="preserve">9.32525839154617</t>
  </si>
  <si>
    <t xml:space="preserve">14168_20230630</t>
  </si>
  <si>
    <t xml:space="preserve">1.5755128528680102</t>
  </si>
  <si>
    <t xml:space="preserve">11719</t>
  </si>
  <si>
    <t xml:space="preserve">9368</t>
  </si>
  <si>
    <t xml:space="preserve">218400</t>
  </si>
  <si>
    <t xml:space="preserve">0.4506615711865018</t>
  </si>
  <si>
    <t xml:space="preserve">3.8700155621877523</t>
  </si>
  <si>
    <t xml:space="preserve">648</t>
  </si>
  <si>
    <t xml:space="preserve">8.49</t>
  </si>
  <si>
    <t xml:space="preserve">6.162198458240846</t>
  </si>
  <si>
    <t xml:space="preserve">14240_20230630</t>
  </si>
  <si>
    <t xml:space="preserve">1.1548987240257005</t>
  </si>
  <si>
    <t xml:space="preserve">25053</t>
  </si>
  <si>
    <t xml:space="preserve">18013</t>
  </si>
  <si>
    <t xml:space="preserve">950280</t>
  </si>
  <si>
    <t xml:space="preserve">0.2503684795757778</t>
  </si>
  <si>
    <t xml:space="preserve">2.843183502050875</t>
  </si>
  <si>
    <t xml:space="preserve">15</t>
  </si>
  <si>
    <t xml:space="preserve">439</t>
  </si>
  <si>
    <t xml:space="preserve">7.82</t>
  </si>
  <si>
    <t xml:space="preserve">7.641841556856958</t>
  </si>
  <si>
    <t xml:space="preserve">17115_20230630</t>
  </si>
  <si>
    <t xml:space="preserve">1.0444982544482957</t>
  </si>
  <si>
    <t xml:space="preserve">43867</t>
  </si>
  <si>
    <t xml:space="preserve">5156</t>
  </si>
  <si>
    <t xml:space="preserve">873311</t>
  </si>
  <si>
    <t xml:space="preserve">0.028780923912981895</t>
  </si>
  <si>
    <t xml:space="preserve">3.0071112208116952</t>
  </si>
  <si>
    <t xml:space="preserve">7.48</t>
  </si>
  <si>
    <t xml:space="preserve">8.149264311548146</t>
  </si>
  <si>
    <t xml:space="preserve">17180_20230630</t>
  </si>
  <si>
    <t xml:space="preserve">0.947256107227489</t>
  </si>
  <si>
    <t xml:space="preserve">51213</t>
  </si>
  <si>
    <t xml:space="preserve">198983</t>
  </si>
  <si>
    <t xml:space="preserve">1437079</t>
  </si>
  <si>
    <t xml:space="preserve">0.44030211838530164</t>
  </si>
  <si>
    <t xml:space="preserve">2.911815245216498</t>
  </si>
  <si>
    <t xml:space="preserve">149</t>
  </si>
  <si>
    <t xml:space="preserve">1866</t>
  </si>
  <si>
    <t xml:space="preserve">4.75</t>
  </si>
  <si>
    <t xml:space="preserve">10.554749748320054</t>
  </si>
  <si>
    <t xml:space="preserve">17443_20230630</t>
  </si>
  <si>
    <t xml:space="preserve">0.8262440713694195</t>
  </si>
  <si>
    <t xml:space="preserve">716</t>
  </si>
  <si>
    <t xml:space="preserve">210772</t>
  </si>
  <si>
    <t xml:space="preserve">0.05128735978318152</t>
  </si>
  <si>
    <t xml:space="preserve">1.66288900108496</t>
  </si>
  <si>
    <t xml:space="preserve">1208</t>
  </si>
  <si>
    <t xml:space="preserve">0.95</t>
  </si>
  <si>
    <t xml:space="preserve">10.862485284857776</t>
  </si>
  <si>
    <t xml:space="preserve">17658_20230630</t>
  </si>
  <si>
    <t xml:space="preserve">0.5866661626173392</t>
  </si>
  <si>
    <t xml:space="preserve">94739</t>
  </si>
  <si>
    <t xml:space="preserve">76379</t>
  </si>
  <si>
    <t xml:space="preserve">1262268</t>
  </si>
  <si>
    <t xml:space="preserve">0.10781930146638975</t>
  </si>
  <si>
    <t xml:space="preserve">3.4272350837753485</t>
  </si>
  <si>
    <t xml:space="preserve">-88</t>
  </si>
  <si>
    <t xml:space="preserve">1757</t>
  </si>
  <si>
    <t xml:space="preserve">8.66</t>
  </si>
  <si>
    <t xml:space="preserve">12.87657957831581</t>
  </si>
  <si>
    <t xml:space="preserve">17741_20230630</t>
  </si>
  <si>
    <t xml:space="preserve">0.9353620397956102</t>
  </si>
  <si>
    <t xml:space="preserve">50276</t>
  </si>
  <si>
    <t xml:space="preserve">4108</t>
  </si>
  <si>
    <t xml:space="preserve">869525</t>
  </si>
  <si>
    <t xml:space="preserve">0.22637812095905938</t>
  </si>
  <si>
    <t xml:space="preserve">3.4254855195193232</t>
  </si>
  <si>
    <t xml:space="preserve">5.33</t>
  </si>
  <si>
    <t xml:space="preserve">9.09355479415065</t>
  </si>
  <si>
    <t xml:space="preserve">17743_20230630</t>
  </si>
  <si>
    <t xml:space="preserve">0.4543451576853467</t>
  </si>
  <si>
    <t xml:space="preserve">11605</t>
  </si>
  <si>
    <t xml:space="preserve">7617</t>
  </si>
  <si>
    <t xml:space="preserve">1032385</t>
  </si>
  <si>
    <t xml:space="preserve">0.4258039508358427</t>
  </si>
  <si>
    <t xml:space="preserve">2.0864310737796097</t>
  </si>
  <si>
    <t xml:space="preserve">993</t>
  </si>
  <si>
    <t xml:space="preserve">1.04</t>
  </si>
  <si>
    <t xml:space="preserve">6.57922032913796</t>
  </si>
  <si>
    <t xml:space="preserve">17748_20230630</t>
  </si>
  <si>
    <t xml:space="preserve">0.8918780439473162</t>
  </si>
  <si>
    <t xml:space="preserve">181251</t>
  </si>
  <si>
    <t xml:space="preserve">3607</t>
  </si>
  <si>
    <t xml:space="preserve">1255356</t>
  </si>
  <si>
    <t xml:space="preserve">0.529110971986803</t>
  </si>
  <si>
    <t xml:space="preserve">2.4823744649979314</t>
  </si>
  <si>
    <t xml:space="preserve">1110</t>
  </si>
  <si>
    <t xml:space="preserve">1943</t>
  </si>
  <si>
    <t xml:space="preserve">12.262771282685542</t>
  </si>
  <si>
    <t xml:space="preserve">17749_20230630</t>
  </si>
  <si>
    <t xml:space="preserve">1.4101102976684887</t>
  </si>
  <si>
    <t xml:space="preserve">52094</t>
  </si>
  <si>
    <t xml:space="preserve">10410</t>
  </si>
  <si>
    <t xml:space="preserve">765585</t>
  </si>
  <si>
    <t xml:space="preserve">0.03773171846729381</t>
  </si>
  <si>
    <t xml:space="preserve">2.8428751309566693</t>
  </si>
  <si>
    <t xml:space="preserve">10.91</t>
  </si>
  <si>
    <t xml:space="preserve">8.44173858131027</t>
  </si>
  <si>
    <t xml:space="preserve">17751_20230630</t>
  </si>
  <si>
    <t xml:space="preserve">0.9258477646980126</t>
  </si>
  <si>
    <t xml:space="preserve">118420</t>
  </si>
  <si>
    <t xml:space="preserve">2111</t>
  </si>
  <si>
    <t xml:space="preserve">1244088</t>
  </si>
  <si>
    <t xml:space="preserve">0.21700801297110647</t>
  </si>
  <si>
    <t xml:space="preserve">3.142540475621969</t>
  </si>
  <si>
    <t xml:space="preserve">4196</t>
  </si>
  <si>
    <t xml:space="preserve">2912</t>
  </si>
  <si>
    <t xml:space="preserve">6.68</t>
  </si>
  <si>
    <t xml:space="preserve">12.123989976858159</t>
  </si>
  <si>
    <t xml:space="preserve">17897_20230630</t>
  </si>
  <si>
    <t xml:space="preserve">0.5933506514827398</t>
  </si>
  <si>
    <t xml:space="preserve">70462</t>
  </si>
  <si>
    <t xml:space="preserve">3869</t>
  </si>
  <si>
    <t xml:space="preserve">1404776</t>
  </si>
  <si>
    <t xml:space="preserve">0.2635226984044988</t>
  </si>
  <si>
    <t xml:space="preserve">2.6042766790316243</t>
  </si>
  <si>
    <t xml:space="preserve">-87</t>
  </si>
  <si>
    <t xml:space="preserve">1892</t>
  </si>
  <si>
    <t xml:space="preserve">7.245484217826443</t>
  </si>
  <si>
    <t xml:space="preserve">17951_20230630</t>
  </si>
  <si>
    <t xml:space="preserve">0.9007854112124221</t>
  </si>
  <si>
    <t xml:space="preserve">23611</t>
  </si>
  <si>
    <t xml:space="preserve">1822</t>
  </si>
  <si>
    <t xml:space="preserve">548861</t>
  </si>
  <si>
    <t xml:space="preserve">0.012097138214317956</t>
  </si>
  <si>
    <t xml:space="preserve">2.739489791235246</t>
  </si>
  <si>
    <t xml:space="preserve">-197</t>
  </si>
  <si>
    <t xml:space="preserve">168</t>
  </si>
  <si>
    <t xml:space="preserve">7.85</t>
  </si>
  <si>
    <t xml:space="preserve">7.991871322503952</t>
  </si>
  <si>
    <t xml:space="preserve">17960_20230630</t>
  </si>
  <si>
    <t xml:space="preserve">0.9686573416588031</t>
  </si>
  <si>
    <t xml:space="preserve">111328</t>
  </si>
  <si>
    <t xml:space="preserve">219108</t>
  </si>
  <si>
    <t xml:space="preserve">1151276</t>
  </si>
  <si>
    <t xml:space="preserve">0.7280628487523408</t>
  </si>
  <si>
    <t xml:space="preserve">2.8668607365284893</t>
  </si>
  <si>
    <t xml:space="preserve">39</t>
  </si>
  <si>
    <t xml:space="preserve">2045</t>
  </si>
  <si>
    <t xml:space="preserve">5.97</t>
  </si>
  <si>
    <t xml:space="preserve">10.19111828142356</t>
  </si>
  <si>
    <t xml:space="preserve">18012_20230630</t>
  </si>
  <si>
    <t xml:space="preserve">1.2676861212754054</t>
  </si>
  <si>
    <t xml:space="preserve">50060</t>
  </si>
  <si>
    <t xml:space="preserve">34372</t>
  </si>
  <si>
    <t xml:space="preserve">1979964</t>
  </si>
  <si>
    <t xml:space="preserve">0.0504142344665815</t>
  </si>
  <si>
    <t xml:space="preserve">3.087855155041744</t>
  </si>
  <si>
    <t xml:space="preserve">74</t>
  </si>
  <si>
    <t xml:space="preserve">2254</t>
  </si>
  <si>
    <t xml:space="preserve">7.456901157330921</t>
  </si>
  <si>
    <t xml:space="preserve">18013_20230630</t>
  </si>
  <si>
    <t xml:space="preserve">0.7203148691295334</t>
  </si>
  <si>
    <t xml:space="preserve">108738</t>
  </si>
  <si>
    <t xml:space="preserve">25577</t>
  </si>
  <si>
    <t xml:space="preserve">2245221</t>
  </si>
  <si>
    <t xml:space="preserve">0.050939394059989096</t>
  </si>
  <si>
    <t xml:space="preserve">2.8368467408035425</t>
  </si>
  <si>
    <t xml:space="preserve">3815</t>
  </si>
  <si>
    <t xml:space="preserve">6.1</t>
  </si>
  <si>
    <t xml:space="preserve">9.839538868982707</t>
  </si>
  <si>
    <t xml:space="preserve">18028_20230630</t>
  </si>
  <si>
    <t xml:space="preserve">0.9463171617469038</t>
  </si>
  <si>
    <t xml:space="preserve">15285</t>
  </si>
  <si>
    <t xml:space="preserve">7701</t>
  </si>
  <si>
    <t xml:space="preserve">255297</t>
  </si>
  <si>
    <t xml:space="preserve">0.33949467672346895</t>
  </si>
  <si>
    <t xml:space="preserve">3.498009688101206</t>
  </si>
  <si>
    <t xml:space="preserve">234</t>
  </si>
  <si>
    <t xml:space="preserve">417</t>
  </si>
  <si>
    <t xml:space="preserve">6.049326909894024</t>
  </si>
  <si>
    <t xml:space="preserve">18030_20230630</t>
  </si>
  <si>
    <t xml:space="preserve">0.9916003612015062</t>
  </si>
  <si>
    <t xml:space="preserve">41828</t>
  </si>
  <si>
    <t xml:space="preserve">95640</t>
  </si>
  <si>
    <t xml:space="preserve">581110</t>
  </si>
  <si>
    <t xml:space="preserve">0.08348525377813368</t>
  </si>
  <si>
    <t xml:space="preserve">3.4846516374812673</t>
  </si>
  <si>
    <t xml:space="preserve">161</t>
  </si>
  <si>
    <t xml:space="preserve">9.53</t>
  </si>
  <si>
    <t xml:space="preserve">5.246117383987375</t>
  </si>
  <si>
    <t xml:space="preserve">18031_20230630</t>
  </si>
  <si>
    <t xml:space="preserve">0.8546670359672378</t>
  </si>
  <si>
    <t xml:space="preserve">28192</t>
  </si>
  <si>
    <t xml:space="preserve">10462</t>
  </si>
  <si>
    <t xml:space="preserve">476083</t>
  </si>
  <si>
    <t xml:space="preserve">0.21283375018482384</t>
  </si>
  <si>
    <t xml:space="preserve">2.744322838821658</t>
  </si>
  <si>
    <t xml:space="preserve">1125</t>
  </si>
  <si>
    <t xml:space="preserve">11.907746119653137</t>
  </si>
  <si>
    <t xml:space="preserve">18038_20230630</t>
  </si>
  <si>
    <t xml:space="preserve">0.9880740650795578</t>
  </si>
  <si>
    <t xml:space="preserve">16670</t>
  </si>
  <si>
    <t xml:space="preserve">3651</t>
  </si>
  <si>
    <t xml:space="preserve">415859</t>
  </si>
  <si>
    <t xml:space="preserve">0.5399884288193825</t>
  </si>
  <si>
    <t xml:space="preserve">2.5926399056650125</t>
  </si>
  <si>
    <t xml:space="preserve">765</t>
  </si>
  <si>
    <t xml:space="preserve">4.925687174946326</t>
  </si>
  <si>
    <t xml:space="preserve">18408_20230630</t>
  </si>
  <si>
    <t xml:space="preserve">0.7973732797646373</t>
  </si>
  <si>
    <t xml:space="preserve">309355</t>
  </si>
  <si>
    <t xml:space="preserve">32242</t>
  </si>
  <si>
    <t xml:space="preserve">4736854</t>
  </si>
  <si>
    <t xml:space="preserve">0.07275502374067211</t>
  </si>
  <si>
    <t xml:space="preserve">2.121599524305039</t>
  </si>
  <si>
    <t xml:space="preserve">1521</t>
  </si>
  <si>
    <t xml:space="preserve">3273</t>
  </si>
  <si>
    <t xml:space="preserve">1.51</t>
  </si>
  <si>
    <t xml:space="preserve">9.822909423879683</t>
  </si>
  <si>
    <t xml:space="preserve">19531_20230630</t>
  </si>
  <si>
    <t xml:space="preserve">1.1616249203435207</t>
  </si>
  <si>
    <t xml:space="preserve">238802</t>
  </si>
  <si>
    <t xml:space="preserve">15221</t>
  </si>
  <si>
    <t xml:space="preserve">1926354</t>
  </si>
  <si>
    <t xml:space="preserve">0.6114949558592792</t>
  </si>
  <si>
    <t xml:space="preserve">2.737569031030944</t>
  </si>
  <si>
    <t xml:space="preserve">1077</t>
  </si>
  <si>
    <t xml:space="preserve">2559</t>
  </si>
  <si>
    <t xml:space="preserve">11.5598427252877</t>
  </si>
  <si>
    <t xml:space="preserve">19532_20230630</t>
  </si>
  <si>
    <t xml:space="preserve">1.0191685143338836</t>
  </si>
  <si>
    <t xml:space="preserve">38262</t>
  </si>
  <si>
    <t xml:space="preserve">49373</t>
  </si>
  <si>
    <t xml:space="preserve">558921</t>
  </si>
  <si>
    <t xml:space="preserve">0.15761250699516183</t>
  </si>
  <si>
    <t xml:space="preserve">3.4494049372331053</t>
  </si>
  <si>
    <t xml:space="preserve">999</t>
  </si>
  <si>
    <t xml:space="preserve">7.11</t>
  </si>
  <si>
    <t xml:space="preserve">10.336913201609233</t>
  </si>
  <si>
    <t xml:space="preserve">19690_20230630</t>
  </si>
  <si>
    <t xml:space="preserve">0.2897998698598613</t>
  </si>
  <si>
    <t xml:space="preserve">37835</t>
  </si>
  <si>
    <t xml:space="preserve">470</t>
  </si>
  <si>
    <t xml:space="preserve">2513056</t>
  </si>
  <si>
    <t xml:space="preserve">0.6222523766446063</t>
  </si>
  <si>
    <t xml:space="preserve">4.826908082348386</t>
  </si>
  <si>
    <t xml:space="preserve">645</t>
  </si>
  <si>
    <t xml:space="preserve">17.49</t>
  </si>
  <si>
    <t xml:space="preserve">19.590114130881027</t>
  </si>
  <si>
    <t xml:space="preserve">19836_20230630</t>
  </si>
  <si>
    <t xml:space="preserve">0.8510159706080828</t>
  </si>
  <si>
    <t xml:space="preserve">52848</t>
  </si>
  <si>
    <t xml:space="preserve">12252</t>
  </si>
  <si>
    <t xml:space="preserve">502493</t>
  </si>
  <si>
    <t xml:space="preserve">0.7249322225861572</t>
  </si>
  <si>
    <t xml:space="preserve">4.154643249652155</t>
  </si>
  <si>
    <t xml:space="preserve">85</t>
  </si>
  <si>
    <t xml:space="preserve">2513</t>
  </si>
  <si>
    <t xml:space="preserve">17.150964099797907</t>
  </si>
  <si>
    <t xml:space="preserve">24540_20230630</t>
  </si>
  <si>
    <t xml:space="preserve">0.946001137993989</t>
  </si>
  <si>
    <t xml:space="preserve">40277</t>
  </si>
  <si>
    <t xml:space="preserve">1135036</t>
  </si>
  <si>
    <t xml:space="preserve">0.029846161364755</t>
  </si>
  <si>
    <t xml:space="preserve">5.004381062205808</t>
  </si>
  <si>
    <t xml:space="preserve">118</t>
  </si>
  <si>
    <t xml:space="preserve">14.8</t>
  </si>
  <si>
    <t xml:space="preserve">12.886729986643747</t>
  </si>
  <si>
    <t xml:space="preserve">27824_20230630</t>
  </si>
  <si>
    <t xml:space="preserve">0.7591656220510148</t>
  </si>
  <si>
    <t xml:space="preserve">21394</t>
  </si>
  <si>
    <t xml:space="preserve">41917</t>
  </si>
  <si>
    <t xml:space="preserve">422760</t>
  </si>
  <si>
    <t xml:space="preserve">0.2887364610769166</t>
  </si>
  <si>
    <t xml:space="preserve">2.034156939152025</t>
  </si>
  <si>
    <t xml:space="preserve">1038</t>
  </si>
  <si>
    <t xml:space="preserve">-1.35</t>
  </si>
  <si>
    <t xml:space="preserve">9.263061676451512</t>
  </si>
  <si>
    <t xml:space="preserve">28155_20230630</t>
  </si>
  <si>
    <t xml:space="preserve">0.5108131542241043</t>
  </si>
  <si>
    <t xml:space="preserve">5813</t>
  </si>
  <si>
    <t xml:space="preserve">5560</t>
  </si>
  <si>
    <t xml:space="preserve">158345</t>
  </si>
  <si>
    <t xml:space="preserve">0.03267193606353435</t>
  </si>
  <si>
    <t xml:space="preserve">2.4708092326072926</t>
  </si>
  <si>
    <t xml:space="preserve">767</t>
  </si>
  <si>
    <t xml:space="preserve">0.41</t>
  </si>
  <si>
    <t xml:space="preserve">5.709257709950091</t>
  </si>
  <si>
    <t xml:space="preserve">28288_20230630</t>
  </si>
  <si>
    <t xml:space="preserve">1.072868752389291</t>
  </si>
  <si>
    <t xml:space="preserve">4909</t>
  </si>
  <si>
    <t xml:space="preserve">651</t>
  </si>
  <si>
    <t xml:space="preserve">80221</t>
  </si>
  <si>
    <t xml:space="preserve">0.32802653808684074</t>
  </si>
  <si>
    <t xml:space="preserve">2.819089518637543</t>
  </si>
  <si>
    <t xml:space="preserve">831</t>
  </si>
  <si>
    <t xml:space="preserve">-0.5</t>
  </si>
  <si>
    <t xml:space="preserve">10.750039907869832</t>
  </si>
  <si>
    <t xml:space="preserve">28369_20230630</t>
  </si>
  <si>
    <t xml:space="preserve">0.7553130766065337</t>
  </si>
  <si>
    <t xml:space="preserve">11294</t>
  </si>
  <si>
    <t xml:space="preserve">827</t>
  </si>
  <si>
    <t xml:space="preserve">74764</t>
  </si>
  <si>
    <t xml:space="preserve">0.30663852494922544</t>
  </si>
  <si>
    <t xml:space="preserve">3.387448509813424</t>
  </si>
  <si>
    <t xml:space="preserve">-1.94</t>
  </si>
  <si>
    <t xml:space="preserve">8.745595119129018</t>
  </si>
  <si>
    <t xml:space="preserve">28837_20230630</t>
  </si>
  <si>
    <t xml:space="preserve">1.179213512253251</t>
  </si>
  <si>
    <t xml:space="preserve">6474</t>
  </si>
  <si>
    <t xml:space="preserve">1267</t>
  </si>
  <si>
    <t xml:space="preserve">190734</t>
  </si>
  <si>
    <t xml:space="preserve">0.019688099062224757</t>
  </si>
  <si>
    <t xml:space="preserve">3.6403046166648934</t>
  </si>
  <si>
    <t xml:space="preserve">366</t>
  </si>
  <si>
    <t xml:space="preserve">12.1</t>
  </si>
  <si>
    <t xml:space="preserve">13.601854598591473</t>
  </si>
  <si>
    <t xml:space="preserve">29636_20230630</t>
  </si>
  <si>
    <t xml:space="preserve">1.456878249900003</t>
  </si>
  <si>
    <t xml:space="preserve">2015</t>
  </si>
  <si>
    <t xml:space="preserve">1467</t>
  </si>
  <si>
    <t xml:space="preserve">128110</t>
  </si>
  <si>
    <t xml:space="preserve">1.5853358358204364</t>
  </si>
  <si>
    <t xml:space="preserve">3.550718456078259</t>
  </si>
  <si>
    <t xml:space="preserve">2273</t>
  </si>
  <si>
    <t xml:space="preserve">3.05</t>
  </si>
  <si>
    <t xml:space="preserve">8.488770255331769</t>
  </si>
  <si>
    <t xml:space="preserve">29743_20230630</t>
  </si>
  <si>
    <t xml:space="preserve">0.7265095253471101</t>
  </si>
  <si>
    <t xml:space="preserve">27495</t>
  </si>
  <si>
    <t xml:space="preserve">20952</t>
  </si>
  <si>
    <t xml:space="preserve">129129</t>
  </si>
  <si>
    <t xml:space="preserve">0.4797269246736473</t>
  </si>
  <si>
    <t xml:space="preserve">2.398387004200973</t>
  </si>
  <si>
    <t xml:space="preserve">575</t>
  </si>
  <si>
    <t xml:space="preserve">9.55006269484708</t>
  </si>
  <si>
    <t xml:space="preserve">29744_20230630</t>
  </si>
  <si>
    <t xml:space="preserve">0.7956389683302608</t>
  </si>
  <si>
    <t xml:space="preserve">24168</t>
  </si>
  <si>
    <t xml:space="preserve">8922</t>
  </si>
  <si>
    <t xml:space="preserve">413830</t>
  </si>
  <si>
    <t xml:space="preserve">0.0007191674917115947</t>
  </si>
  <si>
    <t xml:space="preserve">2.380928080994675</t>
  </si>
  <si>
    <t xml:space="preserve">-0.31</t>
  </si>
  <si>
    <t xml:space="preserve">9.634519587785789</t>
  </si>
  <si>
    <t xml:space="preserve">30350_20230630</t>
  </si>
  <si>
    <t xml:space="preserve">1.2928220523329528</t>
  </si>
  <si>
    <t xml:space="preserve">17162</t>
  </si>
  <si>
    <t xml:space="preserve">1216</t>
  </si>
  <si>
    <t xml:space="preserve">391600</t>
  </si>
  <si>
    <t xml:space="preserve">0.2939033950127165</t>
  </si>
  <si>
    <t xml:space="preserve">2.968834924574159</t>
  </si>
  <si>
    <t xml:space="preserve">-20</t>
  </si>
  <si>
    <t xml:space="preserve">486</t>
  </si>
  <si>
    <t xml:space="preserve">7.16</t>
  </si>
  <si>
    <t xml:space="preserve">12.300167609264577</t>
  </si>
  <si>
    <t xml:space="preserve">30878_20230630</t>
  </si>
  <si>
    <t xml:space="preserve">0.8242831933867854</t>
  </si>
  <si>
    <t xml:space="preserve">178</t>
  </si>
  <si>
    <t xml:space="preserve">83741</t>
  </si>
  <si>
    <t xml:space="preserve">0.8337577128510014</t>
  </si>
  <si>
    <t xml:space="preserve">1.784181608061257</t>
  </si>
  <si>
    <t xml:space="preserve">109</t>
  </si>
  <si>
    <t xml:space="preserve">0.78</t>
  </si>
  <si>
    <t xml:space="preserve">9.12537022972596</t>
  </si>
  <si>
    <t xml:space="preserve">33418_20230630</t>
  </si>
  <si>
    <t xml:space="preserve">0.8367176783841209</t>
  </si>
  <si>
    <t xml:space="preserve">45951</t>
  </si>
  <si>
    <t xml:space="preserve">11428</t>
  </si>
  <si>
    <t xml:space="preserve">368699</t>
  </si>
  <si>
    <t xml:space="preserve">0.30122912240122646</t>
  </si>
  <si>
    <t xml:space="preserve">2.8071068016878136</t>
  </si>
  <si>
    <t xml:space="preserve">-24</t>
  </si>
  <si>
    <t xml:space="preserve">96.38434939810895</t>
  </si>
  <si>
    <t xml:space="preserve">35206_20230630</t>
  </si>
  <si>
    <t xml:space="preserve">4.70983556889856</t>
  </si>
  <si>
    <t xml:space="preserve">20.51</t>
  </si>
  <si>
    <t xml:space="preserve">8.347724458390598</t>
  </si>
  <si>
    <t xml:space="preserve">4255_20230630</t>
  </si>
  <si>
    <t xml:space="preserve">0.8993554979649416</t>
  </si>
  <si>
    <t xml:space="preserve">346048</t>
  </si>
  <si>
    <t xml:space="preserve">19845</t>
  </si>
  <si>
    <t xml:space="preserve">4075184</t>
  </si>
  <si>
    <t xml:space="preserve">0.07412150333388698</t>
  </si>
  <si>
    <t xml:space="preserve">2.5878700344789327</t>
  </si>
  <si>
    <t xml:space="preserve">683</t>
  </si>
  <si>
    <t xml:space="preserve">2251</t>
  </si>
  <si>
    <t xml:space="preserve">11.21</t>
  </si>
  <si>
    <t xml:space="preserve">7.155078134749707</t>
  </si>
  <si>
    <t xml:space="preserve">4256_20230630</t>
  </si>
  <si>
    <t xml:space="preserve">1.1385509519139934</t>
  </si>
  <si>
    <t xml:space="preserve">306090</t>
  </si>
  <si>
    <t xml:space="preserve">20316</t>
  </si>
  <si>
    <t xml:space="preserve">2037488</t>
  </si>
  <si>
    <t xml:space="preserve">0.09675135726045184</t>
  </si>
  <si>
    <t xml:space="preserve">2.561374699475479</t>
  </si>
  <si>
    <t xml:space="preserve">48</t>
  </si>
  <si>
    <t xml:space="preserve">1949</t>
  </si>
  <si>
    <t xml:space="preserve">12.070014542012897</t>
  </si>
  <si>
    <t xml:space="preserve">59086_20230630</t>
  </si>
  <si>
    <t xml:space="preserve">1.0342636324602834</t>
  </si>
  <si>
    <t xml:space="preserve">116363</t>
  </si>
  <si>
    <t xml:space="preserve">576228</t>
  </si>
  <si>
    <t xml:space="preserve">0.49480463718334045</t>
  </si>
  <si>
    <t xml:space="preserve">4.132536027640019</t>
  </si>
  <si>
    <t xml:space="preserve">313</t>
  </si>
  <si>
    <t xml:space="preserve">1699</t>
  </si>
  <si>
    <t xml:space="preserve">11.481046628648105</t>
  </si>
  <si>
    <t xml:space="preserve">59176_20230630</t>
  </si>
  <si>
    <t xml:space="preserve">1.0449503794512551</t>
  </si>
  <si>
    <t xml:space="preserve">19871</t>
  </si>
  <si>
    <t xml:space="preserve">135608</t>
  </si>
  <si>
    <t xml:space="preserve">2.546661764387828</t>
  </si>
  <si>
    <t xml:space="preserve">-0.93</t>
  </si>
  <si>
    <t xml:space="preserve">40.39888866838658</t>
  </si>
  <si>
    <t xml:space="preserve">59289_20230630</t>
  </si>
  <si>
    <t xml:space="preserve">1.1799240244042823</t>
  </si>
  <si>
    <t xml:space="preserve">8750</t>
  </si>
  <si>
    <t xml:space="preserve">17169</t>
  </si>
  <si>
    <t xml:space="preserve">4.459946559546653</t>
  </si>
  <si>
    <t xml:space="preserve">-10.83</t>
  </si>
  <si>
    <t xml:space="preserve">22.340552259786055</t>
  </si>
  <si>
    <t xml:space="preserve">59298_20230630</t>
  </si>
  <si>
    <t xml:space="preserve">0.769113449680807</t>
  </si>
  <si>
    <t xml:space="preserve">10224</t>
  </si>
  <si>
    <t xml:space="preserve">45544</t>
  </si>
  <si>
    <t xml:space="preserve">2.6466843649227587</t>
  </si>
  <si>
    <t xml:space="preserve">-10.35</t>
  </si>
  <si>
    <t xml:space="preserve">8.946327850699639</t>
  </si>
  <si>
    <t xml:space="preserve">6271_20230630</t>
  </si>
  <si>
    <t xml:space="preserve">1.1830099525696853</t>
  </si>
  <si>
    <t xml:space="preserve">125407</t>
  </si>
  <si>
    <t xml:space="preserve">3526</t>
  </si>
  <si>
    <t xml:space="preserve">773155</t>
  </si>
  <si>
    <t xml:space="preserve">1.0347502783064144</t>
  </si>
  <si>
    <t xml:space="preserve">3.5379413510333926</t>
  </si>
  <si>
    <t xml:space="preserve">283</t>
  </si>
  <si>
    <t xml:space="preserve">1900</t>
  </si>
  <si>
    <t xml:space="preserve">15.74</t>
  </si>
  <si>
    <t xml:space="preserve">4.968599152568606</t>
  </si>
  <si>
    <t xml:space="preserve">6275_20230630</t>
  </si>
  <si>
    <t xml:space="preserve">0.4104191747838459</t>
  </si>
  <si>
    <t xml:space="preserve">34100</t>
  </si>
  <si>
    <t xml:space="preserve">13676</t>
  </si>
  <si>
    <t xml:space="preserve">327582</t>
  </si>
  <si>
    <t xml:space="preserve">0.4520691206693177</t>
  </si>
  <si>
    <t xml:space="preserve">2.972393767780986</t>
  </si>
  <si>
    <t xml:space="preserve">9.65</t>
  </si>
  <si>
    <t xml:space="preserve">10.861657042008332</t>
  </si>
  <si>
    <t xml:space="preserve">6280_20230630</t>
  </si>
  <si>
    <t xml:space="preserve">1.292009418672212</t>
  </si>
  <si>
    <t xml:space="preserve">3640</t>
  </si>
  <si>
    <t xml:space="preserve">64557</t>
  </si>
  <si>
    <t xml:space="preserve">1.0871227179596954</t>
  </si>
  <si>
    <t xml:space="preserve">5.0004375382846</t>
  </si>
  <si>
    <t xml:space="preserve">316</t>
  </si>
  <si>
    <t xml:space="preserve">18.36</t>
  </si>
  <si>
    <t xml:space="preserve">11.46019094079981</t>
  </si>
  <si>
    <t xml:space="preserve">11971_20230930</t>
  </si>
  <si>
    <t xml:space="preserve">0.9353190372534858</t>
  </si>
  <si>
    <t xml:space="preserve">203469</t>
  </si>
  <si>
    <t xml:space="preserve">7845</t>
  </si>
  <si>
    <t xml:space="preserve">2966796</t>
  </si>
  <si>
    <t xml:space="preserve">0.2580466788010045</t>
  </si>
  <si>
    <t xml:space="preserve">3.447091049634888</t>
  </si>
  <si>
    <t xml:space="preserve">70</t>
  </si>
  <si>
    <t xml:space="preserve">2914</t>
  </si>
  <si>
    <t xml:space="preserve">11.46</t>
  </si>
  <si>
    <t xml:space="preserve">9.874917903488967</t>
  </si>
  <si>
    <t xml:space="preserve">12874_20230930</t>
  </si>
  <si>
    <t xml:space="preserve">0.9682866239544538</t>
  </si>
  <si>
    <t xml:space="preserve">141382</t>
  </si>
  <si>
    <t xml:space="preserve">5445</t>
  </si>
  <si>
    <t xml:space="preserve">784144</t>
  </si>
  <si>
    <t xml:space="preserve">0.0524114971880916</t>
  </si>
  <si>
    <t xml:space="preserve">3.892763995282668</t>
  </si>
  <si>
    <t xml:space="preserve">1582</t>
  </si>
  <si>
    <t xml:space="preserve">11.01</t>
  </si>
  <si>
    <t xml:space="preserve">7.213919784424018</t>
  </si>
  <si>
    <t xml:space="preserve">13063_20230930</t>
  </si>
  <si>
    <t xml:space="preserve">1.188443548220923</t>
  </si>
  <si>
    <t xml:space="preserve">54104</t>
  </si>
  <si>
    <t xml:space="preserve">1390661</t>
  </si>
  <si>
    <t xml:space="preserve">0.09180133111930124</t>
  </si>
  <si>
    <t xml:space="preserve">3.198536301268447</t>
  </si>
  <si>
    <t xml:space="preserve">66</t>
  </si>
  <si>
    <t xml:space="preserve">398</t>
  </si>
  <si>
    <t xml:space="preserve">2.76</t>
  </si>
  <si>
    <t xml:space="preserve">11.331743482422414</t>
  </si>
  <si>
    <t xml:space="preserve">14134_20230930</t>
  </si>
  <si>
    <t xml:space="preserve">1.113325023579684</t>
  </si>
  <si>
    <t xml:space="preserve">26362</t>
  </si>
  <si>
    <t xml:space="preserve">28791</t>
  </si>
  <si>
    <t xml:space="preserve">652124</t>
  </si>
  <si>
    <t xml:space="preserve">1.8511947545438279</t>
  </si>
  <si>
    <t xml:space="preserve">3.2306882809606385</t>
  </si>
  <si>
    <t xml:space="preserve">528</t>
  </si>
  <si>
    <t xml:space="preserve">7041</t>
  </si>
  <si>
    <t xml:space="preserve">3.99</t>
  </si>
  <si>
    <t xml:space="preserve">6.504101007777316</t>
  </si>
  <si>
    <t xml:space="preserve">14136_20230930</t>
  </si>
  <si>
    <t xml:space="preserve">1.2944255858656086</t>
  </si>
  <si>
    <t xml:space="preserve">14059</t>
  </si>
  <si>
    <t xml:space="preserve">14729</t>
  </si>
  <si>
    <t xml:space="preserve">144807</t>
  </si>
  <si>
    <t xml:space="preserve">0.556896105135441</t>
  </si>
  <si>
    <t xml:space="preserve">4.077999740238272</t>
  </si>
  <si>
    <t xml:space="preserve">546</t>
  </si>
  <si>
    <t xml:space="preserve">9.82</t>
  </si>
  <si>
    <t xml:space="preserve">7.9209700140038795</t>
  </si>
  <si>
    <t xml:space="preserve">14140_20230930</t>
  </si>
  <si>
    <t xml:space="preserve">0.8135127562535995</t>
  </si>
  <si>
    <t xml:space="preserve">85696</t>
  </si>
  <si>
    <t xml:space="preserve">1520</t>
  </si>
  <si>
    <t xml:space="preserve">1019526</t>
  </si>
  <si>
    <t xml:space="preserve">0.44713042666127045</t>
  </si>
  <si>
    <t xml:space="preserve">2.699639455303799</t>
  </si>
  <si>
    <t xml:space="preserve">265</t>
  </si>
  <si>
    <t xml:space="preserve">3.45</t>
  </si>
  <si>
    <t xml:space="preserve">4.6803154663220425</t>
  </si>
  <si>
    <t xml:space="preserve">14158_20230930</t>
  </si>
  <si>
    <t xml:space="preserve">0.6695897488188708</t>
  </si>
  <si>
    <t xml:space="preserve">41125</t>
  </si>
  <si>
    <t xml:space="preserve">2184</t>
  </si>
  <si>
    <t xml:space="preserve">1022840</t>
  </si>
  <si>
    <t xml:space="preserve">0.20655799793150667</t>
  </si>
  <si>
    <t xml:space="preserve">3.0764790215944577</t>
  </si>
  <si>
    <t xml:space="preserve">150</t>
  </si>
  <si>
    <t xml:space="preserve">16.43</t>
  </si>
  <si>
    <t xml:space="preserve">8.718382944825262</t>
  </si>
  <si>
    <t xml:space="preserve">14168_20230930</t>
  </si>
  <si>
    <t xml:space="preserve">1.5938429032300312</t>
  </si>
  <si>
    <t xml:space="preserve">11392</t>
  </si>
  <si>
    <t xml:space="preserve">9903</t>
  </si>
  <si>
    <t xml:space="preserve">225418</t>
  </si>
  <si>
    <t xml:space="preserve">0.4946107941275336</t>
  </si>
  <si>
    <t xml:space="preserve">3.9388026935746154</t>
  </si>
  <si>
    <t xml:space="preserve">-11</t>
  </si>
  <si>
    <t xml:space="preserve">363</t>
  </si>
  <si>
    <t xml:space="preserve">9.42</t>
  </si>
  <si>
    <t xml:space="preserve">5.599565283286695</t>
  </si>
  <si>
    <t xml:space="preserve">14240_20230930</t>
  </si>
  <si>
    <t xml:space="preserve">1.149872110070117</t>
  </si>
  <si>
    <t xml:space="preserve">26965</t>
  </si>
  <si>
    <t xml:space="preserve">17762</t>
  </si>
  <si>
    <t xml:space="preserve">956116</t>
  </si>
  <si>
    <t xml:space="preserve">0.3067497348119077</t>
  </si>
  <si>
    <t xml:space="preserve">2.8511307030775828</t>
  </si>
  <si>
    <t xml:space="preserve">236</t>
  </si>
  <si>
    <t xml:space="preserve">8.68</t>
  </si>
  <si>
    <t xml:space="preserve">7.393608458402799</t>
  </si>
  <si>
    <t xml:space="preserve">17115_20230930</t>
  </si>
  <si>
    <t xml:space="preserve">1.0562366078437797</t>
  </si>
  <si>
    <t xml:space="preserve">44197</t>
  </si>
  <si>
    <t xml:space="preserve">5743</t>
  </si>
  <si>
    <t xml:space="preserve">875962</t>
  </si>
  <si>
    <t xml:space="preserve">0.027560873950794804</t>
  </si>
  <si>
    <t xml:space="preserve">2.947874955819819</t>
  </si>
  <si>
    <t xml:space="preserve">-71</t>
  </si>
  <si>
    <t xml:space="preserve">1158</t>
  </si>
  <si>
    <t xml:space="preserve">6.49</t>
  </si>
  <si>
    <t xml:space="preserve">8.075182628303141</t>
  </si>
  <si>
    <t xml:space="preserve">17180_20230930</t>
  </si>
  <si>
    <t xml:space="preserve">0.9659287485098221</t>
  </si>
  <si>
    <t xml:space="preserve">53778</t>
  </si>
  <si>
    <t xml:space="preserve">195410</t>
  </si>
  <si>
    <t xml:space="preserve">1451274</t>
  </si>
  <si>
    <t xml:space="preserve">0.3573015137546752</t>
  </si>
  <si>
    <t xml:space="preserve">2.8975609519702825</t>
  </si>
  <si>
    <t xml:space="preserve">2857</t>
  </si>
  <si>
    <t xml:space="preserve">4.83</t>
  </si>
  <si>
    <t xml:space="preserve">10.24897268552091</t>
  </si>
  <si>
    <t xml:space="preserve">17443_20230930</t>
  </si>
  <si>
    <t xml:space="preserve">0.8558836576851119</t>
  </si>
  <si>
    <t xml:space="preserve">761</t>
  </si>
  <si>
    <t xml:space="preserve">205613</t>
  </si>
  <si>
    <t xml:space="preserve">0.48508110401759025</t>
  </si>
  <si>
    <t xml:space="preserve">1.5905204187917403</t>
  </si>
  <si>
    <t xml:space="preserve">310</t>
  </si>
  <si>
    <t xml:space="preserve">0.66</t>
  </si>
  <si>
    <t xml:space="preserve">9.970925436037577</t>
  </si>
  <si>
    <t xml:space="preserve">17658_20230930</t>
  </si>
  <si>
    <t xml:space="preserve">0.6384784851090041</t>
  </si>
  <si>
    <t xml:space="preserve">95704</t>
  </si>
  <si>
    <t xml:space="preserve">80475</t>
  </si>
  <si>
    <t xml:space="preserve">1284040</t>
  </si>
  <si>
    <t xml:space="preserve">0.10531683653294809</t>
  </si>
  <si>
    <t xml:space="preserve">3.393842660258428</t>
  </si>
  <si>
    <t xml:space="preserve">2709</t>
  </si>
  <si>
    <t xml:space="preserve">6.22</t>
  </si>
  <si>
    <t xml:space="preserve">12.415390431196128</t>
  </si>
  <si>
    <t xml:space="preserve">17741_20230930</t>
  </si>
  <si>
    <t xml:space="preserve">0.918704275915972</t>
  </si>
  <si>
    <t xml:space="preserve">52698</t>
  </si>
  <si>
    <t xml:space="preserve">4222</t>
  </si>
  <si>
    <t xml:space="preserve">897519</t>
  </si>
  <si>
    <t xml:space="preserve">0.2617457147556801</t>
  </si>
  <si>
    <t xml:space="preserve">3.3213452846854876</t>
  </si>
  <si>
    <t xml:space="preserve">-38</t>
  </si>
  <si>
    <t xml:space="preserve">3001</t>
  </si>
  <si>
    <t xml:space="preserve">4.55</t>
  </si>
  <si>
    <t xml:space="preserve">8.48560520208375</t>
  </si>
  <si>
    <t xml:space="preserve">17743_20230930</t>
  </si>
  <si>
    <t xml:space="preserve">0.44413745204956956</t>
  </si>
  <si>
    <t xml:space="preserve">13921</t>
  </si>
  <si>
    <t xml:space="preserve">9333</t>
  </si>
  <si>
    <t xml:space="preserve">1049272</t>
  </si>
  <si>
    <t xml:space="preserve">0.46169041693510054</t>
  </si>
  <si>
    <t xml:space="preserve">2.06213614232857</t>
  </si>
  <si>
    <t xml:space="preserve">614</t>
  </si>
  <si>
    <t xml:space="preserve">0.46</t>
  </si>
  <si>
    <t xml:space="preserve">6.16800898106671</t>
  </si>
  <si>
    <t xml:space="preserve">17748_20230930</t>
  </si>
  <si>
    <t xml:space="preserve">0.7735951615252913</t>
  </si>
  <si>
    <t xml:space="preserve">181024</t>
  </si>
  <si>
    <t xml:space="preserve">3627</t>
  </si>
  <si>
    <t xml:space="preserve">1266889</t>
  </si>
  <si>
    <t xml:space="preserve">0.5413677995811292</t>
  </si>
  <si>
    <t xml:space="preserve">2.5072501757704706</t>
  </si>
  <si>
    <t xml:space="preserve">1118</t>
  </si>
  <si>
    <t xml:space="preserve">1286</t>
  </si>
  <si>
    <t xml:space="preserve">11.865892952228444</t>
  </si>
  <si>
    <t xml:space="preserve">17749_20230930</t>
  </si>
  <si>
    <t xml:space="preserve">1.4267779261065994</t>
  </si>
  <si>
    <t xml:space="preserve">49432</t>
  </si>
  <si>
    <t xml:space="preserve">10742</t>
  </si>
  <si>
    <t xml:space="preserve">768673</t>
  </si>
  <si>
    <t xml:space="preserve">0.004360097922669817</t>
  </si>
  <si>
    <t xml:space="preserve">2.80780948296844</t>
  </si>
  <si>
    <t xml:space="preserve">1039</t>
  </si>
  <si>
    <t xml:space="preserve">8.09</t>
  </si>
  <si>
    <t xml:space="preserve">8.155604953551752</t>
  </si>
  <si>
    <t xml:space="preserve">17751_20230930</t>
  </si>
  <si>
    <t xml:space="preserve">0.9305534573759794</t>
  </si>
  <si>
    <t xml:space="preserve">120460</t>
  </si>
  <si>
    <t xml:space="preserve">2396</t>
  </si>
  <si>
    <t xml:space="preserve">1272232</t>
  </si>
  <si>
    <t xml:space="preserve">0.20409879596505792</t>
  </si>
  <si>
    <t xml:space="preserve">3.1264369595904418</t>
  </si>
  <si>
    <t xml:space="preserve">4179</t>
  </si>
  <si>
    <t xml:space="preserve">4485</t>
  </si>
  <si>
    <t xml:space="preserve">6.99</t>
  </si>
  <si>
    <t xml:space="preserve">11.768261585216745</t>
  </si>
  <si>
    <t xml:space="preserve">17897_20230930</t>
  </si>
  <si>
    <t xml:space="preserve">0.615465902011774</t>
  </si>
  <si>
    <t xml:space="preserve">71428</t>
  </si>
  <si>
    <t xml:space="preserve">4426</t>
  </si>
  <si>
    <t xml:space="preserve">1418266</t>
  </si>
  <si>
    <t xml:space="preserve">0.19859163910979932</t>
  </si>
  <si>
    <t xml:space="preserve">2.5749274610392585</t>
  </si>
  <si>
    <t xml:space="preserve">-116</t>
  </si>
  <si>
    <t xml:space="preserve">2130</t>
  </si>
  <si>
    <t xml:space="preserve">3.18</t>
  </si>
  <si>
    <t xml:space="preserve">7.300972378259017</t>
  </si>
  <si>
    <t xml:space="preserve">17951_20230930</t>
  </si>
  <si>
    <t xml:space="preserve">0.9227657467937876</t>
  </si>
  <si>
    <t xml:space="preserve">24630</t>
  </si>
  <si>
    <t xml:space="preserve">1937</t>
  </si>
  <si>
    <t xml:space="preserve">559397</t>
  </si>
  <si>
    <t xml:space="preserve">0.03170346807602457</t>
  </si>
  <si>
    <t xml:space="preserve">2.734812064881462</t>
  </si>
  <si>
    <t xml:space="preserve">-193</t>
  </si>
  <si>
    <t xml:space="preserve">137</t>
  </si>
  <si>
    <t xml:space="preserve">8.1</t>
  </si>
  <si>
    <t xml:space="preserve">7.772420174280123</t>
  </si>
  <si>
    <t xml:space="preserve">17960_20230930</t>
  </si>
  <si>
    <t xml:space="preserve">0.9769879883014716</t>
  </si>
  <si>
    <t xml:space="preserve">111087</t>
  </si>
  <si>
    <t xml:space="preserve">223391</t>
  </si>
  <si>
    <t xml:space="preserve">1157276</t>
  </si>
  <si>
    <t xml:space="preserve">0.7306446340958369</t>
  </si>
  <si>
    <t xml:space="preserve">2.8090847035121165</t>
  </si>
  <si>
    <t xml:space="preserve">1539</t>
  </si>
  <si>
    <t xml:space="preserve">5.22</t>
  </si>
  <si>
    <t xml:space="preserve">10.27153627598298</t>
  </si>
  <si>
    <t xml:space="preserve">18012_20230930</t>
  </si>
  <si>
    <t xml:space="preserve">1.2454039973951812</t>
  </si>
  <si>
    <t xml:space="preserve">48455</t>
  </si>
  <si>
    <t xml:space="preserve">33439</t>
  </si>
  <si>
    <t xml:space="preserve">1971438</t>
  </si>
  <si>
    <t xml:space="preserve">0.03716876221008866</t>
  </si>
  <si>
    <t xml:space="preserve">3.043741130691134</t>
  </si>
  <si>
    <t xml:space="preserve">134</t>
  </si>
  <si>
    <t xml:space="preserve">2224</t>
  </si>
  <si>
    <t xml:space="preserve">8.59</t>
  </si>
  <si>
    <t xml:space="preserve">7.310202013557149</t>
  </si>
  <si>
    <t xml:space="preserve">18013_20230930</t>
  </si>
  <si>
    <t xml:space="preserve">0.694040427598615</t>
  </si>
  <si>
    <t xml:space="preserve">111358</t>
  </si>
  <si>
    <t xml:space="preserve">26647</t>
  </si>
  <si>
    <t xml:space="preserve">2324826</t>
  </si>
  <si>
    <t xml:space="preserve">0.04604724156519614</t>
  </si>
  <si>
    <t xml:space="preserve">2.78616306186857</t>
  </si>
  <si>
    <t xml:space="preserve">129</t>
  </si>
  <si>
    <t xml:space="preserve">4243</t>
  </si>
  <si>
    <t xml:space="preserve">9.338550976866584</t>
  </si>
  <si>
    <t xml:space="preserve">18028_20230930</t>
  </si>
  <si>
    <t xml:space="preserve">0.904108019327362</t>
  </si>
  <si>
    <t xml:space="preserve">14223</t>
  </si>
  <si>
    <t xml:space="preserve">6237</t>
  </si>
  <si>
    <t xml:space="preserve">259438</t>
  </si>
  <si>
    <t xml:space="preserve">0.4064093504707702</t>
  </si>
  <si>
    <t xml:space="preserve">3.461735271254384</t>
  </si>
  <si>
    <t xml:space="preserve">324</t>
  </si>
  <si>
    <t xml:space="preserve">925</t>
  </si>
  <si>
    <t xml:space="preserve">5.8707639522376684</t>
  </si>
  <si>
    <t xml:space="preserve">18030_20230930</t>
  </si>
  <si>
    <t xml:space="preserve">1.0214166369612265</t>
  </si>
  <si>
    <t xml:space="preserve">41868</t>
  </si>
  <si>
    <t xml:space="preserve">96224</t>
  </si>
  <si>
    <t xml:space="preserve">585877</t>
  </si>
  <si>
    <t xml:space="preserve">0.09984406755608416</t>
  </si>
  <si>
    <t xml:space="preserve">3.4756019366552935</t>
  </si>
  <si>
    <t xml:space="preserve">226</t>
  </si>
  <si>
    <t xml:space="preserve">9.32</t>
  </si>
  <si>
    <t xml:space="preserve">4.640115720140602</t>
  </si>
  <si>
    <t xml:space="preserve">18031_20230930</t>
  </si>
  <si>
    <t xml:space="preserve">0.8331097704268908</t>
  </si>
  <si>
    <t xml:space="preserve">26820</t>
  </si>
  <si>
    <t xml:space="preserve">11759</t>
  </si>
  <si>
    <t xml:space="preserve">476843</t>
  </si>
  <si>
    <t xml:space="preserve">0.1642927405484882</t>
  </si>
  <si>
    <t xml:space="preserve">2.739928607853136</t>
  </si>
  <si>
    <t xml:space="preserve">1516</t>
  </si>
  <si>
    <t xml:space="preserve">5.47</t>
  </si>
  <si>
    <t xml:space="preserve">11.277817879405903</t>
  </si>
  <si>
    <t xml:space="preserve">18038_20230930</t>
  </si>
  <si>
    <t xml:space="preserve">1.0023808951203674</t>
  </si>
  <si>
    <t xml:space="preserve">16653</t>
  </si>
  <si>
    <t xml:space="preserve">3686</t>
  </si>
  <si>
    <t xml:space="preserve">411642</t>
  </si>
  <si>
    <t xml:space="preserve">0.5161011038695558</t>
  </si>
  <si>
    <t xml:space="preserve">2.509310951095344</t>
  </si>
  <si>
    <t xml:space="preserve">-19</t>
  </si>
  <si>
    <t xml:space="preserve">1391</t>
  </si>
  <si>
    <t xml:space="preserve">4.686167249437897</t>
  </si>
  <si>
    <t xml:space="preserve">18408_20230930</t>
  </si>
  <si>
    <t xml:space="preserve">0.6879803726549952</t>
  </si>
  <si>
    <t xml:space="preserve">321633</t>
  </si>
  <si>
    <t xml:space="preserve">33238</t>
  </si>
  <si>
    <t xml:space="preserve">4774908</t>
  </si>
  <si>
    <t xml:space="preserve">0.08230057242263185</t>
  </si>
  <si>
    <t xml:space="preserve">2.1096126760075227</t>
  </si>
  <si>
    <t xml:space="preserve">1597</t>
  </si>
  <si>
    <t xml:space="preserve">2852</t>
  </si>
  <si>
    <t xml:space="preserve">3.96</t>
  </si>
  <si>
    <t xml:space="preserve">9.175647245542818</t>
  </si>
  <si>
    <t xml:space="preserve">19531_20230930</t>
  </si>
  <si>
    <t xml:space="preserve">1.1426183661705218</t>
  </si>
  <si>
    <t xml:space="preserve">237278</t>
  </si>
  <si>
    <t xml:space="preserve">14701</t>
  </si>
  <si>
    <t xml:space="preserve">1963619</t>
  </si>
  <si>
    <t xml:space="preserve">0.492369035122828</t>
  </si>
  <si>
    <t xml:space="preserve">2.71472125457892</t>
  </si>
  <si>
    <t xml:space="preserve">4674</t>
  </si>
  <si>
    <t xml:space="preserve">4.7</t>
  </si>
  <si>
    <t xml:space="preserve">10.99200930716713</t>
  </si>
  <si>
    <t xml:space="preserve">19532_20230930</t>
  </si>
  <si>
    <t xml:space="preserve">0.9903792222761569</t>
  </si>
  <si>
    <t xml:space="preserve">40005</t>
  </si>
  <si>
    <t xml:space="preserve">51182</t>
  </si>
  <si>
    <t xml:space="preserve">577235</t>
  </si>
  <si>
    <t xml:space="preserve">0.1950227183456859</t>
  </si>
  <si>
    <t xml:space="preserve">3.372672088199719</t>
  </si>
  <si>
    <t xml:space="preserve">83</t>
  </si>
  <si>
    <t xml:space="preserve">847</t>
  </si>
  <si>
    <t xml:space="preserve">10.831678232383474</t>
  </si>
  <si>
    <t xml:space="preserve">19690_20230930</t>
  </si>
  <si>
    <t xml:space="preserve">1.0008266718350136</t>
  </si>
  <si>
    <t xml:space="preserve">42688</t>
  </si>
  <si>
    <t xml:space="preserve">421</t>
  </si>
  <si>
    <t xml:space="preserve">2502907</t>
  </si>
  <si>
    <t xml:space="preserve">0.6901325443693364</t>
  </si>
  <si>
    <t xml:space="preserve">5.012798871779711</t>
  </si>
  <si>
    <t xml:space="preserve">1773</t>
  </si>
  <si>
    <t xml:space="preserve">10951</t>
  </si>
  <si>
    <t xml:space="preserve">18.711411928401294</t>
  </si>
  <si>
    <t xml:space="preserve">19836_20230930</t>
  </si>
  <si>
    <t xml:space="preserve">0.8218917039055578</t>
  </si>
  <si>
    <t xml:space="preserve">51639</t>
  </si>
  <si>
    <t xml:space="preserve">12237</t>
  </si>
  <si>
    <t xml:space="preserve">520452</t>
  </si>
  <si>
    <t xml:space="preserve">0.6292340380932417</t>
  </si>
  <si>
    <t xml:space="preserve">4.0561931889225775</t>
  </si>
  <si>
    <t xml:space="preserve">35</t>
  </si>
  <si>
    <t xml:space="preserve">2063</t>
  </si>
  <si>
    <t xml:space="preserve">4.64</t>
  </si>
  <si>
    <t xml:space="preserve">0.29</t>
  </si>
  <si>
    <t xml:space="preserve">17.197296220601658</t>
  </si>
  <si>
    <t xml:space="preserve">24540_20230930</t>
  </si>
  <si>
    <t xml:space="preserve">0.9392118003619548</t>
  </si>
  <si>
    <t xml:space="preserve">40839</t>
  </si>
  <si>
    <t xml:space="preserve">1186141</t>
  </si>
  <si>
    <t xml:space="preserve">0.037164258506230646</t>
  </si>
  <si>
    <t xml:space="preserve">4.9585572572965875</t>
  </si>
  <si>
    <t xml:space="preserve">13.9</t>
  </si>
  <si>
    <t xml:space="preserve">12.27351279747857</t>
  </si>
  <si>
    <t xml:space="preserve">27824_20230930</t>
  </si>
  <si>
    <t xml:space="preserve">0.710999014635822</t>
  </si>
  <si>
    <t xml:space="preserve">21545</t>
  </si>
  <si>
    <t xml:space="preserve">44503</t>
  </si>
  <si>
    <t xml:space="preserve">439330</t>
  </si>
  <si>
    <t xml:space="preserve">0.2488270550267133</t>
  </si>
  <si>
    <t xml:space="preserve">1.9506679893547003</t>
  </si>
  <si>
    <t xml:space="preserve">82</t>
  </si>
  <si>
    <t xml:space="preserve">-1.53</t>
  </si>
  <si>
    <t xml:space="preserve">9.16905060644082</t>
  </si>
  <si>
    <t xml:space="preserve">28155_20230930</t>
  </si>
  <si>
    <t xml:space="preserve">0.49220922238243864</t>
  </si>
  <si>
    <t xml:space="preserve">11483</t>
  </si>
  <si>
    <t xml:space="preserve">5666</t>
  </si>
  <si>
    <t xml:space="preserve">163552</t>
  </si>
  <si>
    <t xml:space="preserve">0.01399358728652174</t>
  </si>
  <si>
    <t xml:space="preserve">2.46018753591954</t>
  </si>
  <si>
    <t xml:space="preserve">1393</t>
  </si>
  <si>
    <t xml:space="preserve">0.4</t>
  </si>
  <si>
    <t xml:space="preserve">5.266951704797922</t>
  </si>
  <si>
    <t xml:space="preserve">28288_20230930</t>
  </si>
  <si>
    <t xml:space="preserve">1.0715473389907748</t>
  </si>
  <si>
    <t xml:space="preserve">4476</t>
  </si>
  <si>
    <t xml:space="preserve">527</t>
  </si>
  <si>
    <t xml:space="preserve">80321</t>
  </si>
  <si>
    <t xml:space="preserve">0.32515919252133857</t>
  </si>
  <si>
    <t xml:space="preserve">2.7371854982022565</t>
  </si>
  <si>
    <t xml:space="preserve">-0.62</t>
  </si>
  <si>
    <t xml:space="preserve">10.484050362592873</t>
  </si>
  <si>
    <t xml:space="preserve">28369_20230930</t>
  </si>
  <si>
    <t xml:space="preserve">0.74635493609095</t>
  </si>
  <si>
    <t xml:space="preserve">11687</t>
  </si>
  <si>
    <t xml:space="preserve">821</t>
  </si>
  <si>
    <t xml:space="preserve">77264</t>
  </si>
  <si>
    <t xml:space="preserve">0.28903590468238166</t>
  </si>
  <si>
    <t xml:space="preserve">3.3549490739628625</t>
  </si>
  <si>
    <t xml:space="preserve">180</t>
  </si>
  <si>
    <t xml:space="preserve">-1.32</t>
  </si>
  <si>
    <t xml:space="preserve">9.009314739204976</t>
  </si>
  <si>
    <t xml:space="preserve">28837_20230930</t>
  </si>
  <si>
    <t xml:space="preserve">1.1397272685154203</t>
  </si>
  <si>
    <t xml:space="preserve">6214</t>
  </si>
  <si>
    <t xml:space="preserve">1468</t>
  </si>
  <si>
    <t xml:space="preserve">192043</t>
  </si>
  <si>
    <t xml:space="preserve">0.026768662133153504</t>
  </si>
  <si>
    <t xml:space="preserve">3.6164902600821307</t>
  </si>
  <si>
    <t xml:space="preserve">10.87</t>
  </si>
  <si>
    <t xml:space="preserve">13.838870431893687</t>
  </si>
  <si>
    <t xml:space="preserve">29636_20230930</t>
  </si>
  <si>
    <t xml:space="preserve">1.4339651136449445</t>
  </si>
  <si>
    <t xml:space="preserve">1905</t>
  </si>
  <si>
    <t xml:space="preserve">1503</t>
  </si>
  <si>
    <t xml:space="preserve">130531</t>
  </si>
  <si>
    <t xml:space="preserve">1.1024692290266556</t>
  </si>
  <si>
    <t xml:space="preserve">3.597957284654809</t>
  </si>
  <si>
    <t xml:space="preserve">2021</t>
  </si>
  <si>
    <t xml:space="preserve">3.22</t>
  </si>
  <si>
    <t xml:space="preserve">8.630421947680032</t>
  </si>
  <si>
    <t xml:space="preserve">29743_20230930</t>
  </si>
  <si>
    <t xml:space="preserve">0.714732691481261</t>
  </si>
  <si>
    <t xml:space="preserve">27176</t>
  </si>
  <si>
    <t xml:space="preserve">21550</t>
  </si>
  <si>
    <t xml:space="preserve">131689</t>
  </si>
  <si>
    <t xml:space="preserve">0.2013012960184564</t>
  </si>
  <si>
    <t xml:space="preserve">2.4198193745820467</t>
  </si>
  <si>
    <t xml:space="preserve">442</t>
  </si>
  <si>
    <t xml:space="preserve">7.19</t>
  </si>
  <si>
    <t xml:space="preserve">8.479060544447398</t>
  </si>
  <si>
    <t xml:space="preserve">29744_20230930</t>
  </si>
  <si>
    <t xml:space="preserve">0.7824930898079632</t>
  </si>
  <si>
    <t xml:space="preserve">24875</t>
  </si>
  <si>
    <t xml:space="preserve">9813</t>
  </si>
  <si>
    <t xml:space="preserve">424642</t>
  </si>
  <si>
    <t xml:space="preserve">2.233887957920327</t>
  </si>
  <si>
    <t xml:space="preserve">-2.71</t>
  </si>
  <si>
    <t xml:space="preserve">9.570190411540397</t>
  </si>
  <si>
    <t xml:space="preserve">30350_20230930</t>
  </si>
  <si>
    <t xml:space="preserve">1.2994092473144803</t>
  </si>
  <si>
    <t xml:space="preserve">16937</t>
  </si>
  <si>
    <t xml:space="preserve">1367</t>
  </si>
  <si>
    <t xml:space="preserve">400147</t>
  </si>
  <si>
    <t xml:space="preserve">0.3702379043695966</t>
  </si>
  <si>
    <t xml:space="preserve">2.888044926266454</t>
  </si>
  <si>
    <t xml:space="preserve">857</t>
  </si>
  <si>
    <t xml:space="preserve">7.24</t>
  </si>
  <si>
    <t xml:space="preserve">11.900228850554818</t>
  </si>
  <si>
    <t xml:space="preserve">30878_20230930</t>
  </si>
  <si>
    <t xml:space="preserve">0.8295101719264099</t>
  </si>
  <si>
    <t xml:space="preserve">85600</t>
  </si>
  <si>
    <t xml:space="preserve">0.8109736317716298</t>
  </si>
  <si>
    <t xml:space="preserve">1.5786349584789767</t>
  </si>
  <si>
    <t xml:space="preserve">215</t>
  </si>
  <si>
    <t xml:space="preserve">-1.56</t>
  </si>
  <si>
    <t xml:space="preserve">8.28553761112349</t>
  </si>
  <si>
    <t xml:space="preserve">33418_20230930</t>
  </si>
  <si>
    <t xml:space="preserve">0.7096601579851054</t>
  </si>
  <si>
    <t xml:space="preserve">45738</t>
  </si>
  <si>
    <t xml:space="preserve">10764</t>
  </si>
  <si>
    <t xml:space="preserve">382241</t>
  </si>
  <si>
    <t xml:space="preserve">0.28053915469396556</t>
  </si>
  <si>
    <t xml:space="preserve">2.6490535040949177</t>
  </si>
  <si>
    <t xml:space="preserve">-27</t>
  </si>
  <si>
    <t xml:space="preserve">452</t>
  </si>
  <si>
    <t xml:space="preserve">7.55</t>
  </si>
  <si>
    <t xml:space="preserve">96.44487886615933</t>
  </si>
  <si>
    <t xml:space="preserve">35206_20230930</t>
  </si>
  <si>
    <t xml:space="preserve">4.5533378097365835</t>
  </si>
  <si>
    <t xml:space="preserve">17.27</t>
  </si>
  <si>
    <t xml:space="preserve">8.212198834883338</t>
  </si>
  <si>
    <t xml:space="preserve">4255_20230930</t>
  </si>
  <si>
    <t xml:space="preserve">0.8946088067623355</t>
  </si>
  <si>
    <t xml:space="preserve">329244</t>
  </si>
  <si>
    <t xml:space="preserve">19312</t>
  </si>
  <si>
    <t xml:space="preserve">4033193</t>
  </si>
  <si>
    <t xml:space="preserve">0.1136229604875172</t>
  </si>
  <si>
    <t xml:space="preserve">2.56474515514667</t>
  </si>
  <si>
    <t xml:space="preserve">3802</t>
  </si>
  <si>
    <t xml:space="preserve">10.4</t>
  </si>
  <si>
    <t xml:space="preserve">6.814844004941996</t>
  </si>
  <si>
    <t xml:space="preserve">4256_20230930</t>
  </si>
  <si>
    <t xml:space="preserve">1.1211810042458925</t>
  </si>
  <si>
    <t xml:space="preserve">305649</t>
  </si>
  <si>
    <t xml:space="preserve">19370</t>
  </si>
  <si>
    <t xml:space="preserve">2056806</t>
  </si>
  <si>
    <t xml:space="preserve">0.12326164543720386</t>
  </si>
  <si>
    <t xml:space="preserve">2.494316325789617</t>
  </si>
  <si>
    <t xml:space="preserve">15.66</t>
  </si>
  <si>
    <t xml:space="preserve">12.405044418927035</t>
  </si>
  <si>
    <t xml:space="preserve">59086_20230930</t>
  </si>
  <si>
    <t xml:space="preserve">1.098248431012008</t>
  </si>
  <si>
    <t xml:space="preserve">115698</t>
  </si>
  <si>
    <t xml:space="preserve">572834</t>
  </si>
  <si>
    <t xml:space="preserve">0.9870596258600298</t>
  </si>
  <si>
    <t xml:space="preserve">4.075260206428922</t>
  </si>
  <si>
    <t xml:space="preserve">513</t>
  </si>
  <si>
    <t xml:space="preserve">13.35</t>
  </si>
  <si>
    <t xml:space="preserve">10.512573549214638</t>
  </si>
  <si>
    <t xml:space="preserve">59176_20230930</t>
  </si>
  <si>
    <t xml:space="preserve">1.0564805477234216</t>
  </si>
  <si>
    <t xml:space="preserve">20876</t>
  </si>
  <si>
    <t xml:space="preserve">144227</t>
  </si>
  <si>
    <t xml:space="preserve">2.377426272830538</t>
  </si>
  <si>
    <t xml:space="preserve">-1.9</t>
  </si>
  <si>
    <t xml:space="preserve">1.02</t>
  </si>
  <si>
    <t xml:space="preserve">31.682609326859485</t>
  </si>
  <si>
    <t xml:space="preserve">59289_20230930</t>
  </si>
  <si>
    <t xml:space="preserve">1.301618764453254</t>
  </si>
  <si>
    <t xml:space="preserve">16338</t>
  </si>
  <si>
    <t xml:space="preserve">29876</t>
  </si>
  <si>
    <t xml:space="preserve">4.555629149126238</t>
  </si>
  <si>
    <t xml:space="preserve">-11.97</t>
  </si>
  <si>
    <t xml:space="preserve">20.38500536800668</t>
  </si>
  <si>
    <t xml:space="preserve">59298_20230930</t>
  </si>
  <si>
    <t xml:space="preserve">0.7894343011074528</t>
  </si>
  <si>
    <t xml:space="preserve">15440</t>
  </si>
  <si>
    <t xml:space="preserve">53034</t>
  </si>
  <si>
    <t xml:space="preserve">2.7700122261216804</t>
  </si>
  <si>
    <t xml:space="preserve">-9.49</t>
  </si>
  <si>
    <t xml:space="preserve">8.36703101418166</t>
  </si>
  <si>
    <t xml:space="preserve">6271_20230930</t>
  </si>
  <si>
    <t xml:space="preserve">1.130628864640321</t>
  </si>
  <si>
    <t xml:space="preserve">125837</t>
  </si>
  <si>
    <t xml:space="preserve">3320</t>
  </si>
  <si>
    <t xml:space="preserve">829691</t>
  </si>
  <si>
    <t xml:space="preserve">0.9788138168376472</t>
  </si>
  <si>
    <t xml:space="preserve">3.5099812232051892</t>
  </si>
  <si>
    <t xml:space="preserve">314</t>
  </si>
  <si>
    <t xml:space="preserve">724</t>
  </si>
  <si>
    <t xml:space="preserve">15.9</t>
  </si>
  <si>
    <t xml:space="preserve">4.124185719183644</t>
  </si>
  <si>
    <t xml:space="preserve">6275_20230930</t>
  </si>
  <si>
    <t xml:space="preserve">0.4062045041968474</t>
  </si>
  <si>
    <t xml:space="preserve">34934</t>
  </si>
  <si>
    <t xml:space="preserve">13861</t>
  </si>
  <si>
    <t xml:space="preserve">332466</t>
  </si>
  <si>
    <t xml:space="preserve">0.37804578487936685</t>
  </si>
  <si>
    <t xml:space="preserve">2.8948338601729637</t>
  </si>
  <si>
    <t xml:space="preserve">392</t>
  </si>
  <si>
    <t xml:space="preserve">11.565204526962052</t>
  </si>
  <si>
    <t xml:space="preserve">6280_20230930</t>
  </si>
  <si>
    <t xml:space="preserve">1.29307111891154</t>
  </si>
  <si>
    <t xml:space="preserve">3368</t>
  </si>
  <si>
    <t xml:space="preserve">1610</t>
  </si>
  <si>
    <t xml:space="preserve">65801</t>
  </si>
  <si>
    <t xml:space="preserve">1.4280785443199375</t>
  </si>
  <si>
    <t xml:space="preserve">4.971628545894925</t>
  </si>
  <si>
    <t xml:space="preserve">721</t>
  </si>
  <si>
    <t xml:space="preserve">17.01</t>
  </si>
  <si>
    <t xml:space="preserve">12.197011548945918</t>
  </si>
  <si>
    <t xml:space="preserve">11971_20231231</t>
  </si>
  <si>
    <t xml:space="preserve">0.9376797175032437</t>
  </si>
  <si>
    <t xml:space="preserve">218797</t>
  </si>
  <si>
    <t xml:space="preserve">7832</t>
  </si>
  <si>
    <t xml:space="preserve">2973096</t>
  </si>
  <si>
    <t xml:space="preserve">0.1889220381722476</t>
  </si>
  <si>
    <t xml:space="preserve">3.420696091347027</t>
  </si>
  <si>
    <t xml:space="preserve">626</t>
  </si>
  <si>
    <t xml:space="preserve">2393</t>
  </si>
  <si>
    <t xml:space="preserve">11.08</t>
  </si>
  <si>
    <t xml:space="preserve">10.359135951070668</t>
  </si>
  <si>
    <t xml:space="preserve">12874_20231231</t>
  </si>
  <si>
    <t xml:space="preserve">0.9980064898578764</t>
  </si>
  <si>
    <t xml:space="preserve">144853</t>
  </si>
  <si>
    <t xml:space="preserve">5403</t>
  </si>
  <si>
    <t xml:space="preserve">791118</t>
  </si>
  <si>
    <t xml:space="preserve">0.08384505933602222</t>
  </si>
  <si>
    <t xml:space="preserve">3.888147713094523</t>
  </si>
  <si>
    <t xml:space="preserve">2266</t>
  </si>
  <si>
    <t xml:space="preserve">7.9359984927419385</t>
  </si>
  <si>
    <t xml:space="preserve">13063_20231231</t>
  </si>
  <si>
    <t xml:space="preserve">1.1936754216948924</t>
  </si>
  <si>
    <t xml:space="preserve">54417</t>
  </si>
  <si>
    <t xml:space="preserve">842</t>
  </si>
  <si>
    <t xml:space="preserve">1403034</t>
  </si>
  <si>
    <t xml:space="preserve">0.07528253839479881</t>
  </si>
  <si>
    <t xml:space="preserve">3.1708391936350555</t>
  </si>
  <si>
    <t xml:space="preserve">1108</t>
  </si>
  <si>
    <t xml:space="preserve">2.91</t>
  </si>
  <si>
    <t xml:space="preserve">12.376936693251656</t>
  </si>
  <si>
    <t xml:space="preserve">14134_20231231</t>
  </si>
  <si>
    <t xml:space="preserve">1.1350906044142932</t>
  </si>
  <si>
    <t xml:space="preserve">25773</t>
  </si>
  <si>
    <t xml:space="preserve">27211</t>
  </si>
  <si>
    <t xml:space="preserve">633643</t>
  </si>
  <si>
    <t xml:space="preserve">1.613154880967612</t>
  </si>
  <si>
    <t xml:space="preserve">3.2239301972026646</t>
  </si>
  <si>
    <t xml:space="preserve">595</t>
  </si>
  <si>
    <t xml:space="preserve">7.15</t>
  </si>
  <si>
    <t xml:space="preserve">7.276210349870434</t>
  </si>
  <si>
    <t xml:space="preserve">14136_20231231</t>
  </si>
  <si>
    <t xml:space="preserve">1.2523858080372317</t>
  </si>
  <si>
    <t xml:space="preserve">14469</t>
  </si>
  <si>
    <t xml:space="preserve">14725</t>
  </si>
  <si>
    <t xml:space="preserve">151072</t>
  </si>
  <si>
    <t xml:space="preserve">0.3353204172876304</t>
  </si>
  <si>
    <t xml:space="preserve">4.021200988678282</t>
  </si>
  <si>
    <t xml:space="preserve">8.390299208746981</t>
  </si>
  <si>
    <t xml:space="preserve">14140_20231231</t>
  </si>
  <si>
    <t xml:space="preserve">0.8207396178794851</t>
  </si>
  <si>
    <t xml:space="preserve">93067</t>
  </si>
  <si>
    <t xml:space="preserve">1491</t>
  </si>
  <si>
    <t xml:space="preserve">1031139</t>
  </si>
  <si>
    <t xml:space="preserve">0.4492763102209158</t>
  </si>
  <si>
    <t xml:space="preserve">2.6387259746342693</t>
  </si>
  <si>
    <t xml:space="preserve">67</t>
  </si>
  <si>
    <t xml:space="preserve">1538</t>
  </si>
  <si>
    <t xml:space="preserve">2.68</t>
  </si>
  <si>
    <t xml:space="preserve">5.59235883928012</t>
  </si>
  <si>
    <t xml:space="preserve">14158_20231231</t>
  </si>
  <si>
    <t xml:space="preserve">0.6355677906711116</t>
  </si>
  <si>
    <t xml:space="preserve">40326</t>
  </si>
  <si>
    <t xml:space="preserve">2468</t>
  </si>
  <si>
    <t xml:space="preserve">1026526</t>
  </si>
  <si>
    <t xml:space="preserve">0.19552953657563898</t>
  </si>
  <si>
    <t xml:space="preserve">2.987155224757127</t>
  </si>
  <si>
    <t xml:space="preserve">3617</t>
  </si>
  <si>
    <t xml:space="preserve">16.38</t>
  </si>
  <si>
    <t xml:space="preserve">9.868636237835783</t>
  </si>
  <si>
    <t xml:space="preserve">14168_20231231</t>
  </si>
  <si>
    <t xml:space="preserve">1.670920551905058</t>
  </si>
  <si>
    <t xml:space="preserve">11698</t>
  </si>
  <si>
    <t xml:space="preserve">10178</t>
  </si>
  <si>
    <t xml:space="preserve">235389</t>
  </si>
  <si>
    <t xml:space="preserve">0.465769103843535</t>
  </si>
  <si>
    <t xml:space="preserve">3.996271936236266</t>
  </si>
  <si>
    <t xml:space="preserve">-60</t>
  </si>
  <si>
    <t xml:space="preserve">8.63</t>
  </si>
  <si>
    <t xml:space="preserve">7.004268076283691</t>
  </si>
  <si>
    <t xml:space="preserve">14240_20231231</t>
  </si>
  <si>
    <t xml:space="preserve">1.161478778796714</t>
  </si>
  <si>
    <t xml:space="preserve">26444</t>
  </si>
  <si>
    <t xml:space="preserve">16789</t>
  </si>
  <si>
    <t xml:space="preserve">910199</t>
  </si>
  <si>
    <t xml:space="preserve">0.3050293464510069</t>
  </si>
  <si>
    <t xml:space="preserve">2.8443832897600934</t>
  </si>
  <si>
    <t xml:space="preserve">3092</t>
  </si>
  <si>
    <t xml:space="preserve">7.62</t>
  </si>
  <si>
    <t xml:space="preserve">8.00683709324608</t>
  </si>
  <si>
    <t xml:space="preserve">17115_20231231</t>
  </si>
  <si>
    <t xml:space="preserve">0.9917546496837949</t>
  </si>
  <si>
    <t xml:space="preserve">43686</t>
  </si>
  <si>
    <t xml:space="preserve">6112</t>
  </si>
  <si>
    <t xml:space="preserve">890496</t>
  </si>
  <si>
    <t xml:space="preserve">0.2672845490851841</t>
  </si>
  <si>
    <t xml:space="preserve">2.887075469127387</t>
  </si>
  <si>
    <t xml:space="preserve">124</t>
  </si>
  <si>
    <t xml:space="preserve">8.6</t>
  </si>
  <si>
    <t xml:space="preserve">8.352268040922185</t>
  </si>
  <si>
    <t xml:space="preserve">17180_20231231</t>
  </si>
  <si>
    <t xml:space="preserve">0.9632634644792798</t>
  </si>
  <si>
    <t xml:space="preserve">52850</t>
  </si>
  <si>
    <t xml:space="preserve">190591</t>
  </si>
  <si>
    <t xml:space="preserve">1466227</t>
  </si>
  <si>
    <t xml:space="preserve">0.3311745856771551</t>
  </si>
  <si>
    <t xml:space="preserve">2.86567771971113</t>
  </si>
  <si>
    <t xml:space="preserve">3022</t>
  </si>
  <si>
    <t xml:space="preserve">5.49</t>
  </si>
  <si>
    <t xml:space="preserve">11.435430270273349</t>
  </si>
  <si>
    <t xml:space="preserve">17443_20231231</t>
  </si>
  <si>
    <t xml:space="preserve">0.8339104058363975</t>
  </si>
  <si>
    <t xml:space="preserve">794</t>
  </si>
  <si>
    <t xml:space="preserve">203348</t>
  </si>
  <si>
    <t xml:space="preserve">0.08436637439163554</t>
  </si>
  <si>
    <t xml:space="preserve">1.557125301631538</t>
  </si>
  <si>
    <t xml:space="preserve">1121</t>
  </si>
  <si>
    <t xml:space="preserve">11.179729025645864</t>
  </si>
  <si>
    <t xml:space="preserve">17658_20231231</t>
  </si>
  <si>
    <t xml:space="preserve">0.7046553839057844</t>
  </si>
  <si>
    <t xml:space="preserve">101314</t>
  </si>
  <si>
    <t xml:space="preserve">79258</t>
  </si>
  <si>
    <t xml:space="preserve">1295980</t>
  </si>
  <si>
    <t xml:space="preserve">0.6737017278116302</t>
  </si>
  <si>
    <t xml:space="preserve">3.3648368996080493</t>
  </si>
  <si>
    <t xml:space="preserve">3070</t>
  </si>
  <si>
    <t xml:space="preserve">12.843507210113428</t>
  </si>
  <si>
    <t xml:space="preserve">17741_20231231</t>
  </si>
  <si>
    <t xml:space="preserve">0.9518908062395189</t>
  </si>
  <si>
    <t xml:space="preserve">54439</t>
  </si>
  <si>
    <t xml:space="preserve">4268</t>
  </si>
  <si>
    <t xml:space="preserve">908392</t>
  </si>
  <si>
    <t xml:space="preserve">0.7231317098488532</t>
  </si>
  <si>
    <t xml:space="preserve">3.2599279436407502</t>
  </si>
  <si>
    <t xml:space="preserve">-17</t>
  </si>
  <si>
    <t xml:space="preserve">2100</t>
  </si>
  <si>
    <t xml:space="preserve">4.85</t>
  </si>
  <si>
    <t xml:space="preserve">8.883016397431682</t>
  </si>
  <si>
    <t xml:space="preserve">17743_20231231</t>
  </si>
  <si>
    <t xml:space="preserve">0.4290642478826174</t>
  </si>
  <si>
    <t xml:space="preserve">16284</t>
  </si>
  <si>
    <t xml:space="preserve">9354</t>
  </si>
  <si>
    <t xml:space="preserve">1086994</t>
  </si>
  <si>
    <t xml:space="preserve">0.1614029045194645</t>
  </si>
  <si>
    <t xml:space="preserve">2.025397349765658</t>
  </si>
  <si>
    <t xml:space="preserve">0.51</t>
  </si>
  <si>
    <t xml:space="preserve">6.853540740385652</t>
  </si>
  <si>
    <t xml:space="preserve">17748_20231231</t>
  </si>
  <si>
    <t xml:space="preserve">0.7746898701193171</t>
  </si>
  <si>
    <t xml:space="preserve">175931</t>
  </si>
  <si>
    <t xml:space="preserve">3416</t>
  </si>
  <si>
    <t xml:space="preserve">1269952</t>
  </si>
  <si>
    <t xml:space="preserve">0.5875610512654831</t>
  </si>
  <si>
    <t xml:space="preserve">2.483107379045266</t>
  </si>
  <si>
    <t xml:space="preserve">1213</t>
  </si>
  <si>
    <t xml:space="preserve">4.89</t>
  </si>
  <si>
    <t xml:space="preserve">12.720588615100123</t>
  </si>
  <si>
    <t xml:space="preserve">17749_20231231</t>
  </si>
  <si>
    <t xml:space="preserve">1.3804077473502445</t>
  </si>
  <si>
    <t xml:space="preserve">48794</t>
  </si>
  <si>
    <t xml:space="preserve">10226</t>
  </si>
  <si>
    <t xml:space="preserve">785866</t>
  </si>
  <si>
    <t xml:space="preserve">0.049192712451026896</t>
  </si>
  <si>
    <t xml:space="preserve">2.7293734656234943</t>
  </si>
  <si>
    <t xml:space="preserve">630</t>
  </si>
  <si>
    <t xml:space="preserve">9.92</t>
  </si>
  <si>
    <t xml:space="preserve">8.651226457172646</t>
  </si>
  <si>
    <t xml:space="preserve">17751_20231231</t>
  </si>
  <si>
    <t xml:space="preserve">0.9152929459968709</t>
  </si>
  <si>
    <t xml:space="preserve">128172</t>
  </si>
  <si>
    <t xml:space="preserve">3312</t>
  </si>
  <si>
    <t xml:space="preserve">1289421</t>
  </si>
  <si>
    <t xml:space="preserve">0.06670088801320494</t>
  </si>
  <si>
    <t xml:space="preserve">3.0616684126448264</t>
  </si>
  <si>
    <t xml:space="preserve">4158</t>
  </si>
  <si>
    <t xml:space="preserve">5195</t>
  </si>
  <si>
    <t xml:space="preserve">7.02</t>
  </si>
  <si>
    <t xml:space="preserve">12.143729070398294</t>
  </si>
  <si>
    <t xml:space="preserve">17897_20231231</t>
  </si>
  <si>
    <t xml:space="preserve">0.6218828761840479</t>
  </si>
  <si>
    <t xml:space="preserve">72247</t>
  </si>
  <si>
    <t xml:space="preserve">3995</t>
  </si>
  <si>
    <t xml:space="preserve">1434063</t>
  </si>
  <si>
    <t xml:space="preserve">0.20941943969558646</t>
  </si>
  <si>
    <t xml:space="preserve">2.5441360872782197</t>
  </si>
  <si>
    <t xml:space="preserve">-105</t>
  </si>
  <si>
    <t xml:space="preserve">2841</t>
  </si>
  <si>
    <t xml:space="preserve">5.45</t>
  </si>
  <si>
    <t xml:space="preserve">7.873956646358296</t>
  </si>
  <si>
    <t xml:space="preserve">17951_20231231</t>
  </si>
  <si>
    <t xml:space="preserve">0.85332385770691</t>
  </si>
  <si>
    <t xml:space="preserve">24625</t>
  </si>
  <si>
    <t xml:space="preserve">2014</t>
  </si>
  <si>
    <t xml:space="preserve">574786</t>
  </si>
  <si>
    <t xml:space="preserve">0.030186309904732006</t>
  </si>
  <si>
    <t xml:space="preserve">2.700003095509742</t>
  </si>
  <si>
    <t xml:space="preserve">-192</t>
  </si>
  <si>
    <t xml:space="preserve">7.91</t>
  </si>
  <si>
    <t xml:space="preserve">8.297248014850707</t>
  </si>
  <si>
    <t xml:space="preserve">17960_20231231</t>
  </si>
  <si>
    <t xml:space="preserve">0.9790239799509073</t>
  </si>
  <si>
    <t xml:space="preserve">105296</t>
  </si>
  <si>
    <t xml:space="preserve">223057</t>
  </si>
  <si>
    <t xml:space="preserve">1153733</t>
  </si>
  <si>
    <t xml:space="preserve">0.7821377688518119</t>
  </si>
  <si>
    <t xml:space="preserve">2.7904163351813156</t>
  </si>
  <si>
    <t xml:space="preserve">199</t>
  </si>
  <si>
    <t xml:space="preserve">2370</t>
  </si>
  <si>
    <t xml:space="preserve">6.46</t>
  </si>
  <si>
    <t xml:space="preserve">10.582551477295537</t>
  </si>
  <si>
    <t xml:space="preserve">18012_20231231</t>
  </si>
  <si>
    <t xml:space="preserve">1.2042946890243047</t>
  </si>
  <si>
    <t xml:space="preserve">49841</t>
  </si>
  <si>
    <t xml:space="preserve">33148</t>
  </si>
  <si>
    <t xml:space="preserve">1969524</t>
  </si>
  <si>
    <t xml:space="preserve">0.027840034672129668</t>
  </si>
  <si>
    <t xml:space="preserve">3.005368898299274</t>
  </si>
  <si>
    <t xml:space="preserve">162</t>
  </si>
  <si>
    <t xml:space="preserve">3215</t>
  </si>
  <si>
    <t xml:space="preserve">8.58</t>
  </si>
  <si>
    <t xml:space="preserve">7.5148582365781245</t>
  </si>
  <si>
    <t xml:space="preserve">18013_20231231</t>
  </si>
  <si>
    <t xml:space="preserve">0.7100531413355703</t>
  </si>
  <si>
    <t xml:space="preserve">110574</t>
  </si>
  <si>
    <t xml:space="preserve">26129</t>
  </si>
  <si>
    <t xml:space="preserve">2357750</t>
  </si>
  <si>
    <t xml:space="preserve">0.029899634087435793</t>
  </si>
  <si>
    <t xml:space="preserve">2.7327949480335927</t>
  </si>
  <si>
    <t xml:space="preserve">320</t>
  </si>
  <si>
    <t xml:space="preserve">5925</t>
  </si>
  <si>
    <t xml:space="preserve">5.28</t>
  </si>
  <si>
    <t xml:space="preserve">10.342773651280119</t>
  </si>
  <si>
    <t xml:space="preserve">18028_20231231</t>
  </si>
  <si>
    <t xml:space="preserve">0.877133414821857</t>
  </si>
  <si>
    <t xml:space="preserve">15393</t>
  </si>
  <si>
    <t xml:space="preserve">6367</t>
  </si>
  <si>
    <t xml:space="preserve">262743</t>
  </si>
  <si>
    <t xml:space="preserve">0.3474580107745937</t>
  </si>
  <si>
    <t xml:space="preserve">3.41924397656439</t>
  </si>
  <si>
    <t xml:space="preserve">383</t>
  </si>
  <si>
    <t xml:space="preserve">1644</t>
  </si>
  <si>
    <t xml:space="preserve">6.740137138773996</t>
  </si>
  <si>
    <t xml:space="preserve">18030_20231231</t>
  </si>
  <si>
    <t xml:space="preserve">1.015743946108243</t>
  </si>
  <si>
    <t xml:space="preserve">41412</t>
  </si>
  <si>
    <t xml:space="preserve">95210</t>
  </si>
  <si>
    <t xml:space="preserve">581874</t>
  </si>
  <si>
    <t xml:space="preserve">0.07757146866946218</t>
  </si>
  <si>
    <t xml:space="preserve">3.491418753482472</t>
  </si>
  <si>
    <t xml:space="preserve">-350</t>
  </si>
  <si>
    <t xml:space="preserve">829</t>
  </si>
  <si>
    <t xml:space="preserve">11.34</t>
  </si>
  <si>
    <t xml:space="preserve">5.4950289611960885</t>
  </si>
  <si>
    <t xml:space="preserve">18031_20231231</t>
  </si>
  <si>
    <t xml:space="preserve">0.8360020155665032</t>
  </si>
  <si>
    <t xml:space="preserve">23262</t>
  </si>
  <si>
    <t xml:space="preserve">10669</t>
  </si>
  <si>
    <t xml:space="preserve">476247</t>
  </si>
  <si>
    <t xml:space="preserve">0.1451291170236246</t>
  </si>
  <si>
    <t xml:space="preserve">2.7215600402249667</t>
  </si>
  <si>
    <t xml:space="preserve">1155</t>
  </si>
  <si>
    <t xml:space="preserve">4.84</t>
  </si>
  <si>
    <t xml:space="preserve">12.053585174961464</t>
  </si>
  <si>
    <t xml:space="preserve">18038_20231231</t>
  </si>
  <si>
    <t xml:space="preserve">0.9274446139353396</t>
  </si>
  <si>
    <t xml:space="preserve">21976</t>
  </si>
  <si>
    <t xml:space="preserve">3848</t>
  </si>
  <si>
    <t xml:space="preserve">414367</t>
  </si>
  <si>
    <t xml:space="preserve">0.565934880429221</t>
  </si>
  <si>
    <t xml:space="preserve">2.450514265048371</t>
  </si>
  <si>
    <t xml:space="preserve">-77</t>
  </si>
  <si>
    <t xml:space="preserve">822</t>
  </si>
  <si>
    <t xml:space="preserve">2.64</t>
  </si>
  <si>
    <t xml:space="preserve">5.6236436234791745</t>
  </si>
  <si>
    <t xml:space="preserve">18408_20231231</t>
  </si>
  <si>
    <t xml:space="preserve">0.6588841583500314</t>
  </si>
  <si>
    <t xml:space="preserve">333151</t>
  </si>
  <si>
    <t xml:space="preserve">34286</t>
  </si>
  <si>
    <t xml:space="preserve">4797557</t>
  </si>
  <si>
    <t xml:space="preserve">0.07624171813465795</t>
  </si>
  <si>
    <t xml:space="preserve">2.0980216397900793</t>
  </si>
  <si>
    <t xml:space="preserve">1220</t>
  </si>
  <si>
    <t xml:space="preserve">7936</t>
  </si>
  <si>
    <t xml:space="preserve">4.9</t>
  </si>
  <si>
    <t xml:space="preserve">-0.1</t>
  </si>
  <si>
    <t xml:space="preserve">9.76071325299652</t>
  </si>
  <si>
    <t xml:space="preserve">19531_20231231</t>
  </si>
  <si>
    <t xml:space="preserve">1.0542059295389534</t>
  </si>
  <si>
    <t xml:space="preserve">248052</t>
  </si>
  <si>
    <t xml:space="preserve">14524</t>
  </si>
  <si>
    <t xml:space="preserve">1975432</t>
  </si>
  <si>
    <t xml:space="preserve">0.3507675262299278</t>
  </si>
  <si>
    <t xml:space="preserve">2.7282594196308336</t>
  </si>
  <si>
    <t xml:space="preserve">433</t>
  </si>
  <si>
    <t xml:space="preserve">8747</t>
  </si>
  <si>
    <t xml:space="preserve">5.05</t>
  </si>
  <si>
    <t xml:space="preserve">11.027236164626064</t>
  </si>
  <si>
    <t xml:space="preserve">19532_20231231</t>
  </si>
  <si>
    <t xml:space="preserve">1.010623761699802</t>
  </si>
  <si>
    <t xml:space="preserve">43720</t>
  </si>
  <si>
    <t xml:space="preserve">53648</t>
  </si>
  <si>
    <t xml:space="preserve">579563</t>
  </si>
  <si>
    <t xml:space="preserve">0.194712031153925</t>
  </si>
  <si>
    <t xml:space="preserve">3.2921374935969308</t>
  </si>
  <si>
    <t xml:space="preserve">102</t>
  </si>
  <si>
    <t xml:space="preserve">1388</t>
  </si>
  <si>
    <t xml:space="preserve">6.79</t>
  </si>
  <si>
    <t xml:space="preserve">11.03208648369</t>
  </si>
  <si>
    <t xml:space="preserve">19690_20231231</t>
  </si>
  <si>
    <t xml:space="preserve">1.0568129853875325</t>
  </si>
  <si>
    <t xml:space="preserve">48038</t>
  </si>
  <si>
    <t xml:space="preserve">382</t>
  </si>
  <si>
    <t xml:space="preserve">2583464</t>
  </si>
  <si>
    <t xml:space="preserve">1.1785260993819364</t>
  </si>
  <si>
    <t xml:space="preserve">5.063983788332686</t>
  </si>
  <si>
    <t xml:space="preserve">2768</t>
  </si>
  <si>
    <t xml:space="preserve">3570</t>
  </si>
  <si>
    <t xml:space="preserve">18.15</t>
  </si>
  <si>
    <t xml:space="preserve">18.30982712935284</t>
  </si>
  <si>
    <t xml:space="preserve">19836_20231231</t>
  </si>
  <si>
    <t xml:space="preserve">0.8155977821880609</t>
  </si>
  <si>
    <t xml:space="preserve">49815</t>
  </si>
  <si>
    <t xml:space="preserve">11959</t>
  </si>
  <si>
    <t xml:space="preserve">542743</t>
  </si>
  <si>
    <t xml:space="preserve">0.7079600735372054</t>
  </si>
  <si>
    <t xml:space="preserve">3.9216962245300273</t>
  </si>
  <si>
    <t xml:space="preserve">3494</t>
  </si>
  <si>
    <t xml:space="preserve">4.09</t>
  </si>
  <si>
    <t xml:space="preserve">17.836388925474623</t>
  </si>
  <si>
    <t xml:space="preserve">24540_20231231</t>
  </si>
  <si>
    <t xml:space="preserve">0.9639604486471677</t>
  </si>
  <si>
    <t xml:space="preserve">42620</t>
  </si>
  <si>
    <t xml:space="preserve">1192899</t>
  </si>
  <si>
    <t xml:space="preserve">0.03569916397539248</t>
  </si>
  <si>
    <t xml:space="preserve">4.941786385745639</t>
  </si>
  <si>
    <t xml:space="preserve">21674</t>
  </si>
  <si>
    <t xml:space="preserve">13.82</t>
  </si>
  <si>
    <t xml:space="preserve">12.04687855319133</t>
  </si>
  <si>
    <t xml:space="preserve">27824_20231231</t>
  </si>
  <si>
    <t xml:space="preserve">0.6617082660596596</t>
  </si>
  <si>
    <t xml:space="preserve">21688</t>
  </si>
  <si>
    <t xml:space="preserve">43401</t>
  </si>
  <si>
    <t xml:space="preserve">450372</t>
  </si>
  <si>
    <t xml:space="preserve">0.2598307791394263</t>
  </si>
  <si>
    <t xml:space="preserve">1.8749455140456408</t>
  </si>
  <si>
    <t xml:space="preserve">1408</t>
  </si>
  <si>
    <t xml:space="preserve">9.129199921420557</t>
  </si>
  <si>
    <t xml:space="preserve">28155_20231231</t>
  </si>
  <si>
    <t xml:space="preserve">0.4835370013524674</t>
  </si>
  <si>
    <t xml:space="preserve">11200</t>
  </si>
  <si>
    <t xml:space="preserve">5939</t>
  </si>
  <si>
    <t xml:space="preserve">166294</t>
  </si>
  <si>
    <t xml:space="preserve">2.4476960899237943</t>
  </si>
  <si>
    <t xml:space="preserve">931</t>
  </si>
  <si>
    <t xml:space="preserve">-0.6</t>
  </si>
  <si>
    <t xml:space="preserve">5.733638166070598</t>
  </si>
  <si>
    <t xml:space="preserve">28288_20231231</t>
  </si>
  <si>
    <t xml:space="preserve">1.024300649901102</t>
  </si>
  <si>
    <t xml:space="preserve">5007</t>
  </si>
  <si>
    <t xml:space="preserve">3064</t>
  </si>
  <si>
    <t xml:space="preserve">84066</t>
  </si>
  <si>
    <t xml:space="preserve">0.30258076669492323</t>
  </si>
  <si>
    <t xml:space="preserve">2.660468816639874</t>
  </si>
  <si>
    <t xml:space="preserve">125</t>
  </si>
  <si>
    <t xml:space="preserve">-1.16</t>
  </si>
  <si>
    <t xml:space="preserve">9.952419981478918</t>
  </si>
  <si>
    <t xml:space="preserve">28369_20231231</t>
  </si>
  <si>
    <t xml:space="preserve">0.7478957509380387</t>
  </si>
  <si>
    <t xml:space="preserve">12166</t>
  </si>
  <si>
    <t xml:space="preserve">834</t>
  </si>
  <si>
    <t xml:space="preserve">78298</t>
  </si>
  <si>
    <t xml:space="preserve">0.22563634519825576</t>
  </si>
  <si>
    <t xml:space="preserve">3.3152872499331263</t>
  </si>
  <si>
    <t xml:space="preserve">-1.8</t>
  </si>
  <si>
    <t xml:space="preserve">9.153766588944794</t>
  </si>
  <si>
    <t xml:space="preserve">28837_20231231</t>
  </si>
  <si>
    <t xml:space="preserve">1.1690575009066366</t>
  </si>
  <si>
    <t xml:space="preserve">6136</t>
  </si>
  <si>
    <t xml:space="preserve">196215</t>
  </si>
  <si>
    <t xml:space="preserve">0.04482814199943587</t>
  </si>
  <si>
    <t xml:space="preserve">3.6033732393693505</t>
  </si>
  <si>
    <t xml:space="preserve">44</t>
  </si>
  <si>
    <t xml:space="preserve">689</t>
  </si>
  <si>
    <t xml:space="preserve">9.84</t>
  </si>
  <si>
    <t xml:space="preserve">14.425111226477764</t>
  </si>
  <si>
    <t xml:space="preserve">29636_20231231</t>
  </si>
  <si>
    <t xml:space="preserve">1.4113411074397308</t>
  </si>
  <si>
    <t xml:space="preserve">1690</t>
  </si>
  <si>
    <t xml:space="preserve">1505</t>
  </si>
  <si>
    <t xml:space="preserve">133073</t>
  </si>
  <si>
    <t xml:space="preserve">1.0083124657351568</t>
  </si>
  <si>
    <t xml:space="preserve">3.6542920643472905</t>
  </si>
  <si>
    <t xml:space="preserve">-10</t>
  </si>
  <si>
    <t xml:space="preserve">8.927384932679171</t>
  </si>
  <si>
    <t xml:space="preserve">29743_20231231</t>
  </si>
  <si>
    <t xml:space="preserve">0.6664275895045125</t>
  </si>
  <si>
    <t xml:space="preserve">26224</t>
  </si>
  <si>
    <t xml:space="preserve">21579</t>
  </si>
  <si>
    <t xml:space="preserve">132956</t>
  </si>
  <si>
    <t xml:space="preserve">0.32574263343494114</t>
  </si>
  <si>
    <t xml:space="preserve">2.3541769441675813</t>
  </si>
  <si>
    <t xml:space="preserve">573</t>
  </si>
  <si>
    <t xml:space="preserve">6.19</t>
  </si>
  <si>
    <t xml:space="preserve">8.083479636828923</t>
  </si>
  <si>
    <t xml:space="preserve">29744_20231231</t>
  </si>
  <si>
    <t xml:space="preserve">0.7889830962117175</t>
  </si>
  <si>
    <t xml:space="preserve">25511</t>
  </si>
  <si>
    <t xml:space="preserve">9826</t>
  </si>
  <si>
    <t xml:space="preserve">426277</t>
  </si>
  <si>
    <t xml:space="preserve">0.03281611108137232</t>
  </si>
  <si>
    <t xml:space="preserve">2.1819532758311464</t>
  </si>
  <si>
    <t xml:space="preserve">-22.17</t>
  </si>
  <si>
    <t xml:space="preserve">10.22025936949193</t>
  </si>
  <si>
    <t xml:space="preserve">30350_20231231</t>
  </si>
  <si>
    <t xml:space="preserve">1.3047218386587371</t>
  </si>
  <si>
    <t xml:space="preserve">16929</t>
  </si>
  <si>
    <t xml:space="preserve">1371</t>
  </si>
  <si>
    <t xml:space="preserve">398118</t>
  </si>
  <si>
    <t xml:space="preserve">0.5007672646951641</t>
  </si>
  <si>
    <t xml:space="preserve">2.8329852611002773</t>
  </si>
  <si>
    <t xml:space="preserve">-22</t>
  </si>
  <si>
    <t xml:space="preserve">904</t>
  </si>
  <si>
    <t xml:space="preserve">11.706890487913842</t>
  </si>
  <si>
    <t xml:space="preserve">30878_20231231</t>
  </si>
  <si>
    <t xml:space="preserve">0.8148849234746878</t>
  </si>
  <si>
    <t xml:space="preserve">104</t>
  </si>
  <si>
    <t xml:space="preserve">85932</t>
  </si>
  <si>
    <t xml:space="preserve">0.6740691151688636</t>
  </si>
  <si>
    <t xml:space="preserve">1.4313974620840504</t>
  </si>
  <si>
    <t xml:space="preserve">151</t>
  </si>
  <si>
    <t xml:space="preserve">-2.36</t>
  </si>
  <si>
    <t xml:space="preserve">8.053238670157214</t>
  </si>
  <si>
    <t xml:space="preserve">33418_20231231</t>
  </si>
  <si>
    <t xml:space="preserve">0.6638330388270691</t>
  </si>
  <si>
    <t xml:space="preserve">52712</t>
  </si>
  <si>
    <t xml:space="preserve">11771</t>
  </si>
  <si>
    <t xml:space="preserve">416000</t>
  </si>
  <si>
    <t xml:space="preserve">0.4157314102870242</t>
  </si>
  <si>
    <t xml:space="preserve">2.5455085539252504</t>
  </si>
  <si>
    <t xml:space="preserve">-50</t>
  </si>
  <si>
    <t xml:space="preserve">1957</t>
  </si>
  <si>
    <t xml:space="preserve">6.16</t>
  </si>
  <si>
    <t xml:space="preserve">95.38357007332957</t>
  </si>
  <si>
    <t xml:space="preserve">35206_20231231</t>
  </si>
  <si>
    <t xml:space="preserve">4.442825239411031</t>
  </si>
  <si>
    <t xml:space="preserve">20.55</t>
  </si>
  <si>
    <t xml:space="preserve">8.92353540931772</t>
  </si>
  <si>
    <t xml:space="preserve">4255_20231231</t>
  </si>
  <si>
    <t xml:space="preserve">0.8990087172324893</t>
  </si>
  <si>
    <t xml:space="preserve">335214</t>
  </si>
  <si>
    <t xml:space="preserve">18237</t>
  </si>
  <si>
    <t xml:space="preserve">4071479</t>
  </si>
  <si>
    <t xml:space="preserve">0.1326059155674185</t>
  </si>
  <si>
    <t xml:space="preserve">2.558444466976091</t>
  </si>
  <si>
    <t xml:space="preserve">1161</t>
  </si>
  <si>
    <t xml:space="preserve">4959</t>
  </si>
  <si>
    <t xml:space="preserve">9.57</t>
  </si>
  <si>
    <t xml:space="preserve">7.369102263893904</t>
  </si>
  <si>
    <t xml:space="preserve">4256_20231231</t>
  </si>
  <si>
    <t xml:space="preserve">1.1284582808550925</t>
  </si>
  <si>
    <t xml:space="preserve">314127</t>
  </si>
  <si>
    <t xml:space="preserve">19401</t>
  </si>
  <si>
    <t xml:space="preserve">2105424</t>
  </si>
  <si>
    <t xml:space="preserve">0.12242574857216922</t>
  </si>
  <si>
    <t xml:space="preserve">2.4527127620537668</t>
  </si>
  <si>
    <t xml:space="preserve">233</t>
  </si>
  <si>
    <t xml:space="preserve">2617</t>
  </si>
  <si>
    <t xml:space="preserve">14.98</t>
  </si>
  <si>
    <t xml:space="preserve">12.733827895743705</t>
  </si>
  <si>
    <t xml:space="preserve">59086_20231231</t>
  </si>
  <si>
    <t xml:space="preserve">1.1403911174541685</t>
  </si>
  <si>
    <t xml:space="preserve">115313</t>
  </si>
  <si>
    <t xml:space="preserve">581858</t>
  </si>
  <si>
    <t xml:space="preserve">0.6381568887303125</t>
  </si>
  <si>
    <t xml:space="preserve">4.076425940676596</t>
  </si>
  <si>
    <t xml:space="preserve">540</t>
  </si>
  <si>
    <t xml:space="preserve">9.68293441094187</t>
  </si>
  <si>
    <t xml:space="preserve">59176_20231231</t>
  </si>
  <si>
    <t xml:space="preserve">0.9817274982398653</t>
  </si>
  <si>
    <t xml:space="preserve">23200</t>
  </si>
  <si>
    <t xml:space="preserve">150485</t>
  </si>
  <si>
    <t xml:space="preserve">2.303184881432702</t>
  </si>
  <si>
    <t xml:space="preserve">-1.7</t>
  </si>
  <si>
    <t xml:space="preserve">0.81</t>
  </si>
  <si>
    <t xml:space="preserve">25.416352500760613</t>
  </si>
  <si>
    <t xml:space="preserve">59289_20231231</t>
  </si>
  <si>
    <t xml:space="preserve">1.3569906907520355</t>
  </si>
  <si>
    <t xml:space="preserve">19039</t>
  </si>
  <si>
    <t xml:space="preserve">33802</t>
  </si>
  <si>
    <t xml:space="preserve">4.585995060922097</t>
  </si>
  <si>
    <t xml:space="preserve">-11.2</t>
  </si>
  <si>
    <t xml:space="preserve">17.188304916508564</t>
  </si>
  <si>
    <t xml:space="preserve">59298_20231231</t>
  </si>
  <si>
    <t xml:space="preserve">0.7904321545733992</t>
  </si>
  <si>
    <t xml:space="preserve">19027</t>
  </si>
  <si>
    <t xml:space="preserve">76814</t>
  </si>
  <si>
    <t xml:space="preserve">2.7771057948178126</t>
  </si>
  <si>
    <t xml:space="preserve">-9.28</t>
  </si>
  <si>
    <t xml:space="preserve">9.19614721554221</t>
  </si>
  <si>
    <t xml:space="preserve">6271_20231231</t>
  </si>
  <si>
    <t xml:space="preserve">1.163471051521094</t>
  </si>
  <si>
    <t xml:space="preserve">122908</t>
  </si>
  <si>
    <t xml:space="preserve">7945</t>
  </si>
  <si>
    <t xml:space="preserve">836160</t>
  </si>
  <si>
    <t xml:space="preserve">0.8794295055691292</t>
  </si>
  <si>
    <t xml:space="preserve">3.5379227115719356</t>
  </si>
  <si>
    <t xml:space="preserve">341</t>
  </si>
  <si>
    <t xml:space="preserve">2530</t>
  </si>
  <si>
    <t xml:space="preserve">15.83</t>
  </si>
  <si>
    <t xml:space="preserve">5.492982368513061</t>
  </si>
  <si>
    <t xml:space="preserve">6275_20231231</t>
  </si>
  <si>
    <t xml:space="preserve">0.4080288201883758</t>
  </si>
  <si>
    <t xml:space="preserve">35545</t>
  </si>
  <si>
    <t xml:space="preserve">12925</t>
  </si>
  <si>
    <t xml:space="preserve">335611</t>
  </si>
  <si>
    <t xml:space="preserve">0.39319140854516216</t>
  </si>
  <si>
    <t xml:space="preserve">2.86365448541739</t>
  </si>
  <si>
    <t xml:space="preserve">326</t>
  </si>
  <si>
    <t xml:space="preserve">11.891171993911719</t>
  </si>
  <si>
    <t xml:space="preserve">6280_20231231</t>
  </si>
  <si>
    <t xml:space="preserve">1.3192379045319356</t>
  </si>
  <si>
    <t xml:space="preserve">3335</t>
  </si>
  <si>
    <t xml:space="preserve">2153</t>
  </si>
  <si>
    <t xml:space="preserve">67022</t>
  </si>
  <si>
    <t xml:space="preserve">1.4075797284961276</t>
  </si>
  <si>
    <t xml:space="preserve">5.132283520945956</t>
  </si>
  <si>
    <t xml:space="preserve">1133</t>
  </si>
  <si>
    <t xml:space="preserve">16.73</t>
  </si>
  <si>
    <t xml:space="preserve">12.326229792905325</t>
  </si>
  <si>
    <t xml:space="preserve">11971_20240331</t>
  </si>
  <si>
    <t xml:space="preserve">0.9405239270547489</t>
  </si>
  <si>
    <t xml:space="preserve">200453</t>
  </si>
  <si>
    <t xml:space="preserve">7629</t>
  </si>
  <si>
    <t xml:space="preserve">2986454</t>
  </si>
  <si>
    <t xml:space="preserve">0.22784196279100932</t>
  </si>
  <si>
    <t xml:space="preserve">3.2557970992101803</t>
  </si>
  <si>
    <t xml:space="preserve">2796</t>
  </si>
  <si>
    <t xml:space="preserve">10.412524195933619</t>
  </si>
  <si>
    <t xml:space="preserve">12874_20240331</t>
  </si>
  <si>
    <t xml:space="preserve">0.9896063134250531</t>
  </si>
  <si>
    <t xml:space="preserve">149340</t>
  </si>
  <si>
    <t xml:space="preserve">789897</t>
  </si>
  <si>
    <t xml:space="preserve">0.1837571697886166</t>
  </si>
  <si>
    <t xml:space="preserve">3.637481804719911</t>
  </si>
  <si>
    <t xml:space="preserve">-40</t>
  </si>
  <si>
    <t xml:space="preserve">8.52</t>
  </si>
  <si>
    <t xml:space="preserve">7.994721333926003</t>
  </si>
  <si>
    <t xml:space="preserve">13063_20240331</t>
  </si>
  <si>
    <t xml:space="preserve">1.2032250123092072</t>
  </si>
  <si>
    <t xml:space="preserve">57837</t>
  </si>
  <si>
    <t xml:space="preserve">758</t>
  </si>
  <si>
    <t xml:space="preserve">1412620</t>
  </si>
  <si>
    <t xml:space="preserve">0.03566872566134014</t>
  </si>
  <si>
    <t xml:space="preserve">2.9624034513622175</t>
  </si>
  <si>
    <t xml:space="preserve">3365</t>
  </si>
  <si>
    <t xml:space="preserve">12.84552575243609</t>
  </si>
  <si>
    <t xml:space="preserve">14134_20240331</t>
  </si>
  <si>
    <t xml:space="preserve">1.1549638333491268</t>
  </si>
  <si>
    <t xml:space="preserve">25471</t>
  </si>
  <si>
    <t xml:space="preserve">24735</t>
  </si>
  <si>
    <t xml:space="preserve">625867</t>
  </si>
  <si>
    <t xml:space="preserve">1.721943207302821</t>
  </si>
  <si>
    <t xml:space="preserve">3.066685508009712</t>
  </si>
  <si>
    <t xml:space="preserve">4407</t>
  </si>
  <si>
    <t xml:space="preserve">12.11</t>
  </si>
  <si>
    <t xml:space="preserve">-0.18</t>
  </si>
  <si>
    <t xml:space="preserve">7.271168722559063</t>
  </si>
  <si>
    <t xml:space="preserve">14136_20240331</t>
  </si>
  <si>
    <t xml:space="preserve">1.1053583437253123</t>
  </si>
  <si>
    <t xml:space="preserve">14438</t>
  </si>
  <si>
    <t xml:space="preserve">14594</t>
  </si>
  <si>
    <t xml:space="preserve">151470</t>
  </si>
  <si>
    <t xml:space="preserve">0.6339651221247952</t>
  </si>
  <si>
    <t xml:space="preserve">3.7543273383496825</t>
  </si>
  <si>
    <t xml:space="preserve">634</t>
  </si>
  <si>
    <t xml:space="preserve">8.37580981724622</t>
  </si>
  <si>
    <t xml:space="preserve">14140_20240331</t>
  </si>
  <si>
    <t xml:space="preserve">0.8420638135949385</t>
  </si>
  <si>
    <t xml:space="preserve">86843</t>
  </si>
  <si>
    <t xml:space="preserve">1578</t>
  </si>
  <si>
    <t xml:space="preserve">1047556</t>
  </si>
  <si>
    <t xml:space="preserve">0.430497552184103</t>
  </si>
  <si>
    <t xml:space="preserve">2.391615610313735</t>
  </si>
  <si>
    <t xml:space="preserve">3.17</t>
  </si>
  <si>
    <t xml:space="preserve">5.6298567164979625</t>
  </si>
  <si>
    <t xml:space="preserve">14158_20240331</t>
  </si>
  <si>
    <t xml:space="preserve">0.6393166767847711</t>
  </si>
  <si>
    <t xml:space="preserve">40567</t>
  </si>
  <si>
    <t xml:space="preserve">2275</t>
  </si>
  <si>
    <t xml:space="preserve">1032746</t>
  </si>
  <si>
    <t xml:space="preserve">0.18020167578899568</t>
  </si>
  <si>
    <t xml:space="preserve">2.7202562094864846</t>
  </si>
  <si>
    <t xml:space="preserve">2549</t>
  </si>
  <si>
    <t xml:space="preserve">13.08</t>
  </si>
  <si>
    <t xml:space="preserve">9.682040790512096</t>
  </si>
  <si>
    <t xml:space="preserve">14168_20240331</t>
  </si>
  <si>
    <t xml:space="preserve">1.6453797735957434</t>
  </si>
  <si>
    <t xml:space="preserve">12376</t>
  </si>
  <si>
    <t xml:space="preserve">10104</t>
  </si>
  <si>
    <t xml:space="preserve">246577</t>
  </si>
  <si>
    <t xml:space="preserve">0.43717241984507504</t>
  </si>
  <si>
    <t xml:space="preserve">3.9809390262741973</t>
  </si>
  <si>
    <t xml:space="preserve">-25</t>
  </si>
  <si>
    <t xml:space="preserve">1276</t>
  </si>
  <si>
    <t xml:space="preserve">8.06</t>
  </si>
  <si>
    <t xml:space="preserve">7.095444128434589</t>
  </si>
  <si>
    <t xml:space="preserve">14240_20240331</t>
  </si>
  <si>
    <t xml:space="preserve">1.1631180083315853</t>
  </si>
  <si>
    <t xml:space="preserve">26576</t>
  </si>
  <si>
    <t xml:space="preserve">15838</t>
  </si>
  <si>
    <t xml:space="preserve">909411</t>
  </si>
  <si>
    <t xml:space="preserve">0.3565866366413691</t>
  </si>
  <si>
    <t xml:space="preserve">2.8576455097097013</t>
  </si>
  <si>
    <t xml:space="preserve">8.160167446943491</t>
  </si>
  <si>
    <t xml:space="preserve">17115_20240331</t>
  </si>
  <si>
    <t xml:space="preserve">1.0029470216780727</t>
  </si>
  <si>
    <t xml:space="preserve">6768</t>
  </si>
  <si>
    <t xml:space="preserve">887171</t>
  </si>
  <si>
    <t xml:space="preserve">0.26156072750482895</t>
  </si>
  <si>
    <t xml:space="preserve">2.59385352969745</t>
  </si>
  <si>
    <t xml:space="preserve">1163</t>
  </si>
  <si>
    <t xml:space="preserve">6.61</t>
  </si>
  <si>
    <t xml:space="preserve">8.292576756210556</t>
  </si>
  <si>
    <t xml:space="preserve">17180_20240331</t>
  </si>
  <si>
    <t xml:space="preserve">0.9855148794608488</t>
  </si>
  <si>
    <t xml:space="preserve">54013</t>
  </si>
  <si>
    <t xml:space="preserve">183116</t>
  </si>
  <si>
    <t xml:space="preserve">1473892</t>
  </si>
  <si>
    <t xml:space="preserve">0.41039607352599355</t>
  </si>
  <si>
    <t xml:space="preserve">2.6536148804584463</t>
  </si>
  <si>
    <t xml:space="preserve">108</t>
  </si>
  <si>
    <t xml:space="preserve">1366</t>
  </si>
  <si>
    <t xml:space="preserve">4.65</t>
  </si>
  <si>
    <t xml:space="preserve">11.316043720681186</t>
  </si>
  <si>
    <t xml:space="preserve">17443_20240331</t>
  </si>
  <si>
    <t xml:space="preserve">0.8256633726553853</t>
  </si>
  <si>
    <t xml:space="preserve">725</t>
  </si>
  <si>
    <t xml:space="preserve">198910</t>
  </si>
  <si>
    <t xml:space="preserve">0.5225212648205578</t>
  </si>
  <si>
    <t xml:space="preserve">1.188457405504616</t>
  </si>
  <si>
    <t xml:space="preserve">-4.42</t>
  </si>
  <si>
    <t xml:space="preserve">11.152972318376182</t>
  </si>
  <si>
    <t xml:space="preserve">17658_20240331</t>
  </si>
  <si>
    <t xml:space="preserve">0.6840692837060908</t>
  </si>
  <si>
    <t xml:space="preserve">99126</t>
  </si>
  <si>
    <t xml:space="preserve">78729</t>
  </si>
  <si>
    <t xml:space="preserve">1304914</t>
  </si>
  <si>
    <t xml:space="preserve">0.7337685763473988</t>
  </si>
  <si>
    <t xml:space="preserve">3.0378090039548735</t>
  </si>
  <si>
    <t xml:space="preserve">2838</t>
  </si>
  <si>
    <t xml:space="preserve">12.67430247405216</t>
  </si>
  <si>
    <t xml:space="preserve">17741_20240331</t>
  </si>
  <si>
    <t xml:space="preserve">0.9594637871970136</t>
  </si>
  <si>
    <t xml:space="preserve">56338</t>
  </si>
  <si>
    <t xml:space="preserve">4181</t>
  </si>
  <si>
    <t xml:space="preserve">918495</t>
  </si>
  <si>
    <t xml:space="preserve">0.7995531559975113</t>
  </si>
  <si>
    <t xml:space="preserve">2.983927357720198</t>
  </si>
  <si>
    <t xml:space="preserve">2790</t>
  </si>
  <si>
    <t xml:space="preserve">4.43</t>
  </si>
  <si>
    <t xml:space="preserve">8.757984976799351</t>
  </si>
  <si>
    <t xml:space="preserve">17743_20240331</t>
  </si>
  <si>
    <t xml:space="preserve">0.42614411419134474</t>
  </si>
  <si>
    <t xml:space="preserve">15543</t>
  </si>
  <si>
    <t xml:space="preserve">9685</t>
  </si>
  <si>
    <t xml:space="preserve">1094942</t>
  </si>
  <si>
    <t xml:space="preserve">0.3360227276860902</t>
  </si>
  <si>
    <t xml:space="preserve">1.8348358430994565</t>
  </si>
  <si>
    <t xml:space="preserve">8713</t>
  </si>
  <si>
    <t xml:space="preserve">-0.42</t>
  </si>
  <si>
    <t xml:space="preserve">6.819226308149077</t>
  </si>
  <si>
    <t xml:space="preserve">17748_20240331</t>
  </si>
  <si>
    <t xml:space="preserve">0.7707719970756189</t>
  </si>
  <si>
    <t xml:space="preserve">176024</t>
  </si>
  <si>
    <t xml:space="preserve">3218</t>
  </si>
  <si>
    <t xml:space="preserve">1255473</t>
  </si>
  <si>
    <t xml:space="preserve">0.7440573810982236</t>
  </si>
  <si>
    <t xml:space="preserve">2.3432976435399486</t>
  </si>
  <si>
    <t xml:space="preserve">726</t>
  </si>
  <si>
    <t xml:space="preserve">2.73</t>
  </si>
  <si>
    <t xml:space="preserve">12.820134879397378</t>
  </si>
  <si>
    <t xml:space="preserve">17749_20240331</t>
  </si>
  <si>
    <t xml:space="preserve">1.3747543763157863</t>
  </si>
  <si>
    <t xml:space="preserve">50316</t>
  </si>
  <si>
    <t xml:space="preserve">10949</t>
  </si>
  <si>
    <t xml:space="preserve">801554</t>
  </si>
  <si>
    <t xml:space="preserve">0.06755035823837525</t>
  </si>
  <si>
    <t xml:space="preserve">2.5031635230288276</t>
  </si>
  <si>
    <t xml:space="preserve">9.44</t>
  </si>
  <si>
    <t xml:space="preserve">8.484660212258962</t>
  </si>
  <si>
    <t xml:space="preserve">17751_20240331</t>
  </si>
  <si>
    <t xml:space="preserve">0.9049678652336508</t>
  </si>
  <si>
    <t xml:space="preserve">135811</t>
  </si>
  <si>
    <t xml:space="preserve">2663</t>
  </si>
  <si>
    <t xml:space="preserve">1320146</t>
  </si>
  <si>
    <t xml:space="preserve">0.06042627169153027</t>
  </si>
  <si>
    <t xml:space="preserve">2.636116326296027</t>
  </si>
  <si>
    <t xml:space="preserve">2865</t>
  </si>
  <si>
    <t xml:space="preserve">4.76</t>
  </si>
  <si>
    <t xml:space="preserve">12.308486991179148</t>
  </si>
  <si>
    <t xml:space="preserve">17897_20240331</t>
  </si>
  <si>
    <t xml:space="preserve">0.6081588002799794</t>
  </si>
  <si>
    <t xml:space="preserve">73033</t>
  </si>
  <si>
    <t xml:space="preserve">3094</t>
  </si>
  <si>
    <t xml:space="preserve">1422828</t>
  </si>
  <si>
    <t xml:space="preserve">0.23827586351424418</t>
  </si>
  <si>
    <t xml:space="preserve">2.2992009300896656</t>
  </si>
  <si>
    <t xml:space="preserve">-32</t>
  </si>
  <si>
    <t xml:space="preserve">2066</t>
  </si>
  <si>
    <t xml:space="preserve">7.756013767327137</t>
  </si>
  <si>
    <t xml:space="preserve">17951_20240331</t>
  </si>
  <si>
    <t xml:space="preserve">0.8523120158579207</t>
  </si>
  <si>
    <t xml:space="preserve">27259</t>
  </si>
  <si>
    <t xml:space="preserve">1980</t>
  </si>
  <si>
    <t xml:space="preserve">580709</t>
  </si>
  <si>
    <t xml:space="preserve">0.029707990937355405</t>
  </si>
  <si>
    <t xml:space="preserve">2.50658748853139</t>
  </si>
  <si>
    <t xml:space="preserve">8.3637311099531</t>
  </si>
  <si>
    <t xml:space="preserve">17960_20240331</t>
  </si>
  <si>
    <t xml:space="preserve">0.9814399934228104</t>
  </si>
  <si>
    <t xml:space="preserve">110468</t>
  </si>
  <si>
    <t xml:space="preserve">221886</t>
  </si>
  <si>
    <t xml:space="preserve">1156212</t>
  </si>
  <si>
    <t xml:space="preserve">0.7905473454874313</t>
  </si>
  <si>
    <t xml:space="preserve">2.712007691735126</t>
  </si>
  <si>
    <t xml:space="preserve">175</t>
  </si>
  <si>
    <t xml:space="preserve">2013</t>
  </si>
  <si>
    <t xml:space="preserve">4.51</t>
  </si>
  <si>
    <t xml:space="preserve">10.887676790689277</t>
  </si>
  <si>
    <t xml:space="preserve">18012_20240331</t>
  </si>
  <si>
    <t xml:space="preserve">1.2212251209432496</t>
  </si>
  <si>
    <t xml:space="preserve">50469</t>
  </si>
  <si>
    <t xml:space="preserve">31306</t>
  </si>
  <si>
    <t xml:space="preserve">1972623</t>
  </si>
  <si>
    <t xml:space="preserve">0.03955912110649366</t>
  </si>
  <si>
    <t xml:space="preserve">2.6810987692725456</t>
  </si>
  <si>
    <t xml:space="preserve">4940</t>
  </si>
  <si>
    <t xml:space="preserve">7.490335106278155</t>
  </si>
  <si>
    <t xml:space="preserve">18013_20240331</t>
  </si>
  <si>
    <t xml:space="preserve">0.7005463775778239</t>
  </si>
  <si>
    <t xml:space="preserve">113938</t>
  </si>
  <si>
    <t xml:space="preserve">28036</t>
  </si>
  <si>
    <t xml:space="preserve">2370272</t>
  </si>
  <si>
    <t xml:space="preserve">0.056430807953434324</t>
  </si>
  <si>
    <t xml:space="preserve">2.466662045575865</t>
  </si>
  <si>
    <t xml:space="preserve">4721</t>
  </si>
  <si>
    <t xml:space="preserve">3.5</t>
  </si>
  <si>
    <t xml:space="preserve">10.199936064760859</t>
  </si>
  <si>
    <t xml:space="preserve">18028_20240331</t>
  </si>
  <si>
    <t xml:space="preserve">0.8444607264081823</t>
  </si>
  <si>
    <t xml:space="preserve">14766</t>
  </si>
  <si>
    <t xml:space="preserve">6592</t>
  </si>
  <si>
    <t xml:space="preserve">265249</t>
  </si>
  <si>
    <t xml:space="preserve">0.28522511476292295</t>
  </si>
  <si>
    <t xml:space="preserve">3.217261104925711</t>
  </si>
  <si>
    <t xml:space="preserve">99</t>
  </si>
  <si>
    <t xml:space="preserve">2237</t>
  </si>
  <si>
    <t xml:space="preserve">3.87</t>
  </si>
  <si>
    <t xml:space="preserve">6.490548670238995</t>
  </si>
  <si>
    <t xml:space="preserve">18030_20240331</t>
  </si>
  <si>
    <t xml:space="preserve">1.0298217776404373</t>
  </si>
  <si>
    <t xml:space="preserve">36835</t>
  </si>
  <si>
    <t xml:space="preserve">94431</t>
  </si>
  <si>
    <t xml:space="preserve">570090</t>
  </si>
  <si>
    <t xml:space="preserve">0.11128047192641949</t>
  </si>
  <si>
    <t xml:space="preserve">3.436227121569465</t>
  </si>
  <si>
    <t xml:space="preserve">2582</t>
  </si>
  <si>
    <t xml:space="preserve">10.29</t>
  </si>
  <si>
    <t xml:space="preserve">5.432679676117228</t>
  </si>
  <si>
    <t xml:space="preserve">18031_20240331</t>
  </si>
  <si>
    <t xml:space="preserve">0.8078608574527314</t>
  </si>
  <si>
    <t xml:space="preserve">23631</t>
  </si>
  <si>
    <t xml:space="preserve">10269</t>
  </si>
  <si>
    <t xml:space="preserve">472840</t>
  </si>
  <si>
    <t xml:space="preserve">0.1890113301908364</t>
  </si>
  <si>
    <t xml:space="preserve">2.612941476264598</t>
  </si>
  <si>
    <t xml:space="preserve">1463</t>
  </si>
  <si>
    <t xml:space="preserve">8.38</t>
  </si>
  <si>
    <t xml:space="preserve">12.617714345882511</t>
  </si>
  <si>
    <t xml:space="preserve">18038_20240331</t>
  </si>
  <si>
    <t xml:space="preserve">0.932183863906916</t>
  </si>
  <si>
    <t xml:space="preserve">23498</t>
  </si>
  <si>
    <t xml:space="preserve">3734</t>
  </si>
  <si>
    <t xml:space="preserve">412772</t>
  </si>
  <si>
    <t xml:space="preserve">0.5253734495603087</t>
  </si>
  <si>
    <t xml:space="preserve">2.403425636076801</t>
  </si>
  <si>
    <t xml:space="preserve">1700</t>
  </si>
  <si>
    <t xml:space="preserve">8.82</t>
  </si>
  <si>
    <t xml:space="preserve">5.589102829438051</t>
  </si>
  <si>
    <t xml:space="preserve">18408_20240331</t>
  </si>
  <si>
    <t xml:space="preserve">0.6623416731135306</t>
  </si>
  <si>
    <t xml:space="preserve">359864</t>
  </si>
  <si>
    <t xml:space="preserve">34725</t>
  </si>
  <si>
    <t xml:space="preserve">4808792</t>
  </si>
  <si>
    <t xml:space="preserve">0.09357851040776888</t>
  </si>
  <si>
    <t xml:space="preserve">2.0264137285842776</t>
  </si>
  <si>
    <t xml:space="preserve">-238</t>
  </si>
  <si>
    <t xml:space="preserve">7195</t>
  </si>
  <si>
    <t xml:space="preserve">-0.25</t>
  </si>
  <si>
    <t xml:space="preserve">9.56009589422309</t>
  </si>
  <si>
    <t xml:space="preserve">19531_20240331</t>
  </si>
  <si>
    <t xml:space="preserve">1.0276631349589984</t>
  </si>
  <si>
    <t xml:space="preserve">257202</t>
  </si>
  <si>
    <t xml:space="preserve">12370</t>
  </si>
  <si>
    <t xml:space="preserve">2016789</t>
  </si>
  <si>
    <t xml:space="preserve">0.3944094654345767</t>
  </si>
  <si>
    <t xml:space="preserve">2.580732211739214</t>
  </si>
  <si>
    <t xml:space="preserve">9492</t>
  </si>
  <si>
    <t xml:space="preserve">3.14</t>
  </si>
  <si>
    <t xml:space="preserve">10.807525054941628</t>
  </si>
  <si>
    <t xml:space="preserve">19532_20240331</t>
  </si>
  <si>
    <t xml:space="preserve">1.0027023783971971</t>
  </si>
  <si>
    <t xml:space="preserve">47376</t>
  </si>
  <si>
    <t xml:space="preserve">51912</t>
  </si>
  <si>
    <t xml:space="preserve">585768</t>
  </si>
  <si>
    <t xml:space="preserve">0.2910253658520097</t>
  </si>
  <si>
    <t xml:space="preserve">2.9277774621183803</t>
  </si>
  <si>
    <t xml:space="preserve">894</t>
  </si>
  <si>
    <t xml:space="preserve">8.64</t>
  </si>
  <si>
    <t xml:space="preserve">11.726465879044257</t>
  </si>
  <si>
    <t xml:space="preserve">19690_20240331</t>
  </si>
  <si>
    <t xml:space="preserve">0.9764448029400994</t>
  </si>
  <si>
    <t xml:space="preserve">53076</t>
  </si>
  <si>
    <t xml:space="preserve">319</t>
  </si>
  <si>
    <t xml:space="preserve">2630839</t>
  </si>
  <si>
    <t xml:space="preserve">1.0520626276685958</t>
  </si>
  <si>
    <t xml:space="preserve">5.078608650959368</t>
  </si>
  <si>
    <t xml:space="preserve">2248</t>
  </si>
  <si>
    <t xml:space="preserve">5111</t>
  </si>
  <si>
    <t xml:space="preserve">16.32</t>
  </si>
  <si>
    <t xml:space="preserve">17.880708635834665</t>
  </si>
  <si>
    <t xml:space="preserve">19836_20240331</t>
  </si>
  <si>
    <t xml:space="preserve">0.7914383500913267</t>
  </si>
  <si>
    <t xml:space="preserve">47004</t>
  </si>
  <si>
    <t xml:space="preserve">11321</t>
  </si>
  <si>
    <t xml:space="preserve">559447</t>
  </si>
  <si>
    <t xml:space="preserve">0.8586476565409373</t>
  </si>
  <si>
    <t xml:space="preserve">3.556855641255118</t>
  </si>
  <si>
    <t xml:space="preserve">1775</t>
  </si>
  <si>
    <t xml:space="preserve">3.42</t>
  </si>
  <si>
    <t xml:space="preserve">17.620743729473777</t>
  </si>
  <si>
    <t xml:space="preserve">24540_20240331</t>
  </si>
  <si>
    <t xml:space="preserve">0.9526994517244574</t>
  </si>
  <si>
    <t xml:space="preserve">42959</t>
  </si>
  <si>
    <t xml:space="preserve">75</t>
  </si>
  <si>
    <t xml:space="preserve">1208384</t>
  </si>
  <si>
    <t xml:space="preserve">2.4718710630348846</t>
  </si>
  <si>
    <t xml:space="preserve">4.098942928065117</t>
  </si>
  <si>
    <t xml:space="preserve">10.67</t>
  </si>
  <si>
    <t xml:space="preserve">11.964389608710508</t>
  </si>
  <si>
    <t xml:space="preserve">27824_20240331</t>
  </si>
  <si>
    <t xml:space="preserve">0.6455185437666426</t>
  </si>
  <si>
    <t xml:space="preserve">20617</t>
  </si>
  <si>
    <t xml:space="preserve">41816</t>
  </si>
  <si>
    <t xml:space="preserve">450353</t>
  </si>
  <si>
    <t xml:space="preserve">0.2305423370595152</t>
  </si>
  <si>
    <t xml:space="preserve">1.6289015026100886</t>
  </si>
  <si>
    <t xml:space="preserve">116</t>
  </si>
  <si>
    <t xml:space="preserve">1418</t>
  </si>
  <si>
    <t xml:space="preserve">-3.28</t>
  </si>
  <si>
    <t xml:space="preserve">9.220586403439372</t>
  </si>
  <si>
    <t xml:space="preserve">28155_20240331</t>
  </si>
  <si>
    <t xml:space="preserve">0.4724815474370274</t>
  </si>
  <si>
    <t xml:space="preserve">10532</t>
  </si>
  <si>
    <t xml:space="preserve">5990</t>
  </si>
  <si>
    <t xml:space="preserve">165991</t>
  </si>
  <si>
    <t xml:space="preserve">0.0779474634096619</t>
  </si>
  <si>
    <t xml:space="preserve">2.3675037551717533</t>
  </si>
  <si>
    <t xml:space="preserve">447</t>
  </si>
  <si>
    <t xml:space="preserve">5.66316766223975</t>
  </si>
  <si>
    <t xml:space="preserve">28288_20240331</t>
  </si>
  <si>
    <t xml:space="preserve">1.038557956308941</t>
  </si>
  <si>
    <t xml:space="preserve">4949</t>
  </si>
  <si>
    <t xml:space="preserve">2908</t>
  </si>
  <si>
    <t xml:space="preserve">82900</t>
  </si>
  <si>
    <t xml:space="preserve">0.30321117345111614</t>
  </si>
  <si>
    <t xml:space="preserve">2.7161338349797797</t>
  </si>
  <si>
    <t xml:space="preserve">107</t>
  </si>
  <si>
    <t xml:space="preserve">9.742096243415727</t>
  </si>
  <si>
    <t xml:space="preserve">28369_20240331</t>
  </si>
  <si>
    <t xml:space="preserve">0.7411623504373971</t>
  </si>
  <si>
    <t xml:space="preserve">12521</t>
  </si>
  <si>
    <t xml:space="preserve">832</t>
  </si>
  <si>
    <t xml:space="preserve">80220</t>
  </si>
  <si>
    <t xml:space="preserve">0.2152959081404125</t>
  </si>
  <si>
    <t xml:space="preserve">3.0142140002894005</t>
  </si>
  <si>
    <t xml:space="preserve">-3.61</t>
  </si>
  <si>
    <t xml:space="preserve">9.45696316518186</t>
  </si>
  <si>
    <t xml:space="preserve">28837_20240331</t>
  </si>
  <si>
    <t xml:space="preserve">1.0832944328306713</t>
  </si>
  <si>
    <t xml:space="preserve">1299</t>
  </si>
  <si>
    <t xml:space="preserve">194949</t>
  </si>
  <si>
    <t xml:space="preserve">0.0644395283229486</t>
  </si>
  <si>
    <t xml:space="preserve">3.6356955105009954</t>
  </si>
  <si>
    <t xml:space="preserve">795</t>
  </si>
  <si>
    <t xml:space="preserve">7.94</t>
  </si>
  <si>
    <t xml:space="preserve">14.57213399921441</t>
  </si>
  <si>
    <t xml:space="preserve">29636_20240331</t>
  </si>
  <si>
    <t xml:space="preserve">1.4069647336579607</t>
  </si>
  <si>
    <t xml:space="preserve">1456</t>
  </si>
  <si>
    <t xml:space="preserve">1571</t>
  </si>
  <si>
    <t xml:space="preserve">133633</t>
  </si>
  <si>
    <t xml:space="preserve">0.6632728345875756</t>
  </si>
  <si>
    <t xml:space="preserve">3.5569459283869045</t>
  </si>
  <si>
    <t xml:space="preserve">3809</t>
  </si>
  <si>
    <t xml:space="preserve">2.15</t>
  </si>
  <si>
    <t xml:space="preserve">9.097207187702965</t>
  </si>
  <si>
    <t xml:space="preserve">29743_20240331</t>
  </si>
  <si>
    <t xml:space="preserve">0.6706010600308235</t>
  </si>
  <si>
    <t xml:space="preserve">26800</t>
  </si>
  <si>
    <t xml:space="preserve">20933</t>
  </si>
  <si>
    <t xml:space="preserve">132123</t>
  </si>
  <si>
    <t xml:space="preserve">0.10525128744878398</t>
  </si>
  <si>
    <t xml:space="preserve">2.196746690472289</t>
  </si>
  <si>
    <t xml:space="preserve">3.33</t>
  </si>
  <si>
    <t xml:space="preserve">7.684115586082492</t>
  </si>
  <si>
    <t xml:space="preserve">29744_20240331</t>
  </si>
  <si>
    <t xml:space="preserve">0.7923856833052214</t>
  </si>
  <si>
    <t xml:space="preserve">25394</t>
  </si>
  <si>
    <t xml:space="preserve">9990</t>
  </si>
  <si>
    <t xml:space="preserve">428188</t>
  </si>
  <si>
    <t xml:space="preserve">0.03266853255732054</t>
  </si>
  <si>
    <t xml:space="preserve">2.0910552304283097</t>
  </si>
  <si>
    <t xml:space="preserve">-10.19</t>
  </si>
  <si>
    <t xml:space="preserve">10.157759867149585</t>
  </si>
  <si>
    <t xml:space="preserve">30350_20240331</t>
  </si>
  <si>
    <t xml:space="preserve">1.2718471110583134</t>
  </si>
  <si>
    <t xml:space="preserve">16001</t>
  </si>
  <si>
    <t xml:space="preserve">1534</t>
  </si>
  <si>
    <t xml:space="preserve">398919</t>
  </si>
  <si>
    <t xml:space="preserve">0.44424315321067764</t>
  </si>
  <si>
    <t xml:space="preserve">2.5527860836427707</t>
  </si>
  <si>
    <t xml:space="preserve">4.48</t>
  </si>
  <si>
    <t xml:space="preserve">11.982449996108645</t>
  </si>
  <si>
    <t xml:space="preserve">30878_20240331</t>
  </si>
  <si>
    <t xml:space="preserve">0.6224821904089948</t>
  </si>
  <si>
    <t xml:space="preserve">87327</t>
  </si>
  <si>
    <t xml:space="preserve">0.9513621776634726</t>
  </si>
  <si>
    <t xml:space="preserve">0.9664584986945821</t>
  </si>
  <si>
    <t xml:space="preserve">0.52</t>
  </si>
  <si>
    <t xml:space="preserve">7.655034964487181</t>
  </si>
  <si>
    <t xml:space="preserve">33418_20240331</t>
  </si>
  <si>
    <t xml:space="preserve">0.7262011721525241</t>
  </si>
  <si>
    <t xml:space="preserve">61228</t>
  </si>
  <si>
    <t xml:space="preserve">14835</t>
  </si>
  <si>
    <t xml:space="preserve">454127</t>
  </si>
  <si>
    <t xml:space="preserve">0.3698772977971315</t>
  </si>
  <si>
    <t xml:space="preserve">2.1694232180646296</t>
  </si>
  <si>
    <t xml:space="preserve">4.04</t>
  </si>
  <si>
    <t xml:space="preserve">96.89535116721771</t>
  </si>
  <si>
    <t xml:space="preserve">35206_20240331</t>
  </si>
  <si>
    <t xml:space="preserve">4.569620077455893</t>
  </si>
  <si>
    <t xml:space="preserve">15.63</t>
  </si>
  <si>
    <t xml:space="preserve">8.890085163702947</t>
  </si>
  <si>
    <t xml:space="preserve">4255_20240331</t>
  </si>
  <si>
    <t xml:space="preserve">0.8621825009853377</t>
  </si>
  <si>
    <t xml:space="preserve">330311</t>
  </si>
  <si>
    <t xml:space="preserve">17653</t>
  </si>
  <si>
    <t xml:space="preserve">4094951</t>
  </si>
  <si>
    <t xml:space="preserve">0.13697887261884817</t>
  </si>
  <si>
    <t xml:space="preserve">2.413359325677016</t>
  </si>
  <si>
    <t xml:space="preserve">158</t>
  </si>
  <si>
    <t xml:space="preserve">2044</t>
  </si>
  <si>
    <t xml:space="preserve">10.84</t>
  </si>
  <si>
    <t xml:space="preserve">7.275848978758156</t>
  </si>
  <si>
    <t xml:space="preserve">4256_20240331</t>
  </si>
  <si>
    <t xml:space="preserve">1.1136075696056484</t>
  </si>
  <si>
    <t xml:space="preserve">320658</t>
  </si>
  <si>
    <t xml:space="preserve">19035</t>
  </si>
  <si>
    <t xml:space="preserve">2149539</t>
  </si>
  <si>
    <t xml:space="preserve">0.12692375282116677</t>
  </si>
  <si>
    <t xml:space="preserve">2.1595850214794163</t>
  </si>
  <si>
    <t xml:space="preserve">1164</t>
  </si>
  <si>
    <t xml:space="preserve">11.68</t>
  </si>
  <si>
    <t xml:space="preserve">13.028338687471317</t>
  </si>
  <si>
    <t xml:space="preserve">59086_20240331</t>
  </si>
  <si>
    <t xml:space="preserve">1.030776429442363</t>
  </si>
  <si>
    <t xml:space="preserve">111257</t>
  </si>
  <si>
    <t xml:space="preserve">579542</t>
  </si>
  <si>
    <t xml:space="preserve">0.4392241511805429</t>
  </si>
  <si>
    <t xml:space="preserve">3.691766258523352</t>
  </si>
  <si>
    <t xml:space="preserve">160</t>
  </si>
  <si>
    <t xml:space="preserve">11.71</t>
  </si>
  <si>
    <t xml:space="preserve">12.074113773830488</t>
  </si>
  <si>
    <t xml:space="preserve">59176_20240331</t>
  </si>
  <si>
    <t xml:space="preserve">0.9651491769547325</t>
  </si>
  <si>
    <t xml:space="preserve">23317</t>
  </si>
  <si>
    <t xml:space="preserve">154019</t>
  </si>
  <si>
    <t xml:space="preserve">2.2839526857219448</t>
  </si>
  <si>
    <t xml:space="preserve">-0.59</t>
  </si>
  <si>
    <t xml:space="preserve">0.65</t>
  </si>
  <si>
    <t xml:space="preserve">20.075773700566174</t>
  </si>
  <si>
    <t xml:space="preserve">59289_20240331</t>
  </si>
  <si>
    <t xml:space="preserve">1.324081596802881</t>
  </si>
  <si>
    <t xml:space="preserve">25938</t>
  </si>
  <si>
    <t xml:space="preserve">44938</t>
  </si>
  <si>
    <t xml:space="preserve">0.7180342987637514</t>
  </si>
  <si>
    <t xml:space="preserve">4.140015718517623</t>
  </si>
  <si>
    <t xml:space="preserve">-7.37</t>
  </si>
  <si>
    <t xml:space="preserve">15.449984099501785</t>
  </si>
  <si>
    <t xml:space="preserve">59298_20240331</t>
  </si>
  <si>
    <t xml:space="preserve">0.7999528746465598</t>
  </si>
  <si>
    <t xml:space="preserve">18628</t>
  </si>
  <si>
    <t xml:space="preserve">84201</t>
  </si>
  <si>
    <t xml:space="preserve">2.2517634291915356</t>
  </si>
  <si>
    <t xml:space="preserve">-7.84</t>
  </si>
  <si>
    <t xml:space="preserve">9.184861086261519</t>
  </si>
  <si>
    <t xml:space="preserve">6271_20240331</t>
  </si>
  <si>
    <t xml:space="preserve">1.15612267720566</t>
  </si>
  <si>
    <t xml:space="preserve">129701</t>
  </si>
  <si>
    <t xml:space="preserve">7634</t>
  </si>
  <si>
    <t xml:space="preserve">857354</t>
  </si>
  <si>
    <t xml:space="preserve">0.8267406978701425</t>
  </si>
  <si>
    <t xml:space="preserve">3.3258293970199206</t>
  </si>
  <si>
    <t xml:space="preserve">2165</t>
  </si>
  <si>
    <t xml:space="preserve">12.24</t>
  </si>
  <si>
    <t xml:space="preserve">5.408268259235944</t>
  </si>
  <si>
    <t xml:space="preserve">6275_20240331</t>
  </si>
  <si>
    <t xml:space="preserve">0.41159968054950163</t>
  </si>
  <si>
    <t xml:space="preserve">38194</t>
  </si>
  <si>
    <t xml:space="preserve">11822</t>
  </si>
  <si>
    <t xml:space="preserve">340430</t>
  </si>
  <si>
    <t xml:space="preserve">0.4604533739764859</t>
  </si>
  <si>
    <t xml:space="preserve">2.7370354873925735</t>
  </si>
  <si>
    <t xml:space="preserve">140</t>
  </si>
  <si>
    <t xml:space="preserve">12.37949953850887</t>
  </si>
  <si>
    <t xml:space="preserve">6280_20240331</t>
  </si>
  <si>
    <t xml:space="preserve">1.3355716662705015</t>
  </si>
  <si>
    <t xml:space="preserve">4453</t>
  </si>
  <si>
    <t xml:space="preserve">1569</t>
  </si>
  <si>
    <t xml:space="preserve">66413</t>
  </si>
  <si>
    <t xml:space="preserve">1.9803304017114332</t>
  </si>
  <si>
    <t xml:space="preserve">4.736952138170096</t>
  </si>
  <si>
    <t xml:space="preserve">11.85</t>
  </si>
  <si>
    <t xml:space="preserve">12.25013603735649</t>
  </si>
  <si>
    <t xml:space="preserve">11971_20240630</t>
  </si>
  <si>
    <t xml:space="preserve">0.9404913892317566</t>
  </si>
  <si>
    <t xml:space="preserve">217956</t>
  </si>
  <si>
    <t xml:space="preserve">8227</t>
  </si>
  <si>
    <t xml:space="preserve">3039222</t>
  </si>
  <si>
    <t xml:space="preserve">0.2056662854289511</t>
  </si>
  <si>
    <t xml:space="preserve">3.2207998273922724</t>
  </si>
  <si>
    <t xml:space="preserve">9.68</t>
  </si>
  <si>
    <t xml:space="preserve">10.461879731880213</t>
  </si>
  <si>
    <t xml:space="preserve">12874_20240630</t>
  </si>
  <si>
    <t xml:space="preserve">0.9844564032580615</t>
  </si>
  <si>
    <t xml:space="preserve">156322</t>
  </si>
  <si>
    <t xml:space="preserve">5026</t>
  </si>
  <si>
    <t xml:space="preserve">807548</t>
  </si>
  <si>
    <t xml:space="preserve">0.1858806709850817</t>
  </si>
  <si>
    <t xml:space="preserve">3.6337683865080495</t>
  </si>
  <si>
    <t xml:space="preserve">749</t>
  </si>
  <si>
    <t xml:space="preserve">8.003593523004714</t>
  </si>
  <si>
    <t xml:space="preserve">13063_20240630</t>
  </si>
  <si>
    <t xml:space="preserve">1.1224104693030323</t>
  </si>
  <si>
    <t xml:space="preserve">55491</t>
  </si>
  <si>
    <t xml:space="preserve">738</t>
  </si>
  <si>
    <t xml:space="preserve">1454079</t>
  </si>
  <si>
    <t xml:space="preserve">0.04766810486983071</t>
  </si>
  <si>
    <t xml:space="preserve">2.9666493285110898</t>
  </si>
  <si>
    <t xml:space="preserve">5182</t>
  </si>
  <si>
    <t xml:space="preserve">12.924570491779944</t>
  </si>
  <si>
    <t xml:space="preserve">14134_20240630</t>
  </si>
  <si>
    <t xml:space="preserve">1.1752102790369443</t>
  </si>
  <si>
    <t xml:space="preserve">25715</t>
  </si>
  <si>
    <t xml:space="preserve">23101</t>
  </si>
  <si>
    <t xml:space="preserve">621770</t>
  </si>
  <si>
    <t xml:space="preserve">1.5716093101321753</t>
  </si>
  <si>
    <t xml:space="preserve">3.0563685977771713</t>
  </si>
  <si>
    <t xml:space="preserve">256</t>
  </si>
  <si>
    <t xml:space="preserve">4284</t>
  </si>
  <si>
    <t xml:space="preserve">7.09</t>
  </si>
  <si>
    <t xml:space="preserve">7.700403512733874</t>
  </si>
  <si>
    <t xml:space="preserve">14136_20240630</t>
  </si>
  <si>
    <t xml:space="preserve">1.1000443100159902</t>
  </si>
  <si>
    <t xml:space="preserve">15081</t>
  </si>
  <si>
    <t xml:space="preserve">14888</t>
  </si>
  <si>
    <t xml:space="preserve">154008</t>
  </si>
  <si>
    <t xml:space="preserve">0.4841993051675753</t>
  </si>
  <si>
    <t xml:space="preserve">3.7554348402221343</t>
  </si>
  <si>
    <t xml:space="preserve">8.28</t>
  </si>
  <si>
    <t xml:space="preserve">8.510919381861102</t>
  </si>
  <si>
    <t xml:space="preserve">14140_20240630</t>
  </si>
  <si>
    <t xml:space="preserve">0.7955514516677411</t>
  </si>
  <si>
    <t xml:space="preserve">93355</t>
  </si>
  <si>
    <t xml:space="preserve">1067922</t>
  </si>
  <si>
    <t xml:space="preserve">0.19006285265205494</t>
  </si>
  <si>
    <t xml:space="preserve">2.374505639863061</t>
  </si>
  <si>
    <t xml:space="preserve">3.46</t>
  </si>
  <si>
    <t xml:space="preserve">5.727301798286058</t>
  </si>
  <si>
    <t xml:space="preserve">14158_20240630</t>
  </si>
  <si>
    <t xml:space="preserve">0.6796865139467373</t>
  </si>
  <si>
    <t xml:space="preserve">40549</t>
  </si>
  <si>
    <t xml:space="preserve">2209</t>
  </si>
  <si>
    <t xml:space="preserve">1007251</t>
  </si>
  <si>
    <t xml:space="preserve">0.19011106903950525</t>
  </si>
  <si>
    <t xml:space="preserve">2.8401695601042167</t>
  </si>
  <si>
    <t xml:space="preserve">579</t>
  </si>
  <si>
    <t xml:space="preserve">12.18</t>
  </si>
  <si>
    <t xml:space="preserve">9.638113477542808</t>
  </si>
  <si>
    <t xml:space="preserve">14168_20240630</t>
  </si>
  <si>
    <t xml:space="preserve">1.5617432028893203</t>
  </si>
  <si>
    <t xml:space="preserve">12486</t>
  </si>
  <si>
    <t xml:space="preserve">10566</t>
  </si>
  <si>
    <t xml:space="preserve">258112</t>
  </si>
  <si>
    <t xml:space="preserve">0.39777732859916026</t>
  </si>
  <si>
    <t xml:space="preserve">4.048930482336128</t>
  </si>
  <si>
    <t xml:space="preserve">6.966497100801451</t>
  </si>
  <si>
    <t xml:space="preserve">14240_20240630</t>
  </si>
  <si>
    <t xml:space="preserve">1.1504332528406191</t>
  </si>
  <si>
    <t xml:space="preserve">30527</t>
  </si>
  <si>
    <t xml:space="preserve">14400</t>
  </si>
  <si>
    <t xml:space="preserve">919814</t>
  </si>
  <si>
    <t xml:space="preserve">0.38204485883684264</t>
  </si>
  <si>
    <t xml:space="preserve">2.71037129489864</t>
  </si>
  <si>
    <t xml:space="preserve">671</t>
  </si>
  <si>
    <t xml:space="preserve">8.350452630802788</t>
  </si>
  <si>
    <t xml:space="preserve">17115_20240630</t>
  </si>
  <si>
    <t xml:space="preserve">1.001083098736534</t>
  </si>
  <si>
    <t xml:space="preserve">41618</t>
  </si>
  <si>
    <t xml:space="preserve">7168</t>
  </si>
  <si>
    <t xml:space="preserve">884785</t>
  </si>
  <si>
    <t xml:space="preserve">0.2722292588829761</t>
  </si>
  <si>
    <t xml:space="preserve">2.582863104142641</t>
  </si>
  <si>
    <t xml:space="preserve">414</t>
  </si>
  <si>
    <t xml:space="preserve">4.52</t>
  </si>
  <si>
    <t xml:space="preserve">8.481198845969336</t>
  </si>
  <si>
    <t xml:space="preserve">17180_20240630</t>
  </si>
  <si>
    <t xml:space="preserve">1.01977570413492</t>
  </si>
  <si>
    <t xml:space="preserve">42253</t>
  </si>
  <si>
    <t xml:space="preserve">177428</t>
  </si>
  <si>
    <t xml:space="preserve">1445235</t>
  </si>
  <si>
    <t xml:space="preserve">0.34873726564506463</t>
  </si>
  <si>
    <t xml:space="preserve">2.631488931357312</t>
  </si>
  <si>
    <t xml:space="preserve">29</t>
  </si>
  <si>
    <t xml:space="preserve">3256</t>
  </si>
  <si>
    <t xml:space="preserve">4.74</t>
  </si>
  <si>
    <t xml:space="preserve">10.646759628263174</t>
  </si>
  <si>
    <t xml:space="preserve">17443_20240630</t>
  </si>
  <si>
    <t xml:space="preserve">0.7936982750024928</t>
  </si>
  <si>
    <t xml:space="preserve">675</t>
  </si>
  <si>
    <t xml:space="preserve">198988</t>
  </si>
  <si>
    <t xml:space="preserve">0.5194934689400738</t>
  </si>
  <si>
    <t xml:space="preserve">1.1843687992844438</t>
  </si>
  <si>
    <t xml:space="preserve">-1.71</t>
  </si>
  <si>
    <t xml:space="preserve">11.036852770859081</t>
  </si>
  <si>
    <t xml:space="preserve">17658_20240630</t>
  </si>
  <si>
    <t xml:space="preserve">0.7006893025504121</t>
  </si>
  <si>
    <t xml:space="preserve">108864</t>
  </si>
  <si>
    <t xml:space="preserve">79908</t>
  </si>
  <si>
    <t xml:space="preserve">1351693</t>
  </si>
  <si>
    <t xml:space="preserve">0.7949422250889084</t>
  </si>
  <si>
    <t xml:space="preserve">3.0414162837280543</t>
  </si>
  <si>
    <t xml:space="preserve">-110</t>
  </si>
  <si>
    <t xml:space="preserve">2245</t>
  </si>
  <si>
    <t xml:space="preserve">12.231752445859378</t>
  </si>
  <si>
    <t xml:space="preserve">17741_20240630</t>
  </si>
  <si>
    <t xml:space="preserve">0.9497017465589319</t>
  </si>
  <si>
    <t xml:space="preserve">55240</t>
  </si>
  <si>
    <t xml:space="preserve">4399</t>
  </si>
  <si>
    <t xml:space="preserve">959108</t>
  </si>
  <si>
    <t xml:space="preserve">0.7365455476792412</t>
  </si>
  <si>
    <t xml:space="preserve">2.9973145945324955</t>
  </si>
  <si>
    <t xml:space="preserve">60</t>
  </si>
  <si>
    <t xml:space="preserve">3043</t>
  </si>
  <si>
    <t xml:space="preserve">4.59</t>
  </si>
  <si>
    <t xml:space="preserve">8.660458585337858</t>
  </si>
  <si>
    <t xml:space="preserve">17743_20240630</t>
  </si>
  <si>
    <t xml:space="preserve">0.4186713483522521</t>
  </si>
  <si>
    <t xml:space="preserve">18094</t>
  </si>
  <si>
    <t xml:space="preserve">10298</t>
  </si>
  <si>
    <t xml:space="preserve">1114569</t>
  </si>
  <si>
    <t xml:space="preserve">0.3572018887563603</t>
  </si>
  <si>
    <t xml:space="preserve">1.8517371914055658</t>
  </si>
  <si>
    <t xml:space="preserve">1402</t>
  </si>
  <si>
    <t xml:space="preserve">-0.36</t>
  </si>
  <si>
    <t xml:space="preserve">6.877606459665793</t>
  </si>
  <si>
    <t xml:space="preserve">17748_20240630</t>
  </si>
  <si>
    <t xml:space="preserve">0.72112771899647</t>
  </si>
  <si>
    <t xml:space="preserve">171859</t>
  </si>
  <si>
    <t xml:space="preserve">3225</t>
  </si>
  <si>
    <t xml:space="preserve">1260522</t>
  </si>
  <si>
    <t xml:space="preserve">0.6247253240585408</t>
  </si>
  <si>
    <t xml:space="preserve">2.365552549625785</t>
  </si>
  <si>
    <t xml:space="preserve">10728</t>
  </si>
  <si>
    <t xml:space="preserve">12.743455182171203</t>
  </si>
  <si>
    <t xml:space="preserve">17749_20240630</t>
  </si>
  <si>
    <t xml:space="preserve">1.4044106645191976</t>
  </si>
  <si>
    <t xml:space="preserve">53678</t>
  </si>
  <si>
    <t xml:space="preserve">11558</t>
  </si>
  <si>
    <t xml:space="preserve">810508</t>
  </si>
  <si>
    <t xml:space="preserve">0.02956013784999264</t>
  </si>
  <si>
    <t xml:space="preserve">2.4652286426857013</t>
  </si>
  <si>
    <t xml:space="preserve">1207</t>
  </si>
  <si>
    <t xml:space="preserve">7.68</t>
  </si>
  <si>
    <t xml:space="preserve">8.630376025532552</t>
  </si>
  <si>
    <t xml:space="preserve">17751_20240630</t>
  </si>
  <si>
    <t xml:space="preserve">0.9119936867120001</t>
  </si>
  <si>
    <t xml:space="preserve">134212</t>
  </si>
  <si>
    <t xml:space="preserve">4482</t>
  </si>
  <si>
    <t xml:space="preserve">1333460</t>
  </si>
  <si>
    <t xml:space="preserve">0.36136440140800585</t>
  </si>
  <si>
    <t xml:space="preserve">2.6717623357936917</t>
  </si>
  <si>
    <t xml:space="preserve">4693</t>
  </si>
  <si>
    <t xml:space="preserve">5.16</t>
  </si>
  <si>
    <t xml:space="preserve">12.23511876758106</t>
  </si>
  <si>
    <t xml:space="preserve">17897_20240630</t>
  </si>
  <si>
    <t xml:space="preserve">0.6133882949985904</t>
  </si>
  <si>
    <t xml:space="preserve">74859</t>
  </si>
  <si>
    <t xml:space="preserve">3188</t>
  </si>
  <si>
    <t xml:space="preserve">1431201</t>
  </si>
  <si>
    <t xml:space="preserve">0.2788823041678183</t>
  </si>
  <si>
    <t xml:space="preserve">2.32674770453677</t>
  </si>
  <si>
    <t xml:space="preserve">-89</t>
  </si>
  <si>
    <t xml:space="preserve">2867</t>
  </si>
  <si>
    <t xml:space="preserve">5.88</t>
  </si>
  <si>
    <t xml:space="preserve">7.810710901409563</t>
  </si>
  <si>
    <t xml:space="preserve">17951_20240630</t>
  </si>
  <si>
    <t xml:space="preserve">0.8493755085264685</t>
  </si>
  <si>
    <t xml:space="preserve">28255</t>
  </si>
  <si>
    <t xml:space="preserve">1838</t>
  </si>
  <si>
    <t xml:space="preserve">591022</t>
  </si>
  <si>
    <t xml:space="preserve">0.010401201170973939</t>
  </si>
  <si>
    <t xml:space="preserve">2.4649959947608346</t>
  </si>
  <si>
    <t xml:space="preserve">-144</t>
  </si>
  <si>
    <t xml:space="preserve">6.41</t>
  </si>
  <si>
    <t xml:space="preserve">8.288630213578093</t>
  </si>
  <si>
    <t xml:space="preserve">17960_20240630</t>
  </si>
  <si>
    <t xml:space="preserve">1.0248542654008317</t>
  </si>
  <si>
    <t xml:space="preserve">105881</t>
  </si>
  <si>
    <t xml:space="preserve">233313</t>
  </si>
  <si>
    <t xml:space="preserve">1165755</t>
  </si>
  <si>
    <t xml:space="preserve">0.7856848125274871</t>
  </si>
  <si>
    <t xml:space="preserve">2.711378162359779</t>
  </si>
  <si>
    <t xml:space="preserve">2898</t>
  </si>
  <si>
    <t xml:space="preserve">4.27</t>
  </si>
  <si>
    <t xml:space="preserve">10.98615979243289</t>
  </si>
  <si>
    <t xml:space="preserve">18012_20240630</t>
  </si>
  <si>
    <t xml:space="preserve">1.1933875509733771</t>
  </si>
  <si>
    <t xml:space="preserve">51095</t>
  </si>
  <si>
    <t xml:space="preserve">2010844</t>
  </si>
  <si>
    <t xml:space="preserve">0.048645517168182294</t>
  </si>
  <si>
    <t xml:space="preserve">2.6820571033026908</t>
  </si>
  <si>
    <t xml:space="preserve">2843</t>
  </si>
  <si>
    <t xml:space="preserve">6.09</t>
  </si>
  <si>
    <t xml:space="preserve">7.668560566405653</t>
  </si>
  <si>
    <t xml:space="preserve">18013_20240630</t>
  </si>
  <si>
    <t xml:space="preserve">0.7062427189867237</t>
  </si>
  <si>
    <t xml:space="preserve">108697</t>
  </si>
  <si>
    <t xml:space="preserve">24275</t>
  </si>
  <si>
    <t xml:space="preserve">2391651</t>
  </si>
  <si>
    <t xml:space="preserve">0.05430400778523513</t>
  </si>
  <si>
    <t xml:space="preserve">2.4237192430183447</t>
  </si>
  <si>
    <t xml:space="preserve">5903</t>
  </si>
  <si>
    <t xml:space="preserve">2.95</t>
  </si>
  <si>
    <t xml:space="preserve">10.375652209255657</t>
  </si>
  <si>
    <t xml:space="preserve">18028_20240630</t>
  </si>
  <si>
    <t xml:space="preserve">0.7623474379945081</t>
  </si>
  <si>
    <t xml:space="preserve">14637</t>
  </si>
  <si>
    <t xml:space="preserve">6650</t>
  </si>
  <si>
    <t xml:space="preserve">268158</t>
  </si>
  <si>
    <t xml:space="preserve">0.22796408825466846</t>
  </si>
  <si>
    <t xml:space="preserve">3.257367757552232</t>
  </si>
  <si>
    <t xml:space="preserve">1523</t>
  </si>
  <si>
    <t xml:space="preserve">4.56</t>
  </si>
  <si>
    <t xml:space="preserve">6.614302728581271</t>
  </si>
  <si>
    <t xml:space="preserve">18030_20240630</t>
  </si>
  <si>
    <t xml:space="preserve">0.9926131506488997</t>
  </si>
  <si>
    <t xml:space="preserve">41777</t>
  </si>
  <si>
    <t xml:space="preserve">99073</t>
  </si>
  <si>
    <t xml:space="preserve">587194</t>
  </si>
  <si>
    <t xml:space="preserve">0.3260937376176273</t>
  </si>
  <si>
    <t xml:space="preserve">3.4152717577476976</t>
  </si>
  <si>
    <t xml:space="preserve">79</t>
  </si>
  <si>
    <t xml:space="preserve">1233</t>
  </si>
  <si>
    <t xml:space="preserve">10.19</t>
  </si>
  <si>
    <t xml:space="preserve">5.513571604486802</t>
  </si>
  <si>
    <t xml:space="preserve">18031_20240630</t>
  </si>
  <si>
    <t xml:space="preserve">0.8144262544638045</t>
  </si>
  <si>
    <t xml:space="preserve">9330</t>
  </si>
  <si>
    <t xml:space="preserve">469119</t>
  </si>
  <si>
    <t xml:space="preserve">0.19599510329385947</t>
  </si>
  <si>
    <t xml:space="preserve">2.62341205153674</t>
  </si>
  <si>
    <t xml:space="preserve">12.604057213718416</t>
  </si>
  <si>
    <t xml:space="preserve">18038_20240630</t>
  </si>
  <si>
    <t xml:space="preserve">0.9388446682334021</t>
  </si>
  <si>
    <t xml:space="preserve">27415</t>
  </si>
  <si>
    <t xml:space="preserve">4069</t>
  </si>
  <si>
    <t xml:space="preserve">413931</t>
  </si>
  <si>
    <t xml:space="preserve">0.6298850794775208</t>
  </si>
  <si>
    <t xml:space="preserve">2.4503946369626517</t>
  </si>
  <si>
    <t xml:space="preserve">1085</t>
  </si>
  <si>
    <t xml:space="preserve">5.6618960339837825</t>
  </si>
  <si>
    <t xml:space="preserve">18408_20240630</t>
  </si>
  <si>
    <t xml:space="preserve">0.662450982699054</t>
  </si>
  <si>
    <t xml:space="preserve">370343</t>
  </si>
  <si>
    <t xml:space="preserve">36119</t>
  </si>
  <si>
    <t xml:space="preserve">4854929</t>
  </si>
  <si>
    <t xml:space="preserve">0.08249945522123134</t>
  </si>
  <si>
    <t xml:space="preserve">2.062140646579114</t>
  </si>
  <si>
    <t xml:space="preserve">-491</t>
  </si>
  <si>
    <t xml:space="preserve">4991</t>
  </si>
  <si>
    <t xml:space="preserve">9.438754633950118</t>
  </si>
  <si>
    <t xml:space="preserve">19531_20240630</t>
  </si>
  <si>
    <t xml:space="preserve">0.9563834716215086</t>
  </si>
  <si>
    <t xml:space="preserve">263338</t>
  </si>
  <si>
    <t xml:space="preserve">10817</t>
  </si>
  <si>
    <t xml:space="preserve">2118435</t>
  </si>
  <si>
    <t xml:space="preserve">0.37813988651128083</t>
  </si>
  <si>
    <t xml:space="preserve">2.5918527189375906</t>
  </si>
  <si>
    <t xml:space="preserve">3260</t>
  </si>
  <si>
    <t xml:space="preserve">3.79</t>
  </si>
  <si>
    <t xml:space="preserve">11.205738813162762</t>
  </si>
  <si>
    <t xml:space="preserve">19532_20240630</t>
  </si>
  <si>
    <t xml:space="preserve">0.9923569399588837</t>
  </si>
  <si>
    <t xml:space="preserve">49136</t>
  </si>
  <si>
    <t xml:space="preserve">51678</t>
  </si>
  <si>
    <t xml:space="preserve">590440</t>
  </si>
  <si>
    <t xml:space="preserve">0.2701397482720111</t>
  </si>
  <si>
    <t xml:space="preserve">3.0298135960616346</t>
  </si>
  <si>
    <t xml:space="preserve">40</t>
  </si>
  <si>
    <t xml:space="preserve">1413</t>
  </si>
  <si>
    <t xml:space="preserve">12.024571842885024</t>
  </si>
  <si>
    <t xml:space="preserve">19690_20240630</t>
  </si>
  <si>
    <t xml:space="preserve">0.967311891355689</t>
  </si>
  <si>
    <t xml:space="preserve">66187</t>
  </si>
  <si>
    <t xml:space="preserve">285</t>
  </si>
  <si>
    <t xml:space="preserve">2734448</t>
  </si>
  <si>
    <t xml:space="preserve">1.0234839960205089</t>
  </si>
  <si>
    <t xml:space="preserve">5.089704608032652</t>
  </si>
  <si>
    <t xml:space="preserve">3594</t>
  </si>
  <si>
    <t xml:space="preserve">3926</t>
  </si>
  <si>
    <t xml:space="preserve">16.48</t>
  </si>
  <si>
    <t xml:space="preserve">17.623347284074672</t>
  </si>
  <si>
    <t xml:space="preserve">19836_20240630</t>
  </si>
  <si>
    <t xml:space="preserve">0.7654863917341878</t>
  </si>
  <si>
    <t xml:space="preserve">47016</t>
  </si>
  <si>
    <t xml:space="preserve">11688</t>
  </si>
  <si>
    <t xml:space="preserve">578565</t>
  </si>
  <si>
    <t xml:space="preserve">0.9695932270834333</t>
  </si>
  <si>
    <t xml:space="preserve">3.5709650212951547</t>
  </si>
  <si>
    <t xml:space="preserve">3.68</t>
  </si>
  <si>
    <t xml:space="preserve">17.861115590897626</t>
  </si>
  <si>
    <t xml:space="preserve">24540_20240630</t>
  </si>
  <si>
    <t xml:space="preserve">0.9769432362023511</t>
  </si>
  <si>
    <t xml:space="preserve">43419</t>
  </si>
  <si>
    <t xml:space="preserve">1271461</t>
  </si>
  <si>
    <t xml:space="preserve">2.3431372930790766</t>
  </si>
  <si>
    <t xml:space="preserve">4.205189771515029</t>
  </si>
  <si>
    <t xml:space="preserve">11.587707836774545</t>
  </si>
  <si>
    <t xml:space="preserve">27824_20240630</t>
  </si>
  <si>
    <t xml:space="preserve">0.6240297032927664</t>
  </si>
  <si>
    <t xml:space="preserve">18789</t>
  </si>
  <si>
    <t xml:space="preserve">43133</t>
  </si>
  <si>
    <t xml:space="preserve">457681</t>
  </si>
  <si>
    <t xml:space="preserve">0.23384829173497193</t>
  </si>
  <si>
    <t xml:space="preserve">1.6244497900016832</t>
  </si>
  <si>
    <t xml:space="preserve">2739</t>
  </si>
  <si>
    <t xml:space="preserve">-3.15</t>
  </si>
  <si>
    <t xml:space="preserve">9.038420155269735</t>
  </si>
  <si>
    <t xml:space="preserve">28155_20240630</t>
  </si>
  <si>
    <t xml:space="preserve">0.45483142954441824</t>
  </si>
  <si>
    <t xml:space="preserve">11217</t>
  </si>
  <si>
    <t xml:space="preserve">6116</t>
  </si>
  <si>
    <t xml:space="preserve">172463</t>
  </si>
  <si>
    <t xml:space="preserve">2.3410007903165426</t>
  </si>
  <si>
    <t xml:space="preserve">1271</t>
  </si>
  <si>
    <t xml:space="preserve">5.8038764077840455</t>
  </si>
  <si>
    <t xml:space="preserve">28288_20240630</t>
  </si>
  <si>
    <t xml:space="preserve">1.0566809505259056</t>
  </si>
  <si>
    <t xml:space="preserve">4600</t>
  </si>
  <si>
    <t xml:space="preserve">2714</t>
  </si>
  <si>
    <t xml:space="preserve">81276</t>
  </si>
  <si>
    <t xml:space="preserve">0.3055609661082976</t>
  </si>
  <si>
    <t xml:space="preserve">2.6753322208635377</t>
  </si>
  <si>
    <t xml:space="preserve">1.82</t>
  </si>
  <si>
    <t xml:space="preserve">9.609076283404024</t>
  </si>
  <si>
    <t xml:space="preserve">28369_20240630</t>
  </si>
  <si>
    <t xml:space="preserve">0.7344584438279828</t>
  </si>
  <si>
    <t xml:space="preserve">12761</t>
  </si>
  <si>
    <t xml:space="preserve">852</t>
  </si>
  <si>
    <t xml:space="preserve">81228</t>
  </si>
  <si>
    <t xml:space="preserve">0.17231055004949344</t>
  </si>
  <si>
    <t xml:space="preserve">2.927229517709369</t>
  </si>
  <si>
    <t xml:space="preserve">9.490807314866126</t>
  </si>
  <si>
    <t xml:space="preserve">28837_20240630</t>
  </si>
  <si>
    <t xml:space="preserve">1.1049368678129665</t>
  </si>
  <si>
    <t xml:space="preserve">7061</t>
  </si>
  <si>
    <t xml:space="preserve">200039</t>
  </si>
  <si>
    <t xml:space="preserve">0.07662873132483661</t>
  </si>
  <si>
    <t xml:space="preserve">3.6809999625762506</t>
  </si>
  <si>
    <t xml:space="preserve">7.65</t>
  </si>
  <si>
    <t xml:space="preserve">14.491137555130232</t>
  </si>
  <si>
    <t xml:space="preserve">29636_20240630</t>
  </si>
  <si>
    <t xml:space="preserve">1.3905626474811839</t>
  </si>
  <si>
    <t xml:space="preserve">1433</t>
  </si>
  <si>
    <t xml:space="preserve">1772</t>
  </si>
  <si>
    <t xml:space="preserve">136650</t>
  </si>
  <si>
    <t xml:space="preserve">1.9707455061085173</t>
  </si>
  <si>
    <t xml:space="preserve">3.4441829530338683</t>
  </si>
  <si>
    <t xml:space="preserve">3204</t>
  </si>
  <si>
    <t xml:space="preserve">1.71</t>
  </si>
  <si>
    <t xml:space="preserve">9.004829187885427</t>
  </si>
  <si>
    <t xml:space="preserve">29743_20240630</t>
  </si>
  <si>
    <t xml:space="preserve">0.6493215374499373</t>
  </si>
  <si>
    <t xml:space="preserve">25921</t>
  </si>
  <si>
    <t xml:space="preserve">20978</t>
  </si>
  <si>
    <t xml:space="preserve">132963</t>
  </si>
  <si>
    <t xml:space="preserve">0.1247833104190328</t>
  </si>
  <si>
    <t xml:space="preserve">2.155465388851755</t>
  </si>
  <si>
    <t xml:space="preserve">907</t>
  </si>
  <si>
    <t xml:space="preserve">3.29</t>
  </si>
  <si>
    <t xml:space="preserve">7.679670707520374</t>
  </si>
  <si>
    <t xml:space="preserve">29744_20240630</t>
  </si>
  <si>
    <t xml:space="preserve">0.7935485947912306</t>
  </si>
  <si>
    <t xml:space="preserve">23531</t>
  </si>
  <si>
    <t xml:space="preserve">11348</t>
  </si>
  <si>
    <t xml:space="preserve">431431</t>
  </si>
  <si>
    <t xml:space="preserve">0.032422588196338316</t>
  </si>
  <si>
    <t xml:space="preserve">2.1079483156262997</t>
  </si>
  <si>
    <t xml:space="preserve">10.245101250559946</t>
  </si>
  <si>
    <t xml:space="preserve">30350_20240630</t>
  </si>
  <si>
    <t xml:space="preserve">1.273419942554291</t>
  </si>
  <si>
    <t xml:space="preserve">16189</t>
  </si>
  <si>
    <t xml:space="preserve">1741</t>
  </si>
  <si>
    <t xml:space="preserve">410747</t>
  </si>
  <si>
    <t xml:space="preserve">0.4045235491353099</t>
  </si>
  <si>
    <t xml:space="preserve">2.612386448269049</t>
  </si>
  <si>
    <t xml:space="preserve">-210</t>
  </si>
  <si>
    <t xml:space="preserve">5.25</t>
  </si>
  <si>
    <t xml:space="preserve">-0.41</t>
  </si>
  <si>
    <t xml:space="preserve">11.843179168286047</t>
  </si>
  <si>
    <t xml:space="preserve">30878_20240630</t>
  </si>
  <si>
    <t xml:space="preserve">0.5944008348836154</t>
  </si>
  <si>
    <t xml:space="preserve">87632</t>
  </si>
  <si>
    <t xml:space="preserve">2.0747311584010166</t>
  </si>
  <si>
    <t xml:space="preserve">0.9545837399895719</t>
  </si>
  <si>
    <t xml:space="preserve">1197</t>
  </si>
  <si>
    <t xml:space="preserve">-1.92</t>
  </si>
  <si>
    <t xml:space="preserve">7.550279160259484</t>
  </si>
  <si>
    <t xml:space="preserve">33418_20240630</t>
  </si>
  <si>
    <t xml:space="preserve">0.6871903208769589</t>
  </si>
  <si>
    <t xml:space="preserve">70095</t>
  </si>
  <si>
    <t xml:space="preserve">17201</t>
  </si>
  <si>
    <t xml:space="preserve">492669</t>
  </si>
  <si>
    <t xml:space="preserve">0.19432427964957125</t>
  </si>
  <si>
    <t xml:space="preserve">2.2137321734135083</t>
  </si>
  <si>
    <t xml:space="preserve">641</t>
  </si>
  <si>
    <t xml:space="preserve">97.13825452477968</t>
  </si>
  <si>
    <t xml:space="preserve">35206_20240630</t>
  </si>
  <si>
    <t xml:space="preserve">4.695976107714689</t>
  </si>
  <si>
    <t xml:space="preserve">19.52</t>
  </si>
  <si>
    <t xml:space="preserve">9.133664645226263</t>
  </si>
  <si>
    <t xml:space="preserve">4255_20240630</t>
  </si>
  <si>
    <t xml:space="preserve">0.8525448024186734</t>
  </si>
  <si>
    <t xml:space="preserve">336171</t>
  </si>
  <si>
    <t xml:space="preserve">16595</t>
  </si>
  <si>
    <t xml:space="preserve">4118270</t>
  </si>
  <si>
    <t xml:space="preserve">0.18766482364321582</t>
  </si>
  <si>
    <t xml:space="preserve">2.4533057046542095</t>
  </si>
  <si>
    <t xml:space="preserve">547</t>
  </si>
  <si>
    <t xml:space="preserve">10.3</t>
  </si>
  <si>
    <t xml:space="preserve">7.083531468187468</t>
  </si>
  <si>
    <t xml:space="preserve">4256_20240630</t>
  </si>
  <si>
    <t xml:space="preserve">1.0986043324865307</t>
  </si>
  <si>
    <t xml:space="preserve">328850</t>
  </si>
  <si>
    <t xml:space="preserve">20514</t>
  </si>
  <si>
    <t xml:space="preserve">2222977</t>
  </si>
  <si>
    <t xml:space="preserve">0.11794436015963197</t>
  </si>
  <si>
    <t xml:space="preserve">2.1540016728531923</t>
  </si>
  <si>
    <t xml:space="preserve">2235</t>
  </si>
  <si>
    <t xml:space="preserve">11.84</t>
  </si>
  <si>
    <t xml:space="preserve">13.200033961623367</t>
  </si>
  <si>
    <t xml:space="preserve">59086_20240630</t>
  </si>
  <si>
    <t xml:space="preserve">0.9731451627823273</t>
  </si>
  <si>
    <t xml:space="preserve">119550</t>
  </si>
  <si>
    <t xml:space="preserve">588781</t>
  </si>
  <si>
    <t xml:space="preserve">0.3589166569957633</t>
  </si>
  <si>
    <t xml:space="preserve">3.756916931656655</t>
  </si>
  <si>
    <t xml:space="preserve">4573</t>
  </si>
  <si>
    <t xml:space="preserve">11.677824286006734</t>
  </si>
  <si>
    <t xml:space="preserve">59176_20240630</t>
  </si>
  <si>
    <t xml:space="preserve">0.9612627252306074</t>
  </si>
  <si>
    <t xml:space="preserve">21990</t>
  </si>
  <si>
    <t xml:space="preserve">165775</t>
  </si>
  <si>
    <t xml:space="preserve">2.3354412830168427</t>
  </si>
  <si>
    <t xml:space="preserve">2371</t>
  </si>
  <si>
    <t xml:space="preserve">-0.52</t>
  </si>
  <si>
    <t xml:space="preserve">17.650279930890587</t>
  </si>
  <si>
    <t xml:space="preserve">59289_20240630</t>
  </si>
  <si>
    <t xml:space="preserve">1.1601876545132468</t>
  </si>
  <si>
    <t xml:space="preserve">29253</t>
  </si>
  <si>
    <t xml:space="preserve">50775</t>
  </si>
  <si>
    <t xml:space="preserve">0.6345992875357692</t>
  </si>
  <si>
    <t xml:space="preserve">4.062581292504366</t>
  </si>
  <si>
    <t xml:space="preserve">4505</t>
  </si>
  <si>
    <t xml:space="preserve">-5.49</t>
  </si>
  <si>
    <t xml:space="preserve">0.25</t>
  </si>
  <si>
    <t xml:space="preserve">11.788346226026457</t>
  </si>
  <si>
    <t xml:space="preserve">59298_20240630</t>
  </si>
  <si>
    <t xml:space="preserve">0.7885159725030328</t>
  </si>
  <si>
    <t xml:space="preserve">19454</t>
  </si>
  <si>
    <t xml:space="preserve">98140</t>
  </si>
  <si>
    <t xml:space="preserve">2.0933381677186387</t>
  </si>
  <si>
    <t xml:space="preserve">-8.62</t>
  </si>
  <si>
    <t xml:space="preserve">9.385376018736386</t>
  </si>
  <si>
    <t xml:space="preserve">6271_20240630</t>
  </si>
  <si>
    <t xml:space="preserve">1.1977144234434987</t>
  </si>
  <si>
    <t xml:space="preserve">129288</t>
  </si>
  <si>
    <t xml:space="preserve">7297</t>
  </si>
  <si>
    <t xml:space="preserve">852641</t>
  </si>
  <si>
    <t xml:space="preserve">0.7515843411817464</t>
  </si>
  <si>
    <t xml:space="preserve">3.28546061949211</t>
  </si>
  <si>
    <t xml:space="preserve">1210</t>
  </si>
  <si>
    <t xml:space="preserve">12.06</t>
  </si>
  <si>
    <t xml:space="preserve">5.497351086396721</t>
  </si>
  <si>
    <t xml:space="preserve">6275_20240630</t>
  </si>
  <si>
    <t xml:space="preserve">0.40861941505336596</t>
  </si>
  <si>
    <t xml:space="preserve">39014</t>
  </si>
  <si>
    <t xml:space="preserve">10906</t>
  </si>
  <si>
    <t xml:space="preserve">344873</t>
  </si>
  <si>
    <t xml:space="preserve">0.3268955320426928</t>
  </si>
  <si>
    <t xml:space="preserve">2.7677355154723835</t>
  </si>
  <si>
    <t xml:space="preserve">525</t>
  </si>
  <si>
    <t xml:space="preserve">11.77628745462376</t>
  </si>
  <si>
    <t xml:space="preserve">6280_20240630</t>
  </si>
  <si>
    <t xml:space="preserve">1.3082559986014188</t>
  </si>
  <si>
    <t xml:space="preserve">4325</t>
  </si>
  <si>
    <t xml:space="preserve">1574</t>
  </si>
  <si>
    <t xml:space="preserve">67743</t>
  </si>
  <si>
    <t xml:space="preserve">1.7569674101484536</t>
  </si>
  <si>
    <t xml:space="preserve">4.663405626625711</t>
  </si>
  <si>
    <t xml:space="preserve">566</t>
  </si>
  <si>
    <t xml:space="preserve">11.96</t>
  </si>
  <si>
    <t xml:space="preserve">12.753726286589739</t>
  </si>
  <si>
    <t xml:space="preserve">11971_20240930</t>
  </si>
  <si>
    <t xml:space="preserve">0.9413861207580781</t>
  </si>
  <si>
    <t xml:space="preserve">208964</t>
  </si>
  <si>
    <t xml:space="preserve">3053984</t>
  </si>
  <si>
    <t xml:space="preserve">0.23029464415747353</t>
  </si>
  <si>
    <t xml:space="preserve">3.2481714510261996</t>
  </si>
  <si>
    <t xml:space="preserve">221</t>
  </si>
  <si>
    <t xml:space="preserve">2038</t>
  </si>
  <si>
    <t xml:space="preserve">10.14</t>
  </si>
  <si>
    <t xml:space="preserve">10.836280783641723</t>
  </si>
  <si>
    <t xml:space="preserve">12874_20240930</t>
  </si>
  <si>
    <t xml:space="preserve">0.9622541656328719</t>
  </si>
  <si>
    <t xml:space="preserve">162708</t>
  </si>
  <si>
    <t xml:space="preserve">4774</t>
  </si>
  <si>
    <t xml:space="preserve">810310</t>
  </si>
  <si>
    <t xml:space="preserve">0.1909108353510156</t>
  </si>
  <si>
    <t xml:space="preserve">3.6451783239780093</t>
  </si>
  <si>
    <t xml:space="preserve">568</t>
  </si>
  <si>
    <t xml:space="preserve">8.540804503903264</t>
  </si>
  <si>
    <t xml:space="preserve">13063_20240930</t>
  </si>
  <si>
    <t xml:space="preserve">1.1185715649507473</t>
  </si>
  <si>
    <t xml:space="preserve">54955</t>
  </si>
  <si>
    <t xml:space="preserve">756</t>
  </si>
  <si>
    <t xml:space="preserve">1460452</t>
  </si>
  <si>
    <t xml:space="preserve">0.034056140498167534</t>
  </si>
  <si>
    <t xml:space="preserve">3.093129413854617</t>
  </si>
  <si>
    <t xml:space="preserve">-33</t>
  </si>
  <si>
    <t xml:space="preserve">5.66</t>
  </si>
  <si>
    <t xml:space="preserve">12.877239607506267</t>
  </si>
  <si>
    <t xml:space="preserve">14134_20240930</t>
  </si>
  <si>
    <t xml:space="preserve">1.1402799914399149</t>
  </si>
  <si>
    <t xml:space="preserve">25355</t>
  </si>
  <si>
    <t xml:space="preserve">21380</t>
  </si>
  <si>
    <t xml:space="preserve">619022</t>
  </si>
  <si>
    <t xml:space="preserve">1.3744047067691747</t>
  </si>
  <si>
    <t xml:space="preserve">2.994372007017515</t>
  </si>
  <si>
    <t xml:space="preserve">698</t>
  </si>
  <si>
    <t xml:space="preserve">4368</t>
  </si>
  <si>
    <t xml:space="preserve">7.47</t>
  </si>
  <si>
    <t xml:space="preserve">8.365577499307555</t>
  </si>
  <si>
    <t xml:space="preserve">14136_20240930</t>
  </si>
  <si>
    <t xml:space="preserve">1.0047907211296014</t>
  </si>
  <si>
    <t xml:space="preserve">15174</t>
  </si>
  <si>
    <t xml:space="preserve">157046</t>
  </si>
  <si>
    <t xml:space="preserve">0.7249117498739284</t>
  </si>
  <si>
    <t xml:space="preserve">3.7688092309468004</t>
  </si>
  <si>
    <t xml:space="preserve">263</t>
  </si>
  <si>
    <t xml:space="preserve">7.18</t>
  </si>
  <si>
    <t xml:space="preserve">8.985569499902436</t>
  </si>
  <si>
    <t xml:space="preserve">14140_20240930</t>
  </si>
  <si>
    <t xml:space="preserve">0.7831717402707732</t>
  </si>
  <si>
    <t xml:space="preserve">88796</t>
  </si>
  <si>
    <t xml:space="preserve">1083798</t>
  </si>
  <si>
    <t xml:space="preserve">0.1944426389637782</t>
  </si>
  <si>
    <t xml:space="preserve">2.3853687380497304</t>
  </si>
  <si>
    <t xml:space="preserve">3.37</t>
  </si>
  <si>
    <t xml:space="preserve">5.802521484236115</t>
  </si>
  <si>
    <t xml:space="preserve">14158_20240930</t>
  </si>
  <si>
    <t xml:space="preserve">0.6530552898276398</t>
  </si>
  <si>
    <t xml:space="preserve">38744</t>
  </si>
  <si>
    <t xml:space="preserve">2036</t>
  </si>
  <si>
    <t xml:space="preserve">1120563</t>
  </si>
  <si>
    <t xml:space="preserve">0.17412443513731804</t>
  </si>
  <si>
    <t xml:space="preserve">2.808495445486362</t>
  </si>
  <si>
    <t xml:space="preserve">10.41</t>
  </si>
  <si>
    <t xml:space="preserve">10.33674797972733</t>
  </si>
  <si>
    <t xml:space="preserve">14168_20240930</t>
  </si>
  <si>
    <t xml:space="preserve">1.527763811141279</t>
  </si>
  <si>
    <t xml:space="preserve">11832</t>
  </si>
  <si>
    <t xml:space="preserve">10190</t>
  </si>
  <si>
    <t xml:space="preserve">264395</t>
  </si>
  <si>
    <t xml:space="preserve">0.32290863585067986</t>
  </si>
  <si>
    <t xml:space="preserve">4.1056726656562486</t>
  </si>
  <si>
    <t xml:space="preserve">569</t>
  </si>
  <si>
    <t xml:space="preserve">7.971331637538706</t>
  </si>
  <si>
    <t xml:space="preserve">14240_20240930</t>
  </si>
  <si>
    <t xml:space="preserve">1.173264040278779</t>
  </si>
  <si>
    <t xml:space="preserve">28907</t>
  </si>
  <si>
    <t xml:space="preserve">13307</t>
  </si>
  <si>
    <t xml:space="preserve">902128</t>
  </si>
  <si>
    <t xml:space="preserve">0.4051102167087698</t>
  </si>
  <si>
    <t xml:space="preserve">2.726062053138912</t>
  </si>
  <si>
    <t xml:space="preserve">-14</t>
  </si>
  <si>
    <t xml:space="preserve">516</t>
  </si>
  <si>
    <t xml:space="preserve">8.76021881529829</t>
  </si>
  <si>
    <t xml:space="preserve">17115_20240930</t>
  </si>
  <si>
    <t xml:space="preserve">1.0070068393632285</t>
  </si>
  <si>
    <t xml:space="preserve">40658</t>
  </si>
  <si>
    <t xml:space="preserve">6674</t>
  </si>
  <si>
    <t xml:space="preserve">874809</t>
  </si>
  <si>
    <t xml:space="preserve">0.2735066334128468</t>
  </si>
  <si>
    <t xml:space="preserve">2.5957196586102946</t>
  </si>
  <si>
    <t xml:space="preserve">395</t>
  </si>
  <si>
    <t xml:space="preserve">3.86</t>
  </si>
  <si>
    <t xml:space="preserve">8.823572948468868</t>
  </si>
  <si>
    <t xml:space="preserve">17180_20240930</t>
  </si>
  <si>
    <t xml:space="preserve">1.0319014995554896</t>
  </si>
  <si>
    <t xml:space="preserve">40098</t>
  </si>
  <si>
    <t xml:space="preserve">171858</t>
  </si>
  <si>
    <t xml:space="preserve">1428269</t>
  </si>
  <si>
    <t xml:space="preserve">0.41402172037631285</t>
  </si>
  <si>
    <t xml:space="preserve">2.646021303277185</t>
  </si>
  <si>
    <t xml:space="preserve">1130</t>
  </si>
  <si>
    <t xml:space="preserve">4.68</t>
  </si>
  <si>
    <t xml:space="preserve">11.267559549777506</t>
  </si>
  <si>
    <t xml:space="preserve">17443_20240930</t>
  </si>
  <si>
    <t xml:space="preserve">0.7652944786209485</t>
  </si>
  <si>
    <t xml:space="preserve">195670</t>
  </si>
  <si>
    <t xml:space="preserve">0.5167893132635828</t>
  </si>
  <si>
    <t xml:space="preserve">1.1639677406298992</t>
  </si>
  <si>
    <t xml:space="preserve">-1.63</t>
  </si>
  <si>
    <t xml:space="preserve">11.639813402754536</t>
  </si>
  <si>
    <t xml:space="preserve">17658_20240930</t>
  </si>
  <si>
    <t xml:space="preserve">0.6606770812831063</t>
  </si>
  <si>
    <t xml:space="preserve">108891</t>
  </si>
  <si>
    <t xml:space="preserve">80000</t>
  </si>
  <si>
    <t xml:space="preserve">1387972</t>
  </si>
  <si>
    <t xml:space="preserve">0.6745619641526679</t>
  </si>
  <si>
    <t xml:space="preserve">3.069135746402865</t>
  </si>
  <si>
    <t xml:space="preserve">2259</t>
  </si>
  <si>
    <t xml:space="preserve">12.578672088283097</t>
  </si>
  <si>
    <t xml:space="preserve">17741_20240930</t>
  </si>
  <si>
    <t xml:space="preserve">0.9449826357155913</t>
  </si>
  <si>
    <t xml:space="preserve">49845</t>
  </si>
  <si>
    <t xml:space="preserve">3969</t>
  </si>
  <si>
    <t xml:space="preserve">975474</t>
  </si>
  <si>
    <t xml:space="preserve">0.2765084587420541</t>
  </si>
  <si>
    <t xml:space="preserve">3.045197952139146</t>
  </si>
  <si>
    <t xml:space="preserve">56</t>
  </si>
  <si>
    <t xml:space="preserve">2027</t>
  </si>
  <si>
    <t xml:space="preserve">8.846029341491066</t>
  </si>
  <si>
    <t xml:space="preserve">17743_20240930</t>
  </si>
  <si>
    <t xml:space="preserve">0.41970487140499235</t>
  </si>
  <si>
    <t xml:space="preserve">14864</t>
  </si>
  <si>
    <t xml:space="preserve">10164</t>
  </si>
  <si>
    <t xml:space="preserve">1133641</t>
  </si>
  <si>
    <t xml:space="preserve">0.14239045553526425</t>
  </si>
  <si>
    <t xml:space="preserve">1.8964784321557293</t>
  </si>
  <si>
    <t xml:space="preserve">779</t>
  </si>
  <si>
    <t xml:space="preserve">0.67</t>
  </si>
  <si>
    <t xml:space="preserve">7.572195029424879</t>
  </si>
  <si>
    <t xml:space="preserve">17748_20240930</t>
  </si>
  <si>
    <t xml:space="preserve">0.7092470326972062</t>
  </si>
  <si>
    <t xml:space="preserve">156031</t>
  </si>
  <si>
    <t xml:space="preserve">3252</t>
  </si>
  <si>
    <t xml:space="preserve">1243852</t>
  </si>
  <si>
    <t xml:space="preserve">0.43911850611900183</t>
  </si>
  <si>
    <t xml:space="preserve">2.4946013472661654</t>
  </si>
  <si>
    <t xml:space="preserve">-239</t>
  </si>
  <si>
    <t xml:space="preserve">1443</t>
  </si>
  <si>
    <t xml:space="preserve">5.08</t>
  </si>
  <si>
    <t xml:space="preserve">13.8521682557422</t>
  </si>
  <si>
    <t xml:space="preserve">17749_20240930</t>
  </si>
  <si>
    <t xml:space="preserve">1.4287037127289386</t>
  </si>
  <si>
    <t xml:space="preserve">48457</t>
  </si>
  <si>
    <t xml:space="preserve">12482</t>
  </si>
  <si>
    <t xml:space="preserve">809018</t>
  </si>
  <si>
    <t xml:space="preserve">0.07566305693370894</t>
  </si>
  <si>
    <t xml:space="preserve">2.4851653334353787</t>
  </si>
  <si>
    <t xml:space="preserve">1026</t>
  </si>
  <si>
    <t xml:space="preserve">8.37</t>
  </si>
  <si>
    <t xml:space="preserve">8.769319361604646</t>
  </si>
  <si>
    <t xml:space="preserve">17751_20240930</t>
  </si>
  <si>
    <t xml:space="preserve">0.904466664869343</t>
  </si>
  <si>
    <t xml:space="preserve">136330</t>
  </si>
  <si>
    <t xml:space="preserve">2825</t>
  </si>
  <si>
    <t xml:space="preserve">1359998</t>
  </si>
  <si>
    <t xml:space="preserve">0.410737016826592</t>
  </si>
  <si>
    <t xml:space="preserve">2.6614722133807707</t>
  </si>
  <si>
    <t xml:space="preserve">-41</t>
  </si>
  <si>
    <t xml:space="preserve">2877</t>
  </si>
  <si>
    <t xml:space="preserve">5.01</t>
  </si>
  <si>
    <t xml:space="preserve">12.599205950952017</t>
  </si>
  <si>
    <t xml:space="preserve">17897_20240930</t>
  </si>
  <si>
    <t xml:space="preserve">0.6083363065444128</t>
  </si>
  <si>
    <t xml:space="preserve">72858</t>
  </si>
  <si>
    <t xml:space="preserve">3119</t>
  </si>
  <si>
    <t xml:space="preserve">1434664</t>
  </si>
  <si>
    <t xml:space="preserve">0.33433902919751013</t>
  </si>
  <si>
    <t xml:space="preserve">2.3623944322489026</t>
  </si>
  <si>
    <t xml:space="preserve">-47</t>
  </si>
  <si>
    <t xml:space="preserve">1719</t>
  </si>
  <si>
    <t xml:space="preserve">8.277051335523636</t>
  </si>
  <si>
    <t xml:space="preserve">17951_20240930</t>
  </si>
  <si>
    <t xml:space="preserve">0.8497898862001656</t>
  </si>
  <si>
    <t xml:space="preserve">30902</t>
  </si>
  <si>
    <t xml:space="preserve">1766</t>
  </si>
  <si>
    <t xml:space="preserve">594815</t>
  </si>
  <si>
    <t xml:space="preserve">0.010168141047118499</t>
  </si>
  <si>
    <t xml:space="preserve">2.480581206470706</t>
  </si>
  <si>
    <t xml:space="preserve">-141</t>
  </si>
  <si>
    <t xml:space="preserve">6.44</t>
  </si>
  <si>
    <t xml:space="preserve">8.525828601228417</t>
  </si>
  <si>
    <t xml:space="preserve">17960_20240930</t>
  </si>
  <si>
    <t xml:space="preserve">1.013047156788529</t>
  </si>
  <si>
    <t xml:space="preserve">105315</t>
  </si>
  <si>
    <t xml:space="preserve">230816</t>
  </si>
  <si>
    <t xml:space="preserve">1155934</t>
  </si>
  <si>
    <t xml:space="preserve">0.585906056360703</t>
  </si>
  <si>
    <t xml:space="preserve">2.713322630651683</t>
  </si>
  <si>
    <t xml:space="preserve">2883</t>
  </si>
  <si>
    <t xml:space="preserve">5539</t>
  </si>
  <si>
    <t xml:space="preserve">11.114138617294921</t>
  </si>
  <si>
    <t xml:space="preserve">18012_20240930</t>
  </si>
  <si>
    <t xml:space="preserve">1.1672631223867467</t>
  </si>
  <si>
    <t xml:space="preserve">48301</t>
  </si>
  <si>
    <t xml:space="preserve">28594</t>
  </si>
  <si>
    <t xml:space="preserve">2053852</t>
  </si>
  <si>
    <t xml:space="preserve">0.026514489855921898</t>
  </si>
  <si>
    <t xml:space="preserve">2.69914361948279</t>
  </si>
  <si>
    <t xml:space="preserve">81</t>
  </si>
  <si>
    <t xml:space="preserve">4359</t>
  </si>
  <si>
    <t xml:space="preserve">6.5</t>
  </si>
  <si>
    <t xml:space="preserve">8.119098099453502</t>
  </si>
  <si>
    <t xml:space="preserve">18013_20240930</t>
  </si>
  <si>
    <t xml:space="preserve">0.7014176666676415</t>
  </si>
  <si>
    <t xml:space="preserve">105437</t>
  </si>
  <si>
    <t xml:space="preserve">23430</t>
  </si>
  <si>
    <t xml:space="preserve">2376792</t>
  </si>
  <si>
    <t xml:space="preserve">0.07106506945033404</t>
  </si>
  <si>
    <t xml:space="preserve">2.452484291316999</t>
  </si>
  <si>
    <t xml:space="preserve">296</t>
  </si>
  <si>
    <t xml:space="preserve">5926</t>
  </si>
  <si>
    <t xml:space="preserve">10.757129534187406</t>
  </si>
  <si>
    <t xml:space="preserve">18028_20240930</t>
  </si>
  <si>
    <t xml:space="preserve">0.8211978539362751</t>
  </si>
  <si>
    <t xml:space="preserve">12374</t>
  </si>
  <si>
    <t xml:space="preserve">6660</t>
  </si>
  <si>
    <t xml:space="preserve">271740</t>
  </si>
  <si>
    <t xml:space="preserve">0.46206065914814415</t>
  </si>
  <si>
    <t xml:space="preserve">3.299661889516127</t>
  </si>
  <si>
    <t xml:space="preserve">376</t>
  </si>
  <si>
    <t xml:space="preserve">845</t>
  </si>
  <si>
    <t xml:space="preserve">4.31</t>
  </si>
  <si>
    <t xml:space="preserve">6.8889093053197525</t>
  </si>
  <si>
    <t xml:space="preserve">18030_20240930</t>
  </si>
  <si>
    <t xml:space="preserve">0.9944359145073849</t>
  </si>
  <si>
    <t xml:space="preserve">42189</t>
  </si>
  <si>
    <t xml:space="preserve">98640</t>
  </si>
  <si>
    <t xml:space="preserve">582921</t>
  </si>
  <si>
    <t xml:space="preserve">0.33408291098821963</t>
  </si>
  <si>
    <t xml:space="preserve">3.4161914505704583</t>
  </si>
  <si>
    <t xml:space="preserve">1330</t>
  </si>
  <si>
    <t xml:space="preserve">10.43</t>
  </si>
  <si>
    <t xml:space="preserve">6.136522307716151</t>
  </si>
  <si>
    <t xml:space="preserve">18031_20240930</t>
  </si>
  <si>
    <t xml:space="preserve">0.8226937025060976</t>
  </si>
  <si>
    <t xml:space="preserve">22338</t>
  </si>
  <si>
    <t xml:space="preserve">8244</t>
  </si>
  <si>
    <t xml:space="preserve">464366</t>
  </si>
  <si>
    <t xml:space="preserve">0.20780918290198158</t>
  </si>
  <si>
    <t xml:space="preserve">2.630462773286173</t>
  </si>
  <si>
    <t xml:space="preserve">243</t>
  </si>
  <si>
    <t xml:space="preserve">11.843693916996724</t>
  </si>
  <si>
    <t xml:space="preserve">18038_20240930</t>
  </si>
  <si>
    <t xml:space="preserve">0.9339140332370528</t>
  </si>
  <si>
    <t xml:space="preserve">28944</t>
  </si>
  <si>
    <t xml:space="preserve">4689</t>
  </si>
  <si>
    <t xml:space="preserve">416031</t>
  </si>
  <si>
    <t xml:space="preserve">0.5886372998883209</t>
  </si>
  <si>
    <t xml:space="preserve">2.503113599328416</t>
  </si>
  <si>
    <t xml:space="preserve">3.91</t>
  </si>
  <si>
    <t xml:space="preserve">6.256142834167062</t>
  </si>
  <si>
    <t xml:space="preserve">18408_20240930</t>
  </si>
  <si>
    <t xml:space="preserve">0.6391024278409201</t>
  </si>
  <si>
    <t xml:space="preserve">361664</t>
  </si>
  <si>
    <t xml:space="preserve">37287</t>
  </si>
  <si>
    <t xml:space="preserve">4833234</t>
  </si>
  <si>
    <t xml:space="preserve">0.07762644002596868</t>
  </si>
  <si>
    <t xml:space="preserve">2.126122075447252</t>
  </si>
  <si>
    <t xml:space="preserve">-375</t>
  </si>
  <si>
    <t xml:space="preserve">4839</t>
  </si>
  <si>
    <t xml:space="preserve">9.781136978391029</t>
  </si>
  <si>
    <t xml:space="preserve">19531_20240930</t>
  </si>
  <si>
    <t xml:space="preserve">0.9000860110976987</t>
  </si>
  <si>
    <t xml:space="preserve">265218</t>
  </si>
  <si>
    <t xml:space="preserve">9142</t>
  </si>
  <si>
    <t xml:space="preserve">2141895</t>
  </si>
  <si>
    <t xml:space="preserve">0.32040174909281194</t>
  </si>
  <si>
    <t xml:space="preserve">2.6725108229944468</t>
  </si>
  <si>
    <t xml:space="preserve">495</t>
  </si>
  <si>
    <t xml:space="preserve">3153</t>
  </si>
  <si>
    <t xml:space="preserve">4.71</t>
  </si>
  <si>
    <t xml:space="preserve">12.134822944109738</t>
  </si>
  <si>
    <t xml:space="preserve">19532_20240930</t>
  </si>
  <si>
    <t xml:space="preserve">0.9823237870002296</t>
  </si>
  <si>
    <t xml:space="preserve">49678</t>
  </si>
  <si>
    <t xml:space="preserve">50753</t>
  </si>
  <si>
    <t xml:space="preserve">599555</t>
  </si>
  <si>
    <t xml:space="preserve">0.28042800778856586</t>
  </si>
  <si>
    <t xml:space="preserve">3.0874464621421414</t>
  </si>
  <si>
    <t xml:space="preserve">1374</t>
  </si>
  <si>
    <t xml:space="preserve">9.963633576300706</t>
  </si>
  <si>
    <t xml:space="preserve">19690_20240930</t>
  </si>
  <si>
    <t xml:space="preserve">1.2395607342153416</t>
  </si>
  <si>
    <t xml:space="preserve">90449</t>
  </si>
  <si>
    <t xml:space="preserve">223</t>
  </si>
  <si>
    <t xml:space="preserve">3476962</t>
  </si>
  <si>
    <t xml:space="preserve">1.0558421542679348</t>
  </si>
  <si>
    <t xml:space="preserve">4.798855384098994</t>
  </si>
  <si>
    <t xml:space="preserve">5198</t>
  </si>
  <si>
    <t xml:space="preserve">16.98</t>
  </si>
  <si>
    <t xml:space="preserve">17.625784685080422</t>
  </si>
  <si>
    <t xml:space="preserve">19836_20240930</t>
  </si>
  <si>
    <t xml:space="preserve">0.7329839492445979</t>
  </si>
  <si>
    <t xml:space="preserve">45189</t>
  </si>
  <si>
    <t xml:space="preserve">11613</t>
  </si>
  <si>
    <t xml:space="preserve">604418</t>
  </si>
  <si>
    <t xml:space="preserve">1.0010166190109397</t>
  </si>
  <si>
    <t xml:space="preserve">3.613974685671735</t>
  </si>
  <si>
    <t xml:space="preserve">1912</t>
  </si>
  <si>
    <t xml:space="preserve">4.08</t>
  </si>
  <si>
    <t xml:space="preserve">17.952268715417766</t>
  </si>
  <si>
    <t xml:space="preserve">24540_20240930</t>
  </si>
  <si>
    <t xml:space="preserve">0.9635354076922602</t>
  </si>
  <si>
    <t xml:space="preserve">45011</t>
  </si>
  <si>
    <t xml:space="preserve">1285628</t>
  </si>
  <si>
    <t xml:space="preserve">1.7384927311160001</t>
  </si>
  <si>
    <t xml:space="preserve">4.309292157850497</t>
  </si>
  <si>
    <t xml:space="preserve">11.77</t>
  </si>
  <si>
    <t xml:space="preserve">11.23330298181561</t>
  </si>
  <si>
    <t xml:space="preserve">27824_20240930</t>
  </si>
  <si>
    <t xml:space="preserve">0.6039991710234229</t>
  </si>
  <si>
    <t xml:space="preserve">18226</t>
  </si>
  <si>
    <t xml:space="preserve">42626</t>
  </si>
  <si>
    <t xml:space="preserve">465220</t>
  </si>
  <si>
    <t xml:space="preserve">0.6195958952840207</t>
  </si>
  <si>
    <t xml:space="preserve">1.6085903760086242</t>
  </si>
  <si>
    <t xml:space="preserve">183</t>
  </si>
  <si>
    <t xml:space="preserve">3537</t>
  </si>
  <si>
    <t xml:space="preserve">-5.61</t>
  </si>
  <si>
    <t xml:space="preserve">9.218861609762804</t>
  </si>
  <si>
    <t xml:space="preserve">28155_20240930</t>
  </si>
  <si>
    <t xml:space="preserve">0.45378635185718397</t>
  </si>
  <si>
    <t xml:space="preserve">10105</t>
  </si>
  <si>
    <t xml:space="preserve">6248</t>
  </si>
  <si>
    <t xml:space="preserve">172862</t>
  </si>
  <si>
    <t xml:space="preserve">0.026490066225165563</t>
  </si>
  <si>
    <t xml:space="preserve">2.42072302479044</t>
  </si>
  <si>
    <t xml:space="preserve">1482</t>
  </si>
  <si>
    <t xml:space="preserve">6.29577547313529</t>
  </si>
  <si>
    <t xml:space="preserve">28288_20240930</t>
  </si>
  <si>
    <t xml:space="preserve">1.0329507589781561</t>
  </si>
  <si>
    <t xml:space="preserve">4248</t>
  </si>
  <si>
    <t xml:space="preserve">2557</t>
  </si>
  <si>
    <t xml:space="preserve">80193</t>
  </si>
  <si>
    <t xml:space="preserve">0.17277551524126866</t>
  </si>
  <si>
    <t xml:space="preserve">2.6494457544470134</t>
  </si>
  <si>
    <t xml:space="preserve">1.47</t>
  </si>
  <si>
    <t xml:space="preserve">9.73293140832408</t>
  </si>
  <si>
    <t xml:space="preserve">28369_20240930</t>
  </si>
  <si>
    <t xml:space="preserve">0.739091064829544</t>
  </si>
  <si>
    <t xml:space="preserve">12366</t>
  </si>
  <si>
    <t xml:space="preserve">81118</t>
  </si>
  <si>
    <t xml:space="preserve">0.16519419495362325</t>
  </si>
  <si>
    <t xml:space="preserve">2.8631122727260143</t>
  </si>
  <si>
    <t xml:space="preserve">-2.13</t>
  </si>
  <si>
    <t xml:space="preserve">9.97017815373091</t>
  </si>
  <si>
    <t xml:space="preserve">28837_20240930</t>
  </si>
  <si>
    <t xml:space="preserve">1.1267882119107797</t>
  </si>
  <si>
    <t xml:space="preserve">6862</t>
  </si>
  <si>
    <t xml:space="preserve">1628</t>
  </si>
  <si>
    <t xml:space="preserve">201469</t>
  </si>
  <si>
    <t xml:space="preserve">0.014722842490123426</t>
  </si>
  <si>
    <t xml:space="preserve">3.7786320283404486</t>
  </si>
  <si>
    <t xml:space="preserve">-56</t>
  </si>
  <si>
    <t xml:space="preserve">14.650140956743899</t>
  </si>
  <si>
    <t xml:space="preserve">29636_20240930</t>
  </si>
  <si>
    <t xml:space="preserve">1.4018591271119125</t>
  </si>
  <si>
    <t xml:space="preserve">1634</t>
  </si>
  <si>
    <t xml:space="preserve">1790</t>
  </si>
  <si>
    <t xml:space="preserve">137784</t>
  </si>
  <si>
    <t xml:space="preserve">2.0537701351767175</t>
  </si>
  <si>
    <t xml:space="preserve">3.530354313430759</t>
  </si>
  <si>
    <t xml:space="preserve">2593</t>
  </si>
  <si>
    <t xml:space="preserve">2.31</t>
  </si>
  <si>
    <t xml:space="preserve">9.393169630256844</t>
  </si>
  <si>
    <t xml:space="preserve">29743_20240930</t>
  </si>
  <si>
    <t xml:space="preserve">0.6340700060528219</t>
  </si>
  <si>
    <t xml:space="preserve">25149</t>
  </si>
  <si>
    <t xml:space="preserve">21525</t>
  </si>
  <si>
    <t xml:space="preserve">134615</t>
  </si>
  <si>
    <t xml:space="preserve">0.5263002494943679</t>
  </si>
  <si>
    <t xml:space="preserve">2.173025162046953</t>
  </si>
  <si>
    <t xml:space="preserve">555</t>
  </si>
  <si>
    <t xml:space="preserve">3.38</t>
  </si>
  <si>
    <t xml:space="preserve">8.082381763069385</t>
  </si>
  <si>
    <t xml:space="preserve">29744_20240930</t>
  </si>
  <si>
    <t xml:space="preserve">0.7887175612715638</t>
  </si>
  <si>
    <t xml:space="preserve">24096</t>
  </si>
  <si>
    <t xml:space="preserve">12270</t>
  </si>
  <si>
    <t xml:space="preserve">433340</t>
  </si>
  <si>
    <t xml:space="preserve">2.0971058617672793</t>
  </si>
  <si>
    <t xml:space="preserve">10.379913823380763</t>
  </si>
  <si>
    <t xml:space="preserve">30350_20240930</t>
  </si>
  <si>
    <t xml:space="preserve">1.2192344587864246</t>
  </si>
  <si>
    <t xml:space="preserve">14987</t>
  </si>
  <si>
    <t xml:space="preserve">1823</t>
  </si>
  <si>
    <t xml:space="preserve">429399</t>
  </si>
  <si>
    <t xml:space="preserve">0.40809847733719196</t>
  </si>
  <si>
    <t xml:space="preserve">2.6140057438598943</t>
  </si>
  <si>
    <t xml:space="preserve">-211</t>
  </si>
  <si>
    <t xml:space="preserve">639</t>
  </si>
  <si>
    <t xml:space="preserve">6.06</t>
  </si>
  <si>
    <t xml:space="preserve">11.86336694406238</t>
  </si>
  <si>
    <t xml:space="preserve">30878_20240930</t>
  </si>
  <si>
    <t xml:space="preserve">0.7929906914742108</t>
  </si>
  <si>
    <t xml:space="preserve">166</t>
  </si>
  <si>
    <t xml:space="preserve">87073</t>
  </si>
  <si>
    <t xml:space="preserve">1.9072793355284896</t>
  </si>
  <si>
    <t xml:space="preserve">1.0020412898409639</t>
  </si>
  <si>
    <t xml:space="preserve">365</t>
  </si>
  <si>
    <t xml:space="preserve">-4.5</t>
  </si>
  <si>
    <t xml:space="preserve">7.435893339297982</t>
  </si>
  <si>
    <t xml:space="preserve">33418_20240930</t>
  </si>
  <si>
    <t xml:space="preserve">0.6898392003803417</t>
  </si>
  <si>
    <t xml:space="preserve">72013</t>
  </si>
  <si>
    <t xml:space="preserve">16431</t>
  </si>
  <si>
    <t xml:space="preserve">528482</t>
  </si>
  <si>
    <t xml:space="preserve">0.19242586248691637</t>
  </si>
  <si>
    <t xml:space="preserve">2.2332959462087874</t>
  </si>
  <si>
    <t xml:space="preserve">97.08743229799933</t>
  </si>
  <si>
    <t xml:space="preserve">35206_20240930</t>
  </si>
  <si>
    <t xml:space="preserve">4.716079836604865</t>
  </si>
  <si>
    <t xml:space="preserve">22.27</t>
  </si>
  <si>
    <t xml:space="preserve">9.486455574220619</t>
  </si>
  <si>
    <t xml:space="preserve">4255_20240930</t>
  </si>
  <si>
    <t xml:space="preserve">0.8578068929267386</t>
  </si>
  <si>
    <t xml:space="preserve">319799</t>
  </si>
  <si>
    <t xml:space="preserve">16003</t>
  </si>
  <si>
    <t xml:space="preserve">4093021</t>
  </si>
  <si>
    <t xml:space="preserve">0.12958905735466344</t>
  </si>
  <si>
    <t xml:space="preserve">2.4993366979091562</t>
  </si>
  <si>
    <t xml:space="preserve">828</t>
  </si>
  <si>
    <t xml:space="preserve">10.25</t>
  </si>
  <si>
    <t xml:space="preserve">7.335313394764799</t>
  </si>
  <si>
    <t xml:space="preserve">4256_20240930</t>
  </si>
  <si>
    <t xml:space="preserve">1.0401546774454298</t>
  </si>
  <si>
    <t xml:space="preserve">366701</t>
  </si>
  <si>
    <t xml:space="preserve">19784</t>
  </si>
  <si>
    <t xml:space="preserve">2283254</t>
  </si>
  <si>
    <t xml:space="preserve">0.1257772771343238</t>
  </si>
  <si>
    <t xml:space="preserve">2.1945533335265903</t>
  </si>
  <si>
    <t xml:space="preserve">12.56</t>
  </si>
  <si>
    <t xml:space="preserve">13.473569363677965</t>
  </si>
  <si>
    <t xml:space="preserve">59086_20240930</t>
  </si>
  <si>
    <t xml:space="preserve">0.9741002174867347</t>
  </si>
  <si>
    <t xml:space="preserve">125183</t>
  </si>
  <si>
    <t xml:space="preserve">593281</t>
  </si>
  <si>
    <t xml:space="preserve">1.4057354406568334</t>
  </si>
  <si>
    <t xml:space="preserve">3.7666943227072855</t>
  </si>
  <si>
    <t xml:space="preserve">325</t>
  </si>
  <si>
    <t xml:space="preserve">2343</t>
  </si>
  <si>
    <t xml:space="preserve">11.846732676740658</t>
  </si>
  <si>
    <t xml:space="preserve">59176_20240930</t>
  </si>
  <si>
    <t xml:space="preserve">0.9519076608155997</t>
  </si>
  <si>
    <t xml:space="preserve">22234</t>
  </si>
  <si>
    <t xml:space="preserve">167420</t>
  </si>
  <si>
    <t xml:space="preserve">2.4484611144720034</t>
  </si>
  <si>
    <t xml:space="preserve">0.42</t>
  </si>
  <si>
    <t xml:space="preserve">2.66</t>
  </si>
  <si>
    <t xml:space="preserve">13.758018871839134</t>
  </si>
  <si>
    <t xml:space="preserve">59289_20240930</t>
  </si>
  <si>
    <t xml:space="preserve">3.3359733449857987</t>
  </si>
  <si>
    <t xml:space="preserve">37285</t>
  </si>
  <si>
    <t xml:space="preserve">70789</t>
  </si>
  <si>
    <t xml:space="preserve">6.598208433471707</t>
  </si>
  <si>
    <t xml:space="preserve">3.7611671134111133</t>
  </si>
  <si>
    <t xml:space="preserve">-19.17</t>
  </si>
  <si>
    <t xml:space="preserve">10.397185840776608</t>
  </si>
  <si>
    <t xml:space="preserve">59298_20240930</t>
  </si>
  <si>
    <t xml:space="preserve">0.7873734259234433</t>
  </si>
  <si>
    <t xml:space="preserve">23764</t>
  </si>
  <si>
    <t xml:space="preserve">111010</t>
  </si>
  <si>
    <t xml:space="preserve">1.9847925794653294</t>
  </si>
  <si>
    <t xml:space="preserve">-7.94</t>
  </si>
  <si>
    <t xml:space="preserve">9.381639556031478</t>
  </si>
  <si>
    <t xml:space="preserve">6271_20240930</t>
  </si>
  <si>
    <t xml:space="preserve">1.0445076307085244</t>
  </si>
  <si>
    <t xml:space="preserve">123877</t>
  </si>
  <si>
    <t xml:space="preserve">7088</t>
  </si>
  <si>
    <t xml:space="preserve">903809</t>
  </si>
  <si>
    <t xml:space="preserve">0.5868512474421059</t>
  </si>
  <si>
    <t xml:space="preserve">3.2823181856802255</t>
  </si>
  <si>
    <t xml:space="preserve">1380</t>
  </si>
  <si>
    <t xml:space="preserve">12.25</t>
  </si>
  <si>
    <t xml:space="preserve">6.48621754833075</t>
  </si>
  <si>
    <t xml:space="preserve">6275_20240930</t>
  </si>
  <si>
    <t xml:space="preserve">0.40903098885693434</t>
  </si>
  <si>
    <t xml:space="preserve">38226</t>
  </si>
  <si>
    <t xml:space="preserve">9769</t>
  </si>
  <si>
    <t xml:space="preserve">345255</t>
  </si>
  <si>
    <t xml:space="preserve">0.23451494636155687</t>
  </si>
  <si>
    <t xml:space="preserve">2.9015724197975743</t>
  </si>
  <si>
    <t xml:space="preserve">41</t>
  </si>
  <si>
    <t xml:space="preserve">11.475371584571949</t>
  </si>
  <si>
    <t xml:space="preserve">6280_20240930</t>
  </si>
  <si>
    <t xml:space="preserve">1.3248407643312101</t>
  </si>
  <si>
    <t xml:space="preserve">3992</t>
  </si>
  <si>
    <t xml:space="preserve">1471</t>
  </si>
  <si>
    <t xml:space="preserve">69714</t>
  </si>
  <si>
    <t xml:space="preserve">1.586694975230007</t>
  </si>
  <si>
    <t xml:space="preserve">4.618008727471968</t>
  </si>
  <si>
    <t xml:space="preserve">11.61</t>
  </si>
  <si>
    <t xml:space="preserve">12.09103390708723</t>
  </si>
  <si>
    <t xml:space="preserve">11971_20241231</t>
  </si>
  <si>
    <t xml:space="preserve">0.9129913871853415</t>
  </si>
  <si>
    <t xml:space="preserve">212814</t>
  </si>
  <si>
    <t xml:space="preserve">8070</t>
  </si>
  <si>
    <t xml:space="preserve">3119588</t>
  </si>
  <si>
    <t xml:space="preserve">0.22227643082114593</t>
  </si>
  <si>
    <t xml:space="preserve">3.254778125909097</t>
  </si>
  <si>
    <t xml:space="preserve">353</t>
  </si>
  <si>
    <t xml:space="preserve">17336</t>
  </si>
  <si>
    <t xml:space="preserve">10.26</t>
  </si>
  <si>
    <t xml:space="preserve">8.927599599109586</t>
  </si>
  <si>
    <t xml:space="preserve">12874_20241231</t>
  </si>
  <si>
    <t xml:space="preserve">1.0062418763458592</t>
  </si>
  <si>
    <t xml:space="preserve">163025</t>
  </si>
  <si>
    <t xml:space="preserve">4566</t>
  </si>
  <si>
    <t xml:space="preserve">816453</t>
  </si>
  <si>
    <t xml:space="preserve">0.16877800841950064</t>
  </si>
  <si>
    <t xml:space="preserve">3.6948604071935938</t>
  </si>
  <si>
    <t xml:space="preserve">8.44</t>
  </si>
  <si>
    <t xml:space="preserve">8.197981055054298</t>
  </si>
  <si>
    <t xml:space="preserve">13063_20241231</t>
  </si>
  <si>
    <t xml:space="preserve">1.1021809423693631</t>
  </si>
  <si>
    <t xml:space="preserve">60157</t>
  </si>
  <si>
    <t xml:space="preserve">1486454</t>
  </si>
  <si>
    <t xml:space="preserve">0.031336908357839546</t>
  </si>
  <si>
    <t xml:space="preserve">3.1971307265262547</t>
  </si>
  <si>
    <t xml:space="preserve">4656</t>
  </si>
  <si>
    <t xml:space="preserve">6.39</t>
  </si>
  <si>
    <t xml:space="preserve">12.496504794862217</t>
  </si>
  <si>
    <t xml:space="preserve">14134_20241231</t>
  </si>
  <si>
    <t xml:space="preserve">1.0791562592772777</t>
  </si>
  <si>
    <t xml:space="preserve">25357</t>
  </si>
  <si>
    <t xml:space="preserve">19431</t>
  </si>
  <si>
    <t xml:space="preserve">636430</t>
  </si>
  <si>
    <t xml:space="preserve">0.5600172839084016</t>
  </si>
  <si>
    <t xml:space="preserve">3.022486414442056</t>
  </si>
  <si>
    <t xml:space="preserve">1082</t>
  </si>
  <si>
    <t xml:space="preserve">4356</t>
  </si>
  <si>
    <t xml:space="preserve">6.36</t>
  </si>
  <si>
    <t xml:space="preserve">7.961869184040925</t>
  </si>
  <si>
    <t xml:space="preserve">14136_20241231</t>
  </si>
  <si>
    <t xml:space="preserve">1.0354945215115432</t>
  </si>
  <si>
    <t xml:space="preserve">16696</t>
  </si>
  <si>
    <t xml:space="preserve">14895</t>
  </si>
  <si>
    <t xml:space="preserve">156165</t>
  </si>
  <si>
    <t xml:space="preserve">0.7756703147675207</t>
  </si>
  <si>
    <t xml:space="preserve">3.835929937336234</t>
  </si>
  <si>
    <t xml:space="preserve">271</t>
  </si>
  <si>
    <t xml:space="preserve">1061</t>
  </si>
  <si>
    <t xml:space="preserve">8.555068420012372</t>
  </si>
  <si>
    <t xml:space="preserve">14140_20241231</t>
  </si>
  <si>
    <t xml:space="preserve">0.7839559792544242</t>
  </si>
  <si>
    <t xml:space="preserve">95021</t>
  </si>
  <si>
    <t xml:space="preserve">1556</t>
  </si>
  <si>
    <t xml:space="preserve">1091944</t>
  </si>
  <si>
    <t xml:space="preserve">0.4855656876605983</t>
  </si>
  <si>
    <t xml:space="preserve">2.4144448712151925</t>
  </si>
  <si>
    <t xml:space="preserve">50</t>
  </si>
  <si>
    <t xml:space="preserve">798</t>
  </si>
  <si>
    <t xml:space="preserve">3.6</t>
  </si>
  <si>
    <t xml:space="preserve">5.396539647418483</t>
  </si>
  <si>
    <t xml:space="preserve">14158_20241231</t>
  </si>
  <si>
    <t xml:space="preserve">0.6603032236209722</t>
  </si>
  <si>
    <t xml:space="preserve">35314</t>
  </si>
  <si>
    <t xml:space="preserve">2423</t>
  </si>
  <si>
    <t xml:space="preserve">1155422</t>
  </si>
  <si>
    <t xml:space="preserve">0.16275442738470058</t>
  </si>
  <si>
    <t xml:space="preserve">2.8600388067319265</t>
  </si>
  <si>
    <t xml:space="preserve">-23</t>
  </si>
  <si>
    <t xml:space="preserve">3122</t>
  </si>
  <si>
    <t xml:space="preserve">10.240792625979616</t>
  </si>
  <si>
    <t xml:space="preserve">14168_20241231</t>
  </si>
  <si>
    <t xml:space="preserve">1.3698431880513202</t>
  </si>
  <si>
    <t xml:space="preserve">11946</t>
  </si>
  <si>
    <t xml:space="preserve">10751</t>
  </si>
  <si>
    <t xml:space="preserve">272596</t>
  </si>
  <si>
    <t xml:space="preserve">0.3292544376985477</t>
  </si>
  <si>
    <t xml:space="preserve">4.150922193035441</t>
  </si>
  <si>
    <t xml:space="preserve">404</t>
  </si>
  <si>
    <t xml:space="preserve">9.9</t>
  </si>
  <si>
    <t xml:space="preserve">7.544044242051835</t>
  </si>
  <si>
    <t xml:space="preserve">14240_20241231</t>
  </si>
  <si>
    <t xml:space="preserve">1.168495656149977</t>
  </si>
  <si>
    <t xml:space="preserve">27669</t>
  </si>
  <si>
    <t xml:space="preserve">12372</t>
  </si>
  <si>
    <t xml:space="preserve">864578</t>
  </si>
  <si>
    <t xml:space="preserve">0.33539094650205764</t>
  </si>
  <si>
    <t xml:space="preserve">2.741631648080347</t>
  </si>
  <si>
    <t xml:space="preserve">2297</t>
  </si>
  <si>
    <t xml:space="preserve">6.9</t>
  </si>
  <si>
    <t xml:space="preserve">8.818967916542702</t>
  </si>
  <si>
    <t xml:space="preserve">17115_20241231</t>
  </si>
  <si>
    <t xml:space="preserve">0.9858336551828469</t>
  </si>
  <si>
    <t xml:space="preserve">38988</t>
  </si>
  <si>
    <t xml:space="preserve">6624</t>
  </si>
  <si>
    <t xml:space="preserve">863959</t>
  </si>
  <si>
    <t xml:space="preserve">0.2946498869420018</t>
  </si>
  <si>
    <t xml:space="preserve">2.6578138201963366</t>
  </si>
  <si>
    <t xml:space="preserve">2572</t>
  </si>
  <si>
    <t xml:space="preserve">3.53</t>
  </si>
  <si>
    <t xml:space="preserve">8.958120984378407</t>
  </si>
  <si>
    <t xml:space="preserve">17180_20241231</t>
  </si>
  <si>
    <t xml:space="preserve">0.9805842210151566</t>
  </si>
  <si>
    <t xml:space="preserve">38804</t>
  </si>
  <si>
    <t xml:space="preserve">164696</t>
  </si>
  <si>
    <t xml:space="preserve">1405137</t>
  </si>
  <si>
    <t xml:space="preserve">0.43169665382241107</t>
  </si>
  <si>
    <t xml:space="preserve">2.6801250090370923</t>
  </si>
  <si>
    <t xml:space="preserve">157</t>
  </si>
  <si>
    <t xml:space="preserve">4396</t>
  </si>
  <si>
    <t xml:space="preserve">5.41</t>
  </si>
  <si>
    <t xml:space="preserve">10.753748577363787</t>
  </si>
  <si>
    <t xml:space="preserve">17443_20241231</t>
  </si>
  <si>
    <t xml:space="preserve">0.7588715821766092</t>
  </si>
  <si>
    <t xml:space="preserve">962</t>
  </si>
  <si>
    <t xml:space="preserve">196685</t>
  </si>
  <si>
    <t xml:space="preserve">0.553512051627487</t>
  </si>
  <si>
    <t xml:space="preserve">1.170541464520075</t>
  </si>
  <si>
    <t xml:space="preserve">-2.04</t>
  </si>
  <si>
    <t xml:space="preserve">11.131576288388754</t>
  </si>
  <si>
    <t xml:space="preserve">17658_20241231</t>
  </si>
  <si>
    <t xml:space="preserve">0.6753989423866561</t>
  </si>
  <si>
    <t xml:space="preserve">113712</t>
  </si>
  <si>
    <t xml:space="preserve">78309</t>
  </si>
  <si>
    <t xml:space="preserve">1423547</t>
  </si>
  <si>
    <t xml:space="preserve">0.6788875732874136</t>
  </si>
  <si>
    <t xml:space="preserve">3.1119282587328496</t>
  </si>
  <si>
    <t xml:space="preserve">3180</t>
  </si>
  <si>
    <t xml:space="preserve">7.97</t>
  </si>
  <si>
    <t xml:space="preserve">12.61563619707276</t>
  </si>
  <si>
    <t xml:space="preserve">17741_20241231</t>
  </si>
  <si>
    <t xml:space="preserve">0.9238754429798457</t>
  </si>
  <si>
    <t xml:space="preserve">50628</t>
  </si>
  <si>
    <t xml:space="preserve">3758</t>
  </si>
  <si>
    <t xml:space="preserve">983817</t>
  </si>
  <si>
    <t xml:space="preserve">0.35045634854696567</t>
  </si>
  <si>
    <t xml:space="preserve">3.0826428419203284</t>
  </si>
  <si>
    <t xml:space="preserve">2314</t>
  </si>
  <si>
    <t xml:space="preserve">5.13</t>
  </si>
  <si>
    <t xml:space="preserve">8.886215803037967</t>
  </si>
  <si>
    <t xml:space="preserve">17743_20241231</t>
  </si>
  <si>
    <t xml:space="preserve">0.4205582386901257</t>
  </si>
  <si>
    <t xml:space="preserve">16652</t>
  </si>
  <si>
    <t xml:space="preserve">10324</t>
  </si>
  <si>
    <t xml:space="preserve">1131331</t>
  </si>
  <si>
    <t xml:space="preserve">0.05562846522648795</t>
  </si>
  <si>
    <t xml:space="preserve">1.9272017881688048</t>
  </si>
  <si>
    <t xml:space="preserve">5686</t>
  </si>
  <si>
    <t xml:space="preserve">1.22</t>
  </si>
  <si>
    <t xml:space="preserve">7.227157995673157</t>
  </si>
  <si>
    <t xml:space="preserve">17748_20241231</t>
  </si>
  <si>
    <t xml:space="preserve">0.73766092321848</t>
  </si>
  <si>
    <t xml:space="preserve">181997</t>
  </si>
  <si>
    <t xml:space="preserve">1268666</t>
  </si>
  <si>
    <t xml:space="preserve">0.481419989453045</t>
  </si>
  <si>
    <t xml:space="preserve">2.4824624051806263</t>
  </si>
  <si>
    <t xml:space="preserve">-206</t>
  </si>
  <si>
    <t xml:space="preserve">5364</t>
  </si>
  <si>
    <t xml:space="preserve">4.67</t>
  </si>
  <si>
    <t xml:space="preserve">13.53533449570394</t>
  </si>
  <si>
    <t xml:space="preserve">17749_20241231</t>
  </si>
  <si>
    <t xml:space="preserve">1.4274446804701373</t>
  </si>
  <si>
    <t xml:space="preserve">49964</t>
  </si>
  <si>
    <t xml:space="preserve">11169</t>
  </si>
  <si>
    <t xml:space="preserve">814852</t>
  </si>
  <si>
    <t xml:space="preserve">0.07379163178701557</t>
  </si>
  <si>
    <t xml:space="preserve">2.5117658283426425</t>
  </si>
  <si>
    <t xml:space="preserve">895</t>
  </si>
  <si>
    <t xml:space="preserve">8.787516277412848</t>
  </si>
  <si>
    <t xml:space="preserve">17751_20241231</t>
  </si>
  <si>
    <t xml:space="preserve">0.9462671784978545</t>
  </si>
  <si>
    <t xml:space="preserve">137238</t>
  </si>
  <si>
    <t xml:space="preserve">4607</t>
  </si>
  <si>
    <t xml:space="preserve">1362180</t>
  </si>
  <si>
    <t xml:space="preserve">0.19415456594092612</t>
  </si>
  <si>
    <t xml:space="preserve">2.7201306974079986</t>
  </si>
  <si>
    <t xml:space="preserve">-229</t>
  </si>
  <si>
    <t xml:space="preserve">7110</t>
  </si>
  <si>
    <t xml:space="preserve">4.88</t>
  </si>
  <si>
    <t xml:space="preserve">12.214534969696386</t>
  </si>
  <si>
    <t xml:space="preserve">17897_20241231</t>
  </si>
  <si>
    <t xml:space="preserve">0.6104642060221395</t>
  </si>
  <si>
    <t xml:space="preserve">82767</t>
  </si>
  <si>
    <t xml:space="preserve">1460078</t>
  </si>
  <si>
    <t xml:space="preserve">0.3133325981623448</t>
  </si>
  <si>
    <t xml:space="preserve">2.4190357229693973</t>
  </si>
  <si>
    <t xml:space="preserve">2581</t>
  </si>
  <si>
    <t xml:space="preserve">4.92</t>
  </si>
  <si>
    <t xml:space="preserve">8.00028711056068</t>
  </si>
  <si>
    <t xml:space="preserve">17951_20241231</t>
  </si>
  <si>
    <t xml:space="preserve">0.8434536440402256</t>
  </si>
  <si>
    <t xml:space="preserve">30638</t>
  </si>
  <si>
    <t xml:space="preserve">1633</t>
  </si>
  <si>
    <t xml:space="preserve">612606</t>
  </si>
  <si>
    <t xml:space="preserve">0.009711613633163217</t>
  </si>
  <si>
    <t xml:space="preserve">2.5207085598025545</t>
  </si>
  <si>
    <t xml:space="preserve">-145</t>
  </si>
  <si>
    <t xml:space="preserve">6.12</t>
  </si>
  <si>
    <t xml:space="preserve">8.518049374965377</t>
  </si>
  <si>
    <t xml:space="preserve">17960_20241231</t>
  </si>
  <si>
    <t xml:space="preserve">1.0678399057144123</t>
  </si>
  <si>
    <t xml:space="preserve">100058</t>
  </si>
  <si>
    <t xml:space="preserve">223027</t>
  </si>
  <si>
    <t xml:space="preserve">1138261</t>
  </si>
  <si>
    <t xml:space="preserve">0.6298743119577036</t>
  </si>
  <si>
    <t xml:space="preserve">2.758621963080812</t>
  </si>
  <si>
    <t xml:space="preserve">3353</t>
  </si>
  <si>
    <t xml:space="preserve">7584</t>
  </si>
  <si>
    <t xml:space="preserve">2.7</t>
  </si>
  <si>
    <t xml:space="preserve">10.844246286928273</t>
  </si>
  <si>
    <t xml:space="preserve">18012_20241231</t>
  </si>
  <si>
    <t xml:space="preserve">1.1751658629242216</t>
  </si>
  <si>
    <t xml:space="preserve">49333</t>
  </si>
  <si>
    <t xml:space="preserve">27667</t>
  </si>
  <si>
    <t xml:space="preserve">2069142</t>
  </si>
  <si>
    <t xml:space="preserve">0.05215529861057711</t>
  </si>
  <si>
    <t xml:space="preserve">2.7258464689548867</t>
  </si>
  <si>
    <t xml:space="preserve">1990</t>
  </si>
  <si>
    <t xml:space="preserve">7.822434131316845</t>
  </si>
  <si>
    <t xml:space="preserve">18013_20241231</t>
  </si>
  <si>
    <t xml:space="preserve">0.723355329550691</t>
  </si>
  <si>
    <t xml:space="preserve">116248</t>
  </si>
  <si>
    <t xml:space="preserve">23931</t>
  </si>
  <si>
    <t xml:space="preserve">2415094</t>
  </si>
  <si>
    <t xml:space="preserve">0.10091705029533138</t>
  </si>
  <si>
    <t xml:space="preserve">2.500925502830165</t>
  </si>
  <si>
    <t xml:space="preserve">460</t>
  </si>
  <si>
    <t xml:space="preserve">5516</t>
  </si>
  <si>
    <t xml:space="preserve">2.9</t>
  </si>
  <si>
    <t xml:space="preserve">10.492698687479947</t>
  </si>
  <si>
    <t xml:space="preserve">18028_20241231</t>
  </si>
  <si>
    <t xml:space="preserve">0.8213941868913363</t>
  </si>
  <si>
    <t xml:space="preserve">13467</t>
  </si>
  <si>
    <t xml:space="preserve">5649</t>
  </si>
  <si>
    <t xml:space="preserve">277108</t>
  </si>
  <si>
    <t xml:space="preserve">0.38331728721595687</t>
  </si>
  <si>
    <t xml:space="preserve">3.2897218376419293</t>
  </si>
  <si>
    <t xml:space="preserve">2095</t>
  </si>
  <si>
    <t xml:space="preserve">4.1</t>
  </si>
  <si>
    <t xml:space="preserve">6.898887873306774</t>
  </si>
  <si>
    <t xml:space="preserve">18030_20241231</t>
  </si>
  <si>
    <t xml:space="preserve">0.9868532396406643</t>
  </si>
  <si>
    <t xml:space="preserve">39526</t>
  </si>
  <si>
    <t xml:space="preserve">96186</t>
  </si>
  <si>
    <t xml:space="preserve">585037</t>
  </si>
  <si>
    <t xml:space="preserve">0.34237765456921004</t>
  </si>
  <si>
    <t xml:space="preserve">3.4539092973384524</t>
  </si>
  <si>
    <t xml:space="preserve">1966</t>
  </si>
  <si>
    <t xml:space="preserve">10.52</t>
  </si>
  <si>
    <t xml:space="preserve">5.629736236596395</t>
  </si>
  <si>
    <t xml:space="preserve">18031_20241231</t>
  </si>
  <si>
    <t xml:space="preserve">0.8009402341879598</t>
  </si>
  <si>
    <t xml:space="preserve">21100</t>
  </si>
  <si>
    <t xml:space="preserve">8372</t>
  </si>
  <si>
    <t xml:space="preserve">455780</t>
  </si>
  <si>
    <t xml:space="preserve">0.19239977364732513</t>
  </si>
  <si>
    <t xml:space="preserve">2.6450424234756413</t>
  </si>
  <si>
    <t xml:space="preserve">7.57</t>
  </si>
  <si>
    <t xml:space="preserve">12.115759215965456</t>
  </si>
  <si>
    <t xml:space="preserve">18038_20241231</t>
  </si>
  <si>
    <t xml:space="preserve">0.9060672624137669</t>
  </si>
  <si>
    <t xml:space="preserve">27975</t>
  </si>
  <si>
    <t xml:space="preserve">4139</t>
  </si>
  <si>
    <t xml:space="preserve">429922</t>
  </si>
  <si>
    <t xml:space="preserve">0.6197951840830881</t>
  </si>
  <si>
    <t xml:space="preserve">2.5600962663264384</t>
  </si>
  <si>
    <t xml:space="preserve">2946</t>
  </si>
  <si>
    <t xml:space="preserve">3.74</t>
  </si>
  <si>
    <t xml:space="preserve">5.94334028216839</t>
  </si>
  <si>
    <t xml:space="preserve">18408_20241231</t>
  </si>
  <si>
    <t xml:space="preserve">0.6374705828380597</t>
  </si>
  <si>
    <t xml:space="preserve">371808</t>
  </si>
  <si>
    <t xml:space="preserve">61663</t>
  </si>
  <si>
    <t xml:space="preserve">4905696</t>
  </si>
  <si>
    <t xml:space="preserve">0.13137083215097559</t>
  </si>
  <si>
    <t xml:space="preserve">2.171138675982821</t>
  </si>
  <si>
    <t xml:space="preserve">11654</t>
  </si>
  <si>
    <t xml:space="preserve">2.93</t>
  </si>
  <si>
    <t xml:space="preserve">9.925815602728095</t>
  </si>
  <si>
    <t xml:space="preserve">19531_20241231</t>
  </si>
  <si>
    <t xml:space="preserve">0.8857418110859661</t>
  </si>
  <si>
    <t xml:space="preserve">255345</t>
  </si>
  <si>
    <t xml:space="preserve">8027</t>
  </si>
  <si>
    <t xml:space="preserve">2136837</t>
  </si>
  <si>
    <t xml:space="preserve">0.30056592667768434</t>
  </si>
  <si>
    <t xml:space="preserve">2.787532726389008</t>
  </si>
  <si>
    <t xml:space="preserve">853</t>
  </si>
  <si>
    <t xml:space="preserve">11164</t>
  </si>
  <si>
    <t xml:space="preserve">5.86</t>
  </si>
  <si>
    <t xml:space="preserve">12.195922054305258</t>
  </si>
  <si>
    <t xml:space="preserve">19532_20241231</t>
  </si>
  <si>
    <t xml:space="preserve">0.9881856623005695</t>
  </si>
  <si>
    <t xml:space="preserve">51731</t>
  </si>
  <si>
    <t xml:space="preserve">51267</t>
  </si>
  <si>
    <t xml:space="preserve">604580</t>
  </si>
  <si>
    <t xml:space="preserve">0.2861054610605063</t>
  </si>
  <si>
    <t xml:space="preserve">3.1926016751154465</t>
  </si>
  <si>
    <t xml:space="preserve">95</t>
  </si>
  <si>
    <t xml:space="preserve">1403</t>
  </si>
  <si>
    <t xml:space="preserve">7.51</t>
  </si>
  <si>
    <t xml:space="preserve">10.876686911316872</t>
  </si>
  <si>
    <t xml:space="preserve">19690_20241231</t>
  </si>
  <si>
    <t xml:space="preserve">1.234769802703791</t>
  </si>
  <si>
    <t xml:space="preserve">125867</t>
  </si>
  <si>
    <t xml:space="preserve">3581247</t>
  </si>
  <si>
    <t xml:space="preserve">0.8291735842604289</t>
  </si>
  <si>
    <t xml:space="preserve">4.88319431994812</t>
  </si>
  <si>
    <t xml:space="preserve">6066</t>
  </si>
  <si>
    <t xml:space="preserve">3018</t>
  </si>
  <si>
    <t xml:space="preserve">18.11</t>
  </si>
  <si>
    <t xml:space="preserve">17.4140030525266</t>
  </si>
  <si>
    <t xml:space="preserve">19836_20241231</t>
  </si>
  <si>
    <t xml:space="preserve">0.7183614341475192</t>
  </si>
  <si>
    <t xml:space="preserve">41567</t>
  </si>
  <si>
    <t xml:space="preserve">10758</t>
  </si>
  <si>
    <t xml:space="preserve">616812</t>
  </si>
  <si>
    <t xml:space="preserve">0.9158585167598889</t>
  </si>
  <si>
    <t xml:space="preserve">3.668144620639661</t>
  </si>
  <si>
    <t xml:space="preserve">393</t>
  </si>
  <si>
    <t xml:space="preserve">5473</t>
  </si>
  <si>
    <t xml:space="preserve">3.58</t>
  </si>
  <si>
    <t xml:space="preserve">18.07505526858963</t>
  </si>
  <si>
    <t xml:space="preserve">24540_20241231</t>
  </si>
  <si>
    <t xml:space="preserve">0.9680154625833626</t>
  </si>
  <si>
    <t xml:space="preserve">43779</t>
  </si>
  <si>
    <t xml:space="preserve">170</t>
  </si>
  <si>
    <t xml:space="preserve">1358292</t>
  </si>
  <si>
    <t xml:space="preserve">2.104305361232282</t>
  </si>
  <si>
    <t xml:space="preserve">4.318044347987621</t>
  </si>
  <si>
    <t xml:space="preserve">12.13</t>
  </si>
  <si>
    <t xml:space="preserve">11.005565810374586</t>
  </si>
  <si>
    <t xml:space="preserve">27824_20241231</t>
  </si>
  <si>
    <t xml:space="preserve">0.5841936639713016</t>
  </si>
  <si>
    <t xml:space="preserve">18705</t>
  </si>
  <si>
    <t xml:space="preserve">39701</t>
  </si>
  <si>
    <t xml:space="preserve">474451</t>
  </si>
  <si>
    <t xml:space="preserve">0.3245753176081586</t>
  </si>
  <si>
    <t xml:space="preserve">1.6662032399538202</t>
  </si>
  <si>
    <t xml:space="preserve">239</t>
  </si>
  <si>
    <t xml:space="preserve">1070</t>
  </si>
  <si>
    <t xml:space="preserve">-4.55</t>
  </si>
  <si>
    <t xml:space="preserve">9.249475210676293</t>
  </si>
  <si>
    <t xml:space="preserve">28155_20241231</t>
  </si>
  <si>
    <t xml:space="preserve">0.4508215478969289</t>
  </si>
  <si>
    <t xml:space="preserve">9970</t>
  </si>
  <si>
    <t xml:space="preserve">6380</t>
  </si>
  <si>
    <t xml:space="preserve">174004</t>
  </si>
  <si>
    <t xml:space="preserve">2.461301206473916</t>
  </si>
  <si>
    <t xml:space="preserve">1275</t>
  </si>
  <si>
    <t xml:space="preserve">5.742520062165834</t>
  </si>
  <si>
    <t xml:space="preserve">28288_20241231</t>
  </si>
  <si>
    <t xml:space="preserve">0.9680600317475588</t>
  </si>
  <si>
    <t xml:space="preserve">4448</t>
  </si>
  <si>
    <t xml:space="preserve">3568</t>
  </si>
  <si>
    <t xml:space="preserve">82351</t>
  </si>
  <si>
    <t xml:space="preserve">0.16475058925393238</t>
  </si>
  <si>
    <t xml:space="preserve">2.594130308378133</t>
  </si>
  <si>
    <t xml:space="preserve">0.53</t>
  </si>
  <si>
    <t xml:space="preserve">9.64494075235444</t>
  </si>
  <si>
    <t xml:space="preserve">28369_20241231</t>
  </si>
  <si>
    <t xml:space="preserve">0.769315849627017</t>
  </si>
  <si>
    <t xml:space="preserve">12423</t>
  </si>
  <si>
    <t xml:space="preserve">628</t>
  </si>
  <si>
    <t xml:space="preserve">80745</t>
  </si>
  <si>
    <t xml:space="preserve">0.2556193238377309</t>
  </si>
  <si>
    <t xml:space="preserve">2.910911487466909</t>
  </si>
  <si>
    <t xml:space="preserve">-3.33</t>
  </si>
  <si>
    <t xml:space="preserve">9.984851959169776</t>
  </si>
  <si>
    <t xml:space="preserve">28837_20241231</t>
  </si>
  <si>
    <t xml:space="preserve">1.088256165488816</t>
  </si>
  <si>
    <t xml:space="preserve">7327</t>
  </si>
  <si>
    <t xml:space="preserve">776</t>
  </si>
  <si>
    <t xml:space="preserve">203503</t>
  </si>
  <si>
    <t xml:space="preserve">3.819362490999644</t>
  </si>
  <si>
    <t xml:space="preserve">688</t>
  </si>
  <si>
    <t xml:space="preserve">9.33</t>
  </si>
  <si>
    <t xml:space="preserve">14.939844689926721</t>
  </si>
  <si>
    <t xml:space="preserve">29636_20241231</t>
  </si>
  <si>
    <t xml:space="preserve">1.372968975645149</t>
  </si>
  <si>
    <t xml:space="preserve">1557</t>
  </si>
  <si>
    <t xml:space="preserve">1947</t>
  </si>
  <si>
    <t xml:space="preserve">141371</t>
  </si>
  <si>
    <t xml:space="preserve">2.000851129141406</t>
  </si>
  <si>
    <t xml:space="preserve">3.514330611826598</t>
  </si>
  <si>
    <t xml:space="preserve">4173</t>
  </si>
  <si>
    <t xml:space="preserve">2.57</t>
  </si>
  <si>
    <t xml:space="preserve">8.901085906860331</t>
  </si>
  <si>
    <t xml:space="preserve">29743_20241231</t>
  </si>
  <si>
    <t xml:space="preserve">0.6398815034252916</t>
  </si>
  <si>
    <t xml:space="preserve">25569</t>
  </si>
  <si>
    <t xml:space="preserve">21278</t>
  </si>
  <si>
    <t xml:space="preserve">134161</t>
  </si>
  <si>
    <t xml:space="preserve">0.4791705239770413</t>
  </si>
  <si>
    <t xml:space="preserve">2.2949156982309</t>
  </si>
  <si>
    <t xml:space="preserve">1156</t>
  </si>
  <si>
    <t xml:space="preserve">7.742958091891157</t>
  </si>
  <si>
    <t xml:space="preserve">29744_20241231</t>
  </si>
  <si>
    <t xml:space="preserve">0.7964741282995071</t>
  </si>
  <si>
    <t xml:space="preserve">23711</t>
  </si>
  <si>
    <t xml:space="preserve">12409</t>
  </si>
  <si>
    <t xml:space="preserve">434193</t>
  </si>
  <si>
    <t xml:space="preserve">2.1095334828695864</t>
  </si>
  <si>
    <t xml:space="preserve">-1.06</t>
  </si>
  <si>
    <t xml:space="preserve">10.24353358628088</t>
  </si>
  <si>
    <t xml:space="preserve">30350_20241231</t>
  </si>
  <si>
    <t xml:space="preserve">1.160423765022952</t>
  </si>
  <si>
    <t xml:space="preserve">15211</t>
  </si>
  <si>
    <t xml:space="preserve">1706</t>
  </si>
  <si>
    <t xml:space="preserve">451089</t>
  </si>
  <si>
    <t xml:space="preserve">0.34729449916189187</t>
  </si>
  <si>
    <t xml:space="preserve">2.6470296549779873</t>
  </si>
  <si>
    <t xml:space="preserve">-208</t>
  </si>
  <si>
    <t xml:space="preserve">5535</t>
  </si>
  <si>
    <t xml:space="preserve">11.84445201498968</t>
  </si>
  <si>
    <t xml:space="preserve">30878_20241231</t>
  </si>
  <si>
    <t xml:space="preserve">0.8228157032285056</t>
  </si>
  <si>
    <t xml:space="preserve">85338</t>
  </si>
  <si>
    <t xml:space="preserve">1.659577435325291</t>
  </si>
  <si>
    <t xml:space="preserve">1.0527277526242056</t>
  </si>
  <si>
    <t xml:space="preserve">-4.39</t>
  </si>
  <si>
    <t xml:space="preserve">7.33799819384011</t>
  </si>
  <si>
    <t xml:space="preserve">33418_20241231</t>
  </si>
  <si>
    <t xml:space="preserve">0.6484108844710854</t>
  </si>
  <si>
    <t xml:space="preserve">72559</t>
  </si>
  <si>
    <t xml:space="preserve">17090</t>
  </si>
  <si>
    <t xml:space="preserve">575966</t>
  </si>
  <si>
    <t xml:space="preserve">0.22027685540558026</t>
  </si>
  <si>
    <t xml:space="preserve">2.292826260376585</t>
  </si>
  <si>
    <t xml:space="preserve">-53</t>
  </si>
  <si>
    <t xml:space="preserve">95.46631306434298</t>
  </si>
  <si>
    <t xml:space="preserve">35206_20241231</t>
  </si>
  <si>
    <t xml:space="preserve">5.074962497877895</t>
  </si>
  <si>
    <t xml:space="preserve">21.03</t>
  </si>
  <si>
    <t xml:space="preserve">9.313589527753436</t>
  </si>
  <si>
    <t xml:space="preserve">4255_20241231</t>
  </si>
  <si>
    <t xml:space="preserve">0.8658587773864674</t>
  </si>
  <si>
    <t xml:space="preserve">317650</t>
  </si>
  <si>
    <t xml:space="preserve">15066</t>
  </si>
  <si>
    <t xml:space="preserve">4090580</t>
  </si>
  <si>
    <t xml:space="preserve">0.11702955765783844</t>
  </si>
  <si>
    <t xml:space="preserve">2.550880805534638</t>
  </si>
  <si>
    <t xml:space="preserve">1260</t>
  </si>
  <si>
    <t xml:space="preserve">2261</t>
  </si>
  <si>
    <t xml:space="preserve">10.56</t>
  </si>
  <si>
    <t xml:space="preserve">7.1611774301749005</t>
  </si>
  <si>
    <t xml:space="preserve">4256_20241231</t>
  </si>
  <si>
    <t xml:space="preserve">1.062436457149692</t>
  </si>
  <si>
    <t xml:space="preserve">364018</t>
  </si>
  <si>
    <t xml:space="preserve">20790</t>
  </si>
  <si>
    <t xml:space="preserve">2316069</t>
  </si>
  <si>
    <t xml:space="preserve">0.22503780532606557</t>
  </si>
  <si>
    <t xml:space="preserve">2.2489584422240156</t>
  </si>
  <si>
    <t xml:space="preserve">463</t>
  </si>
  <si>
    <t xml:space="preserve">6975</t>
  </si>
  <si>
    <t xml:space="preserve">12.79</t>
  </si>
  <si>
    <t xml:space="preserve">14.089983127458227</t>
  </si>
  <si>
    <t xml:space="preserve">59086_20241231</t>
  </si>
  <si>
    <t xml:space="preserve">0.9785150674961731</t>
  </si>
  <si>
    <t xml:space="preserve">122091</t>
  </si>
  <si>
    <t xml:space="preserve">593209</t>
  </si>
  <si>
    <t xml:space="preserve">0.5406704714466232</t>
  </si>
  <si>
    <t xml:space="preserve">3.8418962036856157</t>
  </si>
  <si>
    <t xml:space="preserve">405</t>
  </si>
  <si>
    <t xml:space="preserve">11.38</t>
  </si>
  <si>
    <t xml:space="preserve">11.471010738011888</t>
  </si>
  <si>
    <t xml:space="preserve">59176_20241231</t>
  </si>
  <si>
    <t xml:space="preserve">0.938302204124989</t>
  </si>
  <si>
    <t xml:space="preserve">24140</t>
  </si>
  <si>
    <t xml:space="preserve">179056</t>
  </si>
  <si>
    <t xml:space="preserve">2.5273672042068207</t>
  </si>
  <si>
    <t xml:space="preserve">12.812888838614805</t>
  </si>
  <si>
    <t xml:space="preserve">59289_20241231</t>
  </si>
  <si>
    <t xml:space="preserve">0.666906366346165</t>
  </si>
  <si>
    <t xml:space="preserve">38749</t>
  </si>
  <si>
    <t xml:space="preserve">85644</t>
  </si>
  <si>
    <t xml:space="preserve">2.5910762128997087</t>
  </si>
  <si>
    <t xml:space="preserve">3.8199755427196345</t>
  </si>
  <si>
    <t xml:space="preserve">2553</t>
  </si>
  <si>
    <t xml:space="preserve">2590</t>
  </si>
  <si>
    <t xml:space="preserve">-18.8</t>
  </si>
  <si>
    <t xml:space="preserve">9.082659090125864</t>
  </si>
  <si>
    <t xml:space="preserve">59298_20241231</t>
  </si>
  <si>
    <t xml:space="preserve">0.8002965676654018</t>
  </si>
  <si>
    <t xml:space="preserve">31832</t>
  </si>
  <si>
    <t xml:space="preserve">136473</t>
  </si>
  <si>
    <t xml:space="preserve">2.05742766499991</t>
  </si>
  <si>
    <t xml:space="preserve">-7.72</t>
  </si>
  <si>
    <t xml:space="preserve">8.8222122346106</t>
  </si>
  <si>
    <t xml:space="preserve">6271_20241231</t>
  </si>
  <si>
    <t xml:space="preserve">1.0564415473368736</t>
  </si>
  <si>
    <t xml:space="preserve">124383</t>
  </si>
  <si>
    <t xml:space="preserve">6728</t>
  </si>
  <si>
    <t xml:space="preserve">918779</t>
  </si>
  <si>
    <t xml:space="preserve">0.9847198276094159</t>
  </si>
  <si>
    <t xml:space="preserve">3.309633668851951</t>
  </si>
  <si>
    <t xml:space="preserve">1268</t>
  </si>
  <si>
    <t xml:space="preserve">3522</t>
  </si>
  <si>
    <t xml:space="preserve">13.31</t>
  </si>
  <si>
    <t xml:space="preserve">6.122318587657151</t>
  </si>
  <si>
    <t xml:space="preserve">6275_20241231</t>
  </si>
  <si>
    <t xml:space="preserve">0.38700134160465094</t>
  </si>
  <si>
    <t xml:space="preserve">34535</t>
  </si>
  <si>
    <t xml:space="preserve">8857</t>
  </si>
  <si>
    <t xml:space="preserve">347486</t>
  </si>
  <si>
    <t xml:space="preserve">0.23764749051130044</t>
  </si>
  <si>
    <t xml:space="preserve">2.935704495219762</t>
  </si>
  <si>
    <t xml:space="preserve">113</t>
  </si>
  <si>
    <t xml:space="preserve">11.090579338192521</t>
  </si>
  <si>
    <t xml:space="preserve">6280_20241231</t>
  </si>
  <si>
    <t xml:space="preserve">1.2869722284940166</t>
  </si>
  <si>
    <t xml:space="preserve">3883</t>
  </si>
  <si>
    <t xml:space="preserve">1432</t>
  </si>
  <si>
    <t xml:space="preserve">69952</t>
  </si>
  <si>
    <t xml:space="preserve">2.2804244750508014</t>
  </si>
  <si>
    <t xml:space="preserve">4.600849387579245</t>
  </si>
  <si>
    <t xml:space="preserve">911</t>
  </si>
  <si>
    <t xml:space="preserve">11.41</t>
  </si>
  <si>
    <t xml:space="preserve">12.336651226963635</t>
  </si>
  <si>
    <t xml:space="preserve">11971_20250331</t>
  </si>
  <si>
    <t xml:space="preserve">0.9154271257431007</t>
  </si>
  <si>
    <t xml:space="preserve">208556</t>
  </si>
  <si>
    <t xml:space="preserve">7696</t>
  </si>
  <si>
    <t xml:space="preserve">3097140</t>
  </si>
  <si>
    <t xml:space="preserve">0.2587215756582252</t>
  </si>
  <si>
    <t xml:space="preserve">3.2424245726053367</t>
  </si>
  <si>
    <t xml:space="preserve">12615</t>
  </si>
  <si>
    <t xml:space="preserve">9.22264418113714</t>
  </si>
  <si>
    <t xml:space="preserve">12874_20250331</t>
  </si>
  <si>
    <t xml:space="preserve">0.9988444671540374</t>
  </si>
  <si>
    <t xml:space="preserve">165192</t>
  </si>
  <si>
    <t xml:space="preserve">4366</t>
  </si>
  <si>
    <t xml:space="preserve">844763</t>
  </si>
  <si>
    <t xml:space="preserve">0.1648919588508425</t>
  </si>
  <si>
    <t xml:space="preserve">3.7627600775356624</t>
  </si>
  <si>
    <t xml:space="preserve">6414</t>
  </si>
  <si>
    <t xml:space="preserve">10.07</t>
  </si>
  <si>
    <t xml:space="preserve">8.443069183184274</t>
  </si>
  <si>
    <t xml:space="preserve">13063_20250331</t>
  </si>
  <si>
    <t xml:space="preserve">1.099405357599258</t>
  </si>
  <si>
    <t xml:space="preserve">66985</t>
  </si>
  <si>
    <t xml:space="preserve">833</t>
  </si>
  <si>
    <t xml:space="preserve">1513008</t>
  </si>
  <si>
    <t xml:space="preserve">0.06752397493311335</t>
  </si>
  <si>
    <t xml:space="preserve">3.3623212139200964</t>
  </si>
  <si>
    <t xml:space="preserve">6776</t>
  </si>
  <si>
    <t xml:space="preserve">6.89</t>
  </si>
  <si>
    <t xml:space="preserve">12.86357970777153</t>
  </si>
  <si>
    <t xml:space="preserve">14134_20250331</t>
  </si>
  <si>
    <t xml:space="preserve">1.1197452229299363</t>
  </si>
  <si>
    <t xml:space="preserve">25662</t>
  </si>
  <si>
    <t xml:space="preserve">17648</t>
  </si>
  <si>
    <t xml:space="preserve">620968</t>
  </si>
  <si>
    <t xml:space="preserve">0.47324840764331205</t>
  </si>
  <si>
    <t xml:space="preserve">3.08550914447303</t>
  </si>
  <si>
    <t xml:space="preserve">4065</t>
  </si>
  <si>
    <t xml:space="preserve">8.396837652746072</t>
  </si>
  <si>
    <t xml:space="preserve">14136_20250331</t>
  </si>
  <si>
    <t xml:space="preserve">1.015807009193617</t>
  </si>
  <si>
    <t xml:space="preserve">15533</t>
  </si>
  <si>
    <t xml:space="preserve">14735</t>
  </si>
  <si>
    <t xml:space="preserve">158054</t>
  </si>
  <si>
    <t xml:space="preserve">0.6112377564568251</t>
  </si>
  <si>
    <t xml:space="preserve">4.026150240532873</t>
  </si>
  <si>
    <t xml:space="preserve">923</t>
  </si>
  <si>
    <t xml:space="preserve">8.919103962353304</t>
  </si>
  <si>
    <t xml:space="preserve">14140_20250331</t>
  </si>
  <si>
    <t xml:space="preserve">0.8028246894326481</t>
  </si>
  <si>
    <t xml:space="preserve">92164</t>
  </si>
  <si>
    <t xml:space="preserve">1649</t>
  </si>
  <si>
    <t xml:space="preserve">1088936</t>
  </si>
  <si>
    <t xml:space="preserve">0.6349356729088343</t>
  </si>
  <si>
    <t xml:space="preserve">2.5465285628162357</t>
  </si>
  <si>
    <t xml:space="preserve">643</t>
  </si>
  <si>
    <t xml:space="preserve">2.58</t>
  </si>
  <si>
    <t xml:space="preserve">5.620694338820389</t>
  </si>
  <si>
    <t xml:space="preserve">14158_20250331</t>
  </si>
  <si>
    <t xml:space="preserve">0.694720467098861</t>
  </si>
  <si>
    <t xml:space="preserve">34450</t>
  </si>
  <si>
    <t xml:space="preserve">2738</t>
  </si>
  <si>
    <t xml:space="preserve">1159266</t>
  </si>
  <si>
    <t xml:space="preserve">1.2839907621880182</t>
  </si>
  <si>
    <t xml:space="preserve">2.9312763072055263</t>
  </si>
  <si>
    <t xml:space="preserve">2204</t>
  </si>
  <si>
    <t xml:space="preserve">12.92</t>
  </si>
  <si>
    <t xml:space="preserve">10.227569971226785</t>
  </si>
  <si>
    <t xml:space="preserve">14168_20250331</t>
  </si>
  <si>
    <t xml:space="preserve">1.3264192539532567</t>
  </si>
  <si>
    <t xml:space="preserve">12139</t>
  </si>
  <si>
    <t xml:space="preserve">10316</t>
  </si>
  <si>
    <t xml:space="preserve">269444</t>
  </si>
  <si>
    <t xml:space="preserve">0.32592853009895045</t>
  </si>
  <si>
    <t xml:space="preserve">4.153313234798683</t>
  </si>
  <si>
    <t xml:space="preserve">367</t>
  </si>
  <si>
    <t xml:space="preserve">9.17</t>
  </si>
  <si>
    <t xml:space="preserve">8.93618821538534</t>
  </si>
  <si>
    <t xml:space="preserve">17115_20250331</t>
  </si>
  <si>
    <t xml:space="preserve">0.9403143863322163</t>
  </si>
  <si>
    <t xml:space="preserve">38646</t>
  </si>
  <si>
    <t xml:space="preserve">6322</t>
  </si>
  <si>
    <t xml:space="preserve">870591</t>
  </si>
  <si>
    <t xml:space="preserve">0.2906053899676283</t>
  </si>
  <si>
    <t xml:space="preserve">2.915728554375255</t>
  </si>
  <si>
    <t xml:space="preserve">413</t>
  </si>
  <si>
    <t xml:space="preserve">6.15</t>
  </si>
  <si>
    <t xml:space="preserve">9.169166689198834</t>
  </si>
  <si>
    <t xml:space="preserve">17180_20250331</t>
  </si>
  <si>
    <t xml:space="preserve">0.9917096309697957</t>
  </si>
  <si>
    <t xml:space="preserve">39933</t>
  </si>
  <si>
    <t xml:space="preserve">158298</t>
  </si>
  <si>
    <t xml:space="preserve">1383427</t>
  </si>
  <si>
    <t xml:space="preserve">0.4203154118990842</t>
  </si>
  <si>
    <t xml:space="preserve">2.7676512949294896</t>
  </si>
  <si>
    <t xml:space="preserve">9150</t>
  </si>
  <si>
    <t xml:space="preserve">3.34</t>
  </si>
  <si>
    <t xml:space="preserve">10.871234746992064</t>
  </si>
  <si>
    <t xml:space="preserve">17443_20250331</t>
  </si>
  <si>
    <t xml:space="preserve">0.7929271302989849</t>
  </si>
  <si>
    <t xml:space="preserve">871</t>
  </si>
  <si>
    <t xml:space="preserve">196931</t>
  </si>
  <si>
    <t xml:space="preserve">0.4690058184932369</t>
  </si>
  <si>
    <t xml:space="preserve">1.2225376070058496</t>
  </si>
  <si>
    <t xml:space="preserve">1910</t>
  </si>
  <si>
    <t xml:space="preserve">-4.99</t>
  </si>
  <si>
    <t xml:space="preserve">11.336250732677387</t>
  </si>
  <si>
    <t xml:space="preserve">17658_20250331</t>
  </si>
  <si>
    <t xml:space="preserve">0.6940919773587404</t>
  </si>
  <si>
    <t xml:space="preserve">107150</t>
  </si>
  <si>
    <t xml:space="preserve">79935</t>
  </si>
  <si>
    <t xml:space="preserve">1440031</t>
  </si>
  <si>
    <t xml:space="preserve">0.7342272511613024</t>
  </si>
  <si>
    <t xml:space="preserve">3.171952945617794</t>
  </si>
  <si>
    <t xml:space="preserve">8257</t>
  </si>
  <si>
    <t xml:space="preserve">9.031466406944412</t>
  </si>
  <si>
    <t xml:space="preserve">17741_20250331</t>
  </si>
  <si>
    <t xml:space="preserve">0.7165263257379713</t>
  </si>
  <si>
    <t xml:space="preserve">226181</t>
  </si>
  <si>
    <t xml:space="preserve">6255</t>
  </si>
  <si>
    <t xml:space="preserve">2206049</t>
  </si>
  <si>
    <t xml:space="preserve">0.4414101000463553</t>
  </si>
  <si>
    <t xml:space="preserve">4.899100087894241</t>
  </si>
  <si>
    <t xml:space="preserve">5724</t>
  </si>
  <si>
    <t xml:space="preserve">6.31</t>
  </si>
  <si>
    <t xml:space="preserve">8.89998564427643</t>
  </si>
  <si>
    <t xml:space="preserve">17743_20250331</t>
  </si>
  <si>
    <t xml:space="preserve">0.4215136025915412</t>
  </si>
  <si>
    <t xml:space="preserve">16286</t>
  </si>
  <si>
    <t xml:space="preserve">10447</t>
  </si>
  <si>
    <t xml:space="preserve">1128756</t>
  </si>
  <si>
    <t xml:space="preserve">0.0667822932527829</t>
  </si>
  <si>
    <t xml:space="preserve">2.041736727538159</t>
  </si>
  <si>
    <t xml:space="preserve">6382</t>
  </si>
  <si>
    <t xml:space="preserve">13.957343727696333</t>
  </si>
  <si>
    <t xml:space="preserve">17749_20250331</t>
  </si>
  <si>
    <t xml:space="preserve">1.4372950342644513</t>
  </si>
  <si>
    <t xml:space="preserve">55321</t>
  </si>
  <si>
    <t xml:space="preserve">11040</t>
  </si>
  <si>
    <t xml:space="preserve">821393</t>
  </si>
  <si>
    <t xml:space="preserve">0.12515434302369532</t>
  </si>
  <si>
    <t xml:space="preserve">2.6640010396250338</t>
  </si>
  <si>
    <t xml:space="preserve">750</t>
  </si>
  <si>
    <t xml:space="preserve">8.854490625719226</t>
  </si>
  <si>
    <t xml:space="preserve">17751_20250331</t>
  </si>
  <si>
    <t xml:space="preserve">0.9383228842902861</t>
  </si>
  <si>
    <t xml:space="preserve">138929</t>
  </si>
  <si>
    <t xml:space="preserve">2198</t>
  </si>
  <si>
    <t xml:space="preserve">1397577</t>
  </si>
  <si>
    <t xml:space="preserve">0.18960671668503667</t>
  </si>
  <si>
    <t xml:space="preserve">2.7902545862472676</t>
  </si>
  <si>
    <t xml:space="preserve">7685</t>
  </si>
  <si>
    <t xml:space="preserve">12.451391276428286</t>
  </si>
  <si>
    <t xml:space="preserve">17897_20250331</t>
  </si>
  <si>
    <t xml:space="preserve">0.6163273715582326</t>
  </si>
  <si>
    <t xml:space="preserve">82917</t>
  </si>
  <si>
    <t xml:space="preserve">3414</t>
  </si>
  <si>
    <t xml:space="preserve">1461583</t>
  </si>
  <si>
    <t xml:space="preserve">0.32883485975900406</t>
  </si>
  <si>
    <t xml:space="preserve">2.672291019810832</t>
  </si>
  <si>
    <t xml:space="preserve">43</t>
  </si>
  <si>
    <t xml:space="preserve">3.55</t>
  </si>
  <si>
    <t xml:space="preserve">8.045176057529908</t>
  </si>
  <si>
    <t xml:space="preserve">17951_20250331</t>
  </si>
  <si>
    <t xml:space="preserve">0.8349782414852187</t>
  </si>
  <si>
    <t xml:space="preserve">35790</t>
  </si>
  <si>
    <t xml:space="preserve">1548</t>
  </si>
  <si>
    <t xml:space="preserve">650587</t>
  </si>
  <si>
    <t xml:space="preserve">0.023168436054354372</t>
  </si>
  <si>
    <t xml:space="preserve">2.6930431412907447</t>
  </si>
  <si>
    <t xml:space="preserve">7.1</t>
  </si>
  <si>
    <t xml:space="preserve">8.722473661629754</t>
  </si>
  <si>
    <t xml:space="preserve">17960_20250331</t>
  </si>
  <si>
    <t xml:space="preserve">1.0943681688940674</t>
  </si>
  <si>
    <t xml:space="preserve">115321</t>
  </si>
  <si>
    <t xml:space="preserve">219320</t>
  </si>
  <si>
    <t xml:space="preserve">1137484</t>
  </si>
  <si>
    <t xml:space="preserve">0.6630900727781788</t>
  </si>
  <si>
    <t xml:space="preserve">2.934248163173737</t>
  </si>
  <si>
    <t xml:space="preserve">202</t>
  </si>
  <si>
    <t xml:space="preserve">4491</t>
  </si>
  <si>
    <t xml:space="preserve">3.4</t>
  </si>
  <si>
    <t xml:space="preserve">11.073256528377314</t>
  </si>
  <si>
    <t xml:space="preserve">18012_20250331</t>
  </si>
  <si>
    <t xml:space="preserve">1.1708873142951974</t>
  </si>
  <si>
    <t xml:space="preserve">49493</t>
  </si>
  <si>
    <t xml:space="preserve">26074</t>
  </si>
  <si>
    <t xml:space="preserve">2096206</t>
  </si>
  <si>
    <t xml:space="preserve">0.051342713318601574</t>
  </si>
  <si>
    <t xml:space="preserve">2.7997595313498933</t>
  </si>
  <si>
    <t xml:space="preserve">3239</t>
  </si>
  <si>
    <t xml:space="preserve">6.81</t>
  </si>
  <si>
    <t xml:space="preserve">8.101342378122915</t>
  </si>
  <si>
    <t xml:space="preserve">18013_20250331</t>
  </si>
  <si>
    <t xml:space="preserve">0.7479407998348411</t>
  </si>
  <si>
    <t xml:space="preserve">115671</t>
  </si>
  <si>
    <t xml:space="preserve">21720</t>
  </si>
  <si>
    <t xml:space="preserve">2394181</t>
  </si>
  <si>
    <t xml:space="preserve">0.09414552468822326</t>
  </si>
  <si>
    <t xml:space="preserve">2.794069002167276</t>
  </si>
  <si>
    <t xml:space="preserve">-199</t>
  </si>
  <si>
    <t xml:space="preserve">5622</t>
  </si>
  <si>
    <t xml:space="preserve">10.875031524906548</t>
  </si>
  <si>
    <t xml:space="preserve">18028_20250331</t>
  </si>
  <si>
    <t xml:space="preserve">0.8362515404158128</t>
  </si>
  <si>
    <t xml:space="preserve">12296</t>
  </si>
  <si>
    <t xml:space="preserve">5085</t>
  </si>
  <si>
    <t xml:space="preserve">274397</t>
  </si>
  <si>
    <t xml:space="preserve">0.39138306753255203</t>
  </si>
  <si>
    <t xml:space="preserve">3.467174898515145</t>
  </si>
  <si>
    <t xml:space="preserve">1383</t>
  </si>
  <si>
    <t xml:space="preserve">5.02</t>
  </si>
  <si>
    <t xml:space="preserve">7.057986126287003</t>
  </si>
  <si>
    <t xml:space="preserve">18030_20250331</t>
  </si>
  <si>
    <t xml:space="preserve">0.9975407031330329</t>
  </si>
  <si>
    <t xml:space="preserve">40723</t>
  </si>
  <si>
    <t xml:space="preserve">95064</t>
  </si>
  <si>
    <t xml:space="preserve">587341</t>
  </si>
  <si>
    <t xml:space="preserve">0.3069485671519522</t>
  </si>
  <si>
    <t xml:space="preserve">3.62784293997723</t>
  </si>
  <si>
    <t xml:space="preserve">2217</t>
  </si>
  <si>
    <t xml:space="preserve">9.26</t>
  </si>
  <si>
    <t xml:space="preserve">6.008775924286377</t>
  </si>
  <si>
    <t xml:space="preserve">18031_20250331</t>
  </si>
  <si>
    <t xml:space="preserve">0.823234239090649</t>
  </si>
  <si>
    <t xml:space="preserve">22344</t>
  </si>
  <si>
    <t xml:space="preserve">7590</t>
  </si>
  <si>
    <t xml:space="preserve">447072</t>
  </si>
  <si>
    <t xml:space="preserve">0.18811712065450562</t>
  </si>
  <si>
    <t xml:space="preserve">2.7191276952012124</t>
  </si>
  <si>
    <t xml:space="preserve">1454</t>
  </si>
  <si>
    <t xml:space="preserve">11.959748541292834</t>
  </si>
  <si>
    <t xml:space="preserve">18038_20250331</t>
  </si>
  <si>
    <t xml:space="preserve">0.8930711664024032</t>
  </si>
  <si>
    <t xml:space="preserve">31307</t>
  </si>
  <si>
    <t xml:space="preserve">4078</t>
  </si>
  <si>
    <t xml:space="preserve">450662</t>
  </si>
  <si>
    <t xml:space="preserve">0.6296140727431865</t>
  </si>
  <si>
    <t xml:space="preserve">2.8274854105040594</t>
  </si>
  <si>
    <t xml:space="preserve">-51</t>
  </si>
  <si>
    <t xml:space="preserve">2982</t>
  </si>
  <si>
    <t xml:space="preserve">2.01</t>
  </si>
  <si>
    <t xml:space="preserve">6.290651944514125</t>
  </si>
  <si>
    <t xml:space="preserve">18408_20250331</t>
  </si>
  <si>
    <t xml:space="preserve">0.6639609929697894</t>
  </si>
  <si>
    <t xml:space="preserve">395278</t>
  </si>
  <si>
    <t xml:space="preserve">58940</t>
  </si>
  <si>
    <t xml:space="preserve">4943904</t>
  </si>
  <si>
    <t xml:space="preserve">0.16293114516544172</t>
  </si>
  <si>
    <t xml:space="preserve">2.371113356344028</t>
  </si>
  <si>
    <t xml:space="preserve">10783</t>
  </si>
  <si>
    <t xml:space="preserve">2.05</t>
  </si>
  <si>
    <t xml:space="preserve">10.391930328344582</t>
  </si>
  <si>
    <t xml:space="preserve">19531_20250331</t>
  </si>
  <si>
    <t xml:space="preserve">0.8867284895372739</t>
  </si>
  <si>
    <t xml:space="preserve">257734</t>
  </si>
  <si>
    <t xml:space="preserve">6994</t>
  </si>
  <si>
    <t xml:space="preserve">2159699</t>
  </si>
  <si>
    <t xml:space="preserve">0.3349669415760564</t>
  </si>
  <si>
    <t xml:space="preserve">3.125552139293168</t>
  </si>
  <si>
    <t xml:space="preserve">-334</t>
  </si>
  <si>
    <t xml:space="preserve">22725</t>
  </si>
  <si>
    <t xml:space="preserve">6.27</t>
  </si>
  <si>
    <t xml:space="preserve">12.67726457271407</t>
  </si>
  <si>
    <t xml:space="preserve">19532_20250331</t>
  </si>
  <si>
    <t xml:space="preserve">0.987447833323952</t>
  </si>
  <si>
    <t xml:space="preserve">52325</t>
  </si>
  <si>
    <t xml:space="preserve">50922</t>
  </si>
  <si>
    <t xml:space="preserve">615665</t>
  </si>
  <si>
    <t xml:space="preserve">0.2889973544760817</t>
  </si>
  <si>
    <t xml:space="preserve">3.5524145874394772</t>
  </si>
  <si>
    <t xml:space="preserve">1058</t>
  </si>
  <si>
    <t xml:space="preserve">6.11</t>
  </si>
  <si>
    <t xml:space="preserve">11.056303154166653</t>
  </si>
  <si>
    <t xml:space="preserve">19690_20250331</t>
  </si>
  <si>
    <t xml:space="preserve">1.210906472314038</t>
  </si>
  <si>
    <t xml:space="preserve">172540</t>
  </si>
  <si>
    <t xml:space="preserve">3754765</t>
  </si>
  <si>
    <t xml:space="preserve">0.8480344475844358</t>
  </si>
  <si>
    <t xml:space="preserve">4.542584942085181</t>
  </si>
  <si>
    <t xml:space="preserve">2081</t>
  </si>
  <si>
    <t xml:space="preserve">4376</t>
  </si>
  <si>
    <t xml:space="preserve">16.39</t>
  </si>
  <si>
    <t xml:space="preserve">17.534645786279082</t>
  </si>
  <si>
    <t xml:space="preserve">19836_20250331</t>
  </si>
  <si>
    <t xml:space="preserve">0.711385839548462</t>
  </si>
  <si>
    <t xml:space="preserve">42016</t>
  </si>
  <si>
    <t xml:space="preserve">10284</t>
  </si>
  <si>
    <t xml:space="preserve">622904</t>
  </si>
  <si>
    <t xml:space="preserve">1.0489872753906404</t>
  </si>
  <si>
    <t xml:space="preserve">3.887397497396177</t>
  </si>
  <si>
    <t xml:space="preserve">7070</t>
  </si>
  <si>
    <t xml:space="preserve">16.194293371214027</t>
  </si>
  <si>
    <t xml:space="preserve">24540_20250331</t>
  </si>
  <si>
    <t xml:space="preserve">0.9951441185352782</t>
  </si>
  <si>
    <t xml:space="preserve">42943</t>
  </si>
  <si>
    <t xml:space="preserve">1445759</t>
  </si>
  <si>
    <t xml:space="preserve">0.8076472429125428</t>
  </si>
  <si>
    <t xml:space="preserve">4.218292112868268</t>
  </si>
  <si>
    <t xml:space="preserve">10.791331897802735</t>
  </si>
  <si>
    <t xml:space="preserve">27824_20250331</t>
  </si>
  <si>
    <t xml:space="preserve">0.6119813954274678</t>
  </si>
  <si>
    <t xml:space="preserve">17729</t>
  </si>
  <si>
    <t xml:space="preserve">35270</t>
  </si>
  <si>
    <t xml:space="preserve">470321</t>
  </si>
  <si>
    <t xml:space="preserve">0.4367974945955027</t>
  </si>
  <si>
    <t xml:space="preserve">1.8260418207287399</t>
  </si>
  <si>
    <t xml:space="preserve">-5.81</t>
  </si>
  <si>
    <t xml:space="preserve">9.161736689060463</t>
  </si>
  <si>
    <t xml:space="preserve">28155_20250331</t>
  </si>
  <si>
    <t xml:space="preserve">0.4474603219670083</t>
  </si>
  <si>
    <t xml:space="preserve">9840</t>
  </si>
  <si>
    <t xml:space="preserve">6251</t>
  </si>
  <si>
    <t xml:space="preserve">175317</t>
  </si>
  <si>
    <t xml:space="preserve">0.17262428664717072</t>
  </si>
  <si>
    <t xml:space="preserve">2.6187590343056715</t>
  </si>
  <si>
    <t xml:space="preserve">-1.12</t>
  </si>
  <si>
    <t xml:space="preserve">6.093980167871161</t>
  </si>
  <si>
    <t xml:space="preserve">28288_20250331</t>
  </si>
  <si>
    <t xml:space="preserve">0.9850468662049386</t>
  </si>
  <si>
    <t xml:space="preserve">4355</t>
  </si>
  <si>
    <t xml:space="preserve">3475</t>
  </si>
  <si>
    <t xml:space="preserve">80917</t>
  </si>
  <si>
    <t xml:space="preserve">0.0012236607033601723</t>
  </si>
  <si>
    <t xml:space="preserve">2.708855114623358</t>
  </si>
  <si>
    <t xml:space="preserve">668</t>
  </si>
  <si>
    <t xml:space="preserve">3.65</t>
  </si>
  <si>
    <t xml:space="preserve">9.695847998887379</t>
  </si>
  <si>
    <t xml:space="preserve">28369_20250331</t>
  </si>
  <si>
    <t xml:space="preserve">0.778960643940799</t>
  </si>
  <si>
    <t xml:space="preserve">13089</t>
  </si>
  <si>
    <t xml:space="preserve">657</t>
  </si>
  <si>
    <t xml:space="preserve">80247</t>
  </si>
  <si>
    <t xml:space="preserve">0.10880720105839732</t>
  </si>
  <si>
    <t xml:space="preserve">3.505478698885377</t>
  </si>
  <si>
    <t xml:space="preserve">0.88</t>
  </si>
  <si>
    <t xml:space="preserve">10.109301883860274</t>
  </si>
  <si>
    <t xml:space="preserve">28837_20250331</t>
  </si>
  <si>
    <t xml:space="preserve">1.0806203524997307</t>
  </si>
  <si>
    <t xml:space="preserve">7281</t>
  </si>
  <si>
    <t xml:space="preserve">1412</t>
  </si>
  <si>
    <t xml:space="preserve">201936</t>
  </si>
  <si>
    <t xml:space="preserve">3.9550403029204673</t>
  </si>
  <si>
    <t xml:space="preserve">14.725830925049193</t>
  </si>
  <si>
    <t xml:space="preserve">29636_20250331</t>
  </si>
  <si>
    <t xml:space="preserve">1.3548092616669893</t>
  </si>
  <si>
    <t xml:space="preserve">1641</t>
  </si>
  <si>
    <t xml:space="preserve">1725</t>
  </si>
  <si>
    <t xml:space="preserve">142637</t>
  </si>
  <si>
    <t xml:space="preserve">2.2241279150183964</t>
  </si>
  <si>
    <t xml:space="preserve">3.42549547345241</t>
  </si>
  <si>
    <t xml:space="preserve">3952</t>
  </si>
  <si>
    <t xml:space="preserve">0.93</t>
  </si>
  <si>
    <t xml:space="preserve">9.464660777633735</t>
  </si>
  <si>
    <t xml:space="preserve">29743_20250331</t>
  </si>
  <si>
    <t xml:space="preserve">0.6073765441154896</t>
  </si>
  <si>
    <t xml:space="preserve">26500</t>
  </si>
  <si>
    <t xml:space="preserve">21890</t>
  </si>
  <si>
    <t xml:space="preserve">135496</t>
  </si>
  <si>
    <t xml:space="preserve">0.3286288547871248</t>
  </si>
  <si>
    <t xml:space="preserve">2.6672150250188498</t>
  </si>
  <si>
    <t xml:space="preserve">816</t>
  </si>
  <si>
    <t xml:space="preserve">6.63</t>
  </si>
  <si>
    <t xml:space="preserve">7.543696855176137</t>
  </si>
  <si>
    <t xml:space="preserve">29744_20250331</t>
  </si>
  <si>
    <t xml:space="preserve">0.7845858002685928</t>
  </si>
  <si>
    <t xml:space="preserve">24565</t>
  </si>
  <si>
    <t xml:space="preserve">12485</t>
  </si>
  <si>
    <t xml:space="preserve">444745</t>
  </si>
  <si>
    <t xml:space="preserve">2.258738853166098</t>
  </si>
  <si>
    <t xml:space="preserve">-5.34</t>
  </si>
  <si>
    <t xml:space="preserve">10.322349711343321</t>
  </si>
  <si>
    <t xml:space="preserve">30350_20250331</t>
  </si>
  <si>
    <t xml:space="preserve">1.1422029798844886</t>
  </si>
  <si>
    <t xml:space="preserve">15504</t>
  </si>
  <si>
    <t xml:space="preserve">1535</t>
  </si>
  <si>
    <t xml:space="preserve">459408</t>
  </si>
  <si>
    <t xml:space="preserve">0.34149889394813177</t>
  </si>
  <si>
    <t xml:space="preserve">2.713024113916103</t>
  </si>
  <si>
    <t xml:space="preserve">4067</t>
  </si>
  <si>
    <t xml:space="preserve">11.969412287613391</t>
  </si>
  <si>
    <t xml:space="preserve">30878_20250331</t>
  </si>
  <si>
    <t xml:space="preserve">0.8148684302692101</t>
  </si>
  <si>
    <t xml:space="preserve">153</t>
  </si>
  <si>
    <t xml:space="preserve">84960</t>
  </si>
  <si>
    <t xml:space="preserve">1.6577552592869318</t>
  </si>
  <si>
    <t xml:space="preserve">1.434583714547118</t>
  </si>
  <si>
    <t xml:space="preserve">-0.57</t>
  </si>
  <si>
    <t xml:space="preserve">7.224781230444105</t>
  </si>
  <si>
    <t xml:space="preserve">33418_20250331</t>
  </si>
  <si>
    <t xml:space="preserve">0.6862593689108241</t>
  </si>
  <si>
    <t xml:space="preserve">78920</t>
  </si>
  <si>
    <t xml:space="preserve">18037</t>
  </si>
  <si>
    <t xml:space="preserve">604485</t>
  </si>
  <si>
    <t xml:space="preserve">0.20224689564980236</t>
  </si>
  <si>
    <t xml:space="preserve">2.5748879079259455</t>
  </si>
  <si>
    <t xml:space="preserve">526</t>
  </si>
  <si>
    <t xml:space="preserve">8.24</t>
  </si>
  <si>
    <t xml:space="preserve">97.07643274157036</t>
  </si>
  <si>
    <t xml:space="preserve">35206_20250331</t>
  </si>
  <si>
    <t xml:space="preserve">4.23196683239003</t>
  </si>
  <si>
    <t xml:space="preserve">29.95</t>
  </si>
  <si>
    <t xml:space="preserve">9.66470725300644</t>
  </si>
  <si>
    <t xml:space="preserve">4255_20250331</t>
  </si>
  <si>
    <t xml:space="preserve">0.9542813785130956</t>
  </si>
  <si>
    <t xml:space="preserve">341292</t>
  </si>
  <si>
    <t xml:space="preserve">24145</t>
  </si>
  <si>
    <t xml:space="preserve">4849422</t>
  </si>
  <si>
    <t xml:space="preserve">0.14809610417992114</t>
  </si>
  <si>
    <t xml:space="preserve">3.4155138101586853</t>
  </si>
  <si>
    <t xml:space="preserve">949</t>
  </si>
  <si>
    <t xml:space="preserve">3341</t>
  </si>
  <si>
    <t xml:space="preserve">5.53</t>
  </si>
  <si>
    <t xml:space="preserve">7.328239915222509</t>
  </si>
  <si>
    <t xml:space="preserve">4256_20250331</t>
  </si>
  <si>
    <t xml:space="preserve">1.053815328451839</t>
  </si>
  <si>
    <t xml:space="preserve">377866</t>
  </si>
  <si>
    <t xml:space="preserve">21844</t>
  </si>
  <si>
    <t xml:space="preserve">2358036</t>
  </si>
  <si>
    <t xml:space="preserve">0.2831546482596563</t>
  </si>
  <si>
    <t xml:space="preserve">2.405795829404353</t>
  </si>
  <si>
    <t xml:space="preserve">2649</t>
  </si>
  <si>
    <t xml:space="preserve">13.1</t>
  </si>
  <si>
    <t xml:space="preserve">14.672611639902843</t>
  </si>
  <si>
    <t xml:space="preserve">59086_20250331</t>
  </si>
  <si>
    <t xml:space="preserve">0.9729402542246742</t>
  </si>
  <si>
    <t xml:space="preserve">122650</t>
  </si>
  <si>
    <t xml:space="preserve">598779</t>
  </si>
  <si>
    <t xml:space="preserve">0.6041391719671486</t>
  </si>
  <si>
    <t xml:space="preserve">3.787884264232397</t>
  </si>
  <si>
    <t xml:space="preserve">5858</t>
  </si>
  <si>
    <t xml:space="preserve">9.54</t>
  </si>
  <si>
    <t xml:space="preserve">10.810885394286075</t>
  </si>
  <si>
    <t xml:space="preserve">59176_20250331</t>
  </si>
  <si>
    <t xml:space="preserve">0.9335740109546248</t>
  </si>
  <si>
    <t xml:space="preserve">25658</t>
  </si>
  <si>
    <t xml:space="preserve">191538</t>
  </si>
  <si>
    <t xml:space="preserve">2.8022107639942035</t>
  </si>
  <si>
    <t xml:space="preserve">1.77</t>
  </si>
  <si>
    <t xml:space="preserve">12.017318941824938</t>
  </si>
  <si>
    <t xml:space="preserve">59289_20250331</t>
  </si>
  <si>
    <t xml:space="preserve">0.671058428186503</t>
  </si>
  <si>
    <t xml:space="preserve">47651</t>
  </si>
  <si>
    <t xml:space="preserve">96952</t>
  </si>
  <si>
    <t xml:space="preserve">4.6799922136731995</t>
  </si>
  <si>
    <t xml:space="preserve">3.9161332190326634</t>
  </si>
  <si>
    <t xml:space="preserve">174</t>
  </si>
  <si>
    <t xml:space="preserve">-5.18</t>
  </si>
  <si>
    <t xml:space="preserve">9.111211831014746</t>
  </si>
  <si>
    <t xml:space="preserve">59298_20250331</t>
  </si>
  <si>
    <t xml:space="preserve">0.8174082856744316</t>
  </si>
  <si>
    <t xml:space="preserve">34338</t>
  </si>
  <si>
    <t xml:space="preserve">142208</t>
  </si>
  <si>
    <t xml:space="preserve">2.3155488648353684</t>
  </si>
  <si>
    <t xml:space="preserve">9.699383945527815</t>
  </si>
  <si>
    <t xml:space="preserve">6271_20250331</t>
  </si>
  <si>
    <t xml:space="preserve">1.0806791687246733</t>
  </si>
  <si>
    <t xml:space="preserve">120099</t>
  </si>
  <si>
    <t xml:space="preserve">6417</t>
  </si>
  <si>
    <t xml:space="preserve">931271</t>
  </si>
  <si>
    <t xml:space="preserve">0.9985713451130975</t>
  </si>
  <si>
    <t xml:space="preserve">3.373241305732026</t>
  </si>
  <si>
    <t xml:space="preserve">2556</t>
  </si>
  <si>
    <t xml:space="preserve">13.53</t>
  </si>
  <si>
    <t xml:space="preserve">6.624667962215791</t>
  </si>
  <si>
    <t xml:space="preserve">6275_20250331</t>
  </si>
  <si>
    <t xml:space="preserve">0.38433408383645723</t>
  </si>
  <si>
    <t xml:space="preserve">33302</t>
  </si>
  <si>
    <t xml:space="preserve">7846</t>
  </si>
  <si>
    <t xml:space="preserve">347315</t>
  </si>
  <si>
    <t xml:space="preserve">0.2862428475140182</t>
  </si>
  <si>
    <t xml:space="preserve">3.202216308362158</t>
  </si>
  <si>
    <t xml:space="preserve">744</t>
  </si>
  <si>
    <t xml:space="preserve">11.66</t>
  </si>
  <si>
    <t xml:space="preserve">11.371590909090909</t>
  </si>
  <si>
    <t xml:space="preserve">6280_20250331</t>
  </si>
  <si>
    <t xml:space="preserve">1.2912582098085423</t>
  </si>
  <si>
    <t xml:space="preserve">3679</t>
  </si>
  <si>
    <t xml:space="preserve">1399</t>
  </si>
  <si>
    <t xml:space="preserve">70787</t>
  </si>
  <si>
    <t xml:space="preserve">1.9801151813478728</t>
  </si>
  <si>
    <t xml:space="preserve">4.429721459018463</t>
  </si>
  <si>
    <t xml:space="preserve">11.47</t>
  </si>
  <si>
    <t xml:space="preserve">12.255624761198321</t>
  </si>
  <si>
    <t xml:space="preserve">11971_20250630</t>
  </si>
  <si>
    <t xml:space="preserve">0.9153881550008683</t>
  </si>
  <si>
    <t xml:space="preserve">220343</t>
  </si>
  <si>
    <t xml:space="preserve">8096</t>
  </si>
  <si>
    <t xml:space="preserve">3126607</t>
  </si>
  <si>
    <t xml:space="preserve">0.32201000668041624</t>
  </si>
  <si>
    <t xml:space="preserve">3.280614098244408</t>
  </si>
  <si>
    <t xml:space="preserve">2331</t>
  </si>
  <si>
    <t xml:space="preserve">9.261650633881432</t>
  </si>
  <si>
    <t xml:space="preserve">12874_20250630</t>
  </si>
  <si>
    <t xml:space="preserve">0.9810498071440551</t>
  </si>
  <si>
    <t xml:space="preserve">156764</t>
  </si>
  <si>
    <t xml:space="preserve">838439</t>
  </si>
  <si>
    <t xml:space="preserve">0.16439404496744006</t>
  </si>
  <si>
    <t xml:space="preserve">3.802108805205299</t>
  </si>
  <si>
    <t xml:space="preserve">2891</t>
  </si>
  <si>
    <t xml:space="preserve">10.27</t>
  </si>
  <si>
    <t xml:space="preserve">8.548373165676999</t>
  </si>
  <si>
    <t xml:space="preserve">13063_20250630</t>
  </si>
  <si>
    <t xml:space="preserve">1.083568696562286</t>
  </si>
  <si>
    <t xml:space="preserve">74647</t>
  </si>
  <si>
    <t xml:space="preserve">870</t>
  </si>
  <si>
    <t xml:space="preserve">1542396</t>
  </si>
  <si>
    <t xml:space="preserve">0.15686606485507526</t>
  </si>
  <si>
    <t xml:space="preserve">3.4056767296056347</t>
  </si>
  <si>
    <t xml:space="preserve">10952</t>
  </si>
  <si>
    <t xml:space="preserve">7.39</t>
  </si>
  <si>
    <t xml:space="preserve">13.157850006289115</t>
  </si>
  <si>
    <t xml:space="preserve">14134_20250630</t>
  </si>
  <si>
    <t xml:space="preserve">1.1216542904615288</t>
  </si>
  <si>
    <t xml:space="preserve">27002</t>
  </si>
  <si>
    <t xml:space="preserve">21129</t>
  </si>
  <si>
    <t xml:space="preserve">627833</t>
  </si>
  <si>
    <t xml:space="preserve">0.4272743737745195</t>
  </si>
  <si>
    <t xml:space="preserve">3.109298481587633</t>
  </si>
  <si>
    <t xml:space="preserve">5310</t>
  </si>
  <si>
    <t xml:space="preserve">8.345464149908665</t>
  </si>
  <si>
    <t xml:space="preserve">14136_20250630</t>
  </si>
  <si>
    <t xml:space="preserve">1.031437739764036</t>
  </si>
  <si>
    <t xml:space="preserve">16458</t>
  </si>
  <si>
    <t xml:space="preserve">15166</t>
  </si>
  <si>
    <t xml:space="preserve">164078</t>
  </si>
  <si>
    <t xml:space="preserve">0.6496248220619104</t>
  </si>
  <si>
    <t xml:space="preserve">3.8699528517961537</t>
  </si>
  <si>
    <t xml:space="preserve">1414</t>
  </si>
  <si>
    <t xml:space="preserve">7.3</t>
  </si>
  <si>
    <t xml:space="preserve">9.142411565817945</t>
  </si>
  <si>
    <t xml:space="preserve">14140_20250630</t>
  </si>
  <si>
    <t xml:space="preserve">0.8080351083563317</t>
  </si>
  <si>
    <t xml:space="preserve">95042</t>
  </si>
  <si>
    <t xml:space="preserve">1711</t>
  </si>
  <si>
    <t xml:space="preserve">1096220</t>
  </si>
  <si>
    <t xml:space="preserve">0.6728498393883183</t>
  </si>
  <si>
    <t xml:space="preserve">2.580545685512823</t>
  </si>
  <si>
    <t xml:space="preserve">28</t>
  </si>
  <si>
    <t xml:space="preserve">4583</t>
  </si>
  <si>
    <t xml:space="preserve">5.8481789203029235</t>
  </si>
  <si>
    <t xml:space="preserve">14158_20250630</t>
  </si>
  <si>
    <t xml:space="preserve">0.7457487741423485</t>
  </si>
  <si>
    <t xml:space="preserve">34247</t>
  </si>
  <si>
    <t xml:space="preserve">2362</t>
  </si>
  <si>
    <t xml:space="preserve">1105607</t>
  </si>
  <si>
    <t xml:space="preserve">1.3700339523517975</t>
  </si>
  <si>
    <t xml:space="preserve">2.998673507124366</t>
  </si>
  <si>
    <t xml:space="preserve">1302</t>
  </si>
  <si>
    <t xml:space="preserve">10.292716711467989</t>
  </si>
  <si>
    <t xml:space="preserve">14168_20250630</t>
  </si>
  <si>
    <t xml:space="preserve">1.2729947470317606</t>
  </si>
  <si>
    <t xml:space="preserve">11385</t>
  </si>
  <si>
    <t xml:space="preserve">10856</t>
  </si>
  <si>
    <t xml:space="preserve">284549</t>
  </si>
  <si>
    <t xml:space="preserve">0.35112310820281867</t>
  </si>
  <si>
    <t xml:space="preserve">4.222243217012651</t>
  </si>
  <si>
    <t xml:space="preserve">9.43</t>
  </si>
  <si>
    <t xml:space="preserve">8.995161279854921</t>
  </si>
  <si>
    <t xml:space="preserve">17115_20250630</t>
  </si>
  <si>
    <t xml:space="preserve">0.9481367391661335</t>
  </si>
  <si>
    <t xml:space="preserve">38793</t>
  </si>
  <si>
    <t xml:space="preserve">6038</t>
  </si>
  <si>
    <t xml:space="preserve">874623</t>
  </si>
  <si>
    <t xml:space="preserve">0.2915078794330659</t>
  </si>
  <si>
    <t xml:space="preserve">2.966591377315547</t>
  </si>
  <si>
    <t xml:space="preserve">438</t>
  </si>
  <si>
    <t xml:space="preserve">1134</t>
  </si>
  <si>
    <t xml:space="preserve">9.165166217463861</t>
  </si>
  <si>
    <t xml:space="preserve">17180_20250630</t>
  </si>
  <si>
    <t xml:space="preserve">0.9884066640701267</t>
  </si>
  <si>
    <t xml:space="preserve">41482</t>
  </si>
  <si>
    <t xml:space="preserve">155925</t>
  </si>
  <si>
    <t xml:space="preserve">1380383</t>
  </si>
  <si>
    <t xml:space="preserve">0.35978576393147715</t>
  </si>
  <si>
    <t xml:space="preserve">2.8230117834066273</t>
  </si>
  <si>
    <t xml:space="preserve">3.54</t>
  </si>
  <si>
    <t xml:space="preserve">10.945649564629116</t>
  </si>
  <si>
    <t xml:space="preserve">17443_20250630</t>
  </si>
  <si>
    <t xml:space="preserve">0.7129958125642755</t>
  </si>
  <si>
    <t xml:space="preserve">799</t>
  </si>
  <si>
    <t xml:space="preserve">201778</t>
  </si>
  <si>
    <t xml:space="preserve">0.010825333248042829</t>
  </si>
  <si>
    <t xml:space="preserve">1.2992097672448923</t>
  </si>
  <si>
    <t xml:space="preserve">769</t>
  </si>
  <si>
    <t xml:space="preserve">-2.77</t>
  </si>
  <si>
    <t xml:space="preserve">11.593308405768951</t>
  </si>
  <si>
    <t xml:space="preserve">17658_20250630</t>
  </si>
  <si>
    <t xml:space="preserve">0.6845818028746598</t>
  </si>
  <si>
    <t xml:space="preserve">107836</t>
  </si>
  <si>
    <t xml:space="preserve">85638</t>
  </si>
  <si>
    <t xml:space="preserve">1462787</t>
  </si>
  <si>
    <t xml:space="preserve">0.690352848520236</t>
  </si>
  <si>
    <t xml:space="preserve">3.2406803482534725</t>
  </si>
  <si>
    <t xml:space="preserve">146</t>
  </si>
  <si>
    <t xml:space="preserve">2622</t>
  </si>
  <si>
    <t xml:space="preserve">9.098786137268508</t>
  </si>
  <si>
    <t xml:space="preserve">17741_20250630</t>
  </si>
  <si>
    <t xml:space="preserve">0.7029826045834817</t>
  </si>
  <si>
    <t xml:space="preserve">210200</t>
  </si>
  <si>
    <t xml:space="preserve">6792</t>
  </si>
  <si>
    <t xml:space="preserve">2261429</t>
  </si>
  <si>
    <t xml:space="preserve">0.6240342770980913</t>
  </si>
  <si>
    <t xml:space="preserve">4.424594575961685</t>
  </si>
  <si>
    <t xml:space="preserve">5485</t>
  </si>
  <si>
    <t xml:space="preserve">8.32</t>
  </si>
  <si>
    <t xml:space="preserve">8.794558855092426</t>
  </si>
  <si>
    <t xml:space="preserve">17743_20250630</t>
  </si>
  <si>
    <t xml:space="preserve">0.4171938642863333</t>
  </si>
  <si>
    <t xml:space="preserve">22427</t>
  </si>
  <si>
    <t xml:space="preserve">1149086</t>
  </si>
  <si>
    <t xml:space="preserve">0.03527168732125834</t>
  </si>
  <si>
    <t xml:space="preserve">2.0701108760452036</t>
  </si>
  <si>
    <t xml:space="preserve">94</t>
  </si>
  <si>
    <t xml:space="preserve">1517</t>
  </si>
  <si>
    <t xml:space="preserve">0.76</t>
  </si>
  <si>
    <t xml:space="preserve">14.060907255112667</t>
  </si>
  <si>
    <t xml:space="preserve">17749_20250630</t>
  </si>
  <si>
    <t xml:space="preserve">1.4555969476298027</t>
  </si>
  <si>
    <t xml:space="preserve">57319</t>
  </si>
  <si>
    <t xml:space="preserve">10778</t>
  </si>
  <si>
    <t xml:space="preserve">825064</t>
  </si>
  <si>
    <t xml:space="preserve">0.16386961616050622</t>
  </si>
  <si>
    <t xml:space="preserve">2.696528774122303</t>
  </si>
  <si>
    <t xml:space="preserve">2108</t>
  </si>
  <si>
    <t xml:space="preserve">9.950143524498968</t>
  </si>
  <si>
    <t xml:space="preserve">17751_20250630</t>
  </si>
  <si>
    <t xml:space="preserve">0.9360555387004086</t>
  </si>
  <si>
    <t xml:space="preserve">149887</t>
  </si>
  <si>
    <t xml:space="preserve">1443221</t>
  </si>
  <si>
    <t xml:space="preserve">0.16645410877381323</t>
  </si>
  <si>
    <t xml:space="preserve">2.8715752461615054</t>
  </si>
  <si>
    <t xml:space="preserve">-45</t>
  </si>
  <si>
    <t xml:space="preserve">6455</t>
  </si>
  <si>
    <t xml:space="preserve">4.95</t>
  </si>
  <si>
    <t xml:space="preserve">12.62306793053738</t>
  </si>
  <si>
    <t xml:space="preserve">17897_20250630</t>
  </si>
  <si>
    <t xml:space="preserve">0.6143577762082805</t>
  </si>
  <si>
    <t xml:space="preserve">82889</t>
  </si>
  <si>
    <t xml:space="preserve">2700</t>
  </si>
  <si>
    <t xml:space="preserve">1484578</t>
  </si>
  <si>
    <t xml:space="preserve">0.3609025576483426</t>
  </si>
  <si>
    <t xml:space="preserve">2.7515410864739795</t>
  </si>
  <si>
    <t xml:space="preserve">8456</t>
  </si>
  <si>
    <t xml:space="preserve">7.84</t>
  </si>
  <si>
    <t xml:space="preserve">7.807417046193884</t>
  </si>
  <si>
    <t xml:space="preserve">17951_20250630</t>
  </si>
  <si>
    <t xml:space="preserve">0.8281928179141864</t>
  </si>
  <si>
    <t xml:space="preserve">39465</t>
  </si>
  <si>
    <t xml:space="preserve">1480</t>
  </si>
  <si>
    <t xml:space="preserve">688892</t>
  </si>
  <si>
    <t xml:space="preserve">0.021593763721037364</t>
  </si>
  <si>
    <t xml:space="preserve">2.7982577523060312</t>
  </si>
  <si>
    <t xml:space="preserve">1481</t>
  </si>
  <si>
    <t xml:space="preserve">8.15</t>
  </si>
  <si>
    <t xml:space="preserve">8.828360616437344</t>
  </si>
  <si>
    <t xml:space="preserve">17960_20250630</t>
  </si>
  <si>
    <t xml:space="preserve">1.1168697299263006</t>
  </si>
  <si>
    <t xml:space="preserve">119286</t>
  </si>
  <si>
    <t xml:space="preserve">216067</t>
  </si>
  <si>
    <t xml:space="preserve">1133880</t>
  </si>
  <si>
    <t xml:space="preserve">0.6694939421132358</t>
  </si>
  <si>
    <t xml:space="preserve">2.9541878991217594</t>
  </si>
  <si>
    <t xml:space="preserve">430</t>
  </si>
  <si>
    <t xml:space="preserve">5189</t>
  </si>
  <si>
    <t xml:space="preserve">3.02</t>
  </si>
  <si>
    <t xml:space="preserve">11.416351504320685</t>
  </si>
  <si>
    <t xml:space="preserve">18012_20250630</t>
  </si>
  <si>
    <t xml:space="preserve">1.1676232585494672</t>
  </si>
  <si>
    <t xml:space="preserve">52326</t>
  </si>
  <si>
    <t xml:space="preserve">25170</t>
  </si>
  <si>
    <t xml:space="preserve">2125751</t>
  </si>
  <si>
    <t xml:space="preserve">0.04742278106715205</t>
  </si>
  <si>
    <t xml:space="preserve">2.8956000391231487</t>
  </si>
  <si>
    <t xml:space="preserve">115</t>
  </si>
  <si>
    <t xml:space="preserve">4968</t>
  </si>
  <si>
    <t xml:space="preserve">8.115302733896211</t>
  </si>
  <si>
    <t xml:space="preserve">18013_20250630</t>
  </si>
  <si>
    <t xml:space="preserve">0.7277253280520906</t>
  </si>
  <si>
    <t xml:space="preserve">112059</t>
  </si>
  <si>
    <t xml:space="preserve">20548</t>
  </si>
  <si>
    <t xml:space="preserve">2405533</t>
  </si>
  <si>
    <t xml:space="preserve">0.06413094929074224</t>
  </si>
  <si>
    <t xml:space="preserve">2.8369626762912996</t>
  </si>
  <si>
    <t xml:space="preserve">-48</t>
  </si>
  <si>
    <t xml:space="preserve">4609</t>
  </si>
  <si>
    <t xml:space="preserve">4.2</t>
  </si>
  <si>
    <t xml:space="preserve">10.890124830058088</t>
  </si>
  <si>
    <t xml:space="preserve">18028_20250630</t>
  </si>
  <si>
    <t xml:space="preserve">0.8712737807545303</t>
  </si>
  <si>
    <t xml:space="preserve">13239</t>
  </si>
  <si>
    <t xml:space="preserve">4410</t>
  </si>
  <si>
    <t xml:space="preserve">276472</t>
  </si>
  <si>
    <t xml:space="preserve">0.49766584678489223</t>
  </si>
  <si>
    <t xml:space="preserve">3.484540582313081</t>
  </si>
  <si>
    <t xml:space="preserve">214</t>
  </si>
  <si>
    <t xml:space="preserve">1104</t>
  </si>
  <si>
    <t xml:space="preserve">7.255620717297588</t>
  </si>
  <si>
    <t xml:space="preserve">18030_20250630</t>
  </si>
  <si>
    <t xml:space="preserve">0.9991441130767889</t>
  </si>
  <si>
    <t xml:space="preserve">41693</t>
  </si>
  <si>
    <t xml:space="preserve">96046</t>
  </si>
  <si>
    <t xml:space="preserve">595703</t>
  </si>
  <si>
    <t xml:space="preserve">0.23333305634727405</t>
  </si>
  <si>
    <t xml:space="preserve">3.7093841660250537</t>
  </si>
  <si>
    <t xml:space="preserve">1148</t>
  </si>
  <si>
    <t xml:space="preserve">10.16</t>
  </si>
  <si>
    <t xml:space="preserve">6.089362852988947</t>
  </si>
  <si>
    <t xml:space="preserve">18031_20250630</t>
  </si>
  <si>
    <t xml:space="preserve">0.8307824914634282</t>
  </si>
  <si>
    <t xml:space="preserve">22546</t>
  </si>
  <si>
    <t xml:space="preserve">7202</t>
  </si>
  <si>
    <t xml:space="preserve">448706</t>
  </si>
  <si>
    <t xml:space="preserve">0.12509254859491895</t>
  </si>
  <si>
    <t xml:space="preserve">2.7657320297412435</t>
  </si>
  <si>
    <t xml:space="preserve">654</t>
  </si>
  <si>
    <t xml:space="preserve">3.27</t>
  </si>
  <si>
    <t xml:space="preserve">11.621118905917028</t>
  </si>
  <si>
    <t xml:space="preserve">18038_20250630</t>
  </si>
  <si>
    <t xml:space="preserve">0.859485747933614</t>
  </si>
  <si>
    <t xml:space="preserve">30598</t>
  </si>
  <si>
    <t xml:space="preserve">4861</t>
  </si>
  <si>
    <t xml:space="preserve">454589</t>
  </si>
  <si>
    <t xml:space="preserve">0.47848559527184703</t>
  </si>
  <si>
    <t xml:space="preserve">2.89442109724558</t>
  </si>
  <si>
    <t xml:space="preserve">-54</t>
  </si>
  <si>
    <t xml:space="preserve">950</t>
  </si>
  <si>
    <t xml:space="preserve">6.374650418570769</t>
  </si>
  <si>
    <t xml:space="preserve">18408_20250630</t>
  </si>
  <si>
    <t xml:space="preserve">0.7458327203192381</t>
  </si>
  <si>
    <t xml:space="preserve">368953</t>
  </si>
  <si>
    <t xml:space="preserve">57245</t>
  </si>
  <si>
    <t xml:space="preserve">5032756</t>
  </si>
  <si>
    <t xml:space="preserve">0.6613649657809945</t>
  </si>
  <si>
    <t xml:space="preserve">2.4185246455810985</t>
  </si>
  <si>
    <t xml:space="preserve">11898</t>
  </si>
  <si>
    <t xml:space="preserve">10.558593515136035</t>
  </si>
  <si>
    <t xml:space="preserve">19531_20250630</t>
  </si>
  <si>
    <t xml:space="preserve">0.8752759919914933</t>
  </si>
  <si>
    <t xml:space="preserve">266423</t>
  </si>
  <si>
    <t xml:space="preserve">2196251</t>
  </si>
  <si>
    <t xml:space="preserve">0.4396013077913239</t>
  </si>
  <si>
    <t xml:space="preserve">3.2109086946059713</t>
  </si>
  <si>
    <t xml:space="preserve">-418</t>
  </si>
  <si>
    <t xml:space="preserve">29206</t>
  </si>
  <si>
    <t xml:space="preserve">8.21</t>
  </si>
  <si>
    <t xml:space="preserve">13.058963760681733</t>
  </si>
  <si>
    <t xml:space="preserve">19532_20250630</t>
  </si>
  <si>
    <t xml:space="preserve">0.9877458638850258</t>
  </si>
  <si>
    <t xml:space="preserve">52195</t>
  </si>
  <si>
    <t xml:space="preserve">49375</t>
  </si>
  <si>
    <t xml:space="preserve">611568</t>
  </si>
  <si>
    <t xml:space="preserve">0.3066367261429665</t>
  </si>
  <si>
    <t xml:space="preserve">3.6155561085352415</t>
  </si>
  <si>
    <t xml:space="preserve">817</t>
  </si>
  <si>
    <t xml:space="preserve">7.78</t>
  </si>
  <si>
    <t xml:space="preserve">11.551250984735232</t>
  </si>
  <si>
    <t xml:space="preserve">19690_20250630</t>
  </si>
  <si>
    <t xml:space="preserve">1.2645914140232186</t>
  </si>
  <si>
    <t xml:space="preserve">157469</t>
  </si>
  <si>
    <t xml:space="preserve">145</t>
  </si>
  <si>
    <t xml:space="preserve">3742227</t>
  </si>
  <si>
    <t xml:space="preserve">0.9237348215390551</t>
  </si>
  <si>
    <t xml:space="preserve">4.88660948292711</t>
  </si>
  <si>
    <t xml:space="preserve">2575</t>
  </si>
  <si>
    <t xml:space="preserve">1334</t>
  </si>
  <si>
    <t xml:space="preserve">18.73</t>
  </si>
  <si>
    <t xml:space="preserve">17.275876406607114</t>
  </si>
  <si>
    <t xml:space="preserve">19836_20250630</t>
  </si>
  <si>
    <t xml:space="preserve">0.7055830933708152</t>
  </si>
  <si>
    <t xml:space="preserve">43608</t>
  </si>
  <si>
    <t xml:space="preserve">10432</t>
  </si>
  <si>
    <t xml:space="preserve">638618</t>
  </si>
  <si>
    <t xml:space="preserve">1.309480126128031</t>
  </si>
  <si>
    <t xml:space="preserve">3.9645780323999817</t>
  </si>
  <si>
    <t xml:space="preserve">5102</t>
  </si>
  <si>
    <t xml:space="preserve">4.82</t>
  </si>
  <si>
    <t xml:space="preserve">16.130823632759554</t>
  </si>
  <si>
    <t xml:space="preserve">24540_20250630</t>
  </si>
  <si>
    <t xml:space="preserve">1.0040288934192159</t>
  </si>
  <si>
    <t xml:space="preserve">47445</t>
  </si>
  <si>
    <t xml:space="preserve">1533999</t>
  </si>
  <si>
    <t xml:space="preserve">0.7372429668608512</t>
  </si>
  <si>
    <t xml:space="preserve">4.286497387218186</t>
  </si>
  <si>
    <t xml:space="preserve">10.869588034636578</t>
  </si>
  <si>
    <t xml:space="preserve">27824_20250630</t>
  </si>
  <si>
    <t xml:space="preserve">0.6278768852215599</t>
  </si>
  <si>
    <t xml:space="preserve">18433</t>
  </si>
  <si>
    <t xml:space="preserve">31632</t>
  </si>
  <si>
    <t xml:space="preserve">468470</t>
  </si>
  <si>
    <t xml:space="preserve">0.43357444371380693</t>
  </si>
  <si>
    <t xml:space="preserve">1.915056440131239</t>
  </si>
  <si>
    <t xml:space="preserve">42</t>
  </si>
  <si>
    <t xml:space="preserve">1687</t>
  </si>
  <si>
    <t xml:space="preserve">-2.81</t>
  </si>
  <si>
    <t xml:space="preserve">8.6655878057167</t>
  </si>
  <si>
    <t xml:space="preserve">28155_20250630</t>
  </si>
  <si>
    <t xml:space="preserve">0.42365616375472187</t>
  </si>
  <si>
    <t xml:space="preserve">6285</t>
  </si>
  <si>
    <t xml:space="preserve">180041</t>
  </si>
  <si>
    <t xml:space="preserve">2.661899458073212</t>
  </si>
  <si>
    <t xml:space="preserve">1753</t>
  </si>
  <si>
    <t xml:space="preserve">-0.34</t>
  </si>
  <si>
    <t xml:space="preserve">6.102344959165198</t>
  </si>
  <si>
    <t xml:space="preserve">28288_20250630</t>
  </si>
  <si>
    <t xml:space="preserve">0.9692367412295599</t>
  </si>
  <si>
    <t xml:space="preserve">4189</t>
  </si>
  <si>
    <t xml:space="preserve">3375</t>
  </si>
  <si>
    <t xml:space="preserve">81637</t>
  </si>
  <si>
    <t xml:space="preserve">0.12009316318113444</t>
  </si>
  <si>
    <t xml:space="preserve">2.73418663286535</t>
  </si>
  <si>
    <t xml:space="preserve">4.13</t>
  </si>
  <si>
    <t xml:space="preserve">9.756699614711785</t>
  </si>
  <si>
    <t xml:space="preserve">28369_20250630</t>
  </si>
  <si>
    <t xml:space="preserve">0.7888288828882888</t>
  </si>
  <si>
    <t xml:space="preserve">12550</t>
  </si>
  <si>
    <t xml:space="preserve">79361</t>
  </si>
  <si>
    <t xml:space="preserve">0.10751075107510752</t>
  </si>
  <si>
    <t xml:space="preserve">3.4315891897512842</t>
  </si>
  <si>
    <t xml:space="preserve">-59</t>
  </si>
  <si>
    <t xml:space="preserve">1.06</t>
  </si>
  <si>
    <t xml:space="preserve">10.137834419551204</t>
  </si>
  <si>
    <t xml:space="preserve">28837_20250630</t>
  </si>
  <si>
    <t xml:space="preserve">1.0397966364589468</t>
  </si>
  <si>
    <t xml:space="preserve">7567</t>
  </si>
  <si>
    <t xml:space="preserve">1028</t>
  </si>
  <si>
    <t xml:space="preserve">206715</t>
  </si>
  <si>
    <t xml:space="preserve">0.15510778554912466</t>
  </si>
  <si>
    <t xml:space="preserve">4.008648873565952</t>
  </si>
  <si>
    <t xml:space="preserve">1246</t>
  </si>
  <si>
    <t xml:space="preserve">-3.24</t>
  </si>
  <si>
    <t xml:space="preserve">14.897641359465009</t>
  </si>
  <si>
    <t xml:space="preserve">29636_20250630</t>
  </si>
  <si>
    <t xml:space="preserve">1.3252470799640612</t>
  </si>
  <si>
    <t xml:space="preserve">1667</t>
  </si>
  <si>
    <t xml:space="preserve">1619</t>
  </si>
  <si>
    <t xml:space="preserve">144969</t>
  </si>
  <si>
    <t xml:space="preserve">2.11141060197664</t>
  </si>
  <si>
    <t xml:space="preserve">3.5072451674047933</t>
  </si>
  <si>
    <t xml:space="preserve">4225</t>
  </si>
  <si>
    <t xml:space="preserve">1.58</t>
  </si>
  <si>
    <t xml:space="preserve">9.56953526942022</t>
  </si>
  <si>
    <t xml:space="preserve">29743_20250630</t>
  </si>
  <si>
    <t xml:space="preserve">0.6270575325286095</t>
  </si>
  <si>
    <t xml:space="preserve">26522</t>
  </si>
  <si>
    <t xml:space="preserve">23119</t>
  </si>
  <si>
    <t xml:space="preserve">139458</t>
  </si>
  <si>
    <t xml:space="preserve">0.471718280152204</t>
  </si>
  <si>
    <t xml:space="preserve">2.7566304695915456</t>
  </si>
  <si>
    <t xml:space="preserve">763</t>
  </si>
  <si>
    <t xml:space="preserve">5.78</t>
  </si>
  <si>
    <t xml:space="preserve">7.362970968866767</t>
  </si>
  <si>
    <t xml:space="preserve">29744_20250630</t>
  </si>
  <si>
    <t xml:space="preserve">0.7998107925563245</t>
  </si>
  <si>
    <t xml:space="preserve">24902</t>
  </si>
  <si>
    <t xml:space="preserve">436212</t>
  </si>
  <si>
    <t xml:space="preserve">0.003183779100309509</t>
  </si>
  <si>
    <t xml:space="preserve">2.3256111445128114</t>
  </si>
  <si>
    <t xml:space="preserve">-5.11</t>
  </si>
  <si>
    <t xml:space="preserve">10.367150815694023</t>
  </si>
  <si>
    <t xml:space="preserve">30350_20250630</t>
  </si>
  <si>
    <t xml:space="preserve">1.1090491985329571</t>
  </si>
  <si>
    <t xml:space="preserve">15301</t>
  </si>
  <si>
    <t xml:space="preserve">1564</t>
  </si>
  <si>
    <t xml:space="preserve">473746</t>
  </si>
  <si>
    <t xml:space="preserve">0.3730229470691502</t>
  </si>
  <si>
    <t xml:space="preserve">2.7562664518235045</t>
  </si>
  <si>
    <t xml:space="preserve">1554</t>
  </si>
  <si>
    <t xml:space="preserve">12.02216178507517</t>
  </si>
  <si>
    <t xml:space="preserve">30878_20250630</t>
  </si>
  <si>
    <t xml:space="preserve">0.7880422148867916</t>
  </si>
  <si>
    <t xml:space="preserve">176</t>
  </si>
  <si>
    <t xml:space="preserve">85358</t>
  </si>
  <si>
    <t xml:space="preserve">1.5725975173183318</t>
  </si>
  <si>
    <t xml:space="preserve">1.4922662046416746</t>
  </si>
  <si>
    <t xml:space="preserve">771</t>
  </si>
  <si>
    <t xml:space="preserve">7.039489376605888</t>
  </si>
  <si>
    <t xml:space="preserve">33418_20250630</t>
  </si>
  <si>
    <t xml:space="preserve">0.7023063294960713</t>
  </si>
  <si>
    <t xml:space="preserve">83984</t>
  </si>
  <si>
    <t xml:space="preserve">17087</t>
  </si>
  <si>
    <t xml:space="preserve">624935</t>
  </si>
  <si>
    <t xml:space="preserve">0.18924136616059298</t>
  </si>
  <si>
    <t xml:space="preserve">2.58498658033812</t>
  </si>
  <si>
    <t xml:space="preserve">580</t>
  </si>
  <si>
    <t xml:space="preserve">96.57732356344003</t>
  </si>
  <si>
    <t xml:space="preserve">35206_20250630</t>
  </si>
  <si>
    <t xml:space="preserve">4.14720593593693</t>
  </si>
  <si>
    <t xml:space="preserve">29.55</t>
  </si>
  <si>
    <t xml:space="preserve">0.5</t>
  </si>
  <si>
    <t xml:space="preserve">9.96047628954037</t>
  </si>
  <si>
    <t xml:space="preserve">4255_20250630</t>
  </si>
  <si>
    <t xml:space="preserve">1.070300464115806</t>
  </si>
  <si>
    <t xml:space="preserve">341829</t>
  </si>
  <si>
    <t xml:space="preserve">4900914</t>
  </si>
  <si>
    <t xml:space="preserve">0.3669203639288033</t>
  </si>
  <si>
    <t xml:space="preserve">3.343185471167145</t>
  </si>
  <si>
    <t xml:space="preserve">4114</t>
  </si>
  <si>
    <t xml:space="preserve">7.44</t>
  </si>
  <si>
    <t xml:space="preserve">7.481947222173059</t>
  </si>
  <si>
    <t xml:space="preserve">4256_20250630</t>
  </si>
  <si>
    <t xml:space="preserve">1.0371314703758177</t>
  </si>
  <si>
    <t xml:space="preserve">379671</t>
  </si>
  <si>
    <t xml:space="preserve">20559</t>
  </si>
  <si>
    <t xml:space="preserve">2369178</t>
  </si>
  <si>
    <t xml:space="preserve">0.27134423583556777</t>
  </si>
  <si>
    <t xml:space="preserve">2.441637066240333</t>
  </si>
  <si>
    <t xml:space="preserve">786</t>
  </si>
  <si>
    <t xml:space="preserve">3028</t>
  </si>
  <si>
    <t xml:space="preserve">13.67</t>
  </si>
  <si>
    <t xml:space="preserve">14.600146532680789</t>
  </si>
  <si>
    <t xml:space="preserve">59086_20250630</t>
  </si>
  <si>
    <t xml:space="preserve">0.9730206443838908</t>
  </si>
  <si>
    <t xml:space="preserve">124137</t>
  </si>
  <si>
    <t xml:space="preserve">613079</t>
  </si>
  <si>
    <t xml:space="preserve">2.2290313566563236</t>
  </si>
  <si>
    <t xml:space="preserve">3.907462083607311</t>
  </si>
  <si>
    <t xml:space="preserve">2944</t>
  </si>
  <si>
    <t xml:space="preserve">10.77</t>
  </si>
  <si>
    <t xml:space="preserve">10.253184519329334</t>
  </si>
  <si>
    <t xml:space="preserve">59176_20250630</t>
  </si>
  <si>
    <t xml:space="preserve">0.9472679551419709</t>
  </si>
  <si>
    <t xml:space="preserve">28021</t>
  </si>
  <si>
    <t xml:space="preserve">207565</t>
  </si>
  <si>
    <t xml:space="preserve">2.743210198515069</t>
  </si>
  <si>
    <t xml:space="preserve">1.56</t>
  </si>
  <si>
    <t xml:space="preserve">10.752717633278763</t>
  </si>
  <si>
    <t xml:space="preserve">59289_20250630</t>
  </si>
  <si>
    <t xml:space="preserve">0.6798237354525253</t>
  </si>
  <si>
    <t xml:space="preserve">52242</t>
  </si>
  <si>
    <t xml:space="preserve">105482</t>
  </si>
  <si>
    <t xml:space="preserve">2.669390983390456</t>
  </si>
  <si>
    <t xml:space="preserve">3.992186546209254</t>
  </si>
  <si>
    <t xml:space="preserve">-98</t>
  </si>
  <si>
    <t xml:space="preserve">3478</t>
  </si>
  <si>
    <t xml:space="preserve">-2.03</t>
  </si>
  <si>
    <t xml:space="preserve">9.587988852729115</t>
  </si>
  <si>
    <t xml:space="preserve">59298_20250630</t>
  </si>
  <si>
    <t xml:space="preserve">0.8551217467109422</t>
  </si>
  <si>
    <t xml:space="preserve">35490</t>
  </si>
  <si>
    <t xml:space="preserve">148986</t>
  </si>
  <si>
    <t xml:space="preserve">2.3539781646743245</t>
  </si>
  <si>
    <t xml:space="preserve">10.135209305995314</t>
  </si>
  <si>
    <t xml:space="preserve">6271_20250630</t>
  </si>
  <si>
    <t xml:space="preserve">1.118380881305336</t>
  </si>
  <si>
    <t xml:space="preserve">126312</t>
  </si>
  <si>
    <t xml:space="preserve">10804</t>
  </si>
  <si>
    <t xml:space="preserve">932778</t>
  </si>
  <si>
    <t xml:space="preserve">0.9785567692255503</t>
  </si>
  <si>
    <t xml:space="preserve">3.506310449812121</t>
  </si>
  <si>
    <t xml:space="preserve">759</t>
  </si>
  <si>
    <t xml:space="preserve">6.929180879651831</t>
  </si>
  <si>
    <t xml:space="preserve">6275_20250630</t>
  </si>
  <si>
    <t xml:space="preserve">0.37847038462088595</t>
  </si>
  <si>
    <t xml:space="preserve">32839</t>
  </si>
  <si>
    <t xml:space="preserve">7076</t>
  </si>
  <si>
    <t xml:space="preserve">348242</t>
  </si>
  <si>
    <t xml:space="preserve">0.18651752892881154</t>
  </si>
  <si>
    <t xml:space="preserve">3.2503249202798434</t>
  </si>
  <si>
    <t xml:space="preserve">488</t>
  </si>
  <si>
    <t xml:space="preserve">12.34</t>
  </si>
  <si>
    <t xml:space="preserve">11.335308191865103</t>
  </si>
  <si>
    <t xml:space="preserve">6280_20250630</t>
  </si>
  <si>
    <t xml:space="preserve">1.2995896032831737</t>
  </si>
  <si>
    <t xml:space="preserve">3899</t>
  </si>
  <si>
    <t xml:space="preserve">1311</t>
  </si>
  <si>
    <t xml:space="preserve">72150</t>
  </si>
  <si>
    <t xml:space="preserve">1.990424076607387</t>
  </si>
  <si>
    <t xml:space="preserve">4.539434075857917</t>
  </si>
  <si>
    <t xml:space="preserve">592</t>
  </si>
  <si>
    <t xml:space="preserve">Institution Snapshot</t>
  </si>
  <si>
    <t xml:space="preserve">Later snapshot joined by CERT only; ACTIVE is shown for context and is not used to remove or backfill historical financial records.</t>
  </si>
  <si>
    <t xml:space="preserve">NAME</t>
  </si>
  <si>
    <t xml:space="preserve">ACTIVE</t>
  </si>
  <si>
    <t xml:space="preserve">DATEUPDT</t>
  </si>
  <si>
    <t xml:space="preserve">Matched financial CERT?</t>
  </si>
  <si>
    <t xml:space="preserve">Northeast Bank of Sanford</t>
  </si>
  <si>
    <t xml:space="preserve">10/04/1990</t>
  </si>
  <si>
    <t xml:space="preserve">10022</t>
  </si>
  <si>
    <t xml:space="preserve">BankEast National Bank</t>
  </si>
  <si>
    <t xml:space="preserve">10029</t>
  </si>
  <si>
    <t xml:space="preserve">The Island Pond National Bank</t>
  </si>
  <si>
    <t xml:space="preserve">10/05/1995</t>
  </si>
  <si>
    <t xml:space="preserve">11369</t>
  </si>
  <si>
    <t xml:space="preserve">Aroostook Trust Company</t>
  </si>
  <si>
    <t xml:space="preserve">09/30/1986</t>
  </si>
  <si>
    <t xml:space="preserve">11372</t>
  </si>
  <si>
    <t xml:space="preserve">Casco Bank &amp; Trust Company</t>
  </si>
  <si>
    <t xml:space="preserve">11485</t>
  </si>
  <si>
    <t xml:space="preserve">North Country Bank</t>
  </si>
  <si>
    <t xml:space="preserve">03/31/1986</t>
  </si>
  <si>
    <t xml:space="preserve">11486</t>
  </si>
  <si>
    <t xml:space="preserve">Nashua Trust Company</t>
  </si>
  <si>
    <t xml:space="preserve">06/30/1991</t>
  </si>
  <si>
    <t xml:space="preserve">08/24/1994</t>
  </si>
  <si>
    <t xml:space="preserve">11970</t>
  </si>
  <si>
    <t xml:space="preserve">Keybank National Association</t>
  </si>
  <si>
    <t xml:space="preserve">03/31/1997</t>
  </si>
  <si>
    <t xml:space="preserve">07/21/1997</t>
  </si>
  <si>
    <t xml:space="preserve">11971</t>
  </si>
  <si>
    <t xml:space="preserve">Bar Harbor Bank &amp; Trust</t>
  </si>
  <si>
    <t xml:space="preserve">06/30/2026</t>
  </si>
  <si>
    <t xml:space="preserve">09/16/2025</t>
  </si>
  <si>
    <t xml:space="preserve">12003</t>
  </si>
  <si>
    <t xml:space="preserve">Eastport Savings Bank</t>
  </si>
  <si>
    <t xml:space="preserve">09/14/1995</t>
  </si>
  <si>
    <t xml:space="preserve">12254</t>
  </si>
  <si>
    <t xml:space="preserve">North Conway Bank</t>
  </si>
  <si>
    <t xml:space="preserve">06/30/1995</t>
  </si>
  <si>
    <t xml:space="preserve">08/03/1995</t>
  </si>
  <si>
    <t xml:space="preserve">12725</t>
  </si>
  <si>
    <t xml:space="preserve">Livermore Falls Trust Company</t>
  </si>
  <si>
    <t xml:space="preserve">12/31/1998</t>
  </si>
  <si>
    <t xml:space="preserve">02/26/1999</t>
  </si>
  <si>
    <t xml:space="preserve">Pepperell Bank &amp; Trust</t>
  </si>
  <si>
    <t xml:space="preserve">06/30/2007</t>
  </si>
  <si>
    <t xml:space="preserve">09/12/2007</t>
  </si>
  <si>
    <t xml:space="preserve">12874</t>
  </si>
  <si>
    <t xml:space="preserve">Katahdin Trust Company</t>
  </si>
  <si>
    <t xml:space="preserve">11/18/2024</t>
  </si>
  <si>
    <t xml:space="preserve">12878</t>
  </si>
  <si>
    <t xml:space="preserve">1st Consumers Savings Bank</t>
  </si>
  <si>
    <t xml:space="preserve">09/11/1995</t>
  </si>
  <si>
    <t xml:space="preserve">13063</t>
  </si>
  <si>
    <t xml:space="preserve">Kennebunk Savings Bank</t>
  </si>
  <si>
    <t xml:space="preserve">13064</t>
  </si>
  <si>
    <t xml:space="preserve">Heritage Savings Bank</t>
  </si>
  <si>
    <t xml:space="preserve">13174</t>
  </si>
  <si>
    <t xml:space="preserve">Federal Trust Company</t>
  </si>
  <si>
    <t xml:space="preserve">06/30/1984</t>
  </si>
  <si>
    <t xml:space="preserve">13175</t>
  </si>
  <si>
    <t xml:space="preserve">Key Bank of Eastern Maine</t>
  </si>
  <si>
    <t xml:space="preserve">09/30/1988</t>
  </si>
  <si>
    <t xml:space="preserve">13176</t>
  </si>
  <si>
    <t xml:space="preserve">Northeast Bank of Lincoln</t>
  </si>
  <si>
    <t xml:space="preserve">05/05/1999</t>
  </si>
  <si>
    <t xml:space="preserve">13288</t>
  </si>
  <si>
    <t xml:space="preserve">South Paris Savings Bank</t>
  </si>
  <si>
    <t xml:space="preserve">09/20/1995</t>
  </si>
  <si>
    <t xml:space="preserve">13422</t>
  </si>
  <si>
    <t xml:space="preserve">Montpelier National Bank</t>
  </si>
  <si>
    <t xml:space="preserve">09/12/1997</t>
  </si>
  <si>
    <t xml:space="preserve">13848</t>
  </si>
  <si>
    <t xml:space="preserve">The Enosburg Falls National Bank</t>
  </si>
  <si>
    <t xml:space="preserve">08/20/1992</t>
  </si>
  <si>
    <t xml:space="preserve">14127</t>
  </si>
  <si>
    <t xml:space="preserve">KeyBank National Association</t>
  </si>
  <si>
    <t xml:space="preserve">14132</t>
  </si>
  <si>
    <t xml:space="preserve">Marble Bank</t>
  </si>
  <si>
    <t xml:space="preserve">12/31/1995</t>
  </si>
  <si>
    <t xml:space="preserve">03/15/1996</t>
  </si>
  <si>
    <t xml:space="preserve">14133</t>
  </si>
  <si>
    <t xml:space="preserve">Rutland Savings Bank</t>
  </si>
  <si>
    <t xml:space="preserve">14134</t>
  </si>
  <si>
    <t xml:space="preserve">Passumpsic Savings Bank</t>
  </si>
  <si>
    <t xml:space="preserve">14136</t>
  </si>
  <si>
    <t xml:space="preserve">Wells River Savings Bank</t>
  </si>
  <si>
    <t xml:space="preserve">14140</t>
  </si>
  <si>
    <t xml:space="preserve">Northfield Savings Bank</t>
  </si>
  <si>
    <t xml:space="preserve">14142</t>
  </si>
  <si>
    <t xml:space="preserve">Barre Trust Company</t>
  </si>
  <si>
    <t xml:space="preserve">06/09/1995</t>
  </si>
  <si>
    <t xml:space="preserve">14143</t>
  </si>
  <si>
    <t xml:space="preserve">Granite Savings Bank and Trust Company</t>
  </si>
  <si>
    <t xml:space="preserve">03/31/2000</t>
  </si>
  <si>
    <t xml:space="preserve">08/07/2000</t>
  </si>
  <si>
    <t xml:space="preserve">14146</t>
  </si>
  <si>
    <t xml:space="preserve">Bellows Falls Trust Company</t>
  </si>
  <si>
    <t xml:space="preserve">03/31/1993</t>
  </si>
  <si>
    <t xml:space="preserve">05/26/1993</t>
  </si>
  <si>
    <t xml:space="preserve">14147</t>
  </si>
  <si>
    <t xml:space="preserve">First Vermont Bank ,  National Association</t>
  </si>
  <si>
    <t xml:space="preserve">12/31/2001</t>
  </si>
  <si>
    <t xml:space="preserve">01/28/2002</t>
  </si>
  <si>
    <t xml:space="preserve">14149</t>
  </si>
  <si>
    <t xml:space="preserve">Chittenden Trust Company</t>
  </si>
  <si>
    <t xml:space="preserve">12/31/2008</t>
  </si>
  <si>
    <t xml:space="preserve">02/19/2009</t>
  </si>
  <si>
    <t xml:space="preserve">14152</t>
  </si>
  <si>
    <t xml:space="preserve">Hardwick Trust Company</t>
  </si>
  <si>
    <t xml:space="preserve">14153</t>
  </si>
  <si>
    <t xml:space="preserve">Lamoille County Bank</t>
  </si>
  <si>
    <t xml:space="preserve">14154</t>
  </si>
  <si>
    <t xml:space="preserve">Sterling Trust Company</t>
  </si>
  <si>
    <t xml:space="preserve">03/31/1985</t>
  </si>
  <si>
    <t xml:space="preserve">14155</t>
  </si>
  <si>
    <t xml:space="preserve">LyndonBank</t>
  </si>
  <si>
    <t xml:space="preserve">12/31/2007</t>
  </si>
  <si>
    <t xml:space="preserve">03/11/2008</t>
  </si>
  <si>
    <t xml:space="preserve">14158</t>
  </si>
  <si>
    <t xml:space="preserve">Union Bank</t>
  </si>
  <si>
    <t xml:space="preserve">14160</t>
  </si>
  <si>
    <t xml:space="preserve">Northfield Trust Company</t>
  </si>
  <si>
    <t xml:space="preserve">14163</t>
  </si>
  <si>
    <t xml:space="preserve">Green Mountain Bank</t>
  </si>
  <si>
    <t xml:space="preserve">06/30/1997</t>
  </si>
  <si>
    <t xml:space="preserve">10/18/1997</t>
  </si>
  <si>
    <t xml:space="preserve">14167</t>
  </si>
  <si>
    <t xml:space="preserve">Franklin Lamoille Bank, National Association</t>
  </si>
  <si>
    <t xml:space="preserve">14168</t>
  </si>
  <si>
    <t xml:space="preserve">Peoples Trust Company of St. Albans</t>
  </si>
  <si>
    <t xml:space="preserve">14169</t>
  </si>
  <si>
    <t xml:space="preserve">Citizens Savings Bank and Trust Company</t>
  </si>
  <si>
    <t xml:space="preserve">03/31/2003</t>
  </si>
  <si>
    <t xml:space="preserve">06/20/2003</t>
  </si>
  <si>
    <t xml:space="preserve">14170</t>
  </si>
  <si>
    <t xml:space="preserve">Bank of Waterbury</t>
  </si>
  <si>
    <t xml:space="preserve">14171</t>
  </si>
  <si>
    <t xml:space="preserve">First Twin-State Bank</t>
  </si>
  <si>
    <t xml:space="preserve">14240</t>
  </si>
  <si>
    <t xml:space="preserve">Northway Bank</t>
  </si>
  <si>
    <t xml:space="preserve">12/31/2024</t>
  </si>
  <si>
    <t xml:space="preserve">01/14/2025</t>
  </si>
  <si>
    <t xml:space="preserve">14889</t>
  </si>
  <si>
    <t xml:space="preserve">The Liberty National Bank in Ellsworth</t>
  </si>
  <si>
    <t xml:space="preserve">15217</t>
  </si>
  <si>
    <t xml:space="preserve">Houlton Savings Bank</t>
  </si>
  <si>
    <t xml:space="preserve">15453</t>
  </si>
  <si>
    <t xml:space="preserve">Houlton Trust Company</t>
  </si>
  <si>
    <t xml:space="preserve">15646</t>
  </si>
  <si>
    <t xml:space="preserve">Peoples National Bank of Groveton</t>
  </si>
  <si>
    <t xml:space="preserve">15952</t>
  </si>
  <si>
    <t xml:space="preserve">BankEast</t>
  </si>
  <si>
    <t xml:space="preserve">10/24/1991</t>
  </si>
  <si>
    <t xml:space="preserve">16532</t>
  </si>
  <si>
    <t xml:space="preserve">White Mountain Bank and Trust Company</t>
  </si>
  <si>
    <t xml:space="preserve">16927</t>
  </si>
  <si>
    <t xml:space="preserve">Durham Trust Company</t>
  </si>
  <si>
    <t xml:space="preserve">09/30/1991</t>
  </si>
  <si>
    <t xml:space="preserve">11/20/1991</t>
  </si>
  <si>
    <t xml:space="preserve">16998</t>
  </si>
  <si>
    <t xml:space="preserve">Brunswick Savings Institution</t>
  </si>
  <si>
    <t xml:space="preserve">10/17/1995</t>
  </si>
  <si>
    <t xml:space="preserve">17017</t>
  </si>
  <si>
    <t xml:space="preserve">Washburn Trust Company</t>
  </si>
  <si>
    <t xml:space="preserve">17115</t>
  </si>
  <si>
    <t xml:space="preserve">Partners Bank of New England</t>
  </si>
  <si>
    <t xml:space="preserve">17176</t>
  </si>
  <si>
    <t xml:space="preserve">Southeast Bank for Savings</t>
  </si>
  <si>
    <t xml:space="preserve">12/31/1994</t>
  </si>
  <si>
    <t xml:space="preserve">04/06/1995</t>
  </si>
  <si>
    <t xml:space="preserve">17178</t>
  </si>
  <si>
    <t xml:space="preserve">Amoskeag Bank</t>
  </si>
  <si>
    <t xml:space="preserve">17179</t>
  </si>
  <si>
    <t xml:space="preserve">Meredith Bank &amp; Trust</t>
  </si>
  <si>
    <t xml:space="preserve">06/30/1988</t>
  </si>
  <si>
    <t xml:space="preserve">17180</t>
  </si>
  <si>
    <t xml:space="preserve">Meredith Village Savings Bank</t>
  </si>
  <si>
    <t xml:space="preserve">17189</t>
  </si>
  <si>
    <t xml:space="preserve">Iona Savings Bank</t>
  </si>
  <si>
    <t xml:space="preserve">10/23/1991</t>
  </si>
  <si>
    <t xml:space="preserve">17196</t>
  </si>
  <si>
    <t xml:space="preserve">BankEast Savings Bank</t>
  </si>
  <si>
    <t xml:space="preserve">09/19/1995</t>
  </si>
  <si>
    <t xml:space="preserve">17218</t>
  </si>
  <si>
    <t xml:space="preserve">Portsmouth Savings Bank</t>
  </si>
  <si>
    <t xml:space="preserve">09/15/1997</t>
  </si>
  <si>
    <t xml:space="preserve">17235</t>
  </si>
  <si>
    <t xml:space="preserve">City Savings Bank of Laconia, New Hampshire</t>
  </si>
  <si>
    <t xml:space="preserve">10/12/1995</t>
  </si>
  <si>
    <t xml:space="preserve">17236</t>
  </si>
  <si>
    <t xml:space="preserve">New Hampshire Savings Bank</t>
  </si>
  <si>
    <t xml:space="preserve">09/30/1990</t>
  </si>
  <si>
    <t xml:space="preserve">01/14/1991</t>
  </si>
  <si>
    <t xml:space="preserve">17237</t>
  </si>
  <si>
    <t xml:space="preserve">Numerica Savings Bank, FSB</t>
  </si>
  <si>
    <t xml:space="preserve">17238</t>
  </si>
  <si>
    <t xml:space="preserve">Manchester Savings Bank</t>
  </si>
  <si>
    <t xml:space="preserve">06/08/1995</t>
  </si>
  <si>
    <t xml:space="preserve">17251</t>
  </si>
  <si>
    <t xml:space="preserve">City Savings Bank of Berlin</t>
  </si>
  <si>
    <t xml:space="preserve">17443</t>
  </si>
  <si>
    <t xml:space="preserve">Piscataqua Savings Bank</t>
  </si>
  <si>
    <t xml:space="preserve">17476</t>
  </si>
  <si>
    <t xml:space="preserve">Mechanics' Savings Bank</t>
  </si>
  <si>
    <t xml:space="preserve">12/31/2019</t>
  </si>
  <si>
    <t xml:space="preserve">01/07/2020</t>
  </si>
  <si>
    <t xml:space="preserve">17658</t>
  </si>
  <si>
    <t xml:space="preserve">Norway Savings Bank</t>
  </si>
  <si>
    <t xml:space="preserve">17720</t>
  </si>
  <si>
    <t xml:space="preserve">People's Savings Bank</t>
  </si>
  <si>
    <t xml:space="preserve">12/31/1984</t>
  </si>
  <si>
    <t xml:space="preserve">17721</t>
  </si>
  <si>
    <t xml:space="preserve">Maine Savings Bank</t>
  </si>
  <si>
    <t xml:space="preserve">12/31/1990</t>
  </si>
  <si>
    <t xml:space="preserve">02/20/1991</t>
  </si>
  <si>
    <t xml:space="preserve">Northeast Bank of Westbrook</t>
  </si>
  <si>
    <t xml:space="preserve">17741</t>
  </si>
  <si>
    <t xml:space="preserve">Maine Community Bank</t>
  </si>
  <si>
    <t xml:space="preserve">07/31/2025</t>
  </si>
  <si>
    <t xml:space="preserve">17742</t>
  </si>
  <si>
    <t xml:space="preserve">York County Savings Bank</t>
  </si>
  <si>
    <t xml:space="preserve">09/13/1995</t>
  </si>
  <si>
    <t xml:space="preserve">17743</t>
  </si>
  <si>
    <t xml:space="preserve">Saco &amp; Biddeford Savings Institution</t>
  </si>
  <si>
    <t xml:space="preserve">17748</t>
  </si>
  <si>
    <t xml:space="preserve">Gorham Savings Bank</t>
  </si>
  <si>
    <t xml:space="preserve">01/08/2025</t>
  </si>
  <si>
    <t xml:space="preserve">17749</t>
  </si>
  <si>
    <t xml:space="preserve">Bath Savings Institution</t>
  </si>
  <si>
    <t xml:space="preserve">17751</t>
  </si>
  <si>
    <t xml:space="preserve">Androscoggin Savings Bank</t>
  </si>
  <si>
    <t xml:space="preserve">06/16/2026</t>
  </si>
  <si>
    <t xml:space="preserve">17752</t>
  </si>
  <si>
    <t xml:space="preserve">Waterville Savings Bank</t>
  </si>
  <si>
    <t xml:space="preserve">17763</t>
  </si>
  <si>
    <t xml:space="preserve">The Exeter Banking Company</t>
  </si>
  <si>
    <t xml:space="preserve">02/11/1991</t>
  </si>
  <si>
    <t xml:space="preserve">17804</t>
  </si>
  <si>
    <t xml:space="preserve">09/25/1995</t>
  </si>
  <si>
    <t xml:space="preserve">17855</t>
  </si>
  <si>
    <t xml:space="preserve">New London Trust F.S.B.</t>
  </si>
  <si>
    <t xml:space="preserve">09/30/1999</t>
  </si>
  <si>
    <t xml:space="preserve">11/12/1999</t>
  </si>
  <si>
    <t xml:space="preserve">17879</t>
  </si>
  <si>
    <t xml:space="preserve">Bank Meridian, National Association</t>
  </si>
  <si>
    <t xml:space="preserve">17897</t>
  </si>
  <si>
    <t xml:space="preserve">Kennebec Savings Bank</t>
  </si>
  <si>
    <t xml:space="preserve">17939</t>
  </si>
  <si>
    <t xml:space="preserve">The Suncook Bank</t>
  </si>
  <si>
    <t xml:space="preserve">12/09/1991</t>
  </si>
  <si>
    <t xml:space="preserve">17951</t>
  </si>
  <si>
    <t xml:space="preserve">Franklin Savings Bank</t>
  </si>
  <si>
    <t xml:space="preserve">17958</t>
  </si>
  <si>
    <t xml:space="preserve">The Whitefield Savings Bank &amp; Trust Company</t>
  </si>
  <si>
    <t xml:space="preserve">10/06/1995</t>
  </si>
  <si>
    <t xml:space="preserve">17960</t>
  </si>
  <si>
    <t xml:space="preserve">Merrimack County Savings Bank</t>
  </si>
  <si>
    <t xml:space="preserve">17991</t>
  </si>
  <si>
    <t xml:space="preserve">CFX Bank</t>
  </si>
  <si>
    <t xml:space="preserve">03/31/1998</t>
  </si>
  <si>
    <t xml:space="preserve">04/22/1998</t>
  </si>
  <si>
    <t xml:space="preserve">17992</t>
  </si>
  <si>
    <t xml:space="preserve">Granite Bank</t>
  </si>
  <si>
    <t xml:space="preserve">03/31/2004</t>
  </si>
  <si>
    <t xml:space="preserve">06/24/2004</t>
  </si>
  <si>
    <t xml:space="preserve">18010</t>
  </si>
  <si>
    <t xml:space="preserve">The Bristol Savings Bank</t>
  </si>
  <si>
    <t xml:space="preserve">18011</t>
  </si>
  <si>
    <t xml:space="preserve">Monadnock Savings Bank</t>
  </si>
  <si>
    <t xml:space="preserve">18012</t>
  </si>
  <si>
    <t xml:space="preserve">Bank of New Hampshire</t>
  </si>
  <si>
    <t xml:space="preserve">Mascoma Bank</t>
  </si>
  <si>
    <t xml:space="preserve">18014</t>
  </si>
  <si>
    <t xml:space="preserve">The Saver's Bank</t>
  </si>
  <si>
    <t xml:space="preserve">12/31/1989</t>
  </si>
  <si>
    <t xml:space="preserve">18016</t>
  </si>
  <si>
    <t xml:space="preserve">Primary Bank</t>
  </si>
  <si>
    <t xml:space="preserve">09/30/1997</t>
  </si>
  <si>
    <t xml:space="preserve">12/31/1997</t>
  </si>
  <si>
    <t xml:space="preserve">18018</t>
  </si>
  <si>
    <t xml:space="preserve">Granite State Savings Bank</t>
  </si>
  <si>
    <t xml:space="preserve">18022</t>
  </si>
  <si>
    <t xml:space="preserve">09/20/1999</t>
  </si>
  <si>
    <t xml:space="preserve">18025</t>
  </si>
  <si>
    <t xml:space="preserve">Colebrook Guaranty Savings Bank</t>
  </si>
  <si>
    <t xml:space="preserve">18026</t>
  </si>
  <si>
    <t xml:space="preserve">Concord Savings Bank</t>
  </si>
  <si>
    <t xml:space="preserve">01/14/1999</t>
  </si>
  <si>
    <t xml:space="preserve">18027</t>
  </si>
  <si>
    <t xml:space="preserve">Village Savings Bank</t>
  </si>
  <si>
    <t xml:space="preserve">01/04/1991</t>
  </si>
  <si>
    <t xml:space="preserve">18028</t>
  </si>
  <si>
    <t xml:space="preserve">Sugar River Bank</t>
  </si>
  <si>
    <t xml:space="preserve">18029</t>
  </si>
  <si>
    <t xml:space="preserve">First Central Bank</t>
  </si>
  <si>
    <t xml:space="preserve">18030</t>
  </si>
  <si>
    <t xml:space="preserve">Savings Bank of Walpole</t>
  </si>
  <si>
    <t xml:space="preserve">18031</t>
  </si>
  <si>
    <t xml:space="preserve">Woodsville Guaranty Savings Bank</t>
  </si>
  <si>
    <t xml:space="preserve">06/30/2025</t>
  </si>
  <si>
    <t xml:space="preserve">The Siwooganock Bank</t>
  </si>
  <si>
    <t xml:space="preserve">09/30/2006</t>
  </si>
  <si>
    <t xml:space="preserve">11/01/2006</t>
  </si>
  <si>
    <t xml:space="preserve">18038</t>
  </si>
  <si>
    <t xml:space="preserve">Claremont Savings Bank</t>
  </si>
  <si>
    <t xml:space="preserve">18039</t>
  </si>
  <si>
    <t xml:space="preserve">Dartmouth Savings Bank</t>
  </si>
  <si>
    <t xml:space="preserve">18066</t>
  </si>
  <si>
    <t xml:space="preserve">Seacoast Savings Bank</t>
  </si>
  <si>
    <t xml:space="preserve">06/30/1992</t>
  </si>
  <si>
    <t xml:space="preserve">09/29/1992</t>
  </si>
  <si>
    <t xml:space="preserve">18383</t>
  </si>
  <si>
    <t xml:space="preserve">Northeast Bank of Millinocket</t>
  </si>
  <si>
    <t xml:space="preserve">18408</t>
  </si>
  <si>
    <t xml:space="preserve">Bangor Savings Bank</t>
  </si>
  <si>
    <t xml:space="preserve">18410</t>
  </si>
  <si>
    <t xml:space="preserve">Piscataquis Savings Bank</t>
  </si>
  <si>
    <t xml:space="preserve">18413</t>
  </si>
  <si>
    <t xml:space="preserve">Brewer Savings Bank</t>
  </si>
  <si>
    <t xml:space="preserve">18414</t>
  </si>
  <si>
    <t xml:space="preserve">Lisbon National Bank</t>
  </si>
  <si>
    <t xml:space="preserve">18786</t>
  </si>
  <si>
    <t xml:space="preserve">First NH-White Mountain Bank</t>
  </si>
  <si>
    <t xml:space="preserve">02/05/1997</t>
  </si>
  <si>
    <t xml:space="preserve">18882</t>
  </si>
  <si>
    <t xml:space="preserve">Granite State Trust Company</t>
  </si>
  <si>
    <t xml:space="preserve">19529</t>
  </si>
  <si>
    <t xml:space="preserve">Indian Head National Bank</t>
  </si>
  <si>
    <t xml:space="preserve">09/30/1989</t>
  </si>
  <si>
    <t xml:space="preserve">04/11/1998</t>
  </si>
  <si>
    <t xml:space="preserve">19531</t>
  </si>
  <si>
    <t xml:space="preserve">Machias Savings Bank</t>
  </si>
  <si>
    <t xml:space="preserve">19532</t>
  </si>
  <si>
    <t xml:space="preserve">Skowhegan Savings Bank</t>
  </si>
  <si>
    <t xml:space="preserve">03/31/2026</t>
  </si>
  <si>
    <t xml:space="preserve">19548</t>
  </si>
  <si>
    <t xml:space="preserve">Northeast Bank of Guilford</t>
  </si>
  <si>
    <t xml:space="preserve">19549</t>
  </si>
  <si>
    <t xml:space="preserve">Northeast Bank &amp; Trust Co.</t>
  </si>
  <si>
    <t xml:space="preserve">19624</t>
  </si>
  <si>
    <t xml:space="preserve">Peoples Bank of Littleton</t>
  </si>
  <si>
    <t xml:space="preserve">06/30/2000</t>
  </si>
  <si>
    <t xml:space="preserve">11/01/2000</t>
  </si>
  <si>
    <t xml:space="preserve">19686</t>
  </si>
  <si>
    <t xml:space="preserve">The Bank of Maine</t>
  </si>
  <si>
    <t xml:space="preserve">09/30/2015</t>
  </si>
  <si>
    <t xml:space="preserve">12/10/2015</t>
  </si>
  <si>
    <t xml:space="preserve">19690</t>
  </si>
  <si>
    <t xml:space="preserve">Northeast Bank</t>
  </si>
  <si>
    <t xml:space="preserve">19766</t>
  </si>
  <si>
    <t xml:space="preserve">Plaistow Bank and Trust Company</t>
  </si>
  <si>
    <t xml:space="preserve">09/30/1994</t>
  </si>
  <si>
    <t xml:space="preserve">11/01/1994</t>
  </si>
  <si>
    <t xml:space="preserve">19821</t>
  </si>
  <si>
    <t xml:space="preserve">Fleet Bank-NH</t>
  </si>
  <si>
    <t xml:space="preserve">06/06/2000</t>
  </si>
  <si>
    <t xml:space="preserve">19836</t>
  </si>
  <si>
    <t xml:space="preserve">19880</t>
  </si>
  <si>
    <t xml:space="preserve">Pelham Bank and Trust Company</t>
  </si>
  <si>
    <t xml:space="preserve">09/30/1996</t>
  </si>
  <si>
    <t xml:space="preserve">01/10/1997</t>
  </si>
  <si>
    <t xml:space="preserve">19912</t>
  </si>
  <si>
    <t xml:space="preserve">Rockingham County Trust Co.</t>
  </si>
  <si>
    <t xml:space="preserve">04/10/1991</t>
  </si>
  <si>
    <t xml:space="preserve">20012</t>
  </si>
  <si>
    <t xml:space="preserve">BTC Legacy Corp.</t>
  </si>
  <si>
    <t xml:space="preserve">06/30/2012</t>
  </si>
  <si>
    <t xml:space="preserve">09/18/2012</t>
  </si>
  <si>
    <t xml:space="preserve">20074</t>
  </si>
  <si>
    <t xml:space="preserve">The Colonial Bank</t>
  </si>
  <si>
    <t xml:space="preserve">20155</t>
  </si>
  <si>
    <t xml:space="preserve">12/31/1988</t>
  </si>
  <si>
    <t xml:space="preserve">03/15/2000</t>
  </si>
  <si>
    <t xml:space="preserve">20556</t>
  </si>
  <si>
    <t xml:space="preserve">South Portland Bank &amp; Trust Company</t>
  </si>
  <si>
    <t xml:space="preserve">20647</t>
  </si>
  <si>
    <t xml:space="preserve">Central National Bank</t>
  </si>
  <si>
    <t xml:space="preserve">20655</t>
  </si>
  <si>
    <t xml:space="preserve">The Hooksett Bank</t>
  </si>
  <si>
    <t xml:space="preserve">20691</t>
  </si>
  <si>
    <t xml:space="preserve">The Dirigo Bank and Trust Company</t>
  </si>
  <si>
    <t xml:space="preserve">20831</t>
  </si>
  <si>
    <t xml:space="preserve">Key Bank of Southern Maine</t>
  </si>
  <si>
    <t xml:space="preserve">20839</t>
  </si>
  <si>
    <t xml:space="preserve">Oxford Bank and Trust</t>
  </si>
  <si>
    <t xml:space="preserve">12/31/1992</t>
  </si>
  <si>
    <t xml:space="preserve">04/21/1993</t>
  </si>
  <si>
    <t xml:space="preserve">20865</t>
  </si>
  <si>
    <t xml:space="preserve">Londonderry Bank and Trust Company</t>
  </si>
  <si>
    <t xml:space="preserve">20870</t>
  </si>
  <si>
    <t xml:space="preserve">The Bedford Bank</t>
  </si>
  <si>
    <t xml:space="preserve">03/31/1989</t>
  </si>
  <si>
    <t xml:space="preserve">20883</t>
  </si>
  <si>
    <t xml:space="preserve">Amherst Bank &amp; Trust Company</t>
  </si>
  <si>
    <t xml:space="preserve">20931</t>
  </si>
  <si>
    <t xml:space="preserve">Damariscotta Bank &amp; Trust Co.</t>
  </si>
  <si>
    <t xml:space="preserve">09/30/2020</t>
  </si>
  <si>
    <t xml:space="preserve">12/15/2020</t>
  </si>
  <si>
    <t xml:space="preserve">21040</t>
  </si>
  <si>
    <t xml:space="preserve">Amoskeag Trust Company, N. A.</t>
  </si>
  <si>
    <t xml:space="preserve">21053</t>
  </si>
  <si>
    <t xml:space="preserve">Kingswood Trust and Savings Bank</t>
  </si>
  <si>
    <t xml:space="preserve">09/30/1984</t>
  </si>
  <si>
    <t xml:space="preserve">21203</t>
  </si>
  <si>
    <t xml:space="preserve">Indian Head National Bank of Concord</t>
  </si>
  <si>
    <t xml:space="preserve">21277</t>
  </si>
  <si>
    <t xml:space="preserve">Hanover Bank &amp; Trust Company</t>
  </si>
  <si>
    <t xml:space="preserve">09/30/1987</t>
  </si>
  <si>
    <t xml:space="preserve">21357</t>
  </si>
  <si>
    <t xml:space="preserve">The Valley Bank</t>
  </si>
  <si>
    <t xml:space="preserve">09/30/1993</t>
  </si>
  <si>
    <t xml:space="preserve">11/29/1993</t>
  </si>
  <si>
    <t xml:space="preserve">21767</t>
  </si>
  <si>
    <t xml:space="preserve">Casco Northern National Bank</t>
  </si>
  <si>
    <t xml:space="preserve">12/10/1998</t>
  </si>
  <si>
    <t xml:space="preserve">21817</t>
  </si>
  <si>
    <t xml:space="preserve">BankEast/Lakes Region</t>
  </si>
  <si>
    <t xml:space="preserve">21896</t>
  </si>
  <si>
    <t xml:space="preserve">United Bank</t>
  </si>
  <si>
    <t xml:space="preserve">12/31/1999</t>
  </si>
  <si>
    <t xml:space="preserve">03/14/2000</t>
  </si>
  <si>
    <t xml:space="preserve">21980</t>
  </si>
  <si>
    <t xml:space="preserve">Seabrook Bank and Trust Company</t>
  </si>
  <si>
    <t xml:space="preserve">03/31/1991</t>
  </si>
  <si>
    <t xml:space="preserve">07/23/1991</t>
  </si>
  <si>
    <t xml:space="preserve">22226</t>
  </si>
  <si>
    <t xml:space="preserve">UnitedKingfield Bank</t>
  </si>
  <si>
    <t xml:space="preserve">06/30/2006</t>
  </si>
  <si>
    <t xml:space="preserve">10/05/2006</t>
  </si>
  <si>
    <t xml:space="preserve">The Mountain Trust Company</t>
  </si>
  <si>
    <t xml:space="preserve">09/30/1985</t>
  </si>
  <si>
    <t xml:space="preserve">22416</t>
  </si>
  <si>
    <t xml:space="preserve">The Green Mountain Bank</t>
  </si>
  <si>
    <t xml:space="preserve">22487</t>
  </si>
  <si>
    <t xml:space="preserve">City Bank and Trust</t>
  </si>
  <si>
    <t xml:space="preserve">04/09/1991</t>
  </si>
  <si>
    <t xml:space="preserve">22604</t>
  </si>
  <si>
    <t xml:space="preserve">Lebanon Bank &amp; Trust Company</t>
  </si>
  <si>
    <t xml:space="preserve">22688</t>
  </si>
  <si>
    <t xml:space="preserve">BankEast Guaranty Savings Bank</t>
  </si>
  <si>
    <t xml:space="preserve">22881</t>
  </si>
  <si>
    <t xml:space="preserve">Belknap Bank &amp; Trust</t>
  </si>
  <si>
    <t xml:space="preserve">23375</t>
  </si>
  <si>
    <t xml:space="preserve">Coastal Bank</t>
  </si>
  <si>
    <t xml:space="preserve">06/30/2001</t>
  </si>
  <si>
    <t xml:space="preserve">10/29/2001</t>
  </si>
  <si>
    <t xml:space="preserve">23675</t>
  </si>
  <si>
    <t xml:space="preserve">Village Bank &amp; Trust Company</t>
  </si>
  <si>
    <t xml:space="preserve">09/30/2005</t>
  </si>
  <si>
    <t xml:space="preserve">10/19/2005</t>
  </si>
  <si>
    <t xml:space="preserve">23679</t>
  </si>
  <si>
    <t xml:space="preserve">The Family Bank and Trust</t>
  </si>
  <si>
    <t xml:space="preserve">09/11/1991</t>
  </si>
  <si>
    <t xml:space="preserve">24540</t>
  </si>
  <si>
    <t xml:space="preserve">Bank of New England</t>
  </si>
  <si>
    <t xml:space="preserve">25229</t>
  </si>
  <si>
    <t xml:space="preserve">The U. S. Savings Bank of America</t>
  </si>
  <si>
    <t xml:space="preserve">06/30/1990</t>
  </si>
  <si>
    <t xml:space="preserve">25663</t>
  </si>
  <si>
    <t xml:space="preserve">Atlantic Bank National Association</t>
  </si>
  <si>
    <t xml:space="preserve">11/17/1997</t>
  </si>
  <si>
    <t xml:space="preserve">25878</t>
  </si>
  <si>
    <t xml:space="preserve">Atlantic Trust Company</t>
  </si>
  <si>
    <t xml:space="preserve">12/31/1991</t>
  </si>
  <si>
    <t xml:space="preserve">02/06/1992</t>
  </si>
  <si>
    <t xml:space="preserve">2623</t>
  </si>
  <si>
    <t xml:space="preserve">First &amp; Ocean National Bank</t>
  </si>
  <si>
    <t xml:space="preserve">09/30/2003</t>
  </si>
  <si>
    <t xml:space="preserve">01/22/2004</t>
  </si>
  <si>
    <t xml:space="preserve">26479</t>
  </si>
  <si>
    <t xml:space="preserve">First Signature Bank and Trust Company</t>
  </si>
  <si>
    <t xml:space="preserve">12/31/2005</t>
  </si>
  <si>
    <t xml:space="preserve">02/14/2006</t>
  </si>
  <si>
    <t xml:space="preserve">26697</t>
  </si>
  <si>
    <t xml:space="preserve">Dartmouth Banking Company</t>
  </si>
  <si>
    <t xml:space="preserve">26700</t>
  </si>
  <si>
    <t xml:space="preserve">Dartmouth Bank</t>
  </si>
  <si>
    <t xml:space="preserve">01/25/2001</t>
  </si>
  <si>
    <t xml:space="preserve">26714</t>
  </si>
  <si>
    <t xml:space="preserve">First Essex Savings Bank of New Hampshire</t>
  </si>
  <si>
    <t xml:space="preserve">01/24/1994</t>
  </si>
  <si>
    <t xml:space="preserve">26792</t>
  </si>
  <si>
    <t xml:space="preserve">Hillsborough Bank &amp; Trust Company</t>
  </si>
  <si>
    <t xml:space="preserve">26817</t>
  </si>
  <si>
    <t xml:space="preserve">Olde Port Bank and Trust</t>
  </si>
  <si>
    <t xml:space="preserve">02/01/2000</t>
  </si>
  <si>
    <t xml:space="preserve">26924</t>
  </si>
  <si>
    <t xml:space="preserve">Valley Bank</t>
  </si>
  <si>
    <t xml:space="preserve">26949</t>
  </si>
  <si>
    <t xml:space="preserve">First Maine Bank</t>
  </si>
  <si>
    <t xml:space="preserve">03/31/1992</t>
  </si>
  <si>
    <t xml:space="preserve">06/03/1992</t>
  </si>
  <si>
    <t xml:space="preserve">26990</t>
  </si>
  <si>
    <t xml:space="preserve">06/05/2000</t>
  </si>
  <si>
    <t xml:space="preserve">27004</t>
  </si>
  <si>
    <t xml:space="preserve">06/30/1989</t>
  </si>
  <si>
    <t xml:space="preserve">27051</t>
  </si>
  <si>
    <t xml:space="preserve">Cornerstone Bank</t>
  </si>
  <si>
    <t xml:space="preserve">27252</t>
  </si>
  <si>
    <t xml:space="preserve">Community Guaranty Savings Bank</t>
  </si>
  <si>
    <t xml:space="preserve">03/31/2016</t>
  </si>
  <si>
    <t xml:space="preserve">05/19/2016</t>
  </si>
  <si>
    <t xml:space="preserve">27287</t>
  </si>
  <si>
    <t xml:space="preserve">03/07/1995</t>
  </si>
  <si>
    <t xml:space="preserve">27437</t>
  </si>
  <si>
    <t xml:space="preserve">Bow Mills Bank and Trust</t>
  </si>
  <si>
    <t xml:space="preserve">03/31/2007</t>
  </si>
  <si>
    <t xml:space="preserve">06/11/2007</t>
  </si>
  <si>
    <t xml:space="preserve">27441</t>
  </si>
  <si>
    <t xml:space="preserve">Horizon Bank and Trust</t>
  </si>
  <si>
    <t xml:space="preserve">03/31/1995</t>
  </si>
  <si>
    <t xml:space="preserve">04/25/1995</t>
  </si>
  <si>
    <t xml:space="preserve">27533</t>
  </si>
  <si>
    <t xml:space="preserve">Cushnoc Bank and Trust Company</t>
  </si>
  <si>
    <t xml:space="preserve">12/29/1997</t>
  </si>
  <si>
    <t xml:space="preserve">27824</t>
  </si>
  <si>
    <t xml:space="preserve">Salem Co-operative Bank</t>
  </si>
  <si>
    <t xml:space="preserve">28125</t>
  </si>
  <si>
    <t xml:space="preserve">Franklin Co-operative Bank</t>
  </si>
  <si>
    <t xml:space="preserve">07/17/1998</t>
  </si>
  <si>
    <t xml:space="preserve">28155</t>
  </si>
  <si>
    <t xml:space="preserve">Profile Bank</t>
  </si>
  <si>
    <t xml:space="preserve">28168</t>
  </si>
  <si>
    <t xml:space="preserve">Windsor Federal Savings and Loan Association</t>
  </si>
  <si>
    <t xml:space="preserve">28226</t>
  </si>
  <si>
    <t xml:space="preserve">Sun Savingsand Loan Association</t>
  </si>
  <si>
    <t xml:space="preserve">28227</t>
  </si>
  <si>
    <t xml:space="preserve">Deering Savings and Loan Association</t>
  </si>
  <si>
    <t xml:space="preserve">28242</t>
  </si>
  <si>
    <t xml:space="preserve">Augusta Federal Savings Bank</t>
  </si>
  <si>
    <t xml:space="preserve">03/31/2001</t>
  </si>
  <si>
    <t xml:space="preserve">06/08/2001</t>
  </si>
  <si>
    <t xml:space="preserve">28288</t>
  </si>
  <si>
    <t xml:space="preserve">Auburn Savings Bank, FSB</t>
  </si>
  <si>
    <t xml:space="preserve">28340</t>
  </si>
  <si>
    <t xml:space="preserve">American Bank, FSB</t>
  </si>
  <si>
    <t xml:space="preserve">28369</t>
  </si>
  <si>
    <t xml:space="preserve">Rockland Savings Bank, FSB</t>
  </si>
  <si>
    <t xml:space="preserve">28422</t>
  </si>
  <si>
    <t xml:space="preserve">Sun Savings and Loan Association, F.A</t>
  </si>
  <si>
    <t xml:space="preserve">12/31/1987</t>
  </si>
  <si>
    <t xml:space="preserve">28600</t>
  </si>
  <si>
    <t xml:space="preserve">Waterville Savings and Loan Association</t>
  </si>
  <si>
    <t xml:space="preserve">07/19/1995</t>
  </si>
  <si>
    <t xml:space="preserve">28602</t>
  </si>
  <si>
    <t xml:space="preserve">Milford Co-operative Bank</t>
  </si>
  <si>
    <t xml:space="preserve">06/30/1996</t>
  </si>
  <si>
    <t xml:space="preserve">07/25/1996</t>
  </si>
  <si>
    <t xml:space="preserve">28654</t>
  </si>
  <si>
    <t xml:space="preserve">BayBank FSB</t>
  </si>
  <si>
    <t xml:space="preserve">11/07/1996</t>
  </si>
  <si>
    <t xml:space="preserve">28692</t>
  </si>
  <si>
    <t xml:space="preserve">Concord Federal Savings and Loan Association</t>
  </si>
  <si>
    <t xml:space="preserve">28837</t>
  </si>
  <si>
    <t xml:space="preserve">The Brattleboro Savings and Loan Association</t>
  </si>
  <si>
    <t xml:space="preserve">28946</t>
  </si>
  <si>
    <t xml:space="preserve">HomeBank, FSB</t>
  </si>
  <si>
    <t xml:space="preserve">03/28/2000</t>
  </si>
  <si>
    <t xml:space="preserve">29370</t>
  </si>
  <si>
    <t xml:space="preserve">First Northern Cooperative Bank</t>
  </si>
  <si>
    <t xml:space="preserve">02/28/1991</t>
  </si>
  <si>
    <t xml:space="preserve">29636</t>
  </si>
  <si>
    <t xml:space="preserve">First Federal Savings and Loan Association of Bath</t>
  </si>
  <si>
    <t xml:space="preserve">29639</t>
  </si>
  <si>
    <t xml:space="preserve">Randolph Savings and Loan Association</t>
  </si>
  <si>
    <t xml:space="preserve">29649</t>
  </si>
  <si>
    <t xml:space="preserve">Vermont Federal National Bank</t>
  </si>
  <si>
    <t xml:space="preserve">29650</t>
  </si>
  <si>
    <t xml:space="preserve">First Federal Savings Bank</t>
  </si>
  <si>
    <t xml:space="preserve">06/15/1992</t>
  </si>
  <si>
    <t xml:space="preserve">29661</t>
  </si>
  <si>
    <t xml:space="preserve">Kennebec Federal Savings and Loan Association of Waterville</t>
  </si>
  <si>
    <t xml:space="preserve">12/31/2020</t>
  </si>
  <si>
    <t xml:space="preserve">03/09/2021</t>
  </si>
  <si>
    <t xml:space="preserve">29743</t>
  </si>
  <si>
    <t xml:space="preserve">Aroostook County Federal Savings and Loan Association</t>
  </si>
  <si>
    <t xml:space="preserve">06/15/2026</t>
  </si>
  <si>
    <t xml:space="preserve">29744</t>
  </si>
  <si>
    <t xml:space="preserve">First Seacoast Bank</t>
  </si>
  <si>
    <t xml:space="preserve">29756</t>
  </si>
  <si>
    <t xml:space="preserve">Calais Federal Savings and Loan Association</t>
  </si>
  <si>
    <t xml:space="preserve">06/12/2007</t>
  </si>
  <si>
    <t xml:space="preserve">29841</t>
  </si>
  <si>
    <t xml:space="preserve">Brunswick Federal Savings, F.A.</t>
  </si>
  <si>
    <t xml:space="preserve">08/22/1996</t>
  </si>
  <si>
    <t xml:space="preserve">30021</t>
  </si>
  <si>
    <t xml:space="preserve">The Waldoboro Bank F.S.B.</t>
  </si>
  <si>
    <t xml:space="preserve">11/20/2000</t>
  </si>
  <si>
    <t xml:space="preserve">30104</t>
  </si>
  <si>
    <t xml:space="preserve">Home Bank FSB</t>
  </si>
  <si>
    <t xml:space="preserve">01/13/1999</t>
  </si>
  <si>
    <t xml:space="preserve">30106</t>
  </si>
  <si>
    <t xml:space="preserve">Middlebury Savings and Loan Association</t>
  </si>
  <si>
    <t xml:space="preserve">30137</t>
  </si>
  <si>
    <t xml:space="preserve">First Federal Savings and Loan Association of Old Town</t>
  </si>
  <si>
    <t xml:space="preserve">11/17/1990</t>
  </si>
  <si>
    <t xml:space="preserve">30304</t>
  </si>
  <si>
    <t xml:space="preserve">The Savings and Loan of Bangor</t>
  </si>
  <si>
    <t xml:space="preserve">03/31/1984</t>
  </si>
  <si>
    <t xml:space="preserve">05/20/1992</t>
  </si>
  <si>
    <t xml:space="preserve">30350</t>
  </si>
  <si>
    <t xml:space="preserve">The Bank of Bennington</t>
  </si>
  <si>
    <t xml:space="preserve">30378</t>
  </si>
  <si>
    <t xml:space="preserve">Springfield Savings and Loan Association</t>
  </si>
  <si>
    <t xml:space="preserve">12/05/1994</t>
  </si>
  <si>
    <t xml:space="preserve">30469</t>
  </si>
  <si>
    <t xml:space="preserve">Peterborough Co-operative Bank</t>
  </si>
  <si>
    <t xml:space="preserve">30606</t>
  </si>
  <si>
    <t xml:space="preserve">Plaistow Co-operative Bank, FSB</t>
  </si>
  <si>
    <t xml:space="preserve">01/31/1996</t>
  </si>
  <si>
    <t xml:space="preserve">30646</t>
  </si>
  <si>
    <t xml:space="preserve">First Savings and Loan Association of New Hampshire</t>
  </si>
  <si>
    <t xml:space="preserve">09/30/1995</t>
  </si>
  <si>
    <t xml:space="preserve">30647</t>
  </si>
  <si>
    <t xml:space="preserve">Hampton Co-operative Bank</t>
  </si>
  <si>
    <t xml:space="preserve">10/07/1993</t>
  </si>
  <si>
    <t xml:space="preserve">30767</t>
  </si>
  <si>
    <t xml:space="preserve">Portsmouth Co-operative Bank</t>
  </si>
  <si>
    <t xml:space="preserve">30801</t>
  </si>
  <si>
    <t xml:space="preserve">Atlantic Federal Savings and Loan Association</t>
  </si>
  <si>
    <t xml:space="preserve">30878</t>
  </si>
  <si>
    <t xml:space="preserve">Bar Harbor Savings and Loan Association</t>
  </si>
  <si>
    <t xml:space="preserve">30970</t>
  </si>
  <si>
    <t xml:space="preserve">Hallowell Savings and Loan Association</t>
  </si>
  <si>
    <t xml:space="preserve">Indian Head Bank North</t>
  </si>
  <si>
    <t xml:space="preserve">31166</t>
  </si>
  <si>
    <t xml:space="preserve">Derry Co-operative Bank</t>
  </si>
  <si>
    <t xml:space="preserve">11/30/1976</t>
  </si>
  <si>
    <t xml:space="preserve">31325</t>
  </si>
  <si>
    <t xml:space="preserve">Kennebunk Savings and Loan Association</t>
  </si>
  <si>
    <t xml:space="preserve">31926</t>
  </si>
  <si>
    <t xml:space="preserve">Mid Maine Savings Bank F.S.B.</t>
  </si>
  <si>
    <t xml:space="preserve">06/30/1994</t>
  </si>
  <si>
    <t xml:space="preserve">01/27/1999</t>
  </si>
  <si>
    <t xml:space="preserve">31953</t>
  </si>
  <si>
    <t xml:space="preserve">Lake Sunapee Bank, FSB</t>
  </si>
  <si>
    <t xml:space="preserve">12/31/2016</t>
  </si>
  <si>
    <t xml:space="preserve">02/13/2017</t>
  </si>
  <si>
    <t xml:space="preserve">32727</t>
  </si>
  <si>
    <t xml:space="preserve">First Community Bank</t>
  </si>
  <si>
    <t xml:space="preserve">09/30/2007</t>
  </si>
  <si>
    <t xml:space="preserve">10/17/2007</t>
  </si>
  <si>
    <t xml:space="preserve">32861</t>
  </si>
  <si>
    <t xml:space="preserve">American Federal Savings Bank</t>
  </si>
  <si>
    <t xml:space="preserve">08/02/1994</t>
  </si>
  <si>
    <t xml:space="preserve">32940</t>
  </si>
  <si>
    <t xml:space="preserve">First Citizens Bank</t>
  </si>
  <si>
    <t xml:space="preserve">12/31/2006</t>
  </si>
  <si>
    <t xml:space="preserve">03/21/2007</t>
  </si>
  <si>
    <t xml:space="preserve">32965</t>
  </si>
  <si>
    <t xml:space="preserve">Centerpoint Bank</t>
  </si>
  <si>
    <t xml:space="preserve">33011</t>
  </si>
  <si>
    <t xml:space="preserve">Community Bank and Trust Company</t>
  </si>
  <si>
    <t xml:space="preserve">11/27/2007</t>
  </si>
  <si>
    <t xml:space="preserve">33023</t>
  </si>
  <si>
    <t xml:space="preserve">The Family Savings Bank of New Hampshire</t>
  </si>
  <si>
    <t xml:space="preserve">02/05/1996</t>
  </si>
  <si>
    <t xml:space="preserve">33237</t>
  </si>
  <si>
    <t xml:space="preserve">Providian National Bank</t>
  </si>
  <si>
    <t xml:space="preserve">01/13/1998</t>
  </si>
  <si>
    <t xml:space="preserve">33268</t>
  </si>
  <si>
    <t xml:space="preserve">New Maine National Bank</t>
  </si>
  <si>
    <t xml:space="preserve">08/28/1991</t>
  </si>
  <si>
    <t xml:space="preserve">33325</t>
  </si>
  <si>
    <t xml:space="preserve">First Northern Co-operative Bank, a Federal Savings Bank</t>
  </si>
  <si>
    <t xml:space="preserve">08/25/1994</t>
  </si>
  <si>
    <t xml:space="preserve">33348</t>
  </si>
  <si>
    <t xml:space="preserve">Landmark Bank</t>
  </si>
  <si>
    <t xml:space="preserve">12/31/1996</t>
  </si>
  <si>
    <t xml:space="preserve">02/24/1997</t>
  </si>
  <si>
    <t xml:space="preserve">33418</t>
  </si>
  <si>
    <t xml:space="preserve">Ledyard National Bank</t>
  </si>
  <si>
    <t xml:space="preserve">33509</t>
  </si>
  <si>
    <t xml:space="preserve">Shawmut Bank NH</t>
  </si>
  <si>
    <t xml:space="preserve">02/07/1996</t>
  </si>
  <si>
    <t xml:space="preserve">33512</t>
  </si>
  <si>
    <t xml:space="preserve">HomeBank Federal Savings Association</t>
  </si>
  <si>
    <t xml:space="preserve">33525</t>
  </si>
  <si>
    <t xml:space="preserve">Maine Bank &amp; Trust Company</t>
  </si>
  <si>
    <t xml:space="preserve">33600</t>
  </si>
  <si>
    <t xml:space="preserve">First Federal Savings Association</t>
  </si>
  <si>
    <t xml:space="preserve">12/31/1993</t>
  </si>
  <si>
    <t xml:space="preserve">33704</t>
  </si>
  <si>
    <t xml:space="preserve">Merrill Merchants Bank</t>
  </si>
  <si>
    <t xml:space="preserve">33767</t>
  </si>
  <si>
    <t xml:space="preserve">New First National Bank of Vermont, National Association</t>
  </si>
  <si>
    <t xml:space="preserve">06/16/1993</t>
  </si>
  <si>
    <t xml:space="preserve">33987</t>
  </si>
  <si>
    <t xml:space="preserve">Fleet Maine, National Association</t>
  </si>
  <si>
    <t xml:space="preserve">12/31/2004</t>
  </si>
  <si>
    <t xml:space="preserve">03/31/2005</t>
  </si>
  <si>
    <t xml:space="preserve">34067</t>
  </si>
  <si>
    <t xml:space="preserve">Andover Bank NH</t>
  </si>
  <si>
    <t xml:space="preserve">06/30/1999</t>
  </si>
  <si>
    <t xml:space="preserve">07/22/1999</t>
  </si>
  <si>
    <t xml:space="preserve">34167</t>
  </si>
  <si>
    <t xml:space="preserve">Monadnock Community Bank</t>
  </si>
  <si>
    <t xml:space="preserve">03/31/2013</t>
  </si>
  <si>
    <t xml:space="preserve">07/01/2013</t>
  </si>
  <si>
    <t xml:space="preserve">34243</t>
  </si>
  <si>
    <t xml:space="preserve">10/19/1998</t>
  </si>
  <si>
    <t xml:space="preserve">34264</t>
  </si>
  <si>
    <t xml:space="preserve">First Alliance Bank and Trust Company</t>
  </si>
  <si>
    <t xml:space="preserve">12/31/2000</t>
  </si>
  <si>
    <t xml:space="preserve">02/06/2001</t>
  </si>
  <si>
    <t xml:space="preserve">34504</t>
  </si>
  <si>
    <t xml:space="preserve">Harris Bank (NH), National Association</t>
  </si>
  <si>
    <t xml:space="preserve">06/30/2004</t>
  </si>
  <si>
    <t xml:space="preserve">10/26/2004</t>
  </si>
  <si>
    <t xml:space="preserve">35035</t>
  </si>
  <si>
    <t xml:space="preserve">Centrix Bank &amp; Trust</t>
  </si>
  <si>
    <t xml:space="preserve">09/30/2014</t>
  </si>
  <si>
    <t xml:space="preserve">11/13/2014</t>
  </si>
  <si>
    <t xml:space="preserve">35133</t>
  </si>
  <si>
    <t xml:space="preserve">Passumpsic Bank, FSB</t>
  </si>
  <si>
    <t xml:space="preserve">01/15/2002</t>
  </si>
  <si>
    <t xml:space="preserve">35206</t>
  </si>
  <si>
    <t xml:space="preserve">Fidelity Personal Trust Company, FSB</t>
  </si>
  <si>
    <t xml:space="preserve">4245</t>
  </si>
  <si>
    <t xml:space="preserve">Bank of Maine, N. A.</t>
  </si>
  <si>
    <t xml:space="preserve">4246</t>
  </si>
  <si>
    <t xml:space="preserve">Merchants National Bank of Bangor</t>
  </si>
  <si>
    <t xml:space="preserve">4247</t>
  </si>
  <si>
    <t xml:space="preserve">The First National Bank of Bar Harbor</t>
  </si>
  <si>
    <t xml:space="preserve">02/07/2005</t>
  </si>
  <si>
    <t xml:space="preserve">4252</t>
  </si>
  <si>
    <t xml:space="preserve">The First National Bank of Biddeford</t>
  </si>
  <si>
    <t xml:space="preserve">4255</t>
  </si>
  <si>
    <t xml:space="preserve">The Camden National Bank</t>
  </si>
  <si>
    <t xml:space="preserve">4256</t>
  </si>
  <si>
    <t xml:space="preserve">First National Bank</t>
  </si>
  <si>
    <t xml:space="preserve">4258</t>
  </si>
  <si>
    <t xml:space="preserve">Merrill Bank, National Association</t>
  </si>
  <si>
    <t xml:space="preserve">4259</t>
  </si>
  <si>
    <t xml:space="preserve">Northeast Bank, N. A. of Farmington</t>
  </si>
  <si>
    <t xml:space="preserve">4260</t>
  </si>
  <si>
    <t xml:space="preserve">Key Bank of Northern Maine</t>
  </si>
  <si>
    <t xml:space="preserve">4261</t>
  </si>
  <si>
    <t xml:space="preserve">The National Bank of Gardiner</t>
  </si>
  <si>
    <t xml:space="preserve">4262</t>
  </si>
  <si>
    <t xml:space="preserve">The First National Bank of Houlton</t>
  </si>
  <si>
    <t xml:space="preserve">4264</t>
  </si>
  <si>
    <t xml:space="preserve">Ocean Bank</t>
  </si>
  <si>
    <t xml:space="preserve">4265</t>
  </si>
  <si>
    <t xml:space="preserve">The Kezar Falls National Bank</t>
  </si>
  <si>
    <t xml:space="preserve">4267</t>
  </si>
  <si>
    <t xml:space="preserve">Norstar Bank of Maine</t>
  </si>
  <si>
    <t xml:space="preserve">4269</t>
  </si>
  <si>
    <t xml:space="preserve">Norway National Bank</t>
  </si>
  <si>
    <t xml:space="preserve">4271</t>
  </si>
  <si>
    <t xml:space="preserve">The First National Bank of Pittsfield</t>
  </si>
  <si>
    <t xml:space="preserve">4273</t>
  </si>
  <si>
    <t xml:space="preserve">Canal National Bank</t>
  </si>
  <si>
    <t xml:space="preserve">09/07/1995</t>
  </si>
  <si>
    <t xml:space="preserve">4275</t>
  </si>
  <si>
    <t xml:space="preserve">Maine National Bank</t>
  </si>
  <si>
    <t xml:space="preserve">05/15/1991</t>
  </si>
  <si>
    <t xml:space="preserve">4276</t>
  </si>
  <si>
    <t xml:space="preserve">Casco Northern Bank, National Association</t>
  </si>
  <si>
    <t xml:space="preserve">4281</t>
  </si>
  <si>
    <t xml:space="preserve">Springvale National Bank</t>
  </si>
  <si>
    <t xml:space="preserve">57467</t>
  </si>
  <si>
    <t xml:space="preserve">Rivergreen Bank</t>
  </si>
  <si>
    <t xml:space="preserve">06/30/2008</t>
  </si>
  <si>
    <t xml:space="preserve">09/26/2008</t>
  </si>
  <si>
    <t xml:space="preserve">58384</t>
  </si>
  <si>
    <t xml:space="preserve">Fidelity Institutional Asset Management Trust Company</t>
  </si>
  <si>
    <t xml:space="preserve">12/31/2010</t>
  </si>
  <si>
    <t xml:space="preserve">58394</t>
  </si>
  <si>
    <t xml:space="preserve">Hampshire First Bank</t>
  </si>
  <si>
    <t xml:space="preserve">03/31/2012</t>
  </si>
  <si>
    <t xml:space="preserve">06/29/2012</t>
  </si>
  <si>
    <t xml:space="preserve">58627</t>
  </si>
  <si>
    <t xml:space="preserve">The Nashua Bank</t>
  </si>
  <si>
    <t xml:space="preserve">09/30/2012</t>
  </si>
  <si>
    <t xml:space="preserve">01/02/2013</t>
  </si>
  <si>
    <t xml:space="preserve">58699</t>
  </si>
  <si>
    <t xml:space="preserve">Optima Bank &amp; Trust Company</t>
  </si>
  <si>
    <t xml:space="preserve">03/31/2019</t>
  </si>
  <si>
    <t xml:space="preserve">06/04/2019</t>
  </si>
  <si>
    <t xml:space="preserve">58928</t>
  </si>
  <si>
    <t xml:space="preserve">Sanfor Interim Two Savings Bank</t>
  </si>
  <si>
    <t xml:space="preserve">01/06/2010</t>
  </si>
  <si>
    <t xml:space="preserve">58929</t>
  </si>
  <si>
    <t xml:space="preserve">Sanford Interim One Savings Bank</t>
  </si>
  <si>
    <t xml:space="preserve">59086</t>
  </si>
  <si>
    <t xml:space="preserve">59176</t>
  </si>
  <si>
    <t xml:space="preserve">The Millyard Bank</t>
  </si>
  <si>
    <t xml:space="preserve">59289</t>
  </si>
  <si>
    <t xml:space="preserve">Walden Mutual Bank</t>
  </si>
  <si>
    <t xml:space="preserve">59298</t>
  </si>
  <si>
    <t xml:space="preserve">Business Bank, The</t>
  </si>
  <si>
    <t xml:space="preserve">09/29/2025</t>
  </si>
  <si>
    <t xml:space="preserve">6208</t>
  </si>
  <si>
    <t xml:space="preserve">The Bristol Bank</t>
  </si>
  <si>
    <t xml:space="preserve">6209</t>
  </si>
  <si>
    <t xml:space="preserve">Connecticut River Bank, National Association</t>
  </si>
  <si>
    <t xml:space="preserve">06/30/2014</t>
  </si>
  <si>
    <t xml:space="preserve">09/09/2014</t>
  </si>
  <si>
    <t xml:space="preserve">6210</t>
  </si>
  <si>
    <t xml:space="preserve">BankEast, National Association</t>
  </si>
  <si>
    <t xml:space="preserve">6211</t>
  </si>
  <si>
    <t xml:space="preserve">Indian Head National Bank of Claremont</t>
  </si>
  <si>
    <t xml:space="preserve">10/10/1995</t>
  </si>
  <si>
    <t xml:space="preserve">6212</t>
  </si>
  <si>
    <t xml:space="preserve">03/31/2018</t>
  </si>
  <si>
    <t xml:space="preserve">04/12/2018</t>
  </si>
  <si>
    <t xml:space="preserve">6213</t>
  </si>
  <si>
    <t xml:space="preserve">The Farmers and Traders National and Savings Bank of Colebrook</t>
  </si>
  <si>
    <t xml:space="preserve">12/31/1986</t>
  </si>
  <si>
    <t xml:space="preserve">Citizens Bank New Hampshire</t>
  </si>
  <si>
    <t xml:space="preserve">09/19/2007</t>
  </si>
  <si>
    <t xml:space="preserve">6217</t>
  </si>
  <si>
    <t xml:space="preserve">Merchants National Bank</t>
  </si>
  <si>
    <t xml:space="preserve">05/15/1992</t>
  </si>
  <si>
    <t xml:space="preserve">6218</t>
  </si>
  <si>
    <t xml:space="preserve">Strafford National Bank</t>
  </si>
  <si>
    <t xml:space="preserve">6219</t>
  </si>
  <si>
    <t xml:space="preserve">The Monadnock Bank</t>
  </si>
  <si>
    <t xml:space="preserve">06/30/1993</t>
  </si>
  <si>
    <t xml:space="preserve">08/10/1993</t>
  </si>
  <si>
    <t xml:space="preserve">6220</t>
  </si>
  <si>
    <t xml:space="preserve">Indian Head Bank of Exeter</t>
  </si>
  <si>
    <t xml:space="preserve">6221</t>
  </si>
  <si>
    <t xml:space="preserve">Bank of New Hampshire, National Association</t>
  </si>
  <si>
    <t xml:space="preserve">6222</t>
  </si>
  <si>
    <t xml:space="preserve">The Franklin National Bank</t>
  </si>
  <si>
    <t xml:space="preserve">09/26/1995</t>
  </si>
  <si>
    <t xml:space="preserve">6225</t>
  </si>
  <si>
    <t xml:space="preserve">Dartmouth National Bank</t>
  </si>
  <si>
    <t xml:space="preserve">6227</t>
  </si>
  <si>
    <t xml:space="preserve">The Ashuelot National Bank of Keene</t>
  </si>
  <si>
    <t xml:space="preserve">09/08/1995</t>
  </si>
  <si>
    <t xml:space="preserve">6228</t>
  </si>
  <si>
    <t xml:space="preserve">First Cheshire Bank</t>
  </si>
  <si>
    <t xml:space="preserve">6229</t>
  </si>
  <si>
    <t xml:space="preserve">Indian Head National Bank of Keene</t>
  </si>
  <si>
    <t xml:space="preserve">6231</t>
  </si>
  <si>
    <t xml:space="preserve">Laconia Peoples National Bank and Trust Company</t>
  </si>
  <si>
    <t xml:space="preserve">6232</t>
  </si>
  <si>
    <t xml:space="preserve">Indian Head National Bank of Laconia</t>
  </si>
  <si>
    <t xml:space="preserve">6233</t>
  </si>
  <si>
    <t xml:space="preserve">The Lancaster National Bank</t>
  </si>
  <si>
    <t xml:space="preserve">07/16/2008</t>
  </si>
  <si>
    <t xml:space="preserve">6234</t>
  </si>
  <si>
    <t xml:space="preserve">First NH Bank of Lebanon</t>
  </si>
  <si>
    <t xml:space="preserve">6235</t>
  </si>
  <si>
    <t xml:space="preserve">Lafayette National Bank</t>
  </si>
  <si>
    <t xml:space="preserve">6236</t>
  </si>
  <si>
    <t xml:space="preserve">Amoskeag National Bank &amp; Trust Co.</t>
  </si>
  <si>
    <t xml:space="preserve">12/31/1985</t>
  </si>
  <si>
    <t xml:space="preserve">6238</t>
  </si>
  <si>
    <t xml:space="preserve">First NH Bank, National Association</t>
  </si>
  <si>
    <t xml:space="preserve">6239</t>
  </si>
  <si>
    <t xml:space="preserve">The Souhegan National Bank of Milford</t>
  </si>
  <si>
    <t xml:space="preserve">03/31/1990</t>
  </si>
  <si>
    <t xml:space="preserve">6241</t>
  </si>
  <si>
    <t xml:space="preserve">Indian Head National Bank of Nashua</t>
  </si>
  <si>
    <t xml:space="preserve">6243</t>
  </si>
  <si>
    <t xml:space="preserve">First Citizens National Bank</t>
  </si>
  <si>
    <t xml:space="preserve">6244</t>
  </si>
  <si>
    <t xml:space="preserve">The Citizen's National Bank of Newport</t>
  </si>
  <si>
    <t xml:space="preserve">09/28/1995</t>
  </si>
  <si>
    <t xml:space="preserve">6245</t>
  </si>
  <si>
    <t xml:space="preserve">Granite Bank, National Association</t>
  </si>
  <si>
    <t xml:space="preserve">6246</t>
  </si>
  <si>
    <t xml:space="preserve">The Pittsfield National Bank</t>
  </si>
  <si>
    <t xml:space="preserve">6247</t>
  </si>
  <si>
    <t xml:space="preserve">The Pemigewasset National Bank of Plymouth</t>
  </si>
  <si>
    <t xml:space="preserve">The First National Bank of Portsmouth</t>
  </si>
  <si>
    <t xml:space="preserve">07/29/1996</t>
  </si>
  <si>
    <t xml:space="preserve">6249</t>
  </si>
  <si>
    <t xml:space="preserve">Indian Head National Bank of Portsmouth</t>
  </si>
  <si>
    <t xml:space="preserve">6250</t>
  </si>
  <si>
    <t xml:space="preserve">First NH Banks Granite State</t>
  </si>
  <si>
    <t xml:space="preserve">02/08/1991</t>
  </si>
  <si>
    <t xml:space="preserve">The Somersworth Bank</t>
  </si>
  <si>
    <t xml:space="preserve">6252</t>
  </si>
  <si>
    <t xml:space="preserve">10/12/2005</t>
  </si>
  <si>
    <t xml:space="preserve">6253</t>
  </si>
  <si>
    <t xml:space="preserve">Indian Head National Bank of Derry</t>
  </si>
  <si>
    <t xml:space="preserve">6254</t>
  </si>
  <si>
    <t xml:space="preserve">The Wilton National Bank</t>
  </si>
  <si>
    <t xml:space="preserve">6256</t>
  </si>
  <si>
    <t xml:space="preserve">Wolfeboro National Bank</t>
  </si>
  <si>
    <t xml:space="preserve">6257</t>
  </si>
  <si>
    <t xml:space="preserve">The Woodsville National Bank</t>
  </si>
  <si>
    <t xml:space="preserve">6258</t>
  </si>
  <si>
    <t xml:space="preserve">The Peoples National Bank of Barre</t>
  </si>
  <si>
    <t xml:space="preserve">6260</t>
  </si>
  <si>
    <t xml:space="preserve">The County National Bank of Bennington</t>
  </si>
  <si>
    <t xml:space="preserve">6261</t>
  </si>
  <si>
    <t xml:space="preserve">National White River Bank in Bethel</t>
  </si>
  <si>
    <t xml:space="preserve">6262</t>
  </si>
  <si>
    <t xml:space="preserve">The Bradford National Bank</t>
  </si>
  <si>
    <t xml:space="preserve">6263</t>
  </si>
  <si>
    <t xml:space="preserve">First Brandon National Bank</t>
  </si>
  <si>
    <t xml:space="preserve">06/14/2007</t>
  </si>
  <si>
    <t xml:space="preserve">6265</t>
  </si>
  <si>
    <t xml:space="preserve">Vermont National Bank</t>
  </si>
  <si>
    <t xml:space="preserve">05/01/2000</t>
  </si>
  <si>
    <t xml:space="preserve">6267</t>
  </si>
  <si>
    <t xml:space="preserve">The Howard Bank, National Association</t>
  </si>
  <si>
    <t xml:space="preserve">6268</t>
  </si>
  <si>
    <t xml:space="preserve">Merchants Bank</t>
  </si>
  <si>
    <t xml:space="preserve">03/31/2017</t>
  </si>
  <si>
    <t xml:space="preserve">05/23/2017</t>
  </si>
  <si>
    <t xml:space="preserve">6270</t>
  </si>
  <si>
    <t xml:space="preserve">The Caledonia National Bank of Danville</t>
  </si>
  <si>
    <t xml:space="preserve">6271</t>
  </si>
  <si>
    <t xml:space="preserve">Community National Bank</t>
  </si>
  <si>
    <t xml:space="preserve">The First National Bank of Fair Haven</t>
  </si>
  <si>
    <t xml:space="preserve">6273</t>
  </si>
  <si>
    <t xml:space="preserve">Ethan Allen National Bank</t>
  </si>
  <si>
    <t xml:space="preserve">6274</t>
  </si>
  <si>
    <t xml:space="preserve">The Factory Point National Bank of Manchester Center</t>
  </si>
  <si>
    <t xml:space="preserve">09/28/2007</t>
  </si>
  <si>
    <t xml:space="preserve">6275</t>
  </si>
  <si>
    <t xml:space="preserve">The National Bank of Middlebury</t>
  </si>
  <si>
    <t xml:space="preserve">6278</t>
  </si>
  <si>
    <t xml:space="preserve">Catamount Bank</t>
  </si>
  <si>
    <t xml:space="preserve">6279</t>
  </si>
  <si>
    <t xml:space="preserve">The Northfield National Bank</t>
  </si>
  <si>
    <t xml:space="preserve">The First National Bank of Orwell</t>
  </si>
  <si>
    <t xml:space="preserve">6281</t>
  </si>
  <si>
    <t xml:space="preserve">The Randolph National Bank</t>
  </si>
  <si>
    <t xml:space="preserve">09/30/2013</t>
  </si>
  <si>
    <t xml:space="preserve">11/25/2013</t>
  </si>
  <si>
    <t xml:space="preserve">6289</t>
  </si>
  <si>
    <t xml:space="preserve">The Merchants National Bank of St. Johnsbury</t>
  </si>
  <si>
    <t xml:space="preserve">6290</t>
  </si>
  <si>
    <t xml:space="preserve">First National Bank of Vermont</t>
  </si>
  <si>
    <t xml:space="preserve">09/30/1992</t>
  </si>
  <si>
    <t xml:space="preserve">6292</t>
  </si>
  <si>
    <t xml:space="preserve">The National Bank of Newbury at Wells River</t>
  </si>
  <si>
    <t xml:space="preserve">6293</t>
  </si>
  <si>
    <t xml:space="preserve">The First National Bank of White River Junction</t>
  </si>
  <si>
    <t xml:space="preserve">10/02/1995</t>
  </si>
  <si>
    <t xml:space="preserve">6295</t>
  </si>
  <si>
    <t xml:space="preserve">The Woodstock National Bank</t>
  </si>
  <si>
    <t xml:space="preserve">03/31/1999</t>
  </si>
  <si>
    <t xml:space="preserve">06/04/1999</t>
  </si>
  <si>
    <t xml:space="preserve">Fleet Bank of Maine</t>
  </si>
  <si>
    <t xml:space="preserve">09/30/2000</t>
  </si>
  <si>
    <t xml:space="preserve">11/17/2000</t>
  </si>
  <si>
    <t xml:space="preserve">Union Trust Company</t>
  </si>
  <si>
    <t xml:space="preserve">02/27/2008</t>
  </si>
  <si>
    <t xml:space="preserve">Bank-Quarter Calculation Table</t>
  </si>
  <si>
    <t xml:space="preserve">Formula-driven from RawFinancials. Proxy = 100 × (P9ASSET + NAASSET) / ASSET; invalid rows remain excluded, never coerced to zero.</t>
  </si>
  <si>
    <t xml:space="preserve">Bank name</t>
  </si>
  <si>
    <t xml:space="preserve">State</t>
  </si>
  <si>
    <t xml:space="preserve">ASSET ($000)</t>
  </si>
  <si>
    <t xml:space="preserve">P9ASSET ($000)</t>
  </si>
  <si>
    <t xml:space="preserve">NAASSET ($000)</t>
  </si>
  <si>
    <t xml:space="preserve">Proxy numerator ($000)</t>
  </si>
  <si>
    <t xml:space="preserve">DEP ($000)</t>
  </si>
  <si>
    <t xml:space="preserve">EQ ($000)</t>
  </si>
  <si>
    <t xml:space="preserve">LNLSGR ($000)</t>
  </si>
  <si>
    <t xml:space="preserve">LNRE ($000)</t>
  </si>
  <si>
    <t xml:space="preserve">ROA raw %</t>
  </si>
  <si>
    <t xml:space="preserve">RBCRWAJ raw %</t>
  </si>
  <si>
    <t xml:space="preserve">RE loans / gross loans %</t>
  </si>
  <si>
    <t xml:space="preserve">Equity / assets %</t>
  </si>
  <si>
    <t xml:space="preserve">Proxy valid?</t>
  </si>
  <si>
    <t xml:space="preserve">Proxy %</t>
  </si>
  <si>
    <t xml:space="preserve">Amount revised?</t>
  </si>
  <si>
    <t xml:space="preserve">End proxy for start row %</t>
  </si>
  <si>
    <t xml:space="preserve">End state for start row</t>
  </si>
  <si>
    <t xml:space="preserve">Has valid start?</t>
  </si>
  <si>
    <t xml:space="preserve">Has valid end?</t>
  </si>
  <si>
    <t xml:space="preserve">Start state for end row</t>
  </si>
  <si>
    <t xml:space="preserve">State rank at end</t>
  </si>
  <si>
    <t xml:space="preserve">Remaining rank at end</t>
  </si>
  <si>
    <t xml:space="preserve">Endpoint row?</t>
  </si>
  <si>
    <t xml:space="preserve">Key</t>
  </si>
  <si>
    <t xml:space="preserve">Data Audit</t>
  </si>
  <si>
    <t xml:space="preserve">Source shape, key integrity, quarter coverage, institution linkage, and formula-driven invalid-row reporting.</t>
  </si>
  <si>
    <t xml:space="preserve">Audit item</t>
  </si>
  <si>
    <t xml:space="preserve">Result</t>
  </si>
  <si>
    <t xml:space="preserve">Financial source rows</t>
  </si>
  <si>
    <t xml:space="preserve">Required complete local copy</t>
  </si>
  <si>
    <t xml:space="preserve">Financial columns</t>
  </si>
  <si>
    <t xml:space="preserve">Original columns; source_row added at left</t>
  </si>
  <si>
    <t xml:space="preserve">Distinct CERT</t>
  </si>
  <si>
    <t xml:space="preserve">Across all quarters</t>
  </si>
  <si>
    <t xml:space="preserve">Distinct quarters</t>
  </si>
  <si>
    <t xml:space="preserve">2022-03-31 through 2025-06-30</t>
  </si>
  <si>
    <t xml:space="preserve">Duplicate CERT + REPDTE</t>
  </si>
  <si>
    <t xml:space="preserve">Expected 0</t>
  </si>
  <si>
    <t xml:space="preserve">Institution rows</t>
  </si>
  <si>
    <t xml:space="preserve">Later snapshot</t>
  </si>
  <si>
    <t xml:space="preserve">Duplicate institution CERT</t>
  </si>
  <si>
    <t xml:space="preserve">Expected 0 for one-to-one join</t>
  </si>
  <si>
    <t xml:space="preserve">Financial rows matched to institution CERT</t>
  </si>
  <si>
    <t xml:space="preserve">746 of 746</t>
  </si>
  <si>
    <t xml:space="preserve">Unmatched financial CERT</t>
  </si>
  <si>
    <t xml:space="preserve">Unused institution snapshot CERT</t>
  </si>
  <si>
    <t xml:space="preserve">Historical/later universe; not joined into quarter population</t>
  </si>
  <si>
    <t xml:space="preserve">Quarter coverage and invalid proxy inputs</t>
  </si>
  <si>
    <t xml:space="preserve">Rows</t>
  </si>
  <si>
    <t xml:space="preserve">Banks</t>
  </si>
  <si>
    <t xml:space="preserve">Missing vs 54-bank union</t>
  </si>
  <si>
    <t xml:space="preserve">ASSET blank/zero</t>
  </si>
  <si>
    <t xml:space="preserve">P9ASSET blank</t>
  </si>
  <si>
    <t xml:space="preserve">NAASSET blank</t>
  </si>
  <si>
    <t xml:space="preserve">Invalid proxy rows</t>
  </si>
  <si>
    <t xml:space="preserve">Current input checks</t>
  </si>
  <si>
    <t xml:space="preserve">Start exists</t>
  </si>
  <si>
    <t xml:space="preserve">End exists</t>
  </si>
  <si>
    <t xml:space="preserve">Start before end</t>
  </si>
  <si>
    <t xml:space="preserve">Slots valid</t>
  </si>
  <si>
    <t xml:space="preserve">Valid end banks</t>
  </si>
  <si>
    <t xml:space="preserve">Invalid end rows</t>
  </si>
  <si>
    <t xml:space="preserve">Valid VT / NH / ME</t>
  </si>
  <si>
    <t xml:space="preserve">Raw unchanged</t>
  </si>
  <si>
    <t xml:space="preserve">Quarterly Peer Aggregates</t>
  </si>
  <si>
    <t xml:space="preserve">Rates use sum of valid numerators divided by sum of valid ASSET; bank percentages are never averaged.</t>
  </si>
  <si>
    <t xml:space="preserve">Group</t>
  </si>
  <si>
    <t xml:space="preserve">Valid banks</t>
  </si>
  <si>
    <t xml:space="preserve">ASSET sum ($000)</t>
  </si>
  <si>
    <t xml:space="preserve">P9 + NA sum ($000)</t>
  </si>
  <si>
    <t xml:space="preserve">Invalid rows</t>
  </si>
  <si>
    <t xml:space="preserve">ALL</t>
  </si>
  <si>
    <t xml:space="preserve">Endpoint Bridge</t>
  </si>
  <si>
    <t xml:space="preserve">Observation scope versus common-bank, start-asset-fixed weights. State for common banks is fixed to the selected end period.</t>
  </si>
  <si>
    <t xml:space="preserve">Observed start %</t>
  </si>
  <si>
    <t xml:space="preserve">Observed end %</t>
  </si>
  <si>
    <t xml:space="preserve">Observed change pp</t>
  </si>
  <si>
    <t xml:space="preserve">Fixed start %</t>
  </si>
  <si>
    <t xml:space="preserve">Fixed end %</t>
  </si>
  <si>
    <t xml:space="preserve">Fixed change pp</t>
  </si>
  <si>
    <t xml:space="preserve">Residual: scope &amp; weight pp</t>
  </si>
  <si>
    <t xml:space="preserve">Common N</t>
  </si>
  <si>
    <t xml:space="preserve">Entering N</t>
  </si>
  <si>
    <t xml:space="preserve">Exiting N</t>
  </si>
  <si>
    <t xml:space="preserve">Entering assets ($000)</t>
  </si>
  <si>
    <t xml:space="preserve">Exiting assets ($000)</t>
  </si>
  <si>
    <t xml:space="preserve">Definitions</t>
  </si>
  <si>
    <t xml:space="preserve">Observed: each endpoint’s valid-bank population and current endpoint assets. Fixed: banks valid at both endpoints, assigned to the selected end-period state, with start-period ASSET held fixed at both dates. Entering/exiting: endpoint valid-set differences within each group; blanks/zero ASSET are not zero-asset members. Residual = observed change − fixed change and is labelled only as scope and weight change impact, without unsupported causal decomposition.</t>
  </si>
  <si>
    <t xml:space="preserve">Endpoint membership detail</t>
  </si>
  <si>
    <t xml:space="preserve">Start state</t>
  </si>
  <si>
    <t xml:space="preserve">End state</t>
  </si>
  <si>
    <t xml:space="preserve">Start valid?</t>
  </si>
  <si>
    <t xml:space="preserve">End valid?</t>
  </si>
  <si>
    <t xml:space="preserve">Movement</t>
  </si>
  <si>
    <t xml:space="preserve">Start assets ($000)</t>
  </si>
  <si>
    <t xml:space="preserve">End assets ($000)</t>
  </si>
  <si>
    <t xml:space="preserve">Start source row</t>
  </si>
  <si>
    <t xml:space="preserve">End source row</t>
  </si>
  <si>
    <t xml:space="preserve">Start proxy %</t>
  </si>
  <si>
    <t xml:space="preserve">End proxy %</t>
  </si>
  <si>
    <t xml:space="preserve">Review Priority Allocation</t>
  </si>
  <si>
    <t xml:space="preserve">First one per state in VT, NH, ME order; then highest remaining proxy. Ties use ascending numeric CERT. Invalid model clears the list.</t>
  </si>
  <si>
    <t xml:space="preserve">Order</t>
  </si>
  <si>
    <t xml:space="preserve">End ASSET ($000)</t>
  </si>
  <si>
    <t xml:space="preserve">End P9ASSET ($000)</t>
  </si>
  <si>
    <t xml:space="preserve">End NAASSET ($000)</t>
  </si>
  <si>
    <t xml:space="preserve">Change pp</t>
  </si>
  <si>
    <t xml:space="preserve">End ROA raw %</t>
  </si>
  <si>
    <t xml:space="preserve">End RBCRWAJ raw %</t>
  </si>
  <si>
    <t xml:space="preserve">Start ASSET ($000)</t>
  </si>
  <si>
    <t xml:space="preserve">Start P9ASSET ($000)</t>
  </si>
  <si>
    <t xml:space="preserve">Start NAASSET ($000)</t>
  </si>
  <si>
    <t xml:space="preserve">Start ROA raw %</t>
  </si>
  <si>
    <t xml:space="preserve">Why review</t>
  </si>
  <si>
    <t xml:space="preserve">Specific evidence request</t>
  </si>
  <si>
    <t xml:space="preserve">Priority count</t>
  </si>
  <si>
    <t xml:space="preserve">Sources, Definitions and Method Notes</t>
  </si>
  <si>
    <t xml:space="preserve">Frozen local source materials only; no live updates. Definitions are from files linked by the supplied FDIC API documentation snapshot.</t>
  </si>
  <si>
    <t xml:space="preserve">Topic / field</t>
  </si>
  <si>
    <t xml:space="preserve">FDIC definition or analytical treatment</t>
  </si>
  <si>
    <t xml:space="preserve">Local source</t>
  </si>
  <si>
    <t xml:space="preserve">Document locator</t>
  </si>
  <si>
    <t xml:space="preserve">Unit / caution</t>
  </si>
  <si>
    <t xml:space="preserve">Use in model</t>
  </si>
  <si>
    <t xml:space="preserve">A unique NUMBER assigned by the FDIC used to identify institutions and for the issuance of insurance certificates.</t>
  </si>
  <si>
    <t xml:space="preserve">financial_definitions.yaml</t>
  </si>
  <si>
    <t xml:space="preserve">fdic_api_documentation.html → risview_properties.yaml</t>
  </si>
  <si>
    <t xml:space="preserve">Primary join/key component</t>
  </si>
  <si>
    <t xml:space="preserve">The last day of the financial reporting period selected.</t>
  </si>
  <si>
    <t xml:space="preserve">Quarter-key component</t>
  </si>
  <si>
    <t xml:space="preserve">The sum of all assets owned by the institution including cash, loans, securities, bank premises and other assets. This total does not include off-balance-sheet accounts.</t>
  </si>
  <si>
    <t xml:space="preserve">Amount treated as $000 per exercise</t>
  </si>
  <si>
    <t xml:space="preserve">Proxy denominator and fixed weight</t>
  </si>
  <si>
    <t xml:space="preserve">The sum of all deposits including demand deposits, money market deposits, other savings deposits, time deposits and deposits in foreign offices.</t>
  </si>
  <si>
    <t xml:space="preserve">Context / display</t>
  </si>
  <si>
    <t xml:space="preserve">Total equity capital (includes preferred and common stock, surplus and undivided profits).</t>
  </si>
  <si>
    <t xml:space="preserve">Equity/assets numerator</t>
  </si>
  <si>
    <t xml:space="preserve">LOANS AND LEASES-TOTAL</t>
  </si>
  <si>
    <t xml:space="preserve">RE concentration denominator</t>
  </si>
  <si>
    <t xml:space="preserve">RE LOANS</t>
  </si>
  <si>
    <t xml:space="preserve">RE concentration numerator</t>
  </si>
  <si>
    <t xml:space="preserve">90+ DAYS P/D-TOTAL ASSETS</t>
  </si>
  <si>
    <t xml:space="preserve">Proxy numerator component</t>
  </si>
  <si>
    <t xml:space="preserve">NONACCRUAL-TOTAL ASSETS</t>
  </si>
  <si>
    <t xml:space="preserve">Net income after taxes and extraordinary items (annualized) as a percent of average total assets.</t>
  </si>
  <si>
    <t xml:space="preserve">Original percent; ROA already annualized</t>
  </si>
  <si>
    <t xml:space="preserve">Shown without re-annualizing</t>
  </si>
  <si>
    <t xml:space="preserve">TOTAL RBC RATIO-PCA</t>
  </si>
  <si>
    <t xml:space="preserve">Original percent; zero retained and flagged for applicability/reporting verification</t>
  </si>
  <si>
    <t xml:space="preserve">Shown as reported</t>
  </si>
  <si>
    <t xml:space="preserve">FIPS STATE ALPHA CODE</t>
  </si>
  <si>
    <t xml:space="preserve">INSTITUTION FULL NAME</t>
  </si>
  <si>
    <t xml:space="preserve">Institution CERT</t>
  </si>
  <si>
    <t xml:space="preserve">institution_definitions.yaml</t>
  </si>
  <si>
    <t xml:space="preserve">fdic_api_documentation.html → institution_properties.yaml</t>
  </si>
  <si>
    <t xml:space="preserve">Joined by CERT only</t>
  </si>
  <si>
    <t xml:space="preserve">Institution NAME</t>
  </si>
  <si>
    <t xml:space="preserve">The legal title or name of the institution.</t>
  </si>
  <si>
    <t xml:space="preserve">Institution ACTIVE</t>
  </si>
  <si>
    <t xml:space="preserve">A number indicating the status of an institution. 1='Institutions that are currently open and insured by the FDIC'; 0='Institution closed or not insured by FDIC'</t>
  </si>
  <si>
    <t xml:space="preserve">Later snapshot; ACTIVE is not historical status and does not filter financial rows</t>
  </si>
  <si>
    <t xml:space="preserve">Institution REPDTE</t>
  </si>
  <si>
    <t xml:space="preserve">Institution DATEUPDT</t>
  </si>
  <si>
    <t xml:space="preserve">The date of the last data update.</t>
  </si>
  <si>
    <t xml:space="preserve">Institution STALP</t>
  </si>
  <si>
    <t xml:space="preserve">The state abbreviation of the location of the institution's main office.</t>
  </si>
  <si>
    <t xml:space="preserve">Loan review system</t>
  </si>
  <si>
    <t xml:space="preserve">Review should cover grading, changes, ACL information, independence, scope, depth and follow-up.</t>
  </si>
  <si>
    <t xml:space="preserve">FDIC_RMS_Manual_3.2_Loans.pdf</t>
  </si>
  <si>
    <t xml:space="preserve">Manual pp. 3.2-4 to 3.2-5</t>
  </si>
  <si>
    <t xml:space="preserve">No universal threshold supplied</t>
  </si>
  <si>
    <t xml:space="preserve">Supports requests for classifications, grade migration, documentation and follow-up</t>
  </si>
  <si>
    <t xml:space="preserve">Past due and nonaccrual</t>
  </si>
  <si>
    <t xml:space="preserve">High overdue volume can signal liberal standards or weak servicing, but comparisons may mislead because renewal/extension policies vary; consider makeup and reasons.</t>
  </si>
  <si>
    <t xml:space="preserve">Manual pp. 3.2-49 to 3.2-50</t>
  </si>
  <si>
    <t xml:space="preserve">Proxy is not a rating or loan NPL ratio</t>
  </si>
  <si>
    <t xml:space="preserve">Supports loan-level aging, payment, accrual and servicing evidence</t>
  </si>
  <si>
    <t xml:space="preserve">Real estate lending</t>
  </si>
  <si>
    <t xml:space="preserve">Risk depends on loan amount relative to collateral, interest rate and especially repayment ability; policies should fit institution size and scope.</t>
  </si>
  <si>
    <t xml:space="preserve">Manual pp. 3.2-17 to 3.2-18</t>
  </si>
  <si>
    <t xml:space="preserve">Share indicates concentration, not quality</t>
  </si>
  <si>
    <t xml:space="preserve">Supports borrower cash flow, valuation, appraisal and concentration review</t>
  </si>
  <si>
    <t xml:space="preserve">Collateral/documentation</t>
  </si>
  <si>
    <t xml:space="preserve">Loan review considers credit quality, collateral documentation, lien perfection, approvals, covenants, policy compliance and grade timeliness.</t>
  </si>
  <si>
    <t xml:space="preserve">Manual p. 3.2-5</t>
  </si>
  <si>
    <t xml:space="preserve">Evidence must be institution-specific</t>
  </si>
  <si>
    <t xml:space="preserve">Supports specific document requests</t>
  </si>
  <si>
    <t xml:space="preserve">Concentrations</t>
  </si>
  <si>
    <t xml:space="preserve">Lending policies should set portfolio mix/diversification goals and monitor concentrations with corrective action where needed.</t>
  </si>
  <si>
    <t xml:space="preserve">Manual p. 3.2-3 and concentration section p. 3.2-57</t>
  </si>
  <si>
    <t xml:space="preserve">No threshold imported</t>
  </si>
  <si>
    <t xml:space="preserve">Supports concentration reports and stress analysis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</si>
</sst>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sz val="9"/>
      <color rgb="FF40404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EAF2F8"/>
        <bgColor rgb="FFD9EAF7"/>
      </patternFill>
    </fill>
    <fill>
      <patternFill patternType="solid">
        <fgColor rgb="FFD9EAF7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4D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6" min="4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4"/>
      <c r="E4" s="4"/>
      <c r="F4" s="4"/>
    </row>
    <row r="5" customFormat="false" ht="15" hidden="false" customHeight="false" outlineLevel="0" collapsed="false">
      <c r="A5" s="4" t="s">
        <v>5</v>
      </c>
      <c r="B5" s="5" t="n">
        <v>20240630</v>
      </c>
      <c r="C5" s="4" t="s">
        <v>6</v>
      </c>
      <c r="D5" s="4"/>
      <c r="E5" s="4"/>
      <c r="F5" s="4"/>
    </row>
    <row r="6" customFormat="false" ht="15" hidden="false" customHeight="false" outlineLevel="0" collapsed="false">
      <c r="A6" s="4" t="s">
        <v>7</v>
      </c>
      <c r="B6" s="5" t="n">
        <v>20250630</v>
      </c>
      <c r="C6" s="4" t="s">
        <v>8</v>
      </c>
      <c r="D6" s="4"/>
      <c r="E6" s="4"/>
      <c r="F6" s="4"/>
    </row>
    <row r="7" customFormat="false" ht="15" hidden="false" customHeight="false" outlineLevel="0" collapsed="false">
      <c r="A7" s="4" t="s">
        <v>9</v>
      </c>
      <c r="B7" s="5" t="n">
        <v>8</v>
      </c>
      <c r="C7" s="4" t="s">
        <v>10</v>
      </c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9" customFormat="false" ht="15" hidden="false" customHeight="false" outlineLevel="0" collapsed="false">
      <c r="A9" s="4" t="s">
        <v>11</v>
      </c>
      <c r="B9" s="6" t="b">
        <f aca="false">AND(COUNTIF(RawFinancials!$W$5:$W$750,$B$5)&gt;0,COUNTIF(RawFinancials!$W$5:$W$750,$B$6)&gt;0,$B$5&lt;$B$6,ISNUMBER($B$7),$B$7=INT($B$7),$B$7&gt;=3,$B$7&lt;=12,COUNTIFS(BankQuarter!$D$5:$D$750,$B$6,BankQuarter!$R$5:$R$750,TRUE())&gt;=$B$7,COUNTIFS(BankQuarter!$D$5:$D$750,$B$6,BankQuarter!$E$5:$E$750,"VT",BankQuarter!$R$5:$R$750,TRUE())&gt;0,COUNTIFS(BankQuarter!$D$5:$D$750,$B$6,BankQuarter!$E$5:$E$750,"NH",BankQuarter!$R$5:$R$750,TRUE())&gt;0,COUNTIFS(BankQuarter!$D$5:$D$750,$B$6,BankQuarter!$E$5:$E$750,"ME",BankQuarter!$R$5:$R$750,TRUE())&gt;0)</f>
        <v>1</v>
      </c>
      <c r="C9" s="4" t="s">
        <v>12</v>
      </c>
      <c r="D9" s="4"/>
      <c r="E9" s="4"/>
      <c r="F9" s="4"/>
    </row>
    <row r="10" customFormat="false" ht="15" hidden="false" customHeight="false" outlineLevel="0" collapsed="false">
      <c r="A10" s="4" t="s">
        <v>13</v>
      </c>
      <c r="B10" s="6" t="b">
        <f aca="false">COUNTIF(BankQuarter!$T$5:$T$750,TRUE())=0</f>
        <v>1</v>
      </c>
      <c r="C10" s="4" t="s">
        <v>14</v>
      </c>
      <c r="D10" s="4"/>
      <c r="E10" s="4"/>
      <c r="F10" s="4"/>
    </row>
    <row r="11" customFormat="false" ht="15" hidden="false" customHeight="false" outlineLevel="0" collapsed="false">
      <c r="A11" s="4" t="s">
        <v>15</v>
      </c>
      <c r="B11" s="6" t="b">
        <f aca="false">AND($B$5=20240630,$B$6=20250630,$B$7=8,$B$10)</f>
        <v>1</v>
      </c>
      <c r="C11" s="4" t="s">
        <v>16</v>
      </c>
      <c r="D11" s="4"/>
      <c r="E11" s="4"/>
      <c r="F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</row>
    <row r="13" customFormat="false" ht="15" hidden="false" customHeight="false" outlineLevel="0" collapsed="false">
      <c r="A13" s="7" t="s">
        <v>17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8" t="s">
        <v>18</v>
      </c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</sheetData>
  <mergeCells count="3">
    <mergeCell ref="A1:F1"/>
    <mergeCell ref="A2:F2"/>
    <mergeCell ref="A14:F16"/>
  </mergeCells>
  <dataValidations count="2">
    <dataValidation allowBlank="false" errorStyle="stop" operator="between" showDropDown="false" showErrorMessage="false" showInputMessage="false" sqref="B5:B6" type="list">
      <formula1>"20220331,20220630,20220930,20221231,20230331,20230630,20230930,20231231,20240331,20240630,20240930,20241231,20250331,20250630"</formula1>
      <formula2>0</formula2>
    </dataValidation>
    <dataValidation allowBlank="false" errorStyle="stop" operator="between" showDropDown="false" showErrorMessage="false" showInputMessage="false" sqref="B7" type="whole">
      <formula1>3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16" min="16" style="0" width="28"/>
    <col collapsed="false" customWidth="true" hidden="false" outlineLevel="0" max="23" min="23" style="0" width="13"/>
    <col collapsed="false" customWidth="true" hidden="false" outlineLevel="0" max="26" min="26" style="0" width="10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0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3" t="s">
        <v>43</v>
      </c>
      <c r="X4" s="3" t="s">
        <v>44</v>
      </c>
      <c r="Y4" s="3" t="s">
        <v>45</v>
      </c>
      <c r="Z4" s="3" t="s">
        <v>46</v>
      </c>
    </row>
    <row r="5" customFormat="false" ht="15" hidden="false" customHeight="false" outlineLevel="0" collapsed="false">
      <c r="A5" s="4" t="n">
        <v>2</v>
      </c>
      <c r="B5" s="5" t="n">
        <v>3688993</v>
      </c>
      <c r="C5" s="4" t="n">
        <v>11971</v>
      </c>
      <c r="D5" s="4" t="n">
        <v>3055632</v>
      </c>
      <c r="E5" s="4" t="s">
        <v>47</v>
      </c>
      <c r="F5" s="4" t="n">
        <v>461681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  <c r="L5" s="4" t="n">
        <v>2657406</v>
      </c>
      <c r="M5" s="4" t="s">
        <v>53</v>
      </c>
      <c r="N5" s="4" t="n">
        <v>2317079</v>
      </c>
      <c r="O5" s="5" t="n">
        <v>9213</v>
      </c>
      <c r="P5" s="4" t="s">
        <v>54</v>
      </c>
      <c r="Q5" s="4" t="s">
        <v>55</v>
      </c>
      <c r="R5" s="4" t="s">
        <v>56</v>
      </c>
      <c r="S5" s="4" t="s">
        <v>57</v>
      </c>
      <c r="T5" s="4" t="s">
        <v>58</v>
      </c>
      <c r="U5" s="5" t="n">
        <v>843</v>
      </c>
      <c r="V5" s="4" t="n">
        <v>13.6789606326397</v>
      </c>
      <c r="W5" s="4" t="n">
        <v>20220331</v>
      </c>
      <c r="X5" s="4" t="n">
        <v>1.11623429129291</v>
      </c>
      <c r="Y5" s="4" t="s">
        <v>59</v>
      </c>
      <c r="Z5" s="4" t="s">
        <v>60</v>
      </c>
    </row>
    <row r="6" customFormat="false" ht="15" hidden="false" customHeight="false" outlineLevel="0" collapsed="false">
      <c r="A6" s="4" t="n">
        <v>3</v>
      </c>
      <c r="B6" s="5" t="n">
        <v>964163</v>
      </c>
      <c r="C6" s="4" t="n">
        <v>12874</v>
      </c>
      <c r="D6" s="4" t="n">
        <v>854194</v>
      </c>
      <c r="E6" s="4" t="s">
        <v>61</v>
      </c>
      <c r="F6" s="4" t="n">
        <v>97916</v>
      </c>
      <c r="G6" s="4" t="s">
        <v>62</v>
      </c>
      <c r="H6" s="4" t="s">
        <v>63</v>
      </c>
      <c r="I6" s="4" t="s">
        <v>64</v>
      </c>
      <c r="J6" s="4" t="s">
        <v>65</v>
      </c>
      <c r="K6" s="4" t="s">
        <v>66</v>
      </c>
      <c r="L6" s="4" t="n">
        <v>732906</v>
      </c>
      <c r="M6" s="4" t="s">
        <v>67</v>
      </c>
      <c r="N6" s="4" t="n">
        <v>577596</v>
      </c>
      <c r="O6" s="5" t="n">
        <v>1069</v>
      </c>
      <c r="P6" s="4" t="s">
        <v>68</v>
      </c>
      <c r="Q6" s="4" t="s">
        <v>69</v>
      </c>
      <c r="R6" s="4" t="s">
        <v>70</v>
      </c>
      <c r="S6" s="4" t="s">
        <v>71</v>
      </c>
      <c r="T6" s="4" t="s">
        <v>72</v>
      </c>
      <c r="U6" s="5" t="n">
        <v>0</v>
      </c>
      <c r="V6" s="4" t="n">
        <v>15.6016028760784</v>
      </c>
      <c r="W6" s="4" t="n">
        <v>20220331</v>
      </c>
      <c r="X6" s="4" t="n">
        <v>0.831497320164808</v>
      </c>
      <c r="Y6" s="4" t="s">
        <v>73</v>
      </c>
      <c r="Z6" s="4" t="s">
        <v>60</v>
      </c>
    </row>
    <row r="7" customFormat="false" ht="15" hidden="false" customHeight="false" outlineLevel="0" collapsed="false">
      <c r="A7" s="4" t="n">
        <v>4</v>
      </c>
      <c r="B7" s="5" t="n">
        <v>1784835</v>
      </c>
      <c r="C7" s="4" t="n">
        <v>13063</v>
      </c>
      <c r="D7" s="4" t="n">
        <v>1619076</v>
      </c>
      <c r="E7" s="4" t="s">
        <v>61</v>
      </c>
      <c r="F7" s="4" t="n">
        <v>148181</v>
      </c>
      <c r="G7" s="4" t="s">
        <v>74</v>
      </c>
      <c r="H7" s="4" t="s">
        <v>75</v>
      </c>
      <c r="I7" s="4" t="s">
        <v>76</v>
      </c>
      <c r="J7" s="4" t="s">
        <v>77</v>
      </c>
      <c r="K7" s="4" t="s">
        <v>78</v>
      </c>
      <c r="L7" s="4" t="n">
        <v>1223389</v>
      </c>
      <c r="M7" s="4" t="s">
        <v>79</v>
      </c>
      <c r="N7" s="4" t="n">
        <v>1160807</v>
      </c>
      <c r="O7" s="5" t="n">
        <v>408</v>
      </c>
      <c r="P7" s="4" t="s">
        <v>80</v>
      </c>
      <c r="Q7" s="4" t="s">
        <v>81</v>
      </c>
      <c r="R7" s="4" t="s">
        <v>82</v>
      </c>
      <c r="S7" s="4" t="s">
        <v>71</v>
      </c>
      <c r="T7" s="4" t="s">
        <v>83</v>
      </c>
      <c r="U7" s="5" t="n">
        <v>1196</v>
      </c>
      <c r="V7" s="4" t="n">
        <v>0</v>
      </c>
      <c r="W7" s="4" t="n">
        <v>20220331</v>
      </c>
      <c r="X7" s="4" t="n">
        <v>0.482373134010048</v>
      </c>
      <c r="Y7" s="4" t="s">
        <v>84</v>
      </c>
      <c r="Z7" s="4" t="s">
        <v>60</v>
      </c>
    </row>
    <row r="8" customFormat="false" ht="15" hidden="false" customHeight="false" outlineLevel="0" collapsed="false">
      <c r="A8" s="4" t="n">
        <v>5</v>
      </c>
      <c r="B8" s="5" t="n">
        <v>869402</v>
      </c>
      <c r="C8" s="4" t="n">
        <v>14134</v>
      </c>
      <c r="D8" s="4" t="n">
        <v>737795</v>
      </c>
      <c r="E8" s="4" t="s">
        <v>85</v>
      </c>
      <c r="F8" s="4" t="n">
        <v>101808</v>
      </c>
      <c r="G8" s="4" t="s">
        <v>86</v>
      </c>
      <c r="H8" s="4" t="s">
        <v>87</v>
      </c>
      <c r="I8" s="4" t="s">
        <v>88</v>
      </c>
      <c r="J8" s="4" t="s">
        <v>89</v>
      </c>
      <c r="K8" s="4" t="s">
        <v>90</v>
      </c>
      <c r="L8" s="4" t="n">
        <v>596388</v>
      </c>
      <c r="M8" s="4" t="s">
        <v>91</v>
      </c>
      <c r="N8" s="4" t="n">
        <v>516229</v>
      </c>
      <c r="O8" s="5" t="n">
        <v>8014</v>
      </c>
      <c r="P8" s="4" t="s">
        <v>92</v>
      </c>
      <c r="Q8" s="4" t="s">
        <v>93</v>
      </c>
      <c r="R8" s="4" t="s">
        <v>94</v>
      </c>
      <c r="S8" s="4" t="s">
        <v>95</v>
      </c>
      <c r="T8" s="4" t="s">
        <v>96</v>
      </c>
      <c r="U8" s="5" t="n">
        <v>0</v>
      </c>
      <c r="V8" s="4" t="n">
        <v>17.5709830780352</v>
      </c>
      <c r="W8" s="4" t="n">
        <v>20220331</v>
      </c>
      <c r="X8" s="4" t="n">
        <v>-0.387293393035349</v>
      </c>
      <c r="Y8" s="4" t="s">
        <v>97</v>
      </c>
      <c r="Z8" s="4" t="s">
        <v>98</v>
      </c>
    </row>
    <row r="9" customFormat="false" ht="15" hidden="false" customHeight="false" outlineLevel="0" collapsed="false">
      <c r="A9" s="4" t="n">
        <v>6</v>
      </c>
      <c r="B9" s="5" t="n">
        <v>222692</v>
      </c>
      <c r="C9" s="4" t="n">
        <v>14136</v>
      </c>
      <c r="D9" s="4" t="n">
        <v>199279</v>
      </c>
      <c r="E9" s="4" t="s">
        <v>47</v>
      </c>
      <c r="F9" s="4" t="n">
        <v>18834</v>
      </c>
      <c r="G9" s="4" t="s">
        <v>99</v>
      </c>
      <c r="H9" s="4" t="s">
        <v>100</v>
      </c>
      <c r="I9" s="4" t="s">
        <v>101</v>
      </c>
      <c r="J9" s="4" t="s">
        <v>102</v>
      </c>
      <c r="K9" s="4" t="s">
        <v>103</v>
      </c>
      <c r="L9" s="4" t="n">
        <v>121199</v>
      </c>
      <c r="M9" s="4" t="s">
        <v>104</v>
      </c>
      <c r="N9" s="4" t="n">
        <v>96809</v>
      </c>
      <c r="O9" s="5" t="n">
        <v>174</v>
      </c>
      <c r="P9" s="4" t="s">
        <v>105</v>
      </c>
      <c r="Q9" s="4" t="s">
        <v>106</v>
      </c>
      <c r="R9" s="4" t="s">
        <v>107</v>
      </c>
      <c r="S9" s="4" t="s">
        <v>108</v>
      </c>
      <c r="T9" s="4" t="s">
        <v>109</v>
      </c>
      <c r="U9" s="5" t="n">
        <v>639</v>
      </c>
      <c r="V9" s="4" t="n">
        <v>17.2762204998947</v>
      </c>
      <c r="W9" s="4" t="n">
        <v>20220331</v>
      </c>
      <c r="X9" s="4" t="n">
        <v>0.199549216522136</v>
      </c>
      <c r="Y9" s="4" t="s">
        <v>110</v>
      </c>
      <c r="Z9" s="4" t="s">
        <v>98</v>
      </c>
    </row>
    <row r="10" customFormat="false" ht="15" hidden="false" customHeight="false" outlineLevel="0" collapsed="false">
      <c r="A10" s="4" t="n">
        <v>7</v>
      </c>
      <c r="B10" s="5" t="n">
        <v>1414510</v>
      </c>
      <c r="C10" s="4" t="n">
        <v>14140</v>
      </c>
      <c r="D10" s="4" t="n">
        <v>1199427</v>
      </c>
      <c r="E10" s="4" t="s">
        <v>61</v>
      </c>
      <c r="F10" s="4" t="n">
        <v>123854</v>
      </c>
      <c r="G10" s="4" t="s">
        <v>111</v>
      </c>
      <c r="H10" s="4" t="s">
        <v>112</v>
      </c>
      <c r="I10" s="4" t="s">
        <v>113</v>
      </c>
      <c r="J10" s="4" t="s">
        <v>114</v>
      </c>
      <c r="K10" s="4" t="s">
        <v>115</v>
      </c>
      <c r="L10" s="4" t="n">
        <v>957867</v>
      </c>
      <c r="M10" s="4" t="s">
        <v>116</v>
      </c>
      <c r="N10" s="4" t="n">
        <v>866005</v>
      </c>
      <c r="O10" s="5" t="n">
        <v>5589</v>
      </c>
      <c r="P10" s="4" t="s">
        <v>117</v>
      </c>
      <c r="Q10" s="4" t="s">
        <v>118</v>
      </c>
      <c r="R10" s="4" t="s">
        <v>119</v>
      </c>
      <c r="S10" s="4" t="s">
        <v>120</v>
      </c>
      <c r="T10" s="4" t="s">
        <v>121</v>
      </c>
      <c r="U10" s="5" t="n">
        <v>0</v>
      </c>
      <c r="V10" s="4" t="n">
        <v>0</v>
      </c>
      <c r="W10" s="4" t="n">
        <v>20220331</v>
      </c>
      <c r="X10" s="4" t="n">
        <v>0.662126324527825</v>
      </c>
      <c r="Y10" s="4" t="s">
        <v>122</v>
      </c>
      <c r="Z10" s="4" t="s">
        <v>98</v>
      </c>
    </row>
    <row r="11" customFormat="false" ht="15" hidden="false" customHeight="false" outlineLevel="0" collapsed="false">
      <c r="A11" s="4" t="n">
        <v>8</v>
      </c>
      <c r="B11" s="5" t="n">
        <v>1232701</v>
      </c>
      <c r="C11" s="4" t="n">
        <v>14158</v>
      </c>
      <c r="D11" s="4" t="n">
        <v>1137254</v>
      </c>
      <c r="E11" s="4" t="s">
        <v>61</v>
      </c>
      <c r="F11" s="4" t="n">
        <v>85105</v>
      </c>
      <c r="G11" s="4" t="s">
        <v>123</v>
      </c>
      <c r="H11" s="4" t="s">
        <v>124</v>
      </c>
      <c r="I11" s="4" t="s">
        <v>125</v>
      </c>
      <c r="J11" s="4" t="s">
        <v>126</v>
      </c>
      <c r="K11" s="4" t="s">
        <v>127</v>
      </c>
      <c r="L11" s="4" t="n">
        <v>830963</v>
      </c>
      <c r="M11" s="4" t="s">
        <v>128</v>
      </c>
      <c r="N11" s="4" t="n">
        <v>698008</v>
      </c>
      <c r="O11" s="5" t="n">
        <v>4405</v>
      </c>
      <c r="P11" s="4" t="s">
        <v>129</v>
      </c>
      <c r="Q11" s="4" t="s">
        <v>130</v>
      </c>
      <c r="R11" s="4" t="s">
        <v>131</v>
      </c>
      <c r="S11" s="4" t="s">
        <v>61</v>
      </c>
      <c r="T11" s="4" t="s">
        <v>132</v>
      </c>
      <c r="U11" s="5" t="n">
        <v>229</v>
      </c>
      <c r="V11" s="4" t="n">
        <v>14.788125615083</v>
      </c>
      <c r="W11" s="4" t="n">
        <v>20220331</v>
      </c>
      <c r="X11" s="4" t="n">
        <v>0.88329131873326</v>
      </c>
      <c r="Y11" s="4" t="s">
        <v>133</v>
      </c>
      <c r="Z11" s="4" t="s">
        <v>98</v>
      </c>
    </row>
    <row r="12" customFormat="false" ht="15" hidden="false" customHeight="false" outlineLevel="0" collapsed="false">
      <c r="A12" s="4" t="n">
        <v>9</v>
      </c>
      <c r="B12" s="5" t="n">
        <v>384095</v>
      </c>
      <c r="C12" s="4" t="n">
        <v>14168</v>
      </c>
      <c r="D12" s="4" t="n">
        <v>345364</v>
      </c>
      <c r="E12" s="4" t="s">
        <v>61</v>
      </c>
      <c r="F12" s="4" t="n">
        <v>34244</v>
      </c>
      <c r="G12" s="4" t="s">
        <v>134</v>
      </c>
      <c r="H12" s="4" t="s">
        <v>135</v>
      </c>
      <c r="I12" s="4" t="s">
        <v>136</v>
      </c>
      <c r="J12" s="4" t="s">
        <v>137</v>
      </c>
      <c r="K12" s="4" t="s">
        <v>138</v>
      </c>
      <c r="L12" s="4" t="n">
        <v>191155</v>
      </c>
      <c r="M12" s="4" t="s">
        <v>139</v>
      </c>
      <c r="N12" s="4" t="n">
        <v>161619</v>
      </c>
      <c r="O12" s="5" t="n">
        <v>1188</v>
      </c>
      <c r="P12" s="4" t="s">
        <v>140</v>
      </c>
      <c r="Q12" s="4" t="s">
        <v>141</v>
      </c>
      <c r="R12" s="4" t="s">
        <v>142</v>
      </c>
      <c r="S12" s="4" t="s">
        <v>143</v>
      </c>
      <c r="T12" s="4" t="s">
        <v>144</v>
      </c>
      <c r="U12" s="5" t="n">
        <v>0</v>
      </c>
      <c r="V12" s="4" t="n">
        <v>19.8246428808378</v>
      </c>
      <c r="W12" s="4" t="n">
        <v>20220331</v>
      </c>
      <c r="X12" s="4" t="n">
        <v>0.135788316459894</v>
      </c>
      <c r="Y12" s="4" t="s">
        <v>145</v>
      </c>
      <c r="Z12" s="4" t="s">
        <v>98</v>
      </c>
    </row>
    <row r="13" customFormat="false" ht="15" hidden="false" customHeight="false" outlineLevel="0" collapsed="false">
      <c r="A13" s="4" t="n">
        <v>10</v>
      </c>
      <c r="B13" s="5" t="n">
        <v>1221074</v>
      </c>
      <c r="C13" s="4" t="n">
        <v>14240</v>
      </c>
      <c r="D13" s="4" t="n">
        <v>1020645</v>
      </c>
      <c r="E13" s="4" t="s">
        <v>61</v>
      </c>
      <c r="F13" s="4" t="n">
        <v>102113</v>
      </c>
      <c r="G13" s="4" t="s">
        <v>146</v>
      </c>
      <c r="H13" s="4" t="s">
        <v>147</v>
      </c>
      <c r="I13" s="4" t="s">
        <v>148</v>
      </c>
      <c r="J13" s="4" t="s">
        <v>149</v>
      </c>
      <c r="K13" s="4" t="s">
        <v>150</v>
      </c>
      <c r="L13" s="4" t="n">
        <v>824670</v>
      </c>
      <c r="M13" s="4" t="s">
        <v>151</v>
      </c>
      <c r="N13" s="4" t="n">
        <v>705835</v>
      </c>
      <c r="O13" s="5" t="n">
        <v>2204</v>
      </c>
      <c r="P13" s="4" t="s">
        <v>152</v>
      </c>
      <c r="Q13" s="4" t="s">
        <v>153</v>
      </c>
      <c r="R13" s="4" t="s">
        <v>154</v>
      </c>
      <c r="S13" s="4" t="s">
        <v>155</v>
      </c>
      <c r="T13" s="4" t="s">
        <v>156</v>
      </c>
      <c r="U13" s="5" t="n">
        <v>0</v>
      </c>
      <c r="V13" s="4" t="n">
        <v>15.1069923364339</v>
      </c>
      <c r="W13" s="4" t="n">
        <v>20220331</v>
      </c>
      <c r="X13" s="4" t="n">
        <v>0.06981188133279</v>
      </c>
      <c r="Y13" s="4" t="s">
        <v>157</v>
      </c>
      <c r="Z13" s="4" t="s">
        <v>158</v>
      </c>
    </row>
    <row r="14" customFormat="false" ht="15" hidden="false" customHeight="false" outlineLevel="0" collapsed="false">
      <c r="A14" s="4" t="n">
        <v>11</v>
      </c>
      <c r="B14" s="5" t="n">
        <v>836644</v>
      </c>
      <c r="C14" s="4" t="n">
        <v>17115</v>
      </c>
      <c r="D14" s="4" t="n">
        <v>738943</v>
      </c>
      <c r="E14" s="4" t="s">
        <v>159</v>
      </c>
      <c r="F14" s="4" t="n">
        <v>83239</v>
      </c>
      <c r="G14" s="4" t="s">
        <v>160</v>
      </c>
      <c r="H14" s="4" t="s">
        <v>161</v>
      </c>
      <c r="I14" s="4" t="s">
        <v>162</v>
      </c>
      <c r="J14" s="4" t="s">
        <v>163</v>
      </c>
      <c r="K14" s="4" t="s">
        <v>164</v>
      </c>
      <c r="L14" s="4" t="n">
        <v>656481</v>
      </c>
      <c r="M14" s="4" t="s">
        <v>165</v>
      </c>
      <c r="N14" s="4" t="n">
        <v>608827</v>
      </c>
      <c r="O14" s="5" t="n">
        <v>164</v>
      </c>
      <c r="P14" s="4" t="s">
        <v>166</v>
      </c>
      <c r="Q14" s="4" t="s">
        <v>167</v>
      </c>
      <c r="R14" s="4" t="s">
        <v>168</v>
      </c>
      <c r="S14" s="4" t="s">
        <v>169</v>
      </c>
      <c r="T14" s="4" t="s">
        <v>170</v>
      </c>
      <c r="U14" s="5" t="n">
        <v>0</v>
      </c>
      <c r="V14" s="4" t="n">
        <v>15.6064687872223</v>
      </c>
      <c r="W14" s="4" t="n">
        <v>20220331</v>
      </c>
      <c r="X14" s="4" t="n">
        <v>1.11496929665211</v>
      </c>
      <c r="Y14" s="4" t="s">
        <v>171</v>
      </c>
      <c r="Z14" s="4" t="s">
        <v>60</v>
      </c>
    </row>
    <row r="15" customFormat="false" ht="15" hidden="false" customHeight="false" outlineLevel="0" collapsed="false">
      <c r="A15" s="4" t="n">
        <v>12</v>
      </c>
      <c r="B15" s="5" t="n">
        <v>1291920</v>
      </c>
      <c r="C15" s="4" t="n">
        <v>17180</v>
      </c>
      <c r="D15" s="4" t="n">
        <v>1121172</v>
      </c>
      <c r="E15" s="4" t="s">
        <v>172</v>
      </c>
      <c r="F15" s="4" t="n">
        <v>126979</v>
      </c>
      <c r="G15" s="4" t="s">
        <v>173</v>
      </c>
      <c r="H15" s="4" t="s">
        <v>174</v>
      </c>
      <c r="I15" s="4" t="s">
        <v>175</v>
      </c>
      <c r="J15" s="4" t="s">
        <v>176</v>
      </c>
      <c r="K15" s="4" t="s">
        <v>177</v>
      </c>
      <c r="L15" s="4" t="n">
        <v>1143017</v>
      </c>
      <c r="M15" s="4" t="s">
        <v>178</v>
      </c>
      <c r="N15" s="4" t="n">
        <v>937482</v>
      </c>
      <c r="O15" s="5" t="n">
        <v>5753</v>
      </c>
      <c r="P15" s="4" t="s">
        <v>179</v>
      </c>
      <c r="Q15" s="4" t="s">
        <v>180</v>
      </c>
      <c r="R15" s="4" t="s">
        <v>181</v>
      </c>
      <c r="S15" s="4" t="s">
        <v>182</v>
      </c>
      <c r="T15" s="4" t="s">
        <v>183</v>
      </c>
      <c r="U15" s="5" t="n">
        <v>0</v>
      </c>
      <c r="V15" s="4" t="n">
        <v>16.0569431386633</v>
      </c>
      <c r="W15" s="4" t="n">
        <v>20220331</v>
      </c>
      <c r="X15" s="4" t="n">
        <v>0.802789289525275</v>
      </c>
      <c r="Y15" s="4" t="s">
        <v>184</v>
      </c>
      <c r="Z15" s="4" t="s">
        <v>158</v>
      </c>
    </row>
    <row r="16" customFormat="false" ht="15" hidden="false" customHeight="false" outlineLevel="0" collapsed="false">
      <c r="A16" s="4" t="n">
        <v>13</v>
      </c>
      <c r="B16" s="5" t="n">
        <v>352255</v>
      </c>
      <c r="C16" s="4" t="n">
        <v>17443</v>
      </c>
      <c r="D16" s="4" t="n">
        <v>302135</v>
      </c>
      <c r="E16" s="4" t="s">
        <v>172</v>
      </c>
      <c r="F16" s="4" t="n">
        <v>42822</v>
      </c>
      <c r="G16" s="4" t="s">
        <v>185</v>
      </c>
      <c r="H16" s="4" t="s">
        <v>186</v>
      </c>
      <c r="I16" s="4" t="s">
        <v>187</v>
      </c>
      <c r="J16" s="4" t="s">
        <v>61</v>
      </c>
      <c r="K16" s="4" t="s">
        <v>188</v>
      </c>
      <c r="L16" s="4" t="n">
        <v>188952</v>
      </c>
      <c r="M16" s="4" t="s">
        <v>189</v>
      </c>
      <c r="N16" s="4" t="n">
        <v>186037</v>
      </c>
      <c r="O16" s="5" t="n">
        <v>842</v>
      </c>
      <c r="P16" s="4" t="s">
        <v>190</v>
      </c>
      <c r="Q16" s="4" t="s">
        <v>191</v>
      </c>
      <c r="R16" s="4" t="s">
        <v>192</v>
      </c>
      <c r="S16" s="4" t="s">
        <v>61</v>
      </c>
      <c r="T16" s="4" t="s">
        <v>193</v>
      </c>
      <c r="U16" s="5" t="n">
        <v>0</v>
      </c>
      <c r="V16" s="4" t="n">
        <v>0</v>
      </c>
      <c r="W16" s="4" t="n">
        <v>20220331</v>
      </c>
      <c r="X16" s="4" t="n">
        <v>0.619253411177981</v>
      </c>
      <c r="Y16" s="4" t="s">
        <v>194</v>
      </c>
      <c r="Z16" s="4" t="s">
        <v>158</v>
      </c>
    </row>
    <row r="17" customFormat="false" ht="15" hidden="false" customHeight="false" outlineLevel="0" collapsed="false">
      <c r="A17" s="4" t="n">
        <v>14</v>
      </c>
      <c r="B17" s="5" t="n">
        <v>1753308</v>
      </c>
      <c r="C17" s="4" t="n">
        <v>17658</v>
      </c>
      <c r="D17" s="4" t="n">
        <v>1508978</v>
      </c>
      <c r="E17" s="4" t="s">
        <v>195</v>
      </c>
      <c r="F17" s="4" t="n">
        <v>215496</v>
      </c>
      <c r="G17" s="4" t="s">
        <v>196</v>
      </c>
      <c r="H17" s="4" t="s">
        <v>197</v>
      </c>
      <c r="I17" s="4" t="s">
        <v>198</v>
      </c>
      <c r="J17" s="4" t="s">
        <v>199</v>
      </c>
      <c r="K17" s="4" t="s">
        <v>200</v>
      </c>
      <c r="L17" s="4" t="n">
        <v>1075938</v>
      </c>
      <c r="M17" s="4" t="s">
        <v>201</v>
      </c>
      <c r="N17" s="4" t="n">
        <v>932001</v>
      </c>
      <c r="O17" s="5" t="n">
        <v>1019</v>
      </c>
      <c r="P17" s="4" t="s">
        <v>202</v>
      </c>
      <c r="Q17" s="4" t="s">
        <v>203</v>
      </c>
      <c r="R17" s="4" t="s">
        <v>204</v>
      </c>
      <c r="S17" s="4" t="s">
        <v>205</v>
      </c>
      <c r="T17" s="4" t="s">
        <v>206</v>
      </c>
      <c r="U17" s="5" t="n">
        <v>152</v>
      </c>
      <c r="V17" s="4" t="n">
        <v>0</v>
      </c>
      <c r="W17" s="4" t="n">
        <v>20220331</v>
      </c>
      <c r="X17" s="4" t="n">
        <v>0.857754399438039</v>
      </c>
      <c r="Y17" s="4" t="s">
        <v>207</v>
      </c>
      <c r="Z17" s="4" t="s">
        <v>60</v>
      </c>
    </row>
    <row r="18" customFormat="false" ht="15" hidden="false" customHeight="false" outlineLevel="0" collapsed="false">
      <c r="A18" s="4" t="n">
        <v>15</v>
      </c>
      <c r="B18" s="5" t="n">
        <v>1002149</v>
      </c>
      <c r="C18" s="4" t="n">
        <v>17741</v>
      </c>
      <c r="D18" s="4" t="n">
        <v>846927</v>
      </c>
      <c r="E18" s="4" t="s">
        <v>208</v>
      </c>
      <c r="F18" s="4" t="n">
        <v>129919</v>
      </c>
      <c r="G18" s="4" t="s">
        <v>209</v>
      </c>
      <c r="H18" s="4" t="s">
        <v>210</v>
      </c>
      <c r="I18" s="4" t="s">
        <v>211</v>
      </c>
      <c r="J18" s="4" t="s">
        <v>212</v>
      </c>
      <c r="K18" s="4" t="s">
        <v>213</v>
      </c>
      <c r="L18" s="4" t="n">
        <v>796765</v>
      </c>
      <c r="M18" s="4" t="s">
        <v>214</v>
      </c>
      <c r="N18" s="4" t="n">
        <v>747285</v>
      </c>
      <c r="O18" s="5" t="n">
        <v>1717</v>
      </c>
      <c r="P18" s="4" t="s">
        <v>215</v>
      </c>
      <c r="Q18" s="4" t="s">
        <v>216</v>
      </c>
      <c r="R18" s="4" t="s">
        <v>217</v>
      </c>
      <c r="S18" s="4" t="s">
        <v>218</v>
      </c>
      <c r="T18" s="4" t="s">
        <v>219</v>
      </c>
      <c r="U18" s="5" t="n">
        <v>0</v>
      </c>
      <c r="V18" s="4" t="n">
        <v>0</v>
      </c>
      <c r="W18" s="4" t="n">
        <v>20220331</v>
      </c>
      <c r="X18" s="4" t="n">
        <v>0.582462366574648</v>
      </c>
      <c r="Y18" s="4" t="s">
        <v>220</v>
      </c>
      <c r="Z18" s="4" t="s">
        <v>60</v>
      </c>
    </row>
    <row r="19" customFormat="false" ht="15" hidden="false" customHeight="false" outlineLevel="0" collapsed="false">
      <c r="A19" s="4" t="n">
        <v>16</v>
      </c>
      <c r="B19" s="5" t="n">
        <v>1158500</v>
      </c>
      <c r="C19" s="4" t="n">
        <v>17743</v>
      </c>
      <c r="D19" s="4" t="n">
        <v>899083</v>
      </c>
      <c r="E19" s="4" t="s">
        <v>61</v>
      </c>
      <c r="F19" s="4" t="n">
        <v>126783</v>
      </c>
      <c r="G19" s="4" t="s">
        <v>221</v>
      </c>
      <c r="H19" s="4" t="s">
        <v>222</v>
      </c>
      <c r="I19" s="4" t="s">
        <v>223</v>
      </c>
      <c r="J19" s="4" t="s">
        <v>224</v>
      </c>
      <c r="K19" s="4" t="s">
        <v>225</v>
      </c>
      <c r="L19" s="4" t="n">
        <v>918017</v>
      </c>
      <c r="M19" s="4" t="s">
        <v>226</v>
      </c>
      <c r="N19" s="4" t="n">
        <v>873409</v>
      </c>
      <c r="O19" s="5" t="n">
        <v>3568</v>
      </c>
      <c r="P19" s="4" t="s">
        <v>227</v>
      </c>
      <c r="Q19" s="4" t="s">
        <v>228</v>
      </c>
      <c r="R19" s="4" t="s">
        <v>229</v>
      </c>
      <c r="S19" s="4" t="s">
        <v>230</v>
      </c>
      <c r="T19" s="4" t="s">
        <v>231</v>
      </c>
      <c r="U19" s="5" t="n">
        <v>35</v>
      </c>
      <c r="V19" s="4" t="n">
        <v>0</v>
      </c>
      <c r="W19" s="4" t="n">
        <v>20220331</v>
      </c>
      <c r="X19" s="4" t="n">
        <v>0.398424271744013</v>
      </c>
      <c r="Y19" s="4" t="s">
        <v>232</v>
      </c>
      <c r="Z19" s="4" t="s">
        <v>60</v>
      </c>
    </row>
    <row r="20" customFormat="false" ht="15" hidden="false" customHeight="false" outlineLevel="0" collapsed="false">
      <c r="A20" s="4" t="n">
        <v>17</v>
      </c>
      <c r="B20" s="5" t="n">
        <v>1547967</v>
      </c>
      <c r="C20" s="4" t="n">
        <v>17748</v>
      </c>
      <c r="D20" s="4" t="n">
        <v>1360876</v>
      </c>
      <c r="E20" s="4" t="s">
        <v>233</v>
      </c>
      <c r="F20" s="4" t="n">
        <v>122781</v>
      </c>
      <c r="G20" s="4" t="s">
        <v>234</v>
      </c>
      <c r="H20" s="4" t="s">
        <v>235</v>
      </c>
      <c r="I20" s="4" t="s">
        <v>236</v>
      </c>
      <c r="J20" s="4" t="s">
        <v>237</v>
      </c>
      <c r="K20" s="4" t="s">
        <v>238</v>
      </c>
      <c r="L20" s="4" t="n">
        <v>1135646</v>
      </c>
      <c r="M20" s="4" t="s">
        <v>239</v>
      </c>
      <c r="N20" s="4" t="n">
        <v>958834</v>
      </c>
      <c r="O20" s="5" t="n">
        <v>7767</v>
      </c>
      <c r="P20" s="4" t="s">
        <v>240</v>
      </c>
      <c r="Q20" s="4" t="s">
        <v>241</v>
      </c>
      <c r="R20" s="4" t="s">
        <v>242</v>
      </c>
      <c r="S20" s="4" t="s">
        <v>243</v>
      </c>
      <c r="T20" s="4" t="s">
        <v>244</v>
      </c>
      <c r="U20" s="5" t="n">
        <v>0</v>
      </c>
      <c r="V20" s="4" t="n">
        <v>0</v>
      </c>
      <c r="W20" s="4" t="n">
        <v>20220331</v>
      </c>
      <c r="X20" s="4" t="n">
        <v>-0.306198776629676</v>
      </c>
      <c r="Y20" s="4" t="s">
        <v>245</v>
      </c>
      <c r="Z20" s="4" t="s">
        <v>60</v>
      </c>
    </row>
    <row r="21" customFormat="false" ht="15" hidden="false" customHeight="false" outlineLevel="0" collapsed="false">
      <c r="A21" s="0" t="n">
        <v>18</v>
      </c>
      <c r="B21" s="9" t="n">
        <v>1206621</v>
      </c>
      <c r="C21" s="0" t="n">
        <v>17749</v>
      </c>
      <c r="D21" s="0" t="n">
        <v>984705</v>
      </c>
      <c r="E21" s="0" t="s">
        <v>246</v>
      </c>
      <c r="F21" s="0" t="n">
        <v>164326</v>
      </c>
      <c r="G21" s="0" t="s">
        <v>247</v>
      </c>
      <c r="H21" s="0" t="s">
        <v>248</v>
      </c>
      <c r="I21" s="0" t="s">
        <v>249</v>
      </c>
      <c r="J21" s="0" t="s">
        <v>250</v>
      </c>
      <c r="K21" s="0" t="s">
        <v>251</v>
      </c>
      <c r="L21" s="0" t="n">
        <v>665780</v>
      </c>
      <c r="M21" s="0" t="s">
        <v>252</v>
      </c>
      <c r="N21" s="0" t="n">
        <v>595069</v>
      </c>
      <c r="O21" s="9" t="n">
        <v>225</v>
      </c>
      <c r="P21" s="0" t="s">
        <v>253</v>
      </c>
      <c r="Q21" s="0" t="s">
        <v>254</v>
      </c>
      <c r="R21" s="0" t="s">
        <v>255</v>
      </c>
      <c r="S21" s="0" t="s">
        <v>256</v>
      </c>
      <c r="T21" s="0" t="s">
        <v>257</v>
      </c>
      <c r="U21" s="9" t="n">
        <v>27</v>
      </c>
      <c r="V21" s="0" t="n">
        <v>0</v>
      </c>
      <c r="W21" s="0" t="n">
        <v>20220331</v>
      </c>
      <c r="X21" s="0" t="n">
        <v>0.178286406605462</v>
      </c>
      <c r="Y21" s="0" t="s">
        <v>258</v>
      </c>
      <c r="Z21" s="0" t="s">
        <v>60</v>
      </c>
    </row>
    <row r="22" customFormat="false" ht="15" hidden="false" customHeight="false" outlineLevel="0" collapsed="false">
      <c r="A22" s="0" t="n">
        <v>19</v>
      </c>
      <c r="B22" s="9" t="n">
        <v>1361626</v>
      </c>
      <c r="C22" s="0" t="n">
        <v>17751</v>
      </c>
      <c r="D22" s="0" t="n">
        <v>1200633</v>
      </c>
      <c r="E22" s="0" t="s">
        <v>259</v>
      </c>
      <c r="F22" s="0" t="n">
        <v>129404</v>
      </c>
      <c r="G22" s="0" t="s">
        <v>260</v>
      </c>
      <c r="H22" s="0" t="s">
        <v>261</v>
      </c>
      <c r="I22" s="0" t="s">
        <v>262</v>
      </c>
      <c r="J22" s="0" t="s">
        <v>263</v>
      </c>
      <c r="K22" s="0" t="s">
        <v>264</v>
      </c>
      <c r="L22" s="0" t="n">
        <v>1081029</v>
      </c>
      <c r="M22" s="0" t="s">
        <v>265</v>
      </c>
      <c r="N22" s="0" t="n">
        <v>913702</v>
      </c>
      <c r="O22" s="9" t="n">
        <v>2344</v>
      </c>
      <c r="P22" s="0" t="s">
        <v>266</v>
      </c>
      <c r="Q22" s="0" t="s">
        <v>267</v>
      </c>
      <c r="R22" s="0" t="s">
        <v>268</v>
      </c>
      <c r="S22" s="0" t="s">
        <v>205</v>
      </c>
      <c r="T22" s="0" t="s">
        <v>269</v>
      </c>
      <c r="U22" s="9" t="n">
        <v>0</v>
      </c>
      <c r="V22" s="0" t="n">
        <v>13.7738528053916</v>
      </c>
      <c r="W22" s="0" t="n">
        <v>20220331</v>
      </c>
      <c r="X22" s="0" t="n">
        <v>0.508705684917139</v>
      </c>
      <c r="Y22" s="0" t="s">
        <v>270</v>
      </c>
      <c r="Z22" s="0" t="s">
        <v>60</v>
      </c>
    </row>
    <row r="23" customFormat="false" ht="15" hidden="false" customHeight="false" outlineLevel="0" collapsed="false">
      <c r="A23" s="0" t="n">
        <v>20</v>
      </c>
      <c r="B23" s="9" t="n">
        <v>1471217</v>
      </c>
      <c r="C23" s="0" t="n">
        <v>17897</v>
      </c>
      <c r="D23" s="0" t="n">
        <v>1215413</v>
      </c>
      <c r="E23" s="0" t="s">
        <v>271</v>
      </c>
      <c r="F23" s="0" t="n">
        <v>198845</v>
      </c>
      <c r="G23" s="0" t="s">
        <v>272</v>
      </c>
      <c r="H23" s="0" t="s">
        <v>273</v>
      </c>
      <c r="I23" s="0" t="s">
        <v>274</v>
      </c>
      <c r="J23" s="0" t="s">
        <v>275</v>
      </c>
      <c r="K23" s="0" t="s">
        <v>276</v>
      </c>
      <c r="L23" s="0" t="n">
        <v>1226087</v>
      </c>
      <c r="M23" s="0" t="s">
        <v>277</v>
      </c>
      <c r="N23" s="0" t="n">
        <v>1160300</v>
      </c>
      <c r="O23" s="9" t="n">
        <v>3293</v>
      </c>
      <c r="P23" s="0" t="s">
        <v>278</v>
      </c>
      <c r="Q23" s="0" t="s">
        <v>279</v>
      </c>
      <c r="R23" s="0" t="s">
        <v>280</v>
      </c>
      <c r="S23" s="0" t="s">
        <v>281</v>
      </c>
      <c r="T23" s="0" t="s">
        <v>282</v>
      </c>
      <c r="U23" s="9" t="n">
        <v>0</v>
      </c>
      <c r="V23" s="0" t="n">
        <v>0</v>
      </c>
      <c r="W23" s="0" t="n">
        <v>20220331</v>
      </c>
      <c r="X23" s="0" t="n">
        <v>-0.20422436033401</v>
      </c>
      <c r="Y23" s="0" t="s">
        <v>283</v>
      </c>
      <c r="Z23" s="0" t="s">
        <v>60</v>
      </c>
    </row>
    <row r="24" customFormat="false" ht="15" hidden="false" customHeight="false" outlineLevel="0" collapsed="false">
      <c r="A24" s="0" t="n">
        <v>21</v>
      </c>
      <c r="B24" s="9" t="n">
        <v>702702</v>
      </c>
      <c r="C24" s="0" t="n">
        <v>17951</v>
      </c>
      <c r="D24" s="0" t="n">
        <v>626605</v>
      </c>
      <c r="E24" s="0" t="s">
        <v>246</v>
      </c>
      <c r="F24" s="0" t="n">
        <v>57001</v>
      </c>
      <c r="G24" s="0" t="s">
        <v>284</v>
      </c>
      <c r="H24" s="0" t="s">
        <v>285</v>
      </c>
      <c r="I24" s="0" t="s">
        <v>286</v>
      </c>
      <c r="J24" s="0" t="s">
        <v>287</v>
      </c>
      <c r="K24" s="0" t="s">
        <v>288</v>
      </c>
      <c r="L24" s="0" t="n">
        <v>455133</v>
      </c>
      <c r="M24" s="0" t="s">
        <v>289</v>
      </c>
      <c r="N24" s="0" t="n">
        <v>417998</v>
      </c>
      <c r="O24" s="9" t="n">
        <v>1046</v>
      </c>
      <c r="P24" s="0" t="s">
        <v>290</v>
      </c>
      <c r="Q24" s="0" t="s">
        <v>291</v>
      </c>
      <c r="R24" s="0" t="s">
        <v>292</v>
      </c>
      <c r="S24" s="0" t="s">
        <v>293</v>
      </c>
      <c r="T24" s="0" t="s">
        <v>294</v>
      </c>
      <c r="U24" s="9" t="n">
        <v>0</v>
      </c>
      <c r="V24" s="0" t="n">
        <v>15.5380723051999</v>
      </c>
      <c r="W24" s="0" t="n">
        <v>20220331</v>
      </c>
      <c r="X24" s="0" t="n">
        <v>0.914855176699387</v>
      </c>
      <c r="Y24" s="0" t="s">
        <v>295</v>
      </c>
      <c r="Z24" s="0" t="s">
        <v>158</v>
      </c>
    </row>
    <row r="25" customFormat="false" ht="15" hidden="false" customHeight="false" outlineLevel="0" collapsed="false">
      <c r="A25" s="0" t="n">
        <v>22</v>
      </c>
      <c r="B25" s="9" t="n">
        <v>1150436</v>
      </c>
      <c r="C25" s="0" t="n">
        <v>17960</v>
      </c>
      <c r="D25" s="0" t="n">
        <v>962644</v>
      </c>
      <c r="E25" s="0" t="s">
        <v>259</v>
      </c>
      <c r="F25" s="0" t="n">
        <v>107341</v>
      </c>
      <c r="G25" s="0" t="s">
        <v>296</v>
      </c>
      <c r="H25" s="0" t="s">
        <v>297</v>
      </c>
      <c r="I25" s="0" t="s">
        <v>298</v>
      </c>
      <c r="J25" s="0" t="s">
        <v>299</v>
      </c>
      <c r="K25" s="0" t="s">
        <v>300</v>
      </c>
      <c r="L25" s="0" t="n">
        <v>940745</v>
      </c>
      <c r="M25" s="0" t="s">
        <v>301</v>
      </c>
      <c r="N25" s="0" t="n">
        <v>701328</v>
      </c>
      <c r="O25" s="9" t="n">
        <v>462</v>
      </c>
      <c r="P25" s="0" t="s">
        <v>302</v>
      </c>
      <c r="Q25" s="0" t="s">
        <v>303</v>
      </c>
      <c r="R25" s="0" t="s">
        <v>304</v>
      </c>
      <c r="S25" s="0" t="s">
        <v>108</v>
      </c>
      <c r="T25" s="0" t="s">
        <v>305</v>
      </c>
      <c r="U25" s="9" t="n">
        <v>0</v>
      </c>
      <c r="V25" s="0" t="n">
        <v>14.4388795444508</v>
      </c>
      <c r="W25" s="0" t="n">
        <v>20220331</v>
      </c>
      <c r="X25" s="0" t="n">
        <v>0.833049601017634</v>
      </c>
      <c r="Y25" s="0" t="s">
        <v>59</v>
      </c>
      <c r="Z25" s="0" t="s">
        <v>158</v>
      </c>
    </row>
    <row r="26" customFormat="false" ht="15" hidden="false" customHeight="false" outlineLevel="0" collapsed="false">
      <c r="A26" s="0" t="n">
        <v>23</v>
      </c>
      <c r="B26" s="9" t="n">
        <v>2361388</v>
      </c>
      <c r="C26" s="0" t="n">
        <v>18012</v>
      </c>
      <c r="D26" s="0" t="n">
        <v>1985720</v>
      </c>
      <c r="E26" s="0" t="s">
        <v>271</v>
      </c>
      <c r="F26" s="0" t="n">
        <v>235718</v>
      </c>
      <c r="G26" s="0" t="s">
        <v>306</v>
      </c>
      <c r="H26" s="0" t="s">
        <v>307</v>
      </c>
      <c r="I26" s="0" t="s">
        <v>308</v>
      </c>
      <c r="J26" s="0" t="s">
        <v>309</v>
      </c>
      <c r="K26" s="0" t="s">
        <v>310</v>
      </c>
      <c r="L26" s="0" t="n">
        <v>1846391</v>
      </c>
      <c r="M26" s="0" t="s">
        <v>311</v>
      </c>
      <c r="N26" s="0" t="n">
        <v>1710167</v>
      </c>
      <c r="O26" s="9" t="n">
        <v>1611</v>
      </c>
      <c r="P26" s="0" t="s">
        <v>312</v>
      </c>
      <c r="Q26" s="0" t="s">
        <v>313</v>
      </c>
      <c r="R26" s="0" t="s">
        <v>314</v>
      </c>
      <c r="S26" s="0" t="s">
        <v>315</v>
      </c>
      <c r="T26" s="0" t="s">
        <v>316</v>
      </c>
      <c r="U26" s="9" t="n">
        <v>0</v>
      </c>
      <c r="V26" s="0" t="n">
        <v>12.5879724374004</v>
      </c>
      <c r="W26" s="0" t="n">
        <v>20220331</v>
      </c>
      <c r="X26" s="0" t="n">
        <v>1.38990310237064</v>
      </c>
      <c r="Y26" s="0" t="s">
        <v>317</v>
      </c>
      <c r="Z26" s="0" t="s">
        <v>158</v>
      </c>
    </row>
    <row r="27" customFormat="false" ht="15" hidden="false" customHeight="false" outlineLevel="0" collapsed="false">
      <c r="A27" s="0" t="n">
        <v>24</v>
      </c>
      <c r="B27" s="9" t="n">
        <v>2600482</v>
      </c>
      <c r="C27" s="0" t="n">
        <v>18013</v>
      </c>
      <c r="D27" s="0" t="n">
        <v>2300252</v>
      </c>
      <c r="E27" s="0" t="s">
        <v>61</v>
      </c>
      <c r="F27" s="0" t="n">
        <v>212897</v>
      </c>
      <c r="G27" s="0" t="s">
        <v>318</v>
      </c>
      <c r="H27" s="0" t="s">
        <v>319</v>
      </c>
      <c r="I27" s="0" t="s">
        <v>320</v>
      </c>
      <c r="J27" s="0" t="s">
        <v>321</v>
      </c>
      <c r="K27" s="0" t="s">
        <v>322</v>
      </c>
      <c r="L27" s="0" t="n">
        <v>1930494</v>
      </c>
      <c r="M27" s="0" t="s">
        <v>323</v>
      </c>
      <c r="N27" s="0" t="n">
        <v>1765339</v>
      </c>
      <c r="O27" s="9" t="n">
        <v>1382</v>
      </c>
      <c r="P27" s="0" t="s">
        <v>324</v>
      </c>
      <c r="Q27" s="0" t="s">
        <v>325</v>
      </c>
      <c r="R27" s="0" t="s">
        <v>326</v>
      </c>
      <c r="S27" s="0" t="s">
        <v>327</v>
      </c>
      <c r="T27" s="0" t="s">
        <v>328</v>
      </c>
      <c r="U27" s="9" t="n">
        <v>210</v>
      </c>
      <c r="V27" s="0" t="n">
        <v>14.3274834905896</v>
      </c>
      <c r="W27" s="0" t="n">
        <v>20220331</v>
      </c>
      <c r="X27" s="0" t="n">
        <v>0.731150038080731</v>
      </c>
      <c r="Y27" s="0" t="s">
        <v>329</v>
      </c>
      <c r="Z27" s="0" t="s">
        <v>158</v>
      </c>
    </row>
    <row r="28" customFormat="false" ht="15" hidden="false" customHeight="false" outlineLevel="0" collapsed="false">
      <c r="A28" s="0" t="n">
        <v>25</v>
      </c>
      <c r="B28" s="9" t="n">
        <v>376087</v>
      </c>
      <c r="C28" s="0" t="n">
        <v>18028</v>
      </c>
      <c r="D28" s="0" t="n">
        <v>329792</v>
      </c>
      <c r="E28" s="0" t="s">
        <v>330</v>
      </c>
      <c r="F28" s="0" t="n">
        <v>41683</v>
      </c>
      <c r="G28" s="0" t="s">
        <v>331</v>
      </c>
      <c r="H28" s="0" t="s">
        <v>332</v>
      </c>
      <c r="I28" s="0" t="s">
        <v>333</v>
      </c>
      <c r="J28" s="0" t="s">
        <v>334</v>
      </c>
      <c r="K28" s="0" t="s">
        <v>335</v>
      </c>
      <c r="L28" s="0" t="n">
        <v>230734</v>
      </c>
      <c r="M28" s="0" t="s">
        <v>336</v>
      </c>
      <c r="N28" s="0" t="n">
        <v>205024</v>
      </c>
      <c r="O28" s="9" t="n">
        <v>1080</v>
      </c>
      <c r="P28" s="0" t="s">
        <v>337</v>
      </c>
      <c r="Q28" s="0" t="s">
        <v>338</v>
      </c>
      <c r="R28" s="0" t="s">
        <v>339</v>
      </c>
      <c r="S28" s="0" t="s">
        <v>340</v>
      </c>
      <c r="T28" s="0" t="s">
        <v>341</v>
      </c>
      <c r="U28" s="9" t="n">
        <v>46</v>
      </c>
      <c r="V28" s="0" t="n">
        <v>0</v>
      </c>
      <c r="W28" s="0" t="n">
        <v>20220331</v>
      </c>
      <c r="X28" s="0" t="n">
        <v>0.799467731204258</v>
      </c>
      <c r="Y28" s="0" t="s">
        <v>342</v>
      </c>
      <c r="Z28" s="0" t="s">
        <v>158</v>
      </c>
    </row>
    <row r="29" customFormat="false" ht="15" hidden="false" customHeight="false" outlineLevel="0" collapsed="false">
      <c r="A29" s="0" t="n">
        <v>26</v>
      </c>
      <c r="B29" s="9" t="n">
        <v>675480</v>
      </c>
      <c r="C29" s="0" t="n">
        <v>18030</v>
      </c>
      <c r="D29" s="0" t="n">
        <v>625612</v>
      </c>
      <c r="E29" s="0" t="s">
        <v>85</v>
      </c>
      <c r="F29" s="0" t="n">
        <v>47946</v>
      </c>
      <c r="G29" s="0" t="s">
        <v>343</v>
      </c>
      <c r="H29" s="0" t="s">
        <v>344</v>
      </c>
      <c r="I29" s="0" t="s">
        <v>345</v>
      </c>
      <c r="J29" s="0" t="s">
        <v>346</v>
      </c>
      <c r="K29" s="0" t="s">
        <v>347</v>
      </c>
      <c r="L29" s="0" t="n">
        <v>485470</v>
      </c>
      <c r="M29" s="0" t="s">
        <v>348</v>
      </c>
      <c r="N29" s="0" t="n">
        <v>383166</v>
      </c>
      <c r="O29" s="9" t="n">
        <v>602</v>
      </c>
      <c r="P29" s="0" t="s">
        <v>349</v>
      </c>
      <c r="Q29" s="0" t="s">
        <v>350</v>
      </c>
      <c r="R29" s="0" t="s">
        <v>351</v>
      </c>
      <c r="S29" s="0" t="s">
        <v>352</v>
      </c>
      <c r="T29" s="0" t="s">
        <v>353</v>
      </c>
      <c r="U29" s="9" t="n">
        <v>120</v>
      </c>
      <c r="V29" s="0" t="n">
        <v>14.5080691206684</v>
      </c>
      <c r="W29" s="0" t="n">
        <v>20220331</v>
      </c>
      <c r="X29" s="0" t="n">
        <v>0.354625753802855</v>
      </c>
      <c r="Y29" s="0" t="s">
        <v>354</v>
      </c>
      <c r="Z29" s="0" t="s">
        <v>158</v>
      </c>
    </row>
    <row r="30" customFormat="false" ht="15" hidden="false" customHeight="false" outlineLevel="0" collapsed="false">
      <c r="A30" s="0" t="n">
        <v>27</v>
      </c>
      <c r="B30" s="9" t="n">
        <v>618579</v>
      </c>
      <c r="C30" s="0" t="n">
        <v>18031</v>
      </c>
      <c r="D30" s="0" t="n">
        <v>539167</v>
      </c>
      <c r="E30" s="0" t="s">
        <v>61</v>
      </c>
      <c r="F30" s="0" t="n">
        <v>45852</v>
      </c>
      <c r="G30" s="0" t="s">
        <v>355</v>
      </c>
      <c r="H30" s="0" t="s">
        <v>356</v>
      </c>
      <c r="I30" s="0" t="s">
        <v>357</v>
      </c>
      <c r="J30" s="0" t="s">
        <v>358</v>
      </c>
      <c r="K30" s="0" t="s">
        <v>359</v>
      </c>
      <c r="L30" s="0" t="n">
        <v>414273</v>
      </c>
      <c r="M30" s="0" t="s">
        <v>360</v>
      </c>
      <c r="N30" s="0" t="n">
        <v>368428</v>
      </c>
      <c r="O30" s="9" t="n">
        <v>602</v>
      </c>
      <c r="P30" s="0" t="s">
        <v>361</v>
      </c>
      <c r="Q30" s="0" t="s">
        <v>362</v>
      </c>
      <c r="R30" s="0" t="s">
        <v>363</v>
      </c>
      <c r="S30" s="0" t="s">
        <v>95</v>
      </c>
      <c r="T30" s="0" t="s">
        <v>364</v>
      </c>
      <c r="U30" s="9" t="n">
        <v>0</v>
      </c>
      <c r="V30" s="0" t="n">
        <v>0</v>
      </c>
      <c r="W30" s="0" t="n">
        <v>20220331</v>
      </c>
      <c r="X30" s="0" t="n">
        <v>0.474826734203215</v>
      </c>
      <c r="Y30" s="0" t="s">
        <v>365</v>
      </c>
      <c r="Z30" s="0" t="s">
        <v>158</v>
      </c>
    </row>
    <row r="31" customFormat="false" ht="15" hidden="false" customHeight="false" outlineLevel="0" collapsed="false">
      <c r="A31" s="0" t="n">
        <v>28</v>
      </c>
      <c r="B31" s="9" t="n">
        <v>483496</v>
      </c>
      <c r="C31" s="0" t="n">
        <v>18038</v>
      </c>
      <c r="D31" s="0" t="n">
        <v>404536</v>
      </c>
      <c r="E31" s="0" t="s">
        <v>271</v>
      </c>
      <c r="F31" s="0" t="n">
        <v>69131</v>
      </c>
      <c r="G31" s="0" t="s">
        <v>366</v>
      </c>
      <c r="H31" s="0" t="s">
        <v>367</v>
      </c>
      <c r="I31" s="0" t="s">
        <v>368</v>
      </c>
      <c r="J31" s="0" t="s">
        <v>369</v>
      </c>
      <c r="K31" s="0" t="s">
        <v>370</v>
      </c>
      <c r="L31" s="0" t="n">
        <v>356852</v>
      </c>
      <c r="M31" s="0" t="s">
        <v>371</v>
      </c>
      <c r="N31" s="0" t="n">
        <v>335633</v>
      </c>
      <c r="O31" s="9" t="n">
        <v>2487</v>
      </c>
      <c r="P31" s="0" t="s">
        <v>372</v>
      </c>
      <c r="Q31" s="0" t="s">
        <v>373</v>
      </c>
      <c r="R31" s="0" t="s">
        <v>374</v>
      </c>
      <c r="S31" s="0" t="s">
        <v>375</v>
      </c>
      <c r="T31" s="0" t="s">
        <v>376</v>
      </c>
      <c r="U31" s="9" t="n">
        <v>0</v>
      </c>
      <c r="V31" s="0" t="n">
        <v>0</v>
      </c>
      <c r="W31" s="0" t="n">
        <v>20220331</v>
      </c>
      <c r="X31" s="0" t="n">
        <v>-0.708233314868386</v>
      </c>
      <c r="Y31" s="0" t="s">
        <v>377</v>
      </c>
      <c r="Z31" s="0" t="s">
        <v>158</v>
      </c>
    </row>
    <row r="32" customFormat="false" ht="15" hidden="false" customHeight="false" outlineLevel="0" collapsed="false">
      <c r="A32" s="0" t="n">
        <v>29</v>
      </c>
      <c r="B32" s="9" t="n">
        <v>6919263</v>
      </c>
      <c r="C32" s="0" t="n">
        <v>18408</v>
      </c>
      <c r="D32" s="0" t="n">
        <v>5759296</v>
      </c>
      <c r="E32" s="0" t="s">
        <v>61</v>
      </c>
      <c r="F32" s="0" t="n">
        <v>446779</v>
      </c>
      <c r="G32" s="0" t="s">
        <v>378</v>
      </c>
      <c r="H32" s="0" t="s">
        <v>379</v>
      </c>
      <c r="I32" s="0" t="s">
        <v>380</v>
      </c>
      <c r="J32" s="0" t="s">
        <v>381</v>
      </c>
      <c r="K32" s="0" t="s">
        <v>382</v>
      </c>
      <c r="L32" s="0" t="n">
        <v>3977154</v>
      </c>
      <c r="M32" s="0" t="s">
        <v>383</v>
      </c>
      <c r="N32" s="0" t="n">
        <v>3596517</v>
      </c>
      <c r="O32" s="9" t="n">
        <v>4978</v>
      </c>
      <c r="P32" s="0" t="s">
        <v>384</v>
      </c>
      <c r="Q32" s="0" t="s">
        <v>385</v>
      </c>
      <c r="R32" s="0" t="s">
        <v>386</v>
      </c>
      <c r="S32" s="0" t="s">
        <v>387</v>
      </c>
      <c r="T32" s="0" t="s">
        <v>388</v>
      </c>
      <c r="U32" s="9" t="n">
        <v>0</v>
      </c>
      <c r="V32" s="0" t="n">
        <v>13.1233075612294</v>
      </c>
      <c r="W32" s="0" t="n">
        <v>20220331</v>
      </c>
      <c r="X32" s="0" t="n">
        <v>0.599350000296493</v>
      </c>
      <c r="Y32" s="0" t="s">
        <v>389</v>
      </c>
      <c r="Z32" s="0" t="s">
        <v>60</v>
      </c>
    </row>
    <row r="33" customFormat="false" ht="15" hidden="false" customHeight="false" outlineLevel="0" collapsed="false">
      <c r="A33" s="0" t="n">
        <v>30</v>
      </c>
      <c r="B33" s="9" t="n">
        <v>2173098</v>
      </c>
      <c r="C33" s="0" t="n">
        <v>19531</v>
      </c>
      <c r="D33" s="0" t="n">
        <v>1922538</v>
      </c>
      <c r="E33" s="0" t="s">
        <v>390</v>
      </c>
      <c r="F33" s="0" t="n">
        <v>230604</v>
      </c>
      <c r="G33" s="0" t="s">
        <v>391</v>
      </c>
      <c r="H33" s="0" t="s">
        <v>392</v>
      </c>
      <c r="I33" s="0" t="s">
        <v>393</v>
      </c>
      <c r="J33" s="0" t="s">
        <v>394</v>
      </c>
      <c r="K33" s="0" t="s">
        <v>395</v>
      </c>
      <c r="L33" s="0" t="n">
        <v>1643228</v>
      </c>
      <c r="M33" s="0" t="s">
        <v>396</v>
      </c>
      <c r="N33" s="0" t="n">
        <v>1345130</v>
      </c>
      <c r="O33" s="9" t="n">
        <v>5998</v>
      </c>
      <c r="P33" s="0" t="s">
        <v>397</v>
      </c>
      <c r="Q33" s="0" t="s">
        <v>398</v>
      </c>
      <c r="R33" s="0" t="s">
        <v>399</v>
      </c>
      <c r="S33" s="0" t="s">
        <v>400</v>
      </c>
      <c r="T33" s="0" t="s">
        <v>401</v>
      </c>
      <c r="U33" s="9" t="n">
        <v>418</v>
      </c>
      <c r="V33" s="0" t="n">
        <v>15.6563181861576</v>
      </c>
      <c r="W33" s="0" t="n">
        <v>20220331</v>
      </c>
      <c r="X33" s="0" t="n">
        <v>0.72578440299364</v>
      </c>
      <c r="Y33" s="0" t="s">
        <v>402</v>
      </c>
      <c r="Z33" s="0" t="s">
        <v>60</v>
      </c>
    </row>
    <row r="34" customFormat="false" ht="15" hidden="false" customHeight="false" outlineLevel="0" collapsed="false">
      <c r="A34" s="0" t="n">
        <v>31</v>
      </c>
      <c r="B34" s="9" t="n">
        <v>770032</v>
      </c>
      <c r="C34" s="0" t="n">
        <v>19532</v>
      </c>
      <c r="D34" s="0" t="n">
        <v>660375</v>
      </c>
      <c r="E34" s="0" t="s">
        <v>195</v>
      </c>
      <c r="F34" s="0" t="n">
        <v>96137</v>
      </c>
      <c r="G34" s="0" t="s">
        <v>403</v>
      </c>
      <c r="H34" s="0" t="s">
        <v>404</v>
      </c>
      <c r="I34" s="0" t="s">
        <v>405</v>
      </c>
      <c r="J34" s="0" t="s">
        <v>406</v>
      </c>
      <c r="K34" s="0" t="s">
        <v>407</v>
      </c>
      <c r="L34" s="0" t="n">
        <v>500389</v>
      </c>
      <c r="M34" s="0" t="s">
        <v>408</v>
      </c>
      <c r="N34" s="0" t="n">
        <v>433748</v>
      </c>
      <c r="O34" s="9" t="n">
        <v>2804</v>
      </c>
      <c r="P34" s="0" t="s">
        <v>409</v>
      </c>
      <c r="Q34" s="0" t="s">
        <v>410</v>
      </c>
      <c r="R34" s="0" t="s">
        <v>411</v>
      </c>
      <c r="S34" s="0" t="s">
        <v>205</v>
      </c>
      <c r="T34" s="0" t="s">
        <v>412</v>
      </c>
      <c r="U34" s="9" t="n">
        <v>0</v>
      </c>
      <c r="V34" s="0" t="n">
        <v>21.7967561638214</v>
      </c>
      <c r="W34" s="0" t="n">
        <v>20220331</v>
      </c>
      <c r="X34" s="0" t="n">
        <v>0.746105488016068</v>
      </c>
      <c r="Y34" s="0" t="s">
        <v>413</v>
      </c>
      <c r="Z34" s="0" t="s">
        <v>60</v>
      </c>
    </row>
    <row r="35" customFormat="false" ht="15" hidden="false" customHeight="false" outlineLevel="0" collapsed="false">
      <c r="A35" s="0" t="n">
        <v>32</v>
      </c>
      <c r="B35" s="9" t="n">
        <v>1566116</v>
      </c>
      <c r="C35" s="0" t="n">
        <v>19690</v>
      </c>
      <c r="D35" s="0" t="n">
        <v>1284535</v>
      </c>
      <c r="E35" s="0" t="s">
        <v>159</v>
      </c>
      <c r="F35" s="0" t="n">
        <v>247469</v>
      </c>
      <c r="G35" s="0" t="s">
        <v>414</v>
      </c>
      <c r="H35" s="0" t="s">
        <v>415</v>
      </c>
      <c r="I35" s="0" t="s">
        <v>416</v>
      </c>
      <c r="J35" s="0" t="s">
        <v>417</v>
      </c>
      <c r="K35" s="0" t="s">
        <v>418</v>
      </c>
      <c r="L35" s="0" t="n">
        <v>1232325</v>
      </c>
      <c r="M35" s="0" t="s">
        <v>419</v>
      </c>
      <c r="N35" s="0" t="n">
        <v>894476</v>
      </c>
      <c r="O35" s="9" t="n">
        <v>17912</v>
      </c>
      <c r="P35" s="0" t="s">
        <v>420</v>
      </c>
      <c r="Q35" s="0" t="s">
        <v>421</v>
      </c>
      <c r="R35" s="0" t="s">
        <v>422</v>
      </c>
      <c r="S35" s="0" t="s">
        <v>423</v>
      </c>
      <c r="T35" s="0" t="s">
        <v>424</v>
      </c>
      <c r="U35" s="9" t="n">
        <v>0</v>
      </c>
      <c r="V35" s="0" t="n">
        <v>20.6019537877709</v>
      </c>
      <c r="W35" s="0" t="n">
        <v>20220331</v>
      </c>
      <c r="X35" s="0" t="n">
        <v>2.79887682741086</v>
      </c>
      <c r="Y35" s="0" t="s">
        <v>425</v>
      </c>
      <c r="Z35" s="0" t="s">
        <v>60</v>
      </c>
    </row>
    <row r="36" customFormat="false" ht="15" hidden="false" customHeight="false" outlineLevel="0" collapsed="false">
      <c r="A36" s="0" t="n">
        <v>33</v>
      </c>
      <c r="B36" s="9" t="n">
        <v>568589</v>
      </c>
      <c r="C36" s="0" t="n">
        <v>19836</v>
      </c>
      <c r="D36" s="0" t="n">
        <v>449964</v>
      </c>
      <c r="E36" s="0" t="s">
        <v>61</v>
      </c>
      <c r="F36" s="0" t="n">
        <v>112557</v>
      </c>
      <c r="G36" s="0" t="s">
        <v>426</v>
      </c>
      <c r="H36" s="0" t="s">
        <v>427</v>
      </c>
      <c r="I36" s="0" t="s">
        <v>428</v>
      </c>
      <c r="J36" s="0" t="s">
        <v>429</v>
      </c>
      <c r="K36" s="0" t="s">
        <v>430</v>
      </c>
      <c r="L36" s="0" t="n">
        <v>427806</v>
      </c>
      <c r="M36" s="0" t="s">
        <v>431</v>
      </c>
      <c r="N36" s="0" t="n">
        <v>366535</v>
      </c>
      <c r="O36" s="9" t="n">
        <v>1696</v>
      </c>
      <c r="P36" s="0" t="s">
        <v>290</v>
      </c>
      <c r="Q36" s="0" t="s">
        <v>432</v>
      </c>
      <c r="R36" s="0" t="s">
        <v>433</v>
      </c>
      <c r="S36" s="0" t="s">
        <v>205</v>
      </c>
      <c r="T36" s="0" t="s">
        <v>434</v>
      </c>
      <c r="U36" s="9" t="n">
        <v>91</v>
      </c>
      <c r="V36" s="0" t="n">
        <v>31.7038496016565</v>
      </c>
      <c r="W36" s="0" t="n">
        <v>20220331</v>
      </c>
      <c r="X36" s="0" t="n">
        <v>0.707485161136119</v>
      </c>
      <c r="Y36" s="0" t="s">
        <v>435</v>
      </c>
      <c r="Z36" s="0" t="s">
        <v>60</v>
      </c>
    </row>
    <row r="37" customFormat="false" ht="15" hidden="false" customHeight="false" outlineLevel="0" collapsed="false">
      <c r="A37" s="0" t="n">
        <v>34</v>
      </c>
      <c r="B37" s="9" t="n">
        <v>1244446</v>
      </c>
      <c r="C37" s="0" t="n">
        <v>24540</v>
      </c>
      <c r="D37" s="0" t="n">
        <v>1040872</v>
      </c>
      <c r="E37" s="0" t="s">
        <v>436</v>
      </c>
      <c r="F37" s="0" t="n">
        <v>192853</v>
      </c>
      <c r="G37" s="0" t="s">
        <v>437</v>
      </c>
      <c r="H37" s="0" t="s">
        <v>438</v>
      </c>
      <c r="I37" s="0" t="s">
        <v>439</v>
      </c>
      <c r="J37" s="0" t="s">
        <v>440</v>
      </c>
      <c r="K37" s="0" t="s">
        <v>441</v>
      </c>
      <c r="L37" s="0" t="n">
        <v>1020810</v>
      </c>
      <c r="M37" s="0" t="s">
        <v>442</v>
      </c>
      <c r="N37" s="0" t="n">
        <v>977701</v>
      </c>
      <c r="O37" s="9" t="n">
        <v>815</v>
      </c>
      <c r="P37" s="0" t="s">
        <v>443</v>
      </c>
      <c r="Q37" s="0" t="s">
        <v>444</v>
      </c>
      <c r="R37" s="0" t="s">
        <v>445</v>
      </c>
      <c r="S37" s="0" t="s">
        <v>61</v>
      </c>
      <c r="T37" s="0" t="s">
        <v>61</v>
      </c>
      <c r="U37" s="9" t="n">
        <v>0</v>
      </c>
      <c r="V37" s="0" t="n">
        <v>0</v>
      </c>
      <c r="W37" s="0" t="n">
        <v>20220331</v>
      </c>
      <c r="X37" s="0" t="n">
        <v>2.22850033777255</v>
      </c>
      <c r="Y37" s="0" t="s">
        <v>446</v>
      </c>
      <c r="Z37" s="0" t="s">
        <v>158</v>
      </c>
    </row>
    <row r="38" customFormat="false" ht="15" hidden="false" customHeight="false" outlineLevel="0" collapsed="false">
      <c r="A38" s="0" t="n">
        <v>35</v>
      </c>
      <c r="B38" s="9" t="n">
        <v>458925</v>
      </c>
      <c r="C38" s="0" t="n">
        <v>27824</v>
      </c>
      <c r="D38" s="0" t="n">
        <v>369032</v>
      </c>
      <c r="E38" s="0" t="s">
        <v>61</v>
      </c>
      <c r="F38" s="0" t="n">
        <v>69307</v>
      </c>
      <c r="G38" s="0" t="s">
        <v>447</v>
      </c>
      <c r="H38" s="0" t="s">
        <v>448</v>
      </c>
      <c r="I38" s="0" t="s">
        <v>449</v>
      </c>
      <c r="J38" s="0" t="s">
        <v>450</v>
      </c>
      <c r="K38" s="0" t="s">
        <v>451</v>
      </c>
      <c r="L38" s="0" t="n">
        <v>364112</v>
      </c>
      <c r="M38" s="0" t="s">
        <v>452</v>
      </c>
      <c r="N38" s="0" t="n">
        <v>321326</v>
      </c>
      <c r="O38" s="9" t="n">
        <v>916</v>
      </c>
      <c r="P38" s="0" t="s">
        <v>453</v>
      </c>
      <c r="Q38" s="0" t="s">
        <v>454</v>
      </c>
      <c r="R38" s="0" t="s">
        <v>455</v>
      </c>
      <c r="S38" s="0" t="s">
        <v>61</v>
      </c>
      <c r="T38" s="0" t="s">
        <v>456</v>
      </c>
      <c r="U38" s="9" t="n">
        <v>0</v>
      </c>
      <c r="V38" s="0" t="n">
        <v>25.9429561741573</v>
      </c>
      <c r="W38" s="0" t="n">
        <v>20220331</v>
      </c>
      <c r="X38" s="0" t="n">
        <v>0.26632984641793</v>
      </c>
      <c r="Y38" s="0" t="s">
        <v>457</v>
      </c>
      <c r="Z38" s="0" t="s">
        <v>158</v>
      </c>
    </row>
    <row r="39" customFormat="false" ht="15" hidden="false" customHeight="false" outlineLevel="0" collapsed="false">
      <c r="A39" s="0" t="n">
        <v>36</v>
      </c>
      <c r="B39" s="9" t="n">
        <v>281830</v>
      </c>
      <c r="C39" s="0" t="n">
        <v>28155</v>
      </c>
      <c r="D39" s="0" t="n">
        <v>253420</v>
      </c>
      <c r="E39" s="0" t="s">
        <v>259</v>
      </c>
      <c r="F39" s="0" t="n">
        <v>27480</v>
      </c>
      <c r="G39" s="0" t="s">
        <v>458</v>
      </c>
      <c r="H39" s="0" t="s">
        <v>459</v>
      </c>
      <c r="I39" s="0" t="s">
        <v>460</v>
      </c>
      <c r="J39" s="0" t="s">
        <v>461</v>
      </c>
      <c r="K39" s="0" t="s">
        <v>462</v>
      </c>
      <c r="L39" s="0" t="n">
        <v>147197</v>
      </c>
      <c r="M39" s="0" t="s">
        <v>463</v>
      </c>
      <c r="N39" s="0" t="n">
        <v>137297</v>
      </c>
      <c r="O39" s="9" t="n">
        <v>206</v>
      </c>
      <c r="P39" s="0" t="s">
        <v>464</v>
      </c>
      <c r="Q39" s="0" t="s">
        <v>465</v>
      </c>
      <c r="R39" s="0" t="s">
        <v>466</v>
      </c>
      <c r="S39" s="0" t="s">
        <v>61</v>
      </c>
      <c r="T39" s="0" t="s">
        <v>467</v>
      </c>
      <c r="U39" s="9" t="n">
        <v>0</v>
      </c>
      <c r="V39" s="0" t="n">
        <v>19.3787051455993</v>
      </c>
      <c r="W39" s="0" t="n">
        <v>20220331</v>
      </c>
      <c r="X39" s="0" t="n">
        <v>0.225168568578782</v>
      </c>
      <c r="Y39" s="0" t="s">
        <v>468</v>
      </c>
      <c r="Z39" s="0" t="s">
        <v>158</v>
      </c>
    </row>
    <row r="40" customFormat="false" ht="15" hidden="false" customHeight="false" outlineLevel="0" collapsed="false">
      <c r="A40" s="0" t="n">
        <v>37</v>
      </c>
      <c r="B40" s="9" t="n">
        <v>92044</v>
      </c>
      <c r="C40" s="0" t="n">
        <v>28288</v>
      </c>
      <c r="D40" s="0" t="n">
        <v>76920</v>
      </c>
      <c r="E40" s="0" t="s">
        <v>61</v>
      </c>
      <c r="F40" s="0" t="n">
        <v>7147</v>
      </c>
      <c r="G40" s="0" t="s">
        <v>469</v>
      </c>
      <c r="H40" s="0" t="s">
        <v>470</v>
      </c>
      <c r="I40" s="0" t="s">
        <v>471</v>
      </c>
      <c r="J40" s="0" t="s">
        <v>472</v>
      </c>
      <c r="K40" s="0" t="s">
        <v>473</v>
      </c>
      <c r="L40" s="0" t="n">
        <v>74646</v>
      </c>
      <c r="M40" s="0" t="s">
        <v>474</v>
      </c>
      <c r="N40" s="0" t="n">
        <v>70352</v>
      </c>
      <c r="O40" s="9" t="n">
        <v>606</v>
      </c>
      <c r="P40" s="0" t="s">
        <v>475</v>
      </c>
      <c r="Q40" s="0" t="s">
        <v>476</v>
      </c>
      <c r="R40" s="0" t="s">
        <v>477</v>
      </c>
      <c r="S40" s="0" t="s">
        <v>478</v>
      </c>
      <c r="T40" s="0" t="s">
        <v>479</v>
      </c>
      <c r="U40" s="9" t="n">
        <v>0</v>
      </c>
      <c r="V40" s="0" t="n">
        <v>14.4674296503636</v>
      </c>
      <c r="W40" s="0" t="n">
        <v>20220331</v>
      </c>
      <c r="X40" s="0" t="n">
        <v>0.00432537644291855</v>
      </c>
      <c r="Y40" s="0" t="s">
        <v>246</v>
      </c>
      <c r="Z40" s="0" t="s">
        <v>60</v>
      </c>
    </row>
    <row r="41" customFormat="false" ht="15" hidden="false" customHeight="false" outlineLevel="0" collapsed="false">
      <c r="A41" s="0" t="n">
        <v>38</v>
      </c>
      <c r="B41" s="9" t="n">
        <v>85281</v>
      </c>
      <c r="C41" s="0" t="n">
        <v>28369</v>
      </c>
      <c r="D41" s="0" t="n">
        <v>75519</v>
      </c>
      <c r="E41" s="0" t="s">
        <v>259</v>
      </c>
      <c r="F41" s="0" t="n">
        <v>9337</v>
      </c>
      <c r="G41" s="0" t="s">
        <v>480</v>
      </c>
      <c r="H41" s="0" t="s">
        <v>481</v>
      </c>
      <c r="I41" s="0" t="s">
        <v>482</v>
      </c>
      <c r="J41" s="0" t="s">
        <v>483</v>
      </c>
      <c r="K41" s="0" t="s">
        <v>484</v>
      </c>
      <c r="L41" s="0" t="n">
        <v>72385</v>
      </c>
      <c r="M41" s="0" t="s">
        <v>485</v>
      </c>
      <c r="N41" s="0" t="n">
        <v>61802</v>
      </c>
      <c r="O41" s="9" t="n">
        <v>440</v>
      </c>
      <c r="P41" s="0" t="s">
        <v>486</v>
      </c>
      <c r="Q41" s="0" t="s">
        <v>487</v>
      </c>
      <c r="R41" s="0" t="s">
        <v>488</v>
      </c>
      <c r="S41" s="0" t="s">
        <v>293</v>
      </c>
      <c r="T41" s="0" t="s">
        <v>489</v>
      </c>
      <c r="U41" s="9" t="n">
        <v>0</v>
      </c>
      <c r="V41" s="0" t="n">
        <v>0</v>
      </c>
      <c r="W41" s="0" t="n">
        <v>20220331</v>
      </c>
      <c r="X41" s="0" t="n">
        <v>-0.0793086154815083</v>
      </c>
      <c r="Y41" s="0" t="s">
        <v>490</v>
      </c>
      <c r="Z41" s="0" t="s">
        <v>60</v>
      </c>
    </row>
    <row r="42" customFormat="false" ht="15" hidden="false" customHeight="false" outlineLevel="0" collapsed="false">
      <c r="A42" s="0" t="n">
        <v>39</v>
      </c>
      <c r="B42" s="9" t="n">
        <v>300452</v>
      </c>
      <c r="C42" s="0" t="n">
        <v>28837</v>
      </c>
      <c r="D42" s="0" t="n">
        <v>273714</v>
      </c>
      <c r="E42" s="0" t="s">
        <v>246</v>
      </c>
      <c r="F42" s="0" t="n">
        <v>22104</v>
      </c>
      <c r="G42" s="0" t="s">
        <v>491</v>
      </c>
      <c r="H42" s="0" t="s">
        <v>492</v>
      </c>
      <c r="I42" s="0" t="s">
        <v>493</v>
      </c>
      <c r="J42" s="0" t="s">
        <v>494</v>
      </c>
      <c r="K42" s="0" t="s">
        <v>495</v>
      </c>
      <c r="L42" s="0" t="n">
        <v>189360</v>
      </c>
      <c r="M42" s="0" t="s">
        <v>496</v>
      </c>
      <c r="N42" s="0" t="n">
        <v>180942</v>
      </c>
      <c r="O42" s="9" t="n">
        <v>71</v>
      </c>
      <c r="P42" s="0" t="s">
        <v>497</v>
      </c>
      <c r="Q42" s="0" t="s">
        <v>498</v>
      </c>
      <c r="R42" s="0" t="s">
        <v>499</v>
      </c>
      <c r="S42" s="0" t="s">
        <v>500</v>
      </c>
      <c r="T42" s="0" t="s">
        <v>501</v>
      </c>
      <c r="U42" s="9" t="n">
        <v>0</v>
      </c>
      <c r="V42" s="0" t="n">
        <v>14.5340591975845</v>
      </c>
      <c r="W42" s="0" t="n">
        <v>20220331</v>
      </c>
      <c r="X42" s="0" t="n">
        <v>0.308720697205283</v>
      </c>
      <c r="Y42" s="0" t="s">
        <v>502</v>
      </c>
      <c r="Z42" s="0" t="s">
        <v>98</v>
      </c>
    </row>
    <row r="43" customFormat="false" ht="15" hidden="false" customHeight="false" outlineLevel="0" collapsed="false">
      <c r="A43" s="0" t="n">
        <v>40</v>
      </c>
      <c r="B43" s="9" t="n">
        <v>179872</v>
      </c>
      <c r="C43" s="0" t="n">
        <v>29636</v>
      </c>
      <c r="D43" s="0" t="n">
        <v>154524</v>
      </c>
      <c r="E43" s="0" t="s">
        <v>208</v>
      </c>
      <c r="F43" s="0" t="n">
        <v>24006</v>
      </c>
      <c r="G43" s="0" t="s">
        <v>503</v>
      </c>
      <c r="H43" s="0" t="s">
        <v>504</v>
      </c>
      <c r="I43" s="0" t="s">
        <v>505</v>
      </c>
      <c r="J43" s="0" t="s">
        <v>506</v>
      </c>
      <c r="K43" s="0" t="s">
        <v>507</v>
      </c>
      <c r="L43" s="0" t="n">
        <v>108632</v>
      </c>
      <c r="M43" s="0" t="s">
        <v>508</v>
      </c>
      <c r="N43" s="0" t="n">
        <v>105234</v>
      </c>
      <c r="O43" s="9" t="n">
        <v>1233</v>
      </c>
      <c r="P43" s="0" t="s">
        <v>509</v>
      </c>
      <c r="Q43" s="0" t="s">
        <v>510</v>
      </c>
      <c r="R43" s="0" t="s">
        <v>511</v>
      </c>
      <c r="S43" s="0" t="s">
        <v>478</v>
      </c>
      <c r="T43" s="0" t="s">
        <v>512</v>
      </c>
      <c r="U43" s="9" t="n">
        <v>0</v>
      </c>
      <c r="V43" s="0" t="n">
        <v>31.9768238739019</v>
      </c>
      <c r="W43" s="0" t="n">
        <v>20220331</v>
      </c>
      <c r="X43" s="0" t="n">
        <v>0.0400102248352357</v>
      </c>
      <c r="Y43" s="0" t="s">
        <v>513</v>
      </c>
      <c r="Z43" s="0" t="s">
        <v>60</v>
      </c>
    </row>
    <row r="44" customFormat="false" ht="15" hidden="false" customHeight="false" outlineLevel="0" collapsed="false">
      <c r="A44" s="0" t="n">
        <v>41</v>
      </c>
      <c r="B44" s="9" t="n">
        <v>172820</v>
      </c>
      <c r="C44" s="0" t="n">
        <v>29743</v>
      </c>
      <c r="D44" s="0" t="n">
        <v>154916</v>
      </c>
      <c r="E44" s="0" t="s">
        <v>61</v>
      </c>
      <c r="F44" s="0" t="n">
        <v>15360</v>
      </c>
      <c r="G44" s="0" t="s">
        <v>514</v>
      </c>
      <c r="H44" s="0" t="s">
        <v>515</v>
      </c>
      <c r="I44" s="0" t="s">
        <v>516</v>
      </c>
      <c r="J44" s="0" t="s">
        <v>517</v>
      </c>
      <c r="K44" s="0" t="s">
        <v>518</v>
      </c>
      <c r="L44" s="0" t="n">
        <v>116977</v>
      </c>
      <c r="M44" s="0" t="s">
        <v>519</v>
      </c>
      <c r="N44" s="0" t="n">
        <v>77243</v>
      </c>
      <c r="O44" s="9" t="n">
        <v>442</v>
      </c>
      <c r="P44" s="0" t="s">
        <v>520</v>
      </c>
      <c r="Q44" s="0" t="s">
        <v>521</v>
      </c>
      <c r="R44" s="0" t="s">
        <v>522</v>
      </c>
      <c r="S44" s="0" t="s">
        <v>281</v>
      </c>
      <c r="T44" s="0" t="s">
        <v>523</v>
      </c>
      <c r="U44" s="9" t="n">
        <v>0</v>
      </c>
      <c r="V44" s="0" t="n">
        <v>17.2715138879417</v>
      </c>
      <c r="W44" s="0" t="n">
        <v>20220331</v>
      </c>
      <c r="X44" s="0" t="n">
        <v>0.608807104275382</v>
      </c>
      <c r="Y44" s="0" t="s">
        <v>524</v>
      </c>
      <c r="Z44" s="0" t="s">
        <v>60</v>
      </c>
    </row>
    <row r="45" customFormat="false" ht="15" hidden="false" customHeight="false" outlineLevel="0" collapsed="false">
      <c r="A45" s="0" t="n">
        <v>42</v>
      </c>
      <c r="B45" s="9" t="n">
        <v>499707</v>
      </c>
      <c r="C45" s="0" t="n">
        <v>29744</v>
      </c>
      <c r="D45" s="0" t="n">
        <v>400905</v>
      </c>
      <c r="E45" s="0" t="s">
        <v>246</v>
      </c>
      <c r="F45" s="0" t="n">
        <v>46362</v>
      </c>
      <c r="G45" s="0" t="s">
        <v>525</v>
      </c>
      <c r="H45" s="0" t="s">
        <v>526</v>
      </c>
      <c r="I45" s="0" t="s">
        <v>527</v>
      </c>
      <c r="J45" s="0" t="s">
        <v>528</v>
      </c>
      <c r="K45" s="0" t="s">
        <v>529</v>
      </c>
      <c r="L45" s="0" t="n">
        <v>379456</v>
      </c>
      <c r="M45" s="0" t="s">
        <v>530</v>
      </c>
      <c r="N45" s="0" t="n">
        <v>345285</v>
      </c>
      <c r="O45" s="9" t="n">
        <v>795</v>
      </c>
      <c r="P45" s="0" t="s">
        <v>531</v>
      </c>
      <c r="Q45" s="0" t="s">
        <v>532</v>
      </c>
      <c r="R45" s="0" t="s">
        <v>533</v>
      </c>
      <c r="S45" s="0" t="s">
        <v>534</v>
      </c>
      <c r="T45" s="0" t="s">
        <v>535</v>
      </c>
      <c r="U45" s="9" t="n">
        <v>0</v>
      </c>
      <c r="V45" s="0" t="n">
        <v>17.2969821518877</v>
      </c>
      <c r="W45" s="0" t="n">
        <v>20220331</v>
      </c>
      <c r="X45" s="0" t="n">
        <v>0.319298839198795</v>
      </c>
      <c r="Y45" s="0" t="s">
        <v>536</v>
      </c>
      <c r="Z45" s="0" t="s">
        <v>158</v>
      </c>
    </row>
    <row r="46" customFormat="false" ht="15" hidden="false" customHeight="false" outlineLevel="0" collapsed="false">
      <c r="A46" s="0" t="n">
        <v>43</v>
      </c>
      <c r="B46" s="9" t="n">
        <v>558084</v>
      </c>
      <c r="C46" s="0" t="n">
        <v>30350</v>
      </c>
      <c r="D46" s="0" t="n">
        <v>471489</v>
      </c>
      <c r="E46" s="0" t="s">
        <v>61</v>
      </c>
      <c r="F46" s="0" t="n">
        <v>51735</v>
      </c>
      <c r="G46" s="0" t="s">
        <v>537</v>
      </c>
      <c r="H46" s="0" t="s">
        <v>538</v>
      </c>
      <c r="I46" s="0" t="s">
        <v>539</v>
      </c>
      <c r="J46" s="0" t="s">
        <v>540</v>
      </c>
      <c r="K46" s="0" t="s">
        <v>541</v>
      </c>
      <c r="L46" s="0" t="n">
        <v>367722</v>
      </c>
      <c r="M46" s="0" t="s">
        <v>542</v>
      </c>
      <c r="N46" s="0" t="n">
        <v>353740</v>
      </c>
      <c r="O46" s="9" t="n">
        <v>2750</v>
      </c>
      <c r="P46" s="0" t="s">
        <v>543</v>
      </c>
      <c r="Q46" s="0" t="s">
        <v>544</v>
      </c>
      <c r="R46" s="0" t="s">
        <v>545</v>
      </c>
      <c r="S46" s="0" t="s">
        <v>155</v>
      </c>
      <c r="T46" s="0" t="s">
        <v>546</v>
      </c>
      <c r="U46" s="9" t="n">
        <v>0</v>
      </c>
      <c r="V46" s="0" t="n">
        <v>21.5752243865437</v>
      </c>
      <c r="W46" s="0" t="n">
        <v>20220331</v>
      </c>
      <c r="X46" s="0" t="n">
        <v>0.631458667705776</v>
      </c>
      <c r="Y46" s="0" t="s">
        <v>547</v>
      </c>
      <c r="Z46" s="0" t="s">
        <v>98</v>
      </c>
    </row>
    <row r="47" customFormat="false" ht="15" hidden="false" customHeight="false" outlineLevel="0" collapsed="false">
      <c r="A47" s="0" t="n">
        <v>44</v>
      </c>
      <c r="B47" s="9" t="n">
        <v>100633</v>
      </c>
      <c r="C47" s="0" t="n">
        <v>30878</v>
      </c>
      <c r="D47" s="0" t="n">
        <v>78705</v>
      </c>
      <c r="E47" s="0" t="s">
        <v>61</v>
      </c>
      <c r="F47" s="0" t="n">
        <v>12369</v>
      </c>
      <c r="G47" s="0" t="s">
        <v>548</v>
      </c>
      <c r="H47" s="0" t="s">
        <v>549</v>
      </c>
      <c r="I47" s="0" t="s">
        <v>550</v>
      </c>
      <c r="J47" s="0" t="s">
        <v>61</v>
      </c>
      <c r="K47" s="0" t="s">
        <v>551</v>
      </c>
      <c r="L47" s="0" t="n">
        <v>68876</v>
      </c>
      <c r="M47" s="0" t="s">
        <v>552</v>
      </c>
      <c r="N47" s="0" t="n">
        <v>68753</v>
      </c>
      <c r="O47" s="9" t="n">
        <v>539</v>
      </c>
      <c r="P47" s="0" t="s">
        <v>553</v>
      </c>
      <c r="Q47" s="0" t="s">
        <v>554</v>
      </c>
      <c r="R47" s="0" t="s">
        <v>555</v>
      </c>
      <c r="S47" s="0" t="s">
        <v>61</v>
      </c>
      <c r="T47" s="0" t="s">
        <v>556</v>
      </c>
      <c r="U47" s="9" t="n">
        <v>0</v>
      </c>
      <c r="V47" s="0" t="n">
        <v>0</v>
      </c>
      <c r="W47" s="0" t="n">
        <v>20220331</v>
      </c>
      <c r="X47" s="0" t="n">
        <v>0.175102599179207</v>
      </c>
      <c r="Y47" s="0" t="s">
        <v>557</v>
      </c>
      <c r="Z47" s="0" t="s">
        <v>60</v>
      </c>
    </row>
    <row r="48" customFormat="false" ht="15" hidden="false" customHeight="false" outlineLevel="0" collapsed="false">
      <c r="A48" s="0" t="n">
        <v>45</v>
      </c>
      <c r="B48" s="9" t="n">
        <v>757509</v>
      </c>
      <c r="C48" s="0" t="n">
        <v>33418</v>
      </c>
      <c r="D48" s="0" t="n">
        <v>686918</v>
      </c>
      <c r="E48" s="0" t="s">
        <v>61</v>
      </c>
      <c r="F48" s="0" t="n">
        <v>49895</v>
      </c>
      <c r="G48" s="0" t="s">
        <v>558</v>
      </c>
      <c r="H48" s="0" t="s">
        <v>559</v>
      </c>
      <c r="I48" s="0" t="s">
        <v>560</v>
      </c>
      <c r="J48" s="0" t="s">
        <v>561</v>
      </c>
      <c r="K48" s="0" t="s">
        <v>562</v>
      </c>
      <c r="L48" s="0" t="n">
        <v>358959</v>
      </c>
      <c r="M48" s="0" t="s">
        <v>563</v>
      </c>
      <c r="N48" s="0" t="n">
        <v>303204</v>
      </c>
      <c r="O48" s="9" t="n">
        <v>1659</v>
      </c>
      <c r="P48" s="0" t="s">
        <v>564</v>
      </c>
      <c r="Q48" s="0" t="s">
        <v>565</v>
      </c>
      <c r="R48" s="0" t="s">
        <v>566</v>
      </c>
      <c r="S48" s="0" t="s">
        <v>71</v>
      </c>
      <c r="T48" s="0" t="s">
        <v>567</v>
      </c>
      <c r="U48" s="9" t="n">
        <v>0</v>
      </c>
      <c r="V48" s="0" t="n">
        <v>15.1005735502168</v>
      </c>
      <c r="W48" s="0" t="n">
        <v>20220331</v>
      </c>
      <c r="X48" s="0" t="n">
        <v>1.08763023716891</v>
      </c>
      <c r="Y48" s="0" t="s">
        <v>568</v>
      </c>
      <c r="Z48" s="0" t="s">
        <v>98</v>
      </c>
    </row>
    <row r="49" customFormat="false" ht="15" hidden="false" customHeight="false" outlineLevel="0" collapsed="false">
      <c r="A49" s="0" t="n">
        <v>46</v>
      </c>
      <c r="B49" s="9" t="n">
        <v>5406954</v>
      </c>
      <c r="C49" s="0" t="n">
        <v>4255</v>
      </c>
      <c r="D49" s="0" t="n">
        <v>4617834</v>
      </c>
      <c r="E49" s="0" t="s">
        <v>159</v>
      </c>
      <c r="F49" s="0" t="n">
        <v>494704</v>
      </c>
      <c r="G49" s="0" t="s">
        <v>569</v>
      </c>
      <c r="H49" s="0" t="s">
        <v>570</v>
      </c>
      <c r="I49" s="0" t="s">
        <v>571</v>
      </c>
      <c r="J49" s="0" t="s">
        <v>572</v>
      </c>
      <c r="K49" s="0" t="s">
        <v>573</v>
      </c>
      <c r="L49" s="0" t="n">
        <v>3540923</v>
      </c>
      <c r="M49" s="0" t="s">
        <v>574</v>
      </c>
      <c r="N49" s="0" t="n">
        <v>3145490</v>
      </c>
      <c r="O49" s="9" t="n">
        <v>4452</v>
      </c>
      <c r="P49" s="0" t="s">
        <v>575</v>
      </c>
      <c r="Q49" s="0" t="s">
        <v>576</v>
      </c>
      <c r="R49" s="0" t="s">
        <v>577</v>
      </c>
      <c r="S49" s="0" t="s">
        <v>578</v>
      </c>
      <c r="T49" s="0" t="s">
        <v>579</v>
      </c>
      <c r="U49" s="9" t="n">
        <v>0</v>
      </c>
      <c r="V49" s="0" t="n">
        <v>13.5561410868159</v>
      </c>
      <c r="W49" s="0" t="n">
        <v>20220331</v>
      </c>
      <c r="X49" s="0" t="n">
        <v>1.27683285497104</v>
      </c>
      <c r="Y49" s="0" t="s">
        <v>580</v>
      </c>
      <c r="Z49" s="0" t="s">
        <v>60</v>
      </c>
    </row>
    <row r="50" customFormat="false" ht="15" hidden="false" customHeight="false" outlineLevel="0" collapsed="false">
      <c r="A50" s="0" t="n">
        <v>47</v>
      </c>
      <c r="B50" s="9" t="n">
        <v>2514032</v>
      </c>
      <c r="C50" s="0" t="n">
        <v>4256</v>
      </c>
      <c r="D50" s="0" t="n">
        <v>2159436</v>
      </c>
      <c r="E50" s="0" t="s">
        <v>259</v>
      </c>
      <c r="F50" s="0" t="n">
        <v>204756</v>
      </c>
      <c r="G50" s="0" t="s">
        <v>581</v>
      </c>
      <c r="H50" s="0" t="s">
        <v>582</v>
      </c>
      <c r="I50" s="0" t="s">
        <v>583</v>
      </c>
      <c r="J50" s="0" t="s">
        <v>584</v>
      </c>
      <c r="K50" s="0" t="s">
        <v>585</v>
      </c>
      <c r="L50" s="0" t="n">
        <v>1707748</v>
      </c>
      <c r="M50" s="0" t="s">
        <v>586</v>
      </c>
      <c r="N50" s="0" t="n">
        <v>1367138</v>
      </c>
      <c r="O50" s="9" t="n">
        <v>5049</v>
      </c>
      <c r="P50" s="0" t="s">
        <v>587</v>
      </c>
      <c r="Q50" s="0" t="s">
        <v>588</v>
      </c>
      <c r="R50" s="0" t="s">
        <v>589</v>
      </c>
      <c r="S50" s="0" t="s">
        <v>590</v>
      </c>
      <c r="T50" s="0" t="s">
        <v>591</v>
      </c>
      <c r="U50" s="9" t="n">
        <v>46</v>
      </c>
      <c r="V50" s="0" t="n">
        <v>14.0050565438216</v>
      </c>
      <c r="W50" s="0" t="n">
        <v>20220331</v>
      </c>
      <c r="X50" s="0" t="n">
        <v>1.58060734186442</v>
      </c>
      <c r="Y50" s="0" t="s">
        <v>592</v>
      </c>
      <c r="Z50" s="0" t="s">
        <v>60</v>
      </c>
    </row>
    <row r="51" customFormat="false" ht="15" hidden="false" customHeight="false" outlineLevel="0" collapsed="false">
      <c r="A51" s="0" t="n">
        <v>48</v>
      </c>
      <c r="B51" s="9" t="n">
        <v>702304</v>
      </c>
      <c r="C51" s="0" t="n">
        <v>59086</v>
      </c>
      <c r="D51" s="0" t="n">
        <v>631646</v>
      </c>
      <c r="E51" s="0" t="s">
        <v>593</v>
      </c>
      <c r="F51" s="0" t="n">
        <v>66816</v>
      </c>
      <c r="G51" s="0" t="s">
        <v>594</v>
      </c>
      <c r="H51" s="0" t="s">
        <v>595</v>
      </c>
      <c r="I51" s="0" t="s">
        <v>596</v>
      </c>
      <c r="J51" s="0" t="s">
        <v>597</v>
      </c>
      <c r="K51" s="0" t="s">
        <v>61</v>
      </c>
      <c r="L51" s="0" t="n">
        <v>518583</v>
      </c>
      <c r="M51" s="0" t="s">
        <v>598</v>
      </c>
      <c r="N51" s="0" t="n">
        <v>404171</v>
      </c>
      <c r="O51" s="9" t="n">
        <v>2111</v>
      </c>
      <c r="P51" s="0" t="s">
        <v>599</v>
      </c>
      <c r="Q51" s="0" t="s">
        <v>600</v>
      </c>
      <c r="R51" s="0" t="s">
        <v>601</v>
      </c>
      <c r="S51" s="0" t="s">
        <v>61</v>
      </c>
      <c r="T51" s="0" t="s">
        <v>61</v>
      </c>
      <c r="U51" s="9" t="n">
        <v>341</v>
      </c>
      <c r="V51" s="0" t="n">
        <v>13.608114424605</v>
      </c>
      <c r="W51" s="0" t="n">
        <v>20220331</v>
      </c>
      <c r="X51" s="0" t="n">
        <v>1.1291386821763</v>
      </c>
      <c r="Y51" s="0" t="s">
        <v>602</v>
      </c>
      <c r="Z51" s="0" t="s">
        <v>158</v>
      </c>
    </row>
    <row r="52" customFormat="false" ht="15" hidden="false" customHeight="false" outlineLevel="0" collapsed="false">
      <c r="A52" s="0" t="n">
        <v>49</v>
      </c>
      <c r="B52" s="9" t="n">
        <v>146747</v>
      </c>
      <c r="C52" s="0" t="n">
        <v>59176</v>
      </c>
      <c r="D52" s="0" t="n">
        <v>124821</v>
      </c>
      <c r="E52" s="0" t="s">
        <v>603</v>
      </c>
      <c r="F52" s="0" t="n">
        <v>21476</v>
      </c>
      <c r="G52" s="0" t="s">
        <v>604</v>
      </c>
      <c r="H52" s="0" t="s">
        <v>605</v>
      </c>
      <c r="I52" s="0" t="s">
        <v>606</v>
      </c>
      <c r="J52" s="0" t="s">
        <v>607</v>
      </c>
      <c r="K52" s="0" t="s">
        <v>608</v>
      </c>
      <c r="L52" s="0" t="n">
        <v>112552</v>
      </c>
      <c r="M52" s="0" t="s">
        <v>609</v>
      </c>
      <c r="N52" s="0" t="n">
        <v>97793</v>
      </c>
      <c r="O52" s="9" t="n">
        <v>42</v>
      </c>
      <c r="P52" s="0" t="s">
        <v>610</v>
      </c>
      <c r="Q52" s="0" t="s">
        <v>611</v>
      </c>
      <c r="R52" s="0" t="s">
        <v>612</v>
      </c>
      <c r="S52" s="0" t="s">
        <v>61</v>
      </c>
      <c r="T52" s="0" t="s">
        <v>61</v>
      </c>
      <c r="U52" s="9" t="n">
        <v>0</v>
      </c>
      <c r="V52" s="0" t="n">
        <v>19.8448295690792</v>
      </c>
      <c r="W52" s="0" t="n">
        <v>20220331</v>
      </c>
      <c r="X52" s="0" t="n">
        <v>0.0319579317407631</v>
      </c>
      <c r="Y52" s="0" t="s">
        <v>613</v>
      </c>
      <c r="Z52" s="0" t="s">
        <v>158</v>
      </c>
    </row>
    <row r="53" customFormat="false" ht="15" hidden="false" customHeight="false" outlineLevel="0" collapsed="false">
      <c r="A53" s="0" t="n">
        <v>50</v>
      </c>
      <c r="B53" s="9" t="n">
        <v>1004765</v>
      </c>
      <c r="C53" s="0" t="n">
        <v>6271</v>
      </c>
      <c r="D53" s="0" t="n">
        <v>878431</v>
      </c>
      <c r="E53" s="0" t="s">
        <v>614</v>
      </c>
      <c r="F53" s="0" t="n">
        <v>89733</v>
      </c>
      <c r="G53" s="0" t="s">
        <v>615</v>
      </c>
      <c r="H53" s="0" t="s">
        <v>616</v>
      </c>
      <c r="I53" s="0" t="s">
        <v>617</v>
      </c>
      <c r="J53" s="0" t="s">
        <v>618</v>
      </c>
      <c r="K53" s="0" t="s">
        <v>619</v>
      </c>
      <c r="L53" s="0" t="n">
        <v>696813</v>
      </c>
      <c r="M53" s="0" t="s">
        <v>620</v>
      </c>
      <c r="N53" s="0" t="n">
        <v>523731</v>
      </c>
      <c r="O53" s="9" t="n">
        <v>5415</v>
      </c>
      <c r="P53" s="0" t="s">
        <v>621</v>
      </c>
      <c r="Q53" s="0" t="s">
        <v>622</v>
      </c>
      <c r="R53" s="0" t="s">
        <v>623</v>
      </c>
      <c r="S53" s="0" t="s">
        <v>624</v>
      </c>
      <c r="T53" s="0" t="s">
        <v>625</v>
      </c>
      <c r="U53" s="9" t="n">
        <v>654</v>
      </c>
      <c r="V53" s="0" t="n">
        <v>15.2204500210179</v>
      </c>
      <c r="W53" s="0" t="n">
        <v>20220331</v>
      </c>
      <c r="X53" s="0" t="n">
        <v>1.00825483937611</v>
      </c>
      <c r="Y53" s="0" t="s">
        <v>626</v>
      </c>
      <c r="Z53" s="0" t="s">
        <v>98</v>
      </c>
    </row>
    <row r="54" customFormat="false" ht="15" hidden="false" customHeight="false" outlineLevel="0" collapsed="false">
      <c r="A54" s="0" t="n">
        <v>51</v>
      </c>
      <c r="B54" s="9" t="n">
        <v>531651</v>
      </c>
      <c r="C54" s="0" t="n">
        <v>6275</v>
      </c>
      <c r="D54" s="0" t="n">
        <v>472420</v>
      </c>
      <c r="E54" s="0" t="s">
        <v>61</v>
      </c>
      <c r="F54" s="0" t="n">
        <v>32835</v>
      </c>
      <c r="G54" s="0" t="s">
        <v>627</v>
      </c>
      <c r="H54" s="0" t="s">
        <v>628</v>
      </c>
      <c r="I54" s="0" t="s">
        <v>629</v>
      </c>
      <c r="J54" s="0" t="s">
        <v>630</v>
      </c>
      <c r="K54" s="0" t="s">
        <v>631</v>
      </c>
      <c r="L54" s="0" t="n">
        <v>284192</v>
      </c>
      <c r="M54" s="0" t="s">
        <v>632</v>
      </c>
      <c r="N54" s="0" t="n">
        <v>237696</v>
      </c>
      <c r="O54" s="9" t="n">
        <v>1559</v>
      </c>
      <c r="P54" s="0" t="s">
        <v>633</v>
      </c>
      <c r="Q54" s="0" t="s">
        <v>634</v>
      </c>
      <c r="R54" s="0" t="s">
        <v>635</v>
      </c>
      <c r="S54" s="0" t="s">
        <v>293</v>
      </c>
      <c r="T54" s="0" t="s">
        <v>636</v>
      </c>
      <c r="U54" s="9" t="n">
        <v>242</v>
      </c>
      <c r="V54" s="0" t="n">
        <v>16.2466459160674</v>
      </c>
      <c r="W54" s="0" t="n">
        <v>20220331</v>
      </c>
      <c r="X54" s="0" t="n">
        <v>0.470223643178008</v>
      </c>
      <c r="Y54" s="0" t="s">
        <v>637</v>
      </c>
      <c r="Z54" s="0" t="s">
        <v>98</v>
      </c>
    </row>
    <row r="55" customFormat="false" ht="15" hidden="false" customHeight="false" outlineLevel="0" collapsed="false">
      <c r="A55" s="0" t="n">
        <v>52</v>
      </c>
      <c r="B55" s="9" t="n">
        <v>83998</v>
      </c>
      <c r="C55" s="0" t="n">
        <v>6280</v>
      </c>
      <c r="D55" s="0" t="n">
        <v>75709</v>
      </c>
      <c r="E55" s="0" t="s">
        <v>246</v>
      </c>
      <c r="F55" s="0" t="n">
        <v>8131</v>
      </c>
      <c r="G55" s="0" t="s">
        <v>638</v>
      </c>
      <c r="H55" s="0" t="s">
        <v>639</v>
      </c>
      <c r="I55" s="0" t="s">
        <v>640</v>
      </c>
      <c r="J55" s="0" t="s">
        <v>641</v>
      </c>
      <c r="K55" s="0" t="s">
        <v>642</v>
      </c>
      <c r="L55" s="0" t="n">
        <v>61955</v>
      </c>
      <c r="M55" s="0" t="s">
        <v>643</v>
      </c>
      <c r="N55" s="0" t="n">
        <v>53939</v>
      </c>
      <c r="O55" s="9" t="n">
        <v>836</v>
      </c>
      <c r="P55" s="0" t="s">
        <v>644</v>
      </c>
      <c r="Q55" s="0" t="s">
        <v>645</v>
      </c>
      <c r="R55" s="0" t="s">
        <v>646</v>
      </c>
      <c r="S55" s="0" t="s">
        <v>352</v>
      </c>
      <c r="T55" s="0" t="s">
        <v>647</v>
      </c>
      <c r="U55" s="9" t="n">
        <v>0</v>
      </c>
      <c r="V55" s="0" t="n">
        <v>0</v>
      </c>
      <c r="W55" s="0" t="n">
        <v>20220331</v>
      </c>
      <c r="X55" s="0" t="n">
        <v>1.18573807471095</v>
      </c>
      <c r="Y55" s="0" t="s">
        <v>648</v>
      </c>
      <c r="Z55" s="0" t="s">
        <v>98</v>
      </c>
    </row>
    <row r="56" customFormat="false" ht="15" hidden="false" customHeight="false" outlineLevel="0" collapsed="false">
      <c r="A56" s="0" t="n">
        <v>53</v>
      </c>
      <c r="B56" s="9" t="n">
        <v>3712836</v>
      </c>
      <c r="C56" s="0" t="n">
        <v>11971</v>
      </c>
      <c r="D56" s="0" t="n">
        <v>3085621</v>
      </c>
      <c r="E56" s="0" t="s">
        <v>259</v>
      </c>
      <c r="F56" s="0" t="n">
        <v>448597</v>
      </c>
      <c r="G56" s="0" t="s">
        <v>649</v>
      </c>
      <c r="H56" s="0" t="s">
        <v>650</v>
      </c>
      <c r="I56" s="0" t="s">
        <v>651</v>
      </c>
      <c r="J56" s="0" t="s">
        <v>652</v>
      </c>
      <c r="K56" s="0" t="s">
        <v>653</v>
      </c>
      <c r="L56" s="0" t="n">
        <v>2730813</v>
      </c>
      <c r="M56" s="0" t="s">
        <v>654</v>
      </c>
      <c r="N56" s="0" t="n">
        <v>2376853</v>
      </c>
      <c r="O56" s="9" t="n">
        <v>7878</v>
      </c>
      <c r="P56" s="0" t="s">
        <v>54</v>
      </c>
      <c r="Q56" s="0" t="s">
        <v>655</v>
      </c>
      <c r="R56" s="0" t="s">
        <v>656</v>
      </c>
      <c r="S56" s="0" t="s">
        <v>657</v>
      </c>
      <c r="T56" s="0" t="s">
        <v>658</v>
      </c>
      <c r="U56" s="9" t="n">
        <v>719</v>
      </c>
      <c r="V56" s="0" t="n">
        <v>13.5693025113801</v>
      </c>
      <c r="W56" s="0" t="n">
        <v>20220630</v>
      </c>
      <c r="X56" s="0" t="n">
        <v>1.16360424384539</v>
      </c>
      <c r="Y56" s="0" t="s">
        <v>659</v>
      </c>
      <c r="Z56" s="0" t="s">
        <v>60</v>
      </c>
    </row>
    <row r="57" customFormat="false" ht="15" hidden="false" customHeight="false" outlineLevel="0" collapsed="false">
      <c r="A57" s="0" t="n">
        <v>54</v>
      </c>
      <c r="B57" s="9" t="n">
        <v>964224</v>
      </c>
      <c r="C57" s="0" t="n">
        <v>12874</v>
      </c>
      <c r="D57" s="0" t="n">
        <v>854371</v>
      </c>
      <c r="E57" s="0" t="s">
        <v>61</v>
      </c>
      <c r="F57" s="0" t="n">
        <v>94455</v>
      </c>
      <c r="G57" s="0" t="s">
        <v>660</v>
      </c>
      <c r="H57" s="0" t="s">
        <v>661</v>
      </c>
      <c r="I57" s="0" t="s">
        <v>662</v>
      </c>
      <c r="J57" s="0" t="s">
        <v>663</v>
      </c>
      <c r="K57" s="0" t="s">
        <v>664</v>
      </c>
      <c r="L57" s="0" t="n">
        <v>738684</v>
      </c>
      <c r="M57" s="0" t="s">
        <v>665</v>
      </c>
      <c r="N57" s="0" t="n">
        <v>583137</v>
      </c>
      <c r="O57" s="9" t="n">
        <v>891</v>
      </c>
      <c r="P57" s="0" t="s">
        <v>68</v>
      </c>
      <c r="Q57" s="0" t="s">
        <v>666</v>
      </c>
      <c r="R57" s="0" t="s">
        <v>667</v>
      </c>
      <c r="S57" s="0" t="s">
        <v>668</v>
      </c>
      <c r="T57" s="0" t="s">
        <v>669</v>
      </c>
      <c r="U57" s="9" t="n">
        <v>42</v>
      </c>
      <c r="V57" s="0" t="n">
        <v>15.2920846966426</v>
      </c>
      <c r="W57" s="0" t="n">
        <v>20220630</v>
      </c>
      <c r="X57" s="0" t="n">
        <v>0.905775942828036</v>
      </c>
      <c r="Y57" s="0" t="s">
        <v>670</v>
      </c>
      <c r="Z57" s="0" t="s">
        <v>60</v>
      </c>
    </row>
    <row r="58" customFormat="false" ht="15" hidden="false" customHeight="false" outlineLevel="0" collapsed="false">
      <c r="A58" s="0" t="n">
        <v>55</v>
      </c>
      <c r="B58" s="9" t="n">
        <v>1796670</v>
      </c>
      <c r="C58" s="0" t="n">
        <v>13063</v>
      </c>
      <c r="D58" s="0" t="n">
        <v>1641103</v>
      </c>
      <c r="E58" s="0" t="s">
        <v>61</v>
      </c>
      <c r="F58" s="0" t="n">
        <v>138141</v>
      </c>
      <c r="G58" s="0" t="s">
        <v>671</v>
      </c>
      <c r="H58" s="0" t="s">
        <v>672</v>
      </c>
      <c r="I58" s="0" t="s">
        <v>673</v>
      </c>
      <c r="J58" s="0" t="s">
        <v>674</v>
      </c>
      <c r="K58" s="0" t="s">
        <v>675</v>
      </c>
      <c r="L58" s="0" t="n">
        <v>1263224</v>
      </c>
      <c r="M58" s="0" t="s">
        <v>676</v>
      </c>
      <c r="N58" s="0" t="n">
        <v>1203684</v>
      </c>
      <c r="O58" s="9" t="n">
        <v>499</v>
      </c>
      <c r="P58" s="0" t="s">
        <v>80</v>
      </c>
      <c r="Q58" s="0" t="s">
        <v>677</v>
      </c>
      <c r="R58" s="0" t="s">
        <v>678</v>
      </c>
      <c r="S58" s="0" t="s">
        <v>71</v>
      </c>
      <c r="T58" s="0" t="s">
        <v>256</v>
      </c>
      <c r="U58" s="9" t="n">
        <v>967</v>
      </c>
      <c r="V58" s="0" t="n">
        <v>0</v>
      </c>
      <c r="W58" s="0" t="n">
        <v>20220630</v>
      </c>
      <c r="X58" s="0" t="n">
        <v>0.589885287137242</v>
      </c>
      <c r="Y58" s="0" t="s">
        <v>679</v>
      </c>
      <c r="Z58" s="0" t="s">
        <v>60</v>
      </c>
    </row>
    <row r="59" customFormat="false" ht="15" hidden="false" customHeight="false" outlineLevel="0" collapsed="false">
      <c r="A59" s="0" t="n">
        <v>56</v>
      </c>
      <c r="B59" s="9" t="n">
        <v>842061</v>
      </c>
      <c r="C59" s="0" t="n">
        <v>14134</v>
      </c>
      <c r="D59" s="0" t="n">
        <v>714430</v>
      </c>
      <c r="E59" s="0" t="s">
        <v>85</v>
      </c>
      <c r="F59" s="0" t="n">
        <v>95205</v>
      </c>
      <c r="G59" s="0" t="s">
        <v>680</v>
      </c>
      <c r="H59" s="0" t="s">
        <v>681</v>
      </c>
      <c r="I59" s="0" t="s">
        <v>682</v>
      </c>
      <c r="J59" s="0" t="s">
        <v>683</v>
      </c>
      <c r="K59" s="0" t="s">
        <v>684</v>
      </c>
      <c r="L59" s="0" t="n">
        <v>618484</v>
      </c>
      <c r="M59" s="0" t="s">
        <v>685</v>
      </c>
      <c r="N59" s="0" t="n">
        <v>541392</v>
      </c>
      <c r="O59" s="9" t="n">
        <v>8858</v>
      </c>
      <c r="P59" s="0" t="s">
        <v>92</v>
      </c>
      <c r="Q59" s="0" t="s">
        <v>686</v>
      </c>
      <c r="R59" s="0" t="s">
        <v>687</v>
      </c>
      <c r="S59" s="0" t="s">
        <v>688</v>
      </c>
      <c r="T59" s="0" t="s">
        <v>689</v>
      </c>
      <c r="U59" s="9" t="n">
        <v>0</v>
      </c>
      <c r="V59" s="0" t="n">
        <v>17.3850644480774</v>
      </c>
      <c r="W59" s="0" t="n">
        <v>20220630</v>
      </c>
      <c r="X59" s="0" t="n">
        <v>-0.908691372525263</v>
      </c>
      <c r="Y59" s="0" t="s">
        <v>690</v>
      </c>
      <c r="Z59" s="0" t="s">
        <v>98</v>
      </c>
    </row>
    <row r="60" customFormat="false" ht="15" hidden="false" customHeight="false" outlineLevel="0" collapsed="false">
      <c r="A60" s="0" t="n">
        <v>57</v>
      </c>
      <c r="B60" s="9" t="n">
        <v>222750</v>
      </c>
      <c r="C60" s="0" t="n">
        <v>14136</v>
      </c>
      <c r="D60" s="0" t="n">
        <v>202215</v>
      </c>
      <c r="E60" s="0" t="s">
        <v>271</v>
      </c>
      <c r="F60" s="0" t="n">
        <v>16002</v>
      </c>
      <c r="G60" s="0" t="s">
        <v>691</v>
      </c>
      <c r="H60" s="0" t="s">
        <v>692</v>
      </c>
      <c r="I60" s="0" t="s">
        <v>693</v>
      </c>
      <c r="J60" s="0" t="s">
        <v>694</v>
      </c>
      <c r="K60" s="0" t="s">
        <v>695</v>
      </c>
      <c r="L60" s="0" t="n">
        <v>128959</v>
      </c>
      <c r="M60" s="0" t="s">
        <v>696</v>
      </c>
      <c r="N60" s="0" t="n">
        <v>102631</v>
      </c>
      <c r="O60" s="9" t="n">
        <v>126</v>
      </c>
      <c r="P60" s="0" t="s">
        <v>105</v>
      </c>
      <c r="Q60" s="0" t="s">
        <v>697</v>
      </c>
      <c r="R60" s="0" t="s">
        <v>698</v>
      </c>
      <c r="S60" s="0" t="s">
        <v>489</v>
      </c>
      <c r="T60" s="0" t="s">
        <v>495</v>
      </c>
      <c r="U60" s="9" t="n">
        <v>717</v>
      </c>
      <c r="V60" s="0" t="n">
        <v>16.7839694709842</v>
      </c>
      <c r="W60" s="0" t="n">
        <v>20220630</v>
      </c>
      <c r="X60" s="0" t="n">
        <v>0.311791935041849</v>
      </c>
      <c r="Y60" s="0" t="s">
        <v>699</v>
      </c>
      <c r="Z60" s="0" t="s">
        <v>98</v>
      </c>
    </row>
    <row r="61" customFormat="false" ht="15" hidden="false" customHeight="false" outlineLevel="0" collapsed="false">
      <c r="A61" s="0" t="n">
        <v>58</v>
      </c>
      <c r="B61" s="9" t="n">
        <v>1436600</v>
      </c>
      <c r="C61" s="0" t="n">
        <v>14140</v>
      </c>
      <c r="D61" s="0" t="n">
        <v>1234672</v>
      </c>
      <c r="E61" s="0" t="s">
        <v>61</v>
      </c>
      <c r="F61" s="0" t="n">
        <v>117324</v>
      </c>
      <c r="G61" s="0" t="s">
        <v>700</v>
      </c>
      <c r="H61" s="0" t="s">
        <v>701</v>
      </c>
      <c r="I61" s="0" t="s">
        <v>702</v>
      </c>
      <c r="J61" s="0" t="s">
        <v>703</v>
      </c>
      <c r="K61" s="0" t="s">
        <v>704</v>
      </c>
      <c r="L61" s="0" t="n">
        <v>965914</v>
      </c>
      <c r="M61" s="0" t="s">
        <v>705</v>
      </c>
      <c r="N61" s="0" t="n">
        <v>868077</v>
      </c>
      <c r="O61" s="9" t="n">
        <v>2695</v>
      </c>
      <c r="P61" s="0" t="s">
        <v>117</v>
      </c>
      <c r="Q61" s="0" t="s">
        <v>706</v>
      </c>
      <c r="R61" s="0" t="s">
        <v>707</v>
      </c>
      <c r="S61" s="0" t="s">
        <v>708</v>
      </c>
      <c r="T61" s="0" t="s">
        <v>709</v>
      </c>
      <c r="U61" s="9" t="n">
        <v>0</v>
      </c>
      <c r="V61" s="0" t="n">
        <v>0</v>
      </c>
      <c r="W61" s="0" t="n">
        <v>20220630</v>
      </c>
      <c r="X61" s="0" t="n">
        <v>0.707644826064353</v>
      </c>
      <c r="Y61" s="0" t="s">
        <v>710</v>
      </c>
      <c r="Z61" s="0" t="s">
        <v>98</v>
      </c>
    </row>
    <row r="62" customFormat="false" ht="15" hidden="false" customHeight="false" outlineLevel="0" collapsed="false">
      <c r="A62" s="0" t="n">
        <v>59</v>
      </c>
      <c r="B62" s="9" t="n">
        <v>1191062</v>
      </c>
      <c r="C62" s="0" t="n">
        <v>14158</v>
      </c>
      <c r="D62" s="0" t="n">
        <v>1105727</v>
      </c>
      <c r="E62" s="0" t="s">
        <v>61</v>
      </c>
      <c r="F62" s="0" t="n">
        <v>75600</v>
      </c>
      <c r="G62" s="0" t="s">
        <v>711</v>
      </c>
      <c r="H62" s="0" t="s">
        <v>712</v>
      </c>
      <c r="I62" s="0" t="s">
        <v>713</v>
      </c>
      <c r="J62" s="0" t="s">
        <v>714</v>
      </c>
      <c r="K62" s="0" t="s">
        <v>715</v>
      </c>
      <c r="L62" s="0" t="n">
        <v>822966</v>
      </c>
      <c r="M62" s="0" t="s">
        <v>716</v>
      </c>
      <c r="N62" s="0" t="n">
        <v>751338</v>
      </c>
      <c r="O62" s="9" t="n">
        <v>1416</v>
      </c>
      <c r="P62" s="0" t="s">
        <v>129</v>
      </c>
      <c r="Q62" s="0" t="s">
        <v>717</v>
      </c>
      <c r="R62" s="0" t="s">
        <v>718</v>
      </c>
      <c r="S62" s="0" t="s">
        <v>155</v>
      </c>
      <c r="T62" s="0" t="s">
        <v>719</v>
      </c>
      <c r="U62" s="9" t="n">
        <v>109</v>
      </c>
      <c r="V62" s="0" t="n">
        <v>14.280952720623</v>
      </c>
      <c r="W62" s="0" t="n">
        <v>20220630</v>
      </c>
      <c r="X62" s="0" t="n">
        <v>0.965573503917802</v>
      </c>
      <c r="Y62" s="0" t="s">
        <v>720</v>
      </c>
      <c r="Z62" s="0" t="s">
        <v>98</v>
      </c>
    </row>
    <row r="63" customFormat="false" ht="15" hidden="false" customHeight="false" outlineLevel="0" collapsed="false">
      <c r="A63" s="0" t="n">
        <v>60</v>
      </c>
      <c r="B63" s="9" t="n">
        <v>366581</v>
      </c>
      <c r="C63" s="0" t="n">
        <v>14168</v>
      </c>
      <c r="D63" s="0" t="n">
        <v>329789</v>
      </c>
      <c r="E63" s="0" t="s">
        <v>61</v>
      </c>
      <c r="F63" s="0" t="n">
        <v>32327</v>
      </c>
      <c r="G63" s="0" t="s">
        <v>721</v>
      </c>
      <c r="H63" s="0" t="s">
        <v>722</v>
      </c>
      <c r="I63" s="0" t="s">
        <v>723</v>
      </c>
      <c r="J63" s="0" t="s">
        <v>724</v>
      </c>
      <c r="K63" s="0" t="s">
        <v>725</v>
      </c>
      <c r="L63" s="0" t="n">
        <v>200834</v>
      </c>
      <c r="M63" s="0" t="s">
        <v>726</v>
      </c>
      <c r="N63" s="0" t="n">
        <v>167425</v>
      </c>
      <c r="O63" s="9" t="n">
        <v>1103</v>
      </c>
      <c r="P63" s="0" t="s">
        <v>140</v>
      </c>
      <c r="Q63" s="0" t="s">
        <v>727</v>
      </c>
      <c r="R63" s="0" t="s">
        <v>728</v>
      </c>
      <c r="S63" s="0" t="s">
        <v>294</v>
      </c>
      <c r="T63" s="0" t="s">
        <v>729</v>
      </c>
      <c r="U63" s="9" t="n">
        <v>0</v>
      </c>
      <c r="V63" s="0" t="n">
        <v>18.6461441659596</v>
      </c>
      <c r="W63" s="0" t="n">
        <v>20220630</v>
      </c>
      <c r="X63" s="0" t="n">
        <v>0.313118388950259</v>
      </c>
      <c r="Y63" s="0" t="s">
        <v>730</v>
      </c>
      <c r="Z63" s="0" t="s">
        <v>98</v>
      </c>
    </row>
    <row r="64" customFormat="false" ht="15" hidden="false" customHeight="false" outlineLevel="0" collapsed="false">
      <c r="A64" s="0" t="n">
        <v>61</v>
      </c>
      <c r="B64" s="9" t="n">
        <v>1238699</v>
      </c>
      <c r="C64" s="0" t="n">
        <v>14240</v>
      </c>
      <c r="D64" s="0" t="n">
        <v>1039863</v>
      </c>
      <c r="E64" s="0" t="s">
        <v>246</v>
      </c>
      <c r="F64" s="0" t="n">
        <v>89585</v>
      </c>
      <c r="G64" s="0" t="s">
        <v>731</v>
      </c>
      <c r="H64" s="0" t="s">
        <v>732</v>
      </c>
      <c r="I64" s="0" t="s">
        <v>733</v>
      </c>
      <c r="J64" s="0" t="s">
        <v>734</v>
      </c>
      <c r="K64" s="0" t="s">
        <v>735</v>
      </c>
      <c r="L64" s="0" t="n">
        <v>863984</v>
      </c>
      <c r="M64" s="0" t="s">
        <v>736</v>
      </c>
      <c r="N64" s="0" t="n">
        <v>739584</v>
      </c>
      <c r="O64" s="9" t="n">
        <v>1924</v>
      </c>
      <c r="P64" s="0" t="s">
        <v>152</v>
      </c>
      <c r="Q64" s="0" t="s">
        <v>737</v>
      </c>
      <c r="R64" s="0" t="s">
        <v>738</v>
      </c>
      <c r="S64" s="0" t="s">
        <v>739</v>
      </c>
      <c r="T64" s="0" t="s">
        <v>740</v>
      </c>
      <c r="U64" s="9" t="n">
        <v>0</v>
      </c>
      <c r="V64" s="0" t="n">
        <v>14.5547297139032</v>
      </c>
      <c r="W64" s="0" t="n">
        <v>20220630</v>
      </c>
      <c r="X64" s="0" t="n">
        <v>-0.0461854716711551</v>
      </c>
      <c r="Y64" s="0" t="s">
        <v>741</v>
      </c>
      <c r="Z64" s="0" t="s">
        <v>158</v>
      </c>
    </row>
    <row r="65" customFormat="false" ht="15" hidden="false" customHeight="false" outlineLevel="0" collapsed="false">
      <c r="A65" s="0" t="n">
        <v>62</v>
      </c>
      <c r="B65" s="9" t="n">
        <v>914201</v>
      </c>
      <c r="C65" s="0" t="n">
        <v>17115</v>
      </c>
      <c r="D65" s="0" t="n">
        <v>774623</v>
      </c>
      <c r="E65" s="0" t="s">
        <v>742</v>
      </c>
      <c r="F65" s="0" t="n">
        <v>77851</v>
      </c>
      <c r="G65" s="0" t="s">
        <v>743</v>
      </c>
      <c r="H65" s="0" t="s">
        <v>744</v>
      </c>
      <c r="I65" s="0" t="s">
        <v>745</v>
      </c>
      <c r="J65" s="0" t="s">
        <v>746</v>
      </c>
      <c r="K65" s="0" t="s">
        <v>747</v>
      </c>
      <c r="L65" s="0" t="n">
        <v>737353</v>
      </c>
      <c r="M65" s="0" t="s">
        <v>748</v>
      </c>
      <c r="N65" s="0" t="n">
        <v>687325</v>
      </c>
      <c r="O65" s="9" t="n">
        <v>157</v>
      </c>
      <c r="P65" s="0" t="s">
        <v>166</v>
      </c>
      <c r="Q65" s="0" t="s">
        <v>749</v>
      </c>
      <c r="R65" s="0" t="s">
        <v>750</v>
      </c>
      <c r="S65" s="0" t="s">
        <v>751</v>
      </c>
      <c r="T65" s="0" t="s">
        <v>752</v>
      </c>
      <c r="U65" s="9" t="n">
        <v>0</v>
      </c>
      <c r="V65" s="0" t="n">
        <v>14.6817189734327</v>
      </c>
      <c r="W65" s="0" t="n">
        <v>20220630</v>
      </c>
      <c r="X65" s="0" t="n">
        <v>0.413239234898123</v>
      </c>
      <c r="Y65" s="0" t="s">
        <v>753</v>
      </c>
      <c r="Z65" s="0" t="s">
        <v>60</v>
      </c>
    </row>
    <row r="66" customFormat="false" ht="15" hidden="false" customHeight="false" outlineLevel="0" collapsed="false">
      <c r="A66" s="0" t="n">
        <v>63</v>
      </c>
      <c r="B66" s="9" t="n">
        <v>1369843</v>
      </c>
      <c r="C66" s="0" t="n">
        <v>17180</v>
      </c>
      <c r="D66" s="0" t="n">
        <v>1167333</v>
      </c>
      <c r="E66" s="0" t="s">
        <v>208</v>
      </c>
      <c r="F66" s="0" t="n">
        <v>125334</v>
      </c>
      <c r="G66" s="0" t="s">
        <v>754</v>
      </c>
      <c r="H66" s="0" t="s">
        <v>755</v>
      </c>
      <c r="I66" s="0" t="s">
        <v>756</v>
      </c>
      <c r="J66" s="0" t="s">
        <v>757</v>
      </c>
      <c r="K66" s="0" t="s">
        <v>758</v>
      </c>
      <c r="L66" s="0" t="n">
        <v>1219641</v>
      </c>
      <c r="M66" s="0" t="s">
        <v>759</v>
      </c>
      <c r="N66" s="0" t="n">
        <v>984334</v>
      </c>
      <c r="O66" s="9" t="n">
        <v>5496</v>
      </c>
      <c r="P66" s="0" t="s">
        <v>179</v>
      </c>
      <c r="Q66" s="0" t="s">
        <v>760</v>
      </c>
      <c r="R66" s="0" t="s">
        <v>761</v>
      </c>
      <c r="S66" s="0" t="s">
        <v>762</v>
      </c>
      <c r="T66" s="0" t="s">
        <v>763</v>
      </c>
      <c r="U66" s="9" t="n">
        <v>0</v>
      </c>
      <c r="V66" s="0" t="n">
        <v>14.7385258242796</v>
      </c>
      <c r="W66" s="0" t="n">
        <v>20220630</v>
      </c>
      <c r="X66" s="0" t="n">
        <v>0.751509742960674</v>
      </c>
      <c r="Y66" s="0" t="s">
        <v>764</v>
      </c>
      <c r="Z66" s="0" t="s">
        <v>158</v>
      </c>
    </row>
    <row r="67" customFormat="false" ht="15" hidden="false" customHeight="false" outlineLevel="0" collapsed="false">
      <c r="A67" s="0" t="n">
        <v>64</v>
      </c>
      <c r="B67" s="9" t="n">
        <v>353376</v>
      </c>
      <c r="C67" s="0" t="n">
        <v>17443</v>
      </c>
      <c r="D67" s="0" t="n">
        <v>298828</v>
      </c>
      <c r="E67" s="0" t="s">
        <v>208</v>
      </c>
      <c r="F67" s="0" t="n">
        <v>40397</v>
      </c>
      <c r="G67" s="0" t="s">
        <v>765</v>
      </c>
      <c r="H67" s="0" t="s">
        <v>766</v>
      </c>
      <c r="I67" s="0" t="s">
        <v>767</v>
      </c>
      <c r="J67" s="0" t="s">
        <v>61</v>
      </c>
      <c r="K67" s="0" t="s">
        <v>768</v>
      </c>
      <c r="L67" s="0" t="n">
        <v>190487</v>
      </c>
      <c r="M67" s="0" t="s">
        <v>769</v>
      </c>
      <c r="N67" s="0" t="n">
        <v>188077</v>
      </c>
      <c r="O67" s="9" t="n">
        <v>178</v>
      </c>
      <c r="P67" s="0" t="s">
        <v>190</v>
      </c>
      <c r="Q67" s="0" t="s">
        <v>770</v>
      </c>
      <c r="R67" s="0" t="s">
        <v>771</v>
      </c>
      <c r="S67" s="0" t="s">
        <v>61</v>
      </c>
      <c r="T67" s="0" t="s">
        <v>772</v>
      </c>
      <c r="U67" s="9" t="n">
        <v>0</v>
      </c>
      <c r="V67" s="0" t="n">
        <v>0</v>
      </c>
      <c r="W67" s="0" t="n">
        <v>20220630</v>
      </c>
      <c r="X67" s="0" t="n">
        <v>0.604229033746087</v>
      </c>
      <c r="Y67" s="0" t="s">
        <v>773</v>
      </c>
      <c r="Z67" s="0" t="s">
        <v>158</v>
      </c>
    </row>
    <row r="68" customFormat="false" ht="15" hidden="false" customHeight="false" outlineLevel="0" collapsed="false">
      <c r="A68" s="0" t="n">
        <v>65</v>
      </c>
      <c r="B68" s="9" t="n">
        <v>1739201</v>
      </c>
      <c r="C68" s="0" t="n">
        <v>17658</v>
      </c>
      <c r="D68" s="0" t="n">
        <v>1514378</v>
      </c>
      <c r="E68" s="0" t="s">
        <v>195</v>
      </c>
      <c r="F68" s="0" t="n">
        <v>193833</v>
      </c>
      <c r="G68" s="0" t="s">
        <v>774</v>
      </c>
      <c r="H68" s="0" t="s">
        <v>775</v>
      </c>
      <c r="I68" s="0" t="s">
        <v>776</v>
      </c>
      <c r="J68" s="0" t="s">
        <v>777</v>
      </c>
      <c r="K68" s="0" t="s">
        <v>778</v>
      </c>
      <c r="L68" s="0" t="n">
        <v>1140881</v>
      </c>
      <c r="M68" s="0" t="s">
        <v>779</v>
      </c>
      <c r="N68" s="0" t="n">
        <v>992175</v>
      </c>
      <c r="O68" s="9" t="n">
        <v>519</v>
      </c>
      <c r="P68" s="0" t="s">
        <v>202</v>
      </c>
      <c r="Q68" s="0" t="s">
        <v>780</v>
      </c>
      <c r="R68" s="0" t="s">
        <v>781</v>
      </c>
      <c r="S68" s="0" t="s">
        <v>400</v>
      </c>
      <c r="T68" s="0" t="s">
        <v>782</v>
      </c>
      <c r="U68" s="9" t="n">
        <v>0</v>
      </c>
      <c r="V68" s="0" t="n">
        <v>0</v>
      </c>
      <c r="W68" s="0" t="n">
        <v>20220630</v>
      </c>
      <c r="X68" s="0" t="n">
        <v>-0.126062833693635</v>
      </c>
      <c r="Y68" s="0" t="s">
        <v>783</v>
      </c>
      <c r="Z68" s="0" t="s">
        <v>60</v>
      </c>
    </row>
    <row r="69" customFormat="false" ht="15" hidden="false" customHeight="false" outlineLevel="0" collapsed="false">
      <c r="A69" s="0" t="n">
        <v>66</v>
      </c>
      <c r="B69" s="9" t="n">
        <v>999824</v>
      </c>
      <c r="C69" s="0" t="n">
        <v>17741</v>
      </c>
      <c r="D69" s="0" t="n">
        <v>843050</v>
      </c>
      <c r="E69" s="0" t="s">
        <v>195</v>
      </c>
      <c r="F69" s="0" t="n">
        <v>128637</v>
      </c>
      <c r="G69" s="0" t="s">
        <v>784</v>
      </c>
      <c r="H69" s="0" t="s">
        <v>785</v>
      </c>
      <c r="I69" s="0" t="s">
        <v>786</v>
      </c>
      <c r="J69" s="0" t="s">
        <v>787</v>
      </c>
      <c r="K69" s="0" t="s">
        <v>788</v>
      </c>
      <c r="L69" s="0" t="n">
        <v>799662</v>
      </c>
      <c r="M69" s="0" t="s">
        <v>789</v>
      </c>
      <c r="N69" s="0" t="n">
        <v>750035</v>
      </c>
      <c r="O69" s="9" t="n">
        <v>1947</v>
      </c>
      <c r="P69" s="0" t="s">
        <v>215</v>
      </c>
      <c r="Q69" s="0" t="s">
        <v>790</v>
      </c>
      <c r="R69" s="0" t="s">
        <v>791</v>
      </c>
      <c r="S69" s="0" t="s">
        <v>352</v>
      </c>
      <c r="T69" s="0" t="s">
        <v>792</v>
      </c>
      <c r="U69" s="9" t="n">
        <v>0</v>
      </c>
      <c r="V69" s="0" t="n">
        <v>0</v>
      </c>
      <c r="W69" s="0" t="n">
        <v>20220630</v>
      </c>
      <c r="X69" s="0" t="n">
        <v>0.558922565605422</v>
      </c>
      <c r="Y69" s="0" t="s">
        <v>793</v>
      </c>
      <c r="Z69" s="0" t="s">
        <v>60</v>
      </c>
    </row>
    <row r="70" customFormat="false" ht="15" hidden="false" customHeight="false" outlineLevel="0" collapsed="false">
      <c r="A70" s="0" t="n">
        <v>67</v>
      </c>
      <c r="B70" s="9" t="n">
        <v>1226782</v>
      </c>
      <c r="C70" s="0" t="n">
        <v>17743</v>
      </c>
      <c r="D70" s="0" t="n">
        <v>933270</v>
      </c>
      <c r="E70" s="0" t="s">
        <v>794</v>
      </c>
      <c r="F70" s="0" t="n">
        <v>121930</v>
      </c>
      <c r="G70" s="0" t="s">
        <v>795</v>
      </c>
      <c r="H70" s="0" t="s">
        <v>796</v>
      </c>
      <c r="I70" s="0" t="s">
        <v>797</v>
      </c>
      <c r="J70" s="0" t="s">
        <v>798</v>
      </c>
      <c r="K70" s="0" t="s">
        <v>799</v>
      </c>
      <c r="L70" s="0" t="n">
        <v>942050</v>
      </c>
      <c r="M70" s="0" t="s">
        <v>800</v>
      </c>
      <c r="N70" s="0" t="n">
        <v>912536</v>
      </c>
      <c r="O70" s="9" t="n">
        <v>2944</v>
      </c>
      <c r="P70" s="0" t="s">
        <v>227</v>
      </c>
      <c r="Q70" s="0" t="s">
        <v>801</v>
      </c>
      <c r="R70" s="0" t="s">
        <v>802</v>
      </c>
      <c r="S70" s="0" t="s">
        <v>489</v>
      </c>
      <c r="T70" s="0" t="s">
        <v>803</v>
      </c>
      <c r="U70" s="9" t="n">
        <v>35</v>
      </c>
      <c r="V70" s="0" t="n">
        <v>0</v>
      </c>
      <c r="W70" s="0" t="n">
        <v>20220630</v>
      </c>
      <c r="X70" s="0" t="n">
        <v>0.302379907744483</v>
      </c>
      <c r="Y70" s="0" t="s">
        <v>804</v>
      </c>
      <c r="Z70" s="0" t="s">
        <v>60</v>
      </c>
    </row>
    <row r="71" customFormat="false" ht="15" hidden="false" customHeight="false" outlineLevel="0" collapsed="false">
      <c r="A71" s="0" t="n">
        <v>68</v>
      </c>
      <c r="B71" s="9" t="n">
        <v>1555791</v>
      </c>
      <c r="C71" s="0" t="n">
        <v>17748</v>
      </c>
      <c r="D71" s="0" t="n">
        <v>1381456</v>
      </c>
      <c r="E71" s="0" t="s">
        <v>271</v>
      </c>
      <c r="F71" s="0" t="n">
        <v>113025</v>
      </c>
      <c r="G71" s="0" t="s">
        <v>805</v>
      </c>
      <c r="H71" s="0" t="s">
        <v>806</v>
      </c>
      <c r="I71" s="0" t="s">
        <v>807</v>
      </c>
      <c r="J71" s="0" t="s">
        <v>808</v>
      </c>
      <c r="K71" s="0" t="s">
        <v>809</v>
      </c>
      <c r="L71" s="0" t="n">
        <v>1170439</v>
      </c>
      <c r="M71" s="0" t="s">
        <v>810</v>
      </c>
      <c r="N71" s="0" t="n">
        <v>984164</v>
      </c>
      <c r="O71" s="9" t="n">
        <v>7622</v>
      </c>
      <c r="P71" s="0" t="s">
        <v>240</v>
      </c>
      <c r="Q71" s="0" t="s">
        <v>811</v>
      </c>
      <c r="R71" s="0" t="s">
        <v>812</v>
      </c>
      <c r="S71" s="0" t="s">
        <v>813</v>
      </c>
      <c r="T71" s="0" t="s">
        <v>814</v>
      </c>
      <c r="U71" s="9" t="n">
        <v>0</v>
      </c>
      <c r="V71" s="0" t="n">
        <v>0</v>
      </c>
      <c r="W71" s="0" t="n">
        <v>20220630</v>
      </c>
      <c r="X71" s="0" t="n">
        <v>0.205556396548565</v>
      </c>
      <c r="Y71" s="0" t="s">
        <v>815</v>
      </c>
      <c r="Z71" s="0" t="s">
        <v>60</v>
      </c>
    </row>
    <row r="72" customFormat="false" ht="15" hidden="false" customHeight="false" outlineLevel="0" collapsed="false">
      <c r="A72" s="0" t="n">
        <v>69</v>
      </c>
      <c r="B72" s="9" t="n">
        <v>1233246</v>
      </c>
      <c r="C72" s="0" t="n">
        <v>17749</v>
      </c>
      <c r="D72" s="0" t="n">
        <v>1026366</v>
      </c>
      <c r="E72" s="0" t="s">
        <v>246</v>
      </c>
      <c r="F72" s="0" t="n">
        <v>152379</v>
      </c>
      <c r="G72" s="0" t="s">
        <v>816</v>
      </c>
      <c r="H72" s="0" t="s">
        <v>817</v>
      </c>
      <c r="I72" s="0" t="s">
        <v>818</v>
      </c>
      <c r="J72" s="0" t="s">
        <v>819</v>
      </c>
      <c r="K72" s="0" t="s">
        <v>820</v>
      </c>
      <c r="L72" s="0" t="n">
        <v>692915</v>
      </c>
      <c r="M72" s="0" t="s">
        <v>821</v>
      </c>
      <c r="N72" s="0" t="n">
        <v>619470</v>
      </c>
      <c r="O72" s="9" t="n">
        <v>248</v>
      </c>
      <c r="P72" s="0" t="s">
        <v>253</v>
      </c>
      <c r="Q72" s="0" t="s">
        <v>822</v>
      </c>
      <c r="R72" s="0" t="s">
        <v>823</v>
      </c>
      <c r="S72" s="0" t="s">
        <v>534</v>
      </c>
      <c r="T72" s="0" t="s">
        <v>824</v>
      </c>
      <c r="U72" s="9" t="n">
        <v>29</v>
      </c>
      <c r="V72" s="0" t="n">
        <v>0</v>
      </c>
      <c r="W72" s="0" t="n">
        <v>20220630</v>
      </c>
      <c r="X72" s="0" t="n">
        <v>-0.156467358353033</v>
      </c>
      <c r="Y72" s="0" t="s">
        <v>825</v>
      </c>
      <c r="Z72" s="0" t="s">
        <v>60</v>
      </c>
    </row>
    <row r="73" customFormat="false" ht="15" hidden="false" customHeight="false" outlineLevel="0" collapsed="false">
      <c r="A73" s="0" t="n">
        <v>70</v>
      </c>
      <c r="B73" s="9" t="n">
        <v>1424885</v>
      </c>
      <c r="C73" s="0" t="n">
        <v>17751</v>
      </c>
      <c r="D73" s="0" t="n">
        <v>1261975</v>
      </c>
      <c r="E73" s="0" t="s">
        <v>271</v>
      </c>
      <c r="F73" s="0" t="n">
        <v>126112</v>
      </c>
      <c r="G73" s="0" t="s">
        <v>826</v>
      </c>
      <c r="H73" s="0" t="s">
        <v>827</v>
      </c>
      <c r="I73" s="0" t="s">
        <v>828</v>
      </c>
      <c r="J73" s="0" t="s">
        <v>829</v>
      </c>
      <c r="K73" s="0" t="s">
        <v>830</v>
      </c>
      <c r="L73" s="0" t="n">
        <v>1131318</v>
      </c>
      <c r="M73" s="0" t="s">
        <v>831</v>
      </c>
      <c r="N73" s="0" t="n">
        <v>964858</v>
      </c>
      <c r="O73" s="9" t="n">
        <v>1523</v>
      </c>
      <c r="P73" s="0" t="s">
        <v>266</v>
      </c>
      <c r="Q73" s="0" t="s">
        <v>832</v>
      </c>
      <c r="R73" s="0" t="s">
        <v>833</v>
      </c>
      <c r="S73" s="0" t="s">
        <v>834</v>
      </c>
      <c r="T73" s="0" t="s">
        <v>835</v>
      </c>
      <c r="U73" s="9" t="n">
        <v>0</v>
      </c>
      <c r="V73" s="0" t="n">
        <v>13.4571511662563</v>
      </c>
      <c r="W73" s="0" t="n">
        <v>20220630</v>
      </c>
      <c r="X73" s="0" t="n">
        <v>0.566526729353532</v>
      </c>
      <c r="Y73" s="0" t="s">
        <v>836</v>
      </c>
      <c r="Z73" s="0" t="s">
        <v>60</v>
      </c>
    </row>
    <row r="74" customFormat="false" ht="15" hidden="false" customHeight="false" outlineLevel="0" collapsed="false">
      <c r="A74" s="0" t="n">
        <v>71</v>
      </c>
      <c r="B74" s="9" t="n">
        <v>1531749</v>
      </c>
      <c r="C74" s="0" t="n">
        <v>17897</v>
      </c>
      <c r="D74" s="0" t="n">
        <v>1250686</v>
      </c>
      <c r="E74" s="0" t="s">
        <v>172</v>
      </c>
      <c r="F74" s="0" t="n">
        <v>191374</v>
      </c>
      <c r="G74" s="0" t="s">
        <v>837</v>
      </c>
      <c r="H74" s="0" t="s">
        <v>838</v>
      </c>
      <c r="I74" s="0" t="s">
        <v>839</v>
      </c>
      <c r="J74" s="0" t="s">
        <v>840</v>
      </c>
      <c r="K74" s="0" t="s">
        <v>841</v>
      </c>
      <c r="L74" s="0" t="n">
        <v>1281527</v>
      </c>
      <c r="M74" s="0" t="s">
        <v>842</v>
      </c>
      <c r="N74" s="0" t="n">
        <v>1214666</v>
      </c>
      <c r="O74" s="9" t="n">
        <v>3935</v>
      </c>
      <c r="P74" s="0" t="s">
        <v>278</v>
      </c>
      <c r="Q74" s="0" t="s">
        <v>843</v>
      </c>
      <c r="R74" s="0" t="s">
        <v>844</v>
      </c>
      <c r="S74" s="0" t="s">
        <v>845</v>
      </c>
      <c r="T74" s="0" t="s">
        <v>846</v>
      </c>
      <c r="U74" s="9" t="n">
        <v>0</v>
      </c>
      <c r="V74" s="0" t="n">
        <v>0</v>
      </c>
      <c r="W74" s="0" t="n">
        <v>20220630</v>
      </c>
      <c r="X74" s="0" t="n">
        <v>-0.605378566093227</v>
      </c>
      <c r="Y74" s="0" t="s">
        <v>847</v>
      </c>
      <c r="Z74" s="0" t="s">
        <v>60</v>
      </c>
    </row>
    <row r="75" customFormat="false" ht="15" hidden="false" customHeight="false" outlineLevel="0" collapsed="false">
      <c r="A75" s="0" t="n">
        <v>72</v>
      </c>
      <c r="B75" s="9" t="n">
        <v>724308</v>
      </c>
      <c r="C75" s="0" t="n">
        <v>17951</v>
      </c>
      <c r="D75" s="0" t="n">
        <v>640946</v>
      </c>
      <c r="E75" s="0" t="s">
        <v>246</v>
      </c>
      <c r="F75" s="0" t="n">
        <v>53765</v>
      </c>
      <c r="G75" s="0" t="s">
        <v>848</v>
      </c>
      <c r="H75" s="0" t="s">
        <v>849</v>
      </c>
      <c r="I75" s="0" t="s">
        <v>850</v>
      </c>
      <c r="J75" s="0" t="s">
        <v>851</v>
      </c>
      <c r="K75" s="0" t="s">
        <v>852</v>
      </c>
      <c r="L75" s="0" t="n">
        <v>488769</v>
      </c>
      <c r="M75" s="0" t="s">
        <v>853</v>
      </c>
      <c r="N75" s="0" t="n">
        <v>448742</v>
      </c>
      <c r="O75" s="9" t="n">
        <v>782</v>
      </c>
      <c r="P75" s="0" t="s">
        <v>290</v>
      </c>
      <c r="Q75" s="0" t="s">
        <v>854</v>
      </c>
      <c r="R75" s="0" t="s">
        <v>855</v>
      </c>
      <c r="S75" s="0" t="s">
        <v>478</v>
      </c>
      <c r="T75" s="0" t="s">
        <v>856</v>
      </c>
      <c r="U75" s="9" t="n">
        <v>0</v>
      </c>
      <c r="V75" s="0" t="n">
        <v>15.0065477421255</v>
      </c>
      <c r="W75" s="0" t="n">
        <v>20220630</v>
      </c>
      <c r="X75" s="0" t="n">
        <v>0.944250983121892</v>
      </c>
      <c r="Y75" s="0" t="s">
        <v>857</v>
      </c>
      <c r="Z75" s="0" t="s">
        <v>158</v>
      </c>
    </row>
    <row r="76" customFormat="false" ht="15" hidden="false" customHeight="false" outlineLevel="0" collapsed="false">
      <c r="A76" s="0" t="n">
        <v>73</v>
      </c>
      <c r="B76" s="9" t="n">
        <v>1230052</v>
      </c>
      <c r="C76" s="0" t="n">
        <v>17960</v>
      </c>
      <c r="D76" s="0" t="n">
        <v>1013410</v>
      </c>
      <c r="E76" s="0" t="s">
        <v>858</v>
      </c>
      <c r="F76" s="0" t="n">
        <v>104397</v>
      </c>
      <c r="G76" s="0" t="s">
        <v>859</v>
      </c>
      <c r="H76" s="0" t="s">
        <v>860</v>
      </c>
      <c r="I76" s="0" t="s">
        <v>861</v>
      </c>
      <c r="J76" s="0" t="s">
        <v>862</v>
      </c>
      <c r="K76" s="0" t="s">
        <v>863</v>
      </c>
      <c r="L76" s="0" t="n">
        <v>1010760</v>
      </c>
      <c r="M76" s="0" t="s">
        <v>864</v>
      </c>
      <c r="N76" s="0" t="n">
        <v>739326</v>
      </c>
      <c r="O76" s="9" t="n">
        <v>789</v>
      </c>
      <c r="P76" s="0" t="s">
        <v>302</v>
      </c>
      <c r="Q76" s="0" t="s">
        <v>865</v>
      </c>
      <c r="R76" s="0" t="s">
        <v>866</v>
      </c>
      <c r="S76" s="0" t="s">
        <v>534</v>
      </c>
      <c r="T76" s="0" t="s">
        <v>867</v>
      </c>
      <c r="U76" s="9" t="n">
        <v>31</v>
      </c>
      <c r="V76" s="0" t="n">
        <v>13.5305719072218</v>
      </c>
      <c r="W76" s="0" t="n">
        <v>20220630</v>
      </c>
      <c r="X76" s="0" t="n">
        <v>0.790703185834716</v>
      </c>
      <c r="Y76" s="0" t="s">
        <v>868</v>
      </c>
      <c r="Z76" s="0" t="s">
        <v>158</v>
      </c>
    </row>
    <row r="77" customFormat="false" ht="15" hidden="false" customHeight="false" outlineLevel="0" collapsed="false">
      <c r="A77" s="0" t="n">
        <v>74</v>
      </c>
      <c r="B77" s="9" t="n">
        <v>2374786</v>
      </c>
      <c r="C77" s="0" t="n">
        <v>18012</v>
      </c>
      <c r="D77" s="0" t="n">
        <v>2014310</v>
      </c>
      <c r="E77" s="0" t="s">
        <v>195</v>
      </c>
      <c r="F77" s="0" t="n">
        <v>231360</v>
      </c>
      <c r="G77" s="0" t="s">
        <v>869</v>
      </c>
      <c r="H77" s="0" t="s">
        <v>870</v>
      </c>
      <c r="I77" s="0" t="s">
        <v>871</v>
      </c>
      <c r="J77" s="0" t="s">
        <v>872</v>
      </c>
      <c r="K77" s="0" t="s">
        <v>873</v>
      </c>
      <c r="L77" s="0" t="n">
        <v>1892617</v>
      </c>
      <c r="M77" s="0" t="s">
        <v>874</v>
      </c>
      <c r="N77" s="0" t="n">
        <v>1772602</v>
      </c>
      <c r="O77" s="9" t="n">
        <v>1132</v>
      </c>
      <c r="P77" s="0" t="s">
        <v>312</v>
      </c>
      <c r="Q77" s="0" t="s">
        <v>875</v>
      </c>
      <c r="R77" s="0" t="s">
        <v>876</v>
      </c>
      <c r="S77" s="0" t="s">
        <v>340</v>
      </c>
      <c r="T77" s="0" t="s">
        <v>877</v>
      </c>
      <c r="U77" s="9" t="n">
        <v>0</v>
      </c>
      <c r="V77" s="0" t="n">
        <v>12.6942760049431</v>
      </c>
      <c r="W77" s="0" t="n">
        <v>20220630</v>
      </c>
      <c r="X77" s="0" t="n">
        <v>1.27634753581963</v>
      </c>
      <c r="Y77" s="0" t="s">
        <v>878</v>
      </c>
      <c r="Z77" s="0" t="s">
        <v>158</v>
      </c>
    </row>
    <row r="78" customFormat="false" ht="15" hidden="false" customHeight="false" outlineLevel="0" collapsed="false">
      <c r="A78" s="0" t="n">
        <v>75</v>
      </c>
      <c r="B78" s="9" t="n">
        <v>2601325</v>
      </c>
      <c r="C78" s="0" t="n">
        <v>18013</v>
      </c>
      <c r="D78" s="0" t="n">
        <v>2273331</v>
      </c>
      <c r="E78" s="0" t="s">
        <v>390</v>
      </c>
      <c r="F78" s="0" t="n">
        <v>196477</v>
      </c>
      <c r="G78" s="0" t="s">
        <v>879</v>
      </c>
      <c r="H78" s="0" t="s">
        <v>880</v>
      </c>
      <c r="I78" s="0" t="s">
        <v>881</v>
      </c>
      <c r="J78" s="0" t="s">
        <v>882</v>
      </c>
      <c r="K78" s="0" t="s">
        <v>883</v>
      </c>
      <c r="L78" s="0" t="n">
        <v>2018864</v>
      </c>
      <c r="M78" s="0" t="s">
        <v>884</v>
      </c>
      <c r="N78" s="0" t="n">
        <v>1844412</v>
      </c>
      <c r="O78" s="9" t="n">
        <v>1506</v>
      </c>
      <c r="P78" s="0" t="s">
        <v>324</v>
      </c>
      <c r="Q78" s="0" t="s">
        <v>885</v>
      </c>
      <c r="R78" s="0" t="s">
        <v>886</v>
      </c>
      <c r="S78" s="0" t="s">
        <v>887</v>
      </c>
      <c r="T78" s="0" t="s">
        <v>888</v>
      </c>
      <c r="U78" s="9" t="n">
        <v>781</v>
      </c>
      <c r="V78" s="0" t="n">
        <v>13.7038054450497</v>
      </c>
      <c r="W78" s="0" t="n">
        <v>20220630</v>
      </c>
      <c r="X78" s="0" t="n">
        <v>0.734825584062722</v>
      </c>
      <c r="Y78" s="0" t="s">
        <v>889</v>
      </c>
      <c r="Z78" s="0" t="s">
        <v>158</v>
      </c>
    </row>
    <row r="79" customFormat="false" ht="15" hidden="false" customHeight="false" outlineLevel="0" collapsed="false">
      <c r="A79" s="0" t="n">
        <v>76</v>
      </c>
      <c r="B79" s="9" t="n">
        <v>377551</v>
      </c>
      <c r="C79" s="0" t="n">
        <v>18028</v>
      </c>
      <c r="D79" s="0" t="n">
        <v>335244</v>
      </c>
      <c r="E79" s="0" t="s">
        <v>890</v>
      </c>
      <c r="F79" s="0" t="n">
        <v>38122</v>
      </c>
      <c r="G79" s="0" t="s">
        <v>891</v>
      </c>
      <c r="H79" s="0" t="s">
        <v>892</v>
      </c>
      <c r="I79" s="0" t="s">
        <v>893</v>
      </c>
      <c r="J79" s="0" t="s">
        <v>894</v>
      </c>
      <c r="K79" s="0" t="s">
        <v>895</v>
      </c>
      <c r="L79" s="0" t="n">
        <v>240579</v>
      </c>
      <c r="M79" s="0" t="s">
        <v>896</v>
      </c>
      <c r="N79" s="0" t="n">
        <v>210223</v>
      </c>
      <c r="O79" s="9" t="n">
        <v>1077</v>
      </c>
      <c r="P79" s="0" t="s">
        <v>337</v>
      </c>
      <c r="Q79" s="0" t="s">
        <v>897</v>
      </c>
      <c r="R79" s="0" t="s">
        <v>898</v>
      </c>
      <c r="S79" s="0" t="s">
        <v>899</v>
      </c>
      <c r="T79" s="0" t="s">
        <v>900</v>
      </c>
      <c r="U79" s="9" t="n">
        <v>25</v>
      </c>
      <c r="V79" s="0" t="n">
        <v>0</v>
      </c>
      <c r="W79" s="0" t="n">
        <v>20220630</v>
      </c>
      <c r="X79" s="0" t="n">
        <v>0.703599748815598</v>
      </c>
      <c r="Y79" s="0" t="s">
        <v>901</v>
      </c>
      <c r="Z79" s="0" t="s">
        <v>158</v>
      </c>
    </row>
    <row r="80" customFormat="false" ht="15" hidden="false" customHeight="false" outlineLevel="0" collapsed="false">
      <c r="A80" s="0" t="n">
        <v>77</v>
      </c>
      <c r="B80" s="9" t="n">
        <v>687772</v>
      </c>
      <c r="C80" s="0" t="n">
        <v>18030</v>
      </c>
      <c r="D80" s="0" t="n">
        <v>640669</v>
      </c>
      <c r="E80" s="0" t="s">
        <v>85</v>
      </c>
      <c r="F80" s="0" t="n">
        <v>44729</v>
      </c>
      <c r="G80" s="0" t="s">
        <v>902</v>
      </c>
      <c r="H80" s="0" t="s">
        <v>903</v>
      </c>
      <c r="I80" s="0" t="s">
        <v>904</v>
      </c>
      <c r="J80" s="0" t="s">
        <v>905</v>
      </c>
      <c r="K80" s="0" t="s">
        <v>906</v>
      </c>
      <c r="L80" s="0" t="n">
        <v>511976</v>
      </c>
      <c r="M80" s="0" t="s">
        <v>907</v>
      </c>
      <c r="N80" s="0" t="n">
        <v>399387</v>
      </c>
      <c r="O80" s="9" t="n">
        <v>564</v>
      </c>
      <c r="P80" s="0" t="s">
        <v>349</v>
      </c>
      <c r="Q80" s="0" t="s">
        <v>908</v>
      </c>
      <c r="R80" s="0" t="s">
        <v>909</v>
      </c>
      <c r="S80" s="0" t="s">
        <v>910</v>
      </c>
      <c r="T80" s="0" t="s">
        <v>911</v>
      </c>
      <c r="U80" s="9" t="n">
        <v>0</v>
      </c>
      <c r="V80" s="0" t="n">
        <v>13.6627788194807</v>
      </c>
      <c r="W80" s="0" t="n">
        <v>20220630</v>
      </c>
      <c r="X80" s="0" t="n">
        <v>0.378784896628824</v>
      </c>
      <c r="Y80" s="0" t="s">
        <v>912</v>
      </c>
      <c r="Z80" s="0" t="s">
        <v>158</v>
      </c>
    </row>
    <row r="81" customFormat="false" ht="15" hidden="false" customHeight="false" outlineLevel="0" collapsed="false">
      <c r="A81" s="0" t="n">
        <v>78</v>
      </c>
      <c r="B81" s="9" t="n">
        <v>627001</v>
      </c>
      <c r="C81" s="0" t="n">
        <v>18031</v>
      </c>
      <c r="D81" s="0" t="n">
        <v>558118</v>
      </c>
      <c r="E81" s="0" t="s">
        <v>61</v>
      </c>
      <c r="F81" s="0" t="n">
        <v>39966</v>
      </c>
      <c r="G81" s="0" t="s">
        <v>913</v>
      </c>
      <c r="H81" s="0" t="s">
        <v>914</v>
      </c>
      <c r="I81" s="0" t="s">
        <v>915</v>
      </c>
      <c r="J81" s="0" t="s">
        <v>916</v>
      </c>
      <c r="K81" s="0" t="s">
        <v>917</v>
      </c>
      <c r="L81" s="0" t="n">
        <v>427467</v>
      </c>
      <c r="M81" s="0" t="s">
        <v>918</v>
      </c>
      <c r="N81" s="0" t="n">
        <v>382501</v>
      </c>
      <c r="O81" s="9" t="n">
        <v>527</v>
      </c>
      <c r="P81" s="0" t="s">
        <v>361</v>
      </c>
      <c r="Q81" s="0" t="s">
        <v>919</v>
      </c>
      <c r="R81" s="0" t="s">
        <v>920</v>
      </c>
      <c r="S81" s="0" t="s">
        <v>83</v>
      </c>
      <c r="T81" s="0" t="s">
        <v>921</v>
      </c>
      <c r="U81" s="9" t="n">
        <v>0</v>
      </c>
      <c r="V81" s="0" t="n">
        <v>0</v>
      </c>
      <c r="W81" s="0" t="n">
        <v>20220630</v>
      </c>
      <c r="X81" s="0" t="n">
        <v>0.460576991796965</v>
      </c>
      <c r="Y81" s="0" t="s">
        <v>922</v>
      </c>
      <c r="Z81" s="0" t="s">
        <v>158</v>
      </c>
    </row>
    <row r="82" customFormat="false" ht="15" hidden="false" customHeight="false" outlineLevel="0" collapsed="false">
      <c r="A82" s="0" t="n">
        <v>79</v>
      </c>
      <c r="B82" s="9" t="n">
        <v>488764</v>
      </c>
      <c r="C82" s="0" t="n">
        <v>18038</v>
      </c>
      <c r="D82" s="0" t="n">
        <v>401670</v>
      </c>
      <c r="E82" s="0" t="s">
        <v>923</v>
      </c>
      <c r="F82" s="0" t="n">
        <v>64314</v>
      </c>
      <c r="G82" s="0" t="s">
        <v>924</v>
      </c>
      <c r="H82" s="0" t="s">
        <v>925</v>
      </c>
      <c r="I82" s="0" t="s">
        <v>926</v>
      </c>
      <c r="J82" s="0" t="s">
        <v>927</v>
      </c>
      <c r="K82" s="0" t="s">
        <v>928</v>
      </c>
      <c r="L82" s="0" t="n">
        <v>365235</v>
      </c>
      <c r="M82" s="0" t="s">
        <v>929</v>
      </c>
      <c r="N82" s="0" t="n">
        <v>344078</v>
      </c>
      <c r="O82" s="9" t="n">
        <v>2488</v>
      </c>
      <c r="P82" s="0" t="s">
        <v>372</v>
      </c>
      <c r="Q82" s="0" t="s">
        <v>930</v>
      </c>
      <c r="R82" s="0" t="s">
        <v>931</v>
      </c>
      <c r="S82" s="0" t="s">
        <v>932</v>
      </c>
      <c r="T82" s="0" t="s">
        <v>933</v>
      </c>
      <c r="U82" s="9" t="n">
        <v>0</v>
      </c>
      <c r="V82" s="0" t="n">
        <v>0</v>
      </c>
      <c r="W82" s="0" t="n">
        <v>20220630</v>
      </c>
      <c r="X82" s="0" t="n">
        <v>-1.25076524476901</v>
      </c>
      <c r="Y82" s="0" t="s">
        <v>934</v>
      </c>
      <c r="Z82" s="0" t="s">
        <v>158</v>
      </c>
    </row>
    <row r="83" customFormat="false" ht="15" hidden="false" customHeight="false" outlineLevel="0" collapsed="false">
      <c r="A83" s="0" t="n">
        <v>80</v>
      </c>
      <c r="B83" s="9" t="n">
        <v>7044628</v>
      </c>
      <c r="C83" s="0" t="n">
        <v>18408</v>
      </c>
      <c r="D83" s="0" t="n">
        <v>5698679</v>
      </c>
      <c r="E83" s="0" t="s">
        <v>935</v>
      </c>
      <c r="F83" s="0" t="n">
        <v>400181</v>
      </c>
      <c r="G83" s="0" t="s">
        <v>936</v>
      </c>
      <c r="H83" s="0" t="s">
        <v>937</v>
      </c>
      <c r="I83" s="0" t="s">
        <v>938</v>
      </c>
      <c r="J83" s="0" t="s">
        <v>939</v>
      </c>
      <c r="K83" s="0" t="s">
        <v>940</v>
      </c>
      <c r="L83" s="0" t="n">
        <v>4218417</v>
      </c>
      <c r="M83" s="0" t="s">
        <v>941</v>
      </c>
      <c r="N83" s="0" t="n">
        <v>3811693</v>
      </c>
      <c r="O83" s="9" t="n">
        <v>3286</v>
      </c>
      <c r="P83" s="0" t="s">
        <v>384</v>
      </c>
      <c r="Q83" s="0" t="s">
        <v>942</v>
      </c>
      <c r="R83" s="0" t="s">
        <v>943</v>
      </c>
      <c r="S83" s="0" t="s">
        <v>944</v>
      </c>
      <c r="T83" s="0" t="s">
        <v>945</v>
      </c>
      <c r="U83" s="9" t="n">
        <v>0</v>
      </c>
      <c r="V83" s="0" t="n">
        <v>12.6356673275024</v>
      </c>
      <c r="W83" s="0" t="n">
        <v>20220630</v>
      </c>
      <c r="X83" s="0" t="n">
        <v>0.683736868525769</v>
      </c>
      <c r="Y83" s="0" t="s">
        <v>946</v>
      </c>
      <c r="Z83" s="0" t="s">
        <v>60</v>
      </c>
    </row>
    <row r="84" customFormat="false" ht="15" hidden="false" customHeight="false" outlineLevel="0" collapsed="false">
      <c r="A84" s="0" t="n">
        <v>81</v>
      </c>
      <c r="B84" s="9" t="n">
        <v>2272024</v>
      </c>
      <c r="C84" s="0" t="n">
        <v>19531</v>
      </c>
      <c r="D84" s="0" t="n">
        <v>1925714</v>
      </c>
      <c r="E84" s="0" t="s">
        <v>61</v>
      </c>
      <c r="F84" s="0" t="n">
        <v>222030</v>
      </c>
      <c r="G84" s="0" t="s">
        <v>947</v>
      </c>
      <c r="H84" s="0" t="s">
        <v>948</v>
      </c>
      <c r="I84" s="0" t="s">
        <v>949</v>
      </c>
      <c r="J84" s="0" t="s">
        <v>950</v>
      </c>
      <c r="K84" s="0" t="s">
        <v>951</v>
      </c>
      <c r="L84" s="0" t="n">
        <v>1764676</v>
      </c>
      <c r="M84" s="0" t="s">
        <v>952</v>
      </c>
      <c r="N84" s="0" t="n">
        <v>1421672</v>
      </c>
      <c r="O84" s="9" t="n">
        <v>5750</v>
      </c>
      <c r="P84" s="0" t="s">
        <v>397</v>
      </c>
      <c r="Q84" s="0" t="s">
        <v>953</v>
      </c>
      <c r="R84" s="0" t="s">
        <v>954</v>
      </c>
      <c r="S84" s="0" t="s">
        <v>955</v>
      </c>
      <c r="T84" s="0" t="s">
        <v>956</v>
      </c>
      <c r="U84" s="9" t="n">
        <v>0</v>
      </c>
      <c r="V84" s="0" t="n">
        <v>14.6873232617526</v>
      </c>
      <c r="W84" s="0" t="n">
        <v>20220630</v>
      </c>
      <c r="X84" s="0" t="n">
        <v>0.393415877845515</v>
      </c>
      <c r="Y84" s="0" t="s">
        <v>957</v>
      </c>
      <c r="Z84" s="0" t="s">
        <v>60</v>
      </c>
    </row>
    <row r="85" customFormat="false" ht="15" hidden="false" customHeight="false" outlineLevel="0" collapsed="false">
      <c r="A85" s="0" t="n">
        <v>82</v>
      </c>
      <c r="B85" s="9" t="n">
        <v>754376</v>
      </c>
      <c r="C85" s="0" t="n">
        <v>19532</v>
      </c>
      <c r="D85" s="0" t="n">
        <v>650205</v>
      </c>
      <c r="E85" s="0" t="s">
        <v>390</v>
      </c>
      <c r="F85" s="0" t="n">
        <v>89980</v>
      </c>
      <c r="G85" s="0" t="s">
        <v>958</v>
      </c>
      <c r="H85" s="0" t="s">
        <v>959</v>
      </c>
      <c r="I85" s="0" t="s">
        <v>960</v>
      </c>
      <c r="J85" s="0" t="s">
        <v>961</v>
      </c>
      <c r="K85" s="0" t="s">
        <v>962</v>
      </c>
      <c r="L85" s="0" t="n">
        <v>515185</v>
      </c>
      <c r="M85" s="0" t="s">
        <v>963</v>
      </c>
      <c r="N85" s="0" t="n">
        <v>443130</v>
      </c>
      <c r="O85" s="9" t="n">
        <v>597</v>
      </c>
      <c r="P85" s="0" t="s">
        <v>409</v>
      </c>
      <c r="Q85" s="0" t="s">
        <v>964</v>
      </c>
      <c r="R85" s="0" t="s">
        <v>965</v>
      </c>
      <c r="S85" s="0" t="s">
        <v>155</v>
      </c>
      <c r="T85" s="0" t="s">
        <v>966</v>
      </c>
      <c r="U85" s="9" t="n">
        <v>187</v>
      </c>
      <c r="V85" s="0" t="n">
        <v>21.3539763438792</v>
      </c>
      <c r="W85" s="0" t="n">
        <v>20220630</v>
      </c>
      <c r="X85" s="0" t="n">
        <v>0.477693119700524</v>
      </c>
      <c r="Y85" s="0" t="s">
        <v>967</v>
      </c>
      <c r="Z85" s="0" t="s">
        <v>60</v>
      </c>
    </row>
    <row r="86" customFormat="false" ht="15" hidden="false" customHeight="false" outlineLevel="0" collapsed="false">
      <c r="A86" s="0" t="n">
        <v>83</v>
      </c>
      <c r="B86" s="9" t="n">
        <v>1582759</v>
      </c>
      <c r="C86" s="0" t="n">
        <v>19690</v>
      </c>
      <c r="D86" s="0" t="n">
        <v>1302616</v>
      </c>
      <c r="E86" s="0" t="s">
        <v>968</v>
      </c>
      <c r="F86" s="0" t="n">
        <v>248321</v>
      </c>
      <c r="G86" s="0" t="s">
        <v>969</v>
      </c>
      <c r="H86" s="0" t="s">
        <v>970</v>
      </c>
      <c r="I86" s="0" t="s">
        <v>971</v>
      </c>
      <c r="J86" s="0" t="s">
        <v>972</v>
      </c>
      <c r="K86" s="0" t="s">
        <v>973</v>
      </c>
      <c r="L86" s="0" t="n">
        <v>1304866</v>
      </c>
      <c r="M86" s="0" t="s">
        <v>974</v>
      </c>
      <c r="N86" s="0" t="n">
        <v>951396</v>
      </c>
      <c r="O86" s="9" t="n">
        <v>12946</v>
      </c>
      <c r="P86" s="0" t="s">
        <v>420</v>
      </c>
      <c r="Q86" s="0" t="s">
        <v>975</v>
      </c>
      <c r="R86" s="0" t="s">
        <v>976</v>
      </c>
      <c r="S86" s="0" t="s">
        <v>977</v>
      </c>
      <c r="T86" s="0" t="s">
        <v>978</v>
      </c>
      <c r="U86" s="9" t="n">
        <v>0</v>
      </c>
      <c r="V86" s="0" t="n">
        <v>19.4670764547208</v>
      </c>
      <c r="W86" s="0" t="n">
        <v>20220630</v>
      </c>
      <c r="X86" s="0" t="n">
        <v>2.71865093743965</v>
      </c>
      <c r="Y86" s="0" t="s">
        <v>979</v>
      </c>
      <c r="Z86" s="0" t="s">
        <v>60</v>
      </c>
    </row>
    <row r="87" customFormat="false" ht="15" hidden="false" customHeight="false" outlineLevel="0" collapsed="false">
      <c r="A87" s="0" t="n">
        <v>84</v>
      </c>
      <c r="B87" s="9" t="n">
        <v>565870</v>
      </c>
      <c r="C87" s="0" t="n">
        <v>19836</v>
      </c>
      <c r="D87" s="0" t="n">
        <v>441969</v>
      </c>
      <c r="E87" s="0" t="s">
        <v>794</v>
      </c>
      <c r="F87" s="0" t="n">
        <v>116691</v>
      </c>
      <c r="G87" s="0" t="s">
        <v>980</v>
      </c>
      <c r="H87" s="0" t="s">
        <v>981</v>
      </c>
      <c r="I87" s="0" t="s">
        <v>982</v>
      </c>
      <c r="J87" s="0" t="s">
        <v>983</v>
      </c>
      <c r="K87" s="0" t="s">
        <v>984</v>
      </c>
      <c r="L87" s="0" t="n">
        <v>450911</v>
      </c>
      <c r="M87" s="0" t="s">
        <v>985</v>
      </c>
      <c r="N87" s="0" t="n">
        <v>383579</v>
      </c>
      <c r="O87" s="9" t="n">
        <v>1685</v>
      </c>
      <c r="P87" s="0" t="s">
        <v>290</v>
      </c>
      <c r="Q87" s="0" t="s">
        <v>986</v>
      </c>
      <c r="R87" s="0" t="s">
        <v>987</v>
      </c>
      <c r="S87" s="0" t="s">
        <v>988</v>
      </c>
      <c r="T87" s="0" t="s">
        <v>989</v>
      </c>
      <c r="U87" s="9" t="n">
        <v>0</v>
      </c>
      <c r="V87" s="0" t="n">
        <v>29.3004506448167</v>
      </c>
      <c r="W87" s="0" t="n">
        <v>20220630</v>
      </c>
      <c r="X87" s="0" t="n">
        <v>0.859566913692381</v>
      </c>
      <c r="Y87" s="0" t="s">
        <v>502</v>
      </c>
      <c r="Z87" s="0" t="s">
        <v>60</v>
      </c>
    </row>
    <row r="88" customFormat="false" ht="15" hidden="false" customHeight="false" outlineLevel="0" collapsed="false">
      <c r="A88" s="0" t="n">
        <v>85</v>
      </c>
      <c r="B88" s="9" t="n">
        <v>1234978</v>
      </c>
      <c r="C88" s="0" t="n">
        <v>24540</v>
      </c>
      <c r="D88" s="0" t="n">
        <v>1010154</v>
      </c>
      <c r="E88" s="0" t="s">
        <v>61</v>
      </c>
      <c r="F88" s="0" t="n">
        <v>198951</v>
      </c>
      <c r="G88" s="0" t="s">
        <v>990</v>
      </c>
      <c r="H88" s="0" t="s">
        <v>991</v>
      </c>
      <c r="I88" s="0" t="s">
        <v>992</v>
      </c>
      <c r="J88" s="0" t="s">
        <v>993</v>
      </c>
      <c r="K88" s="0" t="s">
        <v>994</v>
      </c>
      <c r="L88" s="0" t="n">
        <v>1041543</v>
      </c>
      <c r="M88" s="0" t="s">
        <v>995</v>
      </c>
      <c r="N88" s="0" t="n">
        <v>1001399</v>
      </c>
      <c r="O88" s="9" t="n">
        <v>782</v>
      </c>
      <c r="P88" s="0" t="s">
        <v>443</v>
      </c>
      <c r="Q88" s="0" t="s">
        <v>996</v>
      </c>
      <c r="R88" s="0" t="s">
        <v>997</v>
      </c>
      <c r="S88" s="0" t="s">
        <v>998</v>
      </c>
      <c r="T88" s="0" t="s">
        <v>61</v>
      </c>
      <c r="U88" s="9" t="n">
        <v>0</v>
      </c>
      <c r="V88" s="0" t="n">
        <v>0</v>
      </c>
      <c r="W88" s="0" t="n">
        <v>20220630</v>
      </c>
      <c r="X88" s="0" t="n">
        <v>2.15476323542861</v>
      </c>
      <c r="Y88" s="0" t="s">
        <v>999</v>
      </c>
      <c r="Z88" s="0" t="s">
        <v>158</v>
      </c>
    </row>
    <row r="89" customFormat="false" ht="15" hidden="false" customHeight="false" outlineLevel="0" collapsed="false">
      <c r="A89" s="0" t="n">
        <v>86</v>
      </c>
      <c r="B89" s="9" t="n">
        <v>469898</v>
      </c>
      <c r="C89" s="0" t="n">
        <v>27824</v>
      </c>
      <c r="D89" s="0" t="n">
        <v>371733</v>
      </c>
      <c r="E89" s="0" t="s">
        <v>61</v>
      </c>
      <c r="F89" s="0" t="n">
        <v>67598</v>
      </c>
      <c r="G89" s="0" t="s">
        <v>1000</v>
      </c>
      <c r="H89" s="0" t="s">
        <v>1001</v>
      </c>
      <c r="I89" s="0" t="s">
        <v>1002</v>
      </c>
      <c r="J89" s="0" t="s">
        <v>1003</v>
      </c>
      <c r="K89" s="0" t="s">
        <v>1004</v>
      </c>
      <c r="L89" s="0" t="n">
        <v>379937</v>
      </c>
      <c r="M89" s="0" t="s">
        <v>1005</v>
      </c>
      <c r="N89" s="0" t="n">
        <v>328679</v>
      </c>
      <c r="O89" s="9" t="n">
        <v>861</v>
      </c>
      <c r="P89" s="0" t="s">
        <v>453</v>
      </c>
      <c r="Q89" s="0" t="s">
        <v>1006</v>
      </c>
      <c r="R89" s="0" t="s">
        <v>1007</v>
      </c>
      <c r="S89" s="0" t="s">
        <v>61</v>
      </c>
      <c r="T89" s="0" t="s">
        <v>1008</v>
      </c>
      <c r="U89" s="9" t="n">
        <v>0</v>
      </c>
      <c r="V89" s="0" t="n">
        <v>24.6578547583975</v>
      </c>
      <c r="W89" s="0" t="n">
        <v>20220630</v>
      </c>
      <c r="X89" s="0" t="n">
        <v>0.382958283601642</v>
      </c>
      <c r="Y89" s="0" t="s">
        <v>1009</v>
      </c>
      <c r="Z89" s="0" t="s">
        <v>158</v>
      </c>
    </row>
    <row r="90" customFormat="false" ht="15" hidden="false" customHeight="false" outlineLevel="0" collapsed="false">
      <c r="A90" s="0" t="n">
        <v>87</v>
      </c>
      <c r="B90" s="9" t="n">
        <v>299676</v>
      </c>
      <c r="C90" s="0" t="n">
        <v>28155</v>
      </c>
      <c r="D90" s="0" t="n">
        <v>271184</v>
      </c>
      <c r="E90" s="0" t="s">
        <v>208</v>
      </c>
      <c r="F90" s="0" t="n">
        <v>27573</v>
      </c>
      <c r="G90" s="0" t="s">
        <v>1010</v>
      </c>
      <c r="H90" s="0" t="s">
        <v>1011</v>
      </c>
      <c r="I90" s="0" t="s">
        <v>1012</v>
      </c>
      <c r="J90" s="0" t="s">
        <v>1013</v>
      </c>
      <c r="K90" s="0" t="s">
        <v>1014</v>
      </c>
      <c r="L90" s="0" t="n">
        <v>149772</v>
      </c>
      <c r="M90" s="0" t="s">
        <v>1015</v>
      </c>
      <c r="N90" s="0" t="n">
        <v>139442</v>
      </c>
      <c r="O90" s="9" t="n">
        <v>12</v>
      </c>
      <c r="P90" s="0" t="s">
        <v>464</v>
      </c>
      <c r="Q90" s="0" t="s">
        <v>1016</v>
      </c>
      <c r="R90" s="0" t="s">
        <v>1017</v>
      </c>
      <c r="S90" s="0" t="s">
        <v>1018</v>
      </c>
      <c r="T90" s="0" t="s">
        <v>1019</v>
      </c>
      <c r="U90" s="9" t="n">
        <v>0</v>
      </c>
      <c r="V90" s="0" t="n">
        <v>19.0224932090442</v>
      </c>
      <c r="W90" s="0" t="n">
        <v>20220630</v>
      </c>
      <c r="X90" s="0" t="n">
        <v>0.25641055176648</v>
      </c>
      <c r="Y90" s="0" t="s">
        <v>1020</v>
      </c>
      <c r="Z90" s="0" t="s">
        <v>158</v>
      </c>
    </row>
    <row r="91" customFormat="false" ht="15" hidden="false" customHeight="false" outlineLevel="0" collapsed="false">
      <c r="A91" s="0" t="n">
        <v>88</v>
      </c>
      <c r="B91" s="9" t="n">
        <v>98212</v>
      </c>
      <c r="C91" s="0" t="n">
        <v>28288</v>
      </c>
      <c r="D91" s="0" t="n">
        <v>80509</v>
      </c>
      <c r="E91" s="0" t="s">
        <v>47</v>
      </c>
      <c r="F91" s="0" t="n">
        <v>6561</v>
      </c>
      <c r="G91" s="0" t="s">
        <v>1021</v>
      </c>
      <c r="H91" s="0" t="s">
        <v>1022</v>
      </c>
      <c r="I91" s="0" t="s">
        <v>1023</v>
      </c>
      <c r="J91" s="0" t="s">
        <v>1024</v>
      </c>
      <c r="K91" s="0" t="s">
        <v>1025</v>
      </c>
      <c r="L91" s="0" t="n">
        <v>77137</v>
      </c>
      <c r="M91" s="0" t="s">
        <v>1026</v>
      </c>
      <c r="N91" s="0" t="n">
        <v>73486</v>
      </c>
      <c r="O91" s="9" t="n">
        <v>408</v>
      </c>
      <c r="P91" s="0" t="s">
        <v>475</v>
      </c>
      <c r="Q91" s="0" t="s">
        <v>1027</v>
      </c>
      <c r="R91" s="0" t="s">
        <v>1028</v>
      </c>
      <c r="S91" s="0" t="s">
        <v>243</v>
      </c>
      <c r="T91" s="0" t="s">
        <v>1029</v>
      </c>
      <c r="U91" s="9" t="n">
        <v>0</v>
      </c>
      <c r="V91" s="0" t="n">
        <v>13.4365080570448</v>
      </c>
      <c r="W91" s="0" t="n">
        <v>20220630</v>
      </c>
      <c r="X91" s="0" t="n">
        <v>0.0974689847333906</v>
      </c>
      <c r="Y91" s="0" t="s">
        <v>1030</v>
      </c>
      <c r="Z91" s="0" t="s">
        <v>60</v>
      </c>
    </row>
    <row r="92" customFormat="false" ht="15" hidden="false" customHeight="false" outlineLevel="0" collapsed="false">
      <c r="A92" s="0" t="n">
        <v>89</v>
      </c>
      <c r="B92" s="9" t="n">
        <v>87270</v>
      </c>
      <c r="C92" s="0" t="n">
        <v>28369</v>
      </c>
      <c r="D92" s="0" t="n">
        <v>75522</v>
      </c>
      <c r="E92" s="0" t="s">
        <v>259</v>
      </c>
      <c r="F92" s="0" t="n">
        <v>9341</v>
      </c>
      <c r="G92" s="0" t="s">
        <v>1031</v>
      </c>
      <c r="H92" s="0" t="s">
        <v>1032</v>
      </c>
      <c r="I92" s="0" t="s">
        <v>1033</v>
      </c>
      <c r="J92" s="0" t="s">
        <v>1034</v>
      </c>
      <c r="K92" s="0" t="s">
        <v>1035</v>
      </c>
      <c r="L92" s="0" t="n">
        <v>73277</v>
      </c>
      <c r="M92" s="0" t="s">
        <v>1036</v>
      </c>
      <c r="N92" s="0" t="n">
        <v>61748</v>
      </c>
      <c r="O92" s="9" t="n">
        <v>372</v>
      </c>
      <c r="P92" s="0" t="s">
        <v>486</v>
      </c>
      <c r="Q92" s="0" t="s">
        <v>1037</v>
      </c>
      <c r="R92" s="0" t="s">
        <v>1038</v>
      </c>
      <c r="S92" s="0" t="s">
        <v>155</v>
      </c>
      <c r="T92" s="0" t="s">
        <v>1039</v>
      </c>
      <c r="U92" s="9" t="n">
        <v>0</v>
      </c>
      <c r="V92" s="0" t="n">
        <v>0</v>
      </c>
      <c r="W92" s="0" t="n">
        <v>20220630</v>
      </c>
      <c r="X92" s="0" t="n">
        <v>-0.0301446945337621</v>
      </c>
      <c r="Y92" s="0" t="s">
        <v>1040</v>
      </c>
      <c r="Z92" s="0" t="s">
        <v>60</v>
      </c>
    </row>
    <row r="93" customFormat="false" ht="15" hidden="false" customHeight="false" outlineLevel="0" collapsed="false">
      <c r="A93" s="0" t="n">
        <v>90</v>
      </c>
      <c r="B93" s="9" t="n">
        <v>290878</v>
      </c>
      <c r="C93" s="0" t="n">
        <v>28837</v>
      </c>
      <c r="D93" s="0" t="n">
        <v>266261</v>
      </c>
      <c r="E93" s="0" t="s">
        <v>172</v>
      </c>
      <c r="F93" s="0" t="n">
        <v>22419</v>
      </c>
      <c r="G93" s="0" t="s">
        <v>1041</v>
      </c>
      <c r="H93" s="0" t="s">
        <v>1042</v>
      </c>
      <c r="I93" s="0" t="s">
        <v>1043</v>
      </c>
      <c r="J93" s="0" t="s">
        <v>1044</v>
      </c>
      <c r="K93" s="0" t="s">
        <v>1045</v>
      </c>
      <c r="L93" s="0" t="n">
        <v>188647</v>
      </c>
      <c r="M93" s="0" t="s">
        <v>1046</v>
      </c>
      <c r="N93" s="0" t="n">
        <v>179830</v>
      </c>
      <c r="O93" s="9" t="n">
        <v>0</v>
      </c>
      <c r="P93" s="0" t="s">
        <v>497</v>
      </c>
      <c r="Q93" s="0" t="s">
        <v>61</v>
      </c>
      <c r="R93" s="0" t="s">
        <v>1047</v>
      </c>
      <c r="S93" s="0" t="s">
        <v>1048</v>
      </c>
      <c r="T93" s="0" t="s">
        <v>1049</v>
      </c>
      <c r="U93" s="9" t="n">
        <v>0</v>
      </c>
      <c r="V93" s="0" t="n">
        <v>14.7624530597825</v>
      </c>
      <c r="W93" s="0" t="n">
        <v>20220630</v>
      </c>
      <c r="X93" s="0" t="n">
        <v>0.368184561732949</v>
      </c>
      <c r="Y93" s="0" t="s">
        <v>1050</v>
      </c>
      <c r="Z93" s="0" t="s">
        <v>98</v>
      </c>
    </row>
    <row r="94" customFormat="false" ht="15" hidden="false" customHeight="false" outlineLevel="0" collapsed="false">
      <c r="A94" s="0" t="n">
        <v>91</v>
      </c>
      <c r="B94" s="9" t="n">
        <v>182713</v>
      </c>
      <c r="C94" s="0" t="n">
        <v>29636</v>
      </c>
      <c r="D94" s="0" t="n">
        <v>157371</v>
      </c>
      <c r="E94" s="0" t="s">
        <v>208</v>
      </c>
      <c r="F94" s="0" t="n">
        <v>23979</v>
      </c>
      <c r="G94" s="0" t="s">
        <v>1051</v>
      </c>
      <c r="H94" s="0" t="s">
        <v>1052</v>
      </c>
      <c r="I94" s="0" t="s">
        <v>1053</v>
      </c>
      <c r="J94" s="0" t="s">
        <v>1054</v>
      </c>
      <c r="K94" s="0" t="s">
        <v>1055</v>
      </c>
      <c r="L94" s="0" t="n">
        <v>111784</v>
      </c>
      <c r="M94" s="0" t="s">
        <v>1056</v>
      </c>
      <c r="N94" s="0" t="n">
        <v>108292</v>
      </c>
      <c r="O94" s="9" t="n">
        <v>2116</v>
      </c>
      <c r="P94" s="0" t="s">
        <v>509</v>
      </c>
      <c r="Q94" s="0" t="s">
        <v>1057</v>
      </c>
      <c r="R94" s="0" t="s">
        <v>1058</v>
      </c>
      <c r="S94" s="0" t="s">
        <v>293</v>
      </c>
      <c r="T94" s="0" t="s">
        <v>376</v>
      </c>
      <c r="U94" s="9" t="n">
        <v>0</v>
      </c>
      <c r="V94" s="0" t="n">
        <v>30.849232534787</v>
      </c>
      <c r="W94" s="0" t="n">
        <v>20220630</v>
      </c>
      <c r="X94" s="0" t="n">
        <v>0.132689298792343</v>
      </c>
      <c r="Y94" s="0" t="s">
        <v>1059</v>
      </c>
      <c r="Z94" s="0" t="s">
        <v>60</v>
      </c>
    </row>
    <row r="95" customFormat="false" ht="15" hidden="false" customHeight="false" outlineLevel="0" collapsed="false">
      <c r="A95" s="0" t="n">
        <v>92</v>
      </c>
      <c r="B95" s="9" t="n">
        <v>176966</v>
      </c>
      <c r="C95" s="0" t="n">
        <v>29743</v>
      </c>
      <c r="D95" s="0" t="n">
        <v>160168</v>
      </c>
      <c r="E95" s="0" t="s">
        <v>61</v>
      </c>
      <c r="F95" s="0" t="n">
        <v>14544</v>
      </c>
      <c r="G95" s="0" t="s">
        <v>1060</v>
      </c>
      <c r="H95" s="0" t="s">
        <v>1061</v>
      </c>
      <c r="I95" s="0" t="s">
        <v>1062</v>
      </c>
      <c r="J95" s="0" t="s">
        <v>1063</v>
      </c>
      <c r="K95" s="0" t="s">
        <v>1064</v>
      </c>
      <c r="L95" s="0" t="n">
        <v>118848</v>
      </c>
      <c r="M95" s="0" t="s">
        <v>1065</v>
      </c>
      <c r="N95" s="0" t="n">
        <v>78376</v>
      </c>
      <c r="O95" s="9" t="n">
        <v>467</v>
      </c>
      <c r="P95" s="0" t="s">
        <v>520</v>
      </c>
      <c r="Q95" s="0" t="s">
        <v>1066</v>
      </c>
      <c r="R95" s="0" t="s">
        <v>1067</v>
      </c>
      <c r="S95" s="0" t="s">
        <v>1068</v>
      </c>
      <c r="T95" s="0" t="s">
        <v>1069</v>
      </c>
      <c r="U95" s="9" t="n">
        <v>0</v>
      </c>
      <c r="V95" s="0" t="n">
        <v>17.6123658591362</v>
      </c>
      <c r="W95" s="0" t="n">
        <v>20220630</v>
      </c>
      <c r="X95" s="0" t="n">
        <v>0.753273491838588</v>
      </c>
      <c r="Y95" s="0" t="s">
        <v>1070</v>
      </c>
      <c r="Z95" s="0" t="s">
        <v>60</v>
      </c>
    </row>
    <row r="96" customFormat="false" ht="15" hidden="false" customHeight="false" outlineLevel="0" collapsed="false">
      <c r="A96" s="0" t="n">
        <v>93</v>
      </c>
      <c r="B96" s="9" t="n">
        <v>510338</v>
      </c>
      <c r="C96" s="0" t="n">
        <v>29744</v>
      </c>
      <c r="D96" s="0" t="n">
        <v>400169</v>
      </c>
      <c r="E96" s="0" t="s">
        <v>195</v>
      </c>
      <c r="F96" s="0" t="n">
        <v>42675</v>
      </c>
      <c r="G96" s="0" t="s">
        <v>1071</v>
      </c>
      <c r="H96" s="0" t="s">
        <v>1072</v>
      </c>
      <c r="I96" s="0" t="s">
        <v>1073</v>
      </c>
      <c r="J96" s="0" t="s">
        <v>1074</v>
      </c>
      <c r="K96" s="0" t="s">
        <v>1075</v>
      </c>
      <c r="L96" s="0" t="n">
        <v>384539</v>
      </c>
      <c r="M96" s="0" t="s">
        <v>1076</v>
      </c>
      <c r="N96" s="0" t="n">
        <v>352732</v>
      </c>
      <c r="O96" s="9" t="n">
        <v>602</v>
      </c>
      <c r="P96" s="0" t="s">
        <v>531</v>
      </c>
      <c r="Q96" s="0" t="s">
        <v>1077</v>
      </c>
      <c r="R96" s="0" t="s">
        <v>1078</v>
      </c>
      <c r="S96" s="0" t="s">
        <v>108</v>
      </c>
      <c r="T96" s="0" t="s">
        <v>1079</v>
      </c>
      <c r="U96" s="9" t="n">
        <v>0</v>
      </c>
      <c r="V96" s="0" t="n">
        <v>16.7010073613681</v>
      </c>
      <c r="W96" s="0" t="n">
        <v>20220630</v>
      </c>
      <c r="X96" s="0" t="n">
        <v>0.255625872703925</v>
      </c>
      <c r="Y96" s="0" t="s">
        <v>1080</v>
      </c>
      <c r="Z96" s="0" t="s">
        <v>158</v>
      </c>
    </row>
    <row r="97" customFormat="false" ht="15" hidden="false" customHeight="false" outlineLevel="0" collapsed="false">
      <c r="A97" s="0" t="n">
        <v>94</v>
      </c>
      <c r="B97" s="9" t="n">
        <v>543454</v>
      </c>
      <c r="C97" s="0" t="n">
        <v>30350</v>
      </c>
      <c r="D97" s="0" t="n">
        <v>468153</v>
      </c>
      <c r="E97" s="0" t="s">
        <v>61</v>
      </c>
      <c r="F97" s="0" t="n">
        <v>50997</v>
      </c>
      <c r="G97" s="0" t="s">
        <v>1081</v>
      </c>
      <c r="H97" s="0" t="s">
        <v>1082</v>
      </c>
      <c r="I97" s="0" t="s">
        <v>1083</v>
      </c>
      <c r="J97" s="0" t="s">
        <v>1084</v>
      </c>
      <c r="K97" s="0" t="s">
        <v>1085</v>
      </c>
      <c r="L97" s="0" t="n">
        <v>371004</v>
      </c>
      <c r="M97" s="0" t="s">
        <v>1086</v>
      </c>
      <c r="N97" s="0" t="n">
        <v>358181</v>
      </c>
      <c r="O97" s="9" t="n">
        <v>2718</v>
      </c>
      <c r="P97" s="0" t="s">
        <v>543</v>
      </c>
      <c r="Q97" s="0" t="s">
        <v>1087</v>
      </c>
      <c r="R97" s="0" t="s">
        <v>1088</v>
      </c>
      <c r="S97" s="0" t="s">
        <v>1089</v>
      </c>
      <c r="T97" s="0" t="s">
        <v>1090</v>
      </c>
      <c r="U97" s="9" t="n">
        <v>0</v>
      </c>
      <c r="V97" s="0" t="n">
        <v>21.2363870447464</v>
      </c>
      <c r="W97" s="0" t="n">
        <v>20220630</v>
      </c>
      <c r="X97" s="0" t="n">
        <v>0.502798290193913</v>
      </c>
      <c r="Y97" s="0" t="s">
        <v>270</v>
      </c>
      <c r="Z97" s="0" t="s">
        <v>98</v>
      </c>
    </row>
    <row r="98" customFormat="false" ht="15" hidden="false" customHeight="false" outlineLevel="0" collapsed="false">
      <c r="A98" s="0" t="n">
        <v>95</v>
      </c>
      <c r="B98" s="9" t="n">
        <v>100800</v>
      </c>
      <c r="C98" s="0" t="n">
        <v>30878</v>
      </c>
      <c r="D98" s="0" t="n">
        <v>78524</v>
      </c>
      <c r="E98" s="0" t="s">
        <v>271</v>
      </c>
      <c r="F98" s="0" t="n">
        <v>12406</v>
      </c>
      <c r="G98" s="0" t="s">
        <v>1091</v>
      </c>
      <c r="H98" s="0" t="s">
        <v>1092</v>
      </c>
      <c r="I98" s="0" t="s">
        <v>1093</v>
      </c>
      <c r="J98" s="0" t="s">
        <v>61</v>
      </c>
      <c r="K98" s="0" t="s">
        <v>1094</v>
      </c>
      <c r="L98" s="0" t="n">
        <v>72560</v>
      </c>
      <c r="M98" s="0" t="s">
        <v>1095</v>
      </c>
      <c r="N98" s="0" t="n">
        <v>72468</v>
      </c>
      <c r="O98" s="9" t="n">
        <v>466</v>
      </c>
      <c r="P98" s="0" t="s">
        <v>553</v>
      </c>
      <c r="Q98" s="0" t="s">
        <v>1096</v>
      </c>
      <c r="R98" s="0" t="s">
        <v>1097</v>
      </c>
      <c r="S98" s="0" t="s">
        <v>61</v>
      </c>
      <c r="T98" s="0" t="s">
        <v>1098</v>
      </c>
      <c r="U98" s="9" t="n">
        <v>0</v>
      </c>
      <c r="V98" s="0" t="n">
        <v>0</v>
      </c>
      <c r="W98" s="0" t="n">
        <v>20220630</v>
      </c>
      <c r="X98" s="0" t="n">
        <v>0.310113476352191</v>
      </c>
      <c r="Y98" s="0" t="s">
        <v>1099</v>
      </c>
      <c r="Z98" s="0" t="s">
        <v>60</v>
      </c>
    </row>
    <row r="99" customFormat="false" ht="15" hidden="false" customHeight="false" outlineLevel="0" collapsed="false">
      <c r="A99" s="0" t="n">
        <v>96</v>
      </c>
      <c r="B99" s="9" t="n">
        <v>732318</v>
      </c>
      <c r="C99" s="0" t="n">
        <v>33418</v>
      </c>
      <c r="D99" s="0" t="n">
        <v>570903</v>
      </c>
      <c r="E99" s="0" t="s">
        <v>61</v>
      </c>
      <c r="F99" s="0" t="n">
        <v>59389</v>
      </c>
      <c r="G99" s="0" t="s">
        <v>1100</v>
      </c>
      <c r="H99" s="0" t="s">
        <v>1101</v>
      </c>
      <c r="I99" s="0" t="s">
        <v>1102</v>
      </c>
      <c r="J99" s="0" t="s">
        <v>1103</v>
      </c>
      <c r="K99" s="0" t="s">
        <v>1104</v>
      </c>
      <c r="L99" s="0" t="n">
        <v>354978</v>
      </c>
      <c r="M99" s="0" t="s">
        <v>1105</v>
      </c>
      <c r="N99" s="0" t="n">
        <v>301150</v>
      </c>
      <c r="O99" s="9" t="n">
        <v>2652</v>
      </c>
      <c r="P99" s="0" t="s">
        <v>564</v>
      </c>
      <c r="Q99" s="0" t="s">
        <v>1106</v>
      </c>
      <c r="R99" s="0" t="s">
        <v>1107</v>
      </c>
      <c r="S99" s="0" t="s">
        <v>205</v>
      </c>
      <c r="T99" s="0" t="s">
        <v>1108</v>
      </c>
      <c r="U99" s="9" t="n">
        <v>0</v>
      </c>
      <c r="V99" s="0" t="n">
        <v>18.6076360363737</v>
      </c>
      <c r="W99" s="0" t="n">
        <v>20220630</v>
      </c>
      <c r="X99" s="0" t="n">
        <v>1.16569230469518</v>
      </c>
      <c r="Y99" s="0" t="s">
        <v>1109</v>
      </c>
      <c r="Z99" s="0" t="s">
        <v>98</v>
      </c>
    </row>
    <row r="100" customFormat="false" ht="15" hidden="false" customHeight="false" outlineLevel="0" collapsed="false">
      <c r="A100" s="0" t="n">
        <v>97</v>
      </c>
      <c r="B100" s="9" t="n">
        <v>62457</v>
      </c>
      <c r="C100" s="0" t="n">
        <v>35206</v>
      </c>
      <c r="D100" s="0" t="n">
        <v>500</v>
      </c>
      <c r="E100" s="0" t="s">
        <v>61</v>
      </c>
      <c r="F100" s="0" t="n">
        <v>57487</v>
      </c>
      <c r="G100" s="0" t="s">
        <v>1110</v>
      </c>
      <c r="H100" s="0" t="s">
        <v>1111</v>
      </c>
      <c r="I100" s="0" t="s">
        <v>61</v>
      </c>
      <c r="J100" s="0" t="s">
        <v>61</v>
      </c>
      <c r="K100" s="0" t="s">
        <v>61</v>
      </c>
      <c r="L100" s="0" t="n">
        <v>0</v>
      </c>
      <c r="M100" s="0" t="s">
        <v>61</v>
      </c>
      <c r="N100" s="0" t="n">
        <v>0</v>
      </c>
      <c r="O100" s="9" t="n">
        <v>0</v>
      </c>
      <c r="P100" s="0" t="s">
        <v>1112</v>
      </c>
      <c r="Q100" s="0" t="s">
        <v>61</v>
      </c>
      <c r="R100" s="0" t="s">
        <v>1113</v>
      </c>
      <c r="S100" s="0" t="s">
        <v>61</v>
      </c>
      <c r="T100" s="0" t="s">
        <v>61</v>
      </c>
      <c r="U100" s="9" t="n">
        <v>0</v>
      </c>
      <c r="V100" s="0" t="n">
        <v>0</v>
      </c>
      <c r="W100" s="0" t="n">
        <v>20220630</v>
      </c>
      <c r="X100" s="0" t="n">
        <v>2.27731467928075</v>
      </c>
      <c r="Y100" s="0" t="s">
        <v>1114</v>
      </c>
      <c r="Z100" s="0" t="s">
        <v>158</v>
      </c>
    </row>
    <row r="101" customFormat="false" ht="15" hidden="false" customHeight="false" outlineLevel="0" collapsed="false">
      <c r="A101" s="0" t="n">
        <v>98</v>
      </c>
      <c r="B101" s="9" t="n">
        <v>5454674</v>
      </c>
      <c r="C101" s="0" t="n">
        <v>4255</v>
      </c>
      <c r="D101" s="0" t="n">
        <v>4564900</v>
      </c>
      <c r="E101" s="0" t="s">
        <v>246</v>
      </c>
      <c r="F101" s="0" t="n">
        <v>460996</v>
      </c>
      <c r="G101" s="0" t="s">
        <v>1115</v>
      </c>
      <c r="H101" s="0" t="s">
        <v>1116</v>
      </c>
      <c r="I101" s="0" t="s">
        <v>1117</v>
      </c>
      <c r="J101" s="0" t="s">
        <v>1118</v>
      </c>
      <c r="K101" s="0" t="s">
        <v>1119</v>
      </c>
      <c r="L101" s="0" t="n">
        <v>3727567</v>
      </c>
      <c r="M101" s="0" t="s">
        <v>1120</v>
      </c>
      <c r="N101" s="0" t="n">
        <v>3314850</v>
      </c>
      <c r="O101" s="9" t="n">
        <v>3505</v>
      </c>
      <c r="P101" s="0" t="s">
        <v>575</v>
      </c>
      <c r="Q101" s="0" t="s">
        <v>1121</v>
      </c>
      <c r="R101" s="0" t="s">
        <v>1122</v>
      </c>
      <c r="S101" s="0" t="s">
        <v>1123</v>
      </c>
      <c r="T101" s="0" t="s">
        <v>1124</v>
      </c>
      <c r="U101" s="9" t="n">
        <v>0</v>
      </c>
      <c r="V101" s="0" t="n">
        <v>13.2979281956506</v>
      </c>
      <c r="W101" s="0" t="n">
        <v>20220630</v>
      </c>
      <c r="X101" s="0" t="n">
        <v>1.21491549982209</v>
      </c>
      <c r="Y101" s="0" t="s">
        <v>1125</v>
      </c>
      <c r="Z101" s="0" t="s">
        <v>60</v>
      </c>
    </row>
    <row r="102" customFormat="false" ht="15" hidden="false" customHeight="false" outlineLevel="0" collapsed="false">
      <c r="A102" s="0" t="n">
        <v>99</v>
      </c>
      <c r="B102" s="9" t="n">
        <v>2595799</v>
      </c>
      <c r="C102" s="0" t="n">
        <v>4256</v>
      </c>
      <c r="D102" s="0" t="n">
        <v>2252978</v>
      </c>
      <c r="E102" s="0" t="s">
        <v>259</v>
      </c>
      <c r="F102" s="0" t="n">
        <v>198923</v>
      </c>
      <c r="G102" s="0" t="s">
        <v>1126</v>
      </c>
      <c r="H102" s="0" t="s">
        <v>1127</v>
      </c>
      <c r="I102" s="0" t="s">
        <v>1128</v>
      </c>
      <c r="J102" s="0" t="s">
        <v>1129</v>
      </c>
      <c r="K102" s="0" t="s">
        <v>1130</v>
      </c>
      <c r="L102" s="0" t="n">
        <v>1789044</v>
      </c>
      <c r="M102" s="0" t="s">
        <v>1131</v>
      </c>
      <c r="N102" s="0" t="n">
        <v>1445139</v>
      </c>
      <c r="O102" s="9" t="n">
        <v>4812</v>
      </c>
      <c r="P102" s="0" t="s">
        <v>587</v>
      </c>
      <c r="Q102" s="0" t="s">
        <v>1132</v>
      </c>
      <c r="R102" s="0" t="s">
        <v>1133</v>
      </c>
      <c r="S102" s="0" t="s">
        <v>1134</v>
      </c>
      <c r="T102" s="0" t="s">
        <v>1135</v>
      </c>
      <c r="U102" s="9" t="n">
        <v>76</v>
      </c>
      <c r="V102" s="0" t="n">
        <v>13.5641154228502</v>
      </c>
      <c r="W102" s="0" t="n">
        <v>20220630</v>
      </c>
      <c r="X102" s="0" t="n">
        <v>1.58945046854303</v>
      </c>
      <c r="Y102" s="0" t="s">
        <v>1136</v>
      </c>
      <c r="Z102" s="0" t="s">
        <v>60</v>
      </c>
    </row>
    <row r="103" customFormat="false" ht="15" hidden="false" customHeight="false" outlineLevel="0" collapsed="false">
      <c r="A103" s="0" t="n">
        <v>100</v>
      </c>
      <c r="B103" s="9" t="n">
        <v>670113</v>
      </c>
      <c r="C103" s="0" t="n">
        <v>59086</v>
      </c>
      <c r="D103" s="0" t="n">
        <v>597579</v>
      </c>
      <c r="E103" s="0" t="s">
        <v>1137</v>
      </c>
      <c r="F103" s="0" t="n">
        <v>69673</v>
      </c>
      <c r="G103" s="0" t="s">
        <v>1138</v>
      </c>
      <c r="H103" s="0" t="s">
        <v>1139</v>
      </c>
      <c r="I103" s="0" t="s">
        <v>1140</v>
      </c>
      <c r="J103" s="0" t="s">
        <v>1141</v>
      </c>
      <c r="K103" s="0" t="s">
        <v>61</v>
      </c>
      <c r="L103" s="0" t="n">
        <v>534095</v>
      </c>
      <c r="M103" s="0" t="s">
        <v>1142</v>
      </c>
      <c r="N103" s="0" t="n">
        <v>420476</v>
      </c>
      <c r="O103" s="9" t="n">
        <v>2111</v>
      </c>
      <c r="P103" s="0" t="s">
        <v>599</v>
      </c>
      <c r="Q103" s="0" t="s">
        <v>1143</v>
      </c>
      <c r="R103" s="0" t="s">
        <v>1144</v>
      </c>
      <c r="S103" s="0" t="s">
        <v>61</v>
      </c>
      <c r="T103" s="0" t="s">
        <v>61</v>
      </c>
      <c r="U103" s="9" t="n">
        <v>341</v>
      </c>
      <c r="V103" s="0" t="n">
        <v>13.6305606679535</v>
      </c>
      <c r="W103" s="0" t="n">
        <v>20220630</v>
      </c>
      <c r="X103" s="0" t="n">
        <v>1.26067262302423</v>
      </c>
      <c r="Y103" s="0" t="s">
        <v>1145</v>
      </c>
      <c r="Z103" s="0" t="s">
        <v>158</v>
      </c>
    </row>
    <row r="104" customFormat="false" ht="15" hidden="false" customHeight="false" outlineLevel="0" collapsed="false">
      <c r="A104" s="0" t="n">
        <v>101</v>
      </c>
      <c r="B104" s="9" t="n">
        <v>167702</v>
      </c>
      <c r="C104" s="0" t="n">
        <v>59176</v>
      </c>
      <c r="D104" s="0" t="n">
        <v>142565</v>
      </c>
      <c r="E104" s="0" t="s">
        <v>1146</v>
      </c>
      <c r="F104" s="0" t="n">
        <v>21565</v>
      </c>
      <c r="G104" s="0" t="s">
        <v>1147</v>
      </c>
      <c r="H104" s="0" t="s">
        <v>1148</v>
      </c>
      <c r="I104" s="0" t="s">
        <v>1149</v>
      </c>
      <c r="J104" s="0" t="s">
        <v>1150</v>
      </c>
      <c r="K104" s="0" t="s">
        <v>489</v>
      </c>
      <c r="L104" s="0" t="n">
        <v>124324</v>
      </c>
      <c r="M104" s="0" t="s">
        <v>1151</v>
      </c>
      <c r="N104" s="0" t="n">
        <v>106199</v>
      </c>
      <c r="O104" s="9" t="n">
        <v>39</v>
      </c>
      <c r="P104" s="0" t="s">
        <v>610</v>
      </c>
      <c r="Q104" s="0" t="s">
        <v>1152</v>
      </c>
      <c r="R104" s="0" t="s">
        <v>1153</v>
      </c>
      <c r="S104" s="0" t="s">
        <v>61</v>
      </c>
      <c r="T104" s="0" t="s">
        <v>61</v>
      </c>
      <c r="U104" s="9" t="n">
        <v>0</v>
      </c>
      <c r="V104" s="0" t="n">
        <v>18.8872412922766</v>
      </c>
      <c r="W104" s="0" t="n">
        <v>20220630</v>
      </c>
      <c r="X104" s="0" t="n">
        <v>0.166567358214615</v>
      </c>
      <c r="Y104" s="0" t="s">
        <v>1154</v>
      </c>
      <c r="Z104" s="0" t="s">
        <v>158</v>
      </c>
    </row>
    <row r="105" customFormat="false" ht="15" hidden="false" customHeight="false" outlineLevel="0" collapsed="false">
      <c r="A105" s="0" t="n">
        <v>102</v>
      </c>
      <c r="B105" s="9" t="n">
        <v>998962</v>
      </c>
      <c r="C105" s="0" t="n">
        <v>6271</v>
      </c>
      <c r="D105" s="0" t="n">
        <v>873100</v>
      </c>
      <c r="E105" s="0" t="s">
        <v>1155</v>
      </c>
      <c r="F105" s="0" t="n">
        <v>86133</v>
      </c>
      <c r="G105" s="0" t="s">
        <v>1156</v>
      </c>
      <c r="H105" s="0" t="s">
        <v>1157</v>
      </c>
      <c r="I105" s="0" t="s">
        <v>1158</v>
      </c>
      <c r="J105" s="0" t="s">
        <v>1159</v>
      </c>
      <c r="K105" s="0" t="s">
        <v>1160</v>
      </c>
      <c r="L105" s="0" t="n">
        <v>704156</v>
      </c>
      <c r="M105" s="0" t="s">
        <v>1161</v>
      </c>
      <c r="N105" s="0" t="n">
        <v>539059</v>
      </c>
      <c r="O105" s="9" t="n">
        <v>4860</v>
      </c>
      <c r="P105" s="0" t="s">
        <v>621</v>
      </c>
      <c r="Q105" s="0" t="s">
        <v>1162</v>
      </c>
      <c r="R105" s="0" t="s">
        <v>1163</v>
      </c>
      <c r="S105" s="0" t="s">
        <v>1164</v>
      </c>
      <c r="T105" s="0" t="s">
        <v>1165</v>
      </c>
      <c r="U105" s="9" t="n">
        <v>256</v>
      </c>
      <c r="V105" s="0" t="n">
        <v>15.083968855691</v>
      </c>
      <c r="W105" s="0" t="n">
        <v>20220630</v>
      </c>
      <c r="X105" s="0" t="n">
        <v>1.1474856564293</v>
      </c>
      <c r="Y105" s="0" t="s">
        <v>1166</v>
      </c>
      <c r="Z105" s="0" t="s">
        <v>98</v>
      </c>
    </row>
    <row r="106" customFormat="false" ht="15" hidden="false" customHeight="false" outlineLevel="0" collapsed="false">
      <c r="A106" s="0" t="n">
        <v>103</v>
      </c>
      <c r="B106" s="9" t="n">
        <v>532831</v>
      </c>
      <c r="C106" s="0" t="n">
        <v>6275</v>
      </c>
      <c r="D106" s="0" t="n">
        <v>476559</v>
      </c>
      <c r="E106" s="0" t="s">
        <v>330</v>
      </c>
      <c r="F106" s="0" t="n">
        <v>27657</v>
      </c>
      <c r="G106" s="0" t="s">
        <v>1167</v>
      </c>
      <c r="H106" s="0" t="s">
        <v>1168</v>
      </c>
      <c r="I106" s="0" t="s">
        <v>1169</v>
      </c>
      <c r="J106" s="0" t="s">
        <v>1170</v>
      </c>
      <c r="K106" s="0" t="s">
        <v>1171</v>
      </c>
      <c r="L106" s="0" t="n">
        <v>291783</v>
      </c>
      <c r="M106" s="0" t="s">
        <v>1172</v>
      </c>
      <c r="N106" s="0" t="n">
        <v>243597</v>
      </c>
      <c r="O106" s="9" t="n">
        <v>1592</v>
      </c>
      <c r="P106" s="0" t="s">
        <v>633</v>
      </c>
      <c r="Q106" s="0" t="s">
        <v>1173</v>
      </c>
      <c r="R106" s="0" t="s">
        <v>1174</v>
      </c>
      <c r="S106" s="0" t="s">
        <v>352</v>
      </c>
      <c r="T106" s="0" t="s">
        <v>1175</v>
      </c>
      <c r="U106" s="9" t="n">
        <v>0</v>
      </c>
      <c r="V106" s="0" t="n">
        <v>16.2688855607059</v>
      </c>
      <c r="W106" s="0" t="n">
        <v>20220630</v>
      </c>
      <c r="X106" s="0" t="n">
        <v>0.557908413754798</v>
      </c>
      <c r="Y106" s="0" t="s">
        <v>1176</v>
      </c>
      <c r="Z106" s="0" t="s">
        <v>98</v>
      </c>
    </row>
    <row r="107" customFormat="false" ht="15" hidden="false" customHeight="false" outlineLevel="0" collapsed="false">
      <c r="A107" s="0" t="n">
        <v>104</v>
      </c>
      <c r="B107" s="9" t="n">
        <v>86239</v>
      </c>
      <c r="C107" s="0" t="n">
        <v>6280</v>
      </c>
      <c r="D107" s="0" t="n">
        <v>77591</v>
      </c>
      <c r="E107" s="0" t="s">
        <v>208</v>
      </c>
      <c r="F107" s="0" t="n">
        <v>8210</v>
      </c>
      <c r="G107" s="0" t="s">
        <v>1177</v>
      </c>
      <c r="H107" s="0" t="s">
        <v>1178</v>
      </c>
      <c r="I107" s="0" t="s">
        <v>1179</v>
      </c>
      <c r="J107" s="0" t="s">
        <v>1180</v>
      </c>
      <c r="K107" s="0" t="s">
        <v>1181</v>
      </c>
      <c r="L107" s="0" t="n">
        <v>62135</v>
      </c>
      <c r="M107" s="0" t="s">
        <v>1182</v>
      </c>
      <c r="N107" s="0" t="n">
        <v>53194</v>
      </c>
      <c r="O107" s="9" t="n">
        <v>755</v>
      </c>
      <c r="P107" s="0" t="s">
        <v>644</v>
      </c>
      <c r="Q107" s="0" t="s">
        <v>1183</v>
      </c>
      <c r="R107" s="0" t="s">
        <v>1184</v>
      </c>
      <c r="S107" s="0" t="s">
        <v>478</v>
      </c>
      <c r="T107" s="0" t="s">
        <v>1185</v>
      </c>
      <c r="U107" s="9" t="n">
        <v>0</v>
      </c>
      <c r="V107" s="0" t="n">
        <v>0</v>
      </c>
      <c r="W107" s="0" t="n">
        <v>20220630</v>
      </c>
      <c r="X107" s="0" t="n">
        <v>1.36158225247961</v>
      </c>
      <c r="Y107" s="0" t="s">
        <v>1186</v>
      </c>
      <c r="Z107" s="0" t="s">
        <v>98</v>
      </c>
    </row>
    <row r="108" customFormat="false" ht="15" hidden="false" customHeight="false" outlineLevel="0" collapsed="false">
      <c r="A108" s="0" t="n">
        <v>105</v>
      </c>
      <c r="B108" s="9" t="n">
        <v>3837295</v>
      </c>
      <c r="C108" s="0" t="n">
        <v>11971</v>
      </c>
      <c r="D108" s="0" t="n">
        <v>3143267</v>
      </c>
      <c r="E108" s="0" t="s">
        <v>1187</v>
      </c>
      <c r="F108" s="0" t="n">
        <v>434474</v>
      </c>
      <c r="G108" s="0" t="s">
        <v>1188</v>
      </c>
      <c r="H108" s="0" t="s">
        <v>1189</v>
      </c>
      <c r="I108" s="0" t="s">
        <v>1190</v>
      </c>
      <c r="J108" s="0" t="s">
        <v>1191</v>
      </c>
      <c r="K108" s="0" t="s">
        <v>1192</v>
      </c>
      <c r="L108" s="0" t="n">
        <v>2851346</v>
      </c>
      <c r="M108" s="0" t="s">
        <v>1193</v>
      </c>
      <c r="N108" s="0" t="n">
        <v>2481945</v>
      </c>
      <c r="O108" s="9" t="n">
        <v>7772</v>
      </c>
      <c r="P108" s="0" t="s">
        <v>54</v>
      </c>
      <c r="Q108" s="0" t="s">
        <v>1194</v>
      </c>
      <c r="R108" s="0" t="s">
        <v>1195</v>
      </c>
      <c r="S108" s="0" t="s">
        <v>1196</v>
      </c>
      <c r="T108" s="0" t="s">
        <v>1197</v>
      </c>
      <c r="U108" s="9" t="n">
        <v>258</v>
      </c>
      <c r="V108" s="0" t="n">
        <v>13.2170291052592</v>
      </c>
      <c r="W108" s="0" t="n">
        <v>20220930</v>
      </c>
      <c r="X108" s="0" t="n">
        <v>1.23205511199835</v>
      </c>
      <c r="Y108" s="0" t="s">
        <v>1198</v>
      </c>
      <c r="Z108" s="0" t="s">
        <v>60</v>
      </c>
    </row>
    <row r="109" customFormat="false" ht="15" hidden="false" customHeight="false" outlineLevel="0" collapsed="false">
      <c r="A109" s="0" t="n">
        <v>106</v>
      </c>
      <c r="B109" s="9" t="n">
        <v>965147</v>
      </c>
      <c r="C109" s="0" t="n">
        <v>12874</v>
      </c>
      <c r="D109" s="0" t="n">
        <v>851082</v>
      </c>
      <c r="E109" s="0" t="s">
        <v>61</v>
      </c>
      <c r="F109" s="0" t="n">
        <v>93663</v>
      </c>
      <c r="G109" s="0" t="s">
        <v>1199</v>
      </c>
      <c r="H109" s="0" t="s">
        <v>1200</v>
      </c>
      <c r="I109" s="0" t="s">
        <v>1201</v>
      </c>
      <c r="J109" s="0" t="s">
        <v>1202</v>
      </c>
      <c r="K109" s="0" t="s">
        <v>1203</v>
      </c>
      <c r="L109" s="0" t="n">
        <v>734482</v>
      </c>
      <c r="M109" s="0" t="s">
        <v>1204</v>
      </c>
      <c r="N109" s="0" t="n">
        <v>586996</v>
      </c>
      <c r="O109" s="9" t="n">
        <v>577</v>
      </c>
      <c r="P109" s="0" t="s">
        <v>68</v>
      </c>
      <c r="Q109" s="0" t="s">
        <v>1205</v>
      </c>
      <c r="R109" s="0" t="s">
        <v>1206</v>
      </c>
      <c r="S109" s="0" t="s">
        <v>375</v>
      </c>
      <c r="T109" s="0" t="s">
        <v>1207</v>
      </c>
      <c r="U109" s="9" t="n">
        <v>41</v>
      </c>
      <c r="V109" s="0" t="n">
        <v>15.4817930258654</v>
      </c>
      <c r="W109" s="0" t="n">
        <v>20220930</v>
      </c>
      <c r="X109" s="0" t="n">
        <v>0.995017130979604</v>
      </c>
      <c r="Y109" s="0" t="s">
        <v>1208</v>
      </c>
      <c r="Z109" s="0" t="s">
        <v>60</v>
      </c>
    </row>
    <row r="110" customFormat="false" ht="15" hidden="false" customHeight="false" outlineLevel="0" collapsed="false">
      <c r="A110" s="0" t="n">
        <v>107</v>
      </c>
      <c r="B110" s="9" t="n">
        <v>1877331</v>
      </c>
      <c r="C110" s="0" t="n">
        <v>13063</v>
      </c>
      <c r="D110" s="0" t="n">
        <v>1697083</v>
      </c>
      <c r="E110" s="0" t="s">
        <v>330</v>
      </c>
      <c r="F110" s="0" t="n">
        <v>131833</v>
      </c>
      <c r="G110" s="0" t="s">
        <v>1209</v>
      </c>
      <c r="H110" s="0" t="s">
        <v>1210</v>
      </c>
      <c r="I110" s="0" t="s">
        <v>1211</v>
      </c>
      <c r="J110" s="0" t="s">
        <v>1212</v>
      </c>
      <c r="K110" s="0" t="s">
        <v>1213</v>
      </c>
      <c r="L110" s="0" t="n">
        <v>1297056</v>
      </c>
      <c r="M110" s="0" t="s">
        <v>1214</v>
      </c>
      <c r="N110" s="0" t="n">
        <v>1247709</v>
      </c>
      <c r="O110" s="9" t="n">
        <v>354</v>
      </c>
      <c r="P110" s="0" t="s">
        <v>80</v>
      </c>
      <c r="Q110" s="0" t="s">
        <v>1215</v>
      </c>
      <c r="R110" s="0" t="s">
        <v>1216</v>
      </c>
      <c r="S110" s="0" t="s">
        <v>1217</v>
      </c>
      <c r="T110" s="0" t="s">
        <v>899</v>
      </c>
      <c r="U110" s="9" t="n">
        <v>969</v>
      </c>
      <c r="V110" s="0" t="n">
        <v>0</v>
      </c>
      <c r="W110" s="0" t="n">
        <v>20220930</v>
      </c>
      <c r="X110" s="0" t="n">
        <v>0.78572349668144</v>
      </c>
      <c r="Y110" s="0" t="s">
        <v>1218</v>
      </c>
      <c r="Z110" s="0" t="s">
        <v>60</v>
      </c>
    </row>
    <row r="111" customFormat="false" ht="15" hidden="false" customHeight="false" outlineLevel="0" collapsed="false">
      <c r="A111" s="0" t="n">
        <v>108</v>
      </c>
      <c r="B111" s="9" t="n">
        <v>838498</v>
      </c>
      <c r="C111" s="0" t="n">
        <v>14134</v>
      </c>
      <c r="D111" s="0" t="n">
        <v>723891</v>
      </c>
      <c r="E111" s="0" t="s">
        <v>85</v>
      </c>
      <c r="F111" s="0" t="n">
        <v>91539</v>
      </c>
      <c r="G111" s="0" t="s">
        <v>1219</v>
      </c>
      <c r="H111" s="0" t="s">
        <v>1220</v>
      </c>
      <c r="I111" s="0" t="s">
        <v>1221</v>
      </c>
      <c r="J111" s="0" t="s">
        <v>1222</v>
      </c>
      <c r="K111" s="0" t="s">
        <v>1223</v>
      </c>
      <c r="L111" s="0" t="n">
        <v>626781</v>
      </c>
      <c r="M111" s="0" t="s">
        <v>1224</v>
      </c>
      <c r="N111" s="0" t="n">
        <v>548807</v>
      </c>
      <c r="O111" s="9" t="n">
        <v>6193</v>
      </c>
      <c r="P111" s="0" t="s">
        <v>92</v>
      </c>
      <c r="Q111" s="0" t="s">
        <v>1225</v>
      </c>
      <c r="R111" s="0" t="s">
        <v>1226</v>
      </c>
      <c r="S111" s="0" t="s">
        <v>1227</v>
      </c>
      <c r="T111" s="0" t="s">
        <v>1228</v>
      </c>
      <c r="U111" s="9" t="n">
        <v>0</v>
      </c>
      <c r="V111" s="0" t="n">
        <v>17.3760103737375</v>
      </c>
      <c r="W111" s="0" t="n">
        <v>20220930</v>
      </c>
      <c r="X111" s="0" t="n">
        <v>-0.560663297121952</v>
      </c>
      <c r="Y111" s="0" t="s">
        <v>1229</v>
      </c>
      <c r="Z111" s="0" t="s">
        <v>98</v>
      </c>
    </row>
    <row r="112" customFormat="false" ht="15" hidden="false" customHeight="false" outlineLevel="0" collapsed="false">
      <c r="A112" s="0" t="n">
        <v>109</v>
      </c>
      <c r="B112" s="9" t="n">
        <v>225735</v>
      </c>
      <c r="C112" s="0" t="n">
        <v>14136</v>
      </c>
      <c r="D112" s="0" t="n">
        <v>207393</v>
      </c>
      <c r="E112" s="0" t="s">
        <v>208</v>
      </c>
      <c r="F112" s="0" t="n">
        <v>14034</v>
      </c>
      <c r="G112" s="0" t="s">
        <v>1230</v>
      </c>
      <c r="H112" s="0" t="s">
        <v>1231</v>
      </c>
      <c r="I112" s="0" t="s">
        <v>1232</v>
      </c>
      <c r="J112" s="0" t="s">
        <v>1233</v>
      </c>
      <c r="K112" s="0" t="s">
        <v>1234</v>
      </c>
      <c r="L112" s="0" t="n">
        <v>132371</v>
      </c>
      <c r="M112" s="0" t="s">
        <v>1235</v>
      </c>
      <c r="N112" s="0" t="n">
        <v>106837</v>
      </c>
      <c r="O112" s="9" t="n">
        <v>110</v>
      </c>
      <c r="P112" s="0" t="s">
        <v>105</v>
      </c>
      <c r="Q112" s="0" t="s">
        <v>1236</v>
      </c>
      <c r="R112" s="0" t="s">
        <v>1237</v>
      </c>
      <c r="S112" s="0" t="s">
        <v>1039</v>
      </c>
      <c r="T112" s="0" t="s">
        <v>1238</v>
      </c>
      <c r="U112" s="9" t="n">
        <v>709</v>
      </c>
      <c r="V112" s="0" t="n">
        <v>17.115209519978</v>
      </c>
      <c r="W112" s="0" t="n">
        <v>20220930</v>
      </c>
      <c r="X112" s="0" t="n">
        <v>0.393354896764142</v>
      </c>
      <c r="Y112" s="0" t="s">
        <v>1239</v>
      </c>
      <c r="Z112" s="0" t="s">
        <v>98</v>
      </c>
    </row>
    <row r="113" customFormat="false" ht="15" hidden="false" customHeight="false" outlineLevel="0" collapsed="false">
      <c r="A113" s="0" t="n">
        <v>110</v>
      </c>
      <c r="B113" s="9" t="n">
        <v>1443158</v>
      </c>
      <c r="C113" s="0" t="n">
        <v>14140</v>
      </c>
      <c r="D113" s="0" t="n">
        <v>1246266</v>
      </c>
      <c r="E113" s="0" t="s">
        <v>61</v>
      </c>
      <c r="F113" s="0" t="n">
        <v>107668</v>
      </c>
      <c r="G113" s="0" t="s">
        <v>1240</v>
      </c>
      <c r="H113" s="0" t="s">
        <v>1241</v>
      </c>
      <c r="I113" s="0" t="s">
        <v>1242</v>
      </c>
      <c r="J113" s="0" t="s">
        <v>1243</v>
      </c>
      <c r="K113" s="0" t="s">
        <v>1244</v>
      </c>
      <c r="L113" s="0" t="n">
        <v>959732</v>
      </c>
      <c r="M113" s="0" t="s">
        <v>1245</v>
      </c>
      <c r="N113" s="0" t="n">
        <v>868686</v>
      </c>
      <c r="O113" s="9" t="n">
        <v>2457</v>
      </c>
      <c r="P113" s="0" t="s">
        <v>117</v>
      </c>
      <c r="Q113" s="0" t="s">
        <v>1246</v>
      </c>
      <c r="R113" s="0" t="s">
        <v>1247</v>
      </c>
      <c r="S113" s="0" t="s">
        <v>1248</v>
      </c>
      <c r="T113" s="0" t="s">
        <v>144</v>
      </c>
      <c r="U113" s="9" t="n">
        <v>0</v>
      </c>
      <c r="V113" s="0" t="n">
        <v>0</v>
      </c>
      <c r="W113" s="0" t="n">
        <v>20220930</v>
      </c>
      <c r="X113" s="0" t="n">
        <v>0.69874825034993</v>
      </c>
      <c r="Y113" s="0" t="s">
        <v>1249</v>
      </c>
      <c r="Z113" s="0" t="s">
        <v>98</v>
      </c>
    </row>
    <row r="114" customFormat="false" ht="15" hidden="false" customHeight="false" outlineLevel="0" collapsed="false">
      <c r="A114" s="0" t="n">
        <v>111</v>
      </c>
      <c r="B114" s="9" t="n">
        <v>1299582</v>
      </c>
      <c r="C114" s="0" t="n">
        <v>14158</v>
      </c>
      <c r="D114" s="0" t="n">
        <v>1199225</v>
      </c>
      <c r="E114" s="0" t="s">
        <v>61</v>
      </c>
      <c r="F114" s="0" t="n">
        <v>65471</v>
      </c>
      <c r="G114" s="0" t="s">
        <v>1250</v>
      </c>
      <c r="H114" s="0" t="s">
        <v>1251</v>
      </c>
      <c r="I114" s="0" t="s">
        <v>1252</v>
      </c>
      <c r="J114" s="0" t="s">
        <v>1253</v>
      </c>
      <c r="K114" s="0" t="s">
        <v>1254</v>
      </c>
      <c r="L114" s="0" t="n">
        <v>942495</v>
      </c>
      <c r="M114" s="0" t="s">
        <v>1255</v>
      </c>
      <c r="N114" s="0" t="n">
        <v>802531</v>
      </c>
      <c r="O114" s="9" t="n">
        <v>1381</v>
      </c>
      <c r="P114" s="0" t="s">
        <v>129</v>
      </c>
      <c r="Q114" s="0" t="s">
        <v>1256</v>
      </c>
      <c r="R114" s="0" t="s">
        <v>1257</v>
      </c>
      <c r="S114" s="0" t="s">
        <v>155</v>
      </c>
      <c r="T114" s="0" t="s">
        <v>1258</v>
      </c>
      <c r="U114" s="9" t="n">
        <v>308</v>
      </c>
      <c r="V114" s="0" t="n">
        <v>13.6509765861944</v>
      </c>
      <c r="W114" s="0" t="n">
        <v>20220930</v>
      </c>
      <c r="X114" s="0" t="n">
        <v>1.06363308286789</v>
      </c>
      <c r="Y114" s="0" t="s">
        <v>1259</v>
      </c>
      <c r="Z114" s="0" t="s">
        <v>98</v>
      </c>
    </row>
    <row r="115" customFormat="false" ht="15" hidden="false" customHeight="false" outlineLevel="0" collapsed="false">
      <c r="A115" s="0" t="n">
        <v>112</v>
      </c>
      <c r="B115" s="9" t="n">
        <v>365479</v>
      </c>
      <c r="C115" s="0" t="n">
        <v>14168</v>
      </c>
      <c r="D115" s="0" t="n">
        <v>330944</v>
      </c>
      <c r="E115" s="0" t="s">
        <v>61</v>
      </c>
      <c r="F115" s="0" t="n">
        <v>29862</v>
      </c>
      <c r="G115" s="0" t="s">
        <v>1260</v>
      </c>
      <c r="H115" s="0" t="s">
        <v>1261</v>
      </c>
      <c r="I115" s="0" t="s">
        <v>1262</v>
      </c>
      <c r="J115" s="0" t="s">
        <v>1263</v>
      </c>
      <c r="K115" s="0" t="s">
        <v>1264</v>
      </c>
      <c r="L115" s="0" t="n">
        <v>198184</v>
      </c>
      <c r="M115" s="0" t="s">
        <v>1265</v>
      </c>
      <c r="N115" s="0" t="n">
        <v>164935</v>
      </c>
      <c r="O115" s="9" t="n">
        <v>1286</v>
      </c>
      <c r="P115" s="0" t="s">
        <v>140</v>
      </c>
      <c r="Q115" s="0" t="s">
        <v>1266</v>
      </c>
      <c r="R115" s="0" t="s">
        <v>1267</v>
      </c>
      <c r="S115" s="0" t="s">
        <v>1268</v>
      </c>
      <c r="T115" s="0" t="s">
        <v>1269</v>
      </c>
      <c r="U115" s="9" t="n">
        <v>0</v>
      </c>
      <c r="V115" s="0" t="n">
        <v>18.8524471995963</v>
      </c>
      <c r="W115" s="0" t="n">
        <v>20220930</v>
      </c>
      <c r="X115" s="0" t="n">
        <v>0.453583932259783</v>
      </c>
      <c r="Y115" s="0" t="s">
        <v>1270</v>
      </c>
      <c r="Z115" s="0" t="s">
        <v>98</v>
      </c>
    </row>
    <row r="116" customFormat="false" ht="15" hidden="false" customHeight="false" outlineLevel="0" collapsed="false">
      <c r="A116" s="0" t="n">
        <v>113</v>
      </c>
      <c r="B116" s="9" t="n">
        <v>1313807</v>
      </c>
      <c r="C116" s="0" t="n">
        <v>14240</v>
      </c>
      <c r="D116" s="0" t="n">
        <v>1060386</v>
      </c>
      <c r="E116" s="0" t="s">
        <v>858</v>
      </c>
      <c r="F116" s="0" t="n">
        <v>76133</v>
      </c>
      <c r="G116" s="0" t="s">
        <v>1271</v>
      </c>
      <c r="H116" s="0" t="s">
        <v>1272</v>
      </c>
      <c r="I116" s="0" t="s">
        <v>1273</v>
      </c>
      <c r="J116" s="0" t="s">
        <v>1274</v>
      </c>
      <c r="K116" s="0" t="s">
        <v>1275</v>
      </c>
      <c r="L116" s="0" t="n">
        <v>932422</v>
      </c>
      <c r="M116" s="0" t="s">
        <v>1276</v>
      </c>
      <c r="N116" s="0" t="n">
        <v>792363</v>
      </c>
      <c r="O116" s="9" t="n">
        <v>1987</v>
      </c>
      <c r="P116" s="0" t="s">
        <v>152</v>
      </c>
      <c r="Q116" s="0" t="s">
        <v>1277</v>
      </c>
      <c r="R116" s="0" t="s">
        <v>1278</v>
      </c>
      <c r="S116" s="0" t="s">
        <v>1279</v>
      </c>
      <c r="T116" s="0" t="s">
        <v>1280</v>
      </c>
      <c r="U116" s="9" t="n">
        <v>0</v>
      </c>
      <c r="V116" s="0" t="n">
        <v>13.811186570616</v>
      </c>
      <c r="W116" s="0" t="n">
        <v>20220930</v>
      </c>
      <c r="X116" s="0" t="n">
        <v>0.00574117421909108</v>
      </c>
      <c r="Y116" s="0" t="s">
        <v>259</v>
      </c>
      <c r="Z116" s="0" t="s">
        <v>158</v>
      </c>
    </row>
    <row r="117" customFormat="false" ht="15" hidden="false" customHeight="false" outlineLevel="0" collapsed="false">
      <c r="A117" s="0" t="n">
        <v>114</v>
      </c>
      <c r="B117" s="9" t="n">
        <v>978552</v>
      </c>
      <c r="C117" s="0" t="n">
        <v>17115</v>
      </c>
      <c r="D117" s="0" t="n">
        <v>820800</v>
      </c>
      <c r="E117" s="0" t="s">
        <v>1281</v>
      </c>
      <c r="F117" s="0" t="n">
        <v>74649</v>
      </c>
      <c r="G117" s="0" t="s">
        <v>1282</v>
      </c>
      <c r="H117" s="0" t="s">
        <v>1283</v>
      </c>
      <c r="I117" s="0" t="s">
        <v>1284</v>
      </c>
      <c r="J117" s="0" t="s">
        <v>1285</v>
      </c>
      <c r="K117" s="0" t="s">
        <v>1286</v>
      </c>
      <c r="L117" s="0" t="n">
        <v>804440</v>
      </c>
      <c r="M117" s="0" t="s">
        <v>1287</v>
      </c>
      <c r="N117" s="0" t="n">
        <v>756417</v>
      </c>
      <c r="O117" s="9" t="n">
        <v>150</v>
      </c>
      <c r="P117" s="0" t="s">
        <v>166</v>
      </c>
      <c r="Q117" s="0" t="s">
        <v>1288</v>
      </c>
      <c r="R117" s="0" t="s">
        <v>1289</v>
      </c>
      <c r="S117" s="0" t="s">
        <v>1089</v>
      </c>
      <c r="T117" s="0" t="s">
        <v>1290</v>
      </c>
      <c r="U117" s="9" t="n">
        <v>0</v>
      </c>
      <c r="V117" s="0" t="n">
        <v>13.9033302635097</v>
      </c>
      <c r="W117" s="0" t="n">
        <v>20220930</v>
      </c>
      <c r="X117" s="0" t="n">
        <v>0.298933215145743</v>
      </c>
      <c r="Y117" s="0" t="s">
        <v>1291</v>
      </c>
      <c r="Z117" s="0" t="s">
        <v>60</v>
      </c>
    </row>
    <row r="118" customFormat="false" ht="15" hidden="false" customHeight="false" outlineLevel="0" collapsed="false">
      <c r="A118" s="0" t="n">
        <v>115</v>
      </c>
      <c r="B118" s="9" t="n">
        <v>1483609</v>
      </c>
      <c r="C118" s="0" t="n">
        <v>17180</v>
      </c>
      <c r="D118" s="0" t="n">
        <v>1205127</v>
      </c>
      <c r="E118" s="0" t="s">
        <v>47</v>
      </c>
      <c r="F118" s="0" t="n">
        <v>123922</v>
      </c>
      <c r="G118" s="0" t="s">
        <v>1292</v>
      </c>
      <c r="H118" s="0" t="s">
        <v>1293</v>
      </c>
      <c r="I118" s="0" t="s">
        <v>1294</v>
      </c>
      <c r="J118" s="0" t="s">
        <v>1295</v>
      </c>
      <c r="K118" s="0" t="s">
        <v>1296</v>
      </c>
      <c r="L118" s="0" t="n">
        <v>1328039</v>
      </c>
      <c r="M118" s="0" t="s">
        <v>1297</v>
      </c>
      <c r="N118" s="0" t="n">
        <v>1064900</v>
      </c>
      <c r="O118" s="9" t="n">
        <v>3999</v>
      </c>
      <c r="P118" s="0" t="s">
        <v>179</v>
      </c>
      <c r="Q118" s="0" t="s">
        <v>1298</v>
      </c>
      <c r="R118" s="0" t="s">
        <v>1299</v>
      </c>
      <c r="S118" s="0" t="s">
        <v>762</v>
      </c>
      <c r="T118" s="0" t="s">
        <v>1300</v>
      </c>
      <c r="U118" s="9" t="n">
        <v>337</v>
      </c>
      <c r="V118" s="0" t="n">
        <v>13.9724383504197</v>
      </c>
      <c r="W118" s="0" t="n">
        <v>20220930</v>
      </c>
      <c r="X118" s="0" t="n">
        <v>0.744248263217769</v>
      </c>
      <c r="Y118" s="0" t="s">
        <v>1301</v>
      </c>
      <c r="Z118" s="0" t="s">
        <v>158</v>
      </c>
    </row>
    <row r="119" customFormat="false" ht="15" hidden="false" customHeight="false" outlineLevel="0" collapsed="false">
      <c r="A119" s="0" t="n">
        <v>116</v>
      </c>
      <c r="B119" s="9" t="n">
        <v>357184</v>
      </c>
      <c r="C119" s="0" t="n">
        <v>17443</v>
      </c>
      <c r="D119" s="0" t="n">
        <v>318685</v>
      </c>
      <c r="E119" s="0" t="s">
        <v>172</v>
      </c>
      <c r="F119" s="0" t="n">
        <v>37316</v>
      </c>
      <c r="G119" s="0" t="s">
        <v>1302</v>
      </c>
      <c r="H119" s="0" t="s">
        <v>1303</v>
      </c>
      <c r="I119" s="0" t="s">
        <v>1304</v>
      </c>
      <c r="J119" s="0" t="s">
        <v>61</v>
      </c>
      <c r="K119" s="0" t="s">
        <v>1305</v>
      </c>
      <c r="L119" s="0" t="n">
        <v>201839</v>
      </c>
      <c r="M119" s="0" t="s">
        <v>1306</v>
      </c>
      <c r="N119" s="0" t="n">
        <v>199865</v>
      </c>
      <c r="O119" s="9" t="n">
        <v>390</v>
      </c>
      <c r="P119" s="0" t="s">
        <v>190</v>
      </c>
      <c r="Q119" s="0" t="s">
        <v>1307</v>
      </c>
      <c r="R119" s="0" t="s">
        <v>1308</v>
      </c>
      <c r="S119" s="0" t="s">
        <v>61</v>
      </c>
      <c r="T119" s="0" t="s">
        <v>1309</v>
      </c>
      <c r="U119" s="9" t="n">
        <v>0</v>
      </c>
      <c r="V119" s="0" t="n">
        <v>0</v>
      </c>
      <c r="W119" s="0" t="n">
        <v>20220930</v>
      </c>
      <c r="X119" s="0" t="n">
        <v>0.548533001407754</v>
      </c>
      <c r="Y119" s="0" t="s">
        <v>1310</v>
      </c>
      <c r="Z119" s="0" t="s">
        <v>158</v>
      </c>
    </row>
    <row r="120" customFormat="false" ht="15" hidden="false" customHeight="false" outlineLevel="0" collapsed="false">
      <c r="A120" s="0" t="n">
        <v>117</v>
      </c>
      <c r="B120" s="9" t="n">
        <v>1739896</v>
      </c>
      <c r="C120" s="0" t="n">
        <v>17658</v>
      </c>
      <c r="D120" s="0" t="n">
        <v>1532921</v>
      </c>
      <c r="E120" s="0" t="s">
        <v>890</v>
      </c>
      <c r="F120" s="0" t="n">
        <v>175487</v>
      </c>
      <c r="G120" s="0" t="s">
        <v>1311</v>
      </c>
      <c r="H120" s="0" t="s">
        <v>1312</v>
      </c>
      <c r="I120" s="0" t="s">
        <v>1313</v>
      </c>
      <c r="J120" s="0" t="s">
        <v>1314</v>
      </c>
      <c r="K120" s="0" t="s">
        <v>1315</v>
      </c>
      <c r="L120" s="0" t="n">
        <v>1170228</v>
      </c>
      <c r="M120" s="0" t="s">
        <v>1316</v>
      </c>
      <c r="N120" s="0" t="n">
        <v>1008787</v>
      </c>
      <c r="O120" s="9" t="n">
        <v>395</v>
      </c>
      <c r="P120" s="0" t="s">
        <v>202</v>
      </c>
      <c r="Q120" s="0" t="s">
        <v>1317</v>
      </c>
      <c r="R120" s="0" t="s">
        <v>1318</v>
      </c>
      <c r="S120" s="0" t="s">
        <v>182</v>
      </c>
      <c r="T120" s="0" t="s">
        <v>1319</v>
      </c>
      <c r="U120" s="9" t="n">
        <v>9</v>
      </c>
      <c r="V120" s="0" t="n">
        <v>0</v>
      </c>
      <c r="W120" s="0" t="n">
        <v>20220930</v>
      </c>
      <c r="X120" s="0" t="n">
        <v>-0.0199909380414696</v>
      </c>
      <c r="Y120" s="0" t="s">
        <v>1320</v>
      </c>
      <c r="Z120" s="0" t="s">
        <v>60</v>
      </c>
    </row>
    <row r="121" customFormat="false" ht="15" hidden="false" customHeight="false" outlineLevel="0" collapsed="false">
      <c r="A121" s="0" t="n">
        <v>118</v>
      </c>
      <c r="B121" s="9" t="n">
        <v>1011112</v>
      </c>
      <c r="C121" s="0" t="n">
        <v>17741</v>
      </c>
      <c r="D121" s="0" t="n">
        <v>854564</v>
      </c>
      <c r="E121" s="0" t="s">
        <v>195</v>
      </c>
      <c r="F121" s="0" t="n">
        <v>127616</v>
      </c>
      <c r="G121" s="0" t="s">
        <v>1321</v>
      </c>
      <c r="H121" s="0" t="s">
        <v>1322</v>
      </c>
      <c r="I121" s="0" t="s">
        <v>1323</v>
      </c>
      <c r="J121" s="0" t="s">
        <v>1324</v>
      </c>
      <c r="K121" s="0" t="s">
        <v>1325</v>
      </c>
      <c r="L121" s="0" t="n">
        <v>833425</v>
      </c>
      <c r="M121" s="0" t="s">
        <v>1326</v>
      </c>
      <c r="N121" s="0" t="n">
        <v>783810</v>
      </c>
      <c r="O121" s="9" t="n">
        <v>1945</v>
      </c>
      <c r="P121" s="0" t="s">
        <v>215</v>
      </c>
      <c r="Q121" s="0" t="s">
        <v>1327</v>
      </c>
      <c r="R121" s="0" t="s">
        <v>1328</v>
      </c>
      <c r="S121" s="0" t="s">
        <v>1329</v>
      </c>
      <c r="T121" s="0" t="s">
        <v>1330</v>
      </c>
      <c r="U121" s="9" t="n">
        <v>0</v>
      </c>
      <c r="V121" s="0" t="n">
        <v>0</v>
      </c>
      <c r="W121" s="0" t="n">
        <v>20220930</v>
      </c>
      <c r="X121" s="0" t="n">
        <v>0.759114908984002</v>
      </c>
      <c r="Y121" s="0" t="s">
        <v>1331</v>
      </c>
      <c r="Z121" s="0" t="s">
        <v>60</v>
      </c>
    </row>
    <row r="122" customFormat="false" ht="15" hidden="false" customHeight="false" outlineLevel="0" collapsed="false">
      <c r="A122" s="0" t="n">
        <v>119</v>
      </c>
      <c r="B122" s="9" t="n">
        <v>1249583</v>
      </c>
      <c r="C122" s="0" t="n">
        <v>17743</v>
      </c>
      <c r="D122" s="0" t="n">
        <v>1015664</v>
      </c>
      <c r="E122" s="0" t="s">
        <v>1281</v>
      </c>
      <c r="F122" s="0" t="n">
        <v>114993</v>
      </c>
      <c r="G122" s="0" t="s">
        <v>1332</v>
      </c>
      <c r="H122" s="0" t="s">
        <v>1333</v>
      </c>
      <c r="I122" s="0" t="s">
        <v>1334</v>
      </c>
      <c r="J122" s="0" t="s">
        <v>1335</v>
      </c>
      <c r="K122" s="0" t="s">
        <v>1336</v>
      </c>
      <c r="L122" s="0" t="n">
        <v>953891</v>
      </c>
      <c r="M122" s="0" t="s">
        <v>1337</v>
      </c>
      <c r="N122" s="0" t="n">
        <v>922540</v>
      </c>
      <c r="O122" s="9" t="n">
        <v>2125</v>
      </c>
      <c r="P122" s="0" t="s">
        <v>227</v>
      </c>
      <c r="Q122" s="0" t="s">
        <v>1338</v>
      </c>
      <c r="R122" s="0" t="s">
        <v>1339</v>
      </c>
      <c r="S122" s="0" t="s">
        <v>1340</v>
      </c>
      <c r="T122" s="0" t="s">
        <v>1341</v>
      </c>
      <c r="U122" s="9" t="n">
        <v>0</v>
      </c>
      <c r="V122" s="0" t="n">
        <v>0</v>
      </c>
      <c r="W122" s="0" t="n">
        <v>20220930</v>
      </c>
      <c r="X122" s="0" t="n">
        <v>0.359517686061837</v>
      </c>
      <c r="Y122" s="0" t="s">
        <v>1342</v>
      </c>
      <c r="Z122" s="0" t="s">
        <v>60</v>
      </c>
    </row>
    <row r="123" customFormat="false" ht="15" hidden="false" customHeight="false" outlineLevel="0" collapsed="false">
      <c r="A123" s="0" t="n">
        <v>120</v>
      </c>
      <c r="B123" s="9" t="n">
        <v>1552351</v>
      </c>
      <c r="C123" s="0" t="n">
        <v>17748</v>
      </c>
      <c r="D123" s="0" t="n">
        <v>1377805</v>
      </c>
      <c r="E123" s="0" t="s">
        <v>208</v>
      </c>
      <c r="F123" s="0" t="n">
        <v>102427</v>
      </c>
      <c r="G123" s="0" t="s">
        <v>1343</v>
      </c>
      <c r="H123" s="0" t="s">
        <v>1344</v>
      </c>
      <c r="I123" s="0" t="s">
        <v>1345</v>
      </c>
      <c r="J123" s="0" t="s">
        <v>1346</v>
      </c>
      <c r="K123" s="0" t="s">
        <v>1347</v>
      </c>
      <c r="L123" s="0" t="n">
        <v>1181676</v>
      </c>
      <c r="M123" s="0" t="s">
        <v>1348</v>
      </c>
      <c r="N123" s="0" t="n">
        <v>1007459</v>
      </c>
      <c r="O123" s="9" t="n">
        <v>6350</v>
      </c>
      <c r="P123" s="0" t="s">
        <v>240</v>
      </c>
      <c r="Q123" s="0" t="s">
        <v>1349</v>
      </c>
      <c r="R123" s="0" t="s">
        <v>1350</v>
      </c>
      <c r="S123" s="0" t="s">
        <v>751</v>
      </c>
      <c r="T123" s="0" t="s">
        <v>1351</v>
      </c>
      <c r="U123" s="9" t="n">
        <v>0</v>
      </c>
      <c r="V123" s="0" t="n">
        <v>0</v>
      </c>
      <c r="W123" s="0" t="n">
        <v>20220930</v>
      </c>
      <c r="X123" s="0" t="n">
        <v>0.368036496430469</v>
      </c>
      <c r="Y123" s="0" t="s">
        <v>1352</v>
      </c>
      <c r="Z123" s="0" t="s">
        <v>60</v>
      </c>
    </row>
    <row r="124" customFormat="false" ht="15" hidden="false" customHeight="false" outlineLevel="0" collapsed="false">
      <c r="A124" s="0" t="n">
        <v>121</v>
      </c>
      <c r="B124" s="9" t="n">
        <v>1262862</v>
      </c>
      <c r="C124" s="0" t="n">
        <v>17749</v>
      </c>
      <c r="D124" s="0" t="n">
        <v>1042319</v>
      </c>
      <c r="E124" s="0" t="s">
        <v>246</v>
      </c>
      <c r="F124" s="0" t="n">
        <v>143149</v>
      </c>
      <c r="G124" s="0" t="s">
        <v>1353</v>
      </c>
      <c r="H124" s="0" t="s">
        <v>1354</v>
      </c>
      <c r="I124" s="0" t="s">
        <v>1355</v>
      </c>
      <c r="J124" s="0" t="s">
        <v>1356</v>
      </c>
      <c r="K124" s="0" t="s">
        <v>1357</v>
      </c>
      <c r="L124" s="0" t="n">
        <v>707269</v>
      </c>
      <c r="M124" s="0" t="s">
        <v>1358</v>
      </c>
      <c r="N124" s="0" t="n">
        <v>639367</v>
      </c>
      <c r="O124" s="9" t="n">
        <v>237</v>
      </c>
      <c r="P124" s="0" t="s">
        <v>253</v>
      </c>
      <c r="Q124" s="0" t="s">
        <v>1359</v>
      </c>
      <c r="R124" s="0" t="s">
        <v>1360</v>
      </c>
      <c r="S124" s="0" t="s">
        <v>489</v>
      </c>
      <c r="T124" s="0" t="s">
        <v>1361</v>
      </c>
      <c r="U124" s="9" t="n">
        <v>13</v>
      </c>
      <c r="V124" s="0" t="n">
        <v>0</v>
      </c>
      <c r="W124" s="0" t="n">
        <v>20220930</v>
      </c>
      <c r="X124" s="0" t="n">
        <v>0.127474265793327</v>
      </c>
      <c r="Y124" s="0" t="s">
        <v>1362</v>
      </c>
      <c r="Z124" s="0" t="s">
        <v>60</v>
      </c>
    </row>
    <row r="125" customFormat="false" ht="15" hidden="false" customHeight="false" outlineLevel="0" collapsed="false">
      <c r="A125" s="0" t="n">
        <v>122</v>
      </c>
      <c r="B125" s="9" t="n">
        <v>1446107</v>
      </c>
      <c r="C125" s="0" t="n">
        <v>17751</v>
      </c>
      <c r="D125" s="0" t="n">
        <v>1280720</v>
      </c>
      <c r="E125" s="0" t="s">
        <v>208</v>
      </c>
      <c r="F125" s="0" t="n">
        <v>122617</v>
      </c>
      <c r="G125" s="0" t="s">
        <v>1363</v>
      </c>
      <c r="H125" s="0" t="s">
        <v>1364</v>
      </c>
      <c r="I125" s="0" t="s">
        <v>1365</v>
      </c>
      <c r="J125" s="0" t="s">
        <v>1366</v>
      </c>
      <c r="K125" s="0" t="s">
        <v>1367</v>
      </c>
      <c r="L125" s="0" t="n">
        <v>1185974</v>
      </c>
      <c r="M125" s="0" t="s">
        <v>1368</v>
      </c>
      <c r="N125" s="0" t="n">
        <v>1020660</v>
      </c>
      <c r="O125" s="9" t="n">
        <v>1170</v>
      </c>
      <c r="P125" s="0" t="s">
        <v>266</v>
      </c>
      <c r="Q125" s="0" t="s">
        <v>1369</v>
      </c>
      <c r="R125" s="0" t="s">
        <v>1370</v>
      </c>
      <c r="S125" s="0" t="s">
        <v>1371</v>
      </c>
      <c r="T125" s="0" t="s">
        <v>1372</v>
      </c>
      <c r="U125" s="9" t="n">
        <v>0</v>
      </c>
      <c r="V125" s="0" t="n">
        <v>13.4544785128385</v>
      </c>
      <c r="W125" s="0" t="n">
        <v>20220930</v>
      </c>
      <c r="X125" s="0" t="n">
        <v>0.656017372218693</v>
      </c>
      <c r="Y125" s="0" t="s">
        <v>1373</v>
      </c>
      <c r="Z125" s="0" t="s">
        <v>60</v>
      </c>
    </row>
    <row r="126" customFormat="false" ht="15" hidden="false" customHeight="false" outlineLevel="0" collapsed="false">
      <c r="A126" s="0" t="n">
        <v>123</v>
      </c>
      <c r="B126" s="9" t="n">
        <v>1589541</v>
      </c>
      <c r="C126" s="0" t="n">
        <v>17897</v>
      </c>
      <c r="D126" s="0" t="n">
        <v>1347109</v>
      </c>
      <c r="E126" s="0" t="s">
        <v>47</v>
      </c>
      <c r="F126" s="0" t="n">
        <v>185467</v>
      </c>
      <c r="G126" s="0" t="s">
        <v>1374</v>
      </c>
      <c r="H126" s="0" t="s">
        <v>1375</v>
      </c>
      <c r="I126" s="0" t="s">
        <v>1376</v>
      </c>
      <c r="J126" s="0" t="s">
        <v>1377</v>
      </c>
      <c r="K126" s="0" t="s">
        <v>1378</v>
      </c>
      <c r="L126" s="0" t="n">
        <v>1342538</v>
      </c>
      <c r="M126" s="0" t="s">
        <v>1379</v>
      </c>
      <c r="N126" s="0" t="n">
        <v>1265598</v>
      </c>
      <c r="O126" s="9" t="n">
        <v>3303</v>
      </c>
      <c r="P126" s="0" t="s">
        <v>278</v>
      </c>
      <c r="Q126" s="0" t="s">
        <v>1380</v>
      </c>
      <c r="R126" s="0" t="s">
        <v>1381</v>
      </c>
      <c r="S126" s="0" t="s">
        <v>1382</v>
      </c>
      <c r="T126" s="0" t="s">
        <v>506</v>
      </c>
      <c r="U126" s="9" t="n">
        <v>0</v>
      </c>
      <c r="V126" s="0" t="n">
        <v>0</v>
      </c>
      <c r="W126" s="0" t="n">
        <v>20220930</v>
      </c>
      <c r="X126" s="0" t="n">
        <v>-0.372021148911137</v>
      </c>
      <c r="Y126" s="0" t="s">
        <v>1383</v>
      </c>
      <c r="Z126" s="0" t="s">
        <v>60</v>
      </c>
    </row>
    <row r="127" customFormat="false" ht="15" hidden="false" customHeight="false" outlineLevel="0" collapsed="false">
      <c r="A127" s="0" t="n">
        <v>124</v>
      </c>
      <c r="B127" s="9" t="n">
        <v>741759</v>
      </c>
      <c r="C127" s="0" t="n">
        <v>17951</v>
      </c>
      <c r="D127" s="0" t="n">
        <v>644557</v>
      </c>
      <c r="E127" s="0" t="s">
        <v>858</v>
      </c>
      <c r="F127" s="0" t="n">
        <v>52288</v>
      </c>
      <c r="G127" s="0" t="s">
        <v>1384</v>
      </c>
      <c r="H127" s="0" t="s">
        <v>1385</v>
      </c>
      <c r="I127" s="0" t="s">
        <v>1386</v>
      </c>
      <c r="J127" s="0" t="s">
        <v>1387</v>
      </c>
      <c r="K127" s="0" t="s">
        <v>1388</v>
      </c>
      <c r="L127" s="0" t="n">
        <v>517803</v>
      </c>
      <c r="M127" s="0" t="s">
        <v>1389</v>
      </c>
      <c r="N127" s="0" t="n">
        <v>482723</v>
      </c>
      <c r="O127" s="9" t="n">
        <v>393</v>
      </c>
      <c r="P127" s="0" t="s">
        <v>290</v>
      </c>
      <c r="Q127" s="0" t="s">
        <v>1390</v>
      </c>
      <c r="R127" s="0" t="s">
        <v>1391</v>
      </c>
      <c r="S127" s="0" t="s">
        <v>256</v>
      </c>
      <c r="T127" s="0" t="s">
        <v>61</v>
      </c>
      <c r="U127" s="9" t="n">
        <v>0</v>
      </c>
      <c r="V127" s="0" t="n">
        <v>14.4940601944432</v>
      </c>
      <c r="W127" s="0" t="n">
        <v>20220930</v>
      </c>
      <c r="X127" s="0" t="n">
        <v>1.02520929643113</v>
      </c>
      <c r="Y127" s="0" t="s">
        <v>1392</v>
      </c>
      <c r="Z127" s="0" t="s">
        <v>158</v>
      </c>
    </row>
    <row r="128" customFormat="false" ht="15" hidden="false" customHeight="false" outlineLevel="0" collapsed="false">
      <c r="A128" s="0" t="n">
        <v>125</v>
      </c>
      <c r="B128" s="9" t="n">
        <v>1278487</v>
      </c>
      <c r="C128" s="0" t="n">
        <v>17960</v>
      </c>
      <c r="D128" s="0" t="n">
        <v>1016704</v>
      </c>
      <c r="E128" s="0" t="s">
        <v>1393</v>
      </c>
      <c r="F128" s="0" t="n">
        <v>101209</v>
      </c>
      <c r="G128" s="0" t="s">
        <v>1394</v>
      </c>
      <c r="H128" s="0" t="s">
        <v>1395</v>
      </c>
      <c r="I128" s="0" t="s">
        <v>1396</v>
      </c>
      <c r="J128" s="0" t="s">
        <v>1397</v>
      </c>
      <c r="K128" s="0" t="s">
        <v>1398</v>
      </c>
      <c r="L128" s="0" t="n">
        <v>1082576</v>
      </c>
      <c r="M128" s="0" t="s">
        <v>1399</v>
      </c>
      <c r="N128" s="0" t="n">
        <v>781834</v>
      </c>
      <c r="O128" s="9" t="n">
        <v>699</v>
      </c>
      <c r="P128" s="0" t="s">
        <v>302</v>
      </c>
      <c r="Q128" s="0" t="s">
        <v>1400</v>
      </c>
      <c r="R128" s="0" t="s">
        <v>1401</v>
      </c>
      <c r="S128" s="0" t="s">
        <v>489</v>
      </c>
      <c r="T128" s="0" t="s">
        <v>1402</v>
      </c>
      <c r="U128" s="9" t="n">
        <v>73</v>
      </c>
      <c r="V128" s="0" t="n">
        <v>12.9291645449843</v>
      </c>
      <c r="W128" s="0" t="n">
        <v>20220930</v>
      </c>
      <c r="X128" s="0" t="n">
        <v>0.811990055001869</v>
      </c>
      <c r="Y128" s="0" t="s">
        <v>1403</v>
      </c>
      <c r="Z128" s="0" t="s">
        <v>158</v>
      </c>
    </row>
    <row r="129" customFormat="false" ht="15" hidden="false" customHeight="false" outlineLevel="0" collapsed="false">
      <c r="A129" s="0" t="n">
        <v>126</v>
      </c>
      <c r="B129" s="9" t="n">
        <v>2400019</v>
      </c>
      <c r="C129" s="0" t="n">
        <v>18012</v>
      </c>
      <c r="D129" s="0" t="n">
        <v>2088751</v>
      </c>
      <c r="E129" s="0" t="s">
        <v>390</v>
      </c>
      <c r="F129" s="0" t="n">
        <v>230722</v>
      </c>
      <c r="G129" s="0" t="s">
        <v>1404</v>
      </c>
      <c r="H129" s="0" t="s">
        <v>1405</v>
      </c>
      <c r="I129" s="0" t="s">
        <v>1406</v>
      </c>
      <c r="J129" s="0" t="s">
        <v>1407</v>
      </c>
      <c r="K129" s="0" t="s">
        <v>1408</v>
      </c>
      <c r="L129" s="0" t="n">
        <v>1923861</v>
      </c>
      <c r="M129" s="0" t="s">
        <v>1409</v>
      </c>
      <c r="N129" s="0" t="n">
        <v>1803269</v>
      </c>
      <c r="O129" s="9" t="n">
        <v>1056</v>
      </c>
      <c r="P129" s="0" t="s">
        <v>312</v>
      </c>
      <c r="Q129" s="0" t="s">
        <v>1410</v>
      </c>
      <c r="R129" s="0" t="s">
        <v>1411</v>
      </c>
      <c r="S129" s="0" t="s">
        <v>1029</v>
      </c>
      <c r="T129" s="0" t="s">
        <v>1412</v>
      </c>
      <c r="U129" s="9" t="n">
        <v>0</v>
      </c>
      <c r="V129" s="0" t="n">
        <v>12.8729126561258</v>
      </c>
      <c r="W129" s="0" t="n">
        <v>20220930</v>
      </c>
      <c r="X129" s="0" t="n">
        <v>1.21697575065678</v>
      </c>
      <c r="Y129" s="0" t="s">
        <v>1413</v>
      </c>
      <c r="Z129" s="0" t="s">
        <v>158</v>
      </c>
    </row>
    <row r="130" customFormat="false" ht="15" hidden="false" customHeight="false" outlineLevel="0" collapsed="false">
      <c r="A130" s="0" t="n">
        <v>127</v>
      </c>
      <c r="B130" s="9" t="n">
        <v>2685566</v>
      </c>
      <c r="C130" s="0" t="n">
        <v>18013</v>
      </c>
      <c r="D130" s="0" t="n">
        <v>2352806</v>
      </c>
      <c r="E130" s="0" t="s">
        <v>246</v>
      </c>
      <c r="F130" s="0" t="n">
        <v>195855</v>
      </c>
      <c r="G130" s="0" t="s">
        <v>1414</v>
      </c>
      <c r="H130" s="0" t="s">
        <v>1415</v>
      </c>
      <c r="I130" s="0" t="s">
        <v>1416</v>
      </c>
      <c r="J130" s="0" t="s">
        <v>1417</v>
      </c>
      <c r="K130" s="0" t="s">
        <v>1418</v>
      </c>
      <c r="L130" s="0" t="n">
        <v>2114991</v>
      </c>
      <c r="M130" s="0" t="s">
        <v>1419</v>
      </c>
      <c r="N130" s="0" t="n">
        <v>1943255</v>
      </c>
      <c r="O130" s="9" t="n">
        <v>1930</v>
      </c>
      <c r="P130" s="0" t="s">
        <v>324</v>
      </c>
      <c r="Q130" s="0" t="s">
        <v>1420</v>
      </c>
      <c r="R130" s="0" t="s">
        <v>1421</v>
      </c>
      <c r="S130" s="0" t="s">
        <v>1422</v>
      </c>
      <c r="T130" s="0" t="s">
        <v>1423</v>
      </c>
      <c r="U130" s="9" t="n">
        <v>223</v>
      </c>
      <c r="V130" s="0" t="n">
        <v>13.448711877325</v>
      </c>
      <c r="W130" s="0" t="n">
        <v>20220930</v>
      </c>
      <c r="X130" s="0" t="n">
        <v>0.676604753783732</v>
      </c>
      <c r="Y130" s="0" t="s">
        <v>1424</v>
      </c>
      <c r="Z130" s="0" t="s">
        <v>158</v>
      </c>
    </row>
    <row r="131" customFormat="false" ht="15" hidden="false" customHeight="false" outlineLevel="0" collapsed="false">
      <c r="A131" s="0" t="n">
        <v>128</v>
      </c>
      <c r="B131" s="9" t="n">
        <v>379383</v>
      </c>
      <c r="C131" s="0" t="n">
        <v>18028</v>
      </c>
      <c r="D131" s="0" t="n">
        <v>337295</v>
      </c>
      <c r="E131" s="0" t="s">
        <v>271</v>
      </c>
      <c r="F131" s="0" t="n">
        <v>34470</v>
      </c>
      <c r="G131" s="0" t="s">
        <v>1425</v>
      </c>
      <c r="H131" s="0" t="s">
        <v>1426</v>
      </c>
      <c r="I131" s="0" t="s">
        <v>1427</v>
      </c>
      <c r="J131" s="0" t="s">
        <v>1428</v>
      </c>
      <c r="K131" s="0" t="s">
        <v>1429</v>
      </c>
      <c r="L131" s="0" t="n">
        <v>245095</v>
      </c>
      <c r="M131" s="0" t="s">
        <v>1430</v>
      </c>
      <c r="N131" s="0" t="n">
        <v>213616</v>
      </c>
      <c r="O131" s="9" t="n">
        <v>1067</v>
      </c>
      <c r="P131" s="0" t="s">
        <v>337</v>
      </c>
      <c r="Q131" s="0" t="s">
        <v>1431</v>
      </c>
      <c r="R131" s="0" t="s">
        <v>1432</v>
      </c>
      <c r="S131" s="0" t="s">
        <v>1433</v>
      </c>
      <c r="T131" s="0" t="s">
        <v>1434</v>
      </c>
      <c r="U131" s="9" t="n">
        <v>294</v>
      </c>
      <c r="V131" s="0" t="n">
        <v>0</v>
      </c>
      <c r="W131" s="0" t="n">
        <v>20220930</v>
      </c>
      <c r="X131" s="0" t="n">
        <v>0.711360152316906</v>
      </c>
      <c r="Y131" s="0" t="s">
        <v>1435</v>
      </c>
      <c r="Z131" s="0" t="s">
        <v>158</v>
      </c>
    </row>
    <row r="132" customFormat="false" ht="15" hidden="false" customHeight="false" outlineLevel="0" collapsed="false">
      <c r="A132" s="0" t="n">
        <v>129</v>
      </c>
      <c r="B132" s="9" t="n">
        <v>703383</v>
      </c>
      <c r="C132" s="0" t="n">
        <v>18030</v>
      </c>
      <c r="D132" s="0" t="n">
        <v>659450</v>
      </c>
      <c r="E132" s="0" t="s">
        <v>1436</v>
      </c>
      <c r="F132" s="0" t="n">
        <v>40935</v>
      </c>
      <c r="G132" s="0" t="s">
        <v>1437</v>
      </c>
      <c r="H132" s="0" t="s">
        <v>1438</v>
      </c>
      <c r="I132" s="0" t="s">
        <v>1439</v>
      </c>
      <c r="J132" s="0" t="s">
        <v>1440</v>
      </c>
      <c r="K132" s="0" t="s">
        <v>1441</v>
      </c>
      <c r="L132" s="0" t="n">
        <v>544604</v>
      </c>
      <c r="M132" s="0" t="s">
        <v>1442</v>
      </c>
      <c r="N132" s="0" t="n">
        <v>424875</v>
      </c>
      <c r="O132" s="9" t="n">
        <v>929</v>
      </c>
      <c r="P132" s="0" t="s">
        <v>349</v>
      </c>
      <c r="Q132" s="0" t="s">
        <v>1443</v>
      </c>
      <c r="R132" s="0" t="s">
        <v>1444</v>
      </c>
      <c r="S132" s="0" t="s">
        <v>910</v>
      </c>
      <c r="T132" s="0" t="s">
        <v>95</v>
      </c>
      <c r="U132" s="9" t="n">
        <v>130</v>
      </c>
      <c r="V132" s="0" t="n">
        <v>13.0208288999923</v>
      </c>
      <c r="W132" s="0" t="n">
        <v>20220930</v>
      </c>
      <c r="X132" s="0" t="n">
        <v>0.410955323209553</v>
      </c>
      <c r="Y132" s="0" t="s">
        <v>1445</v>
      </c>
      <c r="Z132" s="0" t="s">
        <v>158</v>
      </c>
    </row>
    <row r="133" customFormat="false" ht="15" hidden="false" customHeight="false" outlineLevel="0" collapsed="false">
      <c r="A133" s="0" t="n">
        <v>130</v>
      </c>
      <c r="B133" s="9" t="n">
        <v>641019</v>
      </c>
      <c r="C133" s="0" t="n">
        <v>18031</v>
      </c>
      <c r="D133" s="0" t="n">
        <v>568656</v>
      </c>
      <c r="E133" s="0" t="s">
        <v>61</v>
      </c>
      <c r="F133" s="0" t="n">
        <v>33282</v>
      </c>
      <c r="G133" s="0" t="s">
        <v>1446</v>
      </c>
      <c r="H133" s="0" t="s">
        <v>1447</v>
      </c>
      <c r="I133" s="0" t="s">
        <v>1448</v>
      </c>
      <c r="J133" s="0" t="s">
        <v>1449</v>
      </c>
      <c r="K133" s="0" t="s">
        <v>1450</v>
      </c>
      <c r="L133" s="0" t="n">
        <v>453544</v>
      </c>
      <c r="M133" s="0" t="s">
        <v>1451</v>
      </c>
      <c r="N133" s="0" t="n">
        <v>411232</v>
      </c>
      <c r="O133" s="9" t="n">
        <v>638</v>
      </c>
      <c r="P133" s="0" t="s">
        <v>361</v>
      </c>
      <c r="Q133" s="0" t="s">
        <v>1452</v>
      </c>
      <c r="R133" s="0" t="s">
        <v>1453</v>
      </c>
      <c r="S133" s="0" t="s">
        <v>83</v>
      </c>
      <c r="T133" s="0" t="s">
        <v>1454</v>
      </c>
      <c r="U133" s="9" t="n">
        <v>0</v>
      </c>
      <c r="V133" s="0" t="n">
        <v>16.4504734644745</v>
      </c>
      <c r="W133" s="0" t="n">
        <v>20220930</v>
      </c>
      <c r="X133" s="0" t="n">
        <v>0.528270442861807</v>
      </c>
      <c r="Y133" s="0" t="s">
        <v>1455</v>
      </c>
      <c r="Z133" s="0" t="s">
        <v>158</v>
      </c>
    </row>
    <row r="134" customFormat="false" ht="15" hidden="false" customHeight="false" outlineLevel="0" collapsed="false">
      <c r="A134" s="0" t="n">
        <v>131</v>
      </c>
      <c r="B134" s="9" t="n">
        <v>492676</v>
      </c>
      <c r="C134" s="0" t="n">
        <v>18038</v>
      </c>
      <c r="D134" s="0" t="n">
        <v>386477</v>
      </c>
      <c r="E134" s="0" t="s">
        <v>1456</v>
      </c>
      <c r="F134" s="0" t="n">
        <v>61616</v>
      </c>
      <c r="G134" s="0" t="s">
        <v>1457</v>
      </c>
      <c r="H134" s="0" t="s">
        <v>1458</v>
      </c>
      <c r="I134" s="0" t="s">
        <v>1459</v>
      </c>
      <c r="J134" s="0" t="s">
        <v>1460</v>
      </c>
      <c r="K134" s="0" t="s">
        <v>1461</v>
      </c>
      <c r="L134" s="0" t="n">
        <v>385931</v>
      </c>
      <c r="M134" s="0" t="s">
        <v>1462</v>
      </c>
      <c r="N134" s="0" t="n">
        <v>364802</v>
      </c>
      <c r="O134" s="9" t="n">
        <v>2589</v>
      </c>
      <c r="P134" s="0" t="s">
        <v>372</v>
      </c>
      <c r="Q134" s="0" t="s">
        <v>1463</v>
      </c>
      <c r="R134" s="0" t="s">
        <v>1464</v>
      </c>
      <c r="S134" s="0" t="s">
        <v>1465</v>
      </c>
      <c r="T134" s="0" t="s">
        <v>1466</v>
      </c>
      <c r="U134" s="9" t="n">
        <v>0</v>
      </c>
      <c r="V134" s="0" t="n">
        <v>0</v>
      </c>
      <c r="W134" s="0" t="n">
        <v>20220930</v>
      </c>
      <c r="X134" s="0" t="n">
        <v>-1.0692244589165</v>
      </c>
      <c r="Y134" s="0" t="s">
        <v>1467</v>
      </c>
      <c r="Z134" s="0" t="s">
        <v>158</v>
      </c>
    </row>
    <row r="135" customFormat="false" ht="15" hidden="false" customHeight="false" outlineLevel="0" collapsed="false">
      <c r="A135" s="0" t="n">
        <v>132</v>
      </c>
      <c r="B135" s="9" t="n">
        <v>7207176</v>
      </c>
      <c r="C135" s="0" t="n">
        <v>18408</v>
      </c>
      <c r="D135" s="0" t="n">
        <v>5866760</v>
      </c>
      <c r="E135" s="0" t="s">
        <v>1468</v>
      </c>
      <c r="F135" s="0" t="n">
        <v>323363</v>
      </c>
      <c r="G135" s="0" t="s">
        <v>1469</v>
      </c>
      <c r="H135" s="0" t="s">
        <v>1470</v>
      </c>
      <c r="I135" s="0" t="s">
        <v>1471</v>
      </c>
      <c r="J135" s="0" t="s">
        <v>1472</v>
      </c>
      <c r="K135" s="0" t="s">
        <v>1473</v>
      </c>
      <c r="L135" s="0" t="n">
        <v>4500880</v>
      </c>
      <c r="M135" s="0" t="s">
        <v>1474</v>
      </c>
      <c r="N135" s="0" t="n">
        <v>4105596</v>
      </c>
      <c r="O135" s="9" t="n">
        <v>2950</v>
      </c>
      <c r="P135" s="0" t="s">
        <v>384</v>
      </c>
      <c r="Q135" s="0" t="s">
        <v>1475</v>
      </c>
      <c r="R135" s="0" t="s">
        <v>1476</v>
      </c>
      <c r="S135" s="0" t="s">
        <v>1477</v>
      </c>
      <c r="T135" s="0" t="s">
        <v>1478</v>
      </c>
      <c r="U135" s="9" t="n">
        <v>0</v>
      </c>
      <c r="V135" s="0" t="n">
        <v>11.9805434765398</v>
      </c>
      <c r="W135" s="0" t="n">
        <v>20220930</v>
      </c>
      <c r="X135" s="0" t="n">
        <v>0.777109309868285</v>
      </c>
      <c r="Y135" s="0" t="s">
        <v>1479</v>
      </c>
      <c r="Z135" s="0" t="s">
        <v>60</v>
      </c>
    </row>
    <row r="136" customFormat="false" ht="15" hidden="false" customHeight="false" outlineLevel="0" collapsed="false">
      <c r="A136" s="0" t="n">
        <v>133</v>
      </c>
      <c r="B136" s="9" t="n">
        <v>2290994</v>
      </c>
      <c r="C136" s="0" t="n">
        <v>19531</v>
      </c>
      <c r="D136" s="0" t="n">
        <v>1937924</v>
      </c>
      <c r="E136" s="0" t="s">
        <v>61</v>
      </c>
      <c r="F136" s="0" t="n">
        <v>213958</v>
      </c>
      <c r="G136" s="0" t="s">
        <v>1480</v>
      </c>
      <c r="H136" s="0" t="s">
        <v>1481</v>
      </c>
      <c r="I136" s="0" t="s">
        <v>1482</v>
      </c>
      <c r="J136" s="0" t="s">
        <v>1483</v>
      </c>
      <c r="K136" s="0" t="s">
        <v>1484</v>
      </c>
      <c r="L136" s="0" t="n">
        <v>1815032</v>
      </c>
      <c r="M136" s="0" t="s">
        <v>1485</v>
      </c>
      <c r="N136" s="0" t="n">
        <v>1463937</v>
      </c>
      <c r="O136" s="9" t="n">
        <v>5667</v>
      </c>
      <c r="P136" s="0" t="s">
        <v>397</v>
      </c>
      <c r="Q136" s="0" t="s">
        <v>1486</v>
      </c>
      <c r="R136" s="0" t="s">
        <v>1487</v>
      </c>
      <c r="S136" s="0" t="s">
        <v>1488</v>
      </c>
      <c r="T136" s="0" t="s">
        <v>1489</v>
      </c>
      <c r="U136" s="9" t="n">
        <v>39</v>
      </c>
      <c r="V136" s="0" t="n">
        <v>14.5589856040453</v>
      </c>
      <c r="W136" s="0" t="n">
        <v>20220930</v>
      </c>
      <c r="X136" s="0" t="n">
        <v>0.571809349197939</v>
      </c>
      <c r="Y136" s="0" t="s">
        <v>1490</v>
      </c>
      <c r="Z136" s="0" t="s">
        <v>60</v>
      </c>
    </row>
    <row r="137" customFormat="false" ht="15" hidden="false" customHeight="false" outlineLevel="0" collapsed="false">
      <c r="A137" s="0" t="n">
        <v>134</v>
      </c>
      <c r="B137" s="9" t="n">
        <v>779214</v>
      </c>
      <c r="C137" s="0" t="n">
        <v>19532</v>
      </c>
      <c r="D137" s="0" t="n">
        <v>683500</v>
      </c>
      <c r="E137" s="0" t="s">
        <v>390</v>
      </c>
      <c r="F137" s="0" t="n">
        <v>83123</v>
      </c>
      <c r="G137" s="0" t="s">
        <v>1491</v>
      </c>
      <c r="H137" s="0" t="s">
        <v>1492</v>
      </c>
      <c r="I137" s="0" t="s">
        <v>1493</v>
      </c>
      <c r="J137" s="0" t="s">
        <v>1494</v>
      </c>
      <c r="K137" s="0" t="s">
        <v>1495</v>
      </c>
      <c r="L137" s="0" t="n">
        <v>529131</v>
      </c>
      <c r="M137" s="0" t="s">
        <v>1496</v>
      </c>
      <c r="N137" s="0" t="n">
        <v>452724</v>
      </c>
      <c r="O137" s="9" t="n">
        <v>598</v>
      </c>
      <c r="P137" s="0" t="s">
        <v>409</v>
      </c>
      <c r="Q137" s="0" t="s">
        <v>1497</v>
      </c>
      <c r="R137" s="0" t="s">
        <v>1498</v>
      </c>
      <c r="S137" s="0" t="s">
        <v>1499</v>
      </c>
      <c r="T137" s="0" t="s">
        <v>966</v>
      </c>
      <c r="U137" s="9" t="n">
        <v>0</v>
      </c>
      <c r="V137" s="0" t="n">
        <v>20.851880261962</v>
      </c>
      <c r="W137" s="0" t="n">
        <v>20220930</v>
      </c>
      <c r="X137" s="0" t="n">
        <v>0.438029053439951</v>
      </c>
      <c r="Y137" s="0" t="s">
        <v>699</v>
      </c>
      <c r="Z137" s="0" t="s">
        <v>60</v>
      </c>
    </row>
    <row r="138" customFormat="false" ht="15" hidden="false" customHeight="false" outlineLevel="0" collapsed="false">
      <c r="A138" s="0" t="n">
        <v>135</v>
      </c>
      <c r="B138" s="9" t="n">
        <v>1742943</v>
      </c>
      <c r="C138" s="0" t="n">
        <v>19690</v>
      </c>
      <c r="D138" s="0" t="n">
        <v>1344811</v>
      </c>
      <c r="E138" s="0" t="s">
        <v>1500</v>
      </c>
      <c r="F138" s="0" t="n">
        <v>252162</v>
      </c>
      <c r="G138" s="0" t="s">
        <v>1501</v>
      </c>
      <c r="H138" s="0" t="s">
        <v>1502</v>
      </c>
      <c r="I138" s="0" t="s">
        <v>1503</v>
      </c>
      <c r="J138" s="0" t="s">
        <v>1504</v>
      </c>
      <c r="K138" s="0" t="s">
        <v>1505</v>
      </c>
      <c r="L138" s="0" t="n">
        <v>1464220</v>
      </c>
      <c r="M138" s="0" t="s">
        <v>1506</v>
      </c>
      <c r="N138" s="0" t="n">
        <v>1069457</v>
      </c>
      <c r="O138" s="9" t="n">
        <v>13597</v>
      </c>
      <c r="P138" s="0" t="s">
        <v>420</v>
      </c>
      <c r="Q138" s="0" t="s">
        <v>1507</v>
      </c>
      <c r="R138" s="0" t="s">
        <v>1508</v>
      </c>
      <c r="S138" s="0" t="s">
        <v>1509</v>
      </c>
      <c r="T138" s="0" t="s">
        <v>1510</v>
      </c>
      <c r="U138" s="9" t="n">
        <v>0</v>
      </c>
      <c r="V138" s="0" t="n">
        <v>17.7660683765957</v>
      </c>
      <c r="W138" s="0" t="n">
        <v>20220930</v>
      </c>
      <c r="X138" s="0" t="n">
        <v>2.44922864844194</v>
      </c>
      <c r="Y138" s="0" t="s">
        <v>1511</v>
      </c>
      <c r="Z138" s="0" t="s">
        <v>60</v>
      </c>
    </row>
    <row r="139" customFormat="false" ht="15" hidden="false" customHeight="false" outlineLevel="0" collapsed="false">
      <c r="A139" s="0" t="n">
        <v>136</v>
      </c>
      <c r="B139" s="9" t="n">
        <v>579332</v>
      </c>
      <c r="C139" s="0" t="n">
        <v>19836</v>
      </c>
      <c r="D139" s="0" t="n">
        <v>456854</v>
      </c>
      <c r="E139" s="0" t="s">
        <v>61</v>
      </c>
      <c r="F139" s="0" t="n">
        <v>115337</v>
      </c>
      <c r="G139" s="0" t="s">
        <v>1512</v>
      </c>
      <c r="H139" s="0" t="s">
        <v>1513</v>
      </c>
      <c r="I139" s="0" t="s">
        <v>1514</v>
      </c>
      <c r="J139" s="0" t="s">
        <v>1515</v>
      </c>
      <c r="K139" s="0" t="s">
        <v>1516</v>
      </c>
      <c r="L139" s="0" t="n">
        <v>471806</v>
      </c>
      <c r="M139" s="0" t="s">
        <v>1517</v>
      </c>
      <c r="N139" s="0" t="n">
        <v>401514</v>
      </c>
      <c r="O139" s="9" t="n">
        <v>1439</v>
      </c>
      <c r="P139" s="0" t="s">
        <v>290</v>
      </c>
      <c r="Q139" s="0" t="s">
        <v>1518</v>
      </c>
      <c r="R139" s="0" t="s">
        <v>1519</v>
      </c>
      <c r="S139" s="0" t="s">
        <v>998</v>
      </c>
      <c r="T139" s="0" t="s">
        <v>282</v>
      </c>
      <c r="U139" s="9" t="n">
        <v>141</v>
      </c>
      <c r="V139" s="0" t="n">
        <v>28.3528259517265</v>
      </c>
      <c r="W139" s="0" t="n">
        <v>20220930</v>
      </c>
      <c r="X139" s="0" t="n">
        <v>0.933083820950688</v>
      </c>
      <c r="Y139" s="0" t="s">
        <v>1520</v>
      </c>
      <c r="Z139" s="0" t="s">
        <v>60</v>
      </c>
    </row>
    <row r="140" customFormat="false" ht="15" hidden="false" customHeight="false" outlineLevel="0" collapsed="false">
      <c r="A140" s="0" t="n">
        <v>137</v>
      </c>
      <c r="B140" s="9" t="n">
        <v>1199727</v>
      </c>
      <c r="C140" s="0" t="n">
        <v>24540</v>
      </c>
      <c r="D140" s="0" t="n">
        <v>965688</v>
      </c>
      <c r="E140" s="0" t="s">
        <v>246</v>
      </c>
      <c r="F140" s="0" t="n">
        <v>206211</v>
      </c>
      <c r="G140" s="0" t="s">
        <v>1521</v>
      </c>
      <c r="H140" s="0" t="s">
        <v>1522</v>
      </c>
      <c r="I140" s="0" t="s">
        <v>1523</v>
      </c>
      <c r="J140" s="0" t="s">
        <v>1524</v>
      </c>
      <c r="K140" s="0" t="s">
        <v>1525</v>
      </c>
      <c r="L140" s="0" t="n">
        <v>1090983</v>
      </c>
      <c r="M140" s="0" t="s">
        <v>1526</v>
      </c>
      <c r="N140" s="0" t="n">
        <v>1048616</v>
      </c>
      <c r="O140" s="9" t="n">
        <v>693</v>
      </c>
      <c r="P140" s="0" t="s">
        <v>443</v>
      </c>
      <c r="Q140" s="0" t="s">
        <v>1527</v>
      </c>
      <c r="R140" s="0" t="s">
        <v>1528</v>
      </c>
      <c r="S140" s="0" t="s">
        <v>998</v>
      </c>
      <c r="T140" s="0" t="s">
        <v>61</v>
      </c>
      <c r="U140" s="9" t="n">
        <v>0</v>
      </c>
      <c r="V140" s="0" t="n">
        <v>0</v>
      </c>
      <c r="W140" s="0" t="n">
        <v>20220930</v>
      </c>
      <c r="X140" s="0" t="n">
        <v>2.27932571681005</v>
      </c>
      <c r="Y140" s="0" t="s">
        <v>1529</v>
      </c>
      <c r="Z140" s="0" t="s">
        <v>158</v>
      </c>
    </row>
    <row r="141" customFormat="false" ht="15" hidden="false" customHeight="false" outlineLevel="0" collapsed="false">
      <c r="A141" s="0" t="n">
        <v>138</v>
      </c>
      <c r="B141" s="9" t="n">
        <v>478442</v>
      </c>
      <c r="C141" s="0" t="n">
        <v>27824</v>
      </c>
      <c r="D141" s="0" t="n">
        <v>398401</v>
      </c>
      <c r="E141" s="0" t="s">
        <v>208</v>
      </c>
      <c r="F141" s="0" t="n">
        <v>66369</v>
      </c>
      <c r="G141" s="0" t="s">
        <v>1530</v>
      </c>
      <c r="H141" s="0" t="s">
        <v>1531</v>
      </c>
      <c r="I141" s="0" t="s">
        <v>1532</v>
      </c>
      <c r="J141" s="0" t="s">
        <v>1533</v>
      </c>
      <c r="K141" s="0" t="s">
        <v>1534</v>
      </c>
      <c r="L141" s="0" t="n">
        <v>389229</v>
      </c>
      <c r="M141" s="0" t="s">
        <v>1535</v>
      </c>
      <c r="N141" s="0" t="n">
        <v>332914</v>
      </c>
      <c r="O141" s="9" t="n">
        <v>1040</v>
      </c>
      <c r="P141" s="0" t="s">
        <v>453</v>
      </c>
      <c r="Q141" s="0" t="s">
        <v>1536</v>
      </c>
      <c r="R141" s="0" t="s">
        <v>1537</v>
      </c>
      <c r="S141" s="0" t="s">
        <v>61</v>
      </c>
      <c r="T141" s="0" t="s">
        <v>1538</v>
      </c>
      <c r="U141" s="9" t="n">
        <v>0</v>
      </c>
      <c r="V141" s="0" t="n">
        <v>24.0539268875851</v>
      </c>
      <c r="W141" s="0" t="n">
        <v>20220930</v>
      </c>
      <c r="X141" s="0" t="n">
        <v>0.316684318660046</v>
      </c>
      <c r="Y141" s="0" t="s">
        <v>110</v>
      </c>
      <c r="Z141" s="0" t="s">
        <v>158</v>
      </c>
    </row>
    <row r="142" customFormat="false" ht="15" hidden="false" customHeight="false" outlineLevel="0" collapsed="false">
      <c r="A142" s="0" t="n">
        <v>139</v>
      </c>
      <c r="B142" s="9" t="n">
        <v>306788</v>
      </c>
      <c r="C142" s="0" t="n">
        <v>28155</v>
      </c>
      <c r="D142" s="0" t="n">
        <v>278328</v>
      </c>
      <c r="E142" s="0" t="s">
        <v>271</v>
      </c>
      <c r="F142" s="0" t="n">
        <v>27419</v>
      </c>
      <c r="G142" s="0" t="s">
        <v>1539</v>
      </c>
      <c r="H142" s="0" t="s">
        <v>1540</v>
      </c>
      <c r="I142" s="0" t="s">
        <v>1541</v>
      </c>
      <c r="J142" s="0" t="s">
        <v>1542</v>
      </c>
      <c r="K142" s="0" t="s">
        <v>1543</v>
      </c>
      <c r="L142" s="0" t="n">
        <v>155257</v>
      </c>
      <c r="M142" s="0" t="s">
        <v>1544</v>
      </c>
      <c r="N142" s="0" t="n">
        <v>143872</v>
      </c>
      <c r="O142" s="9" t="n">
        <v>222</v>
      </c>
      <c r="P142" s="0" t="s">
        <v>464</v>
      </c>
      <c r="Q142" s="0" t="s">
        <v>1545</v>
      </c>
      <c r="R142" s="0" t="s">
        <v>1546</v>
      </c>
      <c r="S142" s="0" t="s">
        <v>1018</v>
      </c>
      <c r="T142" s="0" t="s">
        <v>1547</v>
      </c>
      <c r="U142" s="9" t="n">
        <v>0</v>
      </c>
      <c r="V142" s="0" t="n">
        <v>18.3948124270968</v>
      </c>
      <c r="W142" s="0" t="n">
        <v>20220930</v>
      </c>
      <c r="X142" s="0" t="n">
        <v>0.211071666580137</v>
      </c>
      <c r="Y142" s="0" t="s">
        <v>1548</v>
      </c>
      <c r="Z142" s="0" t="s">
        <v>158</v>
      </c>
    </row>
    <row r="143" customFormat="false" ht="15" hidden="false" customHeight="false" outlineLevel="0" collapsed="false">
      <c r="A143" s="0" t="n">
        <v>140</v>
      </c>
      <c r="B143" s="9" t="n">
        <v>98792</v>
      </c>
      <c r="C143" s="0" t="n">
        <v>28288</v>
      </c>
      <c r="D143" s="0" t="n">
        <v>81542</v>
      </c>
      <c r="E143" s="0" t="s">
        <v>172</v>
      </c>
      <c r="F143" s="0" t="n">
        <v>5736</v>
      </c>
      <c r="G143" s="0" t="s">
        <v>1549</v>
      </c>
      <c r="H143" s="0" t="s">
        <v>1550</v>
      </c>
      <c r="I143" s="0" t="s">
        <v>1551</v>
      </c>
      <c r="J143" s="0" t="s">
        <v>1378</v>
      </c>
      <c r="K143" s="0" t="s">
        <v>1552</v>
      </c>
      <c r="L143" s="0" t="n">
        <v>78082</v>
      </c>
      <c r="M143" s="0" t="s">
        <v>1553</v>
      </c>
      <c r="N143" s="0" t="n">
        <v>74509</v>
      </c>
      <c r="O143" s="9" t="n">
        <v>387</v>
      </c>
      <c r="P143" s="0" t="s">
        <v>475</v>
      </c>
      <c r="Q143" s="0" t="s">
        <v>1554</v>
      </c>
      <c r="R143" s="0" t="s">
        <v>1555</v>
      </c>
      <c r="S143" s="0" t="s">
        <v>1556</v>
      </c>
      <c r="T143" s="0" t="s">
        <v>1557</v>
      </c>
      <c r="U143" s="9" t="n">
        <v>0</v>
      </c>
      <c r="V143" s="0" t="n">
        <v>13.8047190555651</v>
      </c>
      <c r="W143" s="0" t="n">
        <v>20220930</v>
      </c>
      <c r="X143" s="0" t="n">
        <v>0.100531837186714</v>
      </c>
      <c r="Y143" s="0" t="s">
        <v>557</v>
      </c>
      <c r="Z143" s="0" t="s">
        <v>60</v>
      </c>
    </row>
    <row r="144" customFormat="false" ht="15" hidden="false" customHeight="false" outlineLevel="0" collapsed="false">
      <c r="A144" s="0" t="n">
        <v>141</v>
      </c>
      <c r="B144" s="9" t="n">
        <v>89339</v>
      </c>
      <c r="C144" s="0" t="n">
        <v>28369</v>
      </c>
      <c r="D144" s="0" t="n">
        <v>79460</v>
      </c>
      <c r="E144" s="0" t="s">
        <v>1500</v>
      </c>
      <c r="F144" s="0" t="n">
        <v>9472</v>
      </c>
      <c r="G144" s="0" t="s">
        <v>1558</v>
      </c>
      <c r="H144" s="0" t="s">
        <v>1559</v>
      </c>
      <c r="I144" s="0" t="s">
        <v>1560</v>
      </c>
      <c r="J144" s="0" t="s">
        <v>1561</v>
      </c>
      <c r="K144" s="0" t="s">
        <v>1562</v>
      </c>
      <c r="L144" s="0" t="n">
        <v>73290</v>
      </c>
      <c r="M144" s="0" t="s">
        <v>1563</v>
      </c>
      <c r="N144" s="0" t="n">
        <v>61961</v>
      </c>
      <c r="O144" s="9" t="n">
        <v>377</v>
      </c>
      <c r="P144" s="0" t="s">
        <v>486</v>
      </c>
      <c r="Q144" s="0" t="s">
        <v>1564</v>
      </c>
      <c r="R144" s="0" t="s">
        <v>1565</v>
      </c>
      <c r="S144" s="0" t="s">
        <v>230</v>
      </c>
      <c r="T144" s="0" t="s">
        <v>1566</v>
      </c>
      <c r="U144" s="9" t="n">
        <v>0</v>
      </c>
      <c r="V144" s="0" t="n">
        <v>0</v>
      </c>
      <c r="W144" s="0" t="n">
        <v>20220930</v>
      </c>
      <c r="X144" s="0" t="n">
        <v>0.180791114967063</v>
      </c>
      <c r="Y144" s="0" t="s">
        <v>1567</v>
      </c>
      <c r="Z144" s="0" t="s">
        <v>60</v>
      </c>
    </row>
    <row r="145" customFormat="false" ht="15" hidden="false" customHeight="false" outlineLevel="0" collapsed="false">
      <c r="A145" s="0" t="n">
        <v>142</v>
      </c>
      <c r="B145" s="9" t="n">
        <v>308029</v>
      </c>
      <c r="C145" s="0" t="n">
        <v>28837</v>
      </c>
      <c r="D145" s="0" t="n">
        <v>282630</v>
      </c>
      <c r="E145" s="0" t="s">
        <v>172</v>
      </c>
      <c r="F145" s="0" t="n">
        <v>22847</v>
      </c>
      <c r="G145" s="0" t="s">
        <v>1568</v>
      </c>
      <c r="H145" s="0" t="s">
        <v>1569</v>
      </c>
      <c r="I145" s="0" t="s">
        <v>1570</v>
      </c>
      <c r="J145" s="0" t="s">
        <v>1571</v>
      </c>
      <c r="K145" s="0" t="s">
        <v>792</v>
      </c>
      <c r="L145" s="0" t="n">
        <v>189990</v>
      </c>
      <c r="M145" s="0" t="s">
        <v>1572</v>
      </c>
      <c r="N145" s="0" t="n">
        <v>180618</v>
      </c>
      <c r="O145" s="9" t="n">
        <v>240</v>
      </c>
      <c r="P145" s="0" t="s">
        <v>497</v>
      </c>
      <c r="Q145" s="0" t="s">
        <v>1573</v>
      </c>
      <c r="R145" s="0" t="s">
        <v>1574</v>
      </c>
      <c r="S145" s="0" t="s">
        <v>1575</v>
      </c>
      <c r="T145" s="0" t="s">
        <v>1576</v>
      </c>
      <c r="U145" s="9" t="n">
        <v>0</v>
      </c>
      <c r="V145" s="0" t="n">
        <v>15.1026996647475</v>
      </c>
      <c r="W145" s="0" t="n">
        <v>20220930</v>
      </c>
      <c r="X145" s="0" t="n">
        <v>0.481132029976162</v>
      </c>
      <c r="Y145" s="0" t="s">
        <v>1577</v>
      </c>
      <c r="Z145" s="0" t="s">
        <v>98</v>
      </c>
    </row>
    <row r="146" customFormat="false" ht="15" hidden="false" customHeight="false" outlineLevel="0" collapsed="false">
      <c r="A146" s="0" t="n">
        <v>143</v>
      </c>
      <c r="B146" s="9" t="n">
        <v>180105</v>
      </c>
      <c r="C146" s="0" t="n">
        <v>29636</v>
      </c>
      <c r="D146" s="0" t="n">
        <v>155107</v>
      </c>
      <c r="E146" s="0" t="s">
        <v>246</v>
      </c>
      <c r="F146" s="0" t="n">
        <v>23599</v>
      </c>
      <c r="G146" s="0" t="s">
        <v>1578</v>
      </c>
      <c r="H146" s="0" t="s">
        <v>1579</v>
      </c>
      <c r="I146" s="0" t="s">
        <v>1580</v>
      </c>
      <c r="J146" s="0" t="s">
        <v>1581</v>
      </c>
      <c r="K146" s="0" t="s">
        <v>1582</v>
      </c>
      <c r="L146" s="0" t="n">
        <v>116795</v>
      </c>
      <c r="M146" s="0" t="s">
        <v>1583</v>
      </c>
      <c r="N146" s="0" t="n">
        <v>113497</v>
      </c>
      <c r="O146" s="9" t="n">
        <v>2099</v>
      </c>
      <c r="P146" s="0" t="s">
        <v>509</v>
      </c>
      <c r="Q146" s="0" t="s">
        <v>1584</v>
      </c>
      <c r="R146" s="0" t="s">
        <v>1585</v>
      </c>
      <c r="S146" s="0" t="s">
        <v>155</v>
      </c>
      <c r="T146" s="0" t="s">
        <v>642</v>
      </c>
      <c r="U146" s="9" t="n">
        <v>0</v>
      </c>
      <c r="V146" s="0" t="n">
        <v>31.34737779275</v>
      </c>
      <c r="W146" s="0" t="n">
        <v>20220930</v>
      </c>
      <c r="X146" s="0" t="n">
        <v>0.276723128820604</v>
      </c>
      <c r="Y146" s="0" t="s">
        <v>1586</v>
      </c>
      <c r="Z146" s="0" t="s">
        <v>60</v>
      </c>
    </row>
    <row r="147" customFormat="false" ht="15" hidden="false" customHeight="false" outlineLevel="0" collapsed="false">
      <c r="A147" s="0" t="n">
        <v>144</v>
      </c>
      <c r="B147" s="9" t="n">
        <v>179520</v>
      </c>
      <c r="C147" s="0" t="n">
        <v>29743</v>
      </c>
      <c r="D147" s="0" t="n">
        <v>163392</v>
      </c>
      <c r="E147" s="0" t="s">
        <v>61</v>
      </c>
      <c r="F147" s="0" t="n">
        <v>13788</v>
      </c>
      <c r="G147" s="0" t="s">
        <v>1587</v>
      </c>
      <c r="H147" s="0" t="s">
        <v>1588</v>
      </c>
      <c r="I147" s="0" t="s">
        <v>1589</v>
      </c>
      <c r="J147" s="0" t="s">
        <v>1590</v>
      </c>
      <c r="K147" s="0" t="s">
        <v>1591</v>
      </c>
      <c r="L147" s="0" t="n">
        <v>122316</v>
      </c>
      <c r="M147" s="0" t="s">
        <v>1592</v>
      </c>
      <c r="N147" s="0" t="n">
        <v>80448</v>
      </c>
      <c r="O147" s="9" t="n">
        <v>502</v>
      </c>
      <c r="P147" s="0" t="s">
        <v>520</v>
      </c>
      <c r="Q147" s="0" t="s">
        <v>1593</v>
      </c>
      <c r="R147" s="0" t="s">
        <v>1594</v>
      </c>
      <c r="S147" s="0" t="s">
        <v>500</v>
      </c>
      <c r="T147" s="0" t="s">
        <v>1595</v>
      </c>
      <c r="U147" s="9" t="n">
        <v>0</v>
      </c>
      <c r="V147" s="0" t="n">
        <v>17.5319100223227</v>
      </c>
      <c r="W147" s="0" t="n">
        <v>20220930</v>
      </c>
      <c r="X147" s="0" t="n">
        <v>0.779559617122413</v>
      </c>
      <c r="Y147" s="0" t="s">
        <v>889</v>
      </c>
      <c r="Z147" s="0" t="s">
        <v>60</v>
      </c>
    </row>
    <row r="148" customFormat="false" ht="15" hidden="false" customHeight="false" outlineLevel="0" collapsed="false">
      <c r="A148" s="0" t="n">
        <v>145</v>
      </c>
      <c r="B148" s="9" t="n">
        <v>523655</v>
      </c>
      <c r="C148" s="0" t="n">
        <v>29744</v>
      </c>
      <c r="D148" s="0" t="n">
        <v>398937</v>
      </c>
      <c r="E148" s="0" t="s">
        <v>61</v>
      </c>
      <c r="F148" s="0" t="n">
        <v>38532</v>
      </c>
      <c r="G148" s="0" t="s">
        <v>1596</v>
      </c>
      <c r="H148" s="0" t="s">
        <v>1597</v>
      </c>
      <c r="I148" s="0" t="s">
        <v>1598</v>
      </c>
      <c r="J148" s="0" t="s">
        <v>1599</v>
      </c>
      <c r="K148" s="0" t="s">
        <v>1600</v>
      </c>
      <c r="L148" s="0" t="n">
        <v>395319</v>
      </c>
      <c r="M148" s="0" t="s">
        <v>1601</v>
      </c>
      <c r="N148" s="0" t="n">
        <v>362877</v>
      </c>
      <c r="O148" s="9" t="n">
        <v>5</v>
      </c>
      <c r="P148" s="0" t="s">
        <v>531</v>
      </c>
      <c r="Q148" s="0" t="s">
        <v>1602</v>
      </c>
      <c r="R148" s="0" t="s">
        <v>1603</v>
      </c>
      <c r="S148" s="0" t="s">
        <v>1604</v>
      </c>
      <c r="T148" s="0" t="s">
        <v>1605</v>
      </c>
      <c r="U148" s="9" t="n">
        <v>0</v>
      </c>
      <c r="V148" s="0" t="n">
        <v>16.3715315758086</v>
      </c>
      <c r="W148" s="0" t="n">
        <v>20220930</v>
      </c>
      <c r="X148" s="0" t="n">
        <v>0.291575019444318</v>
      </c>
      <c r="Y148" s="0" t="s">
        <v>1606</v>
      </c>
      <c r="Z148" s="0" t="s">
        <v>158</v>
      </c>
    </row>
    <row r="149" customFormat="false" ht="15" hidden="false" customHeight="false" outlineLevel="0" collapsed="false">
      <c r="A149" s="0" t="n">
        <v>146</v>
      </c>
      <c r="B149" s="9" t="n">
        <v>541685</v>
      </c>
      <c r="C149" s="0" t="n">
        <v>30350</v>
      </c>
      <c r="D149" s="0" t="n">
        <v>473333</v>
      </c>
      <c r="E149" s="0" t="s">
        <v>61</v>
      </c>
      <c r="F149" s="0" t="n">
        <v>49256</v>
      </c>
      <c r="G149" s="0" t="s">
        <v>1607</v>
      </c>
      <c r="H149" s="0" t="s">
        <v>1608</v>
      </c>
      <c r="I149" s="0" t="s">
        <v>1609</v>
      </c>
      <c r="J149" s="0" t="s">
        <v>1610</v>
      </c>
      <c r="K149" s="0" t="s">
        <v>1611</v>
      </c>
      <c r="L149" s="0" t="n">
        <v>378298</v>
      </c>
      <c r="M149" s="0" t="s">
        <v>1612</v>
      </c>
      <c r="N149" s="0" t="n">
        <v>363012</v>
      </c>
      <c r="O149" s="9" t="n">
        <v>1989</v>
      </c>
      <c r="P149" s="0" t="s">
        <v>543</v>
      </c>
      <c r="Q149" s="0" t="s">
        <v>1613</v>
      </c>
      <c r="R149" s="0" t="s">
        <v>1614</v>
      </c>
      <c r="S149" s="0" t="s">
        <v>1615</v>
      </c>
      <c r="T149" s="0" t="s">
        <v>1616</v>
      </c>
      <c r="U149" s="9" t="n">
        <v>0</v>
      </c>
      <c r="V149" s="0" t="n">
        <v>21.2709183090001</v>
      </c>
      <c r="W149" s="0" t="n">
        <v>20220930</v>
      </c>
      <c r="X149" s="0" t="n">
        <v>0.649181741581514</v>
      </c>
      <c r="Y149" s="0" t="s">
        <v>1617</v>
      </c>
      <c r="Z149" s="0" t="s">
        <v>98</v>
      </c>
    </row>
    <row r="150" customFormat="false" ht="15" hidden="false" customHeight="false" outlineLevel="0" collapsed="false">
      <c r="A150" s="0" t="n">
        <v>147</v>
      </c>
      <c r="B150" s="9" t="n">
        <v>100514</v>
      </c>
      <c r="C150" s="0" t="n">
        <v>30878</v>
      </c>
      <c r="D150" s="0" t="n">
        <v>76264</v>
      </c>
      <c r="E150" s="0" t="s">
        <v>47</v>
      </c>
      <c r="F150" s="0" t="n">
        <v>12319</v>
      </c>
      <c r="G150" s="0" t="s">
        <v>1618</v>
      </c>
      <c r="H150" s="0" t="s">
        <v>1619</v>
      </c>
      <c r="I150" s="0" t="s">
        <v>1620</v>
      </c>
      <c r="J150" s="0" t="s">
        <v>61</v>
      </c>
      <c r="K150" s="0" t="s">
        <v>1621</v>
      </c>
      <c r="L150" s="0" t="n">
        <v>77064</v>
      </c>
      <c r="M150" s="0" t="s">
        <v>1622</v>
      </c>
      <c r="N150" s="0" t="n">
        <v>76961</v>
      </c>
      <c r="O150" s="9" t="n">
        <v>589</v>
      </c>
      <c r="P150" s="0" t="s">
        <v>553</v>
      </c>
      <c r="Q150" s="0" t="s">
        <v>1623</v>
      </c>
      <c r="R150" s="0" t="s">
        <v>1624</v>
      </c>
      <c r="S150" s="0" t="s">
        <v>61</v>
      </c>
      <c r="T150" s="0" t="s">
        <v>1625</v>
      </c>
      <c r="U150" s="9" t="n">
        <v>0</v>
      </c>
      <c r="V150" s="0" t="n">
        <v>0</v>
      </c>
      <c r="W150" s="0" t="n">
        <v>20220930</v>
      </c>
      <c r="X150" s="0" t="n">
        <v>0.295597394237198</v>
      </c>
      <c r="Y150" s="0" t="s">
        <v>1626</v>
      </c>
      <c r="Z150" s="0" t="s">
        <v>60</v>
      </c>
    </row>
    <row r="151" customFormat="false" ht="15" hidden="false" customHeight="false" outlineLevel="0" collapsed="false">
      <c r="A151" s="0" t="n">
        <v>148</v>
      </c>
      <c r="B151" s="9" t="n">
        <v>728017</v>
      </c>
      <c r="C151" s="0" t="n">
        <v>33418</v>
      </c>
      <c r="D151" s="0" t="n">
        <v>571364</v>
      </c>
      <c r="E151" s="0" t="s">
        <v>923</v>
      </c>
      <c r="F151" s="0" t="n">
        <v>59731</v>
      </c>
      <c r="G151" s="0" t="s">
        <v>1627</v>
      </c>
      <c r="H151" s="0" t="s">
        <v>1628</v>
      </c>
      <c r="I151" s="0" t="s">
        <v>1629</v>
      </c>
      <c r="J151" s="0" t="s">
        <v>1630</v>
      </c>
      <c r="K151" s="0" t="s">
        <v>1631</v>
      </c>
      <c r="L151" s="0" t="n">
        <v>353551</v>
      </c>
      <c r="M151" s="0" t="s">
        <v>1632</v>
      </c>
      <c r="N151" s="0" t="n">
        <v>302851</v>
      </c>
      <c r="O151" s="9" t="n">
        <v>3182</v>
      </c>
      <c r="P151" s="0" t="s">
        <v>564</v>
      </c>
      <c r="Q151" s="0" t="s">
        <v>1633</v>
      </c>
      <c r="R151" s="0" t="s">
        <v>1634</v>
      </c>
      <c r="S151" s="0" t="s">
        <v>352</v>
      </c>
      <c r="T151" s="0" t="s">
        <v>1635</v>
      </c>
      <c r="U151" s="9" t="n">
        <v>0</v>
      </c>
      <c r="V151" s="0" t="n">
        <v>18.9996701825354</v>
      </c>
      <c r="W151" s="0" t="n">
        <v>20220930</v>
      </c>
      <c r="X151" s="0" t="n">
        <v>1.19732263126932</v>
      </c>
      <c r="Y151" s="0" t="s">
        <v>1636</v>
      </c>
      <c r="Z151" s="0" t="s">
        <v>98</v>
      </c>
    </row>
    <row r="152" customFormat="false" ht="15" hidden="false" customHeight="false" outlineLevel="0" collapsed="false">
      <c r="A152" s="0" t="n">
        <v>149</v>
      </c>
      <c r="B152" s="9" t="n">
        <v>60178</v>
      </c>
      <c r="C152" s="0" t="n">
        <v>35206</v>
      </c>
      <c r="D152" s="0" t="n">
        <v>500</v>
      </c>
      <c r="E152" s="0" t="s">
        <v>61</v>
      </c>
      <c r="F152" s="0" t="n">
        <v>57817</v>
      </c>
      <c r="G152" s="0" t="s">
        <v>1637</v>
      </c>
      <c r="H152" s="0" t="s">
        <v>1638</v>
      </c>
      <c r="I152" s="0" t="s">
        <v>61</v>
      </c>
      <c r="J152" s="0" t="s">
        <v>61</v>
      </c>
      <c r="K152" s="0" t="s">
        <v>61</v>
      </c>
      <c r="L152" s="0" t="n">
        <v>0</v>
      </c>
      <c r="M152" s="0" t="s">
        <v>61</v>
      </c>
      <c r="N152" s="0" t="n">
        <v>0</v>
      </c>
      <c r="O152" s="9" t="n">
        <v>0</v>
      </c>
      <c r="P152" s="0" t="s">
        <v>1112</v>
      </c>
      <c r="Q152" s="0" t="s">
        <v>61</v>
      </c>
      <c r="R152" s="0" t="s">
        <v>1639</v>
      </c>
      <c r="S152" s="0" t="s">
        <v>61</v>
      </c>
      <c r="T152" s="0" t="s">
        <v>61</v>
      </c>
      <c r="U152" s="9" t="n">
        <v>0</v>
      </c>
      <c r="V152" s="0" t="n">
        <v>0</v>
      </c>
      <c r="W152" s="0" t="n">
        <v>20220930</v>
      </c>
      <c r="X152" s="0" t="n">
        <v>2.23680494034471</v>
      </c>
      <c r="Y152" s="0" t="s">
        <v>1640</v>
      </c>
      <c r="Z152" s="0" t="s">
        <v>158</v>
      </c>
    </row>
    <row r="153" customFormat="false" ht="15" hidden="false" customHeight="false" outlineLevel="0" collapsed="false">
      <c r="A153" s="0" t="n">
        <v>150</v>
      </c>
      <c r="B153" s="9" t="n">
        <v>5539983</v>
      </c>
      <c r="C153" s="0" t="n">
        <v>4255</v>
      </c>
      <c r="D153" s="0" t="n">
        <v>4604972</v>
      </c>
      <c r="E153" s="0" t="s">
        <v>85</v>
      </c>
      <c r="F153" s="0" t="n">
        <v>444488</v>
      </c>
      <c r="G153" s="0" t="s">
        <v>1641</v>
      </c>
      <c r="H153" s="0" t="s">
        <v>1642</v>
      </c>
      <c r="I153" s="0" t="s">
        <v>1643</v>
      </c>
      <c r="J153" s="0" t="s">
        <v>1644</v>
      </c>
      <c r="K153" s="0" t="s">
        <v>1645</v>
      </c>
      <c r="L153" s="0" t="n">
        <v>3865309</v>
      </c>
      <c r="M153" s="0" t="s">
        <v>1646</v>
      </c>
      <c r="N153" s="0" t="n">
        <v>3453052</v>
      </c>
      <c r="O153" s="9" t="n">
        <v>2765</v>
      </c>
      <c r="P153" s="0" t="s">
        <v>575</v>
      </c>
      <c r="Q153" s="0" t="s">
        <v>1647</v>
      </c>
      <c r="R153" s="0" t="s">
        <v>1648</v>
      </c>
      <c r="S153" s="0" t="s">
        <v>1649</v>
      </c>
      <c r="T153" s="0" t="s">
        <v>1650</v>
      </c>
      <c r="U153" s="9" t="n">
        <v>0</v>
      </c>
      <c r="V153" s="0" t="n">
        <v>13.0703989197068</v>
      </c>
      <c r="W153" s="0" t="n">
        <v>20220930</v>
      </c>
      <c r="X153" s="0" t="n">
        <v>1.16771643069494</v>
      </c>
      <c r="Y153" s="0" t="s">
        <v>1651</v>
      </c>
      <c r="Z153" s="0" t="s">
        <v>60</v>
      </c>
    </row>
    <row r="154" customFormat="false" ht="15" hidden="false" customHeight="false" outlineLevel="0" collapsed="false">
      <c r="A154" s="0" t="n">
        <v>151</v>
      </c>
      <c r="B154" s="9" t="n">
        <v>2699877</v>
      </c>
      <c r="C154" s="0" t="n">
        <v>4256</v>
      </c>
      <c r="D154" s="0" t="n">
        <v>2370865</v>
      </c>
      <c r="E154" s="0" t="s">
        <v>259</v>
      </c>
      <c r="F154" s="0" t="n">
        <v>191219</v>
      </c>
      <c r="G154" s="0" t="s">
        <v>1652</v>
      </c>
      <c r="H154" s="0" t="s">
        <v>1653</v>
      </c>
      <c r="I154" s="0" t="s">
        <v>1654</v>
      </c>
      <c r="J154" s="0" t="s">
        <v>1655</v>
      </c>
      <c r="K154" s="0" t="s">
        <v>1656</v>
      </c>
      <c r="L154" s="0" t="n">
        <v>1857975</v>
      </c>
      <c r="M154" s="0" t="s">
        <v>1657</v>
      </c>
      <c r="N154" s="0" t="n">
        <v>1478344</v>
      </c>
      <c r="O154" s="9" t="n">
        <v>1860</v>
      </c>
      <c r="P154" s="0" t="s">
        <v>587</v>
      </c>
      <c r="Q154" s="0" t="s">
        <v>1658</v>
      </c>
      <c r="R154" s="0" t="s">
        <v>1659</v>
      </c>
      <c r="S154" s="0" t="s">
        <v>1660</v>
      </c>
      <c r="T154" s="0" t="s">
        <v>1661</v>
      </c>
      <c r="U154" s="9" t="n">
        <v>0</v>
      </c>
      <c r="V154" s="0" t="n">
        <v>13.5242415345785</v>
      </c>
      <c r="W154" s="0" t="n">
        <v>20220930</v>
      </c>
      <c r="X154" s="0" t="n">
        <v>1.5759119347341</v>
      </c>
      <c r="Y154" s="0" t="s">
        <v>1662</v>
      </c>
      <c r="Z154" s="0" t="s">
        <v>60</v>
      </c>
    </row>
    <row r="155" customFormat="false" ht="15" hidden="false" customHeight="false" outlineLevel="0" collapsed="false">
      <c r="A155" s="0" t="n">
        <v>152</v>
      </c>
      <c r="B155" s="9" t="n">
        <v>686995</v>
      </c>
      <c r="C155" s="0" t="n">
        <v>59086</v>
      </c>
      <c r="D155" s="0" t="n">
        <v>610836</v>
      </c>
      <c r="E155" s="0" t="s">
        <v>1137</v>
      </c>
      <c r="F155" s="0" t="n">
        <v>72795</v>
      </c>
      <c r="G155" s="0" t="s">
        <v>1663</v>
      </c>
      <c r="H155" s="0" t="s">
        <v>1664</v>
      </c>
      <c r="I155" s="0" t="s">
        <v>1665</v>
      </c>
      <c r="J155" s="0" t="s">
        <v>1666</v>
      </c>
      <c r="K155" s="0" t="s">
        <v>61</v>
      </c>
      <c r="L155" s="0" t="n">
        <v>552647</v>
      </c>
      <c r="M155" s="0" t="s">
        <v>1667</v>
      </c>
      <c r="N155" s="0" t="n">
        <v>433350</v>
      </c>
      <c r="O155" s="9" t="n">
        <v>2111</v>
      </c>
      <c r="P155" s="0" t="s">
        <v>599</v>
      </c>
      <c r="Q155" s="0" t="s">
        <v>1668</v>
      </c>
      <c r="R155" s="0" t="s">
        <v>1669</v>
      </c>
      <c r="S155" s="0" t="s">
        <v>61</v>
      </c>
      <c r="T155" s="0" t="s">
        <v>61</v>
      </c>
      <c r="U155" s="9" t="n">
        <v>341</v>
      </c>
      <c r="V155" s="0" t="n">
        <v>13.7494495435112</v>
      </c>
      <c r="W155" s="0" t="n">
        <v>20220930</v>
      </c>
      <c r="X155" s="0" t="n">
        <v>1.41290663287171</v>
      </c>
      <c r="Y155" s="0" t="s">
        <v>1670</v>
      </c>
      <c r="Z155" s="0" t="s">
        <v>158</v>
      </c>
    </row>
    <row r="156" customFormat="false" ht="15" hidden="false" customHeight="false" outlineLevel="0" collapsed="false">
      <c r="A156" s="0" t="n">
        <v>153</v>
      </c>
      <c r="B156" s="9" t="n">
        <v>182612</v>
      </c>
      <c r="C156" s="0" t="n">
        <v>59176</v>
      </c>
      <c r="D156" s="0" t="n">
        <v>160518</v>
      </c>
      <c r="E156" s="0" t="s">
        <v>1671</v>
      </c>
      <c r="F156" s="0" t="n">
        <v>21662</v>
      </c>
      <c r="G156" s="0" t="s">
        <v>1672</v>
      </c>
      <c r="H156" s="0" t="s">
        <v>1673</v>
      </c>
      <c r="I156" s="0" t="s">
        <v>1674</v>
      </c>
      <c r="J156" s="0" t="s">
        <v>1675</v>
      </c>
      <c r="K156" s="0" t="s">
        <v>281</v>
      </c>
      <c r="L156" s="0" t="n">
        <v>124839</v>
      </c>
      <c r="M156" s="0" t="s">
        <v>1676</v>
      </c>
      <c r="N156" s="0" t="n">
        <v>107791</v>
      </c>
      <c r="O156" s="9" t="n">
        <v>0</v>
      </c>
      <c r="P156" s="0" t="s">
        <v>610</v>
      </c>
      <c r="Q156" s="0" t="s">
        <v>61</v>
      </c>
      <c r="R156" s="0" t="s">
        <v>1677</v>
      </c>
      <c r="S156" s="0" t="s">
        <v>61</v>
      </c>
      <c r="T156" s="0" t="s">
        <v>61</v>
      </c>
      <c r="U156" s="9" t="n">
        <v>0</v>
      </c>
      <c r="V156" s="0" t="n">
        <v>18.6279642747151</v>
      </c>
      <c r="W156" s="0" t="n">
        <v>20220930</v>
      </c>
      <c r="X156" s="0" t="n">
        <v>0.224178584443066</v>
      </c>
      <c r="Y156" s="0" t="s">
        <v>457</v>
      </c>
      <c r="Z156" s="0" t="s">
        <v>158</v>
      </c>
    </row>
    <row r="157" customFormat="false" ht="15" hidden="false" customHeight="false" outlineLevel="0" collapsed="false">
      <c r="A157" s="0" t="n">
        <v>154</v>
      </c>
      <c r="B157" s="9" t="n">
        <v>38217</v>
      </c>
      <c r="C157" s="0" t="n">
        <v>59298</v>
      </c>
      <c r="D157" s="0" t="n">
        <v>6690</v>
      </c>
      <c r="E157" s="0" t="s">
        <v>1678</v>
      </c>
      <c r="F157" s="0" t="n">
        <v>30598</v>
      </c>
      <c r="G157" s="0" t="s">
        <v>1679</v>
      </c>
      <c r="H157" s="0" t="s">
        <v>1680</v>
      </c>
      <c r="I157" s="0" t="s">
        <v>1681</v>
      </c>
      <c r="J157" s="0" t="s">
        <v>1682</v>
      </c>
      <c r="K157" s="0" t="s">
        <v>61</v>
      </c>
      <c r="L157" s="0" t="n">
        <v>7648</v>
      </c>
      <c r="M157" s="0" t="s">
        <v>1683</v>
      </c>
      <c r="N157" s="0" t="n">
        <v>4565</v>
      </c>
      <c r="O157" s="9" t="n">
        <v>0</v>
      </c>
      <c r="P157" s="0" t="s">
        <v>1684</v>
      </c>
      <c r="Q157" s="0" t="s">
        <v>61</v>
      </c>
      <c r="R157" s="0" t="s">
        <v>1685</v>
      </c>
      <c r="S157" s="0" t="s">
        <v>61</v>
      </c>
      <c r="T157" s="0" t="s">
        <v>61</v>
      </c>
      <c r="U157" s="9" t="n">
        <v>0</v>
      </c>
      <c r="V157" s="0" t="n">
        <v>0</v>
      </c>
      <c r="W157" s="0" t="n">
        <v>20220930</v>
      </c>
      <c r="X157" s="0" t="n">
        <v>-1.79322343459717</v>
      </c>
      <c r="Y157" s="0" t="s">
        <v>1686</v>
      </c>
      <c r="Z157" s="0" t="s">
        <v>98</v>
      </c>
    </row>
    <row r="158" customFormat="false" ht="15" hidden="false" customHeight="false" outlineLevel="0" collapsed="false">
      <c r="A158" s="0" t="n">
        <v>155</v>
      </c>
      <c r="B158" s="9" t="n">
        <v>1026347</v>
      </c>
      <c r="C158" s="0" t="n">
        <v>6271</v>
      </c>
      <c r="D158" s="0" t="n">
        <v>904130</v>
      </c>
      <c r="E158" s="0" t="s">
        <v>1687</v>
      </c>
      <c r="F158" s="0" t="n">
        <v>81739</v>
      </c>
      <c r="G158" s="0" t="s">
        <v>1688</v>
      </c>
      <c r="H158" s="0" t="s">
        <v>1689</v>
      </c>
      <c r="I158" s="0" t="s">
        <v>1690</v>
      </c>
      <c r="J158" s="0" t="s">
        <v>1691</v>
      </c>
      <c r="K158" s="0" t="s">
        <v>1692</v>
      </c>
      <c r="L158" s="0" t="n">
        <v>724791</v>
      </c>
      <c r="M158" s="0" t="s">
        <v>1693</v>
      </c>
      <c r="N158" s="0" t="n">
        <v>551311</v>
      </c>
      <c r="O158" s="9" t="n">
        <v>8603</v>
      </c>
      <c r="P158" s="0" t="s">
        <v>621</v>
      </c>
      <c r="Q158" s="0" t="s">
        <v>1694</v>
      </c>
      <c r="R158" s="0" t="s">
        <v>1695</v>
      </c>
      <c r="S158" s="0" t="s">
        <v>1696</v>
      </c>
      <c r="T158" s="0" t="s">
        <v>1697</v>
      </c>
      <c r="U158" s="9" t="n">
        <v>744</v>
      </c>
      <c r="V158" s="0" t="n">
        <v>15.053195210868</v>
      </c>
      <c r="W158" s="0" t="n">
        <v>20220930</v>
      </c>
      <c r="X158" s="0" t="n">
        <v>1.26525953247623</v>
      </c>
      <c r="Y158" s="0" t="s">
        <v>1698</v>
      </c>
      <c r="Z158" s="0" t="s">
        <v>98</v>
      </c>
    </row>
    <row r="159" customFormat="false" ht="15" hidden="false" customHeight="false" outlineLevel="0" collapsed="false">
      <c r="A159" s="0" t="n">
        <v>156</v>
      </c>
      <c r="B159" s="9" t="n">
        <v>538969</v>
      </c>
      <c r="C159" s="0" t="n">
        <v>6275</v>
      </c>
      <c r="D159" s="0" t="n">
        <v>499382</v>
      </c>
      <c r="E159" s="0" t="s">
        <v>159</v>
      </c>
      <c r="F159" s="0" t="n">
        <v>21431</v>
      </c>
      <c r="G159" s="0" t="s">
        <v>1699</v>
      </c>
      <c r="H159" s="0" t="s">
        <v>1700</v>
      </c>
      <c r="I159" s="0" t="s">
        <v>1701</v>
      </c>
      <c r="J159" s="0" t="s">
        <v>1702</v>
      </c>
      <c r="K159" s="0" t="s">
        <v>1703</v>
      </c>
      <c r="L159" s="0" t="n">
        <v>302728</v>
      </c>
      <c r="M159" s="0" t="s">
        <v>1704</v>
      </c>
      <c r="N159" s="0" t="n">
        <v>249546</v>
      </c>
      <c r="O159" s="9" t="n">
        <v>1530</v>
      </c>
      <c r="P159" s="0" t="s">
        <v>633</v>
      </c>
      <c r="Q159" s="0" t="s">
        <v>1705</v>
      </c>
      <c r="R159" s="0" t="s">
        <v>1706</v>
      </c>
      <c r="S159" s="0" t="s">
        <v>61</v>
      </c>
      <c r="T159" s="0" t="s">
        <v>1556</v>
      </c>
      <c r="U159" s="9" t="n">
        <v>23</v>
      </c>
      <c r="V159" s="0" t="n">
        <v>15.7909585316112</v>
      </c>
      <c r="W159" s="0" t="n">
        <v>20220930</v>
      </c>
      <c r="X159" s="0" t="n">
        <v>0.612337281502061</v>
      </c>
      <c r="Y159" s="0" t="s">
        <v>1707</v>
      </c>
      <c r="Z159" s="0" t="s">
        <v>98</v>
      </c>
    </row>
    <row r="160" customFormat="false" ht="15" hidden="false" customHeight="false" outlineLevel="0" collapsed="false">
      <c r="A160" s="0" t="n">
        <v>157</v>
      </c>
      <c r="B160" s="9" t="n">
        <v>87700</v>
      </c>
      <c r="C160" s="0" t="n">
        <v>6280</v>
      </c>
      <c r="D160" s="0" t="n">
        <v>78966</v>
      </c>
      <c r="E160" s="0" t="s">
        <v>1708</v>
      </c>
      <c r="F160" s="0" t="n">
        <v>8505</v>
      </c>
      <c r="G160" s="0" t="s">
        <v>1709</v>
      </c>
      <c r="H160" s="0" t="s">
        <v>1710</v>
      </c>
      <c r="I160" s="0" t="s">
        <v>1711</v>
      </c>
      <c r="J160" s="0" t="s">
        <v>1712</v>
      </c>
      <c r="K160" s="0" t="s">
        <v>1582</v>
      </c>
      <c r="L160" s="0" t="n">
        <v>62691</v>
      </c>
      <c r="M160" s="0" t="s">
        <v>1713</v>
      </c>
      <c r="N160" s="0" t="n">
        <v>53838</v>
      </c>
      <c r="O160" s="9" t="n">
        <v>667</v>
      </c>
      <c r="P160" s="0" t="s">
        <v>644</v>
      </c>
      <c r="Q160" s="0" t="s">
        <v>1714</v>
      </c>
      <c r="R160" s="0" t="s">
        <v>1715</v>
      </c>
      <c r="S160" s="0" t="s">
        <v>1716</v>
      </c>
      <c r="T160" s="0" t="s">
        <v>1717</v>
      </c>
      <c r="U160" s="9" t="n">
        <v>0</v>
      </c>
      <c r="V160" s="0" t="n">
        <v>0</v>
      </c>
      <c r="W160" s="0" t="n">
        <v>20220930</v>
      </c>
      <c r="X160" s="0" t="n">
        <v>1.35938068951454</v>
      </c>
      <c r="Y160" s="0" t="s">
        <v>1718</v>
      </c>
      <c r="Z160" s="0" t="s">
        <v>98</v>
      </c>
    </row>
    <row r="161" customFormat="false" ht="15" hidden="false" customHeight="false" outlineLevel="0" collapsed="false">
      <c r="A161" s="0" t="n">
        <v>158</v>
      </c>
      <c r="B161" s="9" t="n">
        <v>3906943</v>
      </c>
      <c r="C161" s="0" t="n">
        <v>11971</v>
      </c>
      <c r="D161" s="0" t="n">
        <v>3050819</v>
      </c>
      <c r="E161" s="0" t="s">
        <v>1393</v>
      </c>
      <c r="F161" s="0" t="n">
        <v>447316</v>
      </c>
      <c r="G161" s="0" t="s">
        <v>1719</v>
      </c>
      <c r="H161" s="0" t="s">
        <v>1720</v>
      </c>
      <c r="I161" s="0" t="s">
        <v>1721</v>
      </c>
      <c r="J161" s="0" t="s">
        <v>1722</v>
      </c>
      <c r="K161" s="0" t="s">
        <v>1723</v>
      </c>
      <c r="L161" s="0" t="n">
        <v>2902690</v>
      </c>
      <c r="M161" s="0" t="s">
        <v>1724</v>
      </c>
      <c r="N161" s="0" t="n">
        <v>2554897</v>
      </c>
      <c r="O161" s="9" t="n">
        <v>6548</v>
      </c>
      <c r="P161" s="0" t="s">
        <v>54</v>
      </c>
      <c r="Q161" s="0" t="s">
        <v>1725</v>
      </c>
      <c r="R161" s="0" t="s">
        <v>1726</v>
      </c>
      <c r="S161" s="0" t="s">
        <v>1340</v>
      </c>
      <c r="T161" s="0" t="s">
        <v>1727</v>
      </c>
      <c r="U161" s="9" t="n">
        <v>216</v>
      </c>
      <c r="V161" s="0" t="n">
        <v>13.2911679611455</v>
      </c>
      <c r="W161" s="0" t="n">
        <v>20221231</v>
      </c>
      <c r="X161" s="0" t="n">
        <v>1.30045350644</v>
      </c>
      <c r="Y161" s="0" t="s">
        <v>1728</v>
      </c>
      <c r="Z161" s="0" t="s">
        <v>60</v>
      </c>
    </row>
    <row r="162" customFormat="false" ht="15" hidden="false" customHeight="false" outlineLevel="0" collapsed="false">
      <c r="A162" s="0" t="n">
        <v>159</v>
      </c>
      <c r="B162" s="9" t="n">
        <v>981838</v>
      </c>
      <c r="C162" s="0" t="n">
        <v>12874</v>
      </c>
      <c r="D162" s="0" t="n">
        <v>861068</v>
      </c>
      <c r="E162" s="0" t="s">
        <v>1729</v>
      </c>
      <c r="F162" s="0" t="n">
        <v>97187</v>
      </c>
      <c r="G162" s="0" t="s">
        <v>1730</v>
      </c>
      <c r="H162" s="0" t="s">
        <v>1731</v>
      </c>
      <c r="I162" s="0" t="s">
        <v>1732</v>
      </c>
      <c r="J162" s="0" t="s">
        <v>1733</v>
      </c>
      <c r="K162" s="0" t="s">
        <v>1734</v>
      </c>
      <c r="L162" s="0" t="n">
        <v>749622</v>
      </c>
      <c r="M162" s="0" t="s">
        <v>1735</v>
      </c>
      <c r="N162" s="0" t="n">
        <v>599821</v>
      </c>
      <c r="O162" s="9" t="n">
        <v>505</v>
      </c>
      <c r="P162" s="0" t="s">
        <v>68</v>
      </c>
      <c r="Q162" s="0" t="s">
        <v>1736</v>
      </c>
      <c r="R162" s="0" t="s">
        <v>1737</v>
      </c>
      <c r="S162" s="0" t="s">
        <v>1738</v>
      </c>
      <c r="T162" s="0" t="s">
        <v>1739</v>
      </c>
      <c r="U162" s="9" t="n">
        <v>0</v>
      </c>
      <c r="V162" s="0" t="n">
        <v>15.4509262729079</v>
      </c>
      <c r="W162" s="0" t="n">
        <v>20221231</v>
      </c>
      <c r="X162" s="0" t="n">
        <v>1.09464857855594</v>
      </c>
      <c r="Y162" s="0" t="s">
        <v>1740</v>
      </c>
      <c r="Z162" s="0" t="s">
        <v>60</v>
      </c>
    </row>
    <row r="163" customFormat="false" ht="15" hidden="false" customHeight="false" outlineLevel="0" collapsed="false">
      <c r="A163" s="0" t="n">
        <v>160</v>
      </c>
      <c r="B163" s="9" t="n">
        <v>1843469</v>
      </c>
      <c r="C163" s="0" t="n">
        <v>13063</v>
      </c>
      <c r="D163" s="0" t="n">
        <v>1640586</v>
      </c>
      <c r="E163" s="0" t="s">
        <v>159</v>
      </c>
      <c r="F163" s="0" t="n">
        <v>136120</v>
      </c>
      <c r="G163" s="0" t="s">
        <v>1741</v>
      </c>
      <c r="H163" s="0" t="s">
        <v>1742</v>
      </c>
      <c r="I163" s="0" t="s">
        <v>1743</v>
      </c>
      <c r="J163" s="0" t="s">
        <v>1744</v>
      </c>
      <c r="K163" s="0" t="s">
        <v>1745</v>
      </c>
      <c r="L163" s="0" t="n">
        <v>1335612</v>
      </c>
      <c r="M163" s="0" t="s">
        <v>1746</v>
      </c>
      <c r="N163" s="0" t="n">
        <v>1281066</v>
      </c>
      <c r="O163" s="9" t="n">
        <v>528</v>
      </c>
      <c r="P163" s="0" t="s">
        <v>80</v>
      </c>
      <c r="Q163" s="0" t="s">
        <v>1747</v>
      </c>
      <c r="R163" s="0" t="s">
        <v>1748</v>
      </c>
      <c r="S163" s="0" t="s">
        <v>1749</v>
      </c>
      <c r="T163" s="0" t="s">
        <v>1750</v>
      </c>
      <c r="U163" s="9" t="n">
        <v>746</v>
      </c>
      <c r="V163" s="0" t="n">
        <v>0</v>
      </c>
      <c r="W163" s="0" t="n">
        <v>20221231</v>
      </c>
      <c r="X163" s="0" t="n">
        <v>0.74485484313953</v>
      </c>
      <c r="Y163" s="0" t="s">
        <v>1751</v>
      </c>
      <c r="Z163" s="0" t="s">
        <v>60</v>
      </c>
    </row>
    <row r="164" customFormat="false" ht="15" hidden="false" customHeight="false" outlineLevel="0" collapsed="false">
      <c r="A164" s="0" t="n">
        <v>161</v>
      </c>
      <c r="B164" s="9" t="n">
        <v>838127</v>
      </c>
      <c r="C164" s="0" t="n">
        <v>14134</v>
      </c>
      <c r="D164" s="0" t="n">
        <v>719419</v>
      </c>
      <c r="E164" s="0" t="s">
        <v>330</v>
      </c>
      <c r="F164" s="0" t="n">
        <v>97584</v>
      </c>
      <c r="G164" s="0" t="s">
        <v>1752</v>
      </c>
      <c r="H164" s="0" t="s">
        <v>1753</v>
      </c>
      <c r="I164" s="0" t="s">
        <v>1754</v>
      </c>
      <c r="J164" s="0" t="s">
        <v>1755</v>
      </c>
      <c r="K164" s="0" t="s">
        <v>1756</v>
      </c>
      <c r="L164" s="0" t="n">
        <v>618146</v>
      </c>
      <c r="M164" s="0" t="s">
        <v>1757</v>
      </c>
      <c r="N164" s="0" t="n">
        <v>543525</v>
      </c>
      <c r="O164" s="9" t="n">
        <v>12984</v>
      </c>
      <c r="P164" s="0" t="s">
        <v>92</v>
      </c>
      <c r="Q164" s="0" t="s">
        <v>1758</v>
      </c>
      <c r="R164" s="0" t="s">
        <v>1759</v>
      </c>
      <c r="S164" s="0" t="s">
        <v>729</v>
      </c>
      <c r="T164" s="0" t="s">
        <v>1760</v>
      </c>
      <c r="U164" s="9" t="n">
        <v>0</v>
      </c>
      <c r="V164" s="0" t="n">
        <v>18.0562778373292</v>
      </c>
      <c r="W164" s="0" t="n">
        <v>20221231</v>
      </c>
      <c r="X164" s="0" t="n">
        <v>0.221752918751043</v>
      </c>
      <c r="Y164" s="0" t="s">
        <v>1761</v>
      </c>
      <c r="Z164" s="0" t="s">
        <v>98</v>
      </c>
    </row>
    <row r="165" customFormat="false" ht="15" hidden="false" customHeight="false" outlineLevel="0" collapsed="false">
      <c r="A165" s="0" t="n">
        <v>162</v>
      </c>
      <c r="B165" s="9" t="n">
        <v>228201</v>
      </c>
      <c r="C165" s="0" t="n">
        <v>14136</v>
      </c>
      <c r="D165" s="0" t="n">
        <v>209378</v>
      </c>
      <c r="E165" s="0" t="s">
        <v>208</v>
      </c>
      <c r="F165" s="0" t="n">
        <v>14622</v>
      </c>
      <c r="G165" s="0" t="s">
        <v>1762</v>
      </c>
      <c r="H165" s="0" t="s">
        <v>1763</v>
      </c>
      <c r="I165" s="0" t="s">
        <v>1764</v>
      </c>
      <c r="J165" s="0" t="s">
        <v>1765</v>
      </c>
      <c r="K165" s="0" t="s">
        <v>1766</v>
      </c>
      <c r="L165" s="0" t="n">
        <v>139954</v>
      </c>
      <c r="M165" s="0" t="s">
        <v>1767</v>
      </c>
      <c r="N165" s="0" t="n">
        <v>113932</v>
      </c>
      <c r="O165" s="9" t="n">
        <v>107</v>
      </c>
      <c r="P165" s="0" t="s">
        <v>105</v>
      </c>
      <c r="Q165" s="0" t="s">
        <v>1768</v>
      </c>
      <c r="R165" s="0" t="s">
        <v>1769</v>
      </c>
      <c r="S165" s="0" t="s">
        <v>1770</v>
      </c>
      <c r="T165" s="0" t="s">
        <v>1771</v>
      </c>
      <c r="U165" s="9" t="n">
        <v>670</v>
      </c>
      <c r="V165" s="0" t="n">
        <v>17.6671209321242</v>
      </c>
      <c r="W165" s="0" t="n">
        <v>20221231</v>
      </c>
      <c r="X165" s="0" t="n">
        <v>0.464923878187269</v>
      </c>
      <c r="Y165" s="0" t="s">
        <v>1772</v>
      </c>
      <c r="Z165" s="0" t="s">
        <v>98</v>
      </c>
    </row>
    <row r="166" customFormat="false" ht="15" hidden="false" customHeight="false" outlineLevel="0" collapsed="false">
      <c r="A166" s="0" t="n">
        <v>163</v>
      </c>
      <c r="B166" s="9" t="n">
        <v>1414255</v>
      </c>
      <c r="C166" s="0" t="n">
        <v>14140</v>
      </c>
      <c r="D166" s="0" t="n">
        <v>1185491</v>
      </c>
      <c r="E166" s="0" t="s">
        <v>61</v>
      </c>
      <c r="F166" s="0" t="n">
        <v>113940</v>
      </c>
      <c r="G166" s="0" t="s">
        <v>1773</v>
      </c>
      <c r="H166" s="0" t="s">
        <v>1774</v>
      </c>
      <c r="I166" s="0" t="s">
        <v>1775</v>
      </c>
      <c r="J166" s="0" t="s">
        <v>1776</v>
      </c>
      <c r="K166" s="0" t="s">
        <v>1777</v>
      </c>
      <c r="L166" s="0" t="n">
        <v>973789</v>
      </c>
      <c r="M166" s="0" t="s">
        <v>1778</v>
      </c>
      <c r="N166" s="0" t="n">
        <v>878159</v>
      </c>
      <c r="O166" s="9" t="n">
        <v>2462</v>
      </c>
      <c r="P166" s="0" t="s">
        <v>117</v>
      </c>
      <c r="Q166" s="0" t="s">
        <v>1779</v>
      </c>
      <c r="R166" s="0" t="s">
        <v>1780</v>
      </c>
      <c r="S166" s="0" t="s">
        <v>1781</v>
      </c>
      <c r="T166" s="0" t="s">
        <v>1782</v>
      </c>
      <c r="U166" s="9" t="n">
        <v>0</v>
      </c>
      <c r="V166" s="0" t="n">
        <v>0</v>
      </c>
      <c r="W166" s="0" t="n">
        <v>20221231</v>
      </c>
      <c r="X166" s="0" t="n">
        <v>0.706430614112242</v>
      </c>
      <c r="Y166" s="0" t="s">
        <v>1783</v>
      </c>
      <c r="Z166" s="0" t="s">
        <v>98</v>
      </c>
    </row>
    <row r="167" customFormat="false" ht="15" hidden="false" customHeight="false" outlineLevel="0" collapsed="false">
      <c r="A167" s="0" t="n">
        <v>164</v>
      </c>
      <c r="B167" s="9" t="n">
        <v>1335789</v>
      </c>
      <c r="C167" s="0" t="n">
        <v>14158</v>
      </c>
      <c r="D167" s="0" t="n">
        <v>1204403</v>
      </c>
      <c r="E167" s="0" t="s">
        <v>61</v>
      </c>
      <c r="F167" s="0" t="n">
        <v>71084</v>
      </c>
      <c r="G167" s="0" t="s">
        <v>1784</v>
      </c>
      <c r="H167" s="0" t="s">
        <v>1785</v>
      </c>
      <c r="I167" s="0" t="s">
        <v>1786</v>
      </c>
      <c r="J167" s="0" t="s">
        <v>1787</v>
      </c>
      <c r="K167" s="0" t="s">
        <v>1788</v>
      </c>
      <c r="L167" s="0" t="n">
        <v>960671</v>
      </c>
      <c r="M167" s="0" t="s">
        <v>1789</v>
      </c>
      <c r="N167" s="0" t="n">
        <v>824447</v>
      </c>
      <c r="O167" s="9" t="n">
        <v>2211</v>
      </c>
      <c r="P167" s="0" t="s">
        <v>129</v>
      </c>
      <c r="Q167" s="0" t="s">
        <v>1790</v>
      </c>
      <c r="R167" s="0" t="s">
        <v>1791</v>
      </c>
      <c r="S167" s="0" t="s">
        <v>293</v>
      </c>
      <c r="T167" s="0" t="s">
        <v>1792</v>
      </c>
      <c r="U167" s="9" t="n">
        <v>186</v>
      </c>
      <c r="V167" s="0" t="n">
        <v>13.9528938577954</v>
      </c>
      <c r="W167" s="0" t="n">
        <v>20221231</v>
      </c>
      <c r="X167" s="0" t="n">
        <v>1.07564545512455</v>
      </c>
      <c r="Y167" s="0" t="s">
        <v>1793</v>
      </c>
      <c r="Z167" s="0" t="s">
        <v>98</v>
      </c>
    </row>
    <row r="168" customFormat="false" ht="15" hidden="false" customHeight="false" outlineLevel="0" collapsed="false">
      <c r="A168" s="0" t="n">
        <v>165</v>
      </c>
      <c r="B168" s="9" t="n">
        <v>368796</v>
      </c>
      <c r="C168" s="0" t="n">
        <v>14168</v>
      </c>
      <c r="D168" s="0" t="n">
        <v>332153</v>
      </c>
      <c r="E168" s="0" t="s">
        <v>195</v>
      </c>
      <c r="F168" s="0" t="n">
        <v>31831</v>
      </c>
      <c r="G168" s="0" t="s">
        <v>1794</v>
      </c>
      <c r="H168" s="0" t="s">
        <v>1795</v>
      </c>
      <c r="I168" s="0" t="s">
        <v>1796</v>
      </c>
      <c r="J168" s="0" t="s">
        <v>1797</v>
      </c>
      <c r="K168" s="0" t="s">
        <v>1798</v>
      </c>
      <c r="L168" s="0" t="n">
        <v>208925</v>
      </c>
      <c r="M168" s="0" t="s">
        <v>1799</v>
      </c>
      <c r="N168" s="0" t="n">
        <v>173273</v>
      </c>
      <c r="O168" s="9" t="n">
        <v>1146</v>
      </c>
      <c r="P168" s="0" t="s">
        <v>140</v>
      </c>
      <c r="Q168" s="0" t="s">
        <v>1800</v>
      </c>
      <c r="R168" s="0" t="s">
        <v>1801</v>
      </c>
      <c r="S168" s="0" t="s">
        <v>1248</v>
      </c>
      <c r="T168" s="0" t="s">
        <v>1802</v>
      </c>
      <c r="U168" s="9" t="n">
        <v>0</v>
      </c>
      <c r="V168" s="0" t="n">
        <v>18.3394750971745</v>
      </c>
      <c r="W168" s="0" t="n">
        <v>20221231</v>
      </c>
      <c r="X168" s="0" t="n">
        <v>0.554974035143356</v>
      </c>
      <c r="Y168" s="0" t="s">
        <v>1803</v>
      </c>
      <c r="Z168" s="0" t="s">
        <v>98</v>
      </c>
    </row>
    <row r="169" customFormat="false" ht="15" hidden="false" customHeight="false" outlineLevel="0" collapsed="false">
      <c r="A169" s="0" t="n">
        <v>166</v>
      </c>
      <c r="B169" s="9" t="n">
        <v>1297773</v>
      </c>
      <c r="C169" s="0" t="n">
        <v>14240</v>
      </c>
      <c r="D169" s="0" t="n">
        <v>1070008</v>
      </c>
      <c r="E169" s="0" t="s">
        <v>1708</v>
      </c>
      <c r="F169" s="0" t="n">
        <v>81085</v>
      </c>
      <c r="G169" s="0" t="s">
        <v>1804</v>
      </c>
      <c r="H169" s="0" t="s">
        <v>1805</v>
      </c>
      <c r="I169" s="0" t="s">
        <v>1806</v>
      </c>
      <c r="J169" s="0" t="s">
        <v>1807</v>
      </c>
      <c r="K169" s="0" t="s">
        <v>1808</v>
      </c>
      <c r="L169" s="0" t="n">
        <v>930014</v>
      </c>
      <c r="M169" s="0" t="s">
        <v>1809</v>
      </c>
      <c r="N169" s="0" t="n">
        <v>824710</v>
      </c>
      <c r="O169" s="9" t="n">
        <v>2163</v>
      </c>
      <c r="P169" s="0" t="s">
        <v>152</v>
      </c>
      <c r="Q169" s="0" t="s">
        <v>1810</v>
      </c>
      <c r="R169" s="0" t="s">
        <v>1811</v>
      </c>
      <c r="S169" s="0" t="s">
        <v>1812</v>
      </c>
      <c r="T169" s="0" t="s">
        <v>1813</v>
      </c>
      <c r="U169" s="9" t="n">
        <v>0</v>
      </c>
      <c r="V169" s="0" t="n">
        <v>14.7172199109766</v>
      </c>
      <c r="W169" s="0" t="n">
        <v>20221231</v>
      </c>
      <c r="X169" s="0" t="n">
        <v>0.31097349194486</v>
      </c>
      <c r="Y169" s="0" t="s">
        <v>1814</v>
      </c>
      <c r="Z169" s="0" t="s">
        <v>158</v>
      </c>
    </row>
    <row r="170" customFormat="false" ht="15" hidden="false" customHeight="false" outlineLevel="0" collapsed="false">
      <c r="A170" s="0" t="n">
        <v>167</v>
      </c>
      <c r="B170" s="9" t="n">
        <v>1004795</v>
      </c>
      <c r="C170" s="0" t="n">
        <v>17115</v>
      </c>
      <c r="D170" s="0" t="n">
        <v>856846</v>
      </c>
      <c r="E170" s="0" t="s">
        <v>61</v>
      </c>
      <c r="F170" s="0" t="n">
        <v>78632</v>
      </c>
      <c r="G170" s="0" t="s">
        <v>1815</v>
      </c>
      <c r="H170" s="0" t="s">
        <v>1816</v>
      </c>
      <c r="I170" s="0" t="s">
        <v>1817</v>
      </c>
      <c r="J170" s="0" t="s">
        <v>1818</v>
      </c>
      <c r="K170" s="0" t="s">
        <v>1819</v>
      </c>
      <c r="L170" s="0" t="n">
        <v>833453</v>
      </c>
      <c r="M170" s="0" t="s">
        <v>1820</v>
      </c>
      <c r="N170" s="0" t="n">
        <v>786913</v>
      </c>
      <c r="O170" s="9" t="n">
        <v>265</v>
      </c>
      <c r="P170" s="0" t="s">
        <v>166</v>
      </c>
      <c r="Q170" s="0" t="s">
        <v>1821</v>
      </c>
      <c r="R170" s="0" t="s">
        <v>1822</v>
      </c>
      <c r="S170" s="0" t="s">
        <v>1823</v>
      </c>
      <c r="T170" s="0" t="s">
        <v>1824</v>
      </c>
      <c r="U170" s="9" t="n">
        <v>0</v>
      </c>
      <c r="V170" s="0" t="n">
        <v>13.9518994818667</v>
      </c>
      <c r="W170" s="0" t="n">
        <v>20221231</v>
      </c>
      <c r="X170" s="0" t="n">
        <v>0.643393077444468</v>
      </c>
      <c r="Y170" s="0" t="s">
        <v>1825</v>
      </c>
      <c r="Z170" s="0" t="s">
        <v>60</v>
      </c>
    </row>
    <row r="171" customFormat="false" ht="15" hidden="false" customHeight="false" outlineLevel="0" collapsed="false">
      <c r="A171" s="0" t="n">
        <v>168</v>
      </c>
      <c r="B171" s="9" t="n">
        <v>1552881</v>
      </c>
      <c r="C171" s="0" t="n">
        <v>17180</v>
      </c>
      <c r="D171" s="0" t="n">
        <v>1174035</v>
      </c>
      <c r="E171" s="0" t="s">
        <v>593</v>
      </c>
      <c r="F171" s="0" t="n">
        <v>127894</v>
      </c>
      <c r="G171" s="0" t="s">
        <v>1826</v>
      </c>
      <c r="H171" s="0" t="s">
        <v>1827</v>
      </c>
      <c r="I171" s="0" t="s">
        <v>1828</v>
      </c>
      <c r="J171" s="0" t="s">
        <v>1829</v>
      </c>
      <c r="K171" s="0" t="s">
        <v>1830</v>
      </c>
      <c r="L171" s="0" t="n">
        <v>1390042</v>
      </c>
      <c r="M171" s="0" t="s">
        <v>1831</v>
      </c>
      <c r="N171" s="0" t="n">
        <v>1118314</v>
      </c>
      <c r="O171" s="9" t="n">
        <v>4104</v>
      </c>
      <c r="P171" s="0" t="s">
        <v>179</v>
      </c>
      <c r="Q171" s="0" t="s">
        <v>1832</v>
      </c>
      <c r="R171" s="0" t="s">
        <v>1833</v>
      </c>
      <c r="S171" s="0" t="s">
        <v>1834</v>
      </c>
      <c r="T171" s="0" t="s">
        <v>1835</v>
      </c>
      <c r="U171" s="9" t="n">
        <v>1</v>
      </c>
      <c r="V171" s="0" t="n">
        <v>13.6744035365497</v>
      </c>
      <c r="W171" s="0" t="n">
        <v>20221231</v>
      </c>
      <c r="X171" s="0" t="n">
        <v>0.772403237007327</v>
      </c>
      <c r="Y171" s="0" t="s">
        <v>1836</v>
      </c>
      <c r="Z171" s="0" t="s">
        <v>158</v>
      </c>
    </row>
    <row r="172" customFormat="false" ht="15" hidden="false" customHeight="false" outlineLevel="0" collapsed="false">
      <c r="A172" s="0" t="n">
        <v>169</v>
      </c>
      <c r="B172" s="9" t="n">
        <v>380965</v>
      </c>
      <c r="C172" s="0" t="n">
        <v>17443</v>
      </c>
      <c r="D172" s="0" t="n">
        <v>341206</v>
      </c>
      <c r="E172" s="0" t="s">
        <v>246</v>
      </c>
      <c r="F172" s="0" t="n">
        <v>38509</v>
      </c>
      <c r="G172" s="0" t="s">
        <v>1837</v>
      </c>
      <c r="H172" s="0" t="s">
        <v>1838</v>
      </c>
      <c r="I172" s="0" t="s">
        <v>1839</v>
      </c>
      <c r="J172" s="0" t="s">
        <v>61</v>
      </c>
      <c r="K172" s="0" t="s">
        <v>1840</v>
      </c>
      <c r="L172" s="0" t="n">
        <v>206549</v>
      </c>
      <c r="M172" s="0" t="s">
        <v>1841</v>
      </c>
      <c r="N172" s="0" t="n">
        <v>204563</v>
      </c>
      <c r="O172" s="9" t="n">
        <v>286</v>
      </c>
      <c r="P172" s="0" t="s">
        <v>190</v>
      </c>
      <c r="Q172" s="0" t="s">
        <v>1842</v>
      </c>
      <c r="R172" s="0" t="s">
        <v>1843</v>
      </c>
      <c r="S172" s="0" t="s">
        <v>61</v>
      </c>
      <c r="T172" s="0" t="s">
        <v>1844</v>
      </c>
      <c r="U172" s="9" t="n">
        <v>0</v>
      </c>
      <c r="V172" s="0" t="n">
        <v>0</v>
      </c>
      <c r="W172" s="0" t="n">
        <v>20221231</v>
      </c>
      <c r="X172" s="0" t="n">
        <v>0.432265478536582</v>
      </c>
      <c r="Y172" s="0" t="s">
        <v>1845</v>
      </c>
      <c r="Z172" s="0" t="s">
        <v>158</v>
      </c>
    </row>
    <row r="173" customFormat="false" ht="15" hidden="false" customHeight="false" outlineLevel="0" collapsed="false">
      <c r="A173" s="0" t="n">
        <v>170</v>
      </c>
      <c r="B173" s="9" t="n">
        <v>1795136</v>
      </c>
      <c r="C173" s="0" t="n">
        <v>17658</v>
      </c>
      <c r="D173" s="0" t="n">
        <v>1531543</v>
      </c>
      <c r="E173" s="0" t="s">
        <v>794</v>
      </c>
      <c r="F173" s="0" t="n">
        <v>187871</v>
      </c>
      <c r="G173" s="0" t="s">
        <v>1846</v>
      </c>
      <c r="H173" s="0" t="s">
        <v>1847</v>
      </c>
      <c r="I173" s="0" t="s">
        <v>1848</v>
      </c>
      <c r="J173" s="0" t="s">
        <v>1849</v>
      </c>
      <c r="K173" s="0" t="s">
        <v>1850</v>
      </c>
      <c r="L173" s="0" t="n">
        <v>1215074</v>
      </c>
      <c r="M173" s="0" t="s">
        <v>1851</v>
      </c>
      <c r="N173" s="0" t="n">
        <v>1049471</v>
      </c>
      <c r="O173" s="9" t="n">
        <v>677</v>
      </c>
      <c r="P173" s="0" t="s">
        <v>202</v>
      </c>
      <c r="Q173" s="0" t="s">
        <v>1852</v>
      </c>
      <c r="R173" s="0" t="s">
        <v>1853</v>
      </c>
      <c r="S173" s="0" t="s">
        <v>1854</v>
      </c>
      <c r="T173" s="0" t="s">
        <v>1855</v>
      </c>
      <c r="U173" s="9" t="n">
        <v>197</v>
      </c>
      <c r="V173" s="0" t="n">
        <v>0</v>
      </c>
      <c r="W173" s="0" t="n">
        <v>20221231</v>
      </c>
      <c r="X173" s="0" t="n">
        <v>0.528128430999244</v>
      </c>
      <c r="Y173" s="0" t="s">
        <v>1856</v>
      </c>
      <c r="Z173" s="0" t="s">
        <v>60</v>
      </c>
    </row>
    <row r="174" customFormat="false" ht="15" hidden="false" customHeight="false" outlineLevel="0" collapsed="false">
      <c r="A174" s="0" t="n">
        <v>171</v>
      </c>
      <c r="B174" s="9" t="n">
        <v>1004289</v>
      </c>
      <c r="C174" s="0" t="n">
        <v>17741</v>
      </c>
      <c r="D174" s="0" t="n">
        <v>828427</v>
      </c>
      <c r="E174" s="0" t="s">
        <v>195</v>
      </c>
      <c r="F174" s="0" t="n">
        <v>130201</v>
      </c>
      <c r="G174" s="0" t="s">
        <v>1857</v>
      </c>
      <c r="H174" s="0" t="s">
        <v>1858</v>
      </c>
      <c r="I174" s="0" t="s">
        <v>1859</v>
      </c>
      <c r="J174" s="0" t="s">
        <v>1860</v>
      </c>
      <c r="K174" s="0" t="s">
        <v>1861</v>
      </c>
      <c r="L174" s="0" t="n">
        <v>848425</v>
      </c>
      <c r="M174" s="0" t="s">
        <v>1862</v>
      </c>
      <c r="N174" s="0" t="n">
        <v>795357</v>
      </c>
      <c r="O174" s="9" t="n">
        <v>1820</v>
      </c>
      <c r="P174" s="0" t="s">
        <v>215</v>
      </c>
      <c r="Q174" s="0" t="s">
        <v>1863</v>
      </c>
      <c r="R174" s="0" t="s">
        <v>1864</v>
      </c>
      <c r="S174" s="0" t="s">
        <v>1865</v>
      </c>
      <c r="T174" s="0" t="s">
        <v>1866</v>
      </c>
      <c r="U174" s="9" t="n">
        <v>0</v>
      </c>
      <c r="V174" s="0" t="n">
        <v>0</v>
      </c>
      <c r="W174" s="0" t="n">
        <v>20221231</v>
      </c>
      <c r="X174" s="0" t="n">
        <v>0.824176914710342</v>
      </c>
      <c r="Y174" s="0" t="s">
        <v>1867</v>
      </c>
      <c r="Z174" s="0" t="s">
        <v>60</v>
      </c>
    </row>
    <row r="175" customFormat="false" ht="15" hidden="false" customHeight="false" outlineLevel="0" collapsed="false">
      <c r="A175" s="0" t="n">
        <v>172</v>
      </c>
      <c r="B175" s="9" t="n">
        <v>1276362</v>
      </c>
      <c r="C175" s="0" t="n">
        <v>17743</v>
      </c>
      <c r="D175" s="0" t="n">
        <v>1007618</v>
      </c>
      <c r="E175" s="0" t="s">
        <v>1500</v>
      </c>
      <c r="F175" s="0" t="n">
        <v>120023</v>
      </c>
      <c r="G175" s="0" t="s">
        <v>1868</v>
      </c>
      <c r="H175" s="0" t="s">
        <v>1869</v>
      </c>
      <c r="I175" s="0" t="s">
        <v>1870</v>
      </c>
      <c r="J175" s="0" t="s">
        <v>1871</v>
      </c>
      <c r="K175" s="0" t="s">
        <v>1872</v>
      </c>
      <c r="L175" s="0" t="n">
        <v>984104</v>
      </c>
      <c r="M175" s="0" t="s">
        <v>1873</v>
      </c>
      <c r="N175" s="0" t="n">
        <v>953202</v>
      </c>
      <c r="O175" s="9" t="n">
        <v>2426</v>
      </c>
      <c r="P175" s="0" t="s">
        <v>227</v>
      </c>
      <c r="Q175" s="0" t="s">
        <v>1874</v>
      </c>
      <c r="R175" s="0" t="s">
        <v>1875</v>
      </c>
      <c r="S175" s="0" t="s">
        <v>1876</v>
      </c>
      <c r="T175" s="0" t="s">
        <v>1877</v>
      </c>
      <c r="U175" s="9" t="n">
        <v>0</v>
      </c>
      <c r="V175" s="0" t="n">
        <v>0</v>
      </c>
      <c r="W175" s="0" t="n">
        <v>20221231</v>
      </c>
      <c r="X175" s="0" t="n">
        <v>0.417446254000801</v>
      </c>
      <c r="Y175" s="0" t="s">
        <v>1878</v>
      </c>
      <c r="Z175" s="0" t="s">
        <v>60</v>
      </c>
    </row>
    <row r="176" customFormat="false" ht="15" hidden="false" customHeight="false" outlineLevel="0" collapsed="false">
      <c r="A176" s="0" t="n">
        <v>173</v>
      </c>
      <c r="B176" s="9" t="n">
        <v>1607984</v>
      </c>
      <c r="C176" s="0" t="n">
        <v>17748</v>
      </c>
      <c r="D176" s="0" t="n">
        <v>1349761</v>
      </c>
      <c r="E176" s="0" t="s">
        <v>172</v>
      </c>
      <c r="F176" s="0" t="n">
        <v>106514</v>
      </c>
      <c r="G176" s="0" t="s">
        <v>1879</v>
      </c>
      <c r="H176" s="0" t="s">
        <v>1880</v>
      </c>
      <c r="I176" s="0" t="s">
        <v>1881</v>
      </c>
      <c r="J176" s="0" t="s">
        <v>1882</v>
      </c>
      <c r="K176" s="0" t="s">
        <v>1367</v>
      </c>
      <c r="L176" s="0" t="n">
        <v>1241205</v>
      </c>
      <c r="M176" s="0" t="s">
        <v>1883</v>
      </c>
      <c r="N176" s="0" t="n">
        <v>1039935</v>
      </c>
      <c r="O176" s="9" t="n">
        <v>6143</v>
      </c>
      <c r="P176" s="0" t="s">
        <v>240</v>
      </c>
      <c r="Q176" s="0" t="s">
        <v>1884</v>
      </c>
      <c r="R176" s="0" t="s">
        <v>1885</v>
      </c>
      <c r="S176" s="0" t="s">
        <v>669</v>
      </c>
      <c r="T176" s="0" t="s">
        <v>1886</v>
      </c>
      <c r="U176" s="9" t="n">
        <v>0</v>
      </c>
      <c r="V176" s="0" t="n">
        <v>0</v>
      </c>
      <c r="W176" s="0" t="n">
        <v>20221231</v>
      </c>
      <c r="X176" s="0" t="n">
        <v>0.399009983706452</v>
      </c>
      <c r="Y176" s="0" t="s">
        <v>1887</v>
      </c>
      <c r="Z176" s="0" t="s">
        <v>60</v>
      </c>
    </row>
    <row r="177" customFormat="false" ht="15" hidden="false" customHeight="false" outlineLevel="0" collapsed="false">
      <c r="A177" s="0" t="n">
        <v>174</v>
      </c>
      <c r="B177" s="9" t="n">
        <v>1276951</v>
      </c>
      <c r="C177" s="0" t="n">
        <v>17749</v>
      </c>
      <c r="D177" s="0" t="n">
        <v>1055695</v>
      </c>
      <c r="E177" s="0" t="s">
        <v>246</v>
      </c>
      <c r="F177" s="0" t="n">
        <v>150442</v>
      </c>
      <c r="G177" s="0" t="s">
        <v>1888</v>
      </c>
      <c r="H177" s="0" t="s">
        <v>1889</v>
      </c>
      <c r="I177" s="0" t="s">
        <v>1890</v>
      </c>
      <c r="J177" s="0" t="s">
        <v>1891</v>
      </c>
      <c r="K177" s="0" t="s">
        <v>1892</v>
      </c>
      <c r="L177" s="0" t="n">
        <v>724813</v>
      </c>
      <c r="M177" s="0" t="s">
        <v>1893</v>
      </c>
      <c r="N177" s="0" t="n">
        <v>655371</v>
      </c>
      <c r="O177" s="9" t="n">
        <v>204</v>
      </c>
      <c r="P177" s="0" t="s">
        <v>253</v>
      </c>
      <c r="Q177" s="0" t="s">
        <v>1894</v>
      </c>
      <c r="R177" s="0" t="s">
        <v>1895</v>
      </c>
      <c r="S177" s="0" t="s">
        <v>441</v>
      </c>
      <c r="T177" s="0" t="s">
        <v>1896</v>
      </c>
      <c r="U177" s="9" t="n">
        <v>0</v>
      </c>
      <c r="V177" s="0" t="n">
        <v>0</v>
      </c>
      <c r="W177" s="0" t="n">
        <v>20221231</v>
      </c>
      <c r="X177" s="0" t="n">
        <v>0.633133792451287</v>
      </c>
      <c r="Y177" s="0" t="s">
        <v>1050</v>
      </c>
      <c r="Z177" s="0" t="s">
        <v>60</v>
      </c>
    </row>
    <row r="178" customFormat="false" ht="15" hidden="false" customHeight="false" outlineLevel="0" collapsed="false">
      <c r="A178" s="0" t="n">
        <v>175</v>
      </c>
      <c r="B178" s="9" t="n">
        <v>1450036</v>
      </c>
      <c r="C178" s="0" t="n">
        <v>17751</v>
      </c>
      <c r="D178" s="0" t="n">
        <v>1265376</v>
      </c>
      <c r="E178" s="0" t="s">
        <v>613</v>
      </c>
      <c r="F178" s="0" t="n">
        <v>125470</v>
      </c>
      <c r="G178" s="0" t="s">
        <v>1897</v>
      </c>
      <c r="H178" s="0" t="s">
        <v>1898</v>
      </c>
      <c r="I178" s="0" t="s">
        <v>1899</v>
      </c>
      <c r="J178" s="0" t="s">
        <v>1900</v>
      </c>
      <c r="K178" s="0" t="s">
        <v>1901</v>
      </c>
      <c r="L178" s="0" t="n">
        <v>1210320</v>
      </c>
      <c r="M178" s="0" t="s">
        <v>1902</v>
      </c>
      <c r="N178" s="0" t="n">
        <v>1045931</v>
      </c>
      <c r="O178" s="9" t="n">
        <v>6987</v>
      </c>
      <c r="P178" s="0" t="s">
        <v>266</v>
      </c>
      <c r="Q178" s="0" t="s">
        <v>1903</v>
      </c>
      <c r="R178" s="0" t="s">
        <v>1904</v>
      </c>
      <c r="S178" s="0" t="s">
        <v>1905</v>
      </c>
      <c r="T178" s="0" t="s">
        <v>1906</v>
      </c>
      <c r="U178" s="9" t="n">
        <v>0</v>
      </c>
      <c r="V178" s="0" t="n">
        <v>13.1251359750373</v>
      </c>
      <c r="W178" s="0" t="n">
        <v>20221231</v>
      </c>
      <c r="X178" s="0" t="n">
        <v>0.57883178006515</v>
      </c>
      <c r="Y178" s="0" t="s">
        <v>1867</v>
      </c>
      <c r="Z178" s="0" t="s">
        <v>60</v>
      </c>
    </row>
    <row r="179" customFormat="false" ht="15" hidden="false" customHeight="false" outlineLevel="0" collapsed="false">
      <c r="A179" s="0" t="n">
        <v>176</v>
      </c>
      <c r="B179" s="9" t="n">
        <v>1640422</v>
      </c>
      <c r="C179" s="0" t="n">
        <v>17897</v>
      </c>
      <c r="D179" s="0" t="n">
        <v>1346856</v>
      </c>
      <c r="E179" s="0" t="s">
        <v>1187</v>
      </c>
      <c r="F179" s="0" t="n">
        <v>195954</v>
      </c>
      <c r="G179" s="0" t="s">
        <v>1907</v>
      </c>
      <c r="H179" s="0" t="s">
        <v>1908</v>
      </c>
      <c r="I179" s="0" t="s">
        <v>1909</v>
      </c>
      <c r="J179" s="0" t="s">
        <v>1910</v>
      </c>
      <c r="K179" s="0" t="s">
        <v>1911</v>
      </c>
      <c r="L179" s="0" t="n">
        <v>1382026</v>
      </c>
      <c r="M179" s="0" t="s">
        <v>1912</v>
      </c>
      <c r="N179" s="0" t="n">
        <v>1298561</v>
      </c>
      <c r="O179" s="9" t="n">
        <v>3315</v>
      </c>
      <c r="P179" s="0" t="s">
        <v>278</v>
      </c>
      <c r="Q179" s="0" t="s">
        <v>1913</v>
      </c>
      <c r="R179" s="0" t="s">
        <v>1914</v>
      </c>
      <c r="S179" s="0" t="s">
        <v>1812</v>
      </c>
      <c r="T179" s="0" t="s">
        <v>1915</v>
      </c>
      <c r="U179" s="9" t="n">
        <v>0</v>
      </c>
      <c r="V179" s="0" t="n">
        <v>0</v>
      </c>
      <c r="W179" s="0" t="n">
        <v>20221231</v>
      </c>
      <c r="X179" s="0" t="n">
        <v>0.289515552655698</v>
      </c>
      <c r="Y179" s="0" t="s">
        <v>1916</v>
      </c>
      <c r="Z179" s="0" t="s">
        <v>60</v>
      </c>
    </row>
    <row r="180" customFormat="false" ht="15" hidden="false" customHeight="false" outlineLevel="0" collapsed="false">
      <c r="A180" s="0" t="n">
        <v>177</v>
      </c>
      <c r="B180" s="9" t="n">
        <v>761892</v>
      </c>
      <c r="C180" s="0" t="n">
        <v>17951</v>
      </c>
      <c r="D180" s="0" t="n">
        <v>670773</v>
      </c>
      <c r="E180" s="0" t="s">
        <v>1393</v>
      </c>
      <c r="F180" s="0" t="n">
        <v>55088</v>
      </c>
      <c r="G180" s="0" t="s">
        <v>1917</v>
      </c>
      <c r="H180" s="0" t="s">
        <v>1918</v>
      </c>
      <c r="I180" s="0" t="s">
        <v>1919</v>
      </c>
      <c r="J180" s="0" t="s">
        <v>1920</v>
      </c>
      <c r="K180" s="0" t="s">
        <v>1921</v>
      </c>
      <c r="L180" s="0" t="n">
        <v>532569</v>
      </c>
      <c r="M180" s="0" t="s">
        <v>1922</v>
      </c>
      <c r="N180" s="0" t="n">
        <v>498217</v>
      </c>
      <c r="O180" s="9" t="n">
        <v>69</v>
      </c>
      <c r="P180" s="0" t="s">
        <v>290</v>
      </c>
      <c r="Q180" s="0" t="s">
        <v>1923</v>
      </c>
      <c r="R180" s="0" t="s">
        <v>1924</v>
      </c>
      <c r="S180" s="0" t="s">
        <v>1925</v>
      </c>
      <c r="T180" s="0" t="s">
        <v>994</v>
      </c>
      <c r="U180" s="9" t="n">
        <v>0</v>
      </c>
      <c r="V180" s="0" t="n">
        <v>14.5594363369594</v>
      </c>
      <c r="W180" s="0" t="n">
        <v>20221231</v>
      </c>
      <c r="X180" s="0" t="n">
        <v>0.957897026346038</v>
      </c>
      <c r="Y180" s="0" t="s">
        <v>1926</v>
      </c>
      <c r="Z180" s="0" t="s">
        <v>158</v>
      </c>
    </row>
    <row r="181" customFormat="false" ht="15" hidden="false" customHeight="false" outlineLevel="0" collapsed="false">
      <c r="A181" s="0" t="n">
        <v>178</v>
      </c>
      <c r="B181" s="9" t="n">
        <v>1317746</v>
      </c>
      <c r="C181" s="0" t="n">
        <v>17960</v>
      </c>
      <c r="D181" s="0" t="n">
        <v>1042080</v>
      </c>
      <c r="E181" s="0" t="s">
        <v>1393</v>
      </c>
      <c r="F181" s="0" t="n">
        <v>104375</v>
      </c>
      <c r="G181" s="0" t="s">
        <v>1927</v>
      </c>
      <c r="H181" s="0" t="s">
        <v>1928</v>
      </c>
      <c r="I181" s="0" t="s">
        <v>1929</v>
      </c>
      <c r="J181" s="0" t="s">
        <v>1930</v>
      </c>
      <c r="K181" s="0" t="s">
        <v>1931</v>
      </c>
      <c r="L181" s="0" t="n">
        <v>1117900</v>
      </c>
      <c r="M181" s="0" t="s">
        <v>1932</v>
      </c>
      <c r="N181" s="0" t="n">
        <v>810216</v>
      </c>
      <c r="O181" s="9" t="n">
        <v>789</v>
      </c>
      <c r="P181" s="0" t="s">
        <v>302</v>
      </c>
      <c r="Q181" s="0" t="s">
        <v>1933</v>
      </c>
      <c r="R181" s="0" t="s">
        <v>1934</v>
      </c>
      <c r="S181" s="0" t="s">
        <v>1248</v>
      </c>
      <c r="T181" s="0" t="s">
        <v>1935</v>
      </c>
      <c r="U181" s="9" t="n">
        <v>901</v>
      </c>
      <c r="V181" s="0" t="n">
        <v>12.7428677725826</v>
      </c>
      <c r="W181" s="0" t="n">
        <v>20221231</v>
      </c>
      <c r="X181" s="0" t="n">
        <v>0.767586875249667</v>
      </c>
      <c r="Y181" s="0" t="s">
        <v>1936</v>
      </c>
      <c r="Z181" s="0" t="s">
        <v>158</v>
      </c>
    </row>
    <row r="182" customFormat="false" ht="15" hidden="false" customHeight="false" outlineLevel="0" collapsed="false">
      <c r="A182" s="0" t="n">
        <v>179</v>
      </c>
      <c r="B182" s="9" t="n">
        <v>2432022</v>
      </c>
      <c r="C182" s="0" t="n">
        <v>18012</v>
      </c>
      <c r="D182" s="0" t="n">
        <v>2055299</v>
      </c>
      <c r="E182" s="0" t="s">
        <v>390</v>
      </c>
      <c r="F182" s="0" t="n">
        <v>239523</v>
      </c>
      <c r="G182" s="0" t="s">
        <v>1937</v>
      </c>
      <c r="H182" s="0" t="s">
        <v>1938</v>
      </c>
      <c r="I182" s="0" t="s">
        <v>1939</v>
      </c>
      <c r="J182" s="0" t="s">
        <v>1940</v>
      </c>
      <c r="K182" s="0" t="s">
        <v>1941</v>
      </c>
      <c r="L182" s="0" t="n">
        <v>1963339</v>
      </c>
      <c r="M182" s="0" t="s">
        <v>1942</v>
      </c>
      <c r="N182" s="0" t="n">
        <v>1858029</v>
      </c>
      <c r="O182" s="9" t="n">
        <v>1509</v>
      </c>
      <c r="P182" s="0" t="s">
        <v>312</v>
      </c>
      <c r="Q182" s="0" t="s">
        <v>1943</v>
      </c>
      <c r="R182" s="0" t="s">
        <v>1944</v>
      </c>
      <c r="S182" s="0" t="s">
        <v>1945</v>
      </c>
      <c r="T182" s="0" t="s">
        <v>1946</v>
      </c>
      <c r="U182" s="9" t="n">
        <v>0</v>
      </c>
      <c r="V182" s="0" t="n">
        <v>12.9616102023348</v>
      </c>
      <c r="W182" s="0" t="n">
        <v>20221231</v>
      </c>
      <c r="X182" s="0" t="n">
        <v>1.14794471486809</v>
      </c>
      <c r="Y182" s="0" t="s">
        <v>1947</v>
      </c>
      <c r="Z182" s="0" t="s">
        <v>158</v>
      </c>
    </row>
    <row r="183" customFormat="false" ht="15" hidden="false" customHeight="false" outlineLevel="0" collapsed="false">
      <c r="A183" s="0" t="n">
        <v>180</v>
      </c>
      <c r="B183" s="9" t="n">
        <v>2733504</v>
      </c>
      <c r="C183" s="0" t="n">
        <v>18013</v>
      </c>
      <c r="D183" s="0" t="n">
        <v>2369151</v>
      </c>
      <c r="E183" s="0" t="s">
        <v>390</v>
      </c>
      <c r="F183" s="0" t="n">
        <v>202913</v>
      </c>
      <c r="G183" s="0" t="s">
        <v>1948</v>
      </c>
      <c r="H183" s="0" t="s">
        <v>1949</v>
      </c>
      <c r="I183" s="0" t="s">
        <v>1950</v>
      </c>
      <c r="J183" s="0" t="s">
        <v>1951</v>
      </c>
      <c r="K183" s="0" t="s">
        <v>1952</v>
      </c>
      <c r="L183" s="0" t="n">
        <v>2169489</v>
      </c>
      <c r="M183" s="0" t="s">
        <v>1953</v>
      </c>
      <c r="N183" s="0" t="n">
        <v>1987119</v>
      </c>
      <c r="O183" s="9" t="n">
        <v>1584</v>
      </c>
      <c r="P183" s="0" t="s">
        <v>324</v>
      </c>
      <c r="Q183" s="0" t="s">
        <v>1954</v>
      </c>
      <c r="R183" s="0" t="s">
        <v>1955</v>
      </c>
      <c r="S183" s="0" t="s">
        <v>1956</v>
      </c>
      <c r="T183" s="0" t="s">
        <v>1957</v>
      </c>
      <c r="U183" s="9" t="n">
        <v>62</v>
      </c>
      <c r="V183" s="0" t="n">
        <v>13.2949257471121</v>
      </c>
      <c r="W183" s="0" t="n">
        <v>20221231</v>
      </c>
      <c r="X183" s="0" t="n">
        <v>0.710358869365882</v>
      </c>
      <c r="Y183" s="0" t="s">
        <v>1958</v>
      </c>
      <c r="Z183" s="0" t="s">
        <v>158</v>
      </c>
    </row>
    <row r="184" customFormat="false" ht="15" hidden="false" customHeight="false" outlineLevel="0" collapsed="false">
      <c r="A184" s="0" t="n">
        <v>181</v>
      </c>
      <c r="B184" s="9" t="n">
        <v>382131</v>
      </c>
      <c r="C184" s="0" t="n">
        <v>18028</v>
      </c>
      <c r="D184" s="0" t="n">
        <v>329968</v>
      </c>
      <c r="E184" s="0" t="s">
        <v>85</v>
      </c>
      <c r="F184" s="0" t="n">
        <v>35637</v>
      </c>
      <c r="G184" s="0" t="s">
        <v>1959</v>
      </c>
      <c r="H184" s="0" t="s">
        <v>1960</v>
      </c>
      <c r="I184" s="0" t="s">
        <v>1961</v>
      </c>
      <c r="J184" s="0" t="s">
        <v>1962</v>
      </c>
      <c r="K184" s="0" t="s">
        <v>1963</v>
      </c>
      <c r="L184" s="0" t="n">
        <v>252236</v>
      </c>
      <c r="M184" s="0" t="s">
        <v>1964</v>
      </c>
      <c r="N184" s="0" t="n">
        <v>218425</v>
      </c>
      <c r="O184" s="9" t="n">
        <v>1059</v>
      </c>
      <c r="P184" s="0" t="s">
        <v>337</v>
      </c>
      <c r="Q184" s="0" t="s">
        <v>1965</v>
      </c>
      <c r="R184" s="0" t="s">
        <v>1966</v>
      </c>
      <c r="S184" s="0" t="s">
        <v>1134</v>
      </c>
      <c r="T184" s="0" t="s">
        <v>1967</v>
      </c>
      <c r="U184" s="9" t="n">
        <v>456</v>
      </c>
      <c r="V184" s="0" t="n">
        <v>0</v>
      </c>
      <c r="W184" s="0" t="n">
        <v>20221231</v>
      </c>
      <c r="X184" s="0" t="n">
        <v>0.675459452597504</v>
      </c>
      <c r="Y184" s="0" t="s">
        <v>1577</v>
      </c>
      <c r="Z184" s="0" t="s">
        <v>158</v>
      </c>
    </row>
    <row r="185" customFormat="false" ht="15" hidden="false" customHeight="false" outlineLevel="0" collapsed="false">
      <c r="A185" s="0" t="n">
        <v>182</v>
      </c>
      <c r="B185" s="9" t="n">
        <v>702716</v>
      </c>
      <c r="C185" s="0" t="n">
        <v>18030</v>
      </c>
      <c r="D185" s="0" t="n">
        <v>654989</v>
      </c>
      <c r="E185" s="0" t="s">
        <v>1968</v>
      </c>
      <c r="F185" s="0" t="n">
        <v>42204</v>
      </c>
      <c r="G185" s="0" t="s">
        <v>1969</v>
      </c>
      <c r="H185" s="0" t="s">
        <v>1970</v>
      </c>
      <c r="I185" s="0" t="s">
        <v>1971</v>
      </c>
      <c r="J185" s="0" t="s">
        <v>1972</v>
      </c>
      <c r="K185" s="0" t="s">
        <v>1973</v>
      </c>
      <c r="L185" s="0" t="n">
        <v>551441</v>
      </c>
      <c r="M185" s="0" t="s">
        <v>1974</v>
      </c>
      <c r="N185" s="0" t="n">
        <v>430473</v>
      </c>
      <c r="O185" s="9" t="n">
        <v>822</v>
      </c>
      <c r="P185" s="0" t="s">
        <v>349</v>
      </c>
      <c r="Q185" s="0" t="s">
        <v>1975</v>
      </c>
      <c r="R185" s="0" t="s">
        <v>1976</v>
      </c>
      <c r="S185" s="0" t="s">
        <v>1977</v>
      </c>
      <c r="T185" s="0" t="s">
        <v>1978</v>
      </c>
      <c r="U185" s="9" t="n">
        <v>0</v>
      </c>
      <c r="V185" s="0" t="n">
        <v>12.9663643069234</v>
      </c>
      <c r="W185" s="0" t="n">
        <v>20221231</v>
      </c>
      <c r="X185" s="0" t="n">
        <v>0.385791360891023</v>
      </c>
      <c r="Y185" s="0" t="s">
        <v>1979</v>
      </c>
      <c r="Z185" s="0" t="s">
        <v>158</v>
      </c>
    </row>
    <row r="186" customFormat="false" ht="15" hidden="false" customHeight="false" outlineLevel="0" collapsed="false">
      <c r="A186" s="0" t="n">
        <v>183</v>
      </c>
      <c r="B186" s="9" t="n">
        <v>648071</v>
      </c>
      <c r="C186" s="0" t="n">
        <v>18031</v>
      </c>
      <c r="D186" s="0" t="n">
        <v>582524</v>
      </c>
      <c r="E186" s="0" t="s">
        <v>1980</v>
      </c>
      <c r="F186" s="0" t="n">
        <v>35327</v>
      </c>
      <c r="G186" s="0" t="s">
        <v>1981</v>
      </c>
      <c r="H186" s="0" t="s">
        <v>1982</v>
      </c>
      <c r="I186" s="0" t="s">
        <v>1983</v>
      </c>
      <c r="J186" s="0" t="s">
        <v>1984</v>
      </c>
      <c r="K186" s="0" t="s">
        <v>1985</v>
      </c>
      <c r="L186" s="0" t="n">
        <v>463179</v>
      </c>
      <c r="M186" s="0" t="s">
        <v>1986</v>
      </c>
      <c r="N186" s="0" t="n">
        <v>421449</v>
      </c>
      <c r="O186" s="9" t="n">
        <v>630</v>
      </c>
      <c r="P186" s="0" t="s">
        <v>361</v>
      </c>
      <c r="Q186" s="0" t="s">
        <v>1987</v>
      </c>
      <c r="R186" s="0" t="s">
        <v>1988</v>
      </c>
      <c r="S186" s="0" t="s">
        <v>1604</v>
      </c>
      <c r="T186" s="0" t="s">
        <v>1989</v>
      </c>
      <c r="U186" s="9" t="n">
        <v>0</v>
      </c>
      <c r="V186" s="0" t="n">
        <v>16.3655120252505</v>
      </c>
      <c r="W186" s="0" t="n">
        <v>20221231</v>
      </c>
      <c r="X186" s="0" t="n">
        <v>0.634198912846815</v>
      </c>
      <c r="Y186" s="0" t="s">
        <v>1990</v>
      </c>
      <c r="Z186" s="0" t="s">
        <v>158</v>
      </c>
    </row>
    <row r="187" customFormat="false" ht="15" hidden="false" customHeight="false" outlineLevel="0" collapsed="false">
      <c r="A187" s="0" t="n">
        <v>184</v>
      </c>
      <c r="B187" s="9" t="n">
        <v>530980</v>
      </c>
      <c r="C187" s="0" t="n">
        <v>18038</v>
      </c>
      <c r="D187" s="0" t="n">
        <v>432649</v>
      </c>
      <c r="E187" s="0" t="s">
        <v>1281</v>
      </c>
      <c r="F187" s="0" t="n">
        <v>63947</v>
      </c>
      <c r="G187" s="0" t="s">
        <v>1991</v>
      </c>
      <c r="H187" s="0" t="s">
        <v>1992</v>
      </c>
      <c r="I187" s="0" t="s">
        <v>1993</v>
      </c>
      <c r="J187" s="0" t="s">
        <v>1994</v>
      </c>
      <c r="K187" s="0" t="s">
        <v>1995</v>
      </c>
      <c r="L187" s="0" t="n">
        <v>405123</v>
      </c>
      <c r="M187" s="0" t="s">
        <v>1996</v>
      </c>
      <c r="N187" s="0" t="n">
        <v>384424</v>
      </c>
      <c r="O187" s="9" t="n">
        <v>2186</v>
      </c>
      <c r="P187" s="0" t="s">
        <v>372</v>
      </c>
      <c r="Q187" s="0" t="s">
        <v>1997</v>
      </c>
      <c r="R187" s="0" t="s">
        <v>1998</v>
      </c>
      <c r="S187" s="0" t="s">
        <v>1999</v>
      </c>
      <c r="T187" s="0" t="s">
        <v>2000</v>
      </c>
      <c r="U187" s="9" t="n">
        <v>0</v>
      </c>
      <c r="V187" s="0" t="n">
        <v>0</v>
      </c>
      <c r="W187" s="0" t="n">
        <v>20221231</v>
      </c>
      <c r="X187" s="0" t="n">
        <v>-0.282240555796787</v>
      </c>
      <c r="Y187" s="0" t="s">
        <v>2001</v>
      </c>
      <c r="Z187" s="0" t="s">
        <v>158</v>
      </c>
    </row>
    <row r="188" customFormat="false" ht="15" hidden="false" customHeight="false" outlineLevel="0" collapsed="false">
      <c r="A188" s="0" t="n">
        <v>185</v>
      </c>
      <c r="B188" s="9" t="n">
        <v>7377141</v>
      </c>
      <c r="C188" s="0" t="n">
        <v>18408</v>
      </c>
      <c r="D188" s="0" t="n">
        <v>5909658</v>
      </c>
      <c r="E188" s="0" t="s">
        <v>2002</v>
      </c>
      <c r="F188" s="0" t="n">
        <v>349062</v>
      </c>
      <c r="G188" s="0" t="s">
        <v>2003</v>
      </c>
      <c r="H188" s="0" t="s">
        <v>2004</v>
      </c>
      <c r="I188" s="0" t="s">
        <v>2005</v>
      </c>
      <c r="J188" s="0" t="s">
        <v>2006</v>
      </c>
      <c r="K188" s="0" t="s">
        <v>2007</v>
      </c>
      <c r="L188" s="0" t="n">
        <v>4697324</v>
      </c>
      <c r="M188" s="0" t="s">
        <v>2008</v>
      </c>
      <c r="N188" s="0" t="n">
        <v>4276244</v>
      </c>
      <c r="O188" s="9" t="n">
        <v>5657</v>
      </c>
      <c r="P188" s="0" t="s">
        <v>384</v>
      </c>
      <c r="Q188" s="0" t="s">
        <v>2009</v>
      </c>
      <c r="R188" s="0" t="s">
        <v>2010</v>
      </c>
      <c r="S188" s="0" t="s">
        <v>2011</v>
      </c>
      <c r="T188" s="0" t="s">
        <v>2012</v>
      </c>
      <c r="U188" s="9" t="n">
        <v>0</v>
      </c>
      <c r="V188" s="0" t="n">
        <v>11.766441688643</v>
      </c>
      <c r="W188" s="0" t="n">
        <v>20221231</v>
      </c>
      <c r="X188" s="0" t="n">
        <v>0.719697481409942</v>
      </c>
      <c r="Y188" s="0" t="s">
        <v>2013</v>
      </c>
      <c r="Z188" s="0" t="s">
        <v>60</v>
      </c>
    </row>
    <row r="189" customFormat="false" ht="15" hidden="false" customHeight="false" outlineLevel="0" collapsed="false">
      <c r="A189" s="0" t="n">
        <v>186</v>
      </c>
      <c r="B189" s="9" t="n">
        <v>2360784</v>
      </c>
      <c r="C189" s="0" t="n">
        <v>19531</v>
      </c>
      <c r="D189" s="0" t="n">
        <v>1966979</v>
      </c>
      <c r="E189" s="0" t="s">
        <v>61</v>
      </c>
      <c r="F189" s="0" t="n">
        <v>223250</v>
      </c>
      <c r="G189" s="0" t="s">
        <v>2014</v>
      </c>
      <c r="H189" s="0" t="s">
        <v>2015</v>
      </c>
      <c r="I189" s="0" t="s">
        <v>2016</v>
      </c>
      <c r="J189" s="0" t="s">
        <v>2017</v>
      </c>
      <c r="K189" s="0" t="s">
        <v>2018</v>
      </c>
      <c r="L189" s="0" t="n">
        <v>1885573</v>
      </c>
      <c r="M189" s="0" t="s">
        <v>2019</v>
      </c>
      <c r="N189" s="0" t="n">
        <v>1530116</v>
      </c>
      <c r="O189" s="9" t="n">
        <v>8354</v>
      </c>
      <c r="P189" s="0" t="s">
        <v>397</v>
      </c>
      <c r="Q189" s="0" t="s">
        <v>2020</v>
      </c>
      <c r="R189" s="0" t="s">
        <v>2021</v>
      </c>
      <c r="S189" s="0" t="s">
        <v>2022</v>
      </c>
      <c r="T189" s="0" t="s">
        <v>2023</v>
      </c>
      <c r="U189" s="9" t="n">
        <v>0</v>
      </c>
      <c r="V189" s="0" t="n">
        <v>14.3614098222374</v>
      </c>
      <c r="W189" s="0" t="n">
        <v>20221231</v>
      </c>
      <c r="X189" s="0" t="n">
        <v>0.703967262708858</v>
      </c>
      <c r="Y189" s="0" t="s">
        <v>2024</v>
      </c>
      <c r="Z189" s="0" t="s">
        <v>60</v>
      </c>
    </row>
    <row r="190" customFormat="false" ht="15" hidden="false" customHeight="false" outlineLevel="0" collapsed="false">
      <c r="A190" s="0" t="n">
        <v>187</v>
      </c>
      <c r="B190" s="9" t="n">
        <v>774373</v>
      </c>
      <c r="C190" s="0" t="n">
        <v>19532</v>
      </c>
      <c r="D190" s="0" t="n">
        <v>673912</v>
      </c>
      <c r="E190" s="0" t="s">
        <v>61</v>
      </c>
      <c r="F190" s="0" t="n">
        <v>87739</v>
      </c>
      <c r="G190" s="0" t="s">
        <v>2025</v>
      </c>
      <c r="H190" s="0" t="s">
        <v>2026</v>
      </c>
      <c r="I190" s="0" t="s">
        <v>2027</v>
      </c>
      <c r="J190" s="0" t="s">
        <v>2028</v>
      </c>
      <c r="K190" s="0" t="s">
        <v>2029</v>
      </c>
      <c r="L190" s="0" t="n">
        <v>544282</v>
      </c>
      <c r="M190" s="0" t="s">
        <v>2030</v>
      </c>
      <c r="N190" s="0" t="n">
        <v>460817</v>
      </c>
      <c r="O190" s="9" t="n">
        <v>797</v>
      </c>
      <c r="P190" s="0" t="s">
        <v>409</v>
      </c>
      <c r="Q190" s="0" t="s">
        <v>2031</v>
      </c>
      <c r="R190" s="0" t="s">
        <v>2032</v>
      </c>
      <c r="S190" s="0" t="s">
        <v>2033</v>
      </c>
      <c r="T190" s="0" t="s">
        <v>2034</v>
      </c>
      <c r="U190" s="9" t="n">
        <v>0</v>
      </c>
      <c r="V190" s="0" t="n">
        <v>20.8845928529584</v>
      </c>
      <c r="W190" s="0" t="n">
        <v>20221231</v>
      </c>
      <c r="X190" s="0" t="n">
        <v>0.722576685653743</v>
      </c>
      <c r="Y190" s="0" t="s">
        <v>1772</v>
      </c>
      <c r="Z190" s="0" t="s">
        <v>60</v>
      </c>
    </row>
    <row r="191" customFormat="false" ht="15" hidden="false" customHeight="false" outlineLevel="0" collapsed="false">
      <c r="A191" s="0" t="n">
        <v>188</v>
      </c>
      <c r="B191" s="9" t="n">
        <v>2809418</v>
      </c>
      <c r="C191" s="0" t="n">
        <v>19690</v>
      </c>
      <c r="D191" s="0" t="n">
        <v>2251472</v>
      </c>
      <c r="E191" s="0" t="s">
        <v>61</v>
      </c>
      <c r="F191" s="0" t="n">
        <v>263427</v>
      </c>
      <c r="G191" s="0" t="s">
        <v>2035</v>
      </c>
      <c r="H191" s="0" t="s">
        <v>2036</v>
      </c>
      <c r="I191" s="0" t="s">
        <v>2037</v>
      </c>
      <c r="J191" s="0" t="s">
        <v>2038</v>
      </c>
      <c r="K191" s="0" t="s">
        <v>2039</v>
      </c>
      <c r="L191" s="0" t="n">
        <v>2504757</v>
      </c>
      <c r="M191" s="0" t="s">
        <v>2040</v>
      </c>
      <c r="N191" s="0" t="n">
        <v>2024933</v>
      </c>
      <c r="O191" s="9" t="n">
        <v>12899</v>
      </c>
      <c r="P191" s="0" t="s">
        <v>420</v>
      </c>
      <c r="Q191" s="0" t="s">
        <v>2041</v>
      </c>
      <c r="R191" s="0" t="s">
        <v>2042</v>
      </c>
      <c r="S191" s="0" t="s">
        <v>2043</v>
      </c>
      <c r="T191" s="0" t="s">
        <v>2044</v>
      </c>
      <c r="U191" s="9" t="n">
        <v>0</v>
      </c>
      <c r="V191" s="0" t="n">
        <v>11.1047375715636</v>
      </c>
      <c r="W191" s="0" t="n">
        <v>20221231</v>
      </c>
      <c r="X191" s="0" t="n">
        <v>2.20866479041863</v>
      </c>
      <c r="Y191" s="0" t="s">
        <v>2045</v>
      </c>
      <c r="Z191" s="0" t="s">
        <v>60</v>
      </c>
    </row>
    <row r="192" customFormat="false" ht="15" hidden="false" customHeight="false" outlineLevel="0" collapsed="false">
      <c r="A192" s="0" t="n">
        <v>189</v>
      </c>
      <c r="B192" s="9" t="n">
        <v>578817</v>
      </c>
      <c r="C192" s="0" t="n">
        <v>19836</v>
      </c>
      <c r="D192" s="0" t="n">
        <v>445845</v>
      </c>
      <c r="E192" s="0" t="s">
        <v>1187</v>
      </c>
      <c r="F192" s="0" t="n">
        <v>116585</v>
      </c>
      <c r="G192" s="0" t="s">
        <v>2046</v>
      </c>
      <c r="H192" s="0" t="s">
        <v>2047</v>
      </c>
      <c r="I192" s="0" t="s">
        <v>2048</v>
      </c>
      <c r="J192" s="0" t="s">
        <v>2049</v>
      </c>
      <c r="K192" s="0" t="s">
        <v>2050</v>
      </c>
      <c r="L192" s="0" t="n">
        <v>483136</v>
      </c>
      <c r="M192" s="0" t="s">
        <v>2051</v>
      </c>
      <c r="N192" s="0" t="n">
        <v>416786</v>
      </c>
      <c r="O192" s="9" t="n">
        <v>1681</v>
      </c>
      <c r="P192" s="0" t="s">
        <v>290</v>
      </c>
      <c r="Q192" s="0" t="s">
        <v>2052</v>
      </c>
      <c r="R192" s="0" t="s">
        <v>2053</v>
      </c>
      <c r="S192" s="0" t="s">
        <v>2054</v>
      </c>
      <c r="T192" s="0" t="s">
        <v>2055</v>
      </c>
      <c r="U192" s="9" t="n">
        <v>106</v>
      </c>
      <c r="V192" s="0" t="n">
        <v>28.2794278089045</v>
      </c>
      <c r="W192" s="0" t="n">
        <v>20221231</v>
      </c>
      <c r="X192" s="0" t="n">
        <v>0.83577055943012</v>
      </c>
      <c r="Y192" s="0" t="s">
        <v>2056</v>
      </c>
      <c r="Z192" s="0" t="s">
        <v>60</v>
      </c>
    </row>
    <row r="193" customFormat="false" ht="15" hidden="false" customHeight="false" outlineLevel="0" collapsed="false">
      <c r="A193" s="0" t="n">
        <v>190</v>
      </c>
      <c r="B193" s="9" t="n">
        <v>1260196</v>
      </c>
      <c r="C193" s="0" t="n">
        <v>24540</v>
      </c>
      <c r="D193" s="0" t="n">
        <v>1017970</v>
      </c>
      <c r="E193" s="0" t="s">
        <v>246</v>
      </c>
      <c r="F193" s="0" t="n">
        <v>214985</v>
      </c>
      <c r="G193" s="0" t="s">
        <v>2057</v>
      </c>
      <c r="H193" s="0" t="s">
        <v>2058</v>
      </c>
      <c r="I193" s="0" t="s">
        <v>2059</v>
      </c>
      <c r="J193" s="0" t="s">
        <v>2060</v>
      </c>
      <c r="K193" s="0" t="s">
        <v>2061</v>
      </c>
      <c r="L193" s="0" t="n">
        <v>1087189</v>
      </c>
      <c r="M193" s="0" t="s">
        <v>2062</v>
      </c>
      <c r="N193" s="0" t="n">
        <v>1047480</v>
      </c>
      <c r="O193" s="9" t="n">
        <v>372</v>
      </c>
      <c r="P193" s="0" t="s">
        <v>443</v>
      </c>
      <c r="Q193" s="0" t="s">
        <v>2063</v>
      </c>
      <c r="R193" s="0" t="s">
        <v>2064</v>
      </c>
      <c r="S193" s="0" t="s">
        <v>998</v>
      </c>
      <c r="T193" s="0" t="s">
        <v>2065</v>
      </c>
      <c r="U193" s="9" t="n">
        <v>0</v>
      </c>
      <c r="V193" s="0" t="n">
        <v>0</v>
      </c>
      <c r="W193" s="0" t="n">
        <v>20221231</v>
      </c>
      <c r="X193" s="0" t="n">
        <v>2.4490506964624</v>
      </c>
      <c r="Y193" s="0" t="s">
        <v>2066</v>
      </c>
      <c r="Z193" s="0" t="s">
        <v>158</v>
      </c>
    </row>
    <row r="194" customFormat="false" ht="15" hidden="false" customHeight="false" outlineLevel="0" collapsed="false">
      <c r="A194" s="0" t="n">
        <v>191</v>
      </c>
      <c r="B194" s="9" t="n">
        <v>487232</v>
      </c>
      <c r="C194" s="0" t="n">
        <v>27824</v>
      </c>
      <c r="D194" s="0" t="n">
        <v>385881</v>
      </c>
      <c r="E194" s="0" t="s">
        <v>195</v>
      </c>
      <c r="F194" s="0" t="n">
        <v>66059</v>
      </c>
      <c r="G194" s="0" t="s">
        <v>2067</v>
      </c>
      <c r="H194" s="0" t="s">
        <v>2068</v>
      </c>
      <c r="I194" s="0" t="s">
        <v>2069</v>
      </c>
      <c r="J194" s="0" t="s">
        <v>2070</v>
      </c>
      <c r="K194" s="0" t="s">
        <v>2071</v>
      </c>
      <c r="L194" s="0" t="n">
        <v>403625</v>
      </c>
      <c r="M194" s="0" t="s">
        <v>2072</v>
      </c>
      <c r="N194" s="0" t="n">
        <v>342567</v>
      </c>
      <c r="O194" s="9" t="n">
        <v>881</v>
      </c>
      <c r="P194" s="0" t="s">
        <v>453</v>
      </c>
      <c r="Q194" s="0" t="s">
        <v>2073</v>
      </c>
      <c r="R194" s="0" t="s">
        <v>2074</v>
      </c>
      <c r="S194" s="0" t="s">
        <v>1248</v>
      </c>
      <c r="T194" s="0" t="s">
        <v>2075</v>
      </c>
      <c r="U194" s="9" t="n">
        <v>0</v>
      </c>
      <c r="V194" s="0" t="n">
        <v>23.0970442865222</v>
      </c>
      <c r="W194" s="0" t="n">
        <v>20221231</v>
      </c>
      <c r="X194" s="0" t="n">
        <v>0.24575653263604</v>
      </c>
      <c r="Y194" s="0" t="s">
        <v>2076</v>
      </c>
      <c r="Z194" s="0" t="s">
        <v>158</v>
      </c>
    </row>
    <row r="195" customFormat="false" ht="15" hidden="false" customHeight="false" outlineLevel="0" collapsed="false">
      <c r="A195" s="0" t="n">
        <v>192</v>
      </c>
      <c r="B195" s="9" t="n">
        <v>297675</v>
      </c>
      <c r="C195" s="0" t="n">
        <v>28155</v>
      </c>
      <c r="D195" s="0" t="n">
        <v>258019</v>
      </c>
      <c r="E195" s="0" t="s">
        <v>208</v>
      </c>
      <c r="F195" s="0" t="n">
        <v>27626</v>
      </c>
      <c r="G195" s="0" t="s">
        <v>2077</v>
      </c>
      <c r="H195" s="0" t="s">
        <v>2078</v>
      </c>
      <c r="I195" s="0" t="s">
        <v>2079</v>
      </c>
      <c r="J195" s="0" t="s">
        <v>2080</v>
      </c>
      <c r="K195" s="0" t="s">
        <v>2081</v>
      </c>
      <c r="L195" s="0" t="n">
        <v>158085</v>
      </c>
      <c r="M195" s="0" t="s">
        <v>2082</v>
      </c>
      <c r="N195" s="0" t="n">
        <v>146082</v>
      </c>
      <c r="O195" s="9" t="n">
        <v>67</v>
      </c>
      <c r="P195" s="0" t="s">
        <v>464</v>
      </c>
      <c r="Q195" s="0" t="s">
        <v>2083</v>
      </c>
      <c r="R195" s="0" t="s">
        <v>2084</v>
      </c>
      <c r="S195" s="0" t="s">
        <v>1018</v>
      </c>
      <c r="T195" s="0" t="s">
        <v>2085</v>
      </c>
      <c r="U195" s="9" t="n">
        <v>0</v>
      </c>
      <c r="V195" s="0" t="n">
        <v>18.1932924630364</v>
      </c>
      <c r="W195" s="0" t="n">
        <v>20221231</v>
      </c>
      <c r="X195" s="0" t="n">
        <v>0.129023320625668</v>
      </c>
      <c r="Y195" s="0" t="s">
        <v>2086</v>
      </c>
      <c r="Z195" s="0" t="s">
        <v>158</v>
      </c>
    </row>
    <row r="196" customFormat="false" ht="15" hidden="false" customHeight="false" outlineLevel="0" collapsed="false">
      <c r="A196" s="0" t="n">
        <v>193</v>
      </c>
      <c r="B196" s="9" t="n">
        <v>101567</v>
      </c>
      <c r="C196" s="0" t="n">
        <v>28288</v>
      </c>
      <c r="D196" s="0" t="n">
        <v>81268</v>
      </c>
      <c r="E196" s="0" t="s">
        <v>271</v>
      </c>
      <c r="F196" s="0" t="n">
        <v>5901</v>
      </c>
      <c r="G196" s="0" t="s">
        <v>2087</v>
      </c>
      <c r="H196" s="0" t="s">
        <v>2088</v>
      </c>
      <c r="I196" s="0" t="s">
        <v>2089</v>
      </c>
      <c r="J196" s="0" t="s">
        <v>2090</v>
      </c>
      <c r="K196" s="0" t="s">
        <v>2091</v>
      </c>
      <c r="L196" s="0" t="n">
        <v>78728</v>
      </c>
      <c r="M196" s="0" t="s">
        <v>2092</v>
      </c>
      <c r="N196" s="0" t="n">
        <v>74650</v>
      </c>
      <c r="O196" s="9" t="n">
        <v>364</v>
      </c>
      <c r="P196" s="0" t="s">
        <v>475</v>
      </c>
      <c r="Q196" s="0" t="s">
        <v>2093</v>
      </c>
      <c r="R196" s="0" t="s">
        <v>2094</v>
      </c>
      <c r="S196" s="0" t="s">
        <v>2033</v>
      </c>
      <c r="T196" s="0" t="s">
        <v>2095</v>
      </c>
      <c r="U196" s="9" t="n">
        <v>0</v>
      </c>
      <c r="V196" s="0" t="n">
        <v>13.6622857582046</v>
      </c>
      <c r="W196" s="0" t="n">
        <v>20221231</v>
      </c>
      <c r="X196" s="0" t="n">
        <v>0.0982367028867114</v>
      </c>
      <c r="Y196" s="0" t="s">
        <v>2096</v>
      </c>
      <c r="Z196" s="0" t="s">
        <v>60</v>
      </c>
    </row>
    <row r="197" customFormat="false" ht="15" hidden="false" customHeight="false" outlineLevel="0" collapsed="false">
      <c r="A197" s="0" t="n">
        <v>194</v>
      </c>
      <c r="B197" s="9" t="n">
        <v>86156</v>
      </c>
      <c r="C197" s="0" t="n">
        <v>28369</v>
      </c>
      <c r="D197" s="0" t="n">
        <v>76209</v>
      </c>
      <c r="E197" s="0" t="s">
        <v>794</v>
      </c>
      <c r="F197" s="0" t="n">
        <v>9537</v>
      </c>
      <c r="G197" s="0" t="s">
        <v>2097</v>
      </c>
      <c r="H197" s="0" t="s">
        <v>2098</v>
      </c>
      <c r="I197" s="0" t="s">
        <v>2099</v>
      </c>
      <c r="J197" s="0" t="s">
        <v>2100</v>
      </c>
      <c r="K197" s="0" t="s">
        <v>2101</v>
      </c>
      <c r="L197" s="0" t="n">
        <v>73364</v>
      </c>
      <c r="M197" s="0" t="s">
        <v>2102</v>
      </c>
      <c r="N197" s="0" t="n">
        <v>62199</v>
      </c>
      <c r="O197" s="9" t="n">
        <v>243</v>
      </c>
      <c r="P197" s="0" t="s">
        <v>486</v>
      </c>
      <c r="Q197" s="0" t="s">
        <v>2103</v>
      </c>
      <c r="R197" s="0" t="s">
        <v>2104</v>
      </c>
      <c r="S197" s="0" t="s">
        <v>1865</v>
      </c>
      <c r="T197" s="0" t="s">
        <v>2105</v>
      </c>
      <c r="U197" s="9" t="n">
        <v>0</v>
      </c>
      <c r="V197" s="0" t="n">
        <v>0</v>
      </c>
      <c r="W197" s="0" t="n">
        <v>20221231</v>
      </c>
      <c r="X197" s="0" t="n">
        <v>0.120898935398517</v>
      </c>
      <c r="Y197" s="0" t="s">
        <v>2106</v>
      </c>
      <c r="Z197" s="0" t="s">
        <v>60</v>
      </c>
    </row>
    <row r="198" customFormat="false" ht="15" hidden="false" customHeight="false" outlineLevel="0" collapsed="false">
      <c r="A198" s="0" t="n">
        <v>195</v>
      </c>
      <c r="B198" s="9" t="n">
        <v>309393</v>
      </c>
      <c r="C198" s="0" t="n">
        <v>28837</v>
      </c>
      <c r="D198" s="0" t="n">
        <v>282476</v>
      </c>
      <c r="E198" s="0" t="s">
        <v>271</v>
      </c>
      <c r="F198" s="0" t="n">
        <v>23557</v>
      </c>
      <c r="G198" s="0" t="s">
        <v>2107</v>
      </c>
      <c r="H198" s="0" t="s">
        <v>2108</v>
      </c>
      <c r="I198" s="0" t="s">
        <v>2109</v>
      </c>
      <c r="J198" s="0" t="s">
        <v>2110</v>
      </c>
      <c r="K198" s="0" t="s">
        <v>2111</v>
      </c>
      <c r="L198" s="0" t="n">
        <v>188508</v>
      </c>
      <c r="M198" s="0" t="s">
        <v>2112</v>
      </c>
      <c r="N198" s="0" t="n">
        <v>179883</v>
      </c>
      <c r="O198" s="9" t="n">
        <v>19</v>
      </c>
      <c r="P198" s="0" t="s">
        <v>497</v>
      </c>
      <c r="Q198" s="0" t="s">
        <v>2113</v>
      </c>
      <c r="R198" s="0" t="s">
        <v>2114</v>
      </c>
      <c r="S198" s="0" t="s">
        <v>2115</v>
      </c>
      <c r="T198" s="0" t="s">
        <v>2116</v>
      </c>
      <c r="U198" s="9" t="n">
        <v>0</v>
      </c>
      <c r="V198" s="0" t="n">
        <v>15.4061497879384</v>
      </c>
      <c r="W198" s="0" t="n">
        <v>20221231</v>
      </c>
      <c r="X198" s="0" t="n">
        <v>0.587269738016854</v>
      </c>
      <c r="Y198" s="0" t="s">
        <v>2117</v>
      </c>
      <c r="Z198" s="0" t="s">
        <v>98</v>
      </c>
    </row>
    <row r="199" customFormat="false" ht="15" hidden="false" customHeight="false" outlineLevel="0" collapsed="false">
      <c r="A199" s="0" t="n">
        <v>196</v>
      </c>
      <c r="B199" s="9" t="n">
        <v>181529</v>
      </c>
      <c r="C199" s="0" t="n">
        <v>29636</v>
      </c>
      <c r="D199" s="0" t="n">
        <v>149099</v>
      </c>
      <c r="E199" s="0" t="s">
        <v>246</v>
      </c>
      <c r="F199" s="0" t="n">
        <v>24331</v>
      </c>
      <c r="G199" s="0" t="s">
        <v>2118</v>
      </c>
      <c r="H199" s="0" t="s">
        <v>2119</v>
      </c>
      <c r="I199" s="0" t="s">
        <v>2120</v>
      </c>
      <c r="J199" s="0" t="s">
        <v>1921</v>
      </c>
      <c r="K199" s="0" t="s">
        <v>2121</v>
      </c>
      <c r="L199" s="0" t="n">
        <v>125359</v>
      </c>
      <c r="M199" s="0" t="s">
        <v>2122</v>
      </c>
      <c r="N199" s="0" t="n">
        <v>121892</v>
      </c>
      <c r="O199" s="9" t="n">
        <v>2260</v>
      </c>
      <c r="P199" s="0" t="s">
        <v>509</v>
      </c>
      <c r="Q199" s="0" t="s">
        <v>2123</v>
      </c>
      <c r="R199" s="0" t="s">
        <v>2124</v>
      </c>
      <c r="S199" s="0" t="s">
        <v>2125</v>
      </c>
      <c r="T199" s="0" t="s">
        <v>2126</v>
      </c>
      <c r="U199" s="9" t="n">
        <v>0</v>
      </c>
      <c r="V199" s="0" t="n">
        <v>27.508772658375</v>
      </c>
      <c r="W199" s="0" t="n">
        <v>20221231</v>
      </c>
      <c r="X199" s="0" t="n">
        <v>0.361070715672017</v>
      </c>
      <c r="Y199" s="0" t="s">
        <v>2127</v>
      </c>
      <c r="Z199" s="0" t="s">
        <v>60</v>
      </c>
    </row>
    <row r="200" customFormat="false" ht="15" hidden="false" customHeight="false" outlineLevel="0" collapsed="false">
      <c r="A200" s="0" t="n">
        <v>197</v>
      </c>
      <c r="B200" s="9" t="n">
        <v>185569</v>
      </c>
      <c r="C200" s="0" t="n">
        <v>29743</v>
      </c>
      <c r="D200" s="0" t="n">
        <v>165554</v>
      </c>
      <c r="E200" s="0" t="s">
        <v>61</v>
      </c>
      <c r="F200" s="0" t="n">
        <v>15292</v>
      </c>
      <c r="G200" s="0" t="s">
        <v>2128</v>
      </c>
      <c r="H200" s="0" t="s">
        <v>2129</v>
      </c>
      <c r="I200" s="0" t="s">
        <v>2130</v>
      </c>
      <c r="J200" s="0" t="s">
        <v>2131</v>
      </c>
      <c r="K200" s="0" t="s">
        <v>2132</v>
      </c>
      <c r="L200" s="0" t="n">
        <v>123871</v>
      </c>
      <c r="M200" s="0" t="s">
        <v>2133</v>
      </c>
      <c r="N200" s="0" t="n">
        <v>81025</v>
      </c>
      <c r="O200" s="9" t="n">
        <v>643</v>
      </c>
      <c r="P200" s="0" t="s">
        <v>520</v>
      </c>
      <c r="Q200" s="0" t="s">
        <v>2134</v>
      </c>
      <c r="R200" s="0" t="s">
        <v>2135</v>
      </c>
      <c r="S200" s="0" t="s">
        <v>500</v>
      </c>
      <c r="T200" s="0" t="s">
        <v>2136</v>
      </c>
      <c r="U200" s="9" t="n">
        <v>0</v>
      </c>
      <c r="V200" s="0" t="n">
        <v>17.815004611099</v>
      </c>
      <c r="W200" s="0" t="n">
        <v>20221231</v>
      </c>
      <c r="X200" s="0" t="n">
        <v>0.780066196271609</v>
      </c>
      <c r="Y200" s="0" t="s">
        <v>2137</v>
      </c>
      <c r="Z200" s="0" t="s">
        <v>60</v>
      </c>
    </row>
    <row r="201" customFormat="false" ht="15" hidden="false" customHeight="false" outlineLevel="0" collapsed="false">
      <c r="A201" s="0" t="n">
        <v>198</v>
      </c>
      <c r="B201" s="9" t="n">
        <v>537395</v>
      </c>
      <c r="C201" s="0" t="n">
        <v>29744</v>
      </c>
      <c r="D201" s="0" t="n">
        <v>393417</v>
      </c>
      <c r="E201" s="0" t="s">
        <v>61</v>
      </c>
      <c r="F201" s="0" t="n">
        <v>39950</v>
      </c>
      <c r="G201" s="0" t="s">
        <v>2138</v>
      </c>
      <c r="H201" s="0" t="s">
        <v>2139</v>
      </c>
      <c r="I201" s="0" t="s">
        <v>2140</v>
      </c>
      <c r="J201" s="0" t="s">
        <v>2141</v>
      </c>
      <c r="K201" s="0" t="s">
        <v>2142</v>
      </c>
      <c r="L201" s="0" t="n">
        <v>402003</v>
      </c>
      <c r="M201" s="0" t="s">
        <v>2143</v>
      </c>
      <c r="N201" s="0" t="n">
        <v>369776</v>
      </c>
      <c r="O201" s="9" t="n">
        <v>89</v>
      </c>
      <c r="P201" s="0" t="s">
        <v>531</v>
      </c>
      <c r="Q201" s="0" t="s">
        <v>2144</v>
      </c>
      <c r="R201" s="0" t="s">
        <v>2145</v>
      </c>
      <c r="S201" s="0" t="s">
        <v>1079</v>
      </c>
      <c r="T201" s="0" t="s">
        <v>489</v>
      </c>
      <c r="U201" s="9" t="n">
        <v>0</v>
      </c>
      <c r="V201" s="0" t="n">
        <v>15.5322247414503</v>
      </c>
      <c r="W201" s="0" t="n">
        <v>20221231</v>
      </c>
      <c r="X201" s="0" t="n">
        <v>-0.0975161331550553</v>
      </c>
      <c r="Y201" s="0" t="s">
        <v>2146</v>
      </c>
      <c r="Z201" s="0" t="s">
        <v>158</v>
      </c>
    </row>
    <row r="202" customFormat="false" ht="15" hidden="false" customHeight="false" outlineLevel="0" collapsed="false">
      <c r="A202" s="0" t="n">
        <v>199</v>
      </c>
      <c r="B202" s="9" t="n">
        <v>551789</v>
      </c>
      <c r="C202" s="0" t="n">
        <v>30350</v>
      </c>
      <c r="D202" s="0" t="n">
        <v>463644</v>
      </c>
      <c r="E202" s="0" t="s">
        <v>61</v>
      </c>
      <c r="F202" s="0" t="n">
        <v>51142</v>
      </c>
      <c r="G202" s="0" t="s">
        <v>2147</v>
      </c>
      <c r="H202" s="0" t="s">
        <v>2148</v>
      </c>
      <c r="I202" s="0" t="s">
        <v>2149</v>
      </c>
      <c r="J202" s="0" t="s">
        <v>2150</v>
      </c>
      <c r="K202" s="0" t="s">
        <v>2151</v>
      </c>
      <c r="L202" s="0" t="n">
        <v>392714</v>
      </c>
      <c r="M202" s="0" t="s">
        <v>2152</v>
      </c>
      <c r="N202" s="0" t="n">
        <v>373732</v>
      </c>
      <c r="O202" s="9" t="n">
        <v>1476</v>
      </c>
      <c r="P202" s="0" t="s">
        <v>543</v>
      </c>
      <c r="Q202" s="0" t="s">
        <v>2153</v>
      </c>
      <c r="R202" s="0" t="s">
        <v>2154</v>
      </c>
      <c r="S202" s="0" t="s">
        <v>2155</v>
      </c>
      <c r="T202" s="0" t="s">
        <v>2156</v>
      </c>
      <c r="U202" s="9" t="n">
        <v>0</v>
      </c>
      <c r="V202" s="0" t="n">
        <v>20.9587789111335</v>
      </c>
      <c r="W202" s="0" t="n">
        <v>20221231</v>
      </c>
      <c r="X202" s="0" t="n">
        <v>0.726111639299295</v>
      </c>
      <c r="Y202" s="0" t="s">
        <v>2157</v>
      </c>
      <c r="Z202" s="0" t="s">
        <v>98</v>
      </c>
    </row>
    <row r="203" customFormat="false" ht="15" hidden="false" customHeight="false" outlineLevel="0" collapsed="false">
      <c r="A203" s="0" t="n">
        <v>200</v>
      </c>
      <c r="B203" s="9" t="n">
        <v>101068</v>
      </c>
      <c r="C203" s="0" t="n">
        <v>30878</v>
      </c>
      <c r="D203" s="0" t="n">
        <v>73524</v>
      </c>
      <c r="E203" s="0" t="s">
        <v>47</v>
      </c>
      <c r="F203" s="0" t="n">
        <v>12458</v>
      </c>
      <c r="G203" s="0" t="s">
        <v>2158</v>
      </c>
      <c r="H203" s="0" t="s">
        <v>2159</v>
      </c>
      <c r="I203" s="0" t="s">
        <v>2160</v>
      </c>
      <c r="J203" s="0" t="s">
        <v>61</v>
      </c>
      <c r="K203" s="0" t="s">
        <v>1433</v>
      </c>
      <c r="L203" s="0" t="n">
        <v>81665</v>
      </c>
      <c r="M203" s="0" t="s">
        <v>2161</v>
      </c>
      <c r="N203" s="0" t="n">
        <v>81554</v>
      </c>
      <c r="O203" s="9" t="n">
        <v>710</v>
      </c>
      <c r="P203" s="0" t="s">
        <v>553</v>
      </c>
      <c r="Q203" s="0" t="s">
        <v>2162</v>
      </c>
      <c r="R203" s="0" t="s">
        <v>2163</v>
      </c>
      <c r="S203" s="0" t="s">
        <v>61</v>
      </c>
      <c r="T203" s="0" t="s">
        <v>61</v>
      </c>
      <c r="U203" s="9" t="n">
        <v>0</v>
      </c>
      <c r="V203" s="0" t="n">
        <v>0</v>
      </c>
      <c r="W203" s="0" t="n">
        <v>20221231</v>
      </c>
      <c r="X203" s="0" t="n">
        <v>0.311874884536767</v>
      </c>
      <c r="Y203" s="0" t="s">
        <v>1009</v>
      </c>
      <c r="Z203" s="0" t="s">
        <v>60</v>
      </c>
    </row>
    <row r="204" customFormat="false" ht="15" hidden="false" customHeight="false" outlineLevel="0" collapsed="false">
      <c r="A204" s="0" t="n">
        <v>201</v>
      </c>
      <c r="B204" s="9" t="n">
        <v>742176</v>
      </c>
      <c r="C204" s="0" t="n">
        <v>33418</v>
      </c>
      <c r="D204" s="0" t="n">
        <v>574586</v>
      </c>
      <c r="E204" s="0" t="s">
        <v>2164</v>
      </c>
      <c r="F204" s="0" t="n">
        <v>65423</v>
      </c>
      <c r="G204" s="0" t="s">
        <v>2165</v>
      </c>
      <c r="H204" s="0" t="s">
        <v>2166</v>
      </c>
      <c r="I204" s="0" t="s">
        <v>2167</v>
      </c>
      <c r="J204" s="0" t="s">
        <v>2168</v>
      </c>
      <c r="K204" s="0" t="s">
        <v>2169</v>
      </c>
      <c r="L204" s="0" t="n">
        <v>362057</v>
      </c>
      <c r="M204" s="0" t="s">
        <v>2170</v>
      </c>
      <c r="N204" s="0" t="n">
        <v>308351</v>
      </c>
      <c r="O204" s="9" t="n">
        <v>1487</v>
      </c>
      <c r="P204" s="0" t="s">
        <v>564</v>
      </c>
      <c r="Q204" s="0" t="s">
        <v>2171</v>
      </c>
      <c r="R204" s="0" t="s">
        <v>2172</v>
      </c>
      <c r="S204" s="0" t="s">
        <v>2173</v>
      </c>
      <c r="T204" s="0" t="s">
        <v>2174</v>
      </c>
      <c r="U204" s="9" t="n">
        <v>0</v>
      </c>
      <c r="V204" s="0" t="n">
        <v>18.7624877592514</v>
      </c>
      <c r="W204" s="0" t="n">
        <v>20221231</v>
      </c>
      <c r="X204" s="0" t="n">
        <v>1.03439074331582</v>
      </c>
      <c r="Y204" s="0" t="s">
        <v>2175</v>
      </c>
      <c r="Z204" s="0" t="s">
        <v>98</v>
      </c>
    </row>
    <row r="205" customFormat="false" ht="15" hidden="false" customHeight="false" outlineLevel="0" collapsed="false">
      <c r="A205" s="0" t="n">
        <v>202</v>
      </c>
      <c r="B205" s="9" t="n">
        <v>65008</v>
      </c>
      <c r="C205" s="0" t="n">
        <v>35206</v>
      </c>
      <c r="D205" s="0" t="n">
        <v>500</v>
      </c>
      <c r="E205" s="0" t="s">
        <v>61</v>
      </c>
      <c r="F205" s="0" t="n">
        <v>60620</v>
      </c>
      <c r="G205" s="0" t="s">
        <v>2176</v>
      </c>
      <c r="H205" s="0" t="s">
        <v>2177</v>
      </c>
      <c r="I205" s="0" t="s">
        <v>61</v>
      </c>
      <c r="J205" s="0" t="s">
        <v>61</v>
      </c>
      <c r="K205" s="0" t="s">
        <v>61</v>
      </c>
      <c r="L205" s="0" t="n">
        <v>0</v>
      </c>
      <c r="M205" s="0" t="s">
        <v>61</v>
      </c>
      <c r="N205" s="0" t="n">
        <v>0</v>
      </c>
      <c r="O205" s="9" t="n">
        <v>0</v>
      </c>
      <c r="P205" s="0" t="s">
        <v>1112</v>
      </c>
      <c r="Q205" s="0" t="s">
        <v>61</v>
      </c>
      <c r="R205" s="0" t="s">
        <v>2178</v>
      </c>
      <c r="S205" s="0" t="s">
        <v>61</v>
      </c>
      <c r="T205" s="0" t="s">
        <v>61</v>
      </c>
      <c r="U205" s="9" t="n">
        <v>0</v>
      </c>
      <c r="V205" s="0" t="n">
        <v>0</v>
      </c>
      <c r="W205" s="0" t="n">
        <v>20221231</v>
      </c>
      <c r="X205" s="0" t="n">
        <v>6.0520993219523</v>
      </c>
      <c r="Y205" s="0" t="s">
        <v>2179</v>
      </c>
      <c r="Z205" s="0" t="s">
        <v>158</v>
      </c>
    </row>
    <row r="206" customFormat="false" ht="15" hidden="false" customHeight="false" outlineLevel="0" collapsed="false">
      <c r="A206" s="0" t="n">
        <v>203</v>
      </c>
      <c r="B206" s="9" t="n">
        <v>5662457</v>
      </c>
      <c r="C206" s="0" t="n">
        <v>4255</v>
      </c>
      <c r="D206" s="0" t="n">
        <v>4867005</v>
      </c>
      <c r="E206" s="0" t="s">
        <v>47</v>
      </c>
      <c r="F206" s="0" t="n">
        <v>460754</v>
      </c>
      <c r="G206" s="0" t="s">
        <v>2180</v>
      </c>
      <c r="H206" s="0" t="s">
        <v>2181</v>
      </c>
      <c r="I206" s="0" t="s">
        <v>2182</v>
      </c>
      <c r="J206" s="0" t="s">
        <v>2183</v>
      </c>
      <c r="K206" s="0" t="s">
        <v>2184</v>
      </c>
      <c r="L206" s="0" t="n">
        <v>4015550</v>
      </c>
      <c r="M206" s="0" t="s">
        <v>2185</v>
      </c>
      <c r="N206" s="0" t="n">
        <v>3596765</v>
      </c>
      <c r="O206" s="9" t="n">
        <v>2991</v>
      </c>
      <c r="P206" s="0" t="s">
        <v>575</v>
      </c>
      <c r="Q206" s="0" t="s">
        <v>2186</v>
      </c>
      <c r="R206" s="0" t="s">
        <v>2187</v>
      </c>
      <c r="S206" s="0" t="s">
        <v>2188</v>
      </c>
      <c r="T206" s="0" t="s">
        <v>2189</v>
      </c>
      <c r="U206" s="9" t="n">
        <v>0</v>
      </c>
      <c r="V206" s="0" t="n">
        <v>13.0289267440629</v>
      </c>
      <c r="W206" s="0" t="n">
        <v>20221231</v>
      </c>
      <c r="X206" s="0" t="n">
        <v>1.15861850141068</v>
      </c>
      <c r="Y206" s="0" t="s">
        <v>2190</v>
      </c>
      <c r="Z206" s="0" t="s">
        <v>60</v>
      </c>
    </row>
    <row r="207" customFormat="false" ht="15" hidden="false" customHeight="false" outlineLevel="0" collapsed="false">
      <c r="A207" s="0" t="n">
        <v>204</v>
      </c>
      <c r="B207" s="9" t="n">
        <v>2704047</v>
      </c>
      <c r="C207" s="0" t="n">
        <v>4256</v>
      </c>
      <c r="D207" s="0" t="n">
        <v>2379757</v>
      </c>
      <c r="E207" s="0" t="s">
        <v>259</v>
      </c>
      <c r="F207" s="0" t="n">
        <v>200180</v>
      </c>
      <c r="G207" s="0" t="s">
        <v>2191</v>
      </c>
      <c r="H207" s="0" t="s">
        <v>2192</v>
      </c>
      <c r="I207" s="0" t="s">
        <v>2193</v>
      </c>
      <c r="J207" s="0" t="s">
        <v>2194</v>
      </c>
      <c r="K207" s="0" t="s">
        <v>2195</v>
      </c>
      <c r="L207" s="0" t="n">
        <v>1914949</v>
      </c>
      <c r="M207" s="0" t="s">
        <v>2196</v>
      </c>
      <c r="N207" s="0" t="n">
        <v>1533908</v>
      </c>
      <c r="O207" s="9" t="n">
        <v>1755</v>
      </c>
      <c r="P207" s="0" t="s">
        <v>587</v>
      </c>
      <c r="Q207" s="0" t="s">
        <v>2197</v>
      </c>
      <c r="R207" s="0" t="s">
        <v>2198</v>
      </c>
      <c r="S207" s="0" t="s">
        <v>2199</v>
      </c>
      <c r="T207" s="0" t="s">
        <v>1025</v>
      </c>
      <c r="U207" s="9" t="n">
        <v>242</v>
      </c>
      <c r="V207" s="0" t="n">
        <v>13.5201318899043</v>
      </c>
      <c r="W207" s="0" t="n">
        <v>20221231</v>
      </c>
      <c r="X207" s="0" t="n">
        <v>1.53167395198859</v>
      </c>
      <c r="Y207" s="0" t="s">
        <v>2200</v>
      </c>
      <c r="Z207" s="0" t="s">
        <v>60</v>
      </c>
    </row>
    <row r="208" customFormat="false" ht="15" hidden="false" customHeight="false" outlineLevel="0" collapsed="false">
      <c r="A208" s="0" t="n">
        <v>205</v>
      </c>
      <c r="B208" s="9" t="n">
        <v>654191</v>
      </c>
      <c r="C208" s="0" t="n">
        <v>59086</v>
      </c>
      <c r="D208" s="0" t="n">
        <v>564578</v>
      </c>
      <c r="E208" s="0" t="s">
        <v>2201</v>
      </c>
      <c r="F208" s="0" t="n">
        <v>76313</v>
      </c>
      <c r="G208" s="0" t="s">
        <v>2202</v>
      </c>
      <c r="H208" s="0" t="s">
        <v>2203</v>
      </c>
      <c r="I208" s="0" t="s">
        <v>2204</v>
      </c>
      <c r="J208" s="0" t="s">
        <v>2205</v>
      </c>
      <c r="K208" s="0" t="s">
        <v>61</v>
      </c>
      <c r="L208" s="0" t="n">
        <v>575471</v>
      </c>
      <c r="M208" s="0" t="s">
        <v>2206</v>
      </c>
      <c r="N208" s="0" t="n">
        <v>455851</v>
      </c>
      <c r="O208" s="9" t="n">
        <v>2111</v>
      </c>
      <c r="P208" s="0" t="s">
        <v>599</v>
      </c>
      <c r="Q208" s="0" t="s">
        <v>2207</v>
      </c>
      <c r="R208" s="0" t="s">
        <v>2208</v>
      </c>
      <c r="S208" s="0" t="s">
        <v>61</v>
      </c>
      <c r="T208" s="0" t="s">
        <v>61</v>
      </c>
      <c r="U208" s="9" t="n">
        <v>341</v>
      </c>
      <c r="V208" s="0" t="n">
        <v>13.9312588297769</v>
      </c>
      <c r="W208" s="0" t="n">
        <v>20221231</v>
      </c>
      <c r="X208" s="0" t="n">
        <v>1.57591595036138</v>
      </c>
      <c r="Y208" s="0" t="s">
        <v>2209</v>
      </c>
      <c r="Z208" s="0" t="s">
        <v>158</v>
      </c>
    </row>
    <row r="209" customFormat="false" ht="15" hidden="false" customHeight="false" outlineLevel="0" collapsed="false">
      <c r="A209" s="0" t="n">
        <v>206</v>
      </c>
      <c r="B209" s="9" t="n">
        <v>176672</v>
      </c>
      <c r="C209" s="0" t="n">
        <v>59176</v>
      </c>
      <c r="D209" s="0" t="n">
        <v>151831</v>
      </c>
      <c r="E209" s="0" t="s">
        <v>2210</v>
      </c>
      <c r="F209" s="0" t="n">
        <v>23234</v>
      </c>
      <c r="G209" s="0" t="s">
        <v>2211</v>
      </c>
      <c r="H209" s="0" t="s">
        <v>2212</v>
      </c>
      <c r="I209" s="0" t="s">
        <v>2213</v>
      </c>
      <c r="J209" s="0" t="s">
        <v>2214</v>
      </c>
      <c r="K209" s="0" t="s">
        <v>120</v>
      </c>
      <c r="L209" s="0" t="n">
        <v>134845</v>
      </c>
      <c r="M209" s="0" t="s">
        <v>2215</v>
      </c>
      <c r="N209" s="0" t="n">
        <v>116593</v>
      </c>
      <c r="O209" s="9" t="n">
        <v>0</v>
      </c>
      <c r="P209" s="0" t="s">
        <v>610</v>
      </c>
      <c r="Q209" s="0" t="s">
        <v>61</v>
      </c>
      <c r="R209" s="0" t="s">
        <v>2216</v>
      </c>
      <c r="S209" s="0" t="s">
        <v>61</v>
      </c>
      <c r="T209" s="0" t="s">
        <v>61</v>
      </c>
      <c r="U209" s="9" t="n">
        <v>0</v>
      </c>
      <c r="V209" s="0" t="n">
        <v>18.312919218431</v>
      </c>
      <c r="W209" s="0" t="n">
        <v>20221231</v>
      </c>
      <c r="X209" s="0" t="n">
        <v>0.876801587341154</v>
      </c>
      <c r="Y209" s="0" t="s">
        <v>2217</v>
      </c>
      <c r="Z209" s="0" t="s">
        <v>158</v>
      </c>
    </row>
    <row r="210" customFormat="false" ht="15" hidden="false" customHeight="false" outlineLevel="0" collapsed="false">
      <c r="A210" s="0" t="n">
        <v>207</v>
      </c>
      <c r="B210" s="9" t="n">
        <v>22693</v>
      </c>
      <c r="C210" s="0" t="n">
        <v>59289</v>
      </c>
      <c r="D210" s="0" t="n">
        <v>525</v>
      </c>
      <c r="E210" s="0" t="s">
        <v>2218</v>
      </c>
      <c r="F210" s="0" t="n">
        <v>21542</v>
      </c>
      <c r="G210" s="0" t="s">
        <v>2219</v>
      </c>
      <c r="H210" s="0" t="s">
        <v>2220</v>
      </c>
      <c r="I210" s="0" t="s">
        <v>2221</v>
      </c>
      <c r="J210" s="0" t="s">
        <v>231</v>
      </c>
      <c r="K210" s="0" t="s">
        <v>61</v>
      </c>
      <c r="L210" s="0" t="n">
        <v>4726</v>
      </c>
      <c r="M210" s="0" t="s">
        <v>2222</v>
      </c>
      <c r="N210" s="0" t="n">
        <v>2961</v>
      </c>
      <c r="O210" s="9" t="n">
        <v>0</v>
      </c>
      <c r="P210" s="0" t="s">
        <v>2223</v>
      </c>
      <c r="Q210" s="0" t="s">
        <v>61</v>
      </c>
      <c r="R210" s="0" t="s">
        <v>2224</v>
      </c>
      <c r="S210" s="0" t="s">
        <v>61</v>
      </c>
      <c r="T210" s="0" t="s">
        <v>61</v>
      </c>
      <c r="U210" s="9" t="n">
        <v>0</v>
      </c>
      <c r="V210" s="0" t="n">
        <v>0</v>
      </c>
      <c r="W210" s="0" t="n">
        <v>20221231</v>
      </c>
      <c r="X210" s="0" t="n">
        <v>-12.4840259110739</v>
      </c>
      <c r="Y210" s="0" t="s">
        <v>2225</v>
      </c>
      <c r="Z210" s="0" t="s">
        <v>158</v>
      </c>
    </row>
    <row r="211" customFormat="false" ht="15" hidden="false" customHeight="false" outlineLevel="0" collapsed="false">
      <c r="A211" s="0" t="n">
        <v>208</v>
      </c>
      <c r="B211" s="9" t="n">
        <v>87230</v>
      </c>
      <c r="C211" s="0" t="n">
        <v>59298</v>
      </c>
      <c r="D211" s="0" t="n">
        <v>56740</v>
      </c>
      <c r="E211" s="0" t="s">
        <v>2226</v>
      </c>
      <c r="F211" s="0" t="n">
        <v>29627</v>
      </c>
      <c r="G211" s="0" t="s">
        <v>2227</v>
      </c>
      <c r="H211" s="0" t="s">
        <v>2228</v>
      </c>
      <c r="I211" s="0" t="s">
        <v>2229</v>
      </c>
      <c r="J211" s="0" t="s">
        <v>2230</v>
      </c>
      <c r="K211" s="0" t="s">
        <v>61</v>
      </c>
      <c r="L211" s="0" t="n">
        <v>22351</v>
      </c>
      <c r="M211" s="0" t="s">
        <v>2231</v>
      </c>
      <c r="N211" s="0" t="n">
        <v>15722</v>
      </c>
      <c r="O211" s="9" t="n">
        <v>0</v>
      </c>
      <c r="P211" s="0" t="s">
        <v>1684</v>
      </c>
      <c r="Q211" s="0" t="s">
        <v>61</v>
      </c>
      <c r="R211" s="0" t="s">
        <v>2232</v>
      </c>
      <c r="S211" s="0" t="s">
        <v>61</v>
      </c>
      <c r="T211" s="0" t="s">
        <v>61</v>
      </c>
      <c r="U211" s="9" t="n">
        <v>0</v>
      </c>
      <c r="V211" s="0" t="n">
        <v>0</v>
      </c>
      <c r="W211" s="0" t="n">
        <v>20221231</v>
      </c>
      <c r="X211" s="0" t="n">
        <v>-2.33883632131498</v>
      </c>
      <c r="Y211" s="0" t="s">
        <v>377</v>
      </c>
      <c r="Z211" s="0" t="s">
        <v>98</v>
      </c>
    </row>
    <row r="212" customFormat="false" ht="15" hidden="false" customHeight="false" outlineLevel="0" collapsed="false">
      <c r="A212" s="0" t="n">
        <v>209</v>
      </c>
      <c r="B212" s="9" t="n">
        <v>1055421</v>
      </c>
      <c r="C212" s="0" t="n">
        <v>6271</v>
      </c>
      <c r="D212" s="0" t="n">
        <v>924344</v>
      </c>
      <c r="E212" s="0" t="s">
        <v>85</v>
      </c>
      <c r="F212" s="0" t="n">
        <v>87018</v>
      </c>
      <c r="G212" s="0" t="s">
        <v>2233</v>
      </c>
      <c r="H212" s="0" t="s">
        <v>2234</v>
      </c>
      <c r="I212" s="0" t="s">
        <v>2235</v>
      </c>
      <c r="J212" s="0" t="s">
        <v>2236</v>
      </c>
      <c r="K212" s="0" t="s">
        <v>2237</v>
      </c>
      <c r="L212" s="0" t="n">
        <v>749042</v>
      </c>
      <c r="M212" s="0" t="s">
        <v>2238</v>
      </c>
      <c r="N212" s="0" t="n">
        <v>589916</v>
      </c>
      <c r="O212" s="9" t="n">
        <v>7890</v>
      </c>
      <c r="P212" s="0" t="s">
        <v>621</v>
      </c>
      <c r="Q212" s="0" t="s">
        <v>2239</v>
      </c>
      <c r="R212" s="0" t="s">
        <v>2240</v>
      </c>
      <c r="S212" s="0" t="s">
        <v>2241</v>
      </c>
      <c r="T212" s="0" t="s">
        <v>2242</v>
      </c>
      <c r="U212" s="9" t="n">
        <v>573</v>
      </c>
      <c r="V212" s="0" t="n">
        <v>14.8923999335706</v>
      </c>
      <c r="W212" s="0" t="n">
        <v>20221231</v>
      </c>
      <c r="X212" s="0" t="n">
        <v>1.42847962432808</v>
      </c>
      <c r="Y212" s="0" t="s">
        <v>2243</v>
      </c>
      <c r="Z212" s="0" t="s">
        <v>98</v>
      </c>
    </row>
    <row r="213" customFormat="false" ht="15" hidden="false" customHeight="false" outlineLevel="0" collapsed="false">
      <c r="A213" s="0" t="n">
        <v>210</v>
      </c>
      <c r="B213" s="9" t="n">
        <v>534246</v>
      </c>
      <c r="C213" s="0" t="n">
        <v>6275</v>
      </c>
      <c r="D213" s="0" t="n">
        <v>499882</v>
      </c>
      <c r="E213" s="0" t="s">
        <v>233</v>
      </c>
      <c r="F213" s="0" t="n">
        <v>24487</v>
      </c>
      <c r="G213" s="0" t="s">
        <v>2244</v>
      </c>
      <c r="H213" s="0" t="s">
        <v>2245</v>
      </c>
      <c r="I213" s="0" t="s">
        <v>2246</v>
      </c>
      <c r="J213" s="0" t="s">
        <v>2247</v>
      </c>
      <c r="K213" s="0" t="s">
        <v>2248</v>
      </c>
      <c r="L213" s="0" t="n">
        <v>310667</v>
      </c>
      <c r="M213" s="0" t="s">
        <v>2249</v>
      </c>
      <c r="N213" s="0" t="n">
        <v>252290</v>
      </c>
      <c r="O213" s="9" t="n">
        <v>1436</v>
      </c>
      <c r="P213" s="0" t="s">
        <v>633</v>
      </c>
      <c r="Q213" s="0" t="s">
        <v>2250</v>
      </c>
      <c r="R213" s="0" t="s">
        <v>2251</v>
      </c>
      <c r="S213" s="0" t="s">
        <v>205</v>
      </c>
      <c r="T213" s="0" t="s">
        <v>2252</v>
      </c>
      <c r="U213" s="9" t="n">
        <v>0</v>
      </c>
      <c r="V213" s="0" t="n">
        <v>15.6864385509914</v>
      </c>
      <c r="W213" s="0" t="n">
        <v>20221231</v>
      </c>
      <c r="X213" s="0" t="n">
        <v>0.583126084404197</v>
      </c>
      <c r="Y213" s="0" t="s">
        <v>2253</v>
      </c>
      <c r="Z213" s="0" t="s">
        <v>98</v>
      </c>
    </row>
    <row r="214" customFormat="false" ht="15" hidden="false" customHeight="false" outlineLevel="0" collapsed="false">
      <c r="A214" s="0" t="n">
        <v>211</v>
      </c>
      <c r="B214" s="9" t="n">
        <v>84636</v>
      </c>
      <c r="C214" s="0" t="n">
        <v>6280</v>
      </c>
      <c r="D214" s="0" t="n">
        <v>75635</v>
      </c>
      <c r="E214" s="0" t="s">
        <v>858</v>
      </c>
      <c r="F214" s="0" t="n">
        <v>8605</v>
      </c>
      <c r="G214" s="0" t="s">
        <v>2254</v>
      </c>
      <c r="H214" s="0" t="s">
        <v>2255</v>
      </c>
      <c r="I214" s="0" t="s">
        <v>2256</v>
      </c>
      <c r="J214" s="0" t="s">
        <v>2257</v>
      </c>
      <c r="K214" s="0" t="s">
        <v>2258</v>
      </c>
      <c r="L214" s="0" t="n">
        <v>63400</v>
      </c>
      <c r="M214" s="0" t="s">
        <v>2259</v>
      </c>
      <c r="N214" s="0" t="n">
        <v>54882</v>
      </c>
      <c r="O214" s="9" t="n">
        <v>622</v>
      </c>
      <c r="P214" s="0" t="s">
        <v>644</v>
      </c>
      <c r="Q214" s="0" t="s">
        <v>2260</v>
      </c>
      <c r="R214" s="0" t="s">
        <v>2261</v>
      </c>
      <c r="S214" s="0" t="s">
        <v>1716</v>
      </c>
      <c r="T214" s="0" t="s">
        <v>2262</v>
      </c>
      <c r="U214" s="9" t="n">
        <v>0</v>
      </c>
      <c r="V214" s="0" t="n">
        <v>0</v>
      </c>
      <c r="W214" s="0" t="n">
        <v>20221231</v>
      </c>
      <c r="X214" s="0" t="n">
        <v>1.43133896209814</v>
      </c>
      <c r="Y214" s="0" t="s">
        <v>2263</v>
      </c>
      <c r="Z214" s="0" t="s">
        <v>98</v>
      </c>
    </row>
    <row r="215" customFormat="false" ht="15" hidden="false" customHeight="false" outlineLevel="0" collapsed="false">
      <c r="A215" s="0" t="n">
        <v>212</v>
      </c>
      <c r="B215" s="9" t="n">
        <v>3925512</v>
      </c>
      <c r="C215" s="0" t="n">
        <v>11971</v>
      </c>
      <c r="D215" s="0" t="n">
        <v>3061414</v>
      </c>
      <c r="E215" s="0" t="s">
        <v>172</v>
      </c>
      <c r="F215" s="0" t="n">
        <v>461427</v>
      </c>
      <c r="G215" s="0" t="s">
        <v>2264</v>
      </c>
      <c r="H215" s="0" t="s">
        <v>2265</v>
      </c>
      <c r="I215" s="0" t="s">
        <v>2266</v>
      </c>
      <c r="J215" s="0" t="s">
        <v>2267</v>
      </c>
      <c r="K215" s="0" t="s">
        <v>2268</v>
      </c>
      <c r="L215" s="0" t="n">
        <v>2944469</v>
      </c>
      <c r="M215" s="0" t="s">
        <v>2269</v>
      </c>
      <c r="N215" s="0" t="n">
        <v>2595296</v>
      </c>
      <c r="O215" s="9" t="n">
        <v>7795</v>
      </c>
      <c r="P215" s="0" t="s">
        <v>54</v>
      </c>
      <c r="Q215" s="0" t="s">
        <v>2270</v>
      </c>
      <c r="R215" s="0" t="s">
        <v>2271</v>
      </c>
      <c r="S215" s="0" t="s">
        <v>1945</v>
      </c>
      <c r="T215" s="0" t="s">
        <v>2272</v>
      </c>
      <c r="U215" s="9" t="n">
        <v>138</v>
      </c>
      <c r="V215" s="0" t="n">
        <v>13.4222908894178</v>
      </c>
      <c r="W215" s="0" t="n">
        <v>20230331</v>
      </c>
      <c r="X215" s="0" t="n">
        <v>1.46140641727275</v>
      </c>
      <c r="Y215" s="0" t="s">
        <v>878</v>
      </c>
      <c r="Z215" s="0" t="s">
        <v>60</v>
      </c>
    </row>
    <row r="216" customFormat="false" ht="15" hidden="false" customHeight="false" outlineLevel="0" collapsed="false">
      <c r="A216" s="0" t="n">
        <v>213</v>
      </c>
      <c r="B216" s="9" t="n">
        <v>980710</v>
      </c>
      <c r="C216" s="0" t="n">
        <v>12874</v>
      </c>
      <c r="D216" s="0" t="n">
        <v>858980</v>
      </c>
      <c r="E216" s="0" t="s">
        <v>794</v>
      </c>
      <c r="F216" s="0" t="n">
        <v>100647</v>
      </c>
      <c r="G216" s="0" t="s">
        <v>2273</v>
      </c>
      <c r="H216" s="0" t="s">
        <v>2274</v>
      </c>
      <c r="I216" s="0" t="s">
        <v>2275</v>
      </c>
      <c r="J216" s="0" t="s">
        <v>2276</v>
      </c>
      <c r="K216" s="0" t="s">
        <v>2277</v>
      </c>
      <c r="L216" s="0" t="n">
        <v>760973</v>
      </c>
      <c r="M216" s="0" t="s">
        <v>2278</v>
      </c>
      <c r="N216" s="0" t="n">
        <v>608741</v>
      </c>
      <c r="O216" s="9" t="n">
        <v>468</v>
      </c>
      <c r="P216" s="0" t="s">
        <v>68</v>
      </c>
      <c r="Q216" s="0" t="s">
        <v>2279</v>
      </c>
      <c r="R216" s="0" t="s">
        <v>2280</v>
      </c>
      <c r="S216" s="0" t="s">
        <v>478</v>
      </c>
      <c r="T216" s="0" t="s">
        <v>2281</v>
      </c>
      <c r="U216" s="9" t="n">
        <v>6</v>
      </c>
      <c r="V216" s="0" t="n">
        <v>15.7448301196799</v>
      </c>
      <c r="W216" s="0" t="n">
        <v>20230331</v>
      </c>
      <c r="X216" s="0" t="n">
        <v>1.11202375687117</v>
      </c>
      <c r="Y216" s="0" t="s">
        <v>2282</v>
      </c>
      <c r="Z216" s="0" t="s">
        <v>60</v>
      </c>
    </row>
    <row r="217" customFormat="false" ht="15" hidden="false" customHeight="false" outlineLevel="0" collapsed="false">
      <c r="A217" s="0" t="n">
        <v>214</v>
      </c>
      <c r="B217" s="9" t="n">
        <v>1853851</v>
      </c>
      <c r="C217" s="0" t="n">
        <v>13063</v>
      </c>
      <c r="D217" s="0" t="n">
        <v>1620191</v>
      </c>
      <c r="E217" s="0" t="s">
        <v>1708</v>
      </c>
      <c r="F217" s="0" t="n">
        <v>141179</v>
      </c>
      <c r="G217" s="0" t="s">
        <v>2283</v>
      </c>
      <c r="H217" s="0" t="s">
        <v>2284</v>
      </c>
      <c r="I217" s="0" t="s">
        <v>2285</v>
      </c>
      <c r="J217" s="0" t="s">
        <v>2286</v>
      </c>
      <c r="K217" s="0" t="s">
        <v>2287</v>
      </c>
      <c r="L217" s="0" t="n">
        <v>1379139</v>
      </c>
      <c r="M217" s="0" t="s">
        <v>2288</v>
      </c>
      <c r="N217" s="0" t="n">
        <v>1316711</v>
      </c>
      <c r="O217" s="9" t="n">
        <v>519</v>
      </c>
      <c r="P217" s="0" t="s">
        <v>80</v>
      </c>
      <c r="Q217" s="0" t="s">
        <v>2289</v>
      </c>
      <c r="R217" s="0" t="s">
        <v>2290</v>
      </c>
      <c r="S217" s="0" t="s">
        <v>2291</v>
      </c>
      <c r="T217" s="0" t="s">
        <v>2292</v>
      </c>
      <c r="U217" s="9" t="n">
        <v>892</v>
      </c>
      <c r="V217" s="0" t="n">
        <v>0</v>
      </c>
      <c r="W217" s="0" t="n">
        <v>20230331</v>
      </c>
      <c r="X217" s="0" t="n">
        <v>0.432313134919347</v>
      </c>
      <c r="Y217" s="0" t="s">
        <v>2293</v>
      </c>
      <c r="Z217" s="0" t="s">
        <v>60</v>
      </c>
    </row>
    <row r="218" customFormat="false" ht="15" hidden="false" customHeight="false" outlineLevel="0" collapsed="false">
      <c r="A218" s="0" t="n">
        <v>215</v>
      </c>
      <c r="B218" s="9" t="n">
        <v>835568</v>
      </c>
      <c r="C218" s="0" t="n">
        <v>14134</v>
      </c>
      <c r="D218" s="0" t="n">
        <v>701903</v>
      </c>
      <c r="E218" s="0" t="s">
        <v>858</v>
      </c>
      <c r="F218" s="0" t="n">
        <v>99761</v>
      </c>
      <c r="G218" s="0" t="s">
        <v>2294</v>
      </c>
      <c r="H218" s="0" t="s">
        <v>2295</v>
      </c>
      <c r="I218" s="0" t="s">
        <v>2296</v>
      </c>
      <c r="J218" s="0" t="s">
        <v>2297</v>
      </c>
      <c r="K218" s="0" t="s">
        <v>2298</v>
      </c>
      <c r="L218" s="0" t="n">
        <v>632893</v>
      </c>
      <c r="M218" s="0" t="s">
        <v>2299</v>
      </c>
      <c r="N218" s="0" t="n">
        <v>551797</v>
      </c>
      <c r="O218" s="9" t="n">
        <v>12896</v>
      </c>
      <c r="P218" s="0" t="s">
        <v>92</v>
      </c>
      <c r="Q218" s="0" t="s">
        <v>2300</v>
      </c>
      <c r="R218" s="0" t="s">
        <v>2301</v>
      </c>
      <c r="S218" s="0" t="s">
        <v>2302</v>
      </c>
      <c r="T218" s="0" t="s">
        <v>2303</v>
      </c>
      <c r="U218" s="9" t="n">
        <v>0</v>
      </c>
      <c r="V218" s="0" t="n">
        <v>17.7441561803976</v>
      </c>
      <c r="W218" s="0" t="n">
        <v>20230331</v>
      </c>
      <c r="X218" s="0" t="n">
        <v>0.694511246075301</v>
      </c>
      <c r="Y218" s="0" t="s">
        <v>2304</v>
      </c>
      <c r="Z218" s="0" t="s">
        <v>98</v>
      </c>
    </row>
    <row r="219" customFormat="false" ht="15" hidden="false" customHeight="false" outlineLevel="0" collapsed="false">
      <c r="A219" s="0" t="n">
        <v>216</v>
      </c>
      <c r="B219" s="9" t="n">
        <v>223596</v>
      </c>
      <c r="C219" s="0" t="n">
        <v>14136</v>
      </c>
      <c r="D219" s="0" t="n">
        <v>203232</v>
      </c>
      <c r="E219" s="0" t="s">
        <v>246</v>
      </c>
      <c r="F219" s="0" t="n">
        <v>15756</v>
      </c>
      <c r="G219" s="0" t="s">
        <v>2305</v>
      </c>
      <c r="H219" s="0" t="s">
        <v>2306</v>
      </c>
      <c r="I219" s="0" t="s">
        <v>2307</v>
      </c>
      <c r="J219" s="0" t="s">
        <v>2308</v>
      </c>
      <c r="K219" s="0" t="s">
        <v>2309</v>
      </c>
      <c r="L219" s="0" t="n">
        <v>144100</v>
      </c>
      <c r="M219" s="0" t="s">
        <v>2310</v>
      </c>
      <c r="N219" s="0" t="n">
        <v>115852</v>
      </c>
      <c r="O219" s="9" t="n">
        <v>73</v>
      </c>
      <c r="P219" s="0" t="s">
        <v>105</v>
      </c>
      <c r="Q219" s="0" t="s">
        <v>2311</v>
      </c>
      <c r="R219" s="0" t="s">
        <v>2312</v>
      </c>
      <c r="S219" s="0" t="s">
        <v>1604</v>
      </c>
      <c r="T219" s="0" t="s">
        <v>2313</v>
      </c>
      <c r="U219" s="9" t="n">
        <v>256</v>
      </c>
      <c r="V219" s="0" t="n">
        <v>17.6630149084257</v>
      </c>
      <c r="W219" s="0" t="n">
        <v>20230331</v>
      </c>
      <c r="X219" s="0" t="n">
        <v>0.561314041483233</v>
      </c>
      <c r="Y219" s="0" t="s">
        <v>2314</v>
      </c>
      <c r="Z219" s="0" t="s">
        <v>98</v>
      </c>
    </row>
    <row r="220" customFormat="false" ht="15" hidden="false" customHeight="false" outlineLevel="0" collapsed="false">
      <c r="A220" s="0" t="n">
        <v>217</v>
      </c>
      <c r="B220" s="9" t="n">
        <v>1413583</v>
      </c>
      <c r="C220" s="0" t="n">
        <v>14140</v>
      </c>
      <c r="D220" s="0" t="n">
        <v>1126353</v>
      </c>
      <c r="E220" s="0" t="s">
        <v>271</v>
      </c>
      <c r="F220" s="0" t="n">
        <v>121200</v>
      </c>
      <c r="G220" s="0" t="s">
        <v>2315</v>
      </c>
      <c r="H220" s="0" t="s">
        <v>2316</v>
      </c>
      <c r="I220" s="0" t="s">
        <v>2317</v>
      </c>
      <c r="J220" s="0" t="s">
        <v>2318</v>
      </c>
      <c r="K220" s="0" t="s">
        <v>2319</v>
      </c>
      <c r="L220" s="0" t="n">
        <v>993363</v>
      </c>
      <c r="M220" s="0" t="s">
        <v>2320</v>
      </c>
      <c r="N220" s="0" t="n">
        <v>890367</v>
      </c>
      <c r="O220" s="9" t="n">
        <v>2395</v>
      </c>
      <c r="P220" s="0" t="s">
        <v>117</v>
      </c>
      <c r="Q220" s="0" t="s">
        <v>2321</v>
      </c>
      <c r="R220" s="0" t="s">
        <v>2322</v>
      </c>
      <c r="S220" s="0" t="s">
        <v>1499</v>
      </c>
      <c r="T220" s="0" t="s">
        <v>341</v>
      </c>
      <c r="U220" s="9" t="n">
        <v>0</v>
      </c>
      <c r="V220" s="0" t="n">
        <v>0</v>
      </c>
      <c r="W220" s="0" t="n">
        <v>20230331</v>
      </c>
      <c r="X220" s="0" t="n">
        <v>0.454340029379335</v>
      </c>
      <c r="Y220" s="0" t="s">
        <v>2323</v>
      </c>
      <c r="Z220" s="0" t="s">
        <v>98</v>
      </c>
    </row>
    <row r="221" customFormat="false" ht="15" hidden="false" customHeight="false" outlineLevel="0" collapsed="false">
      <c r="A221" s="0" t="n">
        <v>218</v>
      </c>
      <c r="B221" s="9" t="n">
        <v>1361586</v>
      </c>
      <c r="C221" s="0" t="n">
        <v>14158</v>
      </c>
      <c r="D221" s="0" t="n">
        <v>1229192</v>
      </c>
      <c r="E221" s="0" t="s">
        <v>195</v>
      </c>
      <c r="F221" s="0" t="n">
        <v>76684</v>
      </c>
      <c r="G221" s="0" t="s">
        <v>2324</v>
      </c>
      <c r="H221" s="0" t="s">
        <v>2325</v>
      </c>
      <c r="I221" s="0" t="s">
        <v>2326</v>
      </c>
      <c r="J221" s="0" t="s">
        <v>2327</v>
      </c>
      <c r="K221" s="0" t="s">
        <v>2328</v>
      </c>
      <c r="L221" s="0" t="n">
        <v>976616</v>
      </c>
      <c r="M221" s="0" t="s">
        <v>2329</v>
      </c>
      <c r="N221" s="0" t="n">
        <v>836877</v>
      </c>
      <c r="O221" s="9" t="n">
        <v>2174</v>
      </c>
      <c r="P221" s="0" t="s">
        <v>129</v>
      </c>
      <c r="Q221" s="0" t="s">
        <v>2330</v>
      </c>
      <c r="R221" s="0" t="s">
        <v>2331</v>
      </c>
      <c r="S221" s="0" t="s">
        <v>61</v>
      </c>
      <c r="T221" s="0" t="s">
        <v>2332</v>
      </c>
      <c r="U221" s="9" t="n">
        <v>175</v>
      </c>
      <c r="V221" s="0" t="n">
        <v>13.6817856840481</v>
      </c>
      <c r="W221" s="0" t="n">
        <v>20230331</v>
      </c>
      <c r="X221" s="0" t="n">
        <v>0.950553779137124</v>
      </c>
      <c r="Y221" s="0" t="s">
        <v>2333</v>
      </c>
      <c r="Z221" s="0" t="s">
        <v>98</v>
      </c>
    </row>
    <row r="222" customFormat="false" ht="15" hidden="false" customHeight="false" outlineLevel="0" collapsed="false">
      <c r="A222" s="0" t="n">
        <v>219</v>
      </c>
      <c r="B222" s="9" t="n">
        <v>356091</v>
      </c>
      <c r="C222" s="0" t="n">
        <v>14168</v>
      </c>
      <c r="D222" s="0" t="n">
        <v>318086</v>
      </c>
      <c r="E222" s="0" t="s">
        <v>47</v>
      </c>
      <c r="F222" s="0" t="n">
        <v>33166</v>
      </c>
      <c r="G222" s="0" t="s">
        <v>2334</v>
      </c>
      <c r="H222" s="0" t="s">
        <v>2335</v>
      </c>
      <c r="I222" s="0" t="s">
        <v>2336</v>
      </c>
      <c r="J222" s="0" t="s">
        <v>2337</v>
      </c>
      <c r="K222" s="0" t="s">
        <v>2338</v>
      </c>
      <c r="L222" s="0" t="n">
        <v>213563</v>
      </c>
      <c r="M222" s="0" t="s">
        <v>2339</v>
      </c>
      <c r="N222" s="0" t="n">
        <v>178006</v>
      </c>
      <c r="O222" s="9" t="n">
        <v>977</v>
      </c>
      <c r="P222" s="0" t="s">
        <v>140</v>
      </c>
      <c r="Q222" s="0" t="s">
        <v>2340</v>
      </c>
      <c r="R222" s="0" t="s">
        <v>2341</v>
      </c>
      <c r="S222" s="0" t="s">
        <v>256</v>
      </c>
      <c r="T222" s="0" t="s">
        <v>2342</v>
      </c>
      <c r="U222" s="9" t="n">
        <v>0</v>
      </c>
      <c r="V222" s="0" t="n">
        <v>17.5009100837277</v>
      </c>
      <c r="W222" s="0" t="n">
        <v>20230331</v>
      </c>
      <c r="X222" s="0" t="n">
        <v>0.78798488592015</v>
      </c>
      <c r="Y222" s="0" t="s">
        <v>2343</v>
      </c>
      <c r="Z222" s="0" t="s">
        <v>98</v>
      </c>
    </row>
    <row r="223" customFormat="false" ht="15" hidden="false" customHeight="false" outlineLevel="0" collapsed="false">
      <c r="A223" s="0" t="n">
        <v>220</v>
      </c>
      <c r="B223" s="9" t="n">
        <v>1364518</v>
      </c>
      <c r="C223" s="0" t="n">
        <v>14240</v>
      </c>
      <c r="D223" s="0" t="n">
        <v>1019790</v>
      </c>
      <c r="E223" s="0" t="s">
        <v>61</v>
      </c>
      <c r="F223" s="0" t="n">
        <v>86202</v>
      </c>
      <c r="G223" s="0" t="s">
        <v>2344</v>
      </c>
      <c r="H223" s="0" t="s">
        <v>2345</v>
      </c>
      <c r="I223" s="0" t="s">
        <v>2346</v>
      </c>
      <c r="J223" s="0" t="s">
        <v>2347</v>
      </c>
      <c r="K223" s="0" t="s">
        <v>2348</v>
      </c>
      <c r="L223" s="0" t="n">
        <v>950254</v>
      </c>
      <c r="M223" s="0" t="s">
        <v>2349</v>
      </c>
      <c r="N223" s="0" t="n">
        <v>832225</v>
      </c>
      <c r="O223" s="9" t="n">
        <v>2251</v>
      </c>
      <c r="P223" s="0" t="s">
        <v>152</v>
      </c>
      <c r="Q223" s="0" t="s">
        <v>2350</v>
      </c>
      <c r="R223" s="0" t="s">
        <v>2351</v>
      </c>
      <c r="S223" s="0" t="s">
        <v>708</v>
      </c>
      <c r="T223" s="0" t="s">
        <v>2352</v>
      </c>
      <c r="U223" s="9" t="n">
        <v>0</v>
      </c>
      <c r="V223" s="0" t="n">
        <v>14.7648949355952</v>
      </c>
      <c r="W223" s="0" t="n">
        <v>20230331</v>
      </c>
      <c r="X223" s="0" t="n">
        <v>0.441424322134583</v>
      </c>
      <c r="Y223" s="0" t="s">
        <v>2353</v>
      </c>
      <c r="Z223" s="0" t="s">
        <v>158</v>
      </c>
    </row>
    <row r="224" customFormat="false" ht="15" hidden="false" customHeight="false" outlineLevel="0" collapsed="false">
      <c r="A224" s="0" t="n">
        <v>221</v>
      </c>
      <c r="B224" s="9" t="n">
        <v>1044604</v>
      </c>
      <c r="C224" s="0" t="n">
        <v>17115</v>
      </c>
      <c r="D224" s="0" t="n">
        <v>888210</v>
      </c>
      <c r="E224" s="0" t="s">
        <v>208</v>
      </c>
      <c r="F224" s="0" t="n">
        <v>82605</v>
      </c>
      <c r="G224" s="0" t="s">
        <v>2354</v>
      </c>
      <c r="H224" s="0" t="s">
        <v>2355</v>
      </c>
      <c r="I224" s="0" t="s">
        <v>2356</v>
      </c>
      <c r="J224" s="0" t="s">
        <v>2357</v>
      </c>
      <c r="K224" s="0" t="s">
        <v>2358</v>
      </c>
      <c r="L224" s="0" t="n">
        <v>860779</v>
      </c>
      <c r="M224" s="0" t="s">
        <v>2359</v>
      </c>
      <c r="N224" s="0" t="n">
        <v>814065</v>
      </c>
      <c r="O224" s="9" t="n">
        <v>259</v>
      </c>
      <c r="P224" s="0" t="s">
        <v>166</v>
      </c>
      <c r="Q224" s="0" t="s">
        <v>2360</v>
      </c>
      <c r="R224" s="0" t="s">
        <v>2361</v>
      </c>
      <c r="S224" s="0" t="s">
        <v>108</v>
      </c>
      <c r="T224" s="0" t="s">
        <v>2362</v>
      </c>
      <c r="U224" s="9" t="n">
        <v>0</v>
      </c>
      <c r="V224" s="0" t="n">
        <v>13.626834654189</v>
      </c>
      <c r="W224" s="0" t="n">
        <v>20230331</v>
      </c>
      <c r="X224" s="0" t="n">
        <v>0.694447494119008</v>
      </c>
      <c r="Y224" s="0" t="s">
        <v>2363</v>
      </c>
      <c r="Z224" s="0" t="s">
        <v>60</v>
      </c>
    </row>
    <row r="225" customFormat="false" ht="15" hidden="false" customHeight="false" outlineLevel="0" collapsed="false">
      <c r="A225" s="0" t="n">
        <v>222</v>
      </c>
      <c r="B225" s="9" t="n">
        <v>1570158</v>
      </c>
      <c r="C225" s="0" t="n">
        <v>17180</v>
      </c>
      <c r="D225" s="0" t="n">
        <v>1147694</v>
      </c>
      <c r="E225" s="0" t="s">
        <v>858</v>
      </c>
      <c r="F225" s="0" t="n">
        <v>131076</v>
      </c>
      <c r="G225" s="0" t="s">
        <v>2364</v>
      </c>
      <c r="H225" s="0" t="s">
        <v>2365</v>
      </c>
      <c r="I225" s="0" t="s">
        <v>2366</v>
      </c>
      <c r="J225" s="0" t="s">
        <v>2367</v>
      </c>
      <c r="K225" s="0" t="s">
        <v>2368</v>
      </c>
      <c r="L225" s="0" t="n">
        <v>1410571</v>
      </c>
      <c r="M225" s="0" t="s">
        <v>2369</v>
      </c>
      <c r="N225" s="0" t="n">
        <v>1135680</v>
      </c>
      <c r="O225" s="9" t="n">
        <v>4701</v>
      </c>
      <c r="P225" s="0" t="s">
        <v>179</v>
      </c>
      <c r="Q225" s="0" t="s">
        <v>2370</v>
      </c>
      <c r="R225" s="0" t="s">
        <v>2371</v>
      </c>
      <c r="S225" s="0" t="s">
        <v>2372</v>
      </c>
      <c r="T225" s="0" t="s">
        <v>2373</v>
      </c>
      <c r="U225" s="9" t="n">
        <v>0</v>
      </c>
      <c r="V225" s="0" t="n">
        <v>13.7737837295927</v>
      </c>
      <c r="W225" s="0" t="n">
        <v>20230331</v>
      </c>
      <c r="X225" s="0" t="n">
        <v>0.508991402284762</v>
      </c>
      <c r="Y225" s="0" t="s">
        <v>2374</v>
      </c>
      <c r="Z225" s="0" t="s">
        <v>158</v>
      </c>
    </row>
    <row r="226" customFormat="false" ht="15" hidden="false" customHeight="false" outlineLevel="0" collapsed="false">
      <c r="A226" s="0" t="n">
        <v>223</v>
      </c>
      <c r="B226" s="9" t="n">
        <v>371402</v>
      </c>
      <c r="C226" s="0" t="n">
        <v>17443</v>
      </c>
      <c r="D226" s="0" t="n">
        <v>330910</v>
      </c>
      <c r="E226" s="0" t="s">
        <v>271</v>
      </c>
      <c r="F226" s="0" t="n">
        <v>39228</v>
      </c>
      <c r="G226" s="0" t="s">
        <v>2375</v>
      </c>
      <c r="H226" s="0" t="s">
        <v>2376</v>
      </c>
      <c r="I226" s="0" t="s">
        <v>2377</v>
      </c>
      <c r="J226" s="0" t="s">
        <v>61</v>
      </c>
      <c r="K226" s="0" t="s">
        <v>2378</v>
      </c>
      <c r="L226" s="0" t="n">
        <v>208618</v>
      </c>
      <c r="M226" s="0" t="s">
        <v>2379</v>
      </c>
      <c r="N226" s="0" t="n">
        <v>206692</v>
      </c>
      <c r="O226" s="9" t="n">
        <v>250</v>
      </c>
      <c r="P226" s="0" t="s">
        <v>190</v>
      </c>
      <c r="Q226" s="0" t="s">
        <v>2380</v>
      </c>
      <c r="R226" s="0" t="s">
        <v>2381</v>
      </c>
      <c r="S226" s="0" t="s">
        <v>61</v>
      </c>
      <c r="T226" s="0" t="s">
        <v>2382</v>
      </c>
      <c r="U226" s="9" t="n">
        <v>0</v>
      </c>
      <c r="V226" s="0" t="n">
        <v>0</v>
      </c>
      <c r="W226" s="0" t="n">
        <v>20230331</v>
      </c>
      <c r="X226" s="0" t="n">
        <v>0.103141153187208</v>
      </c>
      <c r="Y226" s="0" t="s">
        <v>256</v>
      </c>
      <c r="Z226" s="0" t="s">
        <v>158</v>
      </c>
    </row>
    <row r="227" customFormat="false" ht="15" hidden="false" customHeight="false" outlineLevel="0" collapsed="false">
      <c r="A227" s="0" t="n">
        <v>224</v>
      </c>
      <c r="B227" s="9" t="n">
        <v>1830565</v>
      </c>
      <c r="C227" s="0" t="n">
        <v>17658</v>
      </c>
      <c r="D227" s="0" t="n">
        <v>1563995</v>
      </c>
      <c r="E227" s="0" t="s">
        <v>195</v>
      </c>
      <c r="F227" s="0" t="n">
        <v>199630</v>
      </c>
      <c r="G227" s="0" t="s">
        <v>2383</v>
      </c>
      <c r="H227" s="0" t="s">
        <v>2384</v>
      </c>
      <c r="I227" s="0" t="s">
        <v>2385</v>
      </c>
      <c r="J227" s="0" t="s">
        <v>2386</v>
      </c>
      <c r="K227" s="0" t="s">
        <v>2387</v>
      </c>
      <c r="L227" s="0" t="n">
        <v>1233738</v>
      </c>
      <c r="M227" s="0" t="s">
        <v>2388</v>
      </c>
      <c r="N227" s="0" t="n">
        <v>1063253</v>
      </c>
      <c r="O227" s="9" t="n">
        <v>672</v>
      </c>
      <c r="P227" s="0" t="s">
        <v>202</v>
      </c>
      <c r="Q227" s="0" t="s">
        <v>2389</v>
      </c>
      <c r="R227" s="0" t="s">
        <v>2390</v>
      </c>
      <c r="S227" s="0" t="s">
        <v>230</v>
      </c>
      <c r="T227" s="0" t="s">
        <v>2391</v>
      </c>
      <c r="U227" s="9" t="n">
        <v>0</v>
      </c>
      <c r="V227" s="0" t="n">
        <v>0</v>
      </c>
      <c r="W227" s="0" t="n">
        <v>20230331</v>
      </c>
      <c r="X227" s="0" t="n">
        <v>1.0847005861763</v>
      </c>
      <c r="Y227" s="0" t="s">
        <v>2392</v>
      </c>
      <c r="Z227" s="0" t="s">
        <v>60</v>
      </c>
    </row>
    <row r="228" customFormat="false" ht="15" hidden="false" customHeight="false" outlineLevel="0" collapsed="false">
      <c r="A228" s="0" t="n">
        <v>225</v>
      </c>
      <c r="B228" s="9" t="n">
        <v>1010266</v>
      </c>
      <c r="C228" s="0" t="n">
        <v>17741</v>
      </c>
      <c r="D228" s="0" t="n">
        <v>833199</v>
      </c>
      <c r="E228" s="0" t="s">
        <v>271</v>
      </c>
      <c r="F228" s="0" t="n">
        <v>132521</v>
      </c>
      <c r="G228" s="0" t="s">
        <v>2393</v>
      </c>
      <c r="H228" s="0" t="s">
        <v>2394</v>
      </c>
      <c r="I228" s="0" t="s">
        <v>2395</v>
      </c>
      <c r="J228" s="0" t="s">
        <v>2396</v>
      </c>
      <c r="K228" s="0" t="s">
        <v>2397</v>
      </c>
      <c r="L228" s="0" t="n">
        <v>842535</v>
      </c>
      <c r="M228" s="0" t="s">
        <v>2398</v>
      </c>
      <c r="N228" s="0" t="n">
        <v>791960</v>
      </c>
      <c r="O228" s="9" t="n">
        <v>1676</v>
      </c>
      <c r="P228" s="0" t="s">
        <v>215</v>
      </c>
      <c r="Q228" s="0" t="s">
        <v>2399</v>
      </c>
      <c r="R228" s="0" t="s">
        <v>2400</v>
      </c>
      <c r="S228" s="0" t="s">
        <v>478</v>
      </c>
      <c r="T228" s="0" t="s">
        <v>2401</v>
      </c>
      <c r="U228" s="9" t="n">
        <v>0</v>
      </c>
      <c r="V228" s="0" t="n">
        <v>0</v>
      </c>
      <c r="W228" s="0" t="n">
        <v>20230331</v>
      </c>
      <c r="X228" s="0" t="n">
        <v>0.783895202662623</v>
      </c>
      <c r="Y228" s="0" t="s">
        <v>2402</v>
      </c>
      <c r="Z228" s="0" t="s">
        <v>60</v>
      </c>
    </row>
    <row r="229" customFormat="false" ht="15" hidden="false" customHeight="false" outlineLevel="0" collapsed="false">
      <c r="A229" s="0" t="n">
        <v>226</v>
      </c>
      <c r="B229" s="9" t="n">
        <v>1303794</v>
      </c>
      <c r="C229" s="0" t="n">
        <v>17743</v>
      </c>
      <c r="D229" s="0" t="n">
        <v>997602</v>
      </c>
      <c r="E229" s="0" t="s">
        <v>61</v>
      </c>
      <c r="F229" s="0" t="n">
        <v>122164</v>
      </c>
      <c r="G229" s="0" t="s">
        <v>2403</v>
      </c>
      <c r="H229" s="0" t="s">
        <v>2404</v>
      </c>
      <c r="I229" s="0" t="s">
        <v>2405</v>
      </c>
      <c r="J229" s="0" t="s">
        <v>2406</v>
      </c>
      <c r="K229" s="0" t="s">
        <v>2407</v>
      </c>
      <c r="L229" s="0" t="n">
        <v>1009203</v>
      </c>
      <c r="M229" s="0" t="s">
        <v>2408</v>
      </c>
      <c r="N229" s="0" t="n">
        <v>979266</v>
      </c>
      <c r="O229" s="9" t="n">
        <v>2506</v>
      </c>
      <c r="P229" s="0" t="s">
        <v>227</v>
      </c>
      <c r="Q229" s="0" t="s">
        <v>2409</v>
      </c>
      <c r="R229" s="0" t="s">
        <v>2410</v>
      </c>
      <c r="S229" s="0" t="s">
        <v>668</v>
      </c>
      <c r="T229" s="0" t="s">
        <v>2411</v>
      </c>
      <c r="U229" s="9" t="n">
        <v>0</v>
      </c>
      <c r="V229" s="0" t="n">
        <v>0</v>
      </c>
      <c r="W229" s="0" t="n">
        <v>20230331</v>
      </c>
      <c r="X229" s="0" t="n">
        <v>0.0852661622010452</v>
      </c>
      <c r="Y229" s="0" t="s">
        <v>2412</v>
      </c>
      <c r="Z229" s="0" t="s">
        <v>60</v>
      </c>
    </row>
    <row r="230" customFormat="false" ht="15" hidden="false" customHeight="false" outlineLevel="0" collapsed="false">
      <c r="A230" s="0" t="n">
        <v>227</v>
      </c>
      <c r="B230" s="9" t="n">
        <v>1649776</v>
      </c>
      <c r="C230" s="0" t="n">
        <v>17748</v>
      </c>
      <c r="D230" s="0" t="n">
        <v>1413359</v>
      </c>
      <c r="E230" s="0" t="s">
        <v>2413</v>
      </c>
      <c r="F230" s="0" t="n">
        <v>110285</v>
      </c>
      <c r="G230" s="0" t="s">
        <v>2414</v>
      </c>
      <c r="H230" s="0" t="s">
        <v>2415</v>
      </c>
      <c r="I230" s="0" t="s">
        <v>2416</v>
      </c>
      <c r="J230" s="0" t="s">
        <v>2417</v>
      </c>
      <c r="K230" s="0" t="s">
        <v>2418</v>
      </c>
      <c r="L230" s="0" t="n">
        <v>1247367</v>
      </c>
      <c r="M230" s="0" t="s">
        <v>2419</v>
      </c>
      <c r="N230" s="0" t="n">
        <v>1051242</v>
      </c>
      <c r="O230" s="9" t="n">
        <v>6401</v>
      </c>
      <c r="P230" s="0" t="s">
        <v>240</v>
      </c>
      <c r="Q230" s="0" t="s">
        <v>2420</v>
      </c>
      <c r="R230" s="0" t="s">
        <v>2421</v>
      </c>
      <c r="S230" s="0" t="s">
        <v>2422</v>
      </c>
      <c r="T230" s="0" t="s">
        <v>2423</v>
      </c>
      <c r="U230" s="9" t="n">
        <v>0</v>
      </c>
      <c r="V230" s="0" t="n">
        <v>0</v>
      </c>
      <c r="W230" s="0" t="n">
        <v>20230331</v>
      </c>
      <c r="X230" s="0" t="n">
        <v>0.111242080447915</v>
      </c>
      <c r="Y230" s="0" t="s">
        <v>2424</v>
      </c>
      <c r="Z230" s="0" t="s">
        <v>60</v>
      </c>
    </row>
    <row r="231" customFormat="false" ht="15" hidden="false" customHeight="false" outlineLevel="0" collapsed="false">
      <c r="A231" s="0" t="n">
        <v>228</v>
      </c>
      <c r="B231" s="9" t="n">
        <v>1286254</v>
      </c>
      <c r="C231" s="0" t="n">
        <v>17749</v>
      </c>
      <c r="D231" s="0" t="n">
        <v>1024638</v>
      </c>
      <c r="E231" s="0" t="s">
        <v>246</v>
      </c>
      <c r="F231" s="0" t="n">
        <v>162250</v>
      </c>
      <c r="G231" s="0" t="s">
        <v>2425</v>
      </c>
      <c r="H231" s="0" t="s">
        <v>2426</v>
      </c>
      <c r="I231" s="0" t="s">
        <v>2427</v>
      </c>
      <c r="J231" s="0" t="s">
        <v>2428</v>
      </c>
      <c r="K231" s="0" t="s">
        <v>2429</v>
      </c>
      <c r="L231" s="0" t="n">
        <v>748128</v>
      </c>
      <c r="M231" s="0" t="s">
        <v>2430</v>
      </c>
      <c r="N231" s="0" t="n">
        <v>677598</v>
      </c>
      <c r="O231" s="9" t="n">
        <v>210</v>
      </c>
      <c r="P231" s="0" t="s">
        <v>253</v>
      </c>
      <c r="Q231" s="0" t="s">
        <v>2431</v>
      </c>
      <c r="R231" s="0" t="s">
        <v>2432</v>
      </c>
      <c r="S231" s="0" t="s">
        <v>108</v>
      </c>
      <c r="T231" s="0" t="s">
        <v>2433</v>
      </c>
      <c r="U231" s="9" t="n">
        <v>0</v>
      </c>
      <c r="V231" s="0" t="n">
        <v>0</v>
      </c>
      <c r="W231" s="0" t="n">
        <v>20230331</v>
      </c>
      <c r="X231" s="0" t="n">
        <v>1.31710105122298</v>
      </c>
      <c r="Y231" s="0" t="s">
        <v>2434</v>
      </c>
      <c r="Z231" s="0" t="s">
        <v>60</v>
      </c>
    </row>
    <row r="232" customFormat="false" ht="15" hidden="false" customHeight="false" outlineLevel="0" collapsed="false">
      <c r="A232" s="0" t="n">
        <v>229</v>
      </c>
      <c r="B232" s="9" t="n">
        <v>1498353</v>
      </c>
      <c r="C232" s="0" t="n">
        <v>17751</v>
      </c>
      <c r="D232" s="0" t="n">
        <v>1191607</v>
      </c>
      <c r="E232" s="0" t="s">
        <v>47</v>
      </c>
      <c r="F232" s="0" t="n">
        <v>129181</v>
      </c>
      <c r="G232" s="0" t="s">
        <v>2435</v>
      </c>
      <c r="H232" s="0" t="s">
        <v>2436</v>
      </c>
      <c r="I232" s="0" t="s">
        <v>2437</v>
      </c>
      <c r="J232" s="0" t="s">
        <v>2438</v>
      </c>
      <c r="K232" s="0" t="s">
        <v>2439</v>
      </c>
      <c r="L232" s="0" t="n">
        <v>1213041</v>
      </c>
      <c r="M232" s="0" t="s">
        <v>2440</v>
      </c>
      <c r="N232" s="0" t="n">
        <v>1050455</v>
      </c>
      <c r="O232" s="9" t="n">
        <v>2844</v>
      </c>
      <c r="P232" s="0" t="s">
        <v>266</v>
      </c>
      <c r="Q232" s="0" t="s">
        <v>2441</v>
      </c>
      <c r="R232" s="0" t="s">
        <v>2442</v>
      </c>
      <c r="S232" s="0" t="s">
        <v>2443</v>
      </c>
      <c r="T232" s="0" t="s">
        <v>2444</v>
      </c>
      <c r="U232" s="9" t="n">
        <v>0</v>
      </c>
      <c r="V232" s="0" t="n">
        <v>13.1459416871701</v>
      </c>
      <c r="W232" s="0" t="n">
        <v>20230331</v>
      </c>
      <c r="X232" s="0" t="n">
        <v>0.577400064916807</v>
      </c>
      <c r="Y232" s="0" t="s">
        <v>2179</v>
      </c>
      <c r="Z232" s="0" t="s">
        <v>60</v>
      </c>
    </row>
    <row r="233" customFormat="false" ht="15" hidden="false" customHeight="false" outlineLevel="0" collapsed="false">
      <c r="A233" s="0" t="n">
        <v>230</v>
      </c>
      <c r="B233" s="9" t="n">
        <v>1665050</v>
      </c>
      <c r="C233" s="0" t="n">
        <v>17897</v>
      </c>
      <c r="D233" s="0" t="n">
        <v>1329955</v>
      </c>
      <c r="E233" s="0" t="s">
        <v>1729</v>
      </c>
      <c r="F233" s="0" t="n">
        <v>200040</v>
      </c>
      <c r="G233" s="0" t="s">
        <v>2445</v>
      </c>
      <c r="H233" s="0" t="s">
        <v>2446</v>
      </c>
      <c r="I233" s="0" t="s">
        <v>2447</v>
      </c>
      <c r="J233" s="0" t="s">
        <v>2448</v>
      </c>
      <c r="K233" s="0" t="s">
        <v>782</v>
      </c>
      <c r="L233" s="0" t="n">
        <v>1405330</v>
      </c>
      <c r="M233" s="0" t="s">
        <v>2449</v>
      </c>
      <c r="N233" s="0" t="n">
        <v>1322849</v>
      </c>
      <c r="O233" s="9" t="n">
        <v>3806</v>
      </c>
      <c r="P233" s="0" t="s">
        <v>278</v>
      </c>
      <c r="Q233" s="0" t="s">
        <v>2450</v>
      </c>
      <c r="R233" s="0" t="s">
        <v>2451</v>
      </c>
      <c r="S233" s="0" t="s">
        <v>2452</v>
      </c>
      <c r="T233" s="0" t="s">
        <v>305</v>
      </c>
      <c r="U233" s="9" t="n">
        <v>16</v>
      </c>
      <c r="V233" s="0" t="n">
        <v>0</v>
      </c>
      <c r="W233" s="0" t="n">
        <v>20230331</v>
      </c>
      <c r="X233" s="0" t="n">
        <v>0.65685021685254</v>
      </c>
      <c r="Y233" s="0" t="s">
        <v>2453</v>
      </c>
      <c r="Z233" s="0" t="s">
        <v>60</v>
      </c>
    </row>
    <row r="234" customFormat="false" ht="15" hidden="false" customHeight="false" outlineLevel="0" collapsed="false">
      <c r="A234" s="0" t="n">
        <v>231</v>
      </c>
      <c r="B234" s="9" t="n">
        <v>753464</v>
      </c>
      <c r="C234" s="0" t="n">
        <v>17951</v>
      </c>
      <c r="D234" s="0" t="n">
        <v>678863</v>
      </c>
      <c r="E234" s="0" t="s">
        <v>1393</v>
      </c>
      <c r="F234" s="0" t="n">
        <v>57390</v>
      </c>
      <c r="G234" s="0" t="s">
        <v>2454</v>
      </c>
      <c r="H234" s="0" t="s">
        <v>2455</v>
      </c>
      <c r="I234" s="0" t="s">
        <v>2456</v>
      </c>
      <c r="J234" s="0" t="s">
        <v>2457</v>
      </c>
      <c r="K234" s="0" t="s">
        <v>2458</v>
      </c>
      <c r="L234" s="0" t="n">
        <v>536149</v>
      </c>
      <c r="M234" s="0" t="s">
        <v>2459</v>
      </c>
      <c r="N234" s="0" t="n">
        <v>498891</v>
      </c>
      <c r="O234" s="9" t="n">
        <v>68</v>
      </c>
      <c r="P234" s="0" t="s">
        <v>290</v>
      </c>
      <c r="Q234" s="0" t="s">
        <v>2460</v>
      </c>
      <c r="R234" s="0" t="s">
        <v>2461</v>
      </c>
      <c r="S234" s="0" t="s">
        <v>2462</v>
      </c>
      <c r="T234" s="0" t="s">
        <v>2463</v>
      </c>
      <c r="U234" s="9" t="n">
        <v>0</v>
      </c>
      <c r="V234" s="0" t="n">
        <v>14.6626029628837</v>
      </c>
      <c r="W234" s="0" t="n">
        <v>20230331</v>
      </c>
      <c r="X234" s="0" t="n">
        <v>0.569635122043929</v>
      </c>
      <c r="Y234" s="0" t="s">
        <v>2464</v>
      </c>
      <c r="Z234" s="0" t="s">
        <v>158</v>
      </c>
    </row>
    <row r="235" customFormat="false" ht="15" hidden="false" customHeight="false" outlineLevel="0" collapsed="false">
      <c r="A235" s="0" t="n">
        <v>232</v>
      </c>
      <c r="B235" s="9" t="n">
        <v>1332758</v>
      </c>
      <c r="C235" s="0" t="n">
        <v>17960</v>
      </c>
      <c r="D235" s="0" t="n">
        <v>1015763</v>
      </c>
      <c r="E235" s="0" t="s">
        <v>246</v>
      </c>
      <c r="F235" s="0" t="n">
        <v>107964</v>
      </c>
      <c r="G235" s="0" t="s">
        <v>2465</v>
      </c>
      <c r="H235" s="0" t="s">
        <v>2466</v>
      </c>
      <c r="I235" s="0" t="s">
        <v>2467</v>
      </c>
      <c r="J235" s="0" t="s">
        <v>2468</v>
      </c>
      <c r="K235" s="0" t="s">
        <v>2469</v>
      </c>
      <c r="L235" s="0" t="n">
        <v>1141207</v>
      </c>
      <c r="M235" s="0" t="s">
        <v>2470</v>
      </c>
      <c r="N235" s="0" t="n">
        <v>821435</v>
      </c>
      <c r="O235" s="9" t="n">
        <v>821</v>
      </c>
      <c r="P235" s="0" t="s">
        <v>302</v>
      </c>
      <c r="Q235" s="0" t="s">
        <v>2471</v>
      </c>
      <c r="R235" s="0" t="s">
        <v>2472</v>
      </c>
      <c r="S235" s="0" t="s">
        <v>1499</v>
      </c>
      <c r="T235" s="0" t="s">
        <v>2473</v>
      </c>
      <c r="U235" s="9" t="n">
        <v>0</v>
      </c>
      <c r="V235" s="0" t="n">
        <v>12.874141309121</v>
      </c>
      <c r="W235" s="0" t="n">
        <v>20230331</v>
      </c>
      <c r="X235" s="0" t="n">
        <v>0.555969732548979</v>
      </c>
      <c r="Y235" s="0" t="s">
        <v>2474</v>
      </c>
      <c r="Z235" s="0" t="s">
        <v>158</v>
      </c>
    </row>
    <row r="236" customFormat="false" ht="15" hidden="false" customHeight="false" outlineLevel="0" collapsed="false">
      <c r="A236" s="0" t="n">
        <v>233</v>
      </c>
      <c r="B236" s="9" t="n">
        <v>2429028</v>
      </c>
      <c r="C236" s="0" t="n">
        <v>18012</v>
      </c>
      <c r="D236" s="0" t="n">
        <v>2050411</v>
      </c>
      <c r="E236" s="0" t="s">
        <v>172</v>
      </c>
      <c r="F236" s="0" t="n">
        <v>248764</v>
      </c>
      <c r="G236" s="0" t="s">
        <v>2475</v>
      </c>
      <c r="H236" s="0" t="s">
        <v>2476</v>
      </c>
      <c r="I236" s="0" t="s">
        <v>2477</v>
      </c>
      <c r="J236" s="0" t="s">
        <v>2478</v>
      </c>
      <c r="K236" s="0" t="s">
        <v>2479</v>
      </c>
      <c r="L236" s="0" t="n">
        <v>1975493</v>
      </c>
      <c r="M236" s="0" t="s">
        <v>2480</v>
      </c>
      <c r="N236" s="0" t="n">
        <v>1870355</v>
      </c>
      <c r="O236" s="9" t="n">
        <v>1410</v>
      </c>
      <c r="P236" s="0" t="s">
        <v>312</v>
      </c>
      <c r="Q236" s="0" t="s">
        <v>2481</v>
      </c>
      <c r="R236" s="0" t="s">
        <v>2482</v>
      </c>
      <c r="S236" s="0" t="s">
        <v>1556</v>
      </c>
      <c r="T236" s="0" t="s">
        <v>2483</v>
      </c>
      <c r="U236" s="9" t="n">
        <v>0</v>
      </c>
      <c r="V236" s="0" t="n">
        <v>13.3370750765378</v>
      </c>
      <c r="W236" s="0" t="n">
        <v>20230331</v>
      </c>
      <c r="X236" s="0" t="n">
        <v>0.993530204379712</v>
      </c>
      <c r="Y236" s="0" t="s">
        <v>2484</v>
      </c>
      <c r="Z236" s="0" t="s">
        <v>158</v>
      </c>
    </row>
    <row r="237" customFormat="false" ht="15" hidden="false" customHeight="false" outlineLevel="0" collapsed="false">
      <c r="A237" s="0" t="n">
        <v>234</v>
      </c>
      <c r="B237" s="9" t="n">
        <v>2733301</v>
      </c>
      <c r="C237" s="0" t="n">
        <v>18013</v>
      </c>
      <c r="D237" s="0" t="n">
        <v>2369188</v>
      </c>
      <c r="E237" s="0" t="s">
        <v>271</v>
      </c>
      <c r="F237" s="0" t="n">
        <v>210055</v>
      </c>
      <c r="G237" s="0" t="s">
        <v>2485</v>
      </c>
      <c r="H237" s="0" t="s">
        <v>2486</v>
      </c>
      <c r="I237" s="0" t="s">
        <v>2487</v>
      </c>
      <c r="J237" s="0" t="s">
        <v>2488</v>
      </c>
      <c r="K237" s="0" t="s">
        <v>2489</v>
      </c>
      <c r="L237" s="0" t="n">
        <v>2203643</v>
      </c>
      <c r="M237" s="0" t="s">
        <v>2490</v>
      </c>
      <c r="N237" s="0" t="n">
        <v>2017963</v>
      </c>
      <c r="O237" s="9" t="n">
        <v>1023</v>
      </c>
      <c r="P237" s="0" t="s">
        <v>324</v>
      </c>
      <c r="Q237" s="0" t="s">
        <v>2491</v>
      </c>
      <c r="R237" s="0" t="s">
        <v>2492</v>
      </c>
      <c r="S237" s="0" t="s">
        <v>120</v>
      </c>
      <c r="T237" s="0" t="s">
        <v>2493</v>
      </c>
      <c r="U237" s="9" t="n">
        <v>0</v>
      </c>
      <c r="V237" s="0" t="n">
        <v>13.3103871528666</v>
      </c>
      <c r="W237" s="0" t="n">
        <v>20230331</v>
      </c>
      <c r="X237" s="0" t="n">
        <v>0.443403413877027</v>
      </c>
      <c r="Y237" s="0" t="s">
        <v>2494</v>
      </c>
      <c r="Z237" s="0" t="s">
        <v>158</v>
      </c>
    </row>
    <row r="238" customFormat="false" ht="15" hidden="false" customHeight="false" outlineLevel="0" collapsed="false">
      <c r="A238" s="0" t="n">
        <v>235</v>
      </c>
      <c r="B238" s="9" t="n">
        <v>384151</v>
      </c>
      <c r="C238" s="0" t="n">
        <v>18028</v>
      </c>
      <c r="D238" s="0" t="n">
        <v>321675</v>
      </c>
      <c r="E238" s="0" t="s">
        <v>593</v>
      </c>
      <c r="F238" s="0" t="n">
        <v>38054</v>
      </c>
      <c r="G238" s="0" t="s">
        <v>2495</v>
      </c>
      <c r="H238" s="0" t="s">
        <v>2496</v>
      </c>
      <c r="I238" s="0" t="s">
        <v>2497</v>
      </c>
      <c r="J238" s="0" t="s">
        <v>2498</v>
      </c>
      <c r="K238" s="0" t="s">
        <v>2499</v>
      </c>
      <c r="L238" s="0" t="n">
        <v>253368</v>
      </c>
      <c r="M238" s="0" t="s">
        <v>2500</v>
      </c>
      <c r="N238" s="0" t="n">
        <v>222649</v>
      </c>
      <c r="O238" s="9" t="n">
        <v>1519</v>
      </c>
      <c r="P238" s="0" t="s">
        <v>337</v>
      </c>
      <c r="Q238" s="0" t="s">
        <v>2501</v>
      </c>
      <c r="R238" s="0" t="s">
        <v>2502</v>
      </c>
      <c r="S238" s="0" t="s">
        <v>2503</v>
      </c>
      <c r="T238" s="0" t="s">
        <v>2504</v>
      </c>
      <c r="U238" s="9" t="n">
        <v>163</v>
      </c>
      <c r="V238" s="0" t="n">
        <v>0</v>
      </c>
      <c r="W238" s="0" t="n">
        <v>20230331</v>
      </c>
      <c r="X238" s="0" t="n">
        <v>0.60865321121989</v>
      </c>
      <c r="Y238" s="0" t="s">
        <v>2505</v>
      </c>
      <c r="Z238" s="0" t="s">
        <v>158</v>
      </c>
    </row>
    <row r="239" customFormat="false" ht="15" hidden="false" customHeight="false" outlineLevel="0" collapsed="false">
      <c r="A239" s="0" t="n">
        <v>236</v>
      </c>
      <c r="B239" s="9" t="n">
        <v>704016</v>
      </c>
      <c r="C239" s="0" t="n">
        <v>18030</v>
      </c>
      <c r="D239" s="0" t="n">
        <v>652422</v>
      </c>
      <c r="E239" s="0" t="s">
        <v>858</v>
      </c>
      <c r="F239" s="0" t="n">
        <v>44712</v>
      </c>
      <c r="G239" s="0" t="s">
        <v>2506</v>
      </c>
      <c r="H239" s="0" t="s">
        <v>2507</v>
      </c>
      <c r="I239" s="0" t="s">
        <v>2508</v>
      </c>
      <c r="J239" s="0" t="s">
        <v>2509</v>
      </c>
      <c r="K239" s="0" t="s">
        <v>2510</v>
      </c>
      <c r="L239" s="0" t="n">
        <v>558490</v>
      </c>
      <c r="M239" s="0" t="s">
        <v>2511</v>
      </c>
      <c r="N239" s="0" t="n">
        <v>437108</v>
      </c>
      <c r="O239" s="9" t="n">
        <v>501</v>
      </c>
      <c r="P239" s="0" t="s">
        <v>349</v>
      </c>
      <c r="Q239" s="0" t="s">
        <v>2512</v>
      </c>
      <c r="R239" s="0" t="s">
        <v>2513</v>
      </c>
      <c r="S239" s="0" t="s">
        <v>2514</v>
      </c>
      <c r="T239" s="0" t="s">
        <v>2515</v>
      </c>
      <c r="U239" s="9" t="n">
        <v>0</v>
      </c>
      <c r="V239" s="0" t="n">
        <v>12.9898118719735</v>
      </c>
      <c r="W239" s="0" t="n">
        <v>20230331</v>
      </c>
      <c r="X239" s="0" t="n">
        <v>0.626132056425815</v>
      </c>
      <c r="Y239" s="0" t="s">
        <v>2516</v>
      </c>
      <c r="Z239" s="0" t="s">
        <v>158</v>
      </c>
    </row>
    <row r="240" customFormat="false" ht="15" hidden="false" customHeight="false" outlineLevel="0" collapsed="false">
      <c r="A240" s="0" t="n">
        <v>237</v>
      </c>
      <c r="B240" s="9" t="n">
        <v>653889</v>
      </c>
      <c r="C240" s="0" t="n">
        <v>18031</v>
      </c>
      <c r="D240" s="0" t="n">
        <v>579895</v>
      </c>
      <c r="E240" s="0" t="s">
        <v>172</v>
      </c>
      <c r="F240" s="0" t="n">
        <v>37639</v>
      </c>
      <c r="G240" s="0" t="s">
        <v>2517</v>
      </c>
      <c r="H240" s="0" t="s">
        <v>2518</v>
      </c>
      <c r="I240" s="0" t="s">
        <v>2519</v>
      </c>
      <c r="J240" s="0" t="s">
        <v>2520</v>
      </c>
      <c r="K240" s="0" t="s">
        <v>2521</v>
      </c>
      <c r="L240" s="0" t="n">
        <v>467587</v>
      </c>
      <c r="M240" s="0" t="s">
        <v>2522</v>
      </c>
      <c r="N240" s="0" t="n">
        <v>424817</v>
      </c>
      <c r="O240" s="9" t="n">
        <v>861</v>
      </c>
      <c r="P240" s="0" t="s">
        <v>361</v>
      </c>
      <c r="Q240" s="0" t="s">
        <v>2523</v>
      </c>
      <c r="R240" s="0" t="s">
        <v>2524</v>
      </c>
      <c r="S240" s="0" t="s">
        <v>83</v>
      </c>
      <c r="T240" s="0" t="s">
        <v>1197</v>
      </c>
      <c r="U240" s="9" t="n">
        <v>0</v>
      </c>
      <c r="V240" s="0" t="n">
        <v>16.3983634751584</v>
      </c>
      <c r="W240" s="0" t="n">
        <v>20230331</v>
      </c>
      <c r="X240" s="0" t="n">
        <v>0.311530308150788</v>
      </c>
      <c r="Y240" s="0" t="s">
        <v>84</v>
      </c>
      <c r="Z240" s="0" t="s">
        <v>158</v>
      </c>
    </row>
    <row r="241" customFormat="false" ht="15" hidden="false" customHeight="false" outlineLevel="0" collapsed="false">
      <c r="A241" s="0" t="n">
        <v>238</v>
      </c>
      <c r="B241" s="9" t="n">
        <v>548592</v>
      </c>
      <c r="C241" s="0" t="n">
        <v>18038</v>
      </c>
      <c r="D241" s="0" t="n">
        <v>453467</v>
      </c>
      <c r="E241" s="0" t="s">
        <v>1393</v>
      </c>
      <c r="F241" s="0" t="n">
        <v>65334</v>
      </c>
      <c r="G241" s="0" t="s">
        <v>2525</v>
      </c>
      <c r="H241" s="0" t="s">
        <v>2526</v>
      </c>
      <c r="I241" s="0" t="s">
        <v>2527</v>
      </c>
      <c r="J241" s="0" t="s">
        <v>2528</v>
      </c>
      <c r="K241" s="0" t="s">
        <v>2529</v>
      </c>
      <c r="L241" s="0" t="n">
        <v>418300</v>
      </c>
      <c r="M241" s="0" t="s">
        <v>2530</v>
      </c>
      <c r="N241" s="0" t="n">
        <v>397248</v>
      </c>
      <c r="O241" s="9" t="n">
        <v>2269</v>
      </c>
      <c r="P241" s="0" t="s">
        <v>372</v>
      </c>
      <c r="Q241" s="0" t="s">
        <v>2531</v>
      </c>
      <c r="R241" s="0" t="s">
        <v>2532</v>
      </c>
      <c r="S241" s="0" t="s">
        <v>61</v>
      </c>
      <c r="T241" s="0" t="s">
        <v>2533</v>
      </c>
      <c r="U241" s="9" t="n">
        <v>0</v>
      </c>
      <c r="V241" s="0" t="n">
        <v>0</v>
      </c>
      <c r="W241" s="0" t="n">
        <v>20230331</v>
      </c>
      <c r="X241" s="0" t="n">
        <v>0.0703982689436184</v>
      </c>
      <c r="Y241" s="0" t="s">
        <v>2534</v>
      </c>
      <c r="Z241" s="0" t="s">
        <v>158</v>
      </c>
    </row>
    <row r="242" customFormat="false" ht="15" hidden="false" customHeight="false" outlineLevel="0" collapsed="false">
      <c r="A242" s="0" t="n">
        <v>239</v>
      </c>
      <c r="B242" s="9" t="n">
        <v>7408655</v>
      </c>
      <c r="C242" s="0" t="n">
        <v>18408</v>
      </c>
      <c r="D242" s="0" t="n">
        <v>5909216</v>
      </c>
      <c r="E242" s="0" t="s">
        <v>61</v>
      </c>
      <c r="F242" s="0" t="n">
        <v>379605</v>
      </c>
      <c r="G242" s="0" t="s">
        <v>2535</v>
      </c>
      <c r="H242" s="0" t="s">
        <v>2536</v>
      </c>
      <c r="I242" s="0" t="s">
        <v>2537</v>
      </c>
      <c r="J242" s="0" t="s">
        <v>2538</v>
      </c>
      <c r="K242" s="0" t="s">
        <v>2539</v>
      </c>
      <c r="L242" s="0" t="n">
        <v>4709677</v>
      </c>
      <c r="M242" s="0" t="s">
        <v>2540</v>
      </c>
      <c r="N242" s="0" t="n">
        <v>4284764</v>
      </c>
      <c r="O242" s="9" t="n">
        <v>2650</v>
      </c>
      <c r="P242" s="0" t="s">
        <v>384</v>
      </c>
      <c r="Q242" s="0" t="s">
        <v>2541</v>
      </c>
      <c r="R242" s="0" t="s">
        <v>2542</v>
      </c>
      <c r="S242" s="0" t="s">
        <v>2543</v>
      </c>
      <c r="T242" s="0" t="s">
        <v>2544</v>
      </c>
      <c r="U242" s="9" t="n">
        <v>0</v>
      </c>
      <c r="V242" s="0" t="n">
        <v>11.786074914701</v>
      </c>
      <c r="W242" s="0" t="n">
        <v>20230331</v>
      </c>
      <c r="X242" s="0" t="n">
        <v>0.0727725446773376</v>
      </c>
      <c r="Y242" s="0" t="s">
        <v>2545</v>
      </c>
      <c r="Z242" s="0" t="s">
        <v>60</v>
      </c>
    </row>
    <row r="243" customFormat="false" ht="15" hidden="false" customHeight="false" outlineLevel="0" collapsed="false">
      <c r="A243" s="0" t="n">
        <v>240</v>
      </c>
      <c r="B243" s="9" t="n">
        <v>2391401</v>
      </c>
      <c r="C243" s="0" t="n">
        <v>19531</v>
      </c>
      <c r="D243" s="0" t="n">
        <v>1997122</v>
      </c>
      <c r="E243" s="0" t="s">
        <v>61</v>
      </c>
      <c r="F243" s="0" t="n">
        <v>231126</v>
      </c>
      <c r="G243" s="0" t="s">
        <v>2546</v>
      </c>
      <c r="H243" s="0" t="s">
        <v>2547</v>
      </c>
      <c r="I243" s="0" t="s">
        <v>2548</v>
      </c>
      <c r="J243" s="0" t="s">
        <v>2549</v>
      </c>
      <c r="K243" s="0" t="s">
        <v>2550</v>
      </c>
      <c r="L243" s="0" t="n">
        <v>1912462</v>
      </c>
      <c r="M243" s="0" t="s">
        <v>2551</v>
      </c>
      <c r="N243" s="0" t="n">
        <v>1564296</v>
      </c>
      <c r="O243" s="9" t="n">
        <v>14969</v>
      </c>
      <c r="P243" s="0" t="s">
        <v>397</v>
      </c>
      <c r="Q243" s="0" t="s">
        <v>2552</v>
      </c>
      <c r="R243" s="0" t="s">
        <v>2553</v>
      </c>
      <c r="S243" s="0" t="s">
        <v>400</v>
      </c>
      <c r="T243" s="0" t="s">
        <v>2554</v>
      </c>
      <c r="U243" s="9" t="n">
        <v>0</v>
      </c>
      <c r="V243" s="0" t="n">
        <v>14.2370552569306</v>
      </c>
      <c r="W243" s="0" t="n">
        <v>20230331</v>
      </c>
      <c r="X243" s="0" t="n">
        <v>0.598798237021496</v>
      </c>
      <c r="Y243" s="0" t="s">
        <v>901</v>
      </c>
      <c r="Z243" s="0" t="s">
        <v>60</v>
      </c>
    </row>
    <row r="244" customFormat="false" ht="15" hidden="false" customHeight="false" outlineLevel="0" collapsed="false">
      <c r="A244" s="0" t="n">
        <v>241</v>
      </c>
      <c r="B244" s="9" t="n">
        <v>781513</v>
      </c>
      <c r="C244" s="0" t="n">
        <v>19532</v>
      </c>
      <c r="D244" s="0" t="n">
        <v>676028</v>
      </c>
      <c r="E244" s="0" t="s">
        <v>61</v>
      </c>
      <c r="F244" s="0" t="n">
        <v>91464</v>
      </c>
      <c r="G244" s="0" t="s">
        <v>2555</v>
      </c>
      <c r="H244" s="0" t="s">
        <v>2556</v>
      </c>
      <c r="I244" s="0" t="s">
        <v>2557</v>
      </c>
      <c r="J244" s="0" t="s">
        <v>2558</v>
      </c>
      <c r="K244" s="0" t="s">
        <v>2559</v>
      </c>
      <c r="L244" s="0" t="n">
        <v>558105</v>
      </c>
      <c r="M244" s="0" t="s">
        <v>2560</v>
      </c>
      <c r="N244" s="0" t="n">
        <v>465968</v>
      </c>
      <c r="O244" s="9" t="n">
        <v>712</v>
      </c>
      <c r="P244" s="0" t="s">
        <v>409</v>
      </c>
      <c r="Q244" s="0" t="s">
        <v>2561</v>
      </c>
      <c r="R244" s="0" t="s">
        <v>2562</v>
      </c>
      <c r="S244" s="0" t="s">
        <v>2563</v>
      </c>
      <c r="T244" s="0" t="s">
        <v>2564</v>
      </c>
      <c r="U244" s="9" t="n">
        <v>0</v>
      </c>
      <c r="V244" s="0" t="n">
        <v>21.6495094755333</v>
      </c>
      <c r="W244" s="0" t="n">
        <v>20230331</v>
      </c>
      <c r="X244" s="0" t="n">
        <v>0.829366675964692</v>
      </c>
      <c r="Y244" s="0" t="s">
        <v>2565</v>
      </c>
      <c r="Z244" s="0" t="s">
        <v>60</v>
      </c>
    </row>
    <row r="245" customFormat="false" ht="15" hidden="false" customHeight="false" outlineLevel="0" collapsed="false">
      <c r="A245" s="0" t="n">
        <v>242</v>
      </c>
      <c r="B245" s="9" t="n">
        <v>2866479</v>
      </c>
      <c r="C245" s="0" t="n">
        <v>19690</v>
      </c>
      <c r="D245" s="0" t="n">
        <v>2150204</v>
      </c>
      <c r="E245" s="0" t="s">
        <v>85</v>
      </c>
      <c r="F245" s="0" t="n">
        <v>283869</v>
      </c>
      <c r="G245" s="0" t="s">
        <v>2566</v>
      </c>
      <c r="H245" s="0" t="s">
        <v>2567</v>
      </c>
      <c r="I245" s="0" t="s">
        <v>2568</v>
      </c>
      <c r="J245" s="0" t="s">
        <v>2569</v>
      </c>
      <c r="K245" s="0" t="s">
        <v>2570</v>
      </c>
      <c r="L245" s="0" t="n">
        <v>2509795</v>
      </c>
      <c r="M245" s="0" t="s">
        <v>2571</v>
      </c>
      <c r="N245" s="0" t="n">
        <v>2010351</v>
      </c>
      <c r="O245" s="9" t="n">
        <v>14522</v>
      </c>
      <c r="P245" s="0" t="s">
        <v>420</v>
      </c>
      <c r="Q245" s="0" t="s">
        <v>2572</v>
      </c>
      <c r="R245" s="0" t="s">
        <v>2573</v>
      </c>
      <c r="S245" s="0" t="s">
        <v>71</v>
      </c>
      <c r="T245" s="0" t="s">
        <v>2574</v>
      </c>
      <c r="U245" s="9" t="n">
        <v>0</v>
      </c>
      <c r="V245" s="0" t="n">
        <v>11.8894271150854</v>
      </c>
      <c r="W245" s="0" t="n">
        <v>20230331</v>
      </c>
      <c r="X245" s="0" t="n">
        <v>1.76423215572799</v>
      </c>
      <c r="Y245" s="0" t="s">
        <v>2575</v>
      </c>
      <c r="Z245" s="0" t="s">
        <v>60</v>
      </c>
    </row>
    <row r="246" customFormat="false" ht="15" hidden="false" customHeight="false" outlineLevel="0" collapsed="false">
      <c r="A246" s="0" t="n">
        <v>243</v>
      </c>
      <c r="B246" s="9" t="n">
        <v>600233</v>
      </c>
      <c r="C246" s="0" t="n">
        <v>19836</v>
      </c>
      <c r="D246" s="0" t="n">
        <v>442530</v>
      </c>
      <c r="E246" s="0" t="s">
        <v>390</v>
      </c>
      <c r="F246" s="0" t="n">
        <v>118387</v>
      </c>
      <c r="G246" s="0" t="s">
        <v>2576</v>
      </c>
      <c r="H246" s="0" t="s">
        <v>2577</v>
      </c>
      <c r="I246" s="0" t="s">
        <v>2578</v>
      </c>
      <c r="J246" s="0" t="s">
        <v>2579</v>
      </c>
      <c r="K246" s="0" t="s">
        <v>2580</v>
      </c>
      <c r="L246" s="0" t="n">
        <v>497024</v>
      </c>
      <c r="M246" s="0" t="s">
        <v>2581</v>
      </c>
      <c r="N246" s="0" t="n">
        <v>430517</v>
      </c>
      <c r="O246" s="9" t="n">
        <v>2423</v>
      </c>
      <c r="P246" s="0" t="s">
        <v>290</v>
      </c>
      <c r="Q246" s="0" t="s">
        <v>2582</v>
      </c>
      <c r="R246" s="0" t="s">
        <v>2583</v>
      </c>
      <c r="S246" s="0" t="s">
        <v>608</v>
      </c>
      <c r="T246" s="0" t="s">
        <v>1181</v>
      </c>
      <c r="U246" s="9" t="n">
        <v>40</v>
      </c>
      <c r="V246" s="0" t="n">
        <v>27.6259114445736</v>
      </c>
      <c r="W246" s="0" t="n">
        <v>20230331</v>
      </c>
      <c r="X246" s="0" t="n">
        <v>0.661549552605912</v>
      </c>
      <c r="Y246" s="0" t="s">
        <v>1291</v>
      </c>
      <c r="Z246" s="0" t="s">
        <v>60</v>
      </c>
    </row>
    <row r="247" customFormat="false" ht="15" hidden="false" customHeight="false" outlineLevel="0" collapsed="false">
      <c r="A247" s="0" t="n">
        <v>244</v>
      </c>
      <c r="B247" s="9" t="n">
        <v>1306028</v>
      </c>
      <c r="C247" s="0" t="n">
        <v>24540</v>
      </c>
      <c r="D247" s="0" t="n">
        <v>1050825</v>
      </c>
      <c r="E247" s="0" t="s">
        <v>2584</v>
      </c>
      <c r="F247" s="0" t="n">
        <v>223212</v>
      </c>
      <c r="G247" s="0" t="s">
        <v>2585</v>
      </c>
      <c r="H247" s="0" t="s">
        <v>2586</v>
      </c>
      <c r="I247" s="0" t="s">
        <v>2587</v>
      </c>
      <c r="J247" s="0" t="s">
        <v>2588</v>
      </c>
      <c r="K247" s="0" t="s">
        <v>1069</v>
      </c>
      <c r="L247" s="0" t="n">
        <v>1134464</v>
      </c>
      <c r="M247" s="0" t="s">
        <v>2589</v>
      </c>
      <c r="N247" s="0" t="n">
        <v>1099219</v>
      </c>
      <c r="O247" s="9" t="n">
        <v>358</v>
      </c>
      <c r="P247" s="0" t="s">
        <v>443</v>
      </c>
      <c r="Q247" s="0" t="s">
        <v>2590</v>
      </c>
      <c r="R247" s="0" t="s">
        <v>2591</v>
      </c>
      <c r="S247" s="0" t="s">
        <v>61</v>
      </c>
      <c r="T247" s="0" t="s">
        <v>61</v>
      </c>
      <c r="U247" s="9" t="n">
        <v>0</v>
      </c>
      <c r="V247" s="0" t="n">
        <v>0</v>
      </c>
      <c r="W247" s="0" t="n">
        <v>20230331</v>
      </c>
      <c r="X247" s="0" t="n">
        <v>2.21929184669772</v>
      </c>
      <c r="Y247" s="0" t="s">
        <v>489</v>
      </c>
      <c r="Z247" s="0" t="s">
        <v>158</v>
      </c>
    </row>
    <row r="248" customFormat="false" ht="15" hidden="false" customHeight="false" outlineLevel="0" collapsed="false">
      <c r="A248" s="0" t="n">
        <v>245</v>
      </c>
      <c r="B248" s="9" t="n">
        <v>495672</v>
      </c>
      <c r="C248" s="0" t="n">
        <v>27824</v>
      </c>
      <c r="D248" s="0" t="n">
        <v>388458</v>
      </c>
      <c r="E248" s="0" t="s">
        <v>61</v>
      </c>
      <c r="F248" s="0" t="n">
        <v>66508</v>
      </c>
      <c r="G248" s="0" t="s">
        <v>2592</v>
      </c>
      <c r="H248" s="0" t="s">
        <v>2593</v>
      </c>
      <c r="I248" s="0" t="s">
        <v>2594</v>
      </c>
      <c r="J248" s="0" t="s">
        <v>2595</v>
      </c>
      <c r="K248" s="0" t="s">
        <v>2596</v>
      </c>
      <c r="L248" s="0" t="n">
        <v>409171</v>
      </c>
      <c r="M248" s="0" t="s">
        <v>2597</v>
      </c>
      <c r="N248" s="0" t="n">
        <v>347963</v>
      </c>
      <c r="O248" s="9" t="n">
        <v>1218</v>
      </c>
      <c r="P248" s="0" t="s">
        <v>453</v>
      </c>
      <c r="Q248" s="0" t="s">
        <v>2598</v>
      </c>
      <c r="R248" s="0" t="s">
        <v>2599</v>
      </c>
      <c r="S248" s="0" t="s">
        <v>2600</v>
      </c>
      <c r="T248" s="0" t="s">
        <v>484</v>
      </c>
      <c r="U248" s="9" t="n">
        <v>0</v>
      </c>
      <c r="V248" s="0" t="n">
        <v>23.0543893100379</v>
      </c>
      <c r="W248" s="0" t="n">
        <v>20230331</v>
      </c>
      <c r="X248" s="0" t="n">
        <v>-0.20429258605113</v>
      </c>
      <c r="Y248" s="0" t="s">
        <v>2601</v>
      </c>
      <c r="Z248" s="0" t="s">
        <v>158</v>
      </c>
    </row>
    <row r="249" customFormat="false" ht="15" hidden="false" customHeight="false" outlineLevel="0" collapsed="false">
      <c r="A249" s="0" t="n">
        <v>246</v>
      </c>
      <c r="B249" s="9" t="n">
        <v>300236</v>
      </c>
      <c r="C249" s="0" t="n">
        <v>28155</v>
      </c>
      <c r="D249" s="0" t="n">
        <v>253151</v>
      </c>
      <c r="E249" s="0" t="s">
        <v>61</v>
      </c>
      <c r="F249" s="0" t="n">
        <v>27786</v>
      </c>
      <c r="G249" s="0" t="s">
        <v>2602</v>
      </c>
      <c r="H249" s="0" t="s">
        <v>2603</v>
      </c>
      <c r="I249" s="0" t="s">
        <v>2604</v>
      </c>
      <c r="J249" s="0" t="s">
        <v>2605</v>
      </c>
      <c r="K249" s="0" t="s">
        <v>2606</v>
      </c>
      <c r="L249" s="0" t="n">
        <v>160817</v>
      </c>
      <c r="M249" s="0" t="s">
        <v>2607</v>
      </c>
      <c r="N249" s="0" t="n">
        <v>148519</v>
      </c>
      <c r="O249" s="9" t="n">
        <v>52</v>
      </c>
      <c r="P249" s="0" t="s">
        <v>464</v>
      </c>
      <c r="Q249" s="0" t="s">
        <v>2608</v>
      </c>
      <c r="R249" s="0" t="s">
        <v>2609</v>
      </c>
      <c r="S249" s="0" t="s">
        <v>61</v>
      </c>
      <c r="T249" s="0" t="s">
        <v>2610</v>
      </c>
      <c r="U249" s="9" t="n">
        <v>0</v>
      </c>
      <c r="V249" s="0" t="n">
        <v>17.8546426332098</v>
      </c>
      <c r="W249" s="0" t="n">
        <v>20230331</v>
      </c>
      <c r="X249" s="0" t="n">
        <v>0.092321432453994</v>
      </c>
      <c r="Y249" s="0" t="s">
        <v>256</v>
      </c>
      <c r="Z249" s="0" t="s">
        <v>158</v>
      </c>
    </row>
    <row r="250" customFormat="false" ht="15" hidden="false" customHeight="false" outlineLevel="0" collapsed="false">
      <c r="A250" s="0" t="n">
        <v>247</v>
      </c>
      <c r="B250" s="9" t="n">
        <v>101744</v>
      </c>
      <c r="C250" s="0" t="n">
        <v>28288</v>
      </c>
      <c r="D250" s="0" t="n">
        <v>79637</v>
      </c>
      <c r="E250" s="0" t="s">
        <v>61</v>
      </c>
      <c r="F250" s="0" t="n">
        <v>6128</v>
      </c>
      <c r="G250" s="0" t="s">
        <v>2611</v>
      </c>
      <c r="H250" s="0" t="s">
        <v>2612</v>
      </c>
      <c r="I250" s="0" t="s">
        <v>2613</v>
      </c>
      <c r="J250" s="0" t="s">
        <v>2614</v>
      </c>
      <c r="K250" s="0" t="s">
        <v>2615</v>
      </c>
      <c r="L250" s="0" t="n">
        <v>79160</v>
      </c>
      <c r="M250" s="0" t="s">
        <v>2616</v>
      </c>
      <c r="N250" s="0" t="n">
        <v>75313</v>
      </c>
      <c r="O250" s="9" t="n">
        <v>270</v>
      </c>
      <c r="P250" s="0" t="s">
        <v>475</v>
      </c>
      <c r="Q250" s="0" t="s">
        <v>2617</v>
      </c>
      <c r="R250" s="0" t="s">
        <v>2618</v>
      </c>
      <c r="S250" s="0" t="s">
        <v>352</v>
      </c>
      <c r="T250" s="0" t="s">
        <v>2619</v>
      </c>
      <c r="U250" s="9" t="n">
        <v>0</v>
      </c>
      <c r="V250" s="0" t="n">
        <v>13.7641491928002</v>
      </c>
      <c r="W250" s="0" t="n">
        <v>20230331</v>
      </c>
      <c r="X250" s="0" t="n">
        <v>0.0747623099586348</v>
      </c>
      <c r="Y250" s="0" t="s">
        <v>2620</v>
      </c>
      <c r="Z250" s="0" t="s">
        <v>60</v>
      </c>
    </row>
    <row r="251" customFormat="false" ht="15" hidden="false" customHeight="false" outlineLevel="0" collapsed="false">
      <c r="A251" s="0" t="n">
        <v>248</v>
      </c>
      <c r="B251" s="9" t="n">
        <v>87275</v>
      </c>
      <c r="C251" s="0" t="n">
        <v>28369</v>
      </c>
      <c r="D251" s="0" t="n">
        <v>77349</v>
      </c>
      <c r="E251" s="0" t="s">
        <v>271</v>
      </c>
      <c r="F251" s="0" t="n">
        <v>9500</v>
      </c>
      <c r="G251" s="0" t="s">
        <v>2621</v>
      </c>
      <c r="H251" s="0" t="s">
        <v>2622</v>
      </c>
      <c r="I251" s="0" t="s">
        <v>2623</v>
      </c>
      <c r="J251" s="0" t="s">
        <v>2624</v>
      </c>
      <c r="K251" s="0" t="s">
        <v>2625</v>
      </c>
      <c r="L251" s="0" t="n">
        <v>73207</v>
      </c>
      <c r="M251" s="0" t="s">
        <v>2626</v>
      </c>
      <c r="N251" s="0" t="n">
        <v>61622</v>
      </c>
      <c r="O251" s="9" t="n">
        <v>326</v>
      </c>
      <c r="P251" s="0" t="s">
        <v>486</v>
      </c>
      <c r="Q251" s="0" t="s">
        <v>2627</v>
      </c>
      <c r="R251" s="0" t="s">
        <v>2628</v>
      </c>
      <c r="S251" s="0" t="s">
        <v>256</v>
      </c>
      <c r="T251" s="0" t="s">
        <v>2629</v>
      </c>
      <c r="U251" s="9" t="n">
        <v>0</v>
      </c>
      <c r="V251" s="0" t="n">
        <v>0</v>
      </c>
      <c r="W251" s="0" t="n">
        <v>20230331</v>
      </c>
      <c r="X251" s="0" t="n">
        <v>-0.0922557097635371</v>
      </c>
      <c r="Y251" s="0" t="s">
        <v>2630</v>
      </c>
      <c r="Z251" s="0" t="s">
        <v>60</v>
      </c>
    </row>
    <row r="252" customFormat="false" ht="15" hidden="false" customHeight="false" outlineLevel="0" collapsed="false">
      <c r="A252" s="0" t="n">
        <v>249</v>
      </c>
      <c r="B252" s="9" t="n">
        <v>288419</v>
      </c>
      <c r="C252" s="0" t="n">
        <v>28837</v>
      </c>
      <c r="D252" s="0" t="n">
        <v>260987</v>
      </c>
      <c r="E252" s="0" t="s">
        <v>390</v>
      </c>
      <c r="F252" s="0" t="n">
        <v>24341</v>
      </c>
      <c r="G252" s="0" t="s">
        <v>2631</v>
      </c>
      <c r="H252" s="0" t="s">
        <v>2632</v>
      </c>
      <c r="I252" s="0" t="s">
        <v>2633</v>
      </c>
      <c r="J252" s="0" t="s">
        <v>2634</v>
      </c>
      <c r="K252" s="0" t="s">
        <v>2635</v>
      </c>
      <c r="L252" s="0" t="n">
        <v>188100</v>
      </c>
      <c r="M252" s="0" t="s">
        <v>2636</v>
      </c>
      <c r="N252" s="0" t="n">
        <v>179697</v>
      </c>
      <c r="O252" s="9" t="n">
        <v>19</v>
      </c>
      <c r="P252" s="0" t="s">
        <v>497</v>
      </c>
      <c r="Q252" s="0" t="s">
        <v>2637</v>
      </c>
      <c r="R252" s="0" t="s">
        <v>2638</v>
      </c>
      <c r="S252" s="0" t="s">
        <v>478</v>
      </c>
      <c r="T252" s="0" t="s">
        <v>2639</v>
      </c>
      <c r="U252" s="9" t="n">
        <v>0</v>
      </c>
      <c r="V252" s="0" t="n">
        <v>16.3411097226028</v>
      </c>
      <c r="W252" s="0" t="n">
        <v>20230331</v>
      </c>
      <c r="X252" s="0" t="n">
        <v>0.859132971569657</v>
      </c>
      <c r="Y252" s="0" t="s">
        <v>2640</v>
      </c>
      <c r="Z252" s="0" t="s">
        <v>98</v>
      </c>
    </row>
    <row r="253" customFormat="false" ht="15" hidden="false" customHeight="false" outlineLevel="0" collapsed="false">
      <c r="A253" s="0" t="n">
        <v>250</v>
      </c>
      <c r="B253" s="9" t="n">
        <v>185057</v>
      </c>
      <c r="C253" s="0" t="n">
        <v>29636</v>
      </c>
      <c r="D253" s="0" t="n">
        <v>147344</v>
      </c>
      <c r="E253" s="0" t="s">
        <v>259</v>
      </c>
      <c r="F253" s="0" t="n">
        <v>24743</v>
      </c>
      <c r="G253" s="0" t="s">
        <v>2641</v>
      </c>
      <c r="H253" s="0" t="s">
        <v>2642</v>
      </c>
      <c r="I253" s="0" t="s">
        <v>2643</v>
      </c>
      <c r="J253" s="0" t="s">
        <v>2644</v>
      </c>
      <c r="K253" s="0" t="s">
        <v>2645</v>
      </c>
      <c r="L253" s="0" t="n">
        <v>127987</v>
      </c>
      <c r="M253" s="0" t="s">
        <v>2646</v>
      </c>
      <c r="N253" s="0" t="n">
        <v>124654</v>
      </c>
      <c r="O253" s="9" t="n">
        <v>2472</v>
      </c>
      <c r="P253" s="0" t="s">
        <v>509</v>
      </c>
      <c r="Q253" s="0" t="s">
        <v>2647</v>
      </c>
      <c r="R253" s="0" t="s">
        <v>2648</v>
      </c>
      <c r="S253" s="0" t="s">
        <v>83</v>
      </c>
      <c r="T253" s="0" t="s">
        <v>2649</v>
      </c>
      <c r="U253" s="9" t="n">
        <v>0</v>
      </c>
      <c r="V253" s="0" t="n">
        <v>26.4550684388018</v>
      </c>
      <c r="W253" s="0" t="n">
        <v>20230331</v>
      </c>
      <c r="X253" s="0" t="n">
        <v>0.327344743116213</v>
      </c>
      <c r="Y253" s="0" t="s">
        <v>2650</v>
      </c>
      <c r="Z253" s="0" t="s">
        <v>60</v>
      </c>
    </row>
    <row r="254" customFormat="false" ht="15" hidden="false" customHeight="false" outlineLevel="0" collapsed="false">
      <c r="A254" s="0" t="n">
        <v>251</v>
      </c>
      <c r="B254" s="9" t="n">
        <v>189487</v>
      </c>
      <c r="C254" s="0" t="n">
        <v>29743</v>
      </c>
      <c r="D254" s="0" t="n">
        <v>163950</v>
      </c>
      <c r="E254" s="0" t="s">
        <v>1500</v>
      </c>
      <c r="F254" s="0" t="n">
        <v>16226</v>
      </c>
      <c r="G254" s="0" t="s">
        <v>2651</v>
      </c>
      <c r="H254" s="0" t="s">
        <v>2652</v>
      </c>
      <c r="I254" s="0" t="s">
        <v>2653</v>
      </c>
      <c r="J254" s="0" t="s">
        <v>2654</v>
      </c>
      <c r="K254" s="0" t="s">
        <v>2655</v>
      </c>
      <c r="L254" s="0" t="n">
        <v>126279</v>
      </c>
      <c r="M254" s="0" t="s">
        <v>2656</v>
      </c>
      <c r="N254" s="0" t="n">
        <v>80937</v>
      </c>
      <c r="O254" s="9" t="n">
        <v>203</v>
      </c>
      <c r="P254" s="0" t="s">
        <v>520</v>
      </c>
      <c r="Q254" s="0" t="s">
        <v>2657</v>
      </c>
      <c r="R254" s="0" t="s">
        <v>2658</v>
      </c>
      <c r="S254" s="0" t="s">
        <v>61</v>
      </c>
      <c r="T254" s="0" t="s">
        <v>2659</v>
      </c>
      <c r="U254" s="9" t="n">
        <v>0</v>
      </c>
      <c r="V254" s="0" t="n">
        <v>17.9095834111713</v>
      </c>
      <c r="W254" s="0" t="n">
        <v>20230331</v>
      </c>
      <c r="X254" s="0" t="n">
        <v>0.71029392943987</v>
      </c>
      <c r="Y254" s="0" t="s">
        <v>2660</v>
      </c>
      <c r="Z254" s="0" t="s">
        <v>60</v>
      </c>
    </row>
    <row r="255" customFormat="false" ht="15" hidden="false" customHeight="false" outlineLevel="0" collapsed="false">
      <c r="A255" s="0" t="n">
        <v>252</v>
      </c>
      <c r="B255" s="9" t="n">
        <v>548387</v>
      </c>
      <c r="C255" s="0" t="n">
        <v>29744</v>
      </c>
      <c r="D255" s="0" t="n">
        <v>438333</v>
      </c>
      <c r="E255" s="0" t="s">
        <v>61</v>
      </c>
      <c r="F255" s="0" t="n">
        <v>54173</v>
      </c>
      <c r="G255" s="0" t="s">
        <v>2661</v>
      </c>
      <c r="H255" s="0" t="s">
        <v>2662</v>
      </c>
      <c r="I255" s="0" t="s">
        <v>2663</v>
      </c>
      <c r="J255" s="0" t="s">
        <v>2664</v>
      </c>
      <c r="K255" s="0" t="s">
        <v>2665</v>
      </c>
      <c r="L255" s="0" t="n">
        <v>405809</v>
      </c>
      <c r="M255" s="0" t="s">
        <v>2666</v>
      </c>
      <c r="N255" s="0" t="n">
        <v>372826</v>
      </c>
      <c r="O255" s="9" t="n">
        <v>88</v>
      </c>
      <c r="P255" s="0" t="s">
        <v>531</v>
      </c>
      <c r="Q255" s="0" t="s">
        <v>2667</v>
      </c>
      <c r="R255" s="0" t="s">
        <v>2668</v>
      </c>
      <c r="S255" s="0" t="s">
        <v>352</v>
      </c>
      <c r="T255" s="0" t="s">
        <v>169</v>
      </c>
      <c r="U255" s="9" t="n">
        <v>0</v>
      </c>
      <c r="V255" s="0" t="n">
        <v>19.7611282318518</v>
      </c>
      <c r="W255" s="0" t="n">
        <v>20230331</v>
      </c>
      <c r="X255" s="0" t="n">
        <v>0.341873414737028</v>
      </c>
      <c r="Y255" s="0" t="s">
        <v>2669</v>
      </c>
      <c r="Z255" s="0" t="s">
        <v>158</v>
      </c>
    </row>
    <row r="256" customFormat="false" ht="15" hidden="false" customHeight="false" outlineLevel="0" collapsed="false">
      <c r="A256" s="0" t="n">
        <v>253</v>
      </c>
      <c r="B256" s="9" t="n">
        <v>554362</v>
      </c>
      <c r="C256" s="0" t="n">
        <v>30350</v>
      </c>
      <c r="D256" s="0" t="n">
        <v>454335</v>
      </c>
      <c r="E256" s="0" t="s">
        <v>61</v>
      </c>
      <c r="F256" s="0" t="n">
        <v>53124</v>
      </c>
      <c r="G256" s="0" t="s">
        <v>2670</v>
      </c>
      <c r="H256" s="0" t="s">
        <v>2671</v>
      </c>
      <c r="I256" s="0" t="s">
        <v>2672</v>
      </c>
      <c r="J256" s="0" t="s">
        <v>2673</v>
      </c>
      <c r="K256" s="0" t="s">
        <v>2674</v>
      </c>
      <c r="L256" s="0" t="n">
        <v>393124</v>
      </c>
      <c r="M256" s="0" t="s">
        <v>2675</v>
      </c>
      <c r="N256" s="0" t="n">
        <v>373761</v>
      </c>
      <c r="O256" s="9" t="n">
        <v>1313</v>
      </c>
      <c r="P256" s="0" t="s">
        <v>543</v>
      </c>
      <c r="Q256" s="0" t="s">
        <v>2676</v>
      </c>
      <c r="R256" s="0" t="s">
        <v>2677</v>
      </c>
      <c r="S256" s="0" t="s">
        <v>2678</v>
      </c>
      <c r="T256" s="0" t="s">
        <v>2679</v>
      </c>
      <c r="U256" s="9" t="n">
        <v>0</v>
      </c>
      <c r="V256" s="0" t="n">
        <v>21.4867285184799</v>
      </c>
      <c r="W256" s="0" t="n">
        <v>20230331</v>
      </c>
      <c r="X256" s="0" t="n">
        <v>0.821587649425802</v>
      </c>
      <c r="Y256" s="0" t="s">
        <v>2680</v>
      </c>
      <c r="Z256" s="0" t="s">
        <v>98</v>
      </c>
    </row>
    <row r="257" customFormat="false" ht="15" hidden="false" customHeight="false" outlineLevel="0" collapsed="false">
      <c r="A257" s="0" t="n">
        <v>254</v>
      </c>
      <c r="B257" s="9" t="n">
        <v>104047</v>
      </c>
      <c r="C257" s="0" t="n">
        <v>30878</v>
      </c>
      <c r="D257" s="0" t="n">
        <v>76408</v>
      </c>
      <c r="E257" s="0" t="s">
        <v>614</v>
      </c>
      <c r="F257" s="0" t="n">
        <v>12490</v>
      </c>
      <c r="G257" s="0" t="s">
        <v>2681</v>
      </c>
      <c r="H257" s="0" t="s">
        <v>2682</v>
      </c>
      <c r="I257" s="0" t="s">
        <v>2683</v>
      </c>
      <c r="J257" s="0" t="s">
        <v>61</v>
      </c>
      <c r="K257" s="0" t="s">
        <v>2684</v>
      </c>
      <c r="L257" s="0" t="n">
        <v>83118</v>
      </c>
      <c r="M257" s="0" t="s">
        <v>2685</v>
      </c>
      <c r="N257" s="0" t="n">
        <v>83020</v>
      </c>
      <c r="O257" s="9" t="n">
        <v>710</v>
      </c>
      <c r="P257" s="0" t="s">
        <v>553</v>
      </c>
      <c r="Q257" s="0" t="s">
        <v>2686</v>
      </c>
      <c r="R257" s="0" t="s">
        <v>2687</v>
      </c>
      <c r="S257" s="0" t="s">
        <v>61</v>
      </c>
      <c r="T257" s="0" t="s">
        <v>2688</v>
      </c>
      <c r="U257" s="9" t="n">
        <v>0</v>
      </c>
      <c r="V257" s="0" t="n">
        <v>0</v>
      </c>
      <c r="W257" s="0" t="n">
        <v>20230331</v>
      </c>
      <c r="X257" s="0" t="n">
        <v>-0.300319333057066</v>
      </c>
      <c r="Y257" s="0" t="s">
        <v>2689</v>
      </c>
      <c r="Z257" s="0" t="s">
        <v>60</v>
      </c>
    </row>
    <row r="258" customFormat="false" ht="15" hidden="false" customHeight="false" outlineLevel="0" collapsed="false">
      <c r="A258" s="0" t="n">
        <v>255</v>
      </c>
      <c r="B258" s="9" t="n">
        <v>745394</v>
      </c>
      <c r="C258" s="0" t="n">
        <v>33418</v>
      </c>
      <c r="D258" s="0" t="n">
        <v>529254</v>
      </c>
      <c r="E258" s="0" t="s">
        <v>390</v>
      </c>
      <c r="F258" s="0" t="n">
        <v>67356</v>
      </c>
      <c r="G258" s="0" t="s">
        <v>2690</v>
      </c>
      <c r="H258" s="0" t="s">
        <v>2691</v>
      </c>
      <c r="I258" s="0" t="s">
        <v>2692</v>
      </c>
      <c r="J258" s="0" t="s">
        <v>2693</v>
      </c>
      <c r="K258" s="0" t="s">
        <v>2694</v>
      </c>
      <c r="L258" s="0" t="n">
        <v>363499</v>
      </c>
      <c r="M258" s="0" t="s">
        <v>2695</v>
      </c>
      <c r="N258" s="0" t="n">
        <v>305729</v>
      </c>
      <c r="O258" s="9" t="n">
        <v>1287</v>
      </c>
      <c r="P258" s="0" t="s">
        <v>564</v>
      </c>
      <c r="Q258" s="0" t="s">
        <v>2696</v>
      </c>
      <c r="R258" s="0" t="s">
        <v>2697</v>
      </c>
      <c r="S258" s="0" t="s">
        <v>205</v>
      </c>
      <c r="T258" s="0" t="s">
        <v>2252</v>
      </c>
      <c r="U258" s="9" t="n">
        <v>0</v>
      </c>
      <c r="V258" s="0" t="n">
        <v>18.9057850876711</v>
      </c>
      <c r="W258" s="0" t="n">
        <v>20230331</v>
      </c>
      <c r="X258" s="0" t="n">
        <v>0.931989755103962</v>
      </c>
      <c r="Y258" s="0" t="s">
        <v>2698</v>
      </c>
      <c r="Z258" s="0" t="s">
        <v>98</v>
      </c>
    </row>
    <row r="259" customFormat="false" ht="15" hidden="false" customHeight="false" outlineLevel="0" collapsed="false">
      <c r="A259" s="0" t="n">
        <v>256</v>
      </c>
      <c r="B259" s="9" t="n">
        <v>66610</v>
      </c>
      <c r="C259" s="0" t="n">
        <v>35206</v>
      </c>
      <c r="D259" s="0" t="n">
        <v>500</v>
      </c>
      <c r="E259" s="0" t="s">
        <v>61</v>
      </c>
      <c r="F259" s="0" t="n">
        <v>64048</v>
      </c>
      <c r="G259" s="0" t="s">
        <v>2699</v>
      </c>
      <c r="H259" s="0" t="s">
        <v>2700</v>
      </c>
      <c r="I259" s="0" t="s">
        <v>61</v>
      </c>
      <c r="J259" s="0" t="s">
        <v>61</v>
      </c>
      <c r="K259" s="0" t="s">
        <v>61</v>
      </c>
      <c r="L259" s="0" t="n">
        <v>0</v>
      </c>
      <c r="M259" s="0" t="s">
        <v>61</v>
      </c>
      <c r="N259" s="0" t="n">
        <v>0</v>
      </c>
      <c r="O259" s="9" t="n">
        <v>0</v>
      </c>
      <c r="P259" s="0" t="s">
        <v>1112</v>
      </c>
      <c r="Q259" s="0" t="s">
        <v>61</v>
      </c>
      <c r="R259" s="0" t="s">
        <v>2701</v>
      </c>
      <c r="S259" s="0" t="s">
        <v>61</v>
      </c>
      <c r="T259" s="0" t="s">
        <v>61</v>
      </c>
      <c r="U259" s="9" t="n">
        <v>0</v>
      </c>
      <c r="V259" s="0" t="n">
        <v>0</v>
      </c>
      <c r="W259" s="0" t="n">
        <v>20230331</v>
      </c>
      <c r="X259" s="0" t="n">
        <v>20.8360558586212</v>
      </c>
      <c r="Y259" s="0" t="s">
        <v>340</v>
      </c>
      <c r="Z259" s="0" t="s">
        <v>158</v>
      </c>
    </row>
    <row r="260" customFormat="false" ht="15" hidden="false" customHeight="false" outlineLevel="0" collapsed="false">
      <c r="A260" s="0" t="n">
        <v>257</v>
      </c>
      <c r="B260" s="9" t="n">
        <v>5707400</v>
      </c>
      <c r="C260" s="0" t="n">
        <v>4255</v>
      </c>
      <c r="D260" s="0" t="n">
        <v>4682533</v>
      </c>
      <c r="E260" s="0" t="s">
        <v>390</v>
      </c>
      <c r="F260" s="0" t="n">
        <v>475108</v>
      </c>
      <c r="G260" s="0" t="s">
        <v>2702</v>
      </c>
      <c r="H260" s="0" t="s">
        <v>2703</v>
      </c>
      <c r="I260" s="0" t="s">
        <v>2704</v>
      </c>
      <c r="J260" s="0" t="s">
        <v>2705</v>
      </c>
      <c r="K260" s="0" t="s">
        <v>2706</v>
      </c>
      <c r="L260" s="0" t="n">
        <v>4077670</v>
      </c>
      <c r="M260" s="0" t="s">
        <v>2707</v>
      </c>
      <c r="N260" s="0" t="n">
        <v>3668834</v>
      </c>
      <c r="O260" s="9" t="n">
        <v>2958</v>
      </c>
      <c r="P260" s="0" t="s">
        <v>575</v>
      </c>
      <c r="Q260" s="0" t="s">
        <v>2708</v>
      </c>
      <c r="R260" s="0" t="s">
        <v>2709</v>
      </c>
      <c r="S260" s="0" t="s">
        <v>2710</v>
      </c>
      <c r="T260" s="0" t="s">
        <v>2711</v>
      </c>
      <c r="U260" s="9" t="n">
        <v>0</v>
      </c>
      <c r="V260" s="0" t="n">
        <v>13.1782412567421</v>
      </c>
      <c r="W260" s="0" t="n">
        <v>20230331</v>
      </c>
      <c r="X260" s="0" t="n">
        <v>0.937848206885979</v>
      </c>
      <c r="Y260" s="0" t="s">
        <v>2712</v>
      </c>
      <c r="Z260" s="0" t="s">
        <v>60</v>
      </c>
    </row>
    <row r="261" customFormat="false" ht="15" hidden="false" customHeight="false" outlineLevel="0" collapsed="false">
      <c r="A261" s="0" t="n">
        <v>258</v>
      </c>
      <c r="B261" s="9" t="n">
        <v>2776791</v>
      </c>
      <c r="C261" s="0" t="n">
        <v>4256</v>
      </c>
      <c r="D261" s="0" t="n">
        <v>2467296</v>
      </c>
      <c r="E261" s="0" t="s">
        <v>47</v>
      </c>
      <c r="F261" s="0" t="n">
        <v>199927</v>
      </c>
      <c r="G261" s="0" t="s">
        <v>2713</v>
      </c>
      <c r="H261" s="0" t="s">
        <v>2714</v>
      </c>
      <c r="I261" s="0" t="s">
        <v>2715</v>
      </c>
      <c r="J261" s="0" t="s">
        <v>2716</v>
      </c>
      <c r="K261" s="0" t="s">
        <v>2717</v>
      </c>
      <c r="L261" s="0" t="n">
        <v>1982847</v>
      </c>
      <c r="M261" s="0" t="s">
        <v>2718</v>
      </c>
      <c r="N261" s="0" t="n">
        <v>1576558</v>
      </c>
      <c r="O261" s="9" t="n">
        <v>1800</v>
      </c>
      <c r="P261" s="0" t="s">
        <v>587</v>
      </c>
      <c r="Q261" s="0" t="s">
        <v>2719</v>
      </c>
      <c r="R261" s="0" t="s">
        <v>2720</v>
      </c>
      <c r="S261" s="0" t="s">
        <v>2688</v>
      </c>
      <c r="T261" s="0" t="s">
        <v>2721</v>
      </c>
      <c r="U261" s="9" t="n">
        <v>208</v>
      </c>
      <c r="V261" s="0" t="n">
        <v>13.6350384316431</v>
      </c>
      <c r="W261" s="0" t="n">
        <v>20230331</v>
      </c>
      <c r="X261" s="0" t="n">
        <v>1.19339414885096</v>
      </c>
      <c r="Y261" s="0" t="s">
        <v>2722</v>
      </c>
      <c r="Z261" s="0" t="s">
        <v>60</v>
      </c>
    </row>
    <row r="262" customFormat="false" ht="15" hidden="false" customHeight="false" outlineLevel="0" collapsed="false">
      <c r="A262" s="0" t="n">
        <v>259</v>
      </c>
      <c r="B262" s="9" t="n">
        <v>693867</v>
      </c>
      <c r="C262" s="0" t="n">
        <v>59086</v>
      </c>
      <c r="D262" s="0" t="n">
        <v>607363</v>
      </c>
      <c r="E262" s="0" t="s">
        <v>742</v>
      </c>
      <c r="F262" s="0" t="n">
        <v>80605</v>
      </c>
      <c r="G262" s="0" t="s">
        <v>2723</v>
      </c>
      <c r="H262" s="0" t="s">
        <v>2724</v>
      </c>
      <c r="I262" s="0" t="s">
        <v>2725</v>
      </c>
      <c r="J262" s="0" t="s">
        <v>2726</v>
      </c>
      <c r="K262" s="0" t="s">
        <v>61</v>
      </c>
      <c r="L262" s="0" t="n">
        <v>581159</v>
      </c>
      <c r="M262" s="0" t="s">
        <v>2727</v>
      </c>
      <c r="N262" s="0" t="n">
        <v>463062</v>
      </c>
      <c r="O262" s="9" t="n">
        <v>4263</v>
      </c>
      <c r="P262" s="0" t="s">
        <v>599</v>
      </c>
      <c r="Q262" s="0" t="s">
        <v>2728</v>
      </c>
      <c r="R262" s="0" t="s">
        <v>2729</v>
      </c>
      <c r="S262" s="0" t="s">
        <v>61</v>
      </c>
      <c r="T262" s="0" t="s">
        <v>2730</v>
      </c>
      <c r="U262" s="9" t="n">
        <v>0</v>
      </c>
      <c r="V262" s="0" t="n">
        <v>14.3503452916795</v>
      </c>
      <c r="W262" s="0" t="n">
        <v>20230331</v>
      </c>
      <c r="X262" s="0" t="n">
        <v>1.65037409369627</v>
      </c>
      <c r="Y262" s="0" t="s">
        <v>2731</v>
      </c>
      <c r="Z262" s="0" t="s">
        <v>158</v>
      </c>
    </row>
    <row r="263" customFormat="false" ht="15" hidden="false" customHeight="false" outlineLevel="0" collapsed="false">
      <c r="A263" s="0" t="n">
        <v>260</v>
      </c>
      <c r="B263" s="9" t="n">
        <v>191655</v>
      </c>
      <c r="C263" s="0" t="n">
        <v>59176</v>
      </c>
      <c r="D263" s="0" t="n">
        <v>161440</v>
      </c>
      <c r="E263" s="0" t="s">
        <v>2413</v>
      </c>
      <c r="F263" s="0" t="n">
        <v>23472</v>
      </c>
      <c r="G263" s="0" t="s">
        <v>2732</v>
      </c>
      <c r="H263" s="0" t="s">
        <v>2733</v>
      </c>
      <c r="I263" s="0" t="s">
        <v>2734</v>
      </c>
      <c r="J263" s="0" t="s">
        <v>2735</v>
      </c>
      <c r="K263" s="0" t="s">
        <v>534</v>
      </c>
      <c r="L263" s="0" t="n">
        <v>138506</v>
      </c>
      <c r="M263" s="0" t="s">
        <v>2736</v>
      </c>
      <c r="N263" s="0" t="n">
        <v>119629</v>
      </c>
      <c r="O263" s="9" t="n">
        <v>0</v>
      </c>
      <c r="P263" s="0" t="s">
        <v>610</v>
      </c>
      <c r="Q263" s="0" t="s">
        <v>61</v>
      </c>
      <c r="R263" s="0" t="s">
        <v>2737</v>
      </c>
      <c r="S263" s="0" t="s">
        <v>61</v>
      </c>
      <c r="T263" s="0" t="s">
        <v>61</v>
      </c>
      <c r="U263" s="9" t="n">
        <v>0</v>
      </c>
      <c r="V263" s="0" t="n">
        <v>18.2380826024283</v>
      </c>
      <c r="W263" s="0" t="n">
        <v>20230331</v>
      </c>
      <c r="X263" s="0" t="n">
        <v>0.210682355624214</v>
      </c>
      <c r="Y263" s="0" t="s">
        <v>2738</v>
      </c>
      <c r="Z263" s="0" t="s">
        <v>158</v>
      </c>
    </row>
    <row r="264" customFormat="false" ht="15" hidden="false" customHeight="false" outlineLevel="0" collapsed="false">
      <c r="A264" s="0" t="n">
        <v>261</v>
      </c>
      <c r="B264" s="9" t="n">
        <v>44619</v>
      </c>
      <c r="C264" s="0" t="n">
        <v>59289</v>
      </c>
      <c r="D264" s="0" t="n">
        <v>22939</v>
      </c>
      <c r="E264" s="0" t="s">
        <v>2739</v>
      </c>
      <c r="F264" s="0" t="n">
        <v>20800</v>
      </c>
      <c r="G264" s="0" t="s">
        <v>2740</v>
      </c>
      <c r="H264" s="0" t="s">
        <v>2741</v>
      </c>
      <c r="I264" s="0" t="s">
        <v>2742</v>
      </c>
      <c r="J264" s="0" t="s">
        <v>2743</v>
      </c>
      <c r="K264" s="0" t="s">
        <v>61</v>
      </c>
      <c r="L264" s="0" t="n">
        <v>11029</v>
      </c>
      <c r="M264" s="0" t="s">
        <v>2744</v>
      </c>
      <c r="N264" s="0" t="n">
        <v>4676</v>
      </c>
      <c r="O264" s="9" t="n">
        <v>0</v>
      </c>
      <c r="P264" s="0" t="s">
        <v>2223</v>
      </c>
      <c r="Q264" s="0" t="s">
        <v>61</v>
      </c>
      <c r="R264" s="0" t="s">
        <v>2745</v>
      </c>
      <c r="S264" s="0" t="s">
        <v>61</v>
      </c>
      <c r="T264" s="0" t="s">
        <v>61</v>
      </c>
      <c r="U264" s="9" t="n">
        <v>0</v>
      </c>
      <c r="V264" s="0" t="n">
        <v>0</v>
      </c>
      <c r="W264" s="0" t="n">
        <v>20230331</v>
      </c>
      <c r="X264" s="0" t="n">
        <v>-8.18873306394105</v>
      </c>
      <c r="Y264" s="0" t="s">
        <v>2746</v>
      </c>
      <c r="Z264" s="0" t="s">
        <v>158</v>
      </c>
    </row>
    <row r="265" customFormat="false" ht="15" hidden="false" customHeight="false" outlineLevel="0" collapsed="false">
      <c r="A265" s="0" t="n">
        <v>262</v>
      </c>
      <c r="B265" s="9" t="n">
        <v>115337</v>
      </c>
      <c r="C265" s="0" t="n">
        <v>59298</v>
      </c>
      <c r="D265" s="0" t="n">
        <v>85635</v>
      </c>
      <c r="E265" s="0" t="s">
        <v>2747</v>
      </c>
      <c r="F265" s="0" t="n">
        <v>28720</v>
      </c>
      <c r="G265" s="0" t="s">
        <v>2748</v>
      </c>
      <c r="H265" s="0" t="s">
        <v>2749</v>
      </c>
      <c r="I265" s="0" t="s">
        <v>2750</v>
      </c>
      <c r="J265" s="0" t="s">
        <v>2751</v>
      </c>
      <c r="K265" s="0" t="s">
        <v>61</v>
      </c>
      <c r="L265" s="0" t="n">
        <v>37121</v>
      </c>
      <c r="M265" s="0" t="s">
        <v>2752</v>
      </c>
      <c r="N265" s="0" t="n">
        <v>28863</v>
      </c>
      <c r="O265" s="9" t="n">
        <v>0</v>
      </c>
      <c r="P265" s="0" t="s">
        <v>1684</v>
      </c>
      <c r="Q265" s="0" t="s">
        <v>61</v>
      </c>
      <c r="R265" s="0" t="s">
        <v>2753</v>
      </c>
      <c r="S265" s="0" t="s">
        <v>61</v>
      </c>
      <c r="T265" s="0" t="s">
        <v>61</v>
      </c>
      <c r="U265" s="9" t="n">
        <v>0</v>
      </c>
      <c r="V265" s="0" t="n">
        <v>0</v>
      </c>
      <c r="W265" s="0" t="n">
        <v>20230331</v>
      </c>
      <c r="X265" s="0" t="n">
        <v>-3.58202471281107</v>
      </c>
      <c r="Y265" s="0" t="s">
        <v>2754</v>
      </c>
      <c r="Z265" s="0" t="s">
        <v>98</v>
      </c>
    </row>
    <row r="266" customFormat="false" ht="15" hidden="false" customHeight="false" outlineLevel="0" collapsed="false">
      <c r="A266" s="0" t="n">
        <v>263</v>
      </c>
      <c r="B266" s="9" t="n">
        <v>1030080</v>
      </c>
      <c r="C266" s="0" t="n">
        <v>6271</v>
      </c>
      <c r="D266" s="0" t="n">
        <v>889655</v>
      </c>
      <c r="E266" s="0" t="s">
        <v>858</v>
      </c>
      <c r="F266" s="0" t="n">
        <v>91934</v>
      </c>
      <c r="G266" s="0" t="s">
        <v>2755</v>
      </c>
      <c r="H266" s="0" t="s">
        <v>2756</v>
      </c>
      <c r="I266" s="0" t="s">
        <v>2757</v>
      </c>
      <c r="J266" s="0" t="s">
        <v>2758</v>
      </c>
      <c r="K266" s="0" t="s">
        <v>2759</v>
      </c>
      <c r="L266" s="0" t="n">
        <v>759096</v>
      </c>
      <c r="M266" s="0" t="s">
        <v>2760</v>
      </c>
      <c r="N266" s="0" t="n">
        <v>593607</v>
      </c>
      <c r="O266" s="9" t="n">
        <v>8482</v>
      </c>
      <c r="P266" s="0" t="s">
        <v>621</v>
      </c>
      <c r="Q266" s="0" t="s">
        <v>2761</v>
      </c>
      <c r="R266" s="0" t="s">
        <v>2762</v>
      </c>
      <c r="S266" s="0" t="s">
        <v>2763</v>
      </c>
      <c r="T266" s="0" t="s">
        <v>2764</v>
      </c>
      <c r="U266" s="9" t="n">
        <v>176</v>
      </c>
      <c r="V266" s="0" t="n">
        <v>15.0686740437823</v>
      </c>
      <c r="W266" s="0" t="n">
        <v>20230331</v>
      </c>
      <c r="X266" s="0" t="n">
        <v>1.38518274505742</v>
      </c>
      <c r="Y266" s="0" t="s">
        <v>2765</v>
      </c>
      <c r="Z266" s="0" t="s">
        <v>98</v>
      </c>
    </row>
    <row r="267" customFormat="false" ht="15" hidden="false" customHeight="false" outlineLevel="0" collapsed="false">
      <c r="A267" s="0" t="n">
        <v>264</v>
      </c>
      <c r="B267" s="9" t="n">
        <v>537695</v>
      </c>
      <c r="C267" s="0" t="n">
        <v>6275</v>
      </c>
      <c r="D267" s="0" t="n">
        <v>478571</v>
      </c>
      <c r="E267" s="0" t="s">
        <v>61</v>
      </c>
      <c r="F267" s="0" t="n">
        <v>28866</v>
      </c>
      <c r="G267" s="0" t="s">
        <v>2766</v>
      </c>
      <c r="H267" s="0" t="s">
        <v>2767</v>
      </c>
      <c r="I267" s="0" t="s">
        <v>2768</v>
      </c>
      <c r="J267" s="0" t="s">
        <v>2769</v>
      </c>
      <c r="K267" s="0" t="s">
        <v>2770</v>
      </c>
      <c r="L267" s="0" t="n">
        <v>316204</v>
      </c>
      <c r="M267" s="0" t="s">
        <v>2771</v>
      </c>
      <c r="N267" s="0" t="n">
        <v>257983</v>
      </c>
      <c r="O267" s="9" t="n">
        <v>1344</v>
      </c>
      <c r="P267" s="0" t="s">
        <v>633</v>
      </c>
      <c r="Q267" s="0" t="s">
        <v>2772</v>
      </c>
      <c r="R267" s="0" t="s">
        <v>2773</v>
      </c>
      <c r="S267" s="0" t="s">
        <v>352</v>
      </c>
      <c r="T267" s="0" t="s">
        <v>1069</v>
      </c>
      <c r="U267" s="9" t="n">
        <v>0</v>
      </c>
      <c r="V267" s="0" t="n">
        <v>15.478889436504</v>
      </c>
      <c r="W267" s="0" t="n">
        <v>20230331</v>
      </c>
      <c r="X267" s="0" t="n">
        <v>0.598540404742425</v>
      </c>
      <c r="Y267" s="0" t="s">
        <v>2774</v>
      </c>
      <c r="Z267" s="0" t="s">
        <v>98</v>
      </c>
    </row>
    <row r="268" customFormat="false" ht="15" hidden="false" customHeight="false" outlineLevel="0" collapsed="false">
      <c r="A268" s="0" t="n">
        <v>265</v>
      </c>
      <c r="B268" s="9" t="n">
        <v>83956</v>
      </c>
      <c r="C268" s="0" t="n">
        <v>6280</v>
      </c>
      <c r="D268" s="0" t="n">
        <v>74763</v>
      </c>
      <c r="E268" s="0" t="s">
        <v>61</v>
      </c>
      <c r="F268" s="0" t="n">
        <v>9018</v>
      </c>
      <c r="G268" s="0" t="s">
        <v>2775</v>
      </c>
      <c r="H268" s="0" t="s">
        <v>2776</v>
      </c>
      <c r="I268" s="0" t="s">
        <v>2777</v>
      </c>
      <c r="J268" s="0" t="s">
        <v>2778</v>
      </c>
      <c r="K268" s="0" t="s">
        <v>2779</v>
      </c>
      <c r="L268" s="0" t="n">
        <v>63645</v>
      </c>
      <c r="M268" s="0" t="s">
        <v>2780</v>
      </c>
      <c r="N268" s="0" t="n">
        <v>55677</v>
      </c>
      <c r="O268" s="9" t="n">
        <v>597</v>
      </c>
      <c r="P268" s="0" t="s">
        <v>644</v>
      </c>
      <c r="Q268" s="0" t="s">
        <v>2781</v>
      </c>
      <c r="R268" s="0" t="s">
        <v>2782</v>
      </c>
      <c r="S268" s="0" t="s">
        <v>61</v>
      </c>
      <c r="T268" s="0" t="s">
        <v>2783</v>
      </c>
      <c r="U268" s="9" t="n">
        <v>0</v>
      </c>
      <c r="V268" s="0" t="n">
        <v>0</v>
      </c>
      <c r="W268" s="0" t="n">
        <v>20230331</v>
      </c>
      <c r="X268" s="0" t="n">
        <v>1.95501565910601</v>
      </c>
      <c r="Y268" s="0" t="s">
        <v>2784</v>
      </c>
      <c r="Z268" s="0" t="s">
        <v>98</v>
      </c>
    </row>
    <row r="269" customFormat="false" ht="15" hidden="false" customHeight="false" outlineLevel="0" collapsed="false">
      <c r="A269" s="0" t="n">
        <v>266</v>
      </c>
      <c r="B269" s="9" t="n">
        <v>4024714</v>
      </c>
      <c r="C269" s="0" t="n">
        <v>11971</v>
      </c>
      <c r="D269" s="0" t="n">
        <v>3097302</v>
      </c>
      <c r="E269" s="0" t="s">
        <v>259</v>
      </c>
      <c r="F269" s="0" t="n">
        <v>463527</v>
      </c>
      <c r="G269" s="0" t="s">
        <v>2785</v>
      </c>
      <c r="H269" s="0" t="s">
        <v>2786</v>
      </c>
      <c r="I269" s="0" t="s">
        <v>2787</v>
      </c>
      <c r="J269" s="0" t="s">
        <v>2788</v>
      </c>
      <c r="K269" s="0" t="s">
        <v>2789</v>
      </c>
      <c r="L269" s="0" t="n">
        <v>3011149</v>
      </c>
      <c r="M269" s="0" t="s">
        <v>2790</v>
      </c>
      <c r="N269" s="0" t="n">
        <v>2647016</v>
      </c>
      <c r="O269" s="9" t="n">
        <v>6704</v>
      </c>
      <c r="P269" s="0" t="s">
        <v>54</v>
      </c>
      <c r="Q269" s="0" t="s">
        <v>2791</v>
      </c>
      <c r="R269" s="0" t="s">
        <v>2792</v>
      </c>
      <c r="S269" s="0" t="s">
        <v>1556</v>
      </c>
      <c r="T269" s="0" t="s">
        <v>2793</v>
      </c>
      <c r="U269" s="9" t="n">
        <v>568</v>
      </c>
      <c r="V269" s="0" t="n">
        <v>13.2942278137619</v>
      </c>
      <c r="W269" s="0" t="n">
        <v>20230630</v>
      </c>
      <c r="X269" s="0" t="n">
        <v>1.34667895852712</v>
      </c>
      <c r="Y269" s="0" t="s">
        <v>133</v>
      </c>
      <c r="Z269" s="0" t="s">
        <v>60</v>
      </c>
    </row>
    <row r="270" customFormat="false" ht="15" hidden="false" customHeight="false" outlineLevel="0" collapsed="false">
      <c r="A270" s="0" t="n">
        <v>267</v>
      </c>
      <c r="B270" s="9" t="n">
        <v>1000625</v>
      </c>
      <c r="C270" s="0" t="n">
        <v>12874</v>
      </c>
      <c r="D270" s="0" t="n">
        <v>879800</v>
      </c>
      <c r="E270" s="0" t="s">
        <v>890</v>
      </c>
      <c r="F270" s="0" t="n">
        <v>101151</v>
      </c>
      <c r="G270" s="0" t="s">
        <v>2794</v>
      </c>
      <c r="H270" s="0" t="s">
        <v>2795</v>
      </c>
      <c r="I270" s="0" t="s">
        <v>2796</v>
      </c>
      <c r="J270" s="0" t="s">
        <v>2797</v>
      </c>
      <c r="K270" s="0" t="s">
        <v>2798</v>
      </c>
      <c r="L270" s="0" t="n">
        <v>781131</v>
      </c>
      <c r="M270" s="0" t="s">
        <v>2799</v>
      </c>
      <c r="N270" s="0" t="n">
        <v>615778</v>
      </c>
      <c r="O270" s="9" t="n">
        <v>420</v>
      </c>
      <c r="P270" s="0" t="s">
        <v>68</v>
      </c>
      <c r="Q270" s="0" t="s">
        <v>2800</v>
      </c>
      <c r="R270" s="0" t="s">
        <v>2801</v>
      </c>
      <c r="S270" s="0" t="s">
        <v>2061</v>
      </c>
      <c r="T270" s="0" t="s">
        <v>2802</v>
      </c>
      <c r="U270" s="9" t="n">
        <v>0</v>
      </c>
      <c r="V270" s="0" t="n">
        <v>15.460188076053</v>
      </c>
      <c r="W270" s="0" t="n">
        <v>20230630</v>
      </c>
      <c r="X270" s="0" t="n">
        <v>1.1001045163411</v>
      </c>
      <c r="Y270" s="0" t="s">
        <v>2803</v>
      </c>
      <c r="Z270" s="0" t="s">
        <v>60</v>
      </c>
    </row>
    <row r="271" customFormat="false" ht="15" hidden="false" customHeight="false" outlineLevel="0" collapsed="false">
      <c r="A271" s="0" t="n">
        <v>268</v>
      </c>
      <c r="B271" s="9" t="n">
        <v>1812064</v>
      </c>
      <c r="C271" s="0" t="n">
        <v>13063</v>
      </c>
      <c r="D271" s="0" t="n">
        <v>1600851</v>
      </c>
      <c r="E271" s="0" t="s">
        <v>1708</v>
      </c>
      <c r="F271" s="0" t="n">
        <v>137010</v>
      </c>
      <c r="G271" s="0" t="s">
        <v>2804</v>
      </c>
      <c r="H271" s="0" t="s">
        <v>2805</v>
      </c>
      <c r="I271" s="0" t="s">
        <v>2806</v>
      </c>
      <c r="J271" s="0" t="s">
        <v>2807</v>
      </c>
      <c r="K271" s="0" t="s">
        <v>2808</v>
      </c>
      <c r="L271" s="0" t="n">
        <v>1384852</v>
      </c>
      <c r="M271" s="0" t="s">
        <v>2809</v>
      </c>
      <c r="N271" s="0" t="n">
        <v>1322359</v>
      </c>
      <c r="O271" s="9" t="n">
        <v>501</v>
      </c>
      <c r="P271" s="0" t="s">
        <v>80</v>
      </c>
      <c r="Q271" s="0" t="s">
        <v>2810</v>
      </c>
      <c r="R271" s="0" t="s">
        <v>2811</v>
      </c>
      <c r="S271" s="0" t="s">
        <v>2812</v>
      </c>
      <c r="T271" s="0" t="s">
        <v>61</v>
      </c>
      <c r="U271" s="9" t="n">
        <v>711</v>
      </c>
      <c r="V271" s="0" t="n">
        <v>0</v>
      </c>
      <c r="W271" s="0" t="n">
        <v>20230630</v>
      </c>
      <c r="X271" s="0" t="n">
        <v>0.106400279958703</v>
      </c>
      <c r="Y271" s="0" t="s">
        <v>557</v>
      </c>
      <c r="Z271" s="0" t="s">
        <v>60</v>
      </c>
    </row>
    <row r="272" customFormat="false" ht="15" hidden="false" customHeight="false" outlineLevel="0" collapsed="false">
      <c r="A272" s="0" t="n">
        <v>269</v>
      </c>
      <c r="B272" s="9" t="n">
        <v>847137</v>
      </c>
      <c r="C272" s="0" t="n">
        <v>14134</v>
      </c>
      <c r="D272" s="0" t="n">
        <v>678698</v>
      </c>
      <c r="E272" s="0" t="s">
        <v>858</v>
      </c>
      <c r="F272" s="0" t="n">
        <v>100453</v>
      </c>
      <c r="G272" s="0" t="s">
        <v>2813</v>
      </c>
      <c r="H272" s="0" t="s">
        <v>2814</v>
      </c>
      <c r="I272" s="0" t="s">
        <v>2815</v>
      </c>
      <c r="J272" s="0" t="s">
        <v>2816</v>
      </c>
      <c r="K272" s="0" t="s">
        <v>2817</v>
      </c>
      <c r="L272" s="0" t="n">
        <v>646015</v>
      </c>
      <c r="M272" s="0" t="s">
        <v>2818</v>
      </c>
      <c r="N272" s="0" t="n">
        <v>571141</v>
      </c>
      <c r="O272" s="9" t="n">
        <v>12099</v>
      </c>
      <c r="P272" s="0" t="s">
        <v>92</v>
      </c>
      <c r="Q272" s="0" t="s">
        <v>2819</v>
      </c>
      <c r="R272" s="0" t="s">
        <v>2820</v>
      </c>
      <c r="S272" s="0" t="s">
        <v>2821</v>
      </c>
      <c r="T272" s="0" t="s">
        <v>2822</v>
      </c>
      <c r="U272" s="9" t="n">
        <v>0</v>
      </c>
      <c r="V272" s="0" t="n">
        <v>18.0862145256514</v>
      </c>
      <c r="W272" s="0" t="n">
        <v>20230630</v>
      </c>
      <c r="X272" s="0" t="n">
        <v>0.701673098405606</v>
      </c>
      <c r="Y272" s="0" t="s">
        <v>2823</v>
      </c>
      <c r="Z272" s="0" t="s">
        <v>98</v>
      </c>
    </row>
    <row r="273" customFormat="false" ht="15" hidden="false" customHeight="false" outlineLevel="0" collapsed="false">
      <c r="A273" s="0" t="n">
        <v>270</v>
      </c>
      <c r="B273" s="9" t="n">
        <v>231428</v>
      </c>
      <c r="C273" s="0" t="n">
        <v>14136</v>
      </c>
      <c r="D273" s="0" t="n">
        <v>199035</v>
      </c>
      <c r="E273" s="0" t="s">
        <v>172</v>
      </c>
      <c r="F273" s="0" t="n">
        <v>15826</v>
      </c>
      <c r="G273" s="0" t="s">
        <v>2824</v>
      </c>
      <c r="H273" s="0" t="s">
        <v>2825</v>
      </c>
      <c r="I273" s="0" t="s">
        <v>2826</v>
      </c>
      <c r="J273" s="0" t="s">
        <v>2827</v>
      </c>
      <c r="K273" s="0" t="s">
        <v>2828</v>
      </c>
      <c r="L273" s="0" t="n">
        <v>146930</v>
      </c>
      <c r="M273" s="0" t="s">
        <v>2829</v>
      </c>
      <c r="N273" s="0" t="n">
        <v>118077</v>
      </c>
      <c r="O273" s="9" t="n">
        <v>71</v>
      </c>
      <c r="P273" s="0" t="s">
        <v>105</v>
      </c>
      <c r="Q273" s="0" t="s">
        <v>2830</v>
      </c>
      <c r="R273" s="0" t="s">
        <v>2831</v>
      </c>
      <c r="S273" s="0" t="s">
        <v>2832</v>
      </c>
      <c r="T273" s="0" t="s">
        <v>2258</v>
      </c>
      <c r="U273" s="9" t="n">
        <v>660</v>
      </c>
      <c r="V273" s="0" t="n">
        <v>17.4186390532544</v>
      </c>
      <c r="W273" s="0" t="n">
        <v>20230630</v>
      </c>
      <c r="X273" s="0" t="n">
        <v>0.65864100406162</v>
      </c>
      <c r="Y273" s="0" t="s">
        <v>2833</v>
      </c>
      <c r="Z273" s="0" t="s">
        <v>98</v>
      </c>
    </row>
    <row r="274" customFormat="false" ht="15" hidden="false" customHeight="false" outlineLevel="0" collapsed="false">
      <c r="A274" s="0" t="n">
        <v>271</v>
      </c>
      <c r="B274" s="9" t="n">
        <v>1455126</v>
      </c>
      <c r="C274" s="0" t="n">
        <v>14140</v>
      </c>
      <c r="D274" s="0" t="n">
        <v>1135506</v>
      </c>
      <c r="E274" s="0" t="s">
        <v>271</v>
      </c>
      <c r="F274" s="0" t="n">
        <v>119184</v>
      </c>
      <c r="G274" s="0" t="s">
        <v>2834</v>
      </c>
      <c r="H274" s="0" t="s">
        <v>2835</v>
      </c>
      <c r="I274" s="0" t="s">
        <v>2836</v>
      </c>
      <c r="J274" s="0" t="s">
        <v>2837</v>
      </c>
      <c r="K274" s="0" t="s">
        <v>2838</v>
      </c>
      <c r="L274" s="0" t="n">
        <v>1012877</v>
      </c>
      <c r="M274" s="0" t="s">
        <v>2839</v>
      </c>
      <c r="N274" s="0" t="n">
        <v>902092</v>
      </c>
      <c r="O274" s="9" t="n">
        <v>4474</v>
      </c>
      <c r="P274" s="0" t="s">
        <v>117</v>
      </c>
      <c r="Q274" s="0" t="s">
        <v>2840</v>
      </c>
      <c r="R274" s="0" t="s">
        <v>2841</v>
      </c>
      <c r="S274" s="0" t="s">
        <v>2842</v>
      </c>
      <c r="T274" s="0" t="s">
        <v>2843</v>
      </c>
      <c r="U274" s="9" t="n">
        <v>0</v>
      </c>
      <c r="V274" s="0" t="n">
        <v>0</v>
      </c>
      <c r="W274" s="0" t="n">
        <v>20230630</v>
      </c>
      <c r="X274" s="0" t="n">
        <v>0.339718008369905</v>
      </c>
      <c r="Y274" s="0" t="s">
        <v>1878</v>
      </c>
      <c r="Z274" s="0" t="s">
        <v>98</v>
      </c>
    </row>
    <row r="275" customFormat="false" ht="15" hidden="false" customHeight="false" outlineLevel="0" collapsed="false">
      <c r="A275" s="0" t="n">
        <v>272</v>
      </c>
      <c r="B275" s="9" t="n">
        <v>1334466</v>
      </c>
      <c r="C275" s="0" t="n">
        <v>14158</v>
      </c>
      <c r="D275" s="0" t="n">
        <v>1127096</v>
      </c>
      <c r="E275" s="0" t="s">
        <v>61</v>
      </c>
      <c r="F275" s="0" t="n">
        <v>75241</v>
      </c>
      <c r="G275" s="0" t="s">
        <v>2844</v>
      </c>
      <c r="H275" s="0" t="s">
        <v>2845</v>
      </c>
      <c r="I275" s="0" t="s">
        <v>2846</v>
      </c>
      <c r="J275" s="0" t="s">
        <v>2847</v>
      </c>
      <c r="K275" s="0" t="s">
        <v>2848</v>
      </c>
      <c r="L275" s="0" t="n">
        <v>940237</v>
      </c>
      <c r="M275" s="0" t="s">
        <v>2849</v>
      </c>
      <c r="N275" s="0" t="n">
        <v>869255</v>
      </c>
      <c r="O275" s="9" t="n">
        <v>1957</v>
      </c>
      <c r="P275" s="0" t="s">
        <v>129</v>
      </c>
      <c r="Q275" s="0" t="s">
        <v>2850</v>
      </c>
      <c r="R275" s="0" t="s">
        <v>2851</v>
      </c>
      <c r="S275" s="0" t="s">
        <v>83</v>
      </c>
      <c r="T275" s="0" t="s">
        <v>2852</v>
      </c>
      <c r="U275" s="9" t="n">
        <v>64</v>
      </c>
      <c r="V275" s="0" t="n">
        <v>13.4736798668519</v>
      </c>
      <c r="W275" s="0" t="n">
        <v>20230630</v>
      </c>
      <c r="X275" s="0" t="n">
        <v>0.914619400913875</v>
      </c>
      <c r="Y275" s="0" t="s">
        <v>2853</v>
      </c>
      <c r="Z275" s="0" t="s">
        <v>98</v>
      </c>
    </row>
    <row r="276" customFormat="false" ht="15" hidden="false" customHeight="false" outlineLevel="0" collapsed="false">
      <c r="A276" s="0" t="n">
        <v>273</v>
      </c>
      <c r="B276" s="9" t="n">
        <v>354017</v>
      </c>
      <c r="C276" s="0" t="n">
        <v>14168</v>
      </c>
      <c r="D276" s="0" t="n">
        <v>316211</v>
      </c>
      <c r="E276" s="0" t="s">
        <v>2854</v>
      </c>
      <c r="F276" s="0" t="n">
        <v>33013</v>
      </c>
      <c r="G276" s="0" t="s">
        <v>2855</v>
      </c>
      <c r="H276" s="0" t="s">
        <v>2856</v>
      </c>
      <c r="I276" s="0" t="s">
        <v>2857</v>
      </c>
      <c r="J276" s="0" t="s">
        <v>2858</v>
      </c>
      <c r="K276" s="0" t="s">
        <v>2859</v>
      </c>
      <c r="L276" s="0" t="n">
        <v>221896</v>
      </c>
      <c r="M276" s="0" t="s">
        <v>2860</v>
      </c>
      <c r="N276" s="0" t="n">
        <v>185047</v>
      </c>
      <c r="O276" s="9" t="n">
        <v>1000</v>
      </c>
      <c r="P276" s="0" t="s">
        <v>140</v>
      </c>
      <c r="Q276" s="0" t="s">
        <v>2861</v>
      </c>
      <c r="R276" s="0" t="s">
        <v>2862</v>
      </c>
      <c r="S276" s="0" t="s">
        <v>1329</v>
      </c>
      <c r="T276" s="0" t="s">
        <v>2863</v>
      </c>
      <c r="U276" s="9" t="n">
        <v>0</v>
      </c>
      <c r="V276" s="0" t="n">
        <v>17.1814956205516</v>
      </c>
      <c r="W276" s="0" t="n">
        <v>20230630</v>
      </c>
      <c r="X276" s="0" t="n">
        <v>0.771338321111053</v>
      </c>
      <c r="Y276" s="0" t="s">
        <v>2864</v>
      </c>
      <c r="Z276" s="0" t="s">
        <v>98</v>
      </c>
    </row>
    <row r="277" customFormat="false" ht="15" hidden="false" customHeight="false" outlineLevel="0" collapsed="false">
      <c r="A277" s="0" t="n">
        <v>274</v>
      </c>
      <c r="B277" s="9" t="n">
        <v>1364156</v>
      </c>
      <c r="C277" s="0" t="n">
        <v>14240</v>
      </c>
      <c r="D277" s="0" t="n">
        <v>1068855</v>
      </c>
      <c r="E277" s="0" t="s">
        <v>61</v>
      </c>
      <c r="F277" s="0" t="n">
        <v>84062</v>
      </c>
      <c r="G277" s="0" t="s">
        <v>2865</v>
      </c>
      <c r="H277" s="0" t="s">
        <v>2866</v>
      </c>
      <c r="I277" s="0" t="s">
        <v>2867</v>
      </c>
      <c r="J277" s="0" t="s">
        <v>2868</v>
      </c>
      <c r="K277" s="0" t="s">
        <v>2869</v>
      </c>
      <c r="L277" s="0" t="n">
        <v>961383</v>
      </c>
      <c r="M277" s="0" t="s">
        <v>2870</v>
      </c>
      <c r="N277" s="0" t="n">
        <v>840679</v>
      </c>
      <c r="O277" s="9" t="n">
        <v>2407</v>
      </c>
      <c r="P277" s="0" t="s">
        <v>152</v>
      </c>
      <c r="Q277" s="0" t="s">
        <v>2871</v>
      </c>
      <c r="R277" s="0" t="s">
        <v>2872</v>
      </c>
      <c r="S277" s="0" t="s">
        <v>2873</v>
      </c>
      <c r="T277" s="0" t="s">
        <v>2874</v>
      </c>
      <c r="U277" s="9" t="n">
        <v>0</v>
      </c>
      <c r="V277" s="0" t="n">
        <v>14.8382290668257</v>
      </c>
      <c r="W277" s="0" t="n">
        <v>20230630</v>
      </c>
      <c r="X277" s="0" t="n">
        <v>0.488172326619474</v>
      </c>
      <c r="Y277" s="0" t="s">
        <v>2875</v>
      </c>
      <c r="Z277" s="0" t="s">
        <v>158</v>
      </c>
    </row>
    <row r="278" customFormat="false" ht="15" hidden="false" customHeight="false" outlineLevel="0" collapsed="false">
      <c r="A278" s="0" t="n">
        <v>275</v>
      </c>
      <c r="B278" s="9" t="n">
        <v>1072006</v>
      </c>
      <c r="C278" s="0" t="n">
        <v>17115</v>
      </c>
      <c r="D278" s="0" t="n">
        <v>821428</v>
      </c>
      <c r="E278" s="0" t="s">
        <v>1187</v>
      </c>
      <c r="F278" s="0" t="n">
        <v>81921</v>
      </c>
      <c r="G278" s="0" t="s">
        <v>2876</v>
      </c>
      <c r="H278" s="0" t="s">
        <v>2877</v>
      </c>
      <c r="I278" s="0" t="s">
        <v>2878</v>
      </c>
      <c r="J278" s="0" t="s">
        <v>2879</v>
      </c>
      <c r="K278" s="0" t="s">
        <v>2880</v>
      </c>
      <c r="L278" s="0" t="n">
        <v>882529</v>
      </c>
      <c r="M278" s="0" t="s">
        <v>2881</v>
      </c>
      <c r="N278" s="0" t="n">
        <v>832338</v>
      </c>
      <c r="O278" s="9" t="n">
        <v>254</v>
      </c>
      <c r="P278" s="0" t="s">
        <v>166</v>
      </c>
      <c r="Q278" s="0" t="s">
        <v>2882</v>
      </c>
      <c r="R278" s="0" t="s">
        <v>2883</v>
      </c>
      <c r="S278" s="0" t="s">
        <v>845</v>
      </c>
      <c r="T278" s="0" t="s">
        <v>182</v>
      </c>
      <c r="U278" s="9" t="n">
        <v>0</v>
      </c>
      <c r="V278" s="0" t="n">
        <v>13.5922802319822</v>
      </c>
      <c r="W278" s="0" t="n">
        <v>20230630</v>
      </c>
      <c r="X278" s="0" t="n">
        <v>0.58243002750364</v>
      </c>
      <c r="Y278" s="0" t="s">
        <v>2884</v>
      </c>
      <c r="Z278" s="0" t="s">
        <v>60</v>
      </c>
    </row>
    <row r="279" customFormat="false" ht="15" hidden="false" customHeight="false" outlineLevel="0" collapsed="false">
      <c r="A279" s="0" t="n">
        <v>276</v>
      </c>
      <c r="B279" s="9" t="n">
        <v>1616649</v>
      </c>
      <c r="C279" s="0" t="n">
        <v>17180</v>
      </c>
      <c r="D279" s="0" t="n">
        <v>1185191</v>
      </c>
      <c r="E279" s="0" t="s">
        <v>1393</v>
      </c>
      <c r="F279" s="0" t="n">
        <v>131745</v>
      </c>
      <c r="G279" s="0" t="s">
        <v>2885</v>
      </c>
      <c r="H279" s="0" t="s">
        <v>2886</v>
      </c>
      <c r="I279" s="0" t="s">
        <v>2887</v>
      </c>
      <c r="J279" s="0" t="s">
        <v>2888</v>
      </c>
      <c r="K279" s="0" t="s">
        <v>2889</v>
      </c>
      <c r="L279" s="0" t="n">
        <v>1450822</v>
      </c>
      <c r="M279" s="0" t="s">
        <v>2890</v>
      </c>
      <c r="N279" s="0" t="n">
        <v>1177241</v>
      </c>
      <c r="O279" s="9" t="n">
        <v>5043</v>
      </c>
      <c r="P279" s="0" t="s">
        <v>179</v>
      </c>
      <c r="Q279" s="0" t="s">
        <v>2891</v>
      </c>
      <c r="R279" s="0" t="s">
        <v>2892</v>
      </c>
      <c r="S279" s="0" t="s">
        <v>2893</v>
      </c>
      <c r="T279" s="0" t="s">
        <v>2894</v>
      </c>
      <c r="U279" s="9" t="n">
        <v>1345</v>
      </c>
      <c r="V279" s="0" t="n">
        <v>13.6752678572979</v>
      </c>
      <c r="W279" s="0" t="n">
        <v>20230630</v>
      </c>
      <c r="X279" s="0" t="n">
        <v>0.391164988075164</v>
      </c>
      <c r="Y279" s="0" t="s">
        <v>2895</v>
      </c>
      <c r="Z279" s="0" t="s">
        <v>158</v>
      </c>
    </row>
    <row r="280" customFormat="false" ht="15" hidden="false" customHeight="false" outlineLevel="0" collapsed="false">
      <c r="A280" s="0" t="n">
        <v>277</v>
      </c>
      <c r="B280" s="9" t="n">
        <v>360577</v>
      </c>
      <c r="C280" s="0" t="n">
        <v>17443</v>
      </c>
      <c r="D280" s="0" t="n">
        <v>321273</v>
      </c>
      <c r="E280" s="0" t="s">
        <v>208</v>
      </c>
      <c r="F280" s="0" t="n">
        <v>38058</v>
      </c>
      <c r="G280" s="0" t="s">
        <v>2896</v>
      </c>
      <c r="H280" s="0" t="s">
        <v>2897</v>
      </c>
      <c r="I280" s="0" t="s">
        <v>2898</v>
      </c>
      <c r="J280" s="0" t="s">
        <v>61</v>
      </c>
      <c r="K280" s="0" t="s">
        <v>2899</v>
      </c>
      <c r="L280" s="0" t="n">
        <v>212528</v>
      </c>
      <c r="M280" s="0" t="s">
        <v>2900</v>
      </c>
      <c r="N280" s="0" t="n">
        <v>210812</v>
      </c>
      <c r="O280" s="9" t="n">
        <v>109</v>
      </c>
      <c r="P280" s="0" t="s">
        <v>190</v>
      </c>
      <c r="Q280" s="0" t="s">
        <v>2901</v>
      </c>
      <c r="R280" s="0" t="s">
        <v>2902</v>
      </c>
      <c r="S280" s="0" t="s">
        <v>61</v>
      </c>
      <c r="T280" s="0" t="s">
        <v>2903</v>
      </c>
      <c r="U280" s="9" t="n">
        <v>0</v>
      </c>
      <c r="V280" s="0" t="n">
        <v>0</v>
      </c>
      <c r="W280" s="0" t="n">
        <v>20230630</v>
      </c>
      <c r="X280" s="0" t="n">
        <v>0.0986572549921649</v>
      </c>
      <c r="Y280" s="0" t="s">
        <v>2904</v>
      </c>
      <c r="Z280" s="0" t="s">
        <v>158</v>
      </c>
    </row>
    <row r="281" customFormat="false" ht="15" hidden="false" customHeight="false" outlineLevel="0" collapsed="false">
      <c r="A281" s="0" t="n">
        <v>278</v>
      </c>
      <c r="B281" s="9" t="n">
        <v>1826350</v>
      </c>
      <c r="C281" s="0" t="n">
        <v>17658</v>
      </c>
      <c r="D281" s="0" t="n">
        <v>1452649</v>
      </c>
      <c r="E281" s="0" t="s">
        <v>61</v>
      </c>
      <c r="F281" s="0" t="n">
        <v>198387</v>
      </c>
      <c r="G281" s="0" t="s">
        <v>2905</v>
      </c>
      <c r="H281" s="0" t="s">
        <v>2906</v>
      </c>
      <c r="I281" s="0" t="s">
        <v>2907</v>
      </c>
      <c r="J281" s="0" t="s">
        <v>2908</v>
      </c>
      <c r="K281" s="0" t="s">
        <v>2909</v>
      </c>
      <c r="L281" s="0" t="n">
        <v>1269717</v>
      </c>
      <c r="M281" s="0" t="s">
        <v>2910</v>
      </c>
      <c r="N281" s="0" t="n">
        <v>1085469</v>
      </c>
      <c r="O281" s="9" t="n">
        <v>1369</v>
      </c>
      <c r="P281" s="0" t="s">
        <v>202</v>
      </c>
      <c r="Q281" s="0" t="s">
        <v>2911</v>
      </c>
      <c r="R281" s="0" t="s">
        <v>2912</v>
      </c>
      <c r="S281" s="0" t="s">
        <v>2913</v>
      </c>
      <c r="T281" s="0" t="s">
        <v>2914</v>
      </c>
      <c r="U281" s="9" t="n">
        <v>0</v>
      </c>
      <c r="V281" s="0" t="n">
        <v>0</v>
      </c>
      <c r="W281" s="0" t="n">
        <v>20230630</v>
      </c>
      <c r="X281" s="0" t="n">
        <v>0.930695622619818</v>
      </c>
      <c r="Y281" s="0" t="s">
        <v>2915</v>
      </c>
      <c r="Z281" s="0" t="s">
        <v>60</v>
      </c>
    </row>
    <row r="282" customFormat="false" ht="15" hidden="false" customHeight="false" outlineLevel="0" collapsed="false">
      <c r="A282" s="0" t="n">
        <v>279</v>
      </c>
      <c r="B282" s="9" t="n">
        <v>1036036</v>
      </c>
      <c r="C282" s="0" t="n">
        <v>17741</v>
      </c>
      <c r="D282" s="0" t="n">
        <v>800487</v>
      </c>
      <c r="E282" s="0" t="s">
        <v>208</v>
      </c>
      <c r="F282" s="0" t="n">
        <v>133406</v>
      </c>
      <c r="G282" s="0" t="s">
        <v>2916</v>
      </c>
      <c r="H282" s="0" t="s">
        <v>2917</v>
      </c>
      <c r="I282" s="0" t="s">
        <v>2918</v>
      </c>
      <c r="J282" s="0" t="s">
        <v>2919</v>
      </c>
      <c r="K282" s="0" t="s">
        <v>2920</v>
      </c>
      <c r="L282" s="0" t="n">
        <v>877735</v>
      </c>
      <c r="M282" s="0" t="s">
        <v>2921</v>
      </c>
      <c r="N282" s="0" t="n">
        <v>820189</v>
      </c>
      <c r="O282" s="9" t="n">
        <v>1987</v>
      </c>
      <c r="P282" s="0" t="s">
        <v>215</v>
      </c>
      <c r="Q282" s="0" t="s">
        <v>2922</v>
      </c>
      <c r="R282" s="0" t="s">
        <v>2923</v>
      </c>
      <c r="S282" s="0" t="s">
        <v>293</v>
      </c>
      <c r="T282" s="0" t="s">
        <v>2189</v>
      </c>
      <c r="U282" s="9" t="n">
        <v>0</v>
      </c>
      <c r="V282" s="0" t="n">
        <v>0</v>
      </c>
      <c r="W282" s="0" t="n">
        <v>20230630</v>
      </c>
      <c r="X282" s="0" t="n">
        <v>0.691931497863857</v>
      </c>
      <c r="Y282" s="0" t="s">
        <v>2924</v>
      </c>
      <c r="Z282" s="0" t="s">
        <v>60</v>
      </c>
    </row>
    <row r="283" customFormat="false" ht="15" hidden="false" customHeight="false" outlineLevel="0" collapsed="false">
      <c r="A283" s="0" t="n">
        <v>280</v>
      </c>
      <c r="B283" s="9" t="n">
        <v>1333208</v>
      </c>
      <c r="C283" s="0" t="n">
        <v>17743</v>
      </c>
      <c r="D283" s="0" t="n">
        <v>950623</v>
      </c>
      <c r="E283" s="0" t="s">
        <v>61</v>
      </c>
      <c r="F283" s="0" t="n">
        <v>121236</v>
      </c>
      <c r="G283" s="0" t="s">
        <v>2925</v>
      </c>
      <c r="H283" s="0" t="s">
        <v>2926</v>
      </c>
      <c r="I283" s="0" t="s">
        <v>2927</v>
      </c>
      <c r="J283" s="0" t="s">
        <v>2928</v>
      </c>
      <c r="K283" s="0" t="s">
        <v>2929</v>
      </c>
      <c r="L283" s="0" t="n">
        <v>1037097</v>
      </c>
      <c r="M283" s="0" t="s">
        <v>2930</v>
      </c>
      <c r="N283" s="0" t="n">
        <v>1005554</v>
      </c>
      <c r="O283" s="9" t="n">
        <v>4416</v>
      </c>
      <c r="P283" s="0" t="s">
        <v>227</v>
      </c>
      <c r="Q283" s="0" t="s">
        <v>2931</v>
      </c>
      <c r="R283" s="0" t="s">
        <v>2932</v>
      </c>
      <c r="S283" s="0" t="s">
        <v>2678</v>
      </c>
      <c r="T283" s="0" t="s">
        <v>2933</v>
      </c>
      <c r="U283" s="9" t="n">
        <v>0</v>
      </c>
      <c r="V283" s="0" t="n">
        <v>0</v>
      </c>
      <c r="W283" s="0" t="n">
        <v>20230630</v>
      </c>
      <c r="X283" s="0" t="n">
        <v>0.0965920880347445</v>
      </c>
      <c r="Y283" s="0" t="s">
        <v>2934</v>
      </c>
      <c r="Z283" s="0" t="s">
        <v>60</v>
      </c>
    </row>
    <row r="284" customFormat="false" ht="15" hidden="false" customHeight="false" outlineLevel="0" collapsed="false">
      <c r="A284" s="0" t="n">
        <v>281</v>
      </c>
      <c r="B284" s="9" t="n">
        <v>1638948</v>
      </c>
      <c r="C284" s="0" t="n">
        <v>17748</v>
      </c>
      <c r="D284" s="0" t="n">
        <v>1352478</v>
      </c>
      <c r="E284" s="0" t="s">
        <v>85</v>
      </c>
      <c r="F284" s="0" t="n">
        <v>107830</v>
      </c>
      <c r="G284" s="0" t="s">
        <v>2935</v>
      </c>
      <c r="H284" s="0" t="s">
        <v>2936</v>
      </c>
      <c r="I284" s="0" t="s">
        <v>2937</v>
      </c>
      <c r="J284" s="0" t="s">
        <v>2938</v>
      </c>
      <c r="K284" s="0" t="s">
        <v>2939</v>
      </c>
      <c r="L284" s="0" t="n">
        <v>1266653</v>
      </c>
      <c r="M284" s="0" t="s">
        <v>2940</v>
      </c>
      <c r="N284" s="0" t="n">
        <v>1048029</v>
      </c>
      <c r="O284" s="9" t="n">
        <v>6702</v>
      </c>
      <c r="P284" s="0" t="s">
        <v>240</v>
      </c>
      <c r="Q284" s="0" t="s">
        <v>2941</v>
      </c>
      <c r="R284" s="0" t="s">
        <v>2942</v>
      </c>
      <c r="S284" s="0" t="s">
        <v>2943</v>
      </c>
      <c r="T284" s="0" t="s">
        <v>2944</v>
      </c>
      <c r="U284" s="9" t="n">
        <v>0</v>
      </c>
      <c r="V284" s="0" t="n">
        <v>0</v>
      </c>
      <c r="W284" s="0" t="n">
        <v>20230630</v>
      </c>
      <c r="X284" s="0" t="n">
        <v>0.18612504564291</v>
      </c>
      <c r="Y284" s="0" t="s">
        <v>804</v>
      </c>
      <c r="Z284" s="0" t="s">
        <v>60</v>
      </c>
    </row>
    <row r="285" customFormat="false" ht="15" hidden="false" customHeight="false" outlineLevel="0" collapsed="false">
      <c r="A285" s="0" t="n">
        <v>282</v>
      </c>
      <c r="B285" s="9" t="n">
        <v>1316293</v>
      </c>
      <c r="C285" s="0" t="n">
        <v>17749</v>
      </c>
      <c r="D285" s="0" t="n">
        <v>1027633</v>
      </c>
      <c r="E285" s="0" t="s">
        <v>246</v>
      </c>
      <c r="F285" s="0" t="n">
        <v>161414</v>
      </c>
      <c r="G285" s="0" t="s">
        <v>2945</v>
      </c>
      <c r="H285" s="0" t="s">
        <v>2946</v>
      </c>
      <c r="I285" s="0" t="s">
        <v>2947</v>
      </c>
      <c r="J285" s="0" t="s">
        <v>2948</v>
      </c>
      <c r="K285" s="0" t="s">
        <v>2949</v>
      </c>
      <c r="L285" s="0" t="n">
        <v>776535</v>
      </c>
      <c r="M285" s="0" t="s">
        <v>2950</v>
      </c>
      <c r="N285" s="0" t="n">
        <v>702580</v>
      </c>
      <c r="O285" s="9" t="n">
        <v>293</v>
      </c>
      <c r="P285" s="0" t="s">
        <v>253</v>
      </c>
      <c r="Q285" s="0" t="s">
        <v>2951</v>
      </c>
      <c r="R285" s="0" t="s">
        <v>2952</v>
      </c>
      <c r="S285" s="0" t="s">
        <v>845</v>
      </c>
      <c r="T285" s="0" t="s">
        <v>1605</v>
      </c>
      <c r="U285" s="9" t="n">
        <v>0</v>
      </c>
      <c r="V285" s="0" t="n">
        <v>0</v>
      </c>
      <c r="W285" s="0" t="n">
        <v>20230630</v>
      </c>
      <c r="X285" s="0" t="n">
        <v>1.33285285879771</v>
      </c>
      <c r="Y285" s="0" t="s">
        <v>2953</v>
      </c>
      <c r="Z285" s="0" t="s">
        <v>60</v>
      </c>
    </row>
    <row r="286" customFormat="false" ht="15" hidden="false" customHeight="false" outlineLevel="0" collapsed="false">
      <c r="A286" s="0" t="n">
        <v>283</v>
      </c>
      <c r="B286" s="9" t="n">
        <v>1539209</v>
      </c>
      <c r="C286" s="0" t="n">
        <v>17751</v>
      </c>
      <c r="D286" s="0" t="n">
        <v>1218035</v>
      </c>
      <c r="E286" s="0" t="s">
        <v>47</v>
      </c>
      <c r="F286" s="0" t="n">
        <v>129936</v>
      </c>
      <c r="G286" s="0" t="s">
        <v>2954</v>
      </c>
      <c r="H286" s="0" t="s">
        <v>2955</v>
      </c>
      <c r="I286" s="0" t="s">
        <v>2956</v>
      </c>
      <c r="J286" s="0" t="s">
        <v>2957</v>
      </c>
      <c r="K286" s="0" t="s">
        <v>2958</v>
      </c>
      <c r="L286" s="0" t="n">
        <v>1255714</v>
      </c>
      <c r="M286" s="0" t="s">
        <v>2959</v>
      </c>
      <c r="N286" s="0" t="n">
        <v>1072258</v>
      </c>
      <c r="O286" s="9" t="n">
        <v>2725</v>
      </c>
      <c r="P286" s="0" t="s">
        <v>266</v>
      </c>
      <c r="Q286" s="0" t="s">
        <v>2960</v>
      </c>
      <c r="R286" s="0" t="s">
        <v>2961</v>
      </c>
      <c r="S286" s="0" t="s">
        <v>2962</v>
      </c>
      <c r="T286" s="0" t="s">
        <v>2963</v>
      </c>
      <c r="U286" s="9" t="n">
        <v>0</v>
      </c>
      <c r="V286" s="0" t="n">
        <v>12.7403512952889</v>
      </c>
      <c r="W286" s="0" t="n">
        <v>20230630</v>
      </c>
      <c r="X286" s="0" t="n">
        <v>0.57224377049816</v>
      </c>
      <c r="Y286" s="0" t="s">
        <v>2964</v>
      </c>
      <c r="Z286" s="0" t="s">
        <v>60</v>
      </c>
    </row>
    <row r="287" customFormat="false" ht="15" hidden="false" customHeight="false" outlineLevel="0" collapsed="false">
      <c r="A287" s="0" t="n">
        <v>284</v>
      </c>
      <c r="B287" s="9" t="n">
        <v>1670135</v>
      </c>
      <c r="C287" s="0" t="n">
        <v>17897</v>
      </c>
      <c r="D287" s="0" t="n">
        <v>1316659</v>
      </c>
      <c r="E287" s="0" t="s">
        <v>1729</v>
      </c>
      <c r="F287" s="0" t="n">
        <v>202487</v>
      </c>
      <c r="G287" s="0" t="s">
        <v>2965</v>
      </c>
      <c r="H287" s="0" t="s">
        <v>2966</v>
      </c>
      <c r="I287" s="0" t="s">
        <v>2967</v>
      </c>
      <c r="J287" s="0" t="s">
        <v>2968</v>
      </c>
      <c r="K287" s="0" t="s">
        <v>2969</v>
      </c>
      <c r="L287" s="0" t="n">
        <v>1413161</v>
      </c>
      <c r="M287" s="0" t="s">
        <v>2970</v>
      </c>
      <c r="N287" s="0" t="n">
        <v>1329657</v>
      </c>
      <c r="O287" s="9" t="n">
        <v>3724</v>
      </c>
      <c r="P287" s="0" t="s">
        <v>278</v>
      </c>
      <c r="Q287" s="0" t="s">
        <v>2971</v>
      </c>
      <c r="R287" s="0" t="s">
        <v>2972</v>
      </c>
      <c r="S287" s="0" t="s">
        <v>2973</v>
      </c>
      <c r="T287" s="0" t="s">
        <v>2974</v>
      </c>
      <c r="U287" s="9" t="n">
        <v>0</v>
      </c>
      <c r="V287" s="0" t="n">
        <v>17.1387717890176</v>
      </c>
      <c r="W287" s="0" t="n">
        <v>20230630</v>
      </c>
      <c r="X287" s="0" t="n">
        <v>0.7142445132825</v>
      </c>
      <c r="Y287" s="0" t="s">
        <v>2823</v>
      </c>
      <c r="Z287" s="0" t="s">
        <v>60</v>
      </c>
    </row>
    <row r="288" customFormat="false" ht="15" hidden="false" customHeight="false" outlineLevel="0" collapsed="false">
      <c r="A288" s="0" t="n">
        <v>285</v>
      </c>
      <c r="B288" s="9" t="n">
        <v>785855</v>
      </c>
      <c r="C288" s="0" t="n">
        <v>17951</v>
      </c>
      <c r="D288" s="0" t="n">
        <v>698423</v>
      </c>
      <c r="E288" s="0" t="s">
        <v>1393</v>
      </c>
      <c r="F288" s="0" t="n">
        <v>56939</v>
      </c>
      <c r="G288" s="0" t="s">
        <v>2975</v>
      </c>
      <c r="H288" s="0" t="s">
        <v>2976</v>
      </c>
      <c r="I288" s="0" t="s">
        <v>2977</v>
      </c>
      <c r="J288" s="0" t="s">
        <v>2978</v>
      </c>
      <c r="K288" s="0" t="s">
        <v>2979</v>
      </c>
      <c r="L288" s="0" t="n">
        <v>553850</v>
      </c>
      <c r="M288" s="0" t="s">
        <v>2980</v>
      </c>
      <c r="N288" s="0" t="n">
        <v>515478</v>
      </c>
      <c r="O288" s="9" t="n">
        <v>67</v>
      </c>
      <c r="P288" s="0" t="s">
        <v>290</v>
      </c>
      <c r="Q288" s="0" t="s">
        <v>2981</v>
      </c>
      <c r="R288" s="0" t="s">
        <v>2982</v>
      </c>
      <c r="S288" s="0" t="s">
        <v>2983</v>
      </c>
      <c r="T288" s="0" t="s">
        <v>2984</v>
      </c>
      <c r="U288" s="9" t="n">
        <v>0</v>
      </c>
      <c r="V288" s="0" t="n">
        <v>14.4439118904905</v>
      </c>
      <c r="W288" s="0" t="n">
        <v>20230630</v>
      </c>
      <c r="X288" s="0" t="n">
        <v>0.577782741347925</v>
      </c>
      <c r="Y288" s="0" t="s">
        <v>2985</v>
      </c>
      <c r="Z288" s="0" t="s">
        <v>158</v>
      </c>
    </row>
    <row r="289" customFormat="false" ht="15" hidden="false" customHeight="false" outlineLevel="0" collapsed="false">
      <c r="A289" s="0" t="n">
        <v>286</v>
      </c>
      <c r="B289" s="9" t="n">
        <v>1355202</v>
      </c>
      <c r="C289" s="0" t="n">
        <v>17960</v>
      </c>
      <c r="D289" s="0" t="n">
        <v>1044918</v>
      </c>
      <c r="E289" s="0" t="s">
        <v>172</v>
      </c>
      <c r="F289" s="0" t="n">
        <v>108306</v>
      </c>
      <c r="G289" s="0" t="s">
        <v>2986</v>
      </c>
      <c r="H289" s="0" t="s">
        <v>2987</v>
      </c>
      <c r="I289" s="0" t="s">
        <v>2988</v>
      </c>
      <c r="J289" s="0" t="s">
        <v>2989</v>
      </c>
      <c r="K289" s="0" t="s">
        <v>2990</v>
      </c>
      <c r="L289" s="0" t="n">
        <v>1162537</v>
      </c>
      <c r="M289" s="0" t="s">
        <v>2991</v>
      </c>
      <c r="N289" s="0" t="n">
        <v>827985</v>
      </c>
      <c r="O289" s="9" t="n">
        <v>8464</v>
      </c>
      <c r="P289" s="0" t="s">
        <v>302</v>
      </c>
      <c r="Q289" s="0" t="s">
        <v>2992</v>
      </c>
      <c r="R289" s="0" t="s">
        <v>2993</v>
      </c>
      <c r="S289" s="0" t="s">
        <v>2994</v>
      </c>
      <c r="T289" s="0" t="s">
        <v>2995</v>
      </c>
      <c r="U289" s="9" t="n">
        <v>0</v>
      </c>
      <c r="V289" s="0" t="n">
        <v>12.7361396545319</v>
      </c>
      <c r="W289" s="0" t="n">
        <v>20230630</v>
      </c>
      <c r="X289" s="0" t="n">
        <v>0.47751881940412</v>
      </c>
      <c r="Y289" s="0" t="s">
        <v>2996</v>
      </c>
      <c r="Z289" s="0" t="s">
        <v>158</v>
      </c>
    </row>
    <row r="290" customFormat="false" ht="15" hidden="false" customHeight="false" outlineLevel="0" collapsed="false">
      <c r="A290" s="0" t="n">
        <v>287</v>
      </c>
      <c r="B290" s="9" t="n">
        <v>2459524</v>
      </c>
      <c r="C290" s="0" t="n">
        <v>18012</v>
      </c>
      <c r="D290" s="0" t="n">
        <v>2061672</v>
      </c>
      <c r="E290" s="0" t="s">
        <v>172</v>
      </c>
      <c r="F290" s="0" t="n">
        <v>250653</v>
      </c>
      <c r="G290" s="0" t="s">
        <v>2997</v>
      </c>
      <c r="H290" s="0" t="s">
        <v>2998</v>
      </c>
      <c r="I290" s="0" t="s">
        <v>2999</v>
      </c>
      <c r="J290" s="0" t="s">
        <v>3000</v>
      </c>
      <c r="K290" s="0" t="s">
        <v>3001</v>
      </c>
      <c r="L290" s="0" t="n">
        <v>2005386</v>
      </c>
      <c r="M290" s="0" t="s">
        <v>3002</v>
      </c>
      <c r="N290" s="0" t="n">
        <v>1892192</v>
      </c>
      <c r="O290" s="9" t="n">
        <v>1011</v>
      </c>
      <c r="P290" s="0" t="s">
        <v>312</v>
      </c>
      <c r="Q290" s="0" t="s">
        <v>3003</v>
      </c>
      <c r="R290" s="0" t="s">
        <v>3004</v>
      </c>
      <c r="S290" s="0" t="s">
        <v>3005</v>
      </c>
      <c r="T290" s="0" t="s">
        <v>3006</v>
      </c>
      <c r="U290" s="9" t="n">
        <v>0</v>
      </c>
      <c r="V290" s="0" t="n">
        <v>13.5220936775833</v>
      </c>
      <c r="W290" s="0" t="n">
        <v>20230630</v>
      </c>
      <c r="X290" s="0" t="n">
        <v>0.853047862093874</v>
      </c>
      <c r="Y290" s="0" t="s">
        <v>2660</v>
      </c>
      <c r="Z290" s="0" t="s">
        <v>158</v>
      </c>
    </row>
    <row r="291" customFormat="false" ht="15" hidden="false" customHeight="false" outlineLevel="0" collapsed="false">
      <c r="A291" s="0" t="n">
        <v>288</v>
      </c>
      <c r="B291" s="9" t="n">
        <v>2835749</v>
      </c>
      <c r="C291" s="0" t="n">
        <v>18013</v>
      </c>
      <c r="D291" s="0" t="n">
        <v>2403310</v>
      </c>
      <c r="E291" s="0" t="s">
        <v>195</v>
      </c>
      <c r="F291" s="0" t="n">
        <v>211459</v>
      </c>
      <c r="G291" s="0" t="s">
        <v>3007</v>
      </c>
      <c r="H291" s="0" t="s">
        <v>3008</v>
      </c>
      <c r="I291" s="0" t="s">
        <v>3009</v>
      </c>
      <c r="J291" s="0" t="s">
        <v>3010</v>
      </c>
      <c r="K291" s="0" t="s">
        <v>3011</v>
      </c>
      <c r="L291" s="0" t="n">
        <v>2261511</v>
      </c>
      <c r="M291" s="0" t="s">
        <v>3012</v>
      </c>
      <c r="N291" s="0" t="n">
        <v>2073740</v>
      </c>
      <c r="O291" s="9" t="n">
        <v>1133</v>
      </c>
      <c r="P291" s="0" t="s">
        <v>324</v>
      </c>
      <c r="Q291" s="0" t="s">
        <v>3013</v>
      </c>
      <c r="R291" s="0" t="s">
        <v>3014</v>
      </c>
      <c r="S291" s="0" t="s">
        <v>1488</v>
      </c>
      <c r="T291" s="0" t="s">
        <v>3015</v>
      </c>
      <c r="U291" s="9" t="n">
        <v>19</v>
      </c>
      <c r="V291" s="0" t="n">
        <v>13.0579757124412</v>
      </c>
      <c r="W291" s="0" t="n">
        <v>20230630</v>
      </c>
      <c r="X291" s="0" t="n">
        <v>0.458533603033476</v>
      </c>
      <c r="Y291" s="0" t="s">
        <v>3016</v>
      </c>
      <c r="Z291" s="0" t="s">
        <v>158</v>
      </c>
    </row>
    <row r="292" customFormat="false" ht="15" hidden="false" customHeight="false" outlineLevel="0" collapsed="false">
      <c r="A292" s="0" t="n">
        <v>289</v>
      </c>
      <c r="B292" s="9" t="n">
        <v>385140</v>
      </c>
      <c r="C292" s="0" t="n">
        <v>18028</v>
      </c>
      <c r="D292" s="0" t="n">
        <v>318025</v>
      </c>
      <c r="E292" s="0" t="s">
        <v>1436</v>
      </c>
      <c r="F292" s="0" t="n">
        <v>37896</v>
      </c>
      <c r="G292" s="0" t="s">
        <v>3017</v>
      </c>
      <c r="H292" s="0" t="s">
        <v>3018</v>
      </c>
      <c r="I292" s="0" t="s">
        <v>3019</v>
      </c>
      <c r="J292" s="0" t="s">
        <v>3020</v>
      </c>
      <c r="K292" s="0" t="s">
        <v>3021</v>
      </c>
      <c r="L292" s="0" t="n">
        <v>257736</v>
      </c>
      <c r="M292" s="0" t="s">
        <v>3022</v>
      </c>
      <c r="N292" s="0" t="n">
        <v>228527</v>
      </c>
      <c r="O292" s="9" t="n">
        <v>855</v>
      </c>
      <c r="P292" s="0" t="s">
        <v>337</v>
      </c>
      <c r="Q292" s="0" t="s">
        <v>3023</v>
      </c>
      <c r="R292" s="0" t="s">
        <v>3024</v>
      </c>
      <c r="S292" s="0" t="s">
        <v>3025</v>
      </c>
      <c r="T292" s="0" t="s">
        <v>3026</v>
      </c>
      <c r="U292" s="9" t="n">
        <v>20</v>
      </c>
      <c r="V292" s="0" t="n">
        <v>0</v>
      </c>
      <c r="W292" s="0" t="n">
        <v>20230630</v>
      </c>
      <c r="X292" s="0" t="n">
        <v>0.575288643086549</v>
      </c>
      <c r="Y292" s="0" t="s">
        <v>2823</v>
      </c>
      <c r="Z292" s="0" t="s">
        <v>158</v>
      </c>
    </row>
    <row r="293" customFormat="false" ht="15" hidden="false" customHeight="false" outlineLevel="0" collapsed="false">
      <c r="A293" s="0" t="n">
        <v>290</v>
      </c>
      <c r="B293" s="9" t="n">
        <v>736677</v>
      </c>
      <c r="C293" s="0" t="n">
        <v>18030</v>
      </c>
      <c r="D293" s="0" t="n">
        <v>664243</v>
      </c>
      <c r="E293" s="0" t="s">
        <v>1436</v>
      </c>
      <c r="F293" s="0" t="n">
        <v>44564</v>
      </c>
      <c r="G293" s="0" t="s">
        <v>3027</v>
      </c>
      <c r="H293" s="0" t="s">
        <v>3028</v>
      </c>
      <c r="I293" s="0" t="s">
        <v>3029</v>
      </c>
      <c r="J293" s="0" t="s">
        <v>3030</v>
      </c>
      <c r="K293" s="0" t="s">
        <v>3031</v>
      </c>
      <c r="L293" s="0" t="n">
        <v>586930</v>
      </c>
      <c r="M293" s="0" t="s">
        <v>3032</v>
      </c>
      <c r="N293" s="0" t="n">
        <v>449340</v>
      </c>
      <c r="O293" s="9" t="n">
        <v>490</v>
      </c>
      <c r="P293" s="0" t="s">
        <v>349</v>
      </c>
      <c r="Q293" s="0" t="s">
        <v>3033</v>
      </c>
      <c r="R293" s="0" t="s">
        <v>3034</v>
      </c>
      <c r="S293" s="0" t="s">
        <v>155</v>
      </c>
      <c r="T293" s="0" t="s">
        <v>3035</v>
      </c>
      <c r="U293" s="9" t="n">
        <v>0</v>
      </c>
      <c r="V293" s="0" t="n">
        <v>12.5009957508155</v>
      </c>
      <c r="W293" s="0" t="n">
        <v>20230630</v>
      </c>
      <c r="X293" s="0" t="n">
        <v>0.584769402386572</v>
      </c>
      <c r="Y293" s="0" t="s">
        <v>3036</v>
      </c>
      <c r="Z293" s="0" t="s">
        <v>158</v>
      </c>
    </row>
    <row r="294" customFormat="false" ht="15" hidden="false" customHeight="false" outlineLevel="0" collapsed="false">
      <c r="A294" s="0" t="n">
        <v>291</v>
      </c>
      <c r="B294" s="9" t="n">
        <v>686908</v>
      </c>
      <c r="C294" s="0" t="n">
        <v>18031</v>
      </c>
      <c r="D294" s="0" t="n">
        <v>578969</v>
      </c>
      <c r="E294" s="0" t="s">
        <v>390</v>
      </c>
      <c r="F294" s="0" t="n">
        <v>36036</v>
      </c>
      <c r="G294" s="0" t="s">
        <v>3037</v>
      </c>
      <c r="H294" s="0" t="s">
        <v>3038</v>
      </c>
      <c r="I294" s="0" t="s">
        <v>3039</v>
      </c>
      <c r="J294" s="0" t="s">
        <v>3040</v>
      </c>
      <c r="K294" s="0" t="s">
        <v>3041</v>
      </c>
      <c r="L294" s="0" t="n">
        <v>480187</v>
      </c>
      <c r="M294" s="0" t="s">
        <v>3042</v>
      </c>
      <c r="N294" s="0" t="n">
        <v>433545</v>
      </c>
      <c r="O294" s="9" t="n">
        <v>1022</v>
      </c>
      <c r="P294" s="0" t="s">
        <v>361</v>
      </c>
      <c r="Q294" s="0" t="s">
        <v>3043</v>
      </c>
      <c r="R294" s="0" t="s">
        <v>3044</v>
      </c>
      <c r="S294" s="0" t="s">
        <v>352</v>
      </c>
      <c r="T294" s="0" t="s">
        <v>3045</v>
      </c>
      <c r="U294" s="9" t="n">
        <v>0</v>
      </c>
      <c r="V294" s="0" t="n">
        <v>16.120512261208</v>
      </c>
      <c r="W294" s="0" t="n">
        <v>20230630</v>
      </c>
      <c r="X294" s="0" t="n">
        <v>0.289913659428378</v>
      </c>
      <c r="Y294" s="0" t="s">
        <v>912</v>
      </c>
      <c r="Z294" s="0" t="s">
        <v>158</v>
      </c>
    </row>
    <row r="295" customFormat="false" ht="15" hidden="false" customHeight="false" outlineLevel="0" collapsed="false">
      <c r="A295" s="0" t="n">
        <v>292</v>
      </c>
      <c r="B295" s="9" t="n">
        <v>548920</v>
      </c>
      <c r="C295" s="0" t="n">
        <v>18038</v>
      </c>
      <c r="D295" s="0" t="n">
        <v>429568</v>
      </c>
      <c r="E295" s="0" t="s">
        <v>172</v>
      </c>
      <c r="F295" s="0" t="n">
        <v>65364</v>
      </c>
      <c r="G295" s="0" t="s">
        <v>3046</v>
      </c>
      <c r="H295" s="0" t="s">
        <v>3047</v>
      </c>
      <c r="I295" s="0" t="s">
        <v>3048</v>
      </c>
      <c r="J295" s="0" t="s">
        <v>3049</v>
      </c>
      <c r="K295" s="0" t="s">
        <v>3050</v>
      </c>
      <c r="L295" s="0" t="n">
        <v>420009</v>
      </c>
      <c r="M295" s="0" t="s">
        <v>3051</v>
      </c>
      <c r="N295" s="0" t="n">
        <v>399161</v>
      </c>
      <c r="O295" s="9" t="n">
        <v>2268</v>
      </c>
      <c r="P295" s="0" t="s">
        <v>372</v>
      </c>
      <c r="Q295" s="0" t="s">
        <v>3052</v>
      </c>
      <c r="R295" s="0" t="s">
        <v>3053</v>
      </c>
      <c r="S295" s="0" t="s">
        <v>1865</v>
      </c>
      <c r="T295" s="0" t="s">
        <v>3054</v>
      </c>
      <c r="U295" s="9" t="n">
        <v>0</v>
      </c>
      <c r="V295" s="0" t="n">
        <v>0</v>
      </c>
      <c r="W295" s="0" t="n">
        <v>20230630</v>
      </c>
      <c r="X295" s="0" t="n">
        <v>0.388703168329964</v>
      </c>
      <c r="Y295" s="0" t="s">
        <v>536</v>
      </c>
      <c r="Z295" s="0" t="s">
        <v>158</v>
      </c>
    </row>
    <row r="296" customFormat="false" ht="15" hidden="false" customHeight="false" outlineLevel="0" collapsed="false">
      <c r="A296" s="0" t="n">
        <v>293</v>
      </c>
      <c r="B296" s="9" t="n">
        <v>7459345</v>
      </c>
      <c r="C296" s="0" t="n">
        <v>18408</v>
      </c>
      <c r="D296" s="0" t="n">
        <v>5594077</v>
      </c>
      <c r="E296" s="0" t="s">
        <v>259</v>
      </c>
      <c r="F296" s="0" t="n">
        <v>367424</v>
      </c>
      <c r="G296" s="0" t="s">
        <v>3055</v>
      </c>
      <c r="H296" s="0" t="s">
        <v>3056</v>
      </c>
      <c r="I296" s="0" t="s">
        <v>3057</v>
      </c>
      <c r="J296" s="0" t="s">
        <v>3058</v>
      </c>
      <c r="K296" s="0" t="s">
        <v>3059</v>
      </c>
      <c r="L296" s="0" t="n">
        <v>4774928</v>
      </c>
      <c r="M296" s="0" t="s">
        <v>3060</v>
      </c>
      <c r="N296" s="0" t="n">
        <v>4349363</v>
      </c>
      <c r="O296" s="9" t="n">
        <v>3474</v>
      </c>
      <c r="P296" s="0" t="s">
        <v>384</v>
      </c>
      <c r="Q296" s="0" t="s">
        <v>3061</v>
      </c>
      <c r="R296" s="0" t="s">
        <v>3062</v>
      </c>
      <c r="S296" s="0" t="s">
        <v>3063</v>
      </c>
      <c r="T296" s="0" t="s">
        <v>3064</v>
      </c>
      <c r="U296" s="9" t="n">
        <v>0</v>
      </c>
      <c r="V296" s="0" t="n">
        <v>11.6689079054605</v>
      </c>
      <c r="W296" s="0" t="n">
        <v>20230630</v>
      </c>
      <c r="X296" s="0" t="n">
        <v>0.0746320286304322</v>
      </c>
      <c r="Y296" s="0" t="s">
        <v>3065</v>
      </c>
      <c r="Z296" s="0" t="s">
        <v>60</v>
      </c>
    </row>
    <row r="297" customFormat="false" ht="15" hidden="false" customHeight="false" outlineLevel="0" collapsed="false">
      <c r="A297" s="0" t="n">
        <v>294</v>
      </c>
      <c r="B297" s="9" t="n">
        <v>2396062</v>
      </c>
      <c r="C297" s="0" t="n">
        <v>19531</v>
      </c>
      <c r="D297" s="0" t="n">
        <v>1963859</v>
      </c>
      <c r="E297" s="0" t="s">
        <v>61</v>
      </c>
      <c r="F297" s="0" t="n">
        <v>235363</v>
      </c>
      <c r="G297" s="0" t="s">
        <v>3066</v>
      </c>
      <c r="H297" s="0" t="s">
        <v>3067</v>
      </c>
      <c r="I297" s="0" t="s">
        <v>3068</v>
      </c>
      <c r="J297" s="0" t="s">
        <v>3069</v>
      </c>
      <c r="K297" s="0" t="s">
        <v>3070</v>
      </c>
      <c r="L297" s="0" t="n">
        <v>1948994</v>
      </c>
      <c r="M297" s="0" t="s">
        <v>3071</v>
      </c>
      <c r="N297" s="0" t="n">
        <v>1592985</v>
      </c>
      <c r="O297" s="9" t="n">
        <v>11853</v>
      </c>
      <c r="P297" s="0" t="s">
        <v>397</v>
      </c>
      <c r="Q297" s="0" t="s">
        <v>3072</v>
      </c>
      <c r="R297" s="0" t="s">
        <v>3073</v>
      </c>
      <c r="S297" s="0" t="s">
        <v>3074</v>
      </c>
      <c r="T297" s="0" t="s">
        <v>3075</v>
      </c>
      <c r="U297" s="9" t="n">
        <v>65</v>
      </c>
      <c r="V297" s="0" t="n">
        <v>14.3314513958643</v>
      </c>
      <c r="W297" s="0" t="n">
        <v>20230630</v>
      </c>
      <c r="X297" s="0" t="n">
        <v>0.462742823520228</v>
      </c>
      <c r="Y297" s="0" t="s">
        <v>1352</v>
      </c>
      <c r="Z297" s="0" t="s">
        <v>60</v>
      </c>
    </row>
    <row r="298" customFormat="false" ht="15" hidden="false" customHeight="false" outlineLevel="0" collapsed="false">
      <c r="A298" s="0" t="n">
        <v>295</v>
      </c>
      <c r="B298" s="9" t="n">
        <v>792753</v>
      </c>
      <c r="C298" s="0" t="n">
        <v>19532</v>
      </c>
      <c r="D298" s="0" t="n">
        <v>647966</v>
      </c>
      <c r="E298" s="0" t="s">
        <v>61</v>
      </c>
      <c r="F298" s="0" t="n">
        <v>91641</v>
      </c>
      <c r="G298" s="0" t="s">
        <v>3076</v>
      </c>
      <c r="H298" s="0" t="s">
        <v>3077</v>
      </c>
      <c r="I298" s="0" t="s">
        <v>3078</v>
      </c>
      <c r="J298" s="0" t="s">
        <v>3079</v>
      </c>
      <c r="K298" s="0" t="s">
        <v>3080</v>
      </c>
      <c r="L298" s="0" t="n">
        <v>564676</v>
      </c>
      <c r="M298" s="0" t="s">
        <v>3081</v>
      </c>
      <c r="N298" s="0" t="n">
        <v>466819</v>
      </c>
      <c r="O298" s="9" t="n">
        <v>876</v>
      </c>
      <c r="P298" s="0" t="s">
        <v>409</v>
      </c>
      <c r="Q298" s="0" t="s">
        <v>3082</v>
      </c>
      <c r="R298" s="0" t="s">
        <v>3083</v>
      </c>
      <c r="S298" s="0" t="s">
        <v>315</v>
      </c>
      <c r="T298" s="0" t="s">
        <v>3084</v>
      </c>
      <c r="U298" s="9" t="n">
        <v>14</v>
      </c>
      <c r="V298" s="0" t="n">
        <v>20.7353954790339</v>
      </c>
      <c r="W298" s="0" t="n">
        <v>20230630</v>
      </c>
      <c r="X298" s="0" t="n">
        <v>0.820049398822041</v>
      </c>
      <c r="Y298" s="0" t="s">
        <v>3085</v>
      </c>
      <c r="Z298" s="0" t="s">
        <v>60</v>
      </c>
    </row>
    <row r="299" customFormat="false" ht="15" hidden="false" customHeight="false" outlineLevel="0" collapsed="false">
      <c r="A299" s="0" t="n">
        <v>296</v>
      </c>
      <c r="B299" s="9" t="n">
        <v>2869938</v>
      </c>
      <c r="C299" s="0" t="n">
        <v>19690</v>
      </c>
      <c r="D299" s="0" t="n">
        <v>1960331</v>
      </c>
      <c r="E299" s="0" t="s">
        <v>47</v>
      </c>
      <c r="F299" s="0" t="n">
        <v>296663</v>
      </c>
      <c r="G299" s="0" t="s">
        <v>3086</v>
      </c>
      <c r="H299" s="0" t="s">
        <v>3087</v>
      </c>
      <c r="I299" s="0" t="s">
        <v>3088</v>
      </c>
      <c r="J299" s="0" t="s">
        <v>3089</v>
      </c>
      <c r="K299" s="0" t="s">
        <v>3090</v>
      </c>
      <c r="L299" s="0" t="n">
        <v>2520360</v>
      </c>
      <c r="M299" s="0" t="s">
        <v>3091</v>
      </c>
      <c r="N299" s="0" t="n">
        <v>2020060</v>
      </c>
      <c r="O299" s="9" t="n">
        <v>15683</v>
      </c>
      <c r="P299" s="0" t="s">
        <v>420</v>
      </c>
      <c r="Q299" s="0" t="s">
        <v>3092</v>
      </c>
      <c r="R299" s="0" t="s">
        <v>3093</v>
      </c>
      <c r="S299" s="0" t="s">
        <v>3025</v>
      </c>
      <c r="T299" s="0" t="s">
        <v>3094</v>
      </c>
      <c r="U299" s="9" t="n">
        <v>0</v>
      </c>
      <c r="V299" s="0" t="n">
        <v>12.2983890529339</v>
      </c>
      <c r="W299" s="0" t="n">
        <v>20230630</v>
      </c>
      <c r="X299" s="0" t="n">
        <v>1.72729756659238</v>
      </c>
      <c r="Y299" s="0" t="s">
        <v>3095</v>
      </c>
      <c r="Z299" s="0" t="s">
        <v>60</v>
      </c>
    </row>
    <row r="300" customFormat="false" ht="15" hidden="false" customHeight="false" outlineLevel="0" collapsed="false">
      <c r="A300" s="0" t="n">
        <v>297</v>
      </c>
      <c r="B300" s="9" t="n">
        <v>608950</v>
      </c>
      <c r="C300" s="0" t="n">
        <v>19836</v>
      </c>
      <c r="D300" s="0" t="n">
        <v>446012</v>
      </c>
      <c r="E300" s="0" t="s">
        <v>208</v>
      </c>
      <c r="F300" s="0" t="n">
        <v>119294</v>
      </c>
      <c r="G300" s="0" t="s">
        <v>3096</v>
      </c>
      <c r="H300" s="0" t="s">
        <v>3097</v>
      </c>
      <c r="I300" s="0" t="s">
        <v>3098</v>
      </c>
      <c r="J300" s="0" t="s">
        <v>3099</v>
      </c>
      <c r="K300" s="0" t="s">
        <v>3100</v>
      </c>
      <c r="L300" s="0" t="n">
        <v>506806</v>
      </c>
      <c r="M300" s="0" t="s">
        <v>3101</v>
      </c>
      <c r="N300" s="0" t="n">
        <v>437325</v>
      </c>
      <c r="O300" s="9" t="n">
        <v>3354</v>
      </c>
      <c r="P300" s="0" t="s">
        <v>290</v>
      </c>
      <c r="Q300" s="0" t="s">
        <v>3102</v>
      </c>
      <c r="R300" s="0" t="s">
        <v>3103</v>
      </c>
      <c r="S300" s="0" t="s">
        <v>3104</v>
      </c>
      <c r="T300" s="0" t="s">
        <v>3105</v>
      </c>
      <c r="U300" s="9" t="n">
        <v>320</v>
      </c>
      <c r="V300" s="0" t="n">
        <v>27.2365493944138</v>
      </c>
      <c r="W300" s="0" t="n">
        <v>20230630</v>
      </c>
      <c r="X300" s="0" t="n">
        <v>0.835906040268456</v>
      </c>
      <c r="Y300" s="0" t="s">
        <v>1814</v>
      </c>
      <c r="Z300" s="0" t="s">
        <v>60</v>
      </c>
    </row>
    <row r="301" customFormat="false" ht="15" hidden="false" customHeight="false" outlineLevel="0" collapsed="false">
      <c r="A301" s="0" t="n">
        <v>298</v>
      </c>
      <c r="B301" s="9" t="n">
        <v>1353335</v>
      </c>
      <c r="C301" s="0" t="n">
        <v>24540</v>
      </c>
      <c r="D301" s="0" t="n">
        <v>1091222</v>
      </c>
      <c r="E301" s="0" t="s">
        <v>1137</v>
      </c>
      <c r="F301" s="0" t="n">
        <v>232110</v>
      </c>
      <c r="G301" s="0" t="s">
        <v>3106</v>
      </c>
      <c r="H301" s="0" t="s">
        <v>3107</v>
      </c>
      <c r="I301" s="0" t="s">
        <v>3108</v>
      </c>
      <c r="J301" s="0" t="s">
        <v>3109</v>
      </c>
      <c r="K301" s="0" t="s">
        <v>1048</v>
      </c>
      <c r="L301" s="0" t="n">
        <v>1145876</v>
      </c>
      <c r="M301" s="0" t="s">
        <v>3110</v>
      </c>
      <c r="N301" s="0" t="n">
        <v>1109265</v>
      </c>
      <c r="O301" s="9" t="n">
        <v>342</v>
      </c>
      <c r="P301" s="0" t="s">
        <v>443</v>
      </c>
      <c r="Q301" s="0" t="s">
        <v>3111</v>
      </c>
      <c r="R301" s="0" t="s">
        <v>3112</v>
      </c>
      <c r="S301" s="0" t="s">
        <v>61</v>
      </c>
      <c r="T301" s="0" t="s">
        <v>3113</v>
      </c>
      <c r="U301" s="9" t="n">
        <v>0</v>
      </c>
      <c r="V301" s="0" t="n">
        <v>0</v>
      </c>
      <c r="W301" s="0" t="n">
        <v>20230630</v>
      </c>
      <c r="X301" s="0" t="n">
        <v>2.53176441533346</v>
      </c>
      <c r="Y301" s="0" t="s">
        <v>3114</v>
      </c>
      <c r="Z301" s="0" t="s">
        <v>158</v>
      </c>
    </row>
    <row r="302" customFormat="false" ht="15" hidden="false" customHeight="false" outlineLevel="0" collapsed="false">
      <c r="A302" s="0" t="n">
        <v>299</v>
      </c>
      <c r="B302" s="9" t="n">
        <v>511371</v>
      </c>
      <c r="C302" s="0" t="n">
        <v>27824</v>
      </c>
      <c r="D302" s="0" t="n">
        <v>380476</v>
      </c>
      <c r="E302" s="0" t="s">
        <v>61</v>
      </c>
      <c r="F302" s="0" t="n">
        <v>65899</v>
      </c>
      <c r="G302" s="0" t="s">
        <v>3115</v>
      </c>
      <c r="H302" s="0" t="s">
        <v>3116</v>
      </c>
      <c r="I302" s="0" t="s">
        <v>3117</v>
      </c>
      <c r="J302" s="0" t="s">
        <v>3118</v>
      </c>
      <c r="K302" s="0" t="s">
        <v>3119</v>
      </c>
      <c r="L302" s="0" t="n">
        <v>425994</v>
      </c>
      <c r="M302" s="0" t="s">
        <v>3120</v>
      </c>
      <c r="N302" s="0" t="n">
        <v>362683</v>
      </c>
      <c r="O302" s="9" t="n">
        <v>1230</v>
      </c>
      <c r="P302" s="0" t="s">
        <v>453</v>
      </c>
      <c r="Q302" s="0" t="s">
        <v>3121</v>
      </c>
      <c r="R302" s="0" t="s">
        <v>3122</v>
      </c>
      <c r="S302" s="0" t="s">
        <v>1329</v>
      </c>
      <c r="T302" s="0" t="s">
        <v>3123</v>
      </c>
      <c r="U302" s="9" t="n">
        <v>0</v>
      </c>
      <c r="V302" s="0" t="n">
        <v>21.8651868052185</v>
      </c>
      <c r="W302" s="0" t="n">
        <v>20230630</v>
      </c>
      <c r="X302" s="0" t="n">
        <v>-0.179485034548527</v>
      </c>
      <c r="Y302" s="0" t="s">
        <v>3124</v>
      </c>
      <c r="Z302" s="0" t="s">
        <v>158</v>
      </c>
    </row>
    <row r="303" customFormat="false" ht="15" hidden="false" customHeight="false" outlineLevel="0" collapsed="false">
      <c r="A303" s="0" t="n">
        <v>300</v>
      </c>
      <c r="B303" s="9" t="n">
        <v>297569</v>
      </c>
      <c r="C303" s="0" t="n">
        <v>28155</v>
      </c>
      <c r="D303" s="0" t="n">
        <v>264006</v>
      </c>
      <c r="E303" s="0" t="s">
        <v>742</v>
      </c>
      <c r="F303" s="0" t="n">
        <v>27564</v>
      </c>
      <c r="G303" s="0" t="s">
        <v>3125</v>
      </c>
      <c r="H303" s="0" t="s">
        <v>3126</v>
      </c>
      <c r="I303" s="0" t="s">
        <v>3127</v>
      </c>
      <c r="J303" s="0" t="s">
        <v>3128</v>
      </c>
      <c r="K303" s="0" t="s">
        <v>3129</v>
      </c>
      <c r="L303" s="0" t="n">
        <v>159158</v>
      </c>
      <c r="M303" s="0" t="s">
        <v>3130</v>
      </c>
      <c r="N303" s="0" t="n">
        <v>147112</v>
      </c>
      <c r="O303" s="9" t="n">
        <v>52</v>
      </c>
      <c r="P303" s="0" t="s">
        <v>464</v>
      </c>
      <c r="Q303" s="0" t="s">
        <v>3131</v>
      </c>
      <c r="R303" s="0" t="s">
        <v>3132</v>
      </c>
      <c r="S303" s="0" t="s">
        <v>61</v>
      </c>
      <c r="T303" s="0" t="s">
        <v>3133</v>
      </c>
      <c r="U303" s="9" t="n">
        <v>0</v>
      </c>
      <c r="V303" s="0" t="n">
        <v>17.8379338650592</v>
      </c>
      <c r="W303" s="0" t="n">
        <v>20230630</v>
      </c>
      <c r="X303" s="0" t="n">
        <v>0.0381918077455666</v>
      </c>
      <c r="Y303" s="0" t="s">
        <v>3134</v>
      </c>
      <c r="Z303" s="0" t="s">
        <v>158</v>
      </c>
    </row>
    <row r="304" customFormat="false" ht="15" hidden="false" customHeight="false" outlineLevel="0" collapsed="false">
      <c r="A304" s="0" t="n">
        <v>301</v>
      </c>
      <c r="B304" s="9" t="n">
        <v>103989</v>
      </c>
      <c r="C304" s="0" t="n">
        <v>28288</v>
      </c>
      <c r="D304" s="0" t="n">
        <v>78624</v>
      </c>
      <c r="E304" s="0" t="s">
        <v>61</v>
      </c>
      <c r="F304" s="0" t="n">
        <v>5937</v>
      </c>
      <c r="G304" s="0" t="s">
        <v>3135</v>
      </c>
      <c r="H304" s="0" t="s">
        <v>3136</v>
      </c>
      <c r="I304" s="0" t="s">
        <v>3137</v>
      </c>
      <c r="J304" s="0" t="s">
        <v>3138</v>
      </c>
      <c r="K304" s="0" t="s">
        <v>3139</v>
      </c>
      <c r="L304" s="0" t="n">
        <v>81091</v>
      </c>
      <c r="M304" s="0" t="s">
        <v>3140</v>
      </c>
      <c r="N304" s="0" t="n">
        <v>75531</v>
      </c>
      <c r="O304" s="9" t="n">
        <v>266</v>
      </c>
      <c r="P304" s="0" t="s">
        <v>475</v>
      </c>
      <c r="Q304" s="0" t="s">
        <v>3141</v>
      </c>
      <c r="R304" s="0" t="s">
        <v>3142</v>
      </c>
      <c r="S304" s="0" t="s">
        <v>2173</v>
      </c>
      <c r="T304" s="0" t="s">
        <v>3143</v>
      </c>
      <c r="U304" s="9" t="n">
        <v>0</v>
      </c>
      <c r="V304" s="0" t="n">
        <v>13.4329035086393</v>
      </c>
      <c r="W304" s="0" t="n">
        <v>20230630</v>
      </c>
      <c r="X304" s="0" t="n">
        <v>-0.0292873413602343</v>
      </c>
      <c r="Y304" s="0" t="s">
        <v>3144</v>
      </c>
      <c r="Z304" s="0" t="s">
        <v>60</v>
      </c>
    </row>
    <row r="305" customFormat="false" ht="15" hidden="false" customHeight="false" outlineLevel="0" collapsed="false">
      <c r="A305" s="0" t="n">
        <v>302</v>
      </c>
      <c r="B305" s="9" t="n">
        <v>87702</v>
      </c>
      <c r="C305" s="0" t="n">
        <v>28369</v>
      </c>
      <c r="D305" s="0" t="n">
        <v>77819</v>
      </c>
      <c r="E305" s="0" t="s">
        <v>208</v>
      </c>
      <c r="F305" s="0" t="n">
        <v>9428</v>
      </c>
      <c r="G305" s="0" t="s">
        <v>3145</v>
      </c>
      <c r="H305" s="0" t="s">
        <v>3146</v>
      </c>
      <c r="I305" s="0" t="s">
        <v>3147</v>
      </c>
      <c r="J305" s="0" t="s">
        <v>3148</v>
      </c>
      <c r="K305" s="0" t="s">
        <v>3149</v>
      </c>
      <c r="L305" s="0" t="n">
        <v>75333</v>
      </c>
      <c r="M305" s="0" t="s">
        <v>3150</v>
      </c>
      <c r="N305" s="0" t="n">
        <v>63212</v>
      </c>
      <c r="O305" s="9" t="n">
        <v>231</v>
      </c>
      <c r="P305" s="0" t="s">
        <v>486</v>
      </c>
      <c r="Q305" s="0" t="s">
        <v>3151</v>
      </c>
      <c r="R305" s="0" t="s">
        <v>3152</v>
      </c>
      <c r="S305" s="0" t="s">
        <v>352</v>
      </c>
      <c r="T305" s="0" t="s">
        <v>1781</v>
      </c>
      <c r="U305" s="9" t="n">
        <v>0</v>
      </c>
      <c r="V305" s="0" t="n">
        <v>0</v>
      </c>
      <c r="W305" s="0" t="n">
        <v>20230630</v>
      </c>
      <c r="X305" s="0" t="n">
        <v>-0.21138653483091</v>
      </c>
      <c r="Y305" s="0" t="s">
        <v>3153</v>
      </c>
      <c r="Z305" s="0" t="s">
        <v>60</v>
      </c>
    </row>
    <row r="306" customFormat="false" ht="15" hidden="false" customHeight="false" outlineLevel="0" collapsed="false">
      <c r="A306" s="0" t="n">
        <v>303</v>
      </c>
      <c r="B306" s="9" t="n">
        <v>285195</v>
      </c>
      <c r="C306" s="0" t="n">
        <v>28837</v>
      </c>
      <c r="D306" s="0" t="n">
        <v>256863</v>
      </c>
      <c r="E306" s="0" t="s">
        <v>61</v>
      </c>
      <c r="F306" s="0" t="n">
        <v>24942</v>
      </c>
      <c r="G306" s="0" t="s">
        <v>3154</v>
      </c>
      <c r="H306" s="0" t="s">
        <v>3155</v>
      </c>
      <c r="I306" s="0" t="s">
        <v>3156</v>
      </c>
      <c r="J306" s="0" t="s">
        <v>3157</v>
      </c>
      <c r="K306" s="0" t="s">
        <v>3158</v>
      </c>
      <c r="L306" s="0" t="n">
        <v>193010</v>
      </c>
      <c r="M306" s="0" t="s">
        <v>3159</v>
      </c>
      <c r="N306" s="0" t="n">
        <v>183990</v>
      </c>
      <c r="O306" s="9" t="n">
        <v>38</v>
      </c>
      <c r="P306" s="0" t="s">
        <v>497</v>
      </c>
      <c r="Q306" s="0" t="s">
        <v>3160</v>
      </c>
      <c r="R306" s="0" t="s">
        <v>3161</v>
      </c>
      <c r="S306" s="0" t="s">
        <v>155</v>
      </c>
      <c r="T306" s="0" t="s">
        <v>3162</v>
      </c>
      <c r="U306" s="9" t="n">
        <v>0</v>
      </c>
      <c r="V306" s="0" t="n">
        <v>16.3569852514226</v>
      </c>
      <c r="W306" s="0" t="n">
        <v>20230630</v>
      </c>
      <c r="X306" s="0" t="n">
        <v>0.998180082377603</v>
      </c>
      <c r="Y306" s="0" t="s">
        <v>3163</v>
      </c>
      <c r="Z306" s="0" t="s">
        <v>98</v>
      </c>
    </row>
    <row r="307" customFormat="false" ht="15" hidden="false" customHeight="false" outlineLevel="0" collapsed="false">
      <c r="A307" s="0" t="n">
        <v>304</v>
      </c>
      <c r="B307" s="9" t="n">
        <v>182034</v>
      </c>
      <c r="C307" s="0" t="n">
        <v>29636</v>
      </c>
      <c r="D307" s="0" t="n">
        <v>145903</v>
      </c>
      <c r="E307" s="0" t="s">
        <v>259</v>
      </c>
      <c r="F307" s="0" t="n">
        <v>24760</v>
      </c>
      <c r="G307" s="0" t="s">
        <v>3164</v>
      </c>
      <c r="H307" s="0" t="s">
        <v>3165</v>
      </c>
      <c r="I307" s="0" t="s">
        <v>3166</v>
      </c>
      <c r="J307" s="0" t="s">
        <v>3167</v>
      </c>
      <c r="K307" s="0" t="s">
        <v>3168</v>
      </c>
      <c r="L307" s="0" t="n">
        <v>130004</v>
      </c>
      <c r="M307" s="0" t="s">
        <v>3169</v>
      </c>
      <c r="N307" s="0" t="n">
        <v>126522</v>
      </c>
      <c r="O307" s="9" t="n">
        <v>2061</v>
      </c>
      <c r="P307" s="0" t="s">
        <v>509</v>
      </c>
      <c r="Q307" s="0" t="s">
        <v>3170</v>
      </c>
      <c r="R307" s="0" t="s">
        <v>3171</v>
      </c>
      <c r="S307" s="0" t="s">
        <v>71</v>
      </c>
      <c r="T307" s="0" t="s">
        <v>3172</v>
      </c>
      <c r="U307" s="9" t="n">
        <v>0</v>
      </c>
      <c r="V307" s="0" t="n">
        <v>26.711621347846</v>
      </c>
      <c r="W307" s="0" t="n">
        <v>20230630</v>
      </c>
      <c r="X307" s="0" t="n">
        <v>0.410119937297218</v>
      </c>
      <c r="Y307" s="0" t="s">
        <v>3173</v>
      </c>
      <c r="Z307" s="0" t="s">
        <v>60</v>
      </c>
    </row>
    <row r="308" customFormat="false" ht="15" hidden="false" customHeight="false" outlineLevel="0" collapsed="false">
      <c r="A308" s="0" t="n">
        <v>305</v>
      </c>
      <c r="B308" s="9" t="n">
        <v>185445</v>
      </c>
      <c r="C308" s="0" t="n">
        <v>29743</v>
      </c>
      <c r="D308" s="0" t="n">
        <v>165388</v>
      </c>
      <c r="E308" s="0" t="s">
        <v>794</v>
      </c>
      <c r="F308" s="0" t="n">
        <v>15742</v>
      </c>
      <c r="G308" s="0" t="s">
        <v>3174</v>
      </c>
      <c r="H308" s="0" t="s">
        <v>3175</v>
      </c>
      <c r="I308" s="0" t="s">
        <v>3176</v>
      </c>
      <c r="J308" s="0" t="s">
        <v>3177</v>
      </c>
      <c r="K308" s="0" t="s">
        <v>3178</v>
      </c>
      <c r="L308" s="0" t="n">
        <v>130074</v>
      </c>
      <c r="M308" s="0" t="s">
        <v>3179</v>
      </c>
      <c r="N308" s="0" t="n">
        <v>81523</v>
      </c>
      <c r="O308" s="9" t="n">
        <v>624</v>
      </c>
      <c r="P308" s="0" t="s">
        <v>520</v>
      </c>
      <c r="Q308" s="0" t="s">
        <v>3180</v>
      </c>
      <c r="R308" s="0" t="s">
        <v>3181</v>
      </c>
      <c r="S308" s="0" t="s">
        <v>534</v>
      </c>
      <c r="T308" s="0" t="s">
        <v>3182</v>
      </c>
      <c r="U308" s="9" t="n">
        <v>0</v>
      </c>
      <c r="V308" s="0" t="n">
        <v>17.6543434711346</v>
      </c>
      <c r="W308" s="0" t="n">
        <v>20230630</v>
      </c>
      <c r="X308" s="0" t="n">
        <v>0.593040868794168</v>
      </c>
      <c r="Y308" s="0" t="s">
        <v>2353</v>
      </c>
      <c r="Z308" s="0" t="s">
        <v>60</v>
      </c>
    </row>
    <row r="309" customFormat="false" ht="15" hidden="false" customHeight="false" outlineLevel="0" collapsed="false">
      <c r="A309" s="0" t="n">
        <v>306</v>
      </c>
      <c r="B309" s="9" t="n">
        <v>552677</v>
      </c>
      <c r="C309" s="0" t="n">
        <v>29744</v>
      </c>
      <c r="D309" s="0" t="n">
        <v>410619</v>
      </c>
      <c r="E309" s="0" t="s">
        <v>390</v>
      </c>
      <c r="F309" s="0" t="n">
        <v>52781</v>
      </c>
      <c r="G309" s="0" t="s">
        <v>3183</v>
      </c>
      <c r="H309" s="0" t="s">
        <v>3184</v>
      </c>
      <c r="I309" s="0" t="s">
        <v>3185</v>
      </c>
      <c r="J309" s="0" t="s">
        <v>3186</v>
      </c>
      <c r="K309" s="0" t="s">
        <v>3187</v>
      </c>
      <c r="L309" s="0" t="n">
        <v>417149</v>
      </c>
      <c r="M309" s="0" t="s">
        <v>3188</v>
      </c>
      <c r="N309" s="0" t="n">
        <v>384059</v>
      </c>
      <c r="O309" s="9" t="n">
        <v>3</v>
      </c>
      <c r="P309" s="0" t="s">
        <v>531</v>
      </c>
      <c r="Q309" s="0" t="s">
        <v>3189</v>
      </c>
      <c r="R309" s="0" t="s">
        <v>3190</v>
      </c>
      <c r="S309" s="0" t="s">
        <v>205</v>
      </c>
      <c r="T309" s="0" t="s">
        <v>61</v>
      </c>
      <c r="U309" s="9" t="n">
        <v>0</v>
      </c>
      <c r="V309" s="0" t="n">
        <v>18.6877368552432</v>
      </c>
      <c r="W309" s="0" t="n">
        <v>20230630</v>
      </c>
      <c r="X309" s="0" t="n">
        <v>-0.0278310290339887</v>
      </c>
      <c r="Y309" s="0" t="s">
        <v>3191</v>
      </c>
      <c r="Z309" s="0" t="s">
        <v>158</v>
      </c>
    </row>
    <row r="310" customFormat="false" ht="15" hidden="false" customHeight="false" outlineLevel="0" collapsed="false">
      <c r="A310" s="0" t="n">
        <v>307</v>
      </c>
      <c r="B310" s="9" t="n">
        <v>551849</v>
      </c>
      <c r="C310" s="0" t="n">
        <v>30350</v>
      </c>
      <c r="D310" s="0" t="n">
        <v>438525</v>
      </c>
      <c r="E310" s="0" t="s">
        <v>61</v>
      </c>
      <c r="F310" s="0" t="n">
        <v>53168</v>
      </c>
      <c r="G310" s="0" t="s">
        <v>3192</v>
      </c>
      <c r="H310" s="0" t="s">
        <v>3193</v>
      </c>
      <c r="I310" s="0" t="s">
        <v>3194</v>
      </c>
      <c r="J310" s="0" t="s">
        <v>3195</v>
      </c>
      <c r="K310" s="0" t="s">
        <v>3196</v>
      </c>
      <c r="L310" s="0" t="n">
        <v>396729</v>
      </c>
      <c r="M310" s="0" t="s">
        <v>3197</v>
      </c>
      <c r="N310" s="0" t="n">
        <v>376669</v>
      </c>
      <c r="O310" s="9" t="n">
        <v>1166</v>
      </c>
      <c r="P310" s="0" t="s">
        <v>543</v>
      </c>
      <c r="Q310" s="0" t="s">
        <v>3198</v>
      </c>
      <c r="R310" s="0" t="s">
        <v>3199</v>
      </c>
      <c r="S310" s="0" t="s">
        <v>3200</v>
      </c>
      <c r="T310" s="0" t="s">
        <v>3201</v>
      </c>
      <c r="U310" s="9" t="n">
        <v>0</v>
      </c>
      <c r="V310" s="0" t="n">
        <v>21.5000066539798</v>
      </c>
      <c r="W310" s="0" t="n">
        <v>20230630</v>
      </c>
      <c r="X310" s="0" t="n">
        <v>0.679975874547648</v>
      </c>
      <c r="Y310" s="0" t="s">
        <v>3202</v>
      </c>
      <c r="Z310" s="0" t="s">
        <v>98</v>
      </c>
    </row>
    <row r="311" customFormat="false" ht="15" hidden="false" customHeight="false" outlineLevel="0" collapsed="false">
      <c r="A311" s="0" t="n">
        <v>308</v>
      </c>
      <c r="B311" s="9" t="n">
        <v>102023</v>
      </c>
      <c r="C311" s="0" t="n">
        <v>30878</v>
      </c>
      <c r="D311" s="0" t="n">
        <v>73248</v>
      </c>
      <c r="E311" s="0" t="s">
        <v>1980</v>
      </c>
      <c r="F311" s="0" t="n">
        <v>12549</v>
      </c>
      <c r="G311" s="0" t="s">
        <v>3203</v>
      </c>
      <c r="H311" s="0" t="s">
        <v>3204</v>
      </c>
      <c r="I311" s="0" t="s">
        <v>3205</v>
      </c>
      <c r="J311" s="0" t="s">
        <v>61</v>
      </c>
      <c r="K311" s="0" t="s">
        <v>3206</v>
      </c>
      <c r="L311" s="0" t="n">
        <v>84437</v>
      </c>
      <c r="M311" s="0" t="s">
        <v>3207</v>
      </c>
      <c r="N311" s="0" t="n">
        <v>84259</v>
      </c>
      <c r="O311" s="9" t="n">
        <v>704</v>
      </c>
      <c r="P311" s="0" t="s">
        <v>553</v>
      </c>
      <c r="Q311" s="0" t="s">
        <v>3208</v>
      </c>
      <c r="R311" s="0" t="s">
        <v>3209</v>
      </c>
      <c r="S311" s="0" t="s">
        <v>61</v>
      </c>
      <c r="T311" s="0" t="s">
        <v>3210</v>
      </c>
      <c r="U311" s="9" t="n">
        <v>0</v>
      </c>
      <c r="V311" s="0" t="n">
        <v>0</v>
      </c>
      <c r="W311" s="0" t="n">
        <v>20230630</v>
      </c>
      <c r="X311" s="0" t="n">
        <v>0.0957224439828351</v>
      </c>
      <c r="Y311" s="0" t="s">
        <v>3211</v>
      </c>
      <c r="Z311" s="0" t="s">
        <v>60</v>
      </c>
    </row>
    <row r="312" customFormat="false" ht="15" hidden="false" customHeight="false" outlineLevel="0" collapsed="false">
      <c r="A312" s="0" t="n">
        <v>309</v>
      </c>
      <c r="B312" s="9" t="n">
        <v>749197</v>
      </c>
      <c r="C312" s="0" t="n">
        <v>33418</v>
      </c>
      <c r="D312" s="0" t="n">
        <v>565840</v>
      </c>
      <c r="E312" s="0" t="s">
        <v>259</v>
      </c>
      <c r="F312" s="0" t="n">
        <v>68367</v>
      </c>
      <c r="G312" s="0" t="s">
        <v>3212</v>
      </c>
      <c r="H312" s="0" t="s">
        <v>3213</v>
      </c>
      <c r="I312" s="0" t="s">
        <v>3214</v>
      </c>
      <c r="J312" s="0" t="s">
        <v>3215</v>
      </c>
      <c r="K312" s="0" t="s">
        <v>3216</v>
      </c>
      <c r="L312" s="0" t="n">
        <v>371810</v>
      </c>
      <c r="M312" s="0" t="s">
        <v>3217</v>
      </c>
      <c r="N312" s="0" t="n">
        <v>314793</v>
      </c>
      <c r="O312" s="9" t="n">
        <v>1120</v>
      </c>
      <c r="P312" s="0" t="s">
        <v>564</v>
      </c>
      <c r="Q312" s="0" t="s">
        <v>3218</v>
      </c>
      <c r="R312" s="0" t="s">
        <v>3219</v>
      </c>
      <c r="S312" s="0" t="s">
        <v>3220</v>
      </c>
      <c r="T312" s="0" t="s">
        <v>1248</v>
      </c>
      <c r="U312" s="9" t="n">
        <v>0</v>
      </c>
      <c r="V312" s="0" t="n">
        <v>18.5404060518078</v>
      </c>
      <c r="W312" s="0" t="n">
        <v>20230630</v>
      </c>
      <c r="X312" s="0" t="n">
        <v>0.729624498215505</v>
      </c>
      <c r="Y312" s="0" t="s">
        <v>184</v>
      </c>
      <c r="Z312" s="0" t="s">
        <v>98</v>
      </c>
    </row>
    <row r="313" customFormat="false" ht="15" hidden="false" customHeight="false" outlineLevel="0" collapsed="false">
      <c r="A313" s="0" t="n">
        <v>310</v>
      </c>
      <c r="B313" s="9" t="n">
        <v>69697</v>
      </c>
      <c r="C313" s="0" t="n">
        <v>35206</v>
      </c>
      <c r="D313" s="0" t="n">
        <v>500</v>
      </c>
      <c r="E313" s="0" t="s">
        <v>61</v>
      </c>
      <c r="F313" s="0" t="n">
        <v>67177</v>
      </c>
      <c r="G313" s="0" t="s">
        <v>3221</v>
      </c>
      <c r="H313" s="0" t="s">
        <v>3222</v>
      </c>
      <c r="I313" s="0" t="s">
        <v>61</v>
      </c>
      <c r="J313" s="0" t="s">
        <v>61</v>
      </c>
      <c r="K313" s="0" t="s">
        <v>61</v>
      </c>
      <c r="L313" s="0" t="n">
        <v>0</v>
      </c>
      <c r="M313" s="0" t="s">
        <v>61</v>
      </c>
      <c r="N313" s="0" t="n">
        <v>0</v>
      </c>
      <c r="O313" s="9" t="n">
        <v>0</v>
      </c>
      <c r="P313" s="0" t="s">
        <v>1112</v>
      </c>
      <c r="Q313" s="0" t="s">
        <v>61</v>
      </c>
      <c r="R313" s="0" t="s">
        <v>3223</v>
      </c>
      <c r="S313" s="0" t="s">
        <v>61</v>
      </c>
      <c r="T313" s="0" t="s">
        <v>61</v>
      </c>
      <c r="U313" s="9" t="n">
        <v>0</v>
      </c>
      <c r="V313" s="0" t="n">
        <v>0</v>
      </c>
      <c r="W313" s="0" t="n">
        <v>20230630</v>
      </c>
      <c r="X313" s="0" t="n">
        <v>19.5425080098353</v>
      </c>
      <c r="Y313" s="0" t="s">
        <v>3224</v>
      </c>
      <c r="Z313" s="0" t="s">
        <v>158</v>
      </c>
    </row>
    <row r="314" customFormat="false" ht="15" hidden="false" customHeight="false" outlineLevel="0" collapsed="false">
      <c r="A314" s="0" t="n">
        <v>311</v>
      </c>
      <c r="B314" s="9" t="n">
        <v>5734437</v>
      </c>
      <c r="C314" s="0" t="n">
        <v>4255</v>
      </c>
      <c r="D314" s="0" t="n">
        <v>4731600</v>
      </c>
      <c r="E314" s="0" t="s">
        <v>390</v>
      </c>
      <c r="F314" s="0" t="n">
        <v>478695</v>
      </c>
      <c r="G314" s="0" t="s">
        <v>3225</v>
      </c>
      <c r="H314" s="0" t="s">
        <v>3226</v>
      </c>
      <c r="I314" s="0" t="s">
        <v>3227</v>
      </c>
      <c r="J314" s="0" t="s">
        <v>3228</v>
      </c>
      <c r="K314" s="0" t="s">
        <v>3229</v>
      </c>
      <c r="L314" s="0" t="n">
        <v>4112167</v>
      </c>
      <c r="M314" s="0" t="s">
        <v>3230</v>
      </c>
      <c r="N314" s="0" t="n">
        <v>3708024</v>
      </c>
      <c r="O314" s="9" t="n">
        <v>3048</v>
      </c>
      <c r="P314" s="0" t="s">
        <v>575</v>
      </c>
      <c r="Q314" s="0" t="s">
        <v>3231</v>
      </c>
      <c r="R314" s="0" t="s">
        <v>3232</v>
      </c>
      <c r="S314" s="0" t="s">
        <v>3233</v>
      </c>
      <c r="T314" s="0" t="s">
        <v>3234</v>
      </c>
      <c r="U314" s="9" t="n">
        <v>0</v>
      </c>
      <c r="V314" s="0" t="n">
        <v>13.2297972957237</v>
      </c>
      <c r="W314" s="0" t="n">
        <v>20230630</v>
      </c>
      <c r="X314" s="0" t="n">
        <v>0.927240843731989</v>
      </c>
      <c r="Y314" s="0" t="s">
        <v>3235</v>
      </c>
      <c r="Z314" s="0" t="s">
        <v>60</v>
      </c>
    </row>
    <row r="315" customFormat="false" ht="15" hidden="false" customHeight="false" outlineLevel="0" collapsed="false">
      <c r="A315" s="0" t="n">
        <v>312</v>
      </c>
      <c r="B315" s="9" t="n">
        <v>2844637</v>
      </c>
      <c r="C315" s="0" t="n">
        <v>4256</v>
      </c>
      <c r="D315" s="0" t="n">
        <v>2500556</v>
      </c>
      <c r="E315" s="0" t="s">
        <v>246</v>
      </c>
      <c r="F315" s="0" t="n">
        <v>203536</v>
      </c>
      <c r="G315" s="0" t="s">
        <v>3236</v>
      </c>
      <c r="H315" s="0" t="s">
        <v>3237</v>
      </c>
      <c r="I315" s="0" t="s">
        <v>3238</v>
      </c>
      <c r="J315" s="0" t="s">
        <v>3239</v>
      </c>
      <c r="K315" s="0" t="s">
        <v>3240</v>
      </c>
      <c r="L315" s="0" t="n">
        <v>2060953</v>
      </c>
      <c r="M315" s="0" t="s">
        <v>3241</v>
      </c>
      <c r="N315" s="0" t="n">
        <v>1630531</v>
      </c>
      <c r="O315" s="9" t="n">
        <v>1676</v>
      </c>
      <c r="P315" s="0" t="s">
        <v>587</v>
      </c>
      <c r="Q315" s="0" t="s">
        <v>3242</v>
      </c>
      <c r="R315" s="0" t="s">
        <v>3243</v>
      </c>
      <c r="S315" s="0" t="s">
        <v>3244</v>
      </c>
      <c r="T315" s="0" t="s">
        <v>3245</v>
      </c>
      <c r="U315" s="9" t="n">
        <v>318</v>
      </c>
      <c r="V315" s="0" t="n">
        <v>13.625326178735</v>
      </c>
      <c r="W315" s="0" t="n">
        <v>20230630</v>
      </c>
      <c r="X315" s="0" t="n">
        <v>1.14263750716926</v>
      </c>
      <c r="Y315" s="0" t="s">
        <v>1511</v>
      </c>
      <c r="Z315" s="0" t="s">
        <v>60</v>
      </c>
    </row>
    <row r="316" customFormat="false" ht="15" hidden="false" customHeight="false" outlineLevel="0" collapsed="false">
      <c r="A316" s="0" t="n">
        <v>313</v>
      </c>
      <c r="B316" s="9" t="n">
        <v>695227</v>
      </c>
      <c r="C316" s="0" t="n">
        <v>59086</v>
      </c>
      <c r="D316" s="0" t="n">
        <v>607749</v>
      </c>
      <c r="E316" s="0" t="s">
        <v>1729</v>
      </c>
      <c r="F316" s="0" t="n">
        <v>83914</v>
      </c>
      <c r="G316" s="0" t="s">
        <v>3246</v>
      </c>
      <c r="H316" s="0" t="s">
        <v>3247</v>
      </c>
      <c r="I316" s="0" t="s">
        <v>3248</v>
      </c>
      <c r="J316" s="0" t="s">
        <v>3249</v>
      </c>
      <c r="K316" s="0" t="s">
        <v>61</v>
      </c>
      <c r="L316" s="0" t="n">
        <v>582250</v>
      </c>
      <c r="M316" s="0" t="s">
        <v>3250</v>
      </c>
      <c r="N316" s="0" t="n">
        <v>466335</v>
      </c>
      <c r="O316" s="9" t="n">
        <v>4947</v>
      </c>
      <c r="P316" s="0" t="s">
        <v>599</v>
      </c>
      <c r="Q316" s="0" t="s">
        <v>3251</v>
      </c>
      <c r="R316" s="0" t="s">
        <v>3252</v>
      </c>
      <c r="S316" s="0" t="s">
        <v>3253</v>
      </c>
      <c r="T316" s="0" t="s">
        <v>3254</v>
      </c>
      <c r="U316" s="9" t="n">
        <v>45</v>
      </c>
      <c r="V316" s="0" t="n">
        <v>14.706791359989</v>
      </c>
      <c r="W316" s="0" t="n">
        <v>20230630</v>
      </c>
      <c r="X316" s="0" t="n">
        <v>1.69256858441187</v>
      </c>
      <c r="Y316" s="0" t="s">
        <v>1529</v>
      </c>
      <c r="Z316" s="0" t="s">
        <v>158</v>
      </c>
    </row>
    <row r="317" customFormat="false" ht="15" hidden="false" customHeight="false" outlineLevel="0" collapsed="false">
      <c r="A317" s="0" t="n">
        <v>314</v>
      </c>
      <c r="B317" s="9" t="n">
        <v>202708</v>
      </c>
      <c r="C317" s="0" t="n">
        <v>59176</v>
      </c>
      <c r="D317" s="0" t="n">
        <v>173553</v>
      </c>
      <c r="E317" s="0" t="s">
        <v>2413</v>
      </c>
      <c r="F317" s="0" t="n">
        <v>23273</v>
      </c>
      <c r="G317" s="0" t="s">
        <v>3255</v>
      </c>
      <c r="H317" s="0" t="s">
        <v>3256</v>
      </c>
      <c r="I317" s="0" t="s">
        <v>3257</v>
      </c>
      <c r="J317" s="0" t="s">
        <v>3258</v>
      </c>
      <c r="K317" s="0" t="s">
        <v>1604</v>
      </c>
      <c r="L317" s="0" t="n">
        <v>137040</v>
      </c>
      <c r="M317" s="0" t="s">
        <v>3259</v>
      </c>
      <c r="N317" s="0" t="n">
        <v>117163</v>
      </c>
      <c r="O317" s="9" t="n">
        <v>0</v>
      </c>
      <c r="P317" s="0" t="s">
        <v>610</v>
      </c>
      <c r="Q317" s="0" t="s">
        <v>61</v>
      </c>
      <c r="R317" s="0" t="s">
        <v>3260</v>
      </c>
      <c r="S317" s="0" t="s">
        <v>143</v>
      </c>
      <c r="T317" s="0" t="s">
        <v>61</v>
      </c>
      <c r="U317" s="9" t="n">
        <v>0</v>
      </c>
      <c r="V317" s="0" t="n">
        <v>18.4854420018709</v>
      </c>
      <c r="W317" s="0" t="n">
        <v>20230630</v>
      </c>
      <c r="X317" s="0" t="n">
        <v>-0.113478158081379</v>
      </c>
      <c r="Y317" s="0" t="s">
        <v>3261</v>
      </c>
      <c r="Z317" s="0" t="s">
        <v>158</v>
      </c>
    </row>
    <row r="318" customFormat="false" ht="15" hidden="false" customHeight="false" outlineLevel="0" collapsed="false">
      <c r="A318" s="0" t="n">
        <v>315</v>
      </c>
      <c r="B318" s="9" t="n">
        <v>50390</v>
      </c>
      <c r="C318" s="0" t="n">
        <v>59289</v>
      </c>
      <c r="D318" s="0" t="n">
        <v>29218</v>
      </c>
      <c r="E318" s="0" t="s">
        <v>157</v>
      </c>
      <c r="F318" s="0" t="n">
        <v>20357</v>
      </c>
      <c r="G318" s="0" t="s">
        <v>3262</v>
      </c>
      <c r="H318" s="0" t="s">
        <v>3263</v>
      </c>
      <c r="I318" s="0" t="s">
        <v>3264</v>
      </c>
      <c r="J318" s="0" t="s">
        <v>3265</v>
      </c>
      <c r="K318" s="0" t="s">
        <v>61</v>
      </c>
      <c r="L318" s="0" t="n">
        <v>17374</v>
      </c>
      <c r="M318" s="0" t="s">
        <v>3266</v>
      </c>
      <c r="N318" s="0" t="n">
        <v>7760</v>
      </c>
      <c r="O318" s="9" t="n">
        <v>0</v>
      </c>
      <c r="P318" s="0" t="s">
        <v>2223</v>
      </c>
      <c r="Q318" s="0" t="s">
        <v>61</v>
      </c>
      <c r="R318" s="0" t="s">
        <v>3267</v>
      </c>
      <c r="S318" s="0" t="s">
        <v>61</v>
      </c>
      <c r="T318" s="0" t="s">
        <v>61</v>
      </c>
      <c r="U318" s="9" t="n">
        <v>0</v>
      </c>
      <c r="V318" s="0" t="n">
        <v>0</v>
      </c>
      <c r="W318" s="0" t="n">
        <v>20230630</v>
      </c>
      <c r="X318" s="0" t="n">
        <v>-5.7705051740837</v>
      </c>
      <c r="Y318" s="0" t="s">
        <v>3268</v>
      </c>
      <c r="Z318" s="0" t="s">
        <v>158</v>
      </c>
    </row>
    <row r="319" customFormat="false" ht="15" hidden="false" customHeight="false" outlineLevel="0" collapsed="false">
      <c r="A319" s="0" t="n">
        <v>316</v>
      </c>
      <c r="B319" s="9" t="n">
        <v>125919</v>
      </c>
      <c r="C319" s="0" t="n">
        <v>59298</v>
      </c>
      <c r="D319" s="0" t="n">
        <v>96751</v>
      </c>
      <c r="E319" s="0" t="s">
        <v>1155</v>
      </c>
      <c r="F319" s="0" t="n">
        <v>28131</v>
      </c>
      <c r="G319" s="0" t="s">
        <v>3269</v>
      </c>
      <c r="H319" s="0" t="s">
        <v>3270</v>
      </c>
      <c r="I319" s="0" t="s">
        <v>3271</v>
      </c>
      <c r="J319" s="0" t="s">
        <v>3272</v>
      </c>
      <c r="K319" s="0" t="s">
        <v>61</v>
      </c>
      <c r="L319" s="0" t="n">
        <v>45897</v>
      </c>
      <c r="M319" s="0" t="s">
        <v>3273</v>
      </c>
      <c r="N319" s="0" t="n">
        <v>35680</v>
      </c>
      <c r="O319" s="9" t="n">
        <v>0</v>
      </c>
      <c r="P319" s="0" t="s">
        <v>1684</v>
      </c>
      <c r="Q319" s="0" t="s">
        <v>61</v>
      </c>
      <c r="R319" s="0" t="s">
        <v>3274</v>
      </c>
      <c r="S319" s="0" t="s">
        <v>61</v>
      </c>
      <c r="T319" s="0" t="s">
        <v>61</v>
      </c>
      <c r="U319" s="9" t="n">
        <v>0</v>
      </c>
      <c r="V319" s="0" t="n">
        <v>0</v>
      </c>
      <c r="W319" s="0" t="n">
        <v>20230630</v>
      </c>
      <c r="X319" s="0" t="n">
        <v>-2.72523029900818</v>
      </c>
      <c r="Y319" s="0" t="s">
        <v>3275</v>
      </c>
      <c r="Z319" s="0" t="s">
        <v>98</v>
      </c>
    </row>
    <row r="320" customFormat="false" ht="15" hidden="false" customHeight="false" outlineLevel="0" collapsed="false">
      <c r="A320" s="0" t="n">
        <v>317</v>
      </c>
      <c r="B320" s="9" t="n">
        <v>1031317</v>
      </c>
      <c r="C320" s="0" t="n">
        <v>6271</v>
      </c>
      <c r="D320" s="0" t="n">
        <v>852686</v>
      </c>
      <c r="E320" s="0" t="s">
        <v>858</v>
      </c>
      <c r="F320" s="0" t="n">
        <v>92265</v>
      </c>
      <c r="G320" s="0" t="s">
        <v>3276</v>
      </c>
      <c r="H320" s="0" t="s">
        <v>3277</v>
      </c>
      <c r="I320" s="0" t="s">
        <v>3278</v>
      </c>
      <c r="J320" s="0" t="s">
        <v>3279</v>
      </c>
      <c r="K320" s="0" t="s">
        <v>3280</v>
      </c>
      <c r="L320" s="0" t="n">
        <v>782411</v>
      </c>
      <c r="M320" s="0" t="s">
        <v>3281</v>
      </c>
      <c r="N320" s="0" t="n">
        <v>618469</v>
      </c>
      <c r="O320" s="9" t="n">
        <v>7745</v>
      </c>
      <c r="P320" s="0" t="s">
        <v>621</v>
      </c>
      <c r="Q320" s="0" t="s">
        <v>3282</v>
      </c>
      <c r="R320" s="0" t="s">
        <v>3283</v>
      </c>
      <c r="S320" s="0" t="s">
        <v>3284</v>
      </c>
      <c r="T320" s="0" t="s">
        <v>3285</v>
      </c>
      <c r="U320" s="9" t="n">
        <v>351</v>
      </c>
      <c r="V320" s="0" t="n">
        <v>14.8339396306876</v>
      </c>
      <c r="W320" s="0" t="n">
        <v>20230630</v>
      </c>
      <c r="X320" s="0" t="n">
        <v>1.36947361058618</v>
      </c>
      <c r="Y320" s="0" t="s">
        <v>3286</v>
      </c>
      <c r="Z320" s="0" t="s">
        <v>98</v>
      </c>
    </row>
    <row r="321" customFormat="false" ht="15" hidden="false" customHeight="false" outlineLevel="0" collapsed="false">
      <c r="A321" s="0" t="n">
        <v>318</v>
      </c>
      <c r="B321" s="9" t="n">
        <v>549189</v>
      </c>
      <c r="C321" s="0" t="n">
        <v>6275</v>
      </c>
      <c r="D321" s="0" t="n">
        <v>469803</v>
      </c>
      <c r="E321" s="0" t="s">
        <v>61</v>
      </c>
      <c r="F321" s="0" t="n">
        <v>27287</v>
      </c>
      <c r="G321" s="0" t="s">
        <v>3287</v>
      </c>
      <c r="H321" s="0" t="s">
        <v>3288</v>
      </c>
      <c r="I321" s="0" t="s">
        <v>3289</v>
      </c>
      <c r="J321" s="0" t="s">
        <v>3290</v>
      </c>
      <c r="K321" s="0" t="s">
        <v>3291</v>
      </c>
      <c r="L321" s="0" t="n">
        <v>328932</v>
      </c>
      <c r="M321" s="0" t="s">
        <v>3292</v>
      </c>
      <c r="N321" s="0" t="n">
        <v>269836</v>
      </c>
      <c r="O321" s="9" t="n">
        <v>1335</v>
      </c>
      <c r="P321" s="0" t="s">
        <v>633</v>
      </c>
      <c r="Q321" s="0" t="s">
        <v>3293</v>
      </c>
      <c r="R321" s="0" t="s">
        <v>3294</v>
      </c>
      <c r="S321" s="0" t="s">
        <v>61</v>
      </c>
      <c r="T321" s="0" t="s">
        <v>2011</v>
      </c>
      <c r="U321" s="9" t="n">
        <v>152</v>
      </c>
      <c r="V321" s="0" t="n">
        <v>15.0712824477511</v>
      </c>
      <c r="W321" s="0" t="n">
        <v>20230630</v>
      </c>
      <c r="X321" s="0" t="n">
        <v>0.480035530771746</v>
      </c>
      <c r="Y321" s="0" t="s">
        <v>3295</v>
      </c>
      <c r="Z321" s="0" t="s">
        <v>98</v>
      </c>
    </row>
    <row r="322" customFormat="false" ht="15" hidden="false" customHeight="false" outlineLevel="0" collapsed="false">
      <c r="A322" s="0" t="n">
        <v>319</v>
      </c>
      <c r="B322" s="9" t="n">
        <v>83293</v>
      </c>
      <c r="C322" s="0" t="n">
        <v>6280</v>
      </c>
      <c r="D322" s="0" t="n">
        <v>73688</v>
      </c>
      <c r="E322" s="0" t="s">
        <v>172</v>
      </c>
      <c r="F322" s="0" t="n">
        <v>9047</v>
      </c>
      <c r="G322" s="0" t="s">
        <v>3296</v>
      </c>
      <c r="H322" s="0" t="s">
        <v>3297</v>
      </c>
      <c r="I322" s="0" t="s">
        <v>3298</v>
      </c>
      <c r="J322" s="0" t="s">
        <v>3299</v>
      </c>
      <c r="K322" s="0" t="s">
        <v>2645</v>
      </c>
      <c r="L322" s="0" t="n">
        <v>65402</v>
      </c>
      <c r="M322" s="0" t="s">
        <v>3300</v>
      </c>
      <c r="N322" s="0" t="n">
        <v>57427</v>
      </c>
      <c r="O322" s="9" t="n">
        <v>711</v>
      </c>
      <c r="P322" s="0" t="s">
        <v>644</v>
      </c>
      <c r="Q322" s="0" t="s">
        <v>3301</v>
      </c>
      <c r="R322" s="0" t="s">
        <v>3302</v>
      </c>
      <c r="S322" s="0" t="s">
        <v>120</v>
      </c>
      <c r="T322" s="0" t="s">
        <v>3303</v>
      </c>
      <c r="U322" s="9" t="n">
        <v>0</v>
      </c>
      <c r="V322" s="0" t="n">
        <v>0</v>
      </c>
      <c r="W322" s="0" t="n">
        <v>20230630</v>
      </c>
      <c r="X322" s="0" t="n">
        <v>1.943744168966</v>
      </c>
      <c r="Y322" s="0" t="s">
        <v>3304</v>
      </c>
      <c r="Z322" s="0" t="s">
        <v>98</v>
      </c>
    </row>
    <row r="323" customFormat="false" ht="15" hidden="false" customHeight="false" outlineLevel="0" collapsed="false">
      <c r="A323" s="0" t="n">
        <v>320</v>
      </c>
      <c r="B323" s="9" t="n">
        <v>3980815</v>
      </c>
      <c r="C323" s="0" t="n">
        <v>11971</v>
      </c>
      <c r="D323" s="0" t="n">
        <v>3148381</v>
      </c>
      <c r="E323" s="0" t="s">
        <v>259</v>
      </c>
      <c r="F323" s="0" t="n">
        <v>456209</v>
      </c>
      <c r="G323" s="0" t="s">
        <v>3305</v>
      </c>
      <c r="H323" s="0" t="s">
        <v>3306</v>
      </c>
      <c r="I323" s="0" t="s">
        <v>3307</v>
      </c>
      <c r="J323" s="0" t="s">
        <v>3308</v>
      </c>
      <c r="K323" s="0" t="s">
        <v>3309</v>
      </c>
      <c r="L323" s="0" t="n">
        <v>2994807</v>
      </c>
      <c r="M323" s="0" t="s">
        <v>3310</v>
      </c>
      <c r="N323" s="0" t="n">
        <v>2636437</v>
      </c>
      <c r="O323" s="9" t="n">
        <v>6769</v>
      </c>
      <c r="P323" s="0" t="s">
        <v>54</v>
      </c>
      <c r="Q323" s="0" t="s">
        <v>3311</v>
      </c>
      <c r="R323" s="0" t="s">
        <v>3312</v>
      </c>
      <c r="S323" s="0" t="s">
        <v>3313</v>
      </c>
      <c r="T323" s="0" t="s">
        <v>3314</v>
      </c>
      <c r="U323" s="9" t="n">
        <v>959</v>
      </c>
      <c r="V323" s="0" t="n">
        <v>13.601622045909</v>
      </c>
      <c r="W323" s="0" t="n">
        <v>20230930</v>
      </c>
      <c r="X323" s="0" t="n">
        <v>1.3228625688724</v>
      </c>
      <c r="Y323" s="0" t="s">
        <v>3315</v>
      </c>
      <c r="Z323" s="0" t="s">
        <v>60</v>
      </c>
    </row>
    <row r="324" customFormat="false" ht="15" hidden="false" customHeight="false" outlineLevel="0" collapsed="false">
      <c r="A324" s="0" t="n">
        <v>321</v>
      </c>
      <c r="B324" s="9" t="n">
        <v>1015573</v>
      </c>
      <c r="C324" s="0" t="n">
        <v>12874</v>
      </c>
      <c r="D324" s="0" t="n">
        <v>892145</v>
      </c>
      <c r="E324" s="0" t="s">
        <v>1500</v>
      </c>
      <c r="F324" s="0" t="n">
        <v>100287</v>
      </c>
      <c r="G324" s="0" t="s">
        <v>3316</v>
      </c>
      <c r="H324" s="0" t="s">
        <v>3317</v>
      </c>
      <c r="I324" s="0" t="s">
        <v>3318</v>
      </c>
      <c r="J324" s="0" t="s">
        <v>3319</v>
      </c>
      <c r="K324" s="0" t="s">
        <v>3320</v>
      </c>
      <c r="L324" s="0" t="n">
        <v>791811</v>
      </c>
      <c r="M324" s="0" t="s">
        <v>3321</v>
      </c>
      <c r="N324" s="0" t="n">
        <v>624999</v>
      </c>
      <c r="O324" s="9" t="n">
        <v>415</v>
      </c>
      <c r="P324" s="0" t="s">
        <v>68</v>
      </c>
      <c r="Q324" s="0" t="s">
        <v>3322</v>
      </c>
      <c r="R324" s="0" t="s">
        <v>3323</v>
      </c>
      <c r="S324" s="0" t="s">
        <v>143</v>
      </c>
      <c r="T324" s="0" t="s">
        <v>3324</v>
      </c>
      <c r="U324" s="9" t="n">
        <v>0</v>
      </c>
      <c r="V324" s="0" t="n">
        <v>15.5130608673916</v>
      </c>
      <c r="W324" s="0" t="n">
        <v>20230930</v>
      </c>
      <c r="X324" s="0" t="n">
        <v>1.10517821444244</v>
      </c>
      <c r="Y324" s="0" t="s">
        <v>3325</v>
      </c>
      <c r="Z324" s="0" t="s">
        <v>60</v>
      </c>
    </row>
    <row r="325" customFormat="false" ht="15" hidden="false" customHeight="false" outlineLevel="0" collapsed="false">
      <c r="A325" s="0" t="n">
        <v>322</v>
      </c>
      <c r="B325" s="9" t="n">
        <v>1813189</v>
      </c>
      <c r="C325" s="0" t="n">
        <v>13063</v>
      </c>
      <c r="D325" s="0" t="n">
        <v>1662459</v>
      </c>
      <c r="E325" s="0" t="s">
        <v>1708</v>
      </c>
      <c r="F325" s="0" t="n">
        <v>130802</v>
      </c>
      <c r="G325" s="0" t="s">
        <v>3326</v>
      </c>
      <c r="H325" s="0" t="s">
        <v>3327</v>
      </c>
      <c r="I325" s="0" t="s">
        <v>3328</v>
      </c>
      <c r="J325" s="0" t="s">
        <v>3329</v>
      </c>
      <c r="K325" s="0" t="s">
        <v>675</v>
      </c>
      <c r="L325" s="0" t="n">
        <v>1407387</v>
      </c>
      <c r="M325" s="0" t="s">
        <v>3330</v>
      </c>
      <c r="N325" s="0" t="n">
        <v>1342676</v>
      </c>
      <c r="O325" s="9" t="n">
        <v>592</v>
      </c>
      <c r="P325" s="0" t="s">
        <v>80</v>
      </c>
      <c r="Q325" s="0" t="s">
        <v>3331</v>
      </c>
      <c r="R325" s="0" t="s">
        <v>3332</v>
      </c>
      <c r="S325" s="0" t="s">
        <v>3333</v>
      </c>
      <c r="T325" s="0" t="s">
        <v>3334</v>
      </c>
      <c r="U325" s="9" t="n">
        <v>700</v>
      </c>
      <c r="V325" s="0" t="n">
        <v>0</v>
      </c>
      <c r="W325" s="0" t="n">
        <v>20230930</v>
      </c>
      <c r="X325" s="0" t="n">
        <v>0.205095820826914</v>
      </c>
      <c r="Y325" s="0" t="s">
        <v>3335</v>
      </c>
      <c r="Z325" s="0" t="s">
        <v>60</v>
      </c>
    </row>
    <row r="326" customFormat="false" ht="15" hidden="false" customHeight="false" outlineLevel="0" collapsed="false">
      <c r="A326" s="0" t="n">
        <v>323</v>
      </c>
      <c r="B326" s="9" t="n">
        <v>862974</v>
      </c>
      <c r="C326" s="0" t="n">
        <v>14134</v>
      </c>
      <c r="D326" s="0" t="n">
        <v>683848</v>
      </c>
      <c r="E326" s="0" t="s">
        <v>858</v>
      </c>
      <c r="F326" s="0" t="n">
        <v>97790</v>
      </c>
      <c r="G326" s="0" t="s">
        <v>3336</v>
      </c>
      <c r="H326" s="0" t="s">
        <v>3337</v>
      </c>
      <c r="I326" s="0" t="s">
        <v>3338</v>
      </c>
      <c r="J326" s="0" t="s">
        <v>3339</v>
      </c>
      <c r="K326" s="0" t="s">
        <v>3340</v>
      </c>
      <c r="L326" s="0" t="n">
        <v>659466</v>
      </c>
      <c r="M326" s="0" t="s">
        <v>3341</v>
      </c>
      <c r="N326" s="0" t="n">
        <v>579506</v>
      </c>
      <c r="O326" s="9" t="n">
        <v>12208</v>
      </c>
      <c r="P326" s="0" t="s">
        <v>92</v>
      </c>
      <c r="Q326" s="0" t="s">
        <v>3342</v>
      </c>
      <c r="R326" s="0" t="s">
        <v>3343</v>
      </c>
      <c r="S326" s="0" t="s">
        <v>3344</v>
      </c>
      <c r="T326" s="0" t="s">
        <v>3345</v>
      </c>
      <c r="U326" s="9" t="n">
        <v>0</v>
      </c>
      <c r="V326" s="0" t="n">
        <v>19.4095803936131</v>
      </c>
      <c r="W326" s="0" t="n">
        <v>20230930</v>
      </c>
      <c r="X326" s="0" t="n">
        <v>0.466681754214042</v>
      </c>
      <c r="Y326" s="0" t="s">
        <v>3346</v>
      </c>
      <c r="Z326" s="0" t="s">
        <v>98</v>
      </c>
    </row>
    <row r="327" customFormat="false" ht="15" hidden="false" customHeight="false" outlineLevel="0" collapsed="false">
      <c r="A327" s="0" t="n">
        <v>324</v>
      </c>
      <c r="B327" s="9" t="n">
        <v>226042</v>
      </c>
      <c r="C327" s="0" t="n">
        <v>14136</v>
      </c>
      <c r="D327" s="0" t="n">
        <v>193047</v>
      </c>
      <c r="E327" s="0" t="s">
        <v>246</v>
      </c>
      <c r="F327" s="0" t="n">
        <v>14702</v>
      </c>
      <c r="G327" s="0" t="s">
        <v>3347</v>
      </c>
      <c r="H327" s="0" t="s">
        <v>3348</v>
      </c>
      <c r="I327" s="0" t="s">
        <v>3349</v>
      </c>
      <c r="J327" s="0" t="s">
        <v>3350</v>
      </c>
      <c r="K327" s="0" t="s">
        <v>3351</v>
      </c>
      <c r="L327" s="0" t="n">
        <v>146706</v>
      </c>
      <c r="M327" s="0" t="s">
        <v>3352</v>
      </c>
      <c r="N327" s="0" t="n">
        <v>117617</v>
      </c>
      <c r="O327" s="9" t="n">
        <v>83</v>
      </c>
      <c r="P327" s="0" t="s">
        <v>105</v>
      </c>
      <c r="Q327" s="0" t="s">
        <v>3353</v>
      </c>
      <c r="R327" s="0" t="s">
        <v>3354</v>
      </c>
      <c r="S327" s="0" t="s">
        <v>3005</v>
      </c>
      <c r="T327" s="0" t="s">
        <v>3355</v>
      </c>
      <c r="U327" s="9" t="n">
        <v>734</v>
      </c>
      <c r="V327" s="0" t="n">
        <v>17.6797625377766</v>
      </c>
      <c r="W327" s="0" t="n">
        <v>20230930</v>
      </c>
      <c r="X327" s="0" t="n">
        <v>0.657509532403573</v>
      </c>
      <c r="Y327" s="0" t="s">
        <v>3356</v>
      </c>
      <c r="Z327" s="0" t="s">
        <v>98</v>
      </c>
    </row>
    <row r="328" customFormat="false" ht="15" hidden="false" customHeight="false" outlineLevel="0" collapsed="false">
      <c r="A328" s="0" t="n">
        <v>325</v>
      </c>
      <c r="B328" s="9" t="n">
        <v>1446742</v>
      </c>
      <c r="C328" s="0" t="n">
        <v>14140</v>
      </c>
      <c r="D328" s="0" t="n">
        <v>1144937</v>
      </c>
      <c r="E328" s="0" t="s">
        <v>271</v>
      </c>
      <c r="F328" s="0" t="n">
        <v>114596</v>
      </c>
      <c r="G328" s="0" t="s">
        <v>3357</v>
      </c>
      <c r="H328" s="0" t="s">
        <v>3358</v>
      </c>
      <c r="I328" s="0" t="s">
        <v>3359</v>
      </c>
      <c r="J328" s="0" t="s">
        <v>3360</v>
      </c>
      <c r="K328" s="0" t="s">
        <v>3361</v>
      </c>
      <c r="L328" s="0" t="n">
        <v>1027888</v>
      </c>
      <c r="M328" s="0" t="s">
        <v>3362</v>
      </c>
      <c r="N328" s="0" t="n">
        <v>915552</v>
      </c>
      <c r="O328" s="9" t="n">
        <v>4596</v>
      </c>
      <c r="P328" s="0" t="s">
        <v>117</v>
      </c>
      <c r="Q328" s="0" t="s">
        <v>3363</v>
      </c>
      <c r="R328" s="0" t="s">
        <v>3364</v>
      </c>
      <c r="S328" s="0" t="s">
        <v>1029</v>
      </c>
      <c r="T328" s="0" t="s">
        <v>3365</v>
      </c>
      <c r="U328" s="9" t="n">
        <v>0</v>
      </c>
      <c r="V328" s="0" t="n">
        <v>0</v>
      </c>
      <c r="W328" s="0" t="n">
        <v>20230930</v>
      </c>
      <c r="X328" s="0" t="n">
        <v>0.282590331859959</v>
      </c>
      <c r="Y328" s="0" t="s">
        <v>3366</v>
      </c>
      <c r="Z328" s="0" t="s">
        <v>98</v>
      </c>
    </row>
    <row r="329" customFormat="false" ht="15" hidden="false" customHeight="false" outlineLevel="0" collapsed="false">
      <c r="A329" s="0" t="n">
        <v>326</v>
      </c>
      <c r="B329" s="9" t="n">
        <v>1395141</v>
      </c>
      <c r="C329" s="0" t="n">
        <v>14158</v>
      </c>
      <c r="D329" s="0" t="n">
        <v>1225741</v>
      </c>
      <c r="E329" s="0" t="s">
        <v>890</v>
      </c>
      <c r="F329" s="0" t="n">
        <v>65297</v>
      </c>
      <c r="G329" s="0" t="s">
        <v>3367</v>
      </c>
      <c r="H329" s="0" t="s">
        <v>3368</v>
      </c>
      <c r="I329" s="0" t="s">
        <v>3369</v>
      </c>
      <c r="J329" s="0" t="s">
        <v>3370</v>
      </c>
      <c r="K329" s="0" t="s">
        <v>3371</v>
      </c>
      <c r="L329" s="0" t="n">
        <v>1029735</v>
      </c>
      <c r="M329" s="0" t="s">
        <v>3372</v>
      </c>
      <c r="N329" s="0" t="n">
        <v>900510</v>
      </c>
      <c r="O329" s="9" t="n">
        <v>1882</v>
      </c>
      <c r="P329" s="0" t="s">
        <v>129</v>
      </c>
      <c r="Q329" s="0" t="s">
        <v>3373</v>
      </c>
      <c r="R329" s="0" t="s">
        <v>3374</v>
      </c>
      <c r="S329" s="0" t="s">
        <v>218</v>
      </c>
      <c r="T329" s="0" t="s">
        <v>3375</v>
      </c>
      <c r="U329" s="9" t="n">
        <v>245</v>
      </c>
      <c r="V329" s="0" t="n">
        <v>13.1807756858742</v>
      </c>
      <c r="W329" s="0" t="n">
        <v>20230930</v>
      </c>
      <c r="X329" s="0" t="n">
        <v>0.872949562021764</v>
      </c>
      <c r="Y329" s="0" t="s">
        <v>3376</v>
      </c>
      <c r="Z329" s="0" t="s">
        <v>98</v>
      </c>
    </row>
    <row r="330" customFormat="false" ht="15" hidden="false" customHeight="false" outlineLevel="0" collapsed="false">
      <c r="A330" s="0" t="n">
        <v>327</v>
      </c>
      <c r="B330" s="9" t="n">
        <v>359023</v>
      </c>
      <c r="C330" s="0" t="n">
        <v>14168</v>
      </c>
      <c r="D330" s="0" t="n">
        <v>322770</v>
      </c>
      <c r="E330" s="0" t="s">
        <v>2854</v>
      </c>
      <c r="F330" s="0" t="n">
        <v>31301</v>
      </c>
      <c r="G330" s="0" t="s">
        <v>3377</v>
      </c>
      <c r="H330" s="0" t="s">
        <v>3378</v>
      </c>
      <c r="I330" s="0" t="s">
        <v>3379</v>
      </c>
      <c r="J330" s="0" t="s">
        <v>3380</v>
      </c>
      <c r="K330" s="0" t="s">
        <v>3381</v>
      </c>
      <c r="L330" s="0" t="n">
        <v>229069</v>
      </c>
      <c r="M330" s="0" t="s">
        <v>3382</v>
      </c>
      <c r="N330" s="0" t="n">
        <v>191581</v>
      </c>
      <c r="O330" s="9" t="n">
        <v>1133</v>
      </c>
      <c r="P330" s="0" t="s">
        <v>140</v>
      </c>
      <c r="Q330" s="0" t="s">
        <v>3383</v>
      </c>
      <c r="R330" s="0" t="s">
        <v>3384</v>
      </c>
      <c r="S330" s="0" t="s">
        <v>3385</v>
      </c>
      <c r="T330" s="0" t="s">
        <v>3386</v>
      </c>
      <c r="U330" s="9" t="n">
        <v>0</v>
      </c>
      <c r="V330" s="0" t="n">
        <v>16.9790621609938</v>
      </c>
      <c r="W330" s="0" t="n">
        <v>20230930</v>
      </c>
      <c r="X330" s="0" t="n">
        <v>0.847124283777967</v>
      </c>
      <c r="Y330" s="0" t="s">
        <v>3387</v>
      </c>
      <c r="Z330" s="0" t="s">
        <v>98</v>
      </c>
    </row>
    <row r="331" customFormat="false" ht="15" hidden="false" customHeight="false" outlineLevel="0" collapsed="false">
      <c r="A331" s="0" t="n">
        <v>328</v>
      </c>
      <c r="B331" s="9" t="n">
        <v>1352605</v>
      </c>
      <c r="C331" s="0" t="n">
        <v>14240</v>
      </c>
      <c r="D331" s="0" t="n">
        <v>1054870</v>
      </c>
      <c r="E331" s="0" t="s">
        <v>61</v>
      </c>
      <c r="F331" s="0" t="n">
        <v>75740</v>
      </c>
      <c r="G331" s="0" t="s">
        <v>3388</v>
      </c>
      <c r="H331" s="0" t="s">
        <v>3389</v>
      </c>
      <c r="I331" s="0" t="s">
        <v>3390</v>
      </c>
      <c r="J331" s="0" t="s">
        <v>3391</v>
      </c>
      <c r="K331" s="0" t="s">
        <v>3392</v>
      </c>
      <c r="L331" s="0" t="n">
        <v>967238</v>
      </c>
      <c r="M331" s="0" t="s">
        <v>3393</v>
      </c>
      <c r="N331" s="0" t="n">
        <v>823267</v>
      </c>
      <c r="O331" s="9" t="n">
        <v>2967</v>
      </c>
      <c r="P331" s="0" t="s">
        <v>152</v>
      </c>
      <c r="Q331" s="0" t="s">
        <v>3394</v>
      </c>
      <c r="R331" s="0" t="s">
        <v>3395</v>
      </c>
      <c r="S331" s="0" t="s">
        <v>155</v>
      </c>
      <c r="T331" s="0" t="s">
        <v>3396</v>
      </c>
      <c r="U331" s="9" t="n">
        <v>0</v>
      </c>
      <c r="V331" s="0" t="n">
        <v>15.1569679287591</v>
      </c>
      <c r="W331" s="0" t="n">
        <v>20230930</v>
      </c>
      <c r="X331" s="0" t="n">
        <v>0.527762579725944</v>
      </c>
      <c r="Y331" s="0" t="s">
        <v>3397</v>
      </c>
      <c r="Z331" s="0" t="s">
        <v>158</v>
      </c>
    </row>
    <row r="332" customFormat="false" ht="15" hidden="false" customHeight="false" outlineLevel="0" collapsed="false">
      <c r="A332" s="0" t="n">
        <v>329</v>
      </c>
      <c r="B332" s="9" t="n">
        <v>1080866</v>
      </c>
      <c r="C332" s="0" t="n">
        <v>17115</v>
      </c>
      <c r="D332" s="0" t="n">
        <v>797533</v>
      </c>
      <c r="E332" s="0" t="s">
        <v>172</v>
      </c>
      <c r="F332" s="0" t="n">
        <v>79915</v>
      </c>
      <c r="G332" s="0" t="s">
        <v>3398</v>
      </c>
      <c r="H332" s="0" t="s">
        <v>3399</v>
      </c>
      <c r="I332" s="0" t="s">
        <v>3400</v>
      </c>
      <c r="J332" s="0" t="s">
        <v>3401</v>
      </c>
      <c r="K332" s="0" t="s">
        <v>3402</v>
      </c>
      <c r="L332" s="0" t="n">
        <v>885313</v>
      </c>
      <c r="M332" s="0" t="s">
        <v>3403</v>
      </c>
      <c r="N332" s="0" t="n">
        <v>833728</v>
      </c>
      <c r="O332" s="9" t="n">
        <v>244</v>
      </c>
      <c r="P332" s="0" t="s">
        <v>166</v>
      </c>
      <c r="Q332" s="0" t="s">
        <v>3404</v>
      </c>
      <c r="R332" s="0" t="s">
        <v>3405</v>
      </c>
      <c r="S332" s="0" t="s">
        <v>3406</v>
      </c>
      <c r="T332" s="0" t="s">
        <v>3407</v>
      </c>
      <c r="U332" s="9" t="n">
        <v>0</v>
      </c>
      <c r="V332" s="0" t="n">
        <v>13.5669711163055</v>
      </c>
      <c r="W332" s="0" t="n">
        <v>20230930</v>
      </c>
      <c r="X332" s="0" t="n">
        <v>0.498638540922278</v>
      </c>
      <c r="Y332" s="0" t="s">
        <v>3408</v>
      </c>
      <c r="Z332" s="0" t="s">
        <v>60</v>
      </c>
    </row>
    <row r="333" customFormat="false" ht="15" hidden="false" customHeight="false" outlineLevel="0" collapsed="false">
      <c r="A333" s="0" t="n">
        <v>330</v>
      </c>
      <c r="B333" s="9" t="n">
        <v>1618725</v>
      </c>
      <c r="C333" s="0" t="n">
        <v>17180</v>
      </c>
      <c r="D333" s="0" t="n">
        <v>1198681</v>
      </c>
      <c r="E333" s="0" t="s">
        <v>1393</v>
      </c>
      <c r="F333" s="0" t="n">
        <v>130715</v>
      </c>
      <c r="G333" s="0" t="s">
        <v>3409</v>
      </c>
      <c r="H333" s="0" t="s">
        <v>3410</v>
      </c>
      <c r="I333" s="0" t="s">
        <v>3411</v>
      </c>
      <c r="J333" s="0" t="s">
        <v>3412</v>
      </c>
      <c r="K333" s="0" t="s">
        <v>3413</v>
      </c>
      <c r="L333" s="0" t="n">
        <v>1465429</v>
      </c>
      <c r="M333" s="0" t="s">
        <v>3414</v>
      </c>
      <c r="N333" s="0" t="n">
        <v>1192665</v>
      </c>
      <c r="O333" s="9" t="n">
        <v>5236</v>
      </c>
      <c r="P333" s="0" t="s">
        <v>179</v>
      </c>
      <c r="Q333" s="0" t="s">
        <v>3415</v>
      </c>
      <c r="R333" s="0" t="s">
        <v>3416</v>
      </c>
      <c r="S333" s="0" t="s">
        <v>3025</v>
      </c>
      <c r="T333" s="0" t="s">
        <v>3417</v>
      </c>
      <c r="U333" s="9" t="n">
        <v>0</v>
      </c>
      <c r="V333" s="0" t="n">
        <v>13.815531195592</v>
      </c>
      <c r="W333" s="0" t="n">
        <v>20230930</v>
      </c>
      <c r="X333" s="0" t="n">
        <v>0.396147648792238</v>
      </c>
      <c r="Y333" s="0" t="s">
        <v>3418</v>
      </c>
      <c r="Z333" s="0" t="s">
        <v>158</v>
      </c>
    </row>
    <row r="334" customFormat="false" ht="15" hidden="false" customHeight="false" outlineLevel="0" collapsed="false">
      <c r="A334" s="0" t="n">
        <v>331</v>
      </c>
      <c r="B334" s="9" t="n">
        <v>359919</v>
      </c>
      <c r="C334" s="0" t="n">
        <v>17443</v>
      </c>
      <c r="D334" s="0" t="n">
        <v>321726</v>
      </c>
      <c r="E334" s="0" t="s">
        <v>195</v>
      </c>
      <c r="F334" s="0" t="n">
        <v>36888</v>
      </c>
      <c r="G334" s="0" t="s">
        <v>3419</v>
      </c>
      <c r="H334" s="0" t="s">
        <v>3420</v>
      </c>
      <c r="I334" s="0" t="s">
        <v>3421</v>
      </c>
      <c r="J334" s="0" t="s">
        <v>61</v>
      </c>
      <c r="K334" s="0" t="s">
        <v>3422</v>
      </c>
      <c r="L334" s="0" t="n">
        <v>207388</v>
      </c>
      <c r="M334" s="0" t="s">
        <v>3423</v>
      </c>
      <c r="N334" s="0" t="n">
        <v>205626</v>
      </c>
      <c r="O334" s="9" t="n">
        <v>109</v>
      </c>
      <c r="P334" s="0" t="s">
        <v>190</v>
      </c>
      <c r="Q334" s="0" t="s">
        <v>3424</v>
      </c>
      <c r="R334" s="0" t="s">
        <v>3425</v>
      </c>
      <c r="S334" s="0" t="s">
        <v>61</v>
      </c>
      <c r="T334" s="0" t="s">
        <v>3426</v>
      </c>
      <c r="U334" s="9" t="n">
        <v>897</v>
      </c>
      <c r="V334" s="0" t="n">
        <v>0</v>
      </c>
      <c r="W334" s="0" t="n">
        <v>20230930</v>
      </c>
      <c r="X334" s="0" t="n">
        <v>0.0680743287053854</v>
      </c>
      <c r="Y334" s="0" t="s">
        <v>3427</v>
      </c>
      <c r="Z334" s="0" t="s">
        <v>158</v>
      </c>
    </row>
    <row r="335" customFormat="false" ht="15" hidden="false" customHeight="false" outlineLevel="0" collapsed="false">
      <c r="A335" s="0" t="n">
        <v>332</v>
      </c>
      <c r="B335" s="9" t="n">
        <v>1854542</v>
      </c>
      <c r="C335" s="0" t="n">
        <v>17658</v>
      </c>
      <c r="D335" s="0" t="n">
        <v>1539926</v>
      </c>
      <c r="E335" s="0" t="s">
        <v>172</v>
      </c>
      <c r="F335" s="0" t="n">
        <v>184915</v>
      </c>
      <c r="G335" s="0" t="s">
        <v>3428</v>
      </c>
      <c r="H335" s="0" t="s">
        <v>3429</v>
      </c>
      <c r="I335" s="0" t="s">
        <v>3430</v>
      </c>
      <c r="J335" s="0" t="s">
        <v>3431</v>
      </c>
      <c r="K335" s="0" t="s">
        <v>3432</v>
      </c>
      <c r="L335" s="0" t="n">
        <v>1292291</v>
      </c>
      <c r="M335" s="0" t="s">
        <v>3433</v>
      </c>
      <c r="N335" s="0" t="n">
        <v>1103288</v>
      </c>
      <c r="O335" s="9" t="n">
        <v>1361</v>
      </c>
      <c r="P335" s="0" t="s">
        <v>202</v>
      </c>
      <c r="Q335" s="0" t="s">
        <v>3434</v>
      </c>
      <c r="R335" s="0" t="s">
        <v>3435</v>
      </c>
      <c r="S335" s="0" t="s">
        <v>1738</v>
      </c>
      <c r="T335" s="0" t="s">
        <v>3436</v>
      </c>
      <c r="U335" s="9" t="n">
        <v>0</v>
      </c>
      <c r="V335" s="0" t="n">
        <v>0</v>
      </c>
      <c r="W335" s="0" t="n">
        <v>20230930</v>
      </c>
      <c r="X335" s="0" t="n">
        <v>0.655756640612116</v>
      </c>
      <c r="Y335" s="0" t="s">
        <v>3437</v>
      </c>
      <c r="Z335" s="0" t="s">
        <v>60</v>
      </c>
    </row>
    <row r="336" customFormat="false" ht="15" hidden="false" customHeight="false" outlineLevel="0" collapsed="false">
      <c r="A336" s="0" t="n">
        <v>333</v>
      </c>
      <c r="B336" s="9" t="n">
        <v>1063414</v>
      </c>
      <c r="C336" s="0" t="n">
        <v>17741</v>
      </c>
      <c r="D336" s="0" t="n">
        <v>803860</v>
      </c>
      <c r="E336" s="0" t="s">
        <v>208</v>
      </c>
      <c r="F336" s="0" t="n">
        <v>132027</v>
      </c>
      <c r="G336" s="0" t="s">
        <v>3438</v>
      </c>
      <c r="H336" s="0" t="s">
        <v>3439</v>
      </c>
      <c r="I336" s="0" t="s">
        <v>3440</v>
      </c>
      <c r="J336" s="0" t="s">
        <v>3441</v>
      </c>
      <c r="K336" s="0" t="s">
        <v>3442</v>
      </c>
      <c r="L336" s="0" t="n">
        <v>905841</v>
      </c>
      <c r="M336" s="0" t="s">
        <v>3443</v>
      </c>
      <c r="N336" s="0" t="n">
        <v>844883</v>
      </c>
      <c r="O336" s="9" t="n">
        <v>2371</v>
      </c>
      <c r="P336" s="0" t="s">
        <v>215</v>
      </c>
      <c r="Q336" s="0" t="s">
        <v>3444</v>
      </c>
      <c r="R336" s="0" t="s">
        <v>3445</v>
      </c>
      <c r="S336" s="0" t="s">
        <v>3446</v>
      </c>
      <c r="T336" s="0" t="s">
        <v>3447</v>
      </c>
      <c r="U336" s="9" t="n">
        <v>0</v>
      </c>
      <c r="V336" s="0" t="n">
        <v>0</v>
      </c>
      <c r="W336" s="0" t="n">
        <v>20230930</v>
      </c>
      <c r="X336" s="0" t="n">
        <v>0.584654904405804</v>
      </c>
      <c r="Y336" s="0" t="s">
        <v>3448</v>
      </c>
      <c r="Z336" s="0" t="s">
        <v>60</v>
      </c>
    </row>
    <row r="337" customFormat="false" ht="15" hidden="false" customHeight="false" outlineLevel="0" collapsed="false">
      <c r="A337" s="0" t="n">
        <v>334</v>
      </c>
      <c r="B337" s="9" t="n">
        <v>1343923</v>
      </c>
      <c r="C337" s="0" t="n">
        <v>17743</v>
      </c>
      <c r="D337" s="0" t="n">
        <v>962463</v>
      </c>
      <c r="E337" s="0" t="s">
        <v>61</v>
      </c>
      <c r="F337" s="0" t="n">
        <v>114040</v>
      </c>
      <c r="G337" s="0" t="s">
        <v>3449</v>
      </c>
      <c r="H337" s="0" t="s">
        <v>3450</v>
      </c>
      <c r="I337" s="0" t="s">
        <v>3451</v>
      </c>
      <c r="J337" s="0" t="s">
        <v>3452</v>
      </c>
      <c r="K337" s="0" t="s">
        <v>3453</v>
      </c>
      <c r="L337" s="0" t="n">
        <v>1053953</v>
      </c>
      <c r="M337" s="0" t="s">
        <v>3454</v>
      </c>
      <c r="N337" s="0" t="n">
        <v>1018679</v>
      </c>
      <c r="O337" s="9" t="n">
        <v>4816</v>
      </c>
      <c r="P337" s="0" t="s">
        <v>227</v>
      </c>
      <c r="Q337" s="0" t="s">
        <v>3455</v>
      </c>
      <c r="R337" s="0" t="s">
        <v>3456</v>
      </c>
      <c r="S337" s="0" t="s">
        <v>2563</v>
      </c>
      <c r="T337" s="0" t="s">
        <v>3457</v>
      </c>
      <c r="U337" s="9" t="n">
        <v>50</v>
      </c>
      <c r="V337" s="0" t="n">
        <v>0</v>
      </c>
      <c r="W337" s="0" t="n">
        <v>20230930</v>
      </c>
      <c r="X337" s="0" t="n">
        <v>0.0416934666112008</v>
      </c>
      <c r="Y337" s="0" t="s">
        <v>3458</v>
      </c>
      <c r="Z337" s="0" t="s">
        <v>60</v>
      </c>
    </row>
    <row r="338" customFormat="false" ht="15" hidden="false" customHeight="false" outlineLevel="0" collapsed="false">
      <c r="A338" s="0" t="n">
        <v>335</v>
      </c>
      <c r="B338" s="9" t="n">
        <v>1637222</v>
      </c>
      <c r="C338" s="0" t="n">
        <v>17748</v>
      </c>
      <c r="D338" s="0" t="n">
        <v>1377757</v>
      </c>
      <c r="E338" s="0" t="s">
        <v>208</v>
      </c>
      <c r="F338" s="0" t="n">
        <v>100984</v>
      </c>
      <c r="G338" s="0" t="s">
        <v>3459</v>
      </c>
      <c r="H338" s="0" t="s">
        <v>3460</v>
      </c>
      <c r="I338" s="0" t="s">
        <v>3461</v>
      </c>
      <c r="J338" s="0" t="s">
        <v>3462</v>
      </c>
      <c r="K338" s="0" t="s">
        <v>3463</v>
      </c>
      <c r="L338" s="0" t="n">
        <v>1276766</v>
      </c>
      <c r="M338" s="0" t="s">
        <v>3464</v>
      </c>
      <c r="N338" s="0" t="n">
        <v>1059712</v>
      </c>
      <c r="O338" s="9" t="n">
        <v>6912</v>
      </c>
      <c r="P338" s="0" t="s">
        <v>240</v>
      </c>
      <c r="Q338" s="0" t="s">
        <v>3465</v>
      </c>
      <c r="R338" s="0" t="s">
        <v>3466</v>
      </c>
      <c r="S338" s="0" t="s">
        <v>3467</v>
      </c>
      <c r="T338" s="0" t="s">
        <v>3468</v>
      </c>
      <c r="U338" s="9" t="n">
        <v>0</v>
      </c>
      <c r="V338" s="0" t="n">
        <v>0</v>
      </c>
      <c r="W338" s="0" t="n">
        <v>20230930</v>
      </c>
      <c r="X338" s="0" t="n">
        <v>0.256949701022203</v>
      </c>
      <c r="Y338" s="0" t="s">
        <v>2669</v>
      </c>
      <c r="Z338" s="0" t="s">
        <v>60</v>
      </c>
    </row>
    <row r="339" customFormat="false" ht="15" hidden="false" customHeight="false" outlineLevel="0" collapsed="false">
      <c r="A339" s="0" t="n">
        <v>336</v>
      </c>
      <c r="B339" s="9" t="n">
        <v>1286435</v>
      </c>
      <c r="C339" s="0" t="n">
        <v>17749</v>
      </c>
      <c r="D339" s="0" t="n">
        <v>1014838</v>
      </c>
      <c r="E339" s="0" t="s">
        <v>246</v>
      </c>
      <c r="F339" s="0" t="n">
        <v>152647</v>
      </c>
      <c r="G339" s="0" t="s">
        <v>3469</v>
      </c>
      <c r="H339" s="0" t="s">
        <v>3470</v>
      </c>
      <c r="I339" s="0" t="s">
        <v>3471</v>
      </c>
      <c r="J339" s="0" t="s">
        <v>3472</v>
      </c>
      <c r="K339" s="0" t="s">
        <v>3473</v>
      </c>
      <c r="L339" s="0" t="n">
        <v>779799</v>
      </c>
      <c r="M339" s="0" t="s">
        <v>3474</v>
      </c>
      <c r="N339" s="0" t="n">
        <v>708062</v>
      </c>
      <c r="O339" s="9" t="n">
        <v>34</v>
      </c>
      <c r="P339" s="0" t="s">
        <v>253</v>
      </c>
      <c r="Q339" s="0" t="s">
        <v>3475</v>
      </c>
      <c r="R339" s="0" t="s">
        <v>3476</v>
      </c>
      <c r="S339" s="0" t="s">
        <v>120</v>
      </c>
      <c r="T339" s="0" t="s">
        <v>3477</v>
      </c>
      <c r="U339" s="9" t="n">
        <v>0</v>
      </c>
      <c r="V339" s="0" t="n">
        <v>0</v>
      </c>
      <c r="W339" s="0" t="n">
        <v>20230930</v>
      </c>
      <c r="X339" s="0" t="n">
        <v>0.980966388840118</v>
      </c>
      <c r="Y339" s="0" t="s">
        <v>3478</v>
      </c>
      <c r="Z339" s="0" t="s">
        <v>60</v>
      </c>
    </row>
    <row r="340" customFormat="false" ht="15" hidden="false" customHeight="false" outlineLevel="0" collapsed="false">
      <c r="A340" s="0" t="n">
        <v>337</v>
      </c>
      <c r="B340" s="9" t="n">
        <v>1580361</v>
      </c>
      <c r="C340" s="0" t="n">
        <v>17751</v>
      </c>
      <c r="D340" s="0" t="n">
        <v>1300135</v>
      </c>
      <c r="E340" s="0" t="s">
        <v>47</v>
      </c>
      <c r="F340" s="0" t="n">
        <v>128888</v>
      </c>
      <c r="G340" s="0" t="s">
        <v>3479</v>
      </c>
      <c r="H340" s="0" t="s">
        <v>3480</v>
      </c>
      <c r="I340" s="0" t="s">
        <v>3481</v>
      </c>
      <c r="J340" s="0" t="s">
        <v>3482</v>
      </c>
      <c r="K340" s="0" t="s">
        <v>3483</v>
      </c>
      <c r="L340" s="0" t="n">
        <v>1284182</v>
      </c>
      <c r="M340" s="0" t="s">
        <v>3484</v>
      </c>
      <c r="N340" s="0" t="n">
        <v>1091898</v>
      </c>
      <c r="O340" s="9" t="n">
        <v>2621</v>
      </c>
      <c r="P340" s="0" t="s">
        <v>266</v>
      </c>
      <c r="Q340" s="0" t="s">
        <v>3485</v>
      </c>
      <c r="R340" s="0" t="s">
        <v>3486</v>
      </c>
      <c r="S340" s="0" t="s">
        <v>3487</v>
      </c>
      <c r="T340" s="0" t="s">
        <v>3488</v>
      </c>
      <c r="U340" s="9" t="n">
        <v>0</v>
      </c>
      <c r="V340" s="0" t="n">
        <v>12.6039990480709</v>
      </c>
      <c r="W340" s="0" t="n">
        <v>20230930</v>
      </c>
      <c r="X340" s="0" t="n">
        <v>0.591331773995177</v>
      </c>
      <c r="Y340" s="0" t="s">
        <v>3489</v>
      </c>
      <c r="Z340" s="0" t="s">
        <v>60</v>
      </c>
    </row>
    <row r="341" customFormat="false" ht="15" hidden="false" customHeight="false" outlineLevel="0" collapsed="false">
      <c r="A341" s="0" t="n">
        <v>338</v>
      </c>
      <c r="B341" s="9" t="n">
        <v>1672541</v>
      </c>
      <c r="C341" s="0" t="n">
        <v>17897</v>
      </c>
      <c r="D341" s="0" t="n">
        <v>1315387</v>
      </c>
      <c r="E341" s="0" t="s">
        <v>1500</v>
      </c>
      <c r="F341" s="0" t="n">
        <v>196829</v>
      </c>
      <c r="G341" s="0" t="s">
        <v>3490</v>
      </c>
      <c r="H341" s="0" t="s">
        <v>3491</v>
      </c>
      <c r="I341" s="0" t="s">
        <v>3492</v>
      </c>
      <c r="J341" s="0" t="s">
        <v>3493</v>
      </c>
      <c r="K341" s="0" t="s">
        <v>3494</v>
      </c>
      <c r="L341" s="0" t="n">
        <v>1427049</v>
      </c>
      <c r="M341" s="0" t="s">
        <v>3495</v>
      </c>
      <c r="N341" s="0" t="n">
        <v>1342461</v>
      </c>
      <c r="O341" s="9" t="n">
        <v>2834</v>
      </c>
      <c r="P341" s="0" t="s">
        <v>278</v>
      </c>
      <c r="Q341" s="0" t="s">
        <v>3496</v>
      </c>
      <c r="R341" s="0" t="s">
        <v>3497</v>
      </c>
      <c r="S341" s="0" t="s">
        <v>3498</v>
      </c>
      <c r="T341" s="0" t="s">
        <v>3499</v>
      </c>
      <c r="U341" s="9" t="n">
        <v>0</v>
      </c>
      <c r="V341" s="0" t="n">
        <v>16.1017927907317</v>
      </c>
      <c r="W341" s="0" t="n">
        <v>20230930</v>
      </c>
      <c r="X341" s="0" t="n">
        <v>0.380808315338347</v>
      </c>
      <c r="Y341" s="0" t="s">
        <v>3500</v>
      </c>
      <c r="Z341" s="0" t="s">
        <v>60</v>
      </c>
    </row>
    <row r="342" customFormat="false" ht="15" hidden="false" customHeight="false" outlineLevel="0" collapsed="false">
      <c r="A342" s="0" t="n">
        <v>339</v>
      </c>
      <c r="B342" s="9" t="n">
        <v>774390</v>
      </c>
      <c r="C342" s="0" t="n">
        <v>17951</v>
      </c>
      <c r="D342" s="0" t="n">
        <v>686785</v>
      </c>
      <c r="E342" s="0" t="s">
        <v>1393</v>
      </c>
      <c r="F342" s="0" t="n">
        <v>56538</v>
      </c>
      <c r="G342" s="0" t="s">
        <v>3501</v>
      </c>
      <c r="H342" s="0" t="s">
        <v>3502</v>
      </c>
      <c r="I342" s="0" t="s">
        <v>3503</v>
      </c>
      <c r="J342" s="0" t="s">
        <v>3504</v>
      </c>
      <c r="K342" s="0" t="s">
        <v>3505</v>
      </c>
      <c r="L342" s="0" t="n">
        <v>564607</v>
      </c>
      <c r="M342" s="0" t="s">
        <v>3506</v>
      </c>
      <c r="N342" s="0" t="n">
        <v>525776</v>
      </c>
      <c r="O342" s="9" t="n">
        <v>179</v>
      </c>
      <c r="P342" s="0" t="s">
        <v>290</v>
      </c>
      <c r="Q342" s="0" t="s">
        <v>3507</v>
      </c>
      <c r="R342" s="0" t="s">
        <v>3508</v>
      </c>
      <c r="S342" s="0" t="s">
        <v>3509</v>
      </c>
      <c r="T342" s="0" t="s">
        <v>3510</v>
      </c>
      <c r="U342" s="9" t="n">
        <v>0</v>
      </c>
      <c r="V342" s="0" t="n">
        <v>14.6359562064762</v>
      </c>
      <c r="W342" s="0" t="n">
        <v>20230930</v>
      </c>
      <c r="X342" s="0" t="n">
        <v>0.594947433038291</v>
      </c>
      <c r="Y342" s="0" t="s">
        <v>3511</v>
      </c>
      <c r="Z342" s="0" t="s">
        <v>158</v>
      </c>
    </row>
    <row r="343" customFormat="false" ht="15" hidden="false" customHeight="false" outlineLevel="0" collapsed="false">
      <c r="A343" s="0" t="n">
        <v>340</v>
      </c>
      <c r="B343" s="9" t="n">
        <v>1360683</v>
      </c>
      <c r="C343" s="0" t="n">
        <v>17960</v>
      </c>
      <c r="D343" s="0" t="n">
        <v>1035461</v>
      </c>
      <c r="E343" s="0" t="s">
        <v>172</v>
      </c>
      <c r="F343" s="0" t="n">
        <v>105758</v>
      </c>
      <c r="G343" s="0" t="s">
        <v>3512</v>
      </c>
      <c r="H343" s="0" t="s">
        <v>3513</v>
      </c>
      <c r="I343" s="0" t="s">
        <v>3514</v>
      </c>
      <c r="J343" s="0" t="s">
        <v>3515</v>
      </c>
      <c r="K343" s="0" t="s">
        <v>3516</v>
      </c>
      <c r="L343" s="0" t="n">
        <v>1168694</v>
      </c>
      <c r="M343" s="0" t="s">
        <v>3517</v>
      </c>
      <c r="N343" s="0" t="n">
        <v>830148</v>
      </c>
      <c r="O343" s="9" t="n">
        <v>8539</v>
      </c>
      <c r="P343" s="0" t="s">
        <v>302</v>
      </c>
      <c r="Q343" s="0" t="s">
        <v>3518</v>
      </c>
      <c r="R343" s="0" t="s">
        <v>3519</v>
      </c>
      <c r="S343" s="0" t="s">
        <v>1575</v>
      </c>
      <c r="T343" s="0" t="s">
        <v>3520</v>
      </c>
      <c r="U343" s="9" t="n">
        <v>0</v>
      </c>
      <c r="V343" s="0" t="n">
        <v>12.8543313948285</v>
      </c>
      <c r="W343" s="0" t="n">
        <v>20230930</v>
      </c>
      <c r="X343" s="0" t="n">
        <v>0.41501730865951</v>
      </c>
      <c r="Y343" s="0" t="s">
        <v>3521</v>
      </c>
      <c r="Z343" s="0" t="s">
        <v>158</v>
      </c>
    </row>
    <row r="344" customFormat="false" ht="15" hidden="false" customHeight="false" outlineLevel="0" collapsed="false">
      <c r="A344" s="0" t="n">
        <v>341</v>
      </c>
      <c r="B344" s="9" t="n">
        <v>2450354</v>
      </c>
      <c r="C344" s="0" t="n">
        <v>18012</v>
      </c>
      <c r="D344" s="0" t="n">
        <v>2087557</v>
      </c>
      <c r="E344" s="0" t="s">
        <v>390</v>
      </c>
      <c r="F344" s="0" t="n">
        <v>251689</v>
      </c>
      <c r="G344" s="0" t="s">
        <v>3522</v>
      </c>
      <c r="H344" s="0" t="s">
        <v>3523</v>
      </c>
      <c r="I344" s="0" t="s">
        <v>3524</v>
      </c>
      <c r="J344" s="0" t="s">
        <v>3525</v>
      </c>
      <c r="K344" s="0" t="s">
        <v>3526</v>
      </c>
      <c r="L344" s="0" t="n">
        <v>1996300</v>
      </c>
      <c r="M344" s="0" t="s">
        <v>3527</v>
      </c>
      <c r="N344" s="0" t="n">
        <v>1885157</v>
      </c>
      <c r="O344" s="9" t="n">
        <v>742</v>
      </c>
      <c r="P344" s="0" t="s">
        <v>312</v>
      </c>
      <c r="Q344" s="0" t="s">
        <v>3528</v>
      </c>
      <c r="R344" s="0" t="s">
        <v>3529</v>
      </c>
      <c r="S344" s="0" t="s">
        <v>3530</v>
      </c>
      <c r="T344" s="0" t="s">
        <v>3531</v>
      </c>
      <c r="U344" s="9" t="n">
        <v>0</v>
      </c>
      <c r="V344" s="0" t="n">
        <v>13.7963240873137</v>
      </c>
      <c r="W344" s="0" t="n">
        <v>20230930</v>
      </c>
      <c r="X344" s="0" t="n">
        <v>0.871079377516649</v>
      </c>
      <c r="Y344" s="0" t="s">
        <v>3532</v>
      </c>
      <c r="Z344" s="0" t="s">
        <v>158</v>
      </c>
    </row>
    <row r="345" customFormat="false" ht="15" hidden="false" customHeight="false" outlineLevel="0" collapsed="false">
      <c r="A345" s="0" t="n">
        <v>342</v>
      </c>
      <c r="B345" s="9" t="n">
        <v>2857828</v>
      </c>
      <c r="C345" s="0" t="n">
        <v>18013</v>
      </c>
      <c r="D345" s="0" t="n">
        <v>2426366</v>
      </c>
      <c r="E345" s="0" t="s">
        <v>390</v>
      </c>
      <c r="F345" s="0" t="n">
        <v>208913</v>
      </c>
      <c r="G345" s="0" t="s">
        <v>3533</v>
      </c>
      <c r="H345" s="0" t="s">
        <v>3534</v>
      </c>
      <c r="I345" s="0" t="s">
        <v>3535</v>
      </c>
      <c r="J345" s="0" t="s">
        <v>3536</v>
      </c>
      <c r="K345" s="0" t="s">
        <v>3537</v>
      </c>
      <c r="L345" s="0" t="n">
        <v>2341074</v>
      </c>
      <c r="M345" s="0" t="s">
        <v>3538</v>
      </c>
      <c r="N345" s="0" t="n">
        <v>2134736</v>
      </c>
      <c r="O345" s="9" t="n">
        <v>1061</v>
      </c>
      <c r="P345" s="0" t="s">
        <v>324</v>
      </c>
      <c r="Q345" s="0" t="s">
        <v>3539</v>
      </c>
      <c r="R345" s="0" t="s">
        <v>3540</v>
      </c>
      <c r="S345" s="0" t="s">
        <v>3541</v>
      </c>
      <c r="T345" s="0" t="s">
        <v>3542</v>
      </c>
      <c r="U345" s="9" t="n">
        <v>17</v>
      </c>
      <c r="V345" s="0" t="n">
        <v>12.718417791956</v>
      </c>
      <c r="W345" s="0" t="n">
        <v>20230930</v>
      </c>
      <c r="X345" s="0" t="n">
        <v>0.455600254543259</v>
      </c>
      <c r="Y345" s="0" t="s">
        <v>3016</v>
      </c>
      <c r="Z345" s="0" t="s">
        <v>158</v>
      </c>
    </row>
    <row r="346" customFormat="false" ht="15" hidden="false" customHeight="false" outlineLevel="0" collapsed="false">
      <c r="A346" s="0" t="n">
        <v>343</v>
      </c>
      <c r="B346" s="9" t="n">
        <v>381526</v>
      </c>
      <c r="C346" s="0" t="n">
        <v>18028</v>
      </c>
      <c r="D346" s="0" t="n">
        <v>312777</v>
      </c>
      <c r="E346" s="0" t="s">
        <v>1187</v>
      </c>
      <c r="F346" s="0" t="n">
        <v>35629</v>
      </c>
      <c r="G346" s="0" t="s">
        <v>3543</v>
      </c>
      <c r="H346" s="0" t="s">
        <v>3544</v>
      </c>
      <c r="I346" s="0" t="s">
        <v>3545</v>
      </c>
      <c r="J346" s="0" t="s">
        <v>3546</v>
      </c>
      <c r="K346" s="0" t="s">
        <v>3547</v>
      </c>
      <c r="L346" s="0" t="n">
        <v>261805</v>
      </c>
      <c r="M346" s="0" t="s">
        <v>3548</v>
      </c>
      <c r="N346" s="0" t="n">
        <v>235366</v>
      </c>
      <c r="O346" s="9" t="n">
        <v>831</v>
      </c>
      <c r="P346" s="0" t="s">
        <v>337</v>
      </c>
      <c r="Q346" s="0" t="s">
        <v>3549</v>
      </c>
      <c r="R346" s="0" t="s">
        <v>3550</v>
      </c>
      <c r="S346" s="0" t="s">
        <v>3551</v>
      </c>
      <c r="T346" s="0" t="s">
        <v>3552</v>
      </c>
      <c r="U346" s="9" t="n">
        <v>233</v>
      </c>
      <c r="V346" s="0" t="n">
        <v>0</v>
      </c>
      <c r="W346" s="0" t="n">
        <v>20230930</v>
      </c>
      <c r="X346" s="0" t="n">
        <v>0.57647828889173</v>
      </c>
      <c r="Y346" s="0" t="s">
        <v>1604</v>
      </c>
      <c r="Z346" s="0" t="s">
        <v>158</v>
      </c>
    </row>
    <row r="347" customFormat="false" ht="15" hidden="false" customHeight="false" outlineLevel="0" collapsed="false">
      <c r="A347" s="0" t="n">
        <v>344</v>
      </c>
      <c r="B347" s="9" t="n">
        <v>734470</v>
      </c>
      <c r="C347" s="0" t="n">
        <v>18030</v>
      </c>
      <c r="D347" s="0" t="n">
        <v>660381</v>
      </c>
      <c r="E347" s="0" t="s">
        <v>1436</v>
      </c>
      <c r="F347" s="0" t="n">
        <v>43119</v>
      </c>
      <c r="G347" s="0" t="s">
        <v>3553</v>
      </c>
      <c r="H347" s="0" t="s">
        <v>3554</v>
      </c>
      <c r="I347" s="0" t="s">
        <v>3555</v>
      </c>
      <c r="J347" s="0" t="s">
        <v>3556</v>
      </c>
      <c r="K347" s="0" t="s">
        <v>3557</v>
      </c>
      <c r="L347" s="0" t="n">
        <v>591923</v>
      </c>
      <c r="M347" s="0" t="s">
        <v>3558</v>
      </c>
      <c r="N347" s="0" t="n">
        <v>453550</v>
      </c>
      <c r="O347" s="9" t="n">
        <v>457</v>
      </c>
      <c r="P347" s="0" t="s">
        <v>349</v>
      </c>
      <c r="Q347" s="0" t="s">
        <v>3559</v>
      </c>
      <c r="R347" s="0" t="s">
        <v>3560</v>
      </c>
      <c r="S347" s="0" t="s">
        <v>1079</v>
      </c>
      <c r="T347" s="0" t="s">
        <v>3561</v>
      </c>
      <c r="U347" s="9" t="n">
        <v>134</v>
      </c>
      <c r="V347" s="0" t="n">
        <v>12.6144232067429</v>
      </c>
      <c r="W347" s="0" t="n">
        <v>20230930</v>
      </c>
      <c r="X347" s="0" t="n">
        <v>0.565402270213584</v>
      </c>
      <c r="Y347" s="0" t="s">
        <v>3562</v>
      </c>
      <c r="Z347" s="0" t="s">
        <v>158</v>
      </c>
    </row>
    <row r="348" customFormat="false" ht="15" hidden="false" customHeight="false" outlineLevel="0" collapsed="false">
      <c r="A348" s="0" t="n">
        <v>345</v>
      </c>
      <c r="B348" s="9" t="n">
        <v>671966</v>
      </c>
      <c r="C348" s="0" t="n">
        <v>18031</v>
      </c>
      <c r="D348" s="0" t="n">
        <v>568415</v>
      </c>
      <c r="E348" s="0" t="s">
        <v>794</v>
      </c>
      <c r="F348" s="0" t="n">
        <v>31180</v>
      </c>
      <c r="G348" s="0" t="s">
        <v>3563</v>
      </c>
      <c r="H348" s="0" t="s">
        <v>3564</v>
      </c>
      <c r="I348" s="0" t="s">
        <v>3565</v>
      </c>
      <c r="J348" s="0" t="s">
        <v>3566</v>
      </c>
      <c r="K348" s="0" t="s">
        <v>3567</v>
      </c>
      <c r="L348" s="0" t="n">
        <v>480849</v>
      </c>
      <c r="M348" s="0" t="s">
        <v>3568</v>
      </c>
      <c r="N348" s="0" t="n">
        <v>434791</v>
      </c>
      <c r="O348" s="9" t="n">
        <v>790</v>
      </c>
      <c r="P348" s="0" t="s">
        <v>361</v>
      </c>
      <c r="Q348" s="0" t="s">
        <v>3569</v>
      </c>
      <c r="R348" s="0" t="s">
        <v>3570</v>
      </c>
      <c r="S348" s="0" t="s">
        <v>108</v>
      </c>
      <c r="T348" s="0" t="s">
        <v>3571</v>
      </c>
      <c r="U348" s="9" t="n">
        <v>0</v>
      </c>
      <c r="V348" s="0" t="n">
        <v>16.1364216823375</v>
      </c>
      <c r="W348" s="0" t="n">
        <v>20230930</v>
      </c>
      <c r="X348" s="0" t="n">
        <v>0.288423659649569</v>
      </c>
      <c r="Y348" s="0" t="s">
        <v>3572</v>
      </c>
      <c r="Z348" s="0" t="s">
        <v>158</v>
      </c>
    </row>
    <row r="349" customFormat="false" ht="15" hidden="false" customHeight="false" outlineLevel="0" collapsed="false">
      <c r="A349" s="0" t="n">
        <v>346</v>
      </c>
      <c r="B349" s="9" t="n">
        <v>555533</v>
      </c>
      <c r="C349" s="0" t="n">
        <v>18038</v>
      </c>
      <c r="D349" s="0" t="n">
        <v>444746</v>
      </c>
      <c r="E349" s="0" t="s">
        <v>271</v>
      </c>
      <c r="F349" s="0" t="n">
        <v>62652</v>
      </c>
      <c r="G349" s="0" t="s">
        <v>3573</v>
      </c>
      <c r="H349" s="0" t="s">
        <v>3574</v>
      </c>
      <c r="I349" s="0" t="s">
        <v>3575</v>
      </c>
      <c r="J349" s="0" t="s">
        <v>3576</v>
      </c>
      <c r="K349" s="0" t="s">
        <v>3577</v>
      </c>
      <c r="L349" s="0" t="n">
        <v>415810</v>
      </c>
      <c r="M349" s="0" t="s">
        <v>3578</v>
      </c>
      <c r="N349" s="0" t="n">
        <v>395105</v>
      </c>
      <c r="O349" s="9" t="n">
        <v>2136</v>
      </c>
      <c r="P349" s="0" t="s">
        <v>372</v>
      </c>
      <c r="Q349" s="0" t="s">
        <v>3579</v>
      </c>
      <c r="R349" s="0" t="s">
        <v>3580</v>
      </c>
      <c r="S349" s="0" t="s">
        <v>3581</v>
      </c>
      <c r="T349" s="0" t="s">
        <v>3582</v>
      </c>
      <c r="U349" s="9" t="n">
        <v>10</v>
      </c>
      <c r="V349" s="0" t="n">
        <v>0</v>
      </c>
      <c r="W349" s="0" t="n">
        <v>20230930</v>
      </c>
      <c r="X349" s="0" t="n">
        <v>-0.0175817767653759</v>
      </c>
      <c r="Y349" s="0" t="s">
        <v>968</v>
      </c>
      <c r="Z349" s="0" t="s">
        <v>158</v>
      </c>
    </row>
    <row r="350" customFormat="false" ht="15" hidden="false" customHeight="false" outlineLevel="0" collapsed="false">
      <c r="A350" s="0" t="n">
        <v>347</v>
      </c>
      <c r="B350" s="9" t="n">
        <v>7253561</v>
      </c>
      <c r="C350" s="0" t="n">
        <v>18408</v>
      </c>
      <c r="D350" s="0" t="n">
        <v>5526161</v>
      </c>
      <c r="E350" s="0" t="s">
        <v>233</v>
      </c>
      <c r="F350" s="0" t="n">
        <v>339914</v>
      </c>
      <c r="G350" s="0" t="s">
        <v>3583</v>
      </c>
      <c r="H350" s="0" t="s">
        <v>3584</v>
      </c>
      <c r="I350" s="0" t="s">
        <v>3585</v>
      </c>
      <c r="J350" s="0" t="s">
        <v>3586</v>
      </c>
      <c r="K350" s="0" t="s">
        <v>3587</v>
      </c>
      <c r="L350" s="0" t="n">
        <v>4807986</v>
      </c>
      <c r="M350" s="0" t="s">
        <v>3588</v>
      </c>
      <c r="N350" s="0" t="n">
        <v>4382847</v>
      </c>
      <c r="O350" s="9" t="n">
        <v>3957</v>
      </c>
      <c r="P350" s="0" t="s">
        <v>384</v>
      </c>
      <c r="Q350" s="0" t="s">
        <v>3589</v>
      </c>
      <c r="R350" s="0" t="s">
        <v>3590</v>
      </c>
      <c r="S350" s="0" t="s">
        <v>3591</v>
      </c>
      <c r="T350" s="0" t="s">
        <v>3592</v>
      </c>
      <c r="U350" s="9" t="n">
        <v>0</v>
      </c>
      <c r="V350" s="0" t="n">
        <v>11.6647820410089</v>
      </c>
      <c r="W350" s="0" t="n">
        <v>20230930</v>
      </c>
      <c r="X350" s="0" t="n">
        <v>0.192762984622171</v>
      </c>
      <c r="Y350" s="0" t="s">
        <v>3593</v>
      </c>
      <c r="Z350" s="0" t="s">
        <v>60</v>
      </c>
    </row>
    <row r="351" customFormat="false" ht="15" hidden="false" customHeight="false" outlineLevel="0" collapsed="false">
      <c r="A351" s="0" t="n">
        <v>348</v>
      </c>
      <c r="B351" s="9" t="n">
        <v>2461701</v>
      </c>
      <c r="C351" s="0" t="n">
        <v>19531</v>
      </c>
      <c r="D351" s="0" t="n">
        <v>2036756</v>
      </c>
      <c r="E351" s="0" t="s">
        <v>61</v>
      </c>
      <c r="F351" s="0" t="n">
        <v>225877</v>
      </c>
      <c r="G351" s="0" t="s">
        <v>3594</v>
      </c>
      <c r="H351" s="0" t="s">
        <v>3595</v>
      </c>
      <c r="I351" s="0" t="s">
        <v>3596</v>
      </c>
      <c r="J351" s="0" t="s">
        <v>3597</v>
      </c>
      <c r="K351" s="0" t="s">
        <v>3598</v>
      </c>
      <c r="L351" s="0" t="n">
        <v>1986315</v>
      </c>
      <c r="M351" s="0" t="s">
        <v>3599</v>
      </c>
      <c r="N351" s="0" t="n">
        <v>1627608</v>
      </c>
      <c r="O351" s="9" t="n">
        <v>9780</v>
      </c>
      <c r="P351" s="0" t="s">
        <v>397</v>
      </c>
      <c r="Q351" s="0" t="s">
        <v>3600</v>
      </c>
      <c r="R351" s="0" t="s">
        <v>3601</v>
      </c>
      <c r="S351" s="0" t="s">
        <v>1045</v>
      </c>
      <c r="T351" s="0" t="s">
        <v>3602</v>
      </c>
      <c r="U351" s="9" t="n">
        <v>0</v>
      </c>
      <c r="V351" s="0" t="n">
        <v>14.2913702341625</v>
      </c>
      <c r="W351" s="0" t="n">
        <v>20230930</v>
      </c>
      <c r="X351" s="0" t="n">
        <v>0.447969025430731</v>
      </c>
      <c r="Y351" s="0" t="s">
        <v>3603</v>
      </c>
      <c r="Z351" s="0" t="s">
        <v>60</v>
      </c>
    </row>
    <row r="352" customFormat="false" ht="15" hidden="false" customHeight="false" outlineLevel="0" collapsed="false">
      <c r="A352" s="0" t="n">
        <v>349</v>
      </c>
      <c r="B352" s="9" t="n">
        <v>816575</v>
      </c>
      <c r="C352" s="0" t="n">
        <v>19532</v>
      </c>
      <c r="D352" s="0" t="n">
        <v>712795</v>
      </c>
      <c r="E352" s="0" t="s">
        <v>390</v>
      </c>
      <c r="F352" s="0" t="n">
        <v>89758</v>
      </c>
      <c r="G352" s="0" t="s">
        <v>3604</v>
      </c>
      <c r="H352" s="0" t="s">
        <v>3605</v>
      </c>
      <c r="I352" s="0" t="s">
        <v>3606</v>
      </c>
      <c r="J352" s="0" t="s">
        <v>3607</v>
      </c>
      <c r="K352" s="0" t="s">
        <v>3608</v>
      </c>
      <c r="L352" s="0" t="n">
        <v>583009</v>
      </c>
      <c r="M352" s="0" t="s">
        <v>3609</v>
      </c>
      <c r="N352" s="0" t="n">
        <v>480800</v>
      </c>
      <c r="O352" s="9" t="n">
        <v>1137</v>
      </c>
      <c r="P352" s="0" t="s">
        <v>409</v>
      </c>
      <c r="Q352" s="0" t="s">
        <v>3610</v>
      </c>
      <c r="R352" s="0" t="s">
        <v>3611</v>
      </c>
      <c r="S352" s="0" t="s">
        <v>3612</v>
      </c>
      <c r="T352" s="0" t="s">
        <v>3613</v>
      </c>
      <c r="U352" s="9" t="n">
        <v>0</v>
      </c>
      <c r="V352" s="0" t="n">
        <v>21.3660838090436</v>
      </c>
      <c r="W352" s="0" t="n">
        <v>20230930</v>
      </c>
      <c r="X352" s="0" t="n">
        <v>0.688130053765717</v>
      </c>
      <c r="Y352" s="0" t="s">
        <v>836</v>
      </c>
      <c r="Z352" s="0" t="s">
        <v>60</v>
      </c>
    </row>
    <row r="353" customFormat="false" ht="15" hidden="false" customHeight="false" outlineLevel="0" collapsed="false">
      <c r="A353" s="0" t="n">
        <v>350</v>
      </c>
      <c r="B353" s="9" t="n">
        <v>2876461</v>
      </c>
      <c r="C353" s="0" t="n">
        <v>19690</v>
      </c>
      <c r="D353" s="0" t="n">
        <v>1996495</v>
      </c>
      <c r="E353" s="0" t="s">
        <v>172</v>
      </c>
      <c r="F353" s="0" t="n">
        <v>311569</v>
      </c>
      <c r="G353" s="0" t="s">
        <v>3614</v>
      </c>
      <c r="H353" s="0" t="s">
        <v>3615</v>
      </c>
      <c r="I353" s="0" t="s">
        <v>3616</v>
      </c>
      <c r="J353" s="0" t="s">
        <v>3617</v>
      </c>
      <c r="K353" s="0" t="s">
        <v>3618</v>
      </c>
      <c r="L353" s="0" t="n">
        <v>2528210</v>
      </c>
      <c r="M353" s="0" t="s">
        <v>3619</v>
      </c>
      <c r="N353" s="0" t="n">
        <v>2043563</v>
      </c>
      <c r="O353" s="9" t="n">
        <v>17448</v>
      </c>
      <c r="P353" s="0" t="s">
        <v>420</v>
      </c>
      <c r="Q353" s="0" t="s">
        <v>3620</v>
      </c>
      <c r="R353" s="0" t="s">
        <v>3621</v>
      </c>
      <c r="S353" s="0" t="s">
        <v>3622</v>
      </c>
      <c r="T353" s="0" t="s">
        <v>3623</v>
      </c>
      <c r="U353" s="9" t="n">
        <v>0</v>
      </c>
      <c r="V353" s="0" t="n">
        <v>13.4609825320188</v>
      </c>
      <c r="W353" s="0" t="n">
        <v>20230930</v>
      </c>
      <c r="X353" s="0" t="n">
        <v>1.85718670922203</v>
      </c>
      <c r="Y353" s="0" t="s">
        <v>3304</v>
      </c>
      <c r="Z353" s="0" t="s">
        <v>60</v>
      </c>
    </row>
    <row r="354" customFormat="false" ht="15" hidden="false" customHeight="false" outlineLevel="0" collapsed="false">
      <c r="A354" s="0" t="n">
        <v>351</v>
      </c>
      <c r="B354" s="9" t="n">
        <v>636045</v>
      </c>
      <c r="C354" s="0" t="n">
        <v>19836</v>
      </c>
      <c r="D354" s="0" t="n">
        <v>487132</v>
      </c>
      <c r="E354" s="0" t="s">
        <v>390</v>
      </c>
      <c r="F354" s="0" t="n">
        <v>119013</v>
      </c>
      <c r="G354" s="0" t="s">
        <v>3624</v>
      </c>
      <c r="H354" s="0" t="s">
        <v>3625</v>
      </c>
      <c r="I354" s="0" t="s">
        <v>3626</v>
      </c>
      <c r="J354" s="0" t="s">
        <v>3627</v>
      </c>
      <c r="K354" s="0" t="s">
        <v>3628</v>
      </c>
      <c r="L354" s="0" t="n">
        <v>524765</v>
      </c>
      <c r="M354" s="0" t="s">
        <v>3629</v>
      </c>
      <c r="N354" s="0" t="n">
        <v>456725</v>
      </c>
      <c r="O354" s="9" t="n">
        <v>3230</v>
      </c>
      <c r="P354" s="0" t="s">
        <v>290</v>
      </c>
      <c r="Q354" s="0" t="s">
        <v>3630</v>
      </c>
      <c r="R354" s="0" t="s">
        <v>3631</v>
      </c>
      <c r="S354" s="0" t="s">
        <v>3632</v>
      </c>
      <c r="T354" s="0" t="s">
        <v>3633</v>
      </c>
      <c r="U354" s="9" t="n">
        <v>72</v>
      </c>
      <c r="V354" s="0" t="n">
        <v>26.4663895951883</v>
      </c>
      <c r="W354" s="0" t="n">
        <v>20230930</v>
      </c>
      <c r="X354" s="0" t="n">
        <v>0.906671171533532</v>
      </c>
      <c r="Y354" s="0" t="s">
        <v>3634</v>
      </c>
      <c r="Z354" s="0" t="s">
        <v>60</v>
      </c>
    </row>
    <row r="355" customFormat="false" ht="15" hidden="false" customHeight="false" outlineLevel="0" collapsed="false">
      <c r="A355" s="0" t="n">
        <v>352</v>
      </c>
      <c r="B355" s="9" t="n">
        <v>1388131</v>
      </c>
      <c r="C355" s="0" t="n">
        <v>24540</v>
      </c>
      <c r="D355" s="0" t="n">
        <v>1118585</v>
      </c>
      <c r="E355" s="0" t="s">
        <v>3635</v>
      </c>
      <c r="F355" s="0" t="n">
        <v>238721</v>
      </c>
      <c r="G355" s="0" t="s">
        <v>3636</v>
      </c>
      <c r="H355" s="0" t="s">
        <v>3637</v>
      </c>
      <c r="I355" s="0" t="s">
        <v>3638</v>
      </c>
      <c r="J355" s="0" t="s">
        <v>3639</v>
      </c>
      <c r="K355" s="0" t="s">
        <v>1069</v>
      </c>
      <c r="L355" s="0" t="n">
        <v>1197387</v>
      </c>
      <c r="M355" s="0" t="s">
        <v>3640</v>
      </c>
      <c r="N355" s="0" t="n">
        <v>1160736</v>
      </c>
      <c r="O355" s="9" t="n">
        <v>445</v>
      </c>
      <c r="P355" s="0" t="s">
        <v>443</v>
      </c>
      <c r="Q355" s="0" t="s">
        <v>3641</v>
      </c>
      <c r="R355" s="0" t="s">
        <v>3642</v>
      </c>
      <c r="S355" s="0" t="s">
        <v>61</v>
      </c>
      <c r="T355" s="0" t="s">
        <v>61</v>
      </c>
      <c r="U355" s="9" t="n">
        <v>0</v>
      </c>
      <c r="V355" s="0" t="n">
        <v>18.7852347950974</v>
      </c>
      <c r="W355" s="0" t="n">
        <v>20230930</v>
      </c>
      <c r="X355" s="0" t="n">
        <v>2.37998404579016</v>
      </c>
      <c r="Y355" s="0" t="s">
        <v>3643</v>
      </c>
      <c r="Z355" s="0" t="s">
        <v>158</v>
      </c>
    </row>
    <row r="356" customFormat="false" ht="15" hidden="false" customHeight="false" outlineLevel="0" collapsed="false">
      <c r="A356" s="0" t="n">
        <v>353</v>
      </c>
      <c r="B356" s="9" t="n">
        <v>525416</v>
      </c>
      <c r="C356" s="0" t="n">
        <v>27824</v>
      </c>
      <c r="D356" s="0" t="n">
        <v>391764</v>
      </c>
      <c r="E356" s="0" t="s">
        <v>794</v>
      </c>
      <c r="F356" s="0" t="n">
        <v>64487</v>
      </c>
      <c r="G356" s="0" t="s">
        <v>3644</v>
      </c>
      <c r="H356" s="0" t="s">
        <v>3645</v>
      </c>
      <c r="I356" s="0" t="s">
        <v>3646</v>
      </c>
      <c r="J356" s="0" t="s">
        <v>3647</v>
      </c>
      <c r="K356" s="0" t="s">
        <v>3648</v>
      </c>
      <c r="L356" s="0" t="n">
        <v>442476</v>
      </c>
      <c r="M356" s="0" t="s">
        <v>3649</v>
      </c>
      <c r="N356" s="0" t="n">
        <v>376428</v>
      </c>
      <c r="O356" s="9" t="n">
        <v>1101</v>
      </c>
      <c r="P356" s="0" t="s">
        <v>453</v>
      </c>
      <c r="Q356" s="0" t="s">
        <v>3650</v>
      </c>
      <c r="R356" s="0" t="s">
        <v>3651</v>
      </c>
      <c r="S356" s="0" t="s">
        <v>3652</v>
      </c>
      <c r="T356" s="0" t="s">
        <v>3467</v>
      </c>
      <c r="U356" s="9" t="n">
        <v>0</v>
      </c>
      <c r="V356" s="0" t="n">
        <v>21.0095810176617</v>
      </c>
      <c r="W356" s="0" t="n">
        <v>20230930</v>
      </c>
      <c r="X356" s="0" t="n">
        <v>-0.199629507682116</v>
      </c>
      <c r="Y356" s="0" t="s">
        <v>3653</v>
      </c>
      <c r="Z356" s="0" t="s">
        <v>158</v>
      </c>
    </row>
    <row r="357" customFormat="false" ht="15" hidden="false" customHeight="false" outlineLevel="0" collapsed="false">
      <c r="A357" s="0" t="n">
        <v>354</v>
      </c>
      <c r="B357" s="9" t="n">
        <v>298875</v>
      </c>
      <c r="C357" s="0" t="n">
        <v>28155</v>
      </c>
      <c r="D357" s="0" t="n">
        <v>265401</v>
      </c>
      <c r="E357" s="0" t="s">
        <v>1281</v>
      </c>
      <c r="F357" s="0" t="n">
        <v>27404</v>
      </c>
      <c r="G357" s="0" t="s">
        <v>3654</v>
      </c>
      <c r="H357" s="0" t="s">
        <v>3655</v>
      </c>
      <c r="I357" s="0" t="s">
        <v>3656</v>
      </c>
      <c r="J357" s="0" t="s">
        <v>3657</v>
      </c>
      <c r="K357" s="0" t="s">
        <v>3658</v>
      </c>
      <c r="L357" s="0" t="n">
        <v>164361</v>
      </c>
      <c r="M357" s="0" t="s">
        <v>3659</v>
      </c>
      <c r="N357" s="0" t="n">
        <v>146698</v>
      </c>
      <c r="O357" s="9" t="n">
        <v>23</v>
      </c>
      <c r="P357" s="0" t="s">
        <v>464</v>
      </c>
      <c r="Q357" s="0" t="s">
        <v>3660</v>
      </c>
      <c r="R357" s="0" t="s">
        <v>3661</v>
      </c>
      <c r="S357" s="0" t="s">
        <v>1018</v>
      </c>
      <c r="T357" s="0" t="s">
        <v>3662</v>
      </c>
      <c r="U357" s="9" t="n">
        <v>0</v>
      </c>
      <c r="V357" s="0" t="n">
        <v>18.1839172272631</v>
      </c>
      <c r="W357" s="0" t="n">
        <v>20230930</v>
      </c>
      <c r="X357" s="0" t="n">
        <v>0.0370623139686274</v>
      </c>
      <c r="Y357" s="0" t="s">
        <v>3663</v>
      </c>
      <c r="Z357" s="0" t="s">
        <v>158</v>
      </c>
    </row>
    <row r="358" customFormat="false" ht="15" hidden="false" customHeight="false" outlineLevel="0" collapsed="false">
      <c r="A358" s="0" t="n">
        <v>355</v>
      </c>
      <c r="B358" s="9" t="n">
        <v>101273</v>
      </c>
      <c r="C358" s="0" t="n">
        <v>28288</v>
      </c>
      <c r="D358" s="0" t="n">
        <v>77424</v>
      </c>
      <c r="E358" s="0" t="s">
        <v>61</v>
      </c>
      <c r="F358" s="0" t="n">
        <v>5334</v>
      </c>
      <c r="G358" s="0" t="s">
        <v>3664</v>
      </c>
      <c r="H358" s="0" t="s">
        <v>3665</v>
      </c>
      <c r="I358" s="0" t="s">
        <v>3666</v>
      </c>
      <c r="J358" s="0" t="s">
        <v>3667</v>
      </c>
      <c r="K358" s="0" t="s">
        <v>3668</v>
      </c>
      <c r="L358" s="0" t="n">
        <v>81191</v>
      </c>
      <c r="M358" s="0" t="s">
        <v>3669</v>
      </c>
      <c r="N358" s="0" t="n">
        <v>76188</v>
      </c>
      <c r="O358" s="9" t="n">
        <v>264</v>
      </c>
      <c r="P358" s="0" t="s">
        <v>475</v>
      </c>
      <c r="Q358" s="0" t="s">
        <v>3670</v>
      </c>
      <c r="R358" s="0" t="s">
        <v>3671</v>
      </c>
      <c r="S358" s="0" t="s">
        <v>2173</v>
      </c>
      <c r="T358" s="0" t="s">
        <v>2362</v>
      </c>
      <c r="U358" s="9" t="n">
        <v>0</v>
      </c>
      <c r="V358" s="0" t="n">
        <v>13.2681105302465</v>
      </c>
      <c r="W358" s="0" t="n">
        <v>20230930</v>
      </c>
      <c r="X358" s="0" t="n">
        <v>-0.0352437385730335</v>
      </c>
      <c r="Y358" s="0" t="s">
        <v>3672</v>
      </c>
      <c r="Z358" s="0" t="s">
        <v>60</v>
      </c>
    </row>
    <row r="359" customFormat="false" ht="15" hidden="false" customHeight="false" outlineLevel="0" collapsed="false">
      <c r="A359" s="0" t="n">
        <v>356</v>
      </c>
      <c r="B359" s="9" t="n">
        <v>89908</v>
      </c>
      <c r="C359" s="0" t="n">
        <v>28369</v>
      </c>
      <c r="D359" s="0" t="n">
        <v>79937</v>
      </c>
      <c r="E359" s="0" t="s">
        <v>271</v>
      </c>
      <c r="F359" s="0" t="n">
        <v>9426</v>
      </c>
      <c r="G359" s="0" t="s">
        <v>3673</v>
      </c>
      <c r="H359" s="0" t="s">
        <v>3674</v>
      </c>
      <c r="I359" s="0" t="s">
        <v>3675</v>
      </c>
      <c r="J359" s="0" t="s">
        <v>3676</v>
      </c>
      <c r="K359" s="0" t="s">
        <v>3677</v>
      </c>
      <c r="L359" s="0" t="n">
        <v>77845</v>
      </c>
      <c r="M359" s="0" t="s">
        <v>3678</v>
      </c>
      <c r="N359" s="0" t="n">
        <v>65337</v>
      </c>
      <c r="O359" s="9" t="n">
        <v>225</v>
      </c>
      <c r="P359" s="0" t="s">
        <v>486</v>
      </c>
      <c r="Q359" s="0" t="s">
        <v>3679</v>
      </c>
      <c r="R359" s="0" t="s">
        <v>3680</v>
      </c>
      <c r="S359" s="0" t="s">
        <v>352</v>
      </c>
      <c r="T359" s="0" t="s">
        <v>3681</v>
      </c>
      <c r="U359" s="9" t="n">
        <v>0</v>
      </c>
      <c r="V359" s="0" t="n">
        <v>0</v>
      </c>
      <c r="W359" s="0" t="n">
        <v>20230930</v>
      </c>
      <c r="X359" s="0" t="n">
        <v>-0.142809757264821</v>
      </c>
      <c r="Y359" s="0" t="s">
        <v>3682</v>
      </c>
      <c r="Z359" s="0" t="s">
        <v>60</v>
      </c>
    </row>
    <row r="360" customFormat="false" ht="15" hidden="false" customHeight="false" outlineLevel="0" collapsed="false">
      <c r="A360" s="0" t="n">
        <v>357</v>
      </c>
      <c r="B360" s="9" t="n">
        <v>282885</v>
      </c>
      <c r="C360" s="0" t="n">
        <v>28837</v>
      </c>
      <c r="D360" s="0" t="n">
        <v>253635</v>
      </c>
      <c r="E360" s="0" t="s">
        <v>208</v>
      </c>
      <c r="F360" s="0" t="n">
        <v>25486</v>
      </c>
      <c r="G360" s="0" t="s">
        <v>3683</v>
      </c>
      <c r="H360" s="0" t="s">
        <v>3684</v>
      </c>
      <c r="I360" s="0" t="s">
        <v>3685</v>
      </c>
      <c r="J360" s="0" t="s">
        <v>3686</v>
      </c>
      <c r="K360" s="0" t="s">
        <v>3687</v>
      </c>
      <c r="L360" s="0" t="n">
        <v>194257</v>
      </c>
      <c r="M360" s="0" t="s">
        <v>3688</v>
      </c>
      <c r="N360" s="0" t="n">
        <v>185306</v>
      </c>
      <c r="O360" s="9" t="n">
        <v>52</v>
      </c>
      <c r="P360" s="0" t="s">
        <v>497</v>
      </c>
      <c r="Q360" s="0" t="s">
        <v>3689</v>
      </c>
      <c r="R360" s="0" t="s">
        <v>3690</v>
      </c>
      <c r="S360" s="0" t="s">
        <v>2600</v>
      </c>
      <c r="T360" s="0" t="s">
        <v>3375</v>
      </c>
      <c r="U360" s="9" t="n">
        <v>0</v>
      </c>
      <c r="V360" s="0" t="n">
        <v>16.4920250160645</v>
      </c>
      <c r="W360" s="0" t="n">
        <v>20230930</v>
      </c>
      <c r="X360" s="0" t="n">
        <v>0.916700071704755</v>
      </c>
      <c r="Y360" s="0" t="s">
        <v>3691</v>
      </c>
      <c r="Z360" s="0" t="s">
        <v>98</v>
      </c>
    </row>
    <row r="361" customFormat="false" ht="15" hidden="false" customHeight="false" outlineLevel="0" collapsed="false">
      <c r="A361" s="0" t="n">
        <v>358</v>
      </c>
      <c r="B361" s="9" t="n">
        <v>180600</v>
      </c>
      <c r="C361" s="0" t="n">
        <v>29636</v>
      </c>
      <c r="D361" s="0" t="n">
        <v>148201</v>
      </c>
      <c r="E361" s="0" t="s">
        <v>246</v>
      </c>
      <c r="F361" s="0" t="n">
        <v>24993</v>
      </c>
      <c r="G361" s="0" t="s">
        <v>3692</v>
      </c>
      <c r="H361" s="0" t="s">
        <v>3693</v>
      </c>
      <c r="I361" s="0" t="s">
        <v>3694</v>
      </c>
      <c r="J361" s="0" t="s">
        <v>3695</v>
      </c>
      <c r="K361" s="0" t="s">
        <v>3696</v>
      </c>
      <c r="L361" s="0" t="n">
        <v>132430</v>
      </c>
      <c r="M361" s="0" t="s">
        <v>3697</v>
      </c>
      <c r="N361" s="0" t="n">
        <v>129022</v>
      </c>
      <c r="O361" s="9" t="n">
        <v>1460</v>
      </c>
      <c r="P361" s="0" t="s">
        <v>509</v>
      </c>
      <c r="Q361" s="0" t="s">
        <v>3698</v>
      </c>
      <c r="R361" s="0" t="s">
        <v>3699</v>
      </c>
      <c r="S361" s="0" t="s">
        <v>230</v>
      </c>
      <c r="T361" s="0" t="s">
        <v>3700</v>
      </c>
      <c r="U361" s="9" t="n">
        <v>0</v>
      </c>
      <c r="V361" s="0" t="n">
        <v>26.9099099993054</v>
      </c>
      <c r="W361" s="0" t="n">
        <v>20230930</v>
      </c>
      <c r="X361" s="0" t="n">
        <v>0.435888648144593</v>
      </c>
      <c r="Y361" s="0" t="s">
        <v>3701</v>
      </c>
      <c r="Z361" s="0" t="s">
        <v>60</v>
      </c>
    </row>
    <row r="362" customFormat="false" ht="15" hidden="false" customHeight="false" outlineLevel="0" collapsed="false">
      <c r="A362" s="0" t="n">
        <v>359</v>
      </c>
      <c r="B362" s="9" t="n">
        <v>181231</v>
      </c>
      <c r="C362" s="0" t="n">
        <v>29743</v>
      </c>
      <c r="D362" s="0" t="n">
        <v>161163</v>
      </c>
      <c r="E362" s="0" t="s">
        <v>794</v>
      </c>
      <c r="F362" s="0" t="n">
        <v>15641</v>
      </c>
      <c r="G362" s="0" t="s">
        <v>3702</v>
      </c>
      <c r="H362" s="0" t="s">
        <v>3703</v>
      </c>
      <c r="I362" s="0" t="s">
        <v>3704</v>
      </c>
      <c r="J362" s="0" t="s">
        <v>3705</v>
      </c>
      <c r="K362" s="0" t="s">
        <v>3706</v>
      </c>
      <c r="L362" s="0" t="n">
        <v>132637</v>
      </c>
      <c r="M362" s="0" t="s">
        <v>3707</v>
      </c>
      <c r="N362" s="0" t="n">
        <v>83811</v>
      </c>
      <c r="O362" s="9" t="n">
        <v>267</v>
      </c>
      <c r="P362" s="0" t="s">
        <v>520</v>
      </c>
      <c r="Q362" s="0" t="s">
        <v>3708</v>
      </c>
      <c r="R362" s="0" t="s">
        <v>3709</v>
      </c>
      <c r="S362" s="0" t="s">
        <v>120</v>
      </c>
      <c r="T362" s="0" t="s">
        <v>3710</v>
      </c>
      <c r="U362" s="9" t="n">
        <v>0</v>
      </c>
      <c r="V362" s="0" t="n">
        <v>17.9771689497717</v>
      </c>
      <c r="W362" s="0" t="n">
        <v>20230930</v>
      </c>
      <c r="X362" s="0" t="n">
        <v>0.609728796923956</v>
      </c>
      <c r="Y362" s="0" t="s">
        <v>3711</v>
      </c>
      <c r="Z362" s="0" t="s">
        <v>60</v>
      </c>
    </row>
    <row r="363" customFormat="false" ht="15" hidden="false" customHeight="false" outlineLevel="0" collapsed="false">
      <c r="A363" s="0" t="n">
        <v>360</v>
      </c>
      <c r="B363" s="9" t="n">
        <v>556748</v>
      </c>
      <c r="C363" s="0" t="n">
        <v>29744</v>
      </c>
      <c r="D363" s="0" t="n">
        <v>435499</v>
      </c>
      <c r="E363" s="0" t="s">
        <v>390</v>
      </c>
      <c r="F363" s="0" t="n">
        <v>47207</v>
      </c>
      <c r="G363" s="0" t="s">
        <v>3712</v>
      </c>
      <c r="H363" s="0" t="s">
        <v>3713</v>
      </c>
      <c r="I363" s="0" t="s">
        <v>3714</v>
      </c>
      <c r="J363" s="0" t="s">
        <v>3715</v>
      </c>
      <c r="K363" s="0" t="s">
        <v>3716</v>
      </c>
      <c r="L363" s="0" t="n">
        <v>427991</v>
      </c>
      <c r="M363" s="0" t="s">
        <v>3717</v>
      </c>
      <c r="N363" s="0" t="n">
        <v>393303</v>
      </c>
      <c r="O363" s="9" t="n">
        <v>0</v>
      </c>
      <c r="P363" s="0" t="s">
        <v>531</v>
      </c>
      <c r="Q363" s="0" t="s">
        <v>61</v>
      </c>
      <c r="R363" s="0" t="s">
        <v>3718</v>
      </c>
      <c r="S363" s="0" t="s">
        <v>205</v>
      </c>
      <c r="T363" s="0" t="s">
        <v>61</v>
      </c>
      <c r="U363" s="9" t="n">
        <v>0</v>
      </c>
      <c r="V363" s="0" t="n">
        <v>17.9248565206076</v>
      </c>
      <c r="W363" s="0" t="n">
        <v>20230930</v>
      </c>
      <c r="X363" s="0" t="n">
        <v>-0.23978915883559</v>
      </c>
      <c r="Y363" s="0" t="s">
        <v>3719</v>
      </c>
      <c r="Z363" s="0" t="s">
        <v>158</v>
      </c>
    </row>
    <row r="364" customFormat="false" ht="15" hidden="false" customHeight="false" outlineLevel="0" collapsed="false">
      <c r="A364" s="0" t="n">
        <v>361</v>
      </c>
      <c r="B364" s="9" t="n">
        <v>558317</v>
      </c>
      <c r="C364" s="0" t="n">
        <v>30350</v>
      </c>
      <c r="D364" s="0" t="n">
        <v>447436</v>
      </c>
      <c r="E364" s="0" t="s">
        <v>61</v>
      </c>
      <c r="F364" s="0" t="n">
        <v>53432</v>
      </c>
      <c r="G364" s="0" t="s">
        <v>3720</v>
      </c>
      <c r="H364" s="0" t="s">
        <v>3721</v>
      </c>
      <c r="I364" s="0" t="s">
        <v>3722</v>
      </c>
      <c r="J364" s="0" t="s">
        <v>3723</v>
      </c>
      <c r="K364" s="0" t="s">
        <v>3724</v>
      </c>
      <c r="L364" s="0" t="n">
        <v>405415</v>
      </c>
      <c r="M364" s="0" t="s">
        <v>3725</v>
      </c>
      <c r="N364" s="0" t="n">
        <v>383676</v>
      </c>
      <c r="O364" s="9" t="n">
        <v>1501</v>
      </c>
      <c r="P364" s="0" t="s">
        <v>543</v>
      </c>
      <c r="Q364" s="0" t="s">
        <v>3726</v>
      </c>
      <c r="R364" s="0" t="s">
        <v>3727</v>
      </c>
      <c r="S364" s="0" t="s">
        <v>327</v>
      </c>
      <c r="T364" s="0" t="s">
        <v>3728</v>
      </c>
      <c r="U364" s="9" t="n">
        <v>0</v>
      </c>
      <c r="V364" s="0" t="n">
        <v>20.0620932556609</v>
      </c>
      <c r="W364" s="0" t="n">
        <v>20230930</v>
      </c>
      <c r="X364" s="0" t="n">
        <v>0.68917419304188</v>
      </c>
      <c r="Y364" s="0" t="s">
        <v>3729</v>
      </c>
      <c r="Z364" s="0" t="s">
        <v>98</v>
      </c>
    </row>
    <row r="365" customFormat="false" ht="15" hidden="false" customHeight="false" outlineLevel="0" collapsed="false">
      <c r="A365" s="0" t="n">
        <v>362</v>
      </c>
      <c r="B365" s="9" t="n">
        <v>103998</v>
      </c>
      <c r="C365" s="0" t="n">
        <v>30878</v>
      </c>
      <c r="D365" s="0" t="n">
        <v>73816</v>
      </c>
      <c r="E365" s="0" t="s">
        <v>233</v>
      </c>
      <c r="F365" s="0" t="n">
        <v>12376</v>
      </c>
      <c r="G365" s="0" t="s">
        <v>3730</v>
      </c>
      <c r="H365" s="0" t="s">
        <v>3731</v>
      </c>
      <c r="I365" s="0" t="s">
        <v>3732</v>
      </c>
      <c r="J365" s="0" t="s">
        <v>61</v>
      </c>
      <c r="K365" s="0" t="s">
        <v>751</v>
      </c>
      <c r="L365" s="0" t="n">
        <v>86316</v>
      </c>
      <c r="M365" s="0" t="s">
        <v>3733</v>
      </c>
      <c r="N365" s="0" t="n">
        <v>86120</v>
      </c>
      <c r="O365" s="9" t="n">
        <v>700</v>
      </c>
      <c r="P365" s="0" t="s">
        <v>553</v>
      </c>
      <c r="Q365" s="0" t="s">
        <v>3734</v>
      </c>
      <c r="R365" s="0" t="s">
        <v>3735</v>
      </c>
      <c r="S365" s="0" t="s">
        <v>61</v>
      </c>
      <c r="T365" s="0" t="s">
        <v>3736</v>
      </c>
      <c r="U365" s="9" t="n">
        <v>0</v>
      </c>
      <c r="V365" s="0" t="n">
        <v>0</v>
      </c>
      <c r="W365" s="0" t="n">
        <v>20230930</v>
      </c>
      <c r="X365" s="0" t="n">
        <v>-0.189389204545455</v>
      </c>
      <c r="Y365" s="0" t="s">
        <v>3737</v>
      </c>
      <c r="Z365" s="0" t="s">
        <v>60</v>
      </c>
    </row>
    <row r="366" customFormat="false" ht="15" hidden="false" customHeight="false" outlineLevel="0" collapsed="false">
      <c r="A366" s="0" t="n">
        <v>363</v>
      </c>
      <c r="B366" s="9" t="n">
        <v>798886</v>
      </c>
      <c r="C366" s="0" t="n">
        <v>33418</v>
      </c>
      <c r="D366" s="0" t="n">
        <v>597610</v>
      </c>
      <c r="E366" s="0" t="s">
        <v>794</v>
      </c>
      <c r="F366" s="0" t="n">
        <v>66192</v>
      </c>
      <c r="G366" s="0" t="s">
        <v>3738</v>
      </c>
      <c r="H366" s="0" t="s">
        <v>3739</v>
      </c>
      <c r="I366" s="0" t="s">
        <v>3740</v>
      </c>
      <c r="J366" s="0" t="s">
        <v>3741</v>
      </c>
      <c r="K366" s="0" t="s">
        <v>3742</v>
      </c>
      <c r="L366" s="0" t="n">
        <v>384973</v>
      </c>
      <c r="M366" s="0" t="s">
        <v>3743</v>
      </c>
      <c r="N366" s="0" t="n">
        <v>329540</v>
      </c>
      <c r="O366" s="9" t="n">
        <v>1080</v>
      </c>
      <c r="P366" s="0" t="s">
        <v>564</v>
      </c>
      <c r="Q366" s="0" t="s">
        <v>3744</v>
      </c>
      <c r="R366" s="0" t="s">
        <v>3745</v>
      </c>
      <c r="S366" s="0" t="s">
        <v>3746</v>
      </c>
      <c r="T366" s="0" t="s">
        <v>3747</v>
      </c>
      <c r="U366" s="9" t="n">
        <v>0</v>
      </c>
      <c r="V366" s="0" t="n">
        <v>17.5388397485744</v>
      </c>
      <c r="W366" s="0" t="n">
        <v>20230930</v>
      </c>
      <c r="X366" s="0" t="n">
        <v>0.6651450346927</v>
      </c>
      <c r="Y366" s="0" t="s">
        <v>3748</v>
      </c>
      <c r="Z366" s="0" t="s">
        <v>98</v>
      </c>
    </row>
    <row r="367" customFormat="false" ht="15" hidden="false" customHeight="false" outlineLevel="0" collapsed="false">
      <c r="A367" s="0" t="n">
        <v>364</v>
      </c>
      <c r="B367" s="9" t="n">
        <v>71615</v>
      </c>
      <c r="C367" s="0" t="n">
        <v>35206</v>
      </c>
      <c r="D367" s="0" t="n">
        <v>500</v>
      </c>
      <c r="E367" s="0" t="s">
        <v>61</v>
      </c>
      <c r="F367" s="0" t="n">
        <v>69069</v>
      </c>
      <c r="G367" s="0" t="s">
        <v>3749</v>
      </c>
      <c r="H367" s="0" t="s">
        <v>3750</v>
      </c>
      <c r="I367" s="0" t="s">
        <v>61</v>
      </c>
      <c r="J367" s="0" t="s">
        <v>61</v>
      </c>
      <c r="K367" s="0" t="s">
        <v>61</v>
      </c>
      <c r="L367" s="0" t="n">
        <v>0</v>
      </c>
      <c r="M367" s="0" t="s">
        <v>61</v>
      </c>
      <c r="N367" s="0" t="n">
        <v>0</v>
      </c>
      <c r="O367" s="9" t="n">
        <v>0</v>
      </c>
      <c r="P367" s="0" t="s">
        <v>1112</v>
      </c>
      <c r="Q367" s="0" t="s">
        <v>61</v>
      </c>
      <c r="R367" s="0" t="s">
        <v>3751</v>
      </c>
      <c r="S367" s="0" t="s">
        <v>61</v>
      </c>
      <c r="T367" s="0" t="s">
        <v>61</v>
      </c>
      <c r="U367" s="9" t="n">
        <v>0</v>
      </c>
      <c r="V367" s="0" t="n">
        <v>0</v>
      </c>
      <c r="W367" s="0" t="n">
        <v>20230930</v>
      </c>
      <c r="X367" s="0" t="n">
        <v>16.5098035393691</v>
      </c>
      <c r="Y367" s="0" t="s">
        <v>3752</v>
      </c>
      <c r="Z367" s="0" t="s">
        <v>158</v>
      </c>
    </row>
    <row r="368" customFormat="false" ht="15" hidden="false" customHeight="false" outlineLevel="0" collapsed="false">
      <c r="A368" s="0" t="n">
        <v>365</v>
      </c>
      <c r="B368" s="9" t="n">
        <v>5769551</v>
      </c>
      <c r="C368" s="0" t="n">
        <v>4255</v>
      </c>
      <c r="D368" s="0" t="n">
        <v>4715626</v>
      </c>
      <c r="E368" s="0" t="s">
        <v>794</v>
      </c>
      <c r="F368" s="0" t="n">
        <v>473807</v>
      </c>
      <c r="G368" s="0" t="s">
        <v>3753</v>
      </c>
      <c r="H368" s="0" t="s">
        <v>3754</v>
      </c>
      <c r="I368" s="0" t="s">
        <v>3755</v>
      </c>
      <c r="J368" s="0" t="s">
        <v>3756</v>
      </c>
      <c r="K368" s="0" t="s">
        <v>3757</v>
      </c>
      <c r="L368" s="0" t="n">
        <v>4069600</v>
      </c>
      <c r="M368" s="0" t="s">
        <v>3758</v>
      </c>
      <c r="N368" s="0" t="n">
        <v>3692040</v>
      </c>
      <c r="O368" s="9" t="n">
        <v>4624</v>
      </c>
      <c r="P368" s="0" t="s">
        <v>575</v>
      </c>
      <c r="Q368" s="0" t="s">
        <v>3759</v>
      </c>
      <c r="R368" s="0" t="s">
        <v>3760</v>
      </c>
      <c r="S368" s="0" t="s">
        <v>109</v>
      </c>
      <c r="T368" s="0" t="s">
        <v>3761</v>
      </c>
      <c r="U368" s="9" t="n">
        <v>0</v>
      </c>
      <c r="V368" s="0" t="n">
        <v>13.4798604676514</v>
      </c>
      <c r="W368" s="0" t="n">
        <v>20230930</v>
      </c>
      <c r="X368" s="0" t="n">
        <v>0.858437912821391</v>
      </c>
      <c r="Y368" s="0" t="s">
        <v>3762</v>
      </c>
      <c r="Z368" s="0" t="s">
        <v>60</v>
      </c>
    </row>
    <row r="369" customFormat="false" ht="15" hidden="false" customHeight="false" outlineLevel="0" collapsed="false">
      <c r="A369" s="0" t="n">
        <v>366</v>
      </c>
      <c r="B369" s="9" t="n">
        <v>2908137</v>
      </c>
      <c r="C369" s="0" t="n">
        <v>4256</v>
      </c>
      <c r="D369" s="0" t="n">
        <v>2600576</v>
      </c>
      <c r="E369" s="0" t="s">
        <v>195</v>
      </c>
      <c r="F369" s="0" t="n">
        <v>198185</v>
      </c>
      <c r="G369" s="0" t="s">
        <v>3763</v>
      </c>
      <c r="H369" s="0" t="s">
        <v>3764</v>
      </c>
      <c r="I369" s="0" t="s">
        <v>3765</v>
      </c>
      <c r="J369" s="0" t="s">
        <v>3766</v>
      </c>
      <c r="K369" s="0" t="s">
        <v>3767</v>
      </c>
      <c r="L369" s="0" t="n">
        <v>2080128</v>
      </c>
      <c r="M369" s="0" t="s">
        <v>3768</v>
      </c>
      <c r="N369" s="0" t="n">
        <v>1651715</v>
      </c>
      <c r="O369" s="9" t="n">
        <v>2553</v>
      </c>
      <c r="P369" s="0" t="s">
        <v>587</v>
      </c>
      <c r="Q369" s="0" t="s">
        <v>3769</v>
      </c>
      <c r="R369" s="0" t="s">
        <v>3770</v>
      </c>
      <c r="S369" s="0" t="s">
        <v>315</v>
      </c>
      <c r="T369" s="0" t="s">
        <v>1085</v>
      </c>
      <c r="U369" s="9" t="n">
        <v>11</v>
      </c>
      <c r="V369" s="0" t="n">
        <v>13.7220466873877</v>
      </c>
      <c r="W369" s="0" t="n">
        <v>20230930</v>
      </c>
      <c r="X369" s="0" t="n">
        <v>1.11780782530143</v>
      </c>
      <c r="Y369" s="0" t="s">
        <v>3771</v>
      </c>
      <c r="Z369" s="0" t="s">
        <v>60</v>
      </c>
    </row>
    <row r="370" customFormat="false" ht="15" hidden="false" customHeight="false" outlineLevel="0" collapsed="false">
      <c r="A370" s="0" t="n">
        <v>367</v>
      </c>
      <c r="B370" s="9" t="n">
        <v>697563</v>
      </c>
      <c r="C370" s="0" t="n">
        <v>59086</v>
      </c>
      <c r="D370" s="0" t="n">
        <v>607269</v>
      </c>
      <c r="E370" s="0" t="s">
        <v>259</v>
      </c>
      <c r="F370" s="0" t="n">
        <v>86533</v>
      </c>
      <c r="G370" s="0" t="s">
        <v>3772</v>
      </c>
      <c r="H370" s="0" t="s">
        <v>3773</v>
      </c>
      <c r="I370" s="0" t="s">
        <v>3774</v>
      </c>
      <c r="J370" s="0" t="s">
        <v>3775</v>
      </c>
      <c r="K370" s="0" t="s">
        <v>61</v>
      </c>
      <c r="L370" s="0" t="n">
        <v>579195</v>
      </c>
      <c r="M370" s="0" t="s">
        <v>3776</v>
      </c>
      <c r="N370" s="0" t="n">
        <v>463924</v>
      </c>
      <c r="O370" s="9" t="n">
        <v>6396</v>
      </c>
      <c r="P370" s="0" t="s">
        <v>599</v>
      </c>
      <c r="Q370" s="0" t="s">
        <v>3777</v>
      </c>
      <c r="R370" s="0" t="s">
        <v>3778</v>
      </c>
      <c r="S370" s="0" t="s">
        <v>3779</v>
      </c>
      <c r="T370" s="0" t="s">
        <v>2649</v>
      </c>
      <c r="U370" s="9" t="n">
        <v>1232</v>
      </c>
      <c r="V370" s="0" t="n">
        <v>15.287885221135</v>
      </c>
      <c r="W370" s="0" t="n">
        <v>20230930</v>
      </c>
      <c r="X370" s="0" t="n">
        <v>1.59440584811708</v>
      </c>
      <c r="Y370" s="0" t="s">
        <v>3780</v>
      </c>
      <c r="Z370" s="0" t="s">
        <v>158</v>
      </c>
    </row>
    <row r="371" customFormat="false" ht="15" hidden="false" customHeight="false" outlineLevel="0" collapsed="false">
      <c r="A371" s="0" t="n">
        <v>368</v>
      </c>
      <c r="B371" s="9" t="n">
        <v>219071</v>
      </c>
      <c r="C371" s="0" t="n">
        <v>59176</v>
      </c>
      <c r="D371" s="0" t="n">
        <v>188051</v>
      </c>
      <c r="E371" s="0" t="s">
        <v>2413</v>
      </c>
      <c r="F371" s="0" t="n">
        <v>23030</v>
      </c>
      <c r="G371" s="0" t="s">
        <v>3781</v>
      </c>
      <c r="H371" s="0" t="s">
        <v>3782</v>
      </c>
      <c r="I371" s="0" t="s">
        <v>3783</v>
      </c>
      <c r="J371" s="0" t="s">
        <v>3784</v>
      </c>
      <c r="K371" s="0" t="s">
        <v>1018</v>
      </c>
      <c r="L371" s="0" t="n">
        <v>145767</v>
      </c>
      <c r="M371" s="0" t="s">
        <v>3785</v>
      </c>
      <c r="N371" s="0" t="n">
        <v>124886</v>
      </c>
      <c r="O371" s="9" t="n">
        <v>0</v>
      </c>
      <c r="P371" s="0" t="s">
        <v>610</v>
      </c>
      <c r="Q371" s="0" t="s">
        <v>61</v>
      </c>
      <c r="R371" s="0" t="s">
        <v>3786</v>
      </c>
      <c r="S371" s="0" t="s">
        <v>143</v>
      </c>
      <c r="T371" s="0" t="s">
        <v>61</v>
      </c>
      <c r="U371" s="9" t="n">
        <v>0</v>
      </c>
      <c r="V371" s="0" t="n">
        <v>17.3183973610061</v>
      </c>
      <c r="W371" s="0" t="n">
        <v>20230930</v>
      </c>
      <c r="X371" s="0" t="n">
        <v>-0.224099348694985</v>
      </c>
      <c r="Y371" s="0" t="s">
        <v>3787</v>
      </c>
      <c r="Z371" s="0" t="s">
        <v>158</v>
      </c>
    </row>
    <row r="372" customFormat="false" ht="15" hidden="false" customHeight="false" outlineLevel="0" collapsed="false">
      <c r="A372" s="0" t="n">
        <v>369</v>
      </c>
      <c r="B372" s="9" t="n">
        <v>61993</v>
      </c>
      <c r="C372" s="0" t="n">
        <v>59289</v>
      </c>
      <c r="D372" s="0" t="n">
        <v>41455</v>
      </c>
      <c r="E372" s="0" t="s">
        <v>3788</v>
      </c>
      <c r="F372" s="0" t="n">
        <v>19641</v>
      </c>
      <c r="G372" s="0" t="s">
        <v>3789</v>
      </c>
      <c r="H372" s="0" t="s">
        <v>3790</v>
      </c>
      <c r="I372" s="0" t="s">
        <v>3791</v>
      </c>
      <c r="J372" s="0" t="s">
        <v>3792</v>
      </c>
      <c r="K372" s="0" t="s">
        <v>61</v>
      </c>
      <c r="L372" s="0" t="n">
        <v>30270</v>
      </c>
      <c r="M372" s="0" t="s">
        <v>3793</v>
      </c>
      <c r="N372" s="0" t="n">
        <v>13029</v>
      </c>
      <c r="O372" s="9" t="n">
        <v>0</v>
      </c>
      <c r="P372" s="0" t="s">
        <v>2223</v>
      </c>
      <c r="Q372" s="0" t="s">
        <v>61</v>
      </c>
      <c r="R372" s="0" t="s">
        <v>3794</v>
      </c>
      <c r="S372" s="0" t="s">
        <v>61</v>
      </c>
      <c r="T372" s="0" t="s">
        <v>61</v>
      </c>
      <c r="U372" s="9" t="n">
        <v>0</v>
      </c>
      <c r="V372" s="0" t="n">
        <v>0</v>
      </c>
      <c r="W372" s="0" t="n">
        <v>20230930</v>
      </c>
      <c r="X372" s="0" t="n">
        <v>-5.48471220679485</v>
      </c>
      <c r="Y372" s="0" t="s">
        <v>3795</v>
      </c>
      <c r="Z372" s="0" t="s">
        <v>158</v>
      </c>
    </row>
    <row r="373" customFormat="false" ht="15" hidden="false" customHeight="false" outlineLevel="0" collapsed="false">
      <c r="A373" s="0" t="n">
        <v>370</v>
      </c>
      <c r="B373" s="9" t="n">
        <v>134128</v>
      </c>
      <c r="C373" s="0" t="n">
        <v>59298</v>
      </c>
      <c r="D373" s="0" t="n">
        <v>105729</v>
      </c>
      <c r="E373" s="0" t="s">
        <v>613</v>
      </c>
      <c r="F373" s="0" t="n">
        <v>27342</v>
      </c>
      <c r="G373" s="0" t="s">
        <v>3796</v>
      </c>
      <c r="H373" s="0" t="s">
        <v>3797</v>
      </c>
      <c r="I373" s="0" t="s">
        <v>3798</v>
      </c>
      <c r="J373" s="0" t="s">
        <v>3799</v>
      </c>
      <c r="K373" s="0" t="s">
        <v>61</v>
      </c>
      <c r="L373" s="0" t="n">
        <v>53456</v>
      </c>
      <c r="M373" s="0" t="s">
        <v>3800</v>
      </c>
      <c r="N373" s="0" t="n">
        <v>38015</v>
      </c>
      <c r="O373" s="9" t="n">
        <v>0</v>
      </c>
      <c r="P373" s="0" t="s">
        <v>1684</v>
      </c>
      <c r="Q373" s="0" t="s">
        <v>61</v>
      </c>
      <c r="R373" s="0" t="s">
        <v>3801</v>
      </c>
      <c r="S373" s="0" t="s">
        <v>61</v>
      </c>
      <c r="T373" s="0" t="s">
        <v>61</v>
      </c>
      <c r="U373" s="9" t="n">
        <v>0</v>
      </c>
      <c r="V373" s="0" t="n">
        <v>0</v>
      </c>
      <c r="W373" s="0" t="n">
        <v>20230930</v>
      </c>
      <c r="X373" s="0" t="n">
        <v>-2.33450133372531</v>
      </c>
      <c r="Y373" s="0" t="s">
        <v>3802</v>
      </c>
      <c r="Z373" s="0" t="s">
        <v>98</v>
      </c>
    </row>
    <row r="374" customFormat="false" ht="15" hidden="false" customHeight="false" outlineLevel="0" collapsed="false">
      <c r="A374" s="0" t="n">
        <v>371</v>
      </c>
      <c r="B374" s="9" t="n">
        <v>1082666</v>
      </c>
      <c r="C374" s="0" t="n">
        <v>6271</v>
      </c>
      <c r="D374" s="0" t="n">
        <v>902628</v>
      </c>
      <c r="E374" s="0" t="s">
        <v>85</v>
      </c>
      <c r="F374" s="0" t="n">
        <v>90587</v>
      </c>
      <c r="G374" s="0" t="s">
        <v>3803</v>
      </c>
      <c r="H374" s="0" t="s">
        <v>3804</v>
      </c>
      <c r="I374" s="0" t="s">
        <v>3805</v>
      </c>
      <c r="J374" s="0" t="s">
        <v>3806</v>
      </c>
      <c r="K374" s="0" t="s">
        <v>3807</v>
      </c>
      <c r="L374" s="0" t="n">
        <v>839179</v>
      </c>
      <c r="M374" s="0" t="s">
        <v>3808</v>
      </c>
      <c r="N374" s="0" t="n">
        <v>644820</v>
      </c>
      <c r="O374" s="9" t="n">
        <v>7215</v>
      </c>
      <c r="P374" s="0" t="s">
        <v>621</v>
      </c>
      <c r="Q374" s="0" t="s">
        <v>3809</v>
      </c>
      <c r="R374" s="0" t="s">
        <v>3810</v>
      </c>
      <c r="S374" s="0" t="s">
        <v>3811</v>
      </c>
      <c r="T374" s="0" t="s">
        <v>3812</v>
      </c>
      <c r="U374" s="9" t="n">
        <v>999</v>
      </c>
      <c r="V374" s="0" t="n">
        <v>14.6491413757327</v>
      </c>
      <c r="W374" s="0" t="n">
        <v>20230930</v>
      </c>
      <c r="X374" s="0" t="n">
        <v>1.3701658298972</v>
      </c>
      <c r="Y374" s="0" t="s">
        <v>3813</v>
      </c>
      <c r="Z374" s="0" t="s">
        <v>98</v>
      </c>
    </row>
    <row r="375" customFormat="false" ht="15" hidden="false" customHeight="false" outlineLevel="0" collapsed="false">
      <c r="A375" s="0" t="n">
        <v>372</v>
      </c>
      <c r="B375" s="9" t="n">
        <v>554170</v>
      </c>
      <c r="C375" s="0" t="n">
        <v>6275</v>
      </c>
      <c r="D375" s="0" t="n">
        <v>479167</v>
      </c>
      <c r="E375" s="0" t="s">
        <v>390</v>
      </c>
      <c r="F375" s="0" t="n">
        <v>22855</v>
      </c>
      <c r="G375" s="0" t="s">
        <v>3814</v>
      </c>
      <c r="H375" s="0" t="s">
        <v>3815</v>
      </c>
      <c r="I375" s="0" t="s">
        <v>3816</v>
      </c>
      <c r="J375" s="0" t="s">
        <v>3817</v>
      </c>
      <c r="K375" s="0" t="s">
        <v>3818</v>
      </c>
      <c r="L375" s="0" t="n">
        <v>333822</v>
      </c>
      <c r="M375" s="0" t="s">
        <v>3819</v>
      </c>
      <c r="N375" s="0" t="n">
        <v>274189</v>
      </c>
      <c r="O375" s="9" t="n">
        <v>1262</v>
      </c>
      <c r="P375" s="0" t="s">
        <v>633</v>
      </c>
      <c r="Q375" s="0" t="s">
        <v>3820</v>
      </c>
      <c r="R375" s="0" t="s">
        <v>3821</v>
      </c>
      <c r="S375" s="0" t="s">
        <v>61</v>
      </c>
      <c r="T375" s="0" t="s">
        <v>3822</v>
      </c>
      <c r="U375" s="9" t="n">
        <v>0</v>
      </c>
      <c r="V375" s="0" t="n">
        <v>14.7986092970606</v>
      </c>
      <c r="W375" s="0" t="n">
        <v>20230930</v>
      </c>
      <c r="X375" s="0" t="n">
        <v>0.428313354479842</v>
      </c>
      <c r="Y375" s="0" t="s">
        <v>120</v>
      </c>
      <c r="Z375" s="0" t="s">
        <v>98</v>
      </c>
    </row>
    <row r="376" customFormat="false" ht="15" hidden="false" customHeight="false" outlineLevel="0" collapsed="false">
      <c r="A376" s="0" t="n">
        <v>373</v>
      </c>
      <c r="B376" s="9" t="n">
        <v>81114</v>
      </c>
      <c r="C376" s="0" t="n">
        <v>6280</v>
      </c>
      <c r="D376" s="0" t="n">
        <v>71481</v>
      </c>
      <c r="E376" s="0" t="s">
        <v>259</v>
      </c>
      <c r="F376" s="0" t="n">
        <v>9381</v>
      </c>
      <c r="G376" s="0" t="s">
        <v>3823</v>
      </c>
      <c r="H376" s="0" t="s">
        <v>3824</v>
      </c>
      <c r="I376" s="0" t="s">
        <v>3825</v>
      </c>
      <c r="J376" s="0" t="s">
        <v>3826</v>
      </c>
      <c r="K376" s="0" t="s">
        <v>3827</v>
      </c>
      <c r="L376" s="0" t="n">
        <v>66663</v>
      </c>
      <c r="M376" s="0" t="s">
        <v>3828</v>
      </c>
      <c r="N376" s="0" t="n">
        <v>59127</v>
      </c>
      <c r="O376" s="9" t="n">
        <v>952</v>
      </c>
      <c r="P376" s="0" t="s">
        <v>644</v>
      </c>
      <c r="Q376" s="0" t="s">
        <v>3829</v>
      </c>
      <c r="R376" s="0" t="s">
        <v>3830</v>
      </c>
      <c r="S376" s="0" t="s">
        <v>120</v>
      </c>
      <c r="T376" s="0" t="s">
        <v>3831</v>
      </c>
      <c r="U376" s="9" t="n">
        <v>0</v>
      </c>
      <c r="V376" s="0" t="n">
        <v>0</v>
      </c>
      <c r="W376" s="0" t="n">
        <v>20230930</v>
      </c>
      <c r="X376" s="0" t="n">
        <v>1.84180132673071</v>
      </c>
      <c r="Y376" s="0" t="s">
        <v>3832</v>
      </c>
      <c r="Z376" s="0" t="s">
        <v>98</v>
      </c>
    </row>
    <row r="377" customFormat="false" ht="15" hidden="false" customHeight="false" outlineLevel="0" collapsed="false">
      <c r="A377" s="0" t="n">
        <v>374</v>
      </c>
      <c r="B377" s="9" t="n">
        <v>3967808</v>
      </c>
      <c r="C377" s="0" t="n">
        <v>11971</v>
      </c>
      <c r="D377" s="0" t="n">
        <v>3149026</v>
      </c>
      <c r="E377" s="0" t="s">
        <v>259</v>
      </c>
      <c r="F377" s="0" t="n">
        <v>483954</v>
      </c>
      <c r="G377" s="0" t="s">
        <v>3833</v>
      </c>
      <c r="H377" s="0" t="s">
        <v>3834</v>
      </c>
      <c r="I377" s="0" t="s">
        <v>3835</v>
      </c>
      <c r="J377" s="0" t="s">
        <v>3836</v>
      </c>
      <c r="K377" s="0" t="s">
        <v>3837</v>
      </c>
      <c r="L377" s="0" t="n">
        <v>3001238</v>
      </c>
      <c r="M377" s="0" t="s">
        <v>3838</v>
      </c>
      <c r="N377" s="0" t="n">
        <v>2638835</v>
      </c>
      <c r="O377" s="9" t="n">
        <v>5529</v>
      </c>
      <c r="P377" s="0" t="s">
        <v>54</v>
      </c>
      <c r="Q377" s="0" t="s">
        <v>3839</v>
      </c>
      <c r="R377" s="0" t="s">
        <v>3840</v>
      </c>
      <c r="S377" s="0" t="s">
        <v>3841</v>
      </c>
      <c r="T377" s="0" t="s">
        <v>3842</v>
      </c>
      <c r="U377" s="9" t="n">
        <v>141</v>
      </c>
      <c r="V377" s="0" t="n">
        <v>13.9732003897365</v>
      </c>
      <c r="W377" s="0" t="n">
        <v>20231231</v>
      </c>
      <c r="X377" s="0" t="n">
        <v>1.29383869122729</v>
      </c>
      <c r="Y377" s="0" t="s">
        <v>3843</v>
      </c>
      <c r="Z377" s="0" t="s">
        <v>60</v>
      </c>
    </row>
    <row r="378" customFormat="false" ht="15" hidden="false" customHeight="false" outlineLevel="0" collapsed="false">
      <c r="A378" s="0" t="n">
        <v>375</v>
      </c>
      <c r="B378" s="9" t="n">
        <v>1032673</v>
      </c>
      <c r="C378" s="0" t="n">
        <v>12874</v>
      </c>
      <c r="D378" s="0" t="n">
        <v>895094</v>
      </c>
      <c r="E378" s="0" t="s">
        <v>390</v>
      </c>
      <c r="F378" s="0" t="n">
        <v>106976</v>
      </c>
      <c r="G378" s="0" t="s">
        <v>3844</v>
      </c>
      <c r="H378" s="0" t="s">
        <v>3845</v>
      </c>
      <c r="I378" s="0" t="s">
        <v>3846</v>
      </c>
      <c r="J378" s="0" t="s">
        <v>3847</v>
      </c>
      <c r="K378" s="0" t="s">
        <v>3848</v>
      </c>
      <c r="L378" s="0" t="n">
        <v>799093</v>
      </c>
      <c r="M378" s="0" t="s">
        <v>3849</v>
      </c>
      <c r="N378" s="0" t="n">
        <v>632740</v>
      </c>
      <c r="O378" s="9" t="n">
        <v>670</v>
      </c>
      <c r="P378" s="0" t="s">
        <v>68</v>
      </c>
      <c r="Q378" s="0" t="s">
        <v>3850</v>
      </c>
      <c r="R378" s="0" t="s">
        <v>3851</v>
      </c>
      <c r="S378" s="0" t="s">
        <v>143</v>
      </c>
      <c r="T378" s="0" t="s">
        <v>3852</v>
      </c>
      <c r="U378" s="9" t="n">
        <v>0</v>
      </c>
      <c r="V378" s="0" t="n">
        <v>15.8859869558655</v>
      </c>
      <c r="W378" s="0" t="n">
        <v>20231231</v>
      </c>
      <c r="X378" s="0" t="n">
        <v>1.07594276192033</v>
      </c>
      <c r="Y378" s="0" t="s">
        <v>295</v>
      </c>
      <c r="Z378" s="0" t="s">
        <v>60</v>
      </c>
    </row>
    <row r="379" customFormat="false" ht="15" hidden="false" customHeight="false" outlineLevel="0" collapsed="false">
      <c r="A379" s="0" t="n">
        <v>376</v>
      </c>
      <c r="B379" s="9" t="n">
        <v>1825832</v>
      </c>
      <c r="C379" s="0" t="n">
        <v>13063</v>
      </c>
      <c r="D379" s="0" t="n">
        <v>1598543</v>
      </c>
      <c r="E379" s="0" t="s">
        <v>858</v>
      </c>
      <c r="F379" s="0" t="n">
        <v>144898</v>
      </c>
      <c r="G379" s="0" t="s">
        <v>3853</v>
      </c>
      <c r="H379" s="0" t="s">
        <v>3854</v>
      </c>
      <c r="I379" s="0" t="s">
        <v>3855</v>
      </c>
      <c r="J379" s="0" t="s">
        <v>3856</v>
      </c>
      <c r="K379" s="0" t="s">
        <v>3857</v>
      </c>
      <c r="L379" s="0" t="n">
        <v>1419984</v>
      </c>
      <c r="M379" s="0" t="s">
        <v>3858</v>
      </c>
      <c r="N379" s="0" t="n">
        <v>1355009</v>
      </c>
      <c r="O379" s="9" t="n">
        <v>809</v>
      </c>
      <c r="P379" s="0" t="s">
        <v>80</v>
      </c>
      <c r="Q379" s="0" t="s">
        <v>3859</v>
      </c>
      <c r="R379" s="0" t="s">
        <v>3860</v>
      </c>
      <c r="S379" s="0" t="s">
        <v>1945</v>
      </c>
      <c r="T379" s="0" t="s">
        <v>3861</v>
      </c>
      <c r="U379" s="9" t="n">
        <v>260</v>
      </c>
      <c r="V379" s="0" t="n">
        <v>0</v>
      </c>
      <c r="W379" s="0" t="n">
        <v>20231231</v>
      </c>
      <c r="X379" s="0" t="n">
        <v>0.21976508473335</v>
      </c>
      <c r="Y379" s="0" t="s">
        <v>3862</v>
      </c>
      <c r="Z379" s="0" t="s">
        <v>60</v>
      </c>
    </row>
    <row r="380" customFormat="false" ht="15" hidden="false" customHeight="false" outlineLevel="0" collapsed="false">
      <c r="A380" s="0" t="n">
        <v>377</v>
      </c>
      <c r="B380" s="9" t="n">
        <v>854743</v>
      </c>
      <c r="C380" s="0" t="n">
        <v>14134</v>
      </c>
      <c r="D380" s="0" t="n">
        <v>681633</v>
      </c>
      <c r="E380" s="0" t="s">
        <v>47</v>
      </c>
      <c r="F380" s="0" t="n">
        <v>105791</v>
      </c>
      <c r="G380" s="0" t="s">
        <v>3863</v>
      </c>
      <c r="H380" s="0" t="s">
        <v>3864</v>
      </c>
      <c r="I380" s="0" t="s">
        <v>3865</v>
      </c>
      <c r="J380" s="0" t="s">
        <v>3866</v>
      </c>
      <c r="K380" s="0" t="s">
        <v>3867</v>
      </c>
      <c r="L380" s="0" t="n">
        <v>640918</v>
      </c>
      <c r="M380" s="0" t="s">
        <v>3868</v>
      </c>
      <c r="N380" s="0" t="n">
        <v>566020</v>
      </c>
      <c r="O380" s="9" t="n">
        <v>10339</v>
      </c>
      <c r="P380" s="0" t="s">
        <v>92</v>
      </c>
      <c r="Q380" s="0" t="s">
        <v>3869</v>
      </c>
      <c r="R380" s="0" t="s">
        <v>3870</v>
      </c>
      <c r="S380" s="0" t="s">
        <v>3871</v>
      </c>
      <c r="T380" s="0" t="s">
        <v>2418</v>
      </c>
      <c r="U380" s="9" t="n">
        <v>0</v>
      </c>
      <c r="V380" s="0" t="n">
        <v>19.2684553429436</v>
      </c>
      <c r="W380" s="0" t="n">
        <v>20231231</v>
      </c>
      <c r="X380" s="0" t="n">
        <v>0.845572388097908</v>
      </c>
      <c r="Y380" s="0" t="s">
        <v>3872</v>
      </c>
      <c r="Z380" s="0" t="s">
        <v>98</v>
      </c>
    </row>
    <row r="381" customFormat="false" ht="15" hidden="false" customHeight="false" outlineLevel="0" collapsed="false">
      <c r="A381" s="0" t="n">
        <v>378</v>
      </c>
      <c r="B381" s="9" t="n">
        <v>233858</v>
      </c>
      <c r="C381" s="0" t="n">
        <v>14136</v>
      </c>
      <c r="D381" s="0" t="n">
        <v>193772</v>
      </c>
      <c r="E381" s="0" t="s">
        <v>172</v>
      </c>
      <c r="F381" s="0" t="n">
        <v>17016</v>
      </c>
      <c r="G381" s="0" t="s">
        <v>3873</v>
      </c>
      <c r="H381" s="0" t="s">
        <v>3874</v>
      </c>
      <c r="I381" s="0" t="s">
        <v>3875</v>
      </c>
      <c r="J381" s="0" t="s">
        <v>3876</v>
      </c>
      <c r="K381" s="0" t="s">
        <v>3877</v>
      </c>
      <c r="L381" s="0" t="n">
        <v>152988</v>
      </c>
      <c r="M381" s="0" t="s">
        <v>3878</v>
      </c>
      <c r="N381" s="0" t="n">
        <v>123494</v>
      </c>
      <c r="O381" s="9" t="n">
        <v>6</v>
      </c>
      <c r="P381" s="0" t="s">
        <v>105</v>
      </c>
      <c r="Q381" s="0" t="s">
        <v>3879</v>
      </c>
      <c r="R381" s="0" t="s">
        <v>3880</v>
      </c>
      <c r="S381" s="0" t="s">
        <v>1488</v>
      </c>
      <c r="T381" s="0" t="s">
        <v>1771</v>
      </c>
      <c r="U381" s="9" t="n">
        <v>507</v>
      </c>
      <c r="V381" s="0" t="n">
        <v>17.5667789596541</v>
      </c>
      <c r="W381" s="0" t="n">
        <v>20231231</v>
      </c>
      <c r="X381" s="0" t="n">
        <v>0.594423182066703</v>
      </c>
      <c r="Y381" s="0" t="s">
        <v>2680</v>
      </c>
      <c r="Z381" s="0" t="s">
        <v>98</v>
      </c>
    </row>
    <row r="382" customFormat="false" ht="15" hidden="false" customHeight="false" outlineLevel="0" collapsed="false">
      <c r="A382" s="0" t="n">
        <v>379</v>
      </c>
      <c r="B382" s="9" t="n">
        <v>1504702</v>
      </c>
      <c r="C382" s="0" t="n">
        <v>14140</v>
      </c>
      <c r="D382" s="0" t="n">
        <v>1190702</v>
      </c>
      <c r="E382" s="0" t="s">
        <v>208</v>
      </c>
      <c r="F382" s="0" t="n">
        <v>126249</v>
      </c>
      <c r="G382" s="0" t="s">
        <v>3881</v>
      </c>
      <c r="H382" s="0" t="s">
        <v>3882</v>
      </c>
      <c r="I382" s="0" t="s">
        <v>3883</v>
      </c>
      <c r="J382" s="0" t="s">
        <v>3884</v>
      </c>
      <c r="K382" s="0" t="s">
        <v>3885</v>
      </c>
      <c r="L382" s="0" t="n">
        <v>1039672</v>
      </c>
      <c r="M382" s="0" t="s">
        <v>3886</v>
      </c>
      <c r="N382" s="0" t="n">
        <v>927729</v>
      </c>
      <c r="O382" s="9" t="n">
        <v>4671</v>
      </c>
      <c r="P382" s="0" t="s">
        <v>117</v>
      </c>
      <c r="Q382" s="0" t="s">
        <v>3887</v>
      </c>
      <c r="R382" s="0" t="s">
        <v>3888</v>
      </c>
      <c r="S382" s="0" t="s">
        <v>3889</v>
      </c>
      <c r="T382" s="0" t="s">
        <v>3890</v>
      </c>
      <c r="U382" s="9" t="n">
        <v>0</v>
      </c>
      <c r="V382" s="0" t="n">
        <v>0</v>
      </c>
      <c r="W382" s="0" t="n">
        <v>20231231</v>
      </c>
      <c r="X382" s="0" t="n">
        <v>0.220681498748757</v>
      </c>
      <c r="Y382" s="0" t="s">
        <v>3891</v>
      </c>
      <c r="Z382" s="0" t="s">
        <v>98</v>
      </c>
    </row>
    <row r="383" customFormat="false" ht="15" hidden="false" customHeight="false" outlineLevel="0" collapsed="false">
      <c r="A383" s="0" t="n">
        <v>380</v>
      </c>
      <c r="B383" s="9" t="n">
        <v>1468468</v>
      </c>
      <c r="C383" s="0" t="n">
        <v>14158</v>
      </c>
      <c r="D383" s="0" t="n">
        <v>1308218</v>
      </c>
      <c r="E383" s="0" t="s">
        <v>1281</v>
      </c>
      <c r="F383" s="0" t="n">
        <v>82122</v>
      </c>
      <c r="G383" s="0" t="s">
        <v>3892</v>
      </c>
      <c r="H383" s="0" t="s">
        <v>3893</v>
      </c>
      <c r="I383" s="0" t="s">
        <v>3894</v>
      </c>
      <c r="J383" s="0" t="s">
        <v>3895</v>
      </c>
      <c r="K383" s="0" t="s">
        <v>3896</v>
      </c>
      <c r="L383" s="0" t="n">
        <v>1033092</v>
      </c>
      <c r="M383" s="0" t="s">
        <v>3897</v>
      </c>
      <c r="N383" s="0" t="n">
        <v>908227</v>
      </c>
      <c r="O383" s="9" t="n">
        <v>1858</v>
      </c>
      <c r="P383" s="0" t="s">
        <v>129</v>
      </c>
      <c r="Q383" s="0" t="s">
        <v>3898</v>
      </c>
      <c r="R383" s="0" t="s">
        <v>3899</v>
      </c>
      <c r="S383" s="0" t="s">
        <v>218</v>
      </c>
      <c r="T383" s="0" t="s">
        <v>3900</v>
      </c>
      <c r="U383" s="9" t="n">
        <v>162</v>
      </c>
      <c r="V383" s="0" t="n">
        <v>13.3530640668524</v>
      </c>
      <c r="W383" s="0" t="n">
        <v>20231231</v>
      </c>
      <c r="X383" s="0" t="n">
        <v>0.879855556925219</v>
      </c>
      <c r="Y383" s="0" t="s">
        <v>3901</v>
      </c>
      <c r="Z383" s="0" t="s">
        <v>98</v>
      </c>
    </row>
    <row r="384" customFormat="false" ht="15" hidden="false" customHeight="false" outlineLevel="0" collapsed="false">
      <c r="A384" s="0" t="n">
        <v>381</v>
      </c>
      <c r="B384" s="9" t="n">
        <v>357709</v>
      </c>
      <c r="C384" s="0" t="n">
        <v>14168</v>
      </c>
      <c r="D384" s="0" t="n">
        <v>317592</v>
      </c>
      <c r="E384" s="0" t="s">
        <v>2218</v>
      </c>
      <c r="F384" s="0" t="n">
        <v>35301</v>
      </c>
      <c r="G384" s="0" t="s">
        <v>3902</v>
      </c>
      <c r="H384" s="0" t="s">
        <v>3903</v>
      </c>
      <c r="I384" s="0" t="s">
        <v>3904</v>
      </c>
      <c r="J384" s="0" t="s">
        <v>3905</v>
      </c>
      <c r="K384" s="0" t="s">
        <v>3906</v>
      </c>
      <c r="L384" s="0" t="n">
        <v>239389</v>
      </c>
      <c r="M384" s="0" t="s">
        <v>3907</v>
      </c>
      <c r="N384" s="0" t="n">
        <v>202849</v>
      </c>
      <c r="O384" s="9" t="n">
        <v>1115</v>
      </c>
      <c r="P384" s="0" t="s">
        <v>140</v>
      </c>
      <c r="Q384" s="0" t="s">
        <v>3908</v>
      </c>
      <c r="R384" s="0" t="s">
        <v>3909</v>
      </c>
      <c r="S384" s="0" t="s">
        <v>3910</v>
      </c>
      <c r="T384" s="0" t="s">
        <v>3779</v>
      </c>
      <c r="U384" s="9" t="n">
        <v>0</v>
      </c>
      <c r="V384" s="0" t="n">
        <v>16.7449070853622</v>
      </c>
      <c r="W384" s="0" t="n">
        <v>20231231</v>
      </c>
      <c r="X384" s="0" t="n">
        <v>0.791084607348037</v>
      </c>
      <c r="Y384" s="0" t="s">
        <v>3911</v>
      </c>
      <c r="Z384" s="0" t="s">
        <v>98</v>
      </c>
    </row>
    <row r="385" customFormat="false" ht="15" hidden="false" customHeight="false" outlineLevel="0" collapsed="false">
      <c r="A385" s="0" t="n">
        <v>382</v>
      </c>
      <c r="B385" s="9" t="n">
        <v>1284888</v>
      </c>
      <c r="C385" s="0" t="n">
        <v>14240</v>
      </c>
      <c r="D385" s="0" t="n">
        <v>1001876</v>
      </c>
      <c r="E385" s="0" t="s">
        <v>1281</v>
      </c>
      <c r="F385" s="0" t="n">
        <v>89997</v>
      </c>
      <c r="G385" s="0" t="s">
        <v>3912</v>
      </c>
      <c r="H385" s="0" t="s">
        <v>3913</v>
      </c>
      <c r="I385" s="0" t="s">
        <v>3914</v>
      </c>
      <c r="J385" s="0" t="s">
        <v>3915</v>
      </c>
      <c r="K385" s="0" t="s">
        <v>3916</v>
      </c>
      <c r="L385" s="0" t="n">
        <v>920895</v>
      </c>
      <c r="M385" s="0" t="s">
        <v>3917</v>
      </c>
      <c r="N385" s="0" t="n">
        <v>809855</v>
      </c>
      <c r="O385" s="9" t="n">
        <v>2809</v>
      </c>
      <c r="P385" s="0" t="s">
        <v>152</v>
      </c>
      <c r="Q385" s="0" t="s">
        <v>3918</v>
      </c>
      <c r="R385" s="0" t="s">
        <v>3919</v>
      </c>
      <c r="S385" s="0" t="s">
        <v>441</v>
      </c>
      <c r="T385" s="0" t="s">
        <v>3920</v>
      </c>
      <c r="U385" s="9" t="n">
        <v>0</v>
      </c>
      <c r="V385" s="0" t="n">
        <v>15.654705756581</v>
      </c>
      <c r="W385" s="0" t="n">
        <v>20231231</v>
      </c>
      <c r="X385" s="0" t="n">
        <v>0.476970080763032</v>
      </c>
      <c r="Y385" s="0" t="s">
        <v>3921</v>
      </c>
      <c r="Z385" s="0" t="s">
        <v>158</v>
      </c>
    </row>
    <row r="386" customFormat="false" ht="15" hidden="false" customHeight="false" outlineLevel="0" collapsed="false">
      <c r="A386" s="0" t="n">
        <v>383</v>
      </c>
      <c r="B386" s="9" t="n">
        <v>1091692</v>
      </c>
      <c r="C386" s="0" t="n">
        <v>17115</v>
      </c>
      <c r="D386" s="0" t="n">
        <v>771961</v>
      </c>
      <c r="E386" s="0" t="s">
        <v>61</v>
      </c>
      <c r="F386" s="0" t="n">
        <v>87410</v>
      </c>
      <c r="G386" s="0" t="s">
        <v>3922</v>
      </c>
      <c r="H386" s="0" t="s">
        <v>3923</v>
      </c>
      <c r="I386" s="0" t="s">
        <v>3924</v>
      </c>
      <c r="J386" s="0" t="s">
        <v>3925</v>
      </c>
      <c r="K386" s="0" t="s">
        <v>3926</v>
      </c>
      <c r="L386" s="0" t="n">
        <v>899416</v>
      </c>
      <c r="M386" s="0" t="s">
        <v>3927</v>
      </c>
      <c r="N386" s="0" t="n">
        <v>848763</v>
      </c>
      <c r="O386" s="9" t="n">
        <v>2404</v>
      </c>
      <c r="P386" s="0" t="s">
        <v>166</v>
      </c>
      <c r="Q386" s="0" t="s">
        <v>3928</v>
      </c>
      <c r="R386" s="0" t="s">
        <v>3929</v>
      </c>
      <c r="S386" s="0" t="s">
        <v>3746</v>
      </c>
      <c r="T386" s="0" t="s">
        <v>3930</v>
      </c>
      <c r="U386" s="9" t="n">
        <v>0</v>
      </c>
      <c r="V386" s="0" t="n">
        <v>13.662485837327</v>
      </c>
      <c r="W386" s="0" t="n">
        <v>20231231</v>
      </c>
      <c r="X386" s="0" t="n">
        <v>0.666513914056445</v>
      </c>
      <c r="Y386" s="0" t="s">
        <v>3931</v>
      </c>
      <c r="Z386" s="0" t="s">
        <v>60</v>
      </c>
    </row>
    <row r="387" customFormat="false" ht="15" hidden="false" customHeight="false" outlineLevel="0" collapsed="false">
      <c r="A387" s="0" t="n">
        <v>384</v>
      </c>
      <c r="B387" s="9" t="n">
        <v>1636765</v>
      </c>
      <c r="C387" s="0" t="n">
        <v>17180</v>
      </c>
      <c r="D387" s="0" t="n">
        <v>1188350</v>
      </c>
      <c r="E387" s="0" t="s">
        <v>1393</v>
      </c>
      <c r="F387" s="0" t="n">
        <v>136707</v>
      </c>
      <c r="G387" s="0" t="s">
        <v>3932</v>
      </c>
      <c r="H387" s="0" t="s">
        <v>3933</v>
      </c>
      <c r="I387" s="0" t="s">
        <v>3934</v>
      </c>
      <c r="J387" s="0" t="s">
        <v>3935</v>
      </c>
      <c r="K387" s="0" t="s">
        <v>3936</v>
      </c>
      <c r="L387" s="0" t="n">
        <v>1480488</v>
      </c>
      <c r="M387" s="0" t="s">
        <v>3937</v>
      </c>
      <c r="N387" s="0" t="n">
        <v>1208918</v>
      </c>
      <c r="O387" s="9" t="n">
        <v>4903</v>
      </c>
      <c r="P387" s="0" t="s">
        <v>179</v>
      </c>
      <c r="Q387" s="0" t="s">
        <v>3938</v>
      </c>
      <c r="R387" s="0" t="s">
        <v>3939</v>
      </c>
      <c r="S387" s="0" t="s">
        <v>3841</v>
      </c>
      <c r="T387" s="0" t="s">
        <v>3940</v>
      </c>
      <c r="U387" s="9" t="n">
        <v>0</v>
      </c>
      <c r="V387" s="0" t="n">
        <v>14.1649013448556</v>
      </c>
      <c r="W387" s="0" t="n">
        <v>20231231</v>
      </c>
      <c r="X387" s="0" t="n">
        <v>0.452272607314059</v>
      </c>
      <c r="Y387" s="0" t="s">
        <v>3941</v>
      </c>
      <c r="Z387" s="0" t="s">
        <v>158</v>
      </c>
    </row>
    <row r="388" customFormat="false" ht="15" hidden="false" customHeight="false" outlineLevel="0" collapsed="false">
      <c r="A388" s="0" t="n">
        <v>385</v>
      </c>
      <c r="B388" s="9" t="n">
        <v>351163</v>
      </c>
      <c r="C388" s="0" t="n">
        <v>17443</v>
      </c>
      <c r="D388" s="0" t="n">
        <v>309824</v>
      </c>
      <c r="E388" s="0" t="s">
        <v>61</v>
      </c>
      <c r="F388" s="0" t="n">
        <v>40157</v>
      </c>
      <c r="G388" s="0" t="s">
        <v>3942</v>
      </c>
      <c r="H388" s="0" t="s">
        <v>3943</v>
      </c>
      <c r="I388" s="0" t="s">
        <v>3944</v>
      </c>
      <c r="J388" s="0" t="s">
        <v>61</v>
      </c>
      <c r="K388" s="0" t="s">
        <v>3945</v>
      </c>
      <c r="L388" s="0" t="n">
        <v>205058</v>
      </c>
      <c r="M388" s="0" t="s">
        <v>3946</v>
      </c>
      <c r="N388" s="0" t="n">
        <v>203264</v>
      </c>
      <c r="O388" s="9" t="n">
        <v>173</v>
      </c>
      <c r="P388" s="0" t="s">
        <v>190</v>
      </c>
      <c r="Q388" s="0" t="s">
        <v>3947</v>
      </c>
      <c r="R388" s="0" t="s">
        <v>3948</v>
      </c>
      <c r="S388" s="0" t="s">
        <v>61</v>
      </c>
      <c r="T388" s="0" t="s">
        <v>3949</v>
      </c>
      <c r="U388" s="9" t="n">
        <v>0</v>
      </c>
      <c r="V388" s="0" t="n">
        <v>0</v>
      </c>
      <c r="W388" s="0" t="n">
        <v>20231231</v>
      </c>
      <c r="X388" s="0" t="n">
        <v>0.0112388748844589</v>
      </c>
      <c r="Y388" s="0" t="s">
        <v>858</v>
      </c>
      <c r="Z388" s="0" t="s">
        <v>158</v>
      </c>
    </row>
    <row r="389" customFormat="false" ht="15" hidden="false" customHeight="false" outlineLevel="0" collapsed="false">
      <c r="A389" s="0" t="n">
        <v>386</v>
      </c>
      <c r="B389" s="9" t="n">
        <v>1865564</v>
      </c>
      <c r="C389" s="0" t="n">
        <v>17658</v>
      </c>
      <c r="D389" s="0" t="n">
        <v>1489308</v>
      </c>
      <c r="E389" s="0" t="s">
        <v>1187</v>
      </c>
      <c r="F389" s="0" t="n">
        <v>208565</v>
      </c>
      <c r="G389" s="0" t="s">
        <v>3950</v>
      </c>
      <c r="H389" s="0" t="s">
        <v>3951</v>
      </c>
      <c r="I389" s="0" t="s">
        <v>3952</v>
      </c>
      <c r="J389" s="0" t="s">
        <v>3953</v>
      </c>
      <c r="K389" s="0" t="s">
        <v>3954</v>
      </c>
      <c r="L389" s="0" t="n">
        <v>1305177</v>
      </c>
      <c r="M389" s="0" t="s">
        <v>3955</v>
      </c>
      <c r="N389" s="0" t="n">
        <v>1111057</v>
      </c>
      <c r="O389" s="9" t="n">
        <v>8793</v>
      </c>
      <c r="P389" s="0" t="s">
        <v>202</v>
      </c>
      <c r="Q389" s="0" t="s">
        <v>3956</v>
      </c>
      <c r="R389" s="0" t="s">
        <v>3957</v>
      </c>
      <c r="S389" s="0" t="s">
        <v>657</v>
      </c>
      <c r="T389" s="0" t="s">
        <v>3958</v>
      </c>
      <c r="U389" s="9" t="n">
        <v>0</v>
      </c>
      <c r="V389" s="0" t="n">
        <v>0</v>
      </c>
      <c r="W389" s="0" t="n">
        <v>20231231</v>
      </c>
      <c r="X389" s="0" t="n">
        <v>0.767976387669771</v>
      </c>
      <c r="Y389" s="0" t="s">
        <v>3711</v>
      </c>
      <c r="Z389" s="0" t="s">
        <v>60</v>
      </c>
    </row>
    <row r="390" customFormat="false" ht="15" hidden="false" customHeight="false" outlineLevel="0" collapsed="false">
      <c r="A390" s="0" t="n">
        <v>387</v>
      </c>
      <c r="B390" s="9" t="n">
        <v>1084657</v>
      </c>
      <c r="C390" s="0" t="n">
        <v>17741</v>
      </c>
      <c r="D390" s="0" t="n">
        <v>813318</v>
      </c>
      <c r="E390" s="0" t="s">
        <v>246</v>
      </c>
      <c r="F390" s="0" t="n">
        <v>139308</v>
      </c>
      <c r="G390" s="0" t="s">
        <v>3959</v>
      </c>
      <c r="H390" s="0" t="s">
        <v>3960</v>
      </c>
      <c r="I390" s="0" t="s">
        <v>3961</v>
      </c>
      <c r="J390" s="0" t="s">
        <v>3962</v>
      </c>
      <c r="K390" s="0" t="s">
        <v>3963</v>
      </c>
      <c r="L390" s="0" t="n">
        <v>917122</v>
      </c>
      <c r="M390" s="0" t="s">
        <v>3964</v>
      </c>
      <c r="N390" s="0" t="n">
        <v>853812</v>
      </c>
      <c r="O390" s="9" t="n">
        <v>6632</v>
      </c>
      <c r="P390" s="0" t="s">
        <v>215</v>
      </c>
      <c r="Q390" s="0" t="s">
        <v>3965</v>
      </c>
      <c r="R390" s="0" t="s">
        <v>3966</v>
      </c>
      <c r="S390" s="0" t="s">
        <v>3967</v>
      </c>
      <c r="T390" s="0" t="s">
        <v>3968</v>
      </c>
      <c r="U390" s="9" t="n">
        <v>0</v>
      </c>
      <c r="V390" s="0" t="n">
        <v>0</v>
      </c>
      <c r="W390" s="0" t="n">
        <v>20231231</v>
      </c>
      <c r="X390" s="0" t="n">
        <v>0.623237286824956</v>
      </c>
      <c r="Y390" s="0" t="s">
        <v>3969</v>
      </c>
      <c r="Z390" s="0" t="s">
        <v>60</v>
      </c>
    </row>
    <row r="391" customFormat="false" ht="15" hidden="false" customHeight="false" outlineLevel="0" collapsed="false">
      <c r="A391" s="0" t="n">
        <v>388</v>
      </c>
      <c r="B391" s="9" t="n">
        <v>1380826</v>
      </c>
      <c r="C391" s="0" t="n">
        <v>17743</v>
      </c>
      <c r="D391" s="0" t="n">
        <v>963516</v>
      </c>
      <c r="E391" s="0" t="s">
        <v>61</v>
      </c>
      <c r="F391" s="0" t="n">
        <v>122659</v>
      </c>
      <c r="G391" s="0" t="s">
        <v>3970</v>
      </c>
      <c r="H391" s="0" t="s">
        <v>3971</v>
      </c>
      <c r="I391" s="0" t="s">
        <v>3972</v>
      </c>
      <c r="J391" s="0" t="s">
        <v>3973</v>
      </c>
      <c r="K391" s="0" t="s">
        <v>3974</v>
      </c>
      <c r="L391" s="0" t="n">
        <v>1091678</v>
      </c>
      <c r="M391" s="0" t="s">
        <v>3975</v>
      </c>
      <c r="N391" s="0" t="n">
        <v>1054307</v>
      </c>
      <c r="O391" s="9" t="n">
        <v>1762</v>
      </c>
      <c r="P391" s="0" t="s">
        <v>227</v>
      </c>
      <c r="Q391" s="0" t="s">
        <v>3976</v>
      </c>
      <c r="R391" s="0" t="s">
        <v>3977</v>
      </c>
      <c r="S391" s="0" t="s">
        <v>489</v>
      </c>
      <c r="T391" s="0" t="s">
        <v>1489</v>
      </c>
      <c r="U391" s="9" t="n">
        <v>0</v>
      </c>
      <c r="V391" s="0" t="n">
        <v>0</v>
      </c>
      <c r="W391" s="0" t="n">
        <v>20231231</v>
      </c>
      <c r="X391" s="0" t="n">
        <v>0.0464740506827769</v>
      </c>
      <c r="Y391" s="0" t="s">
        <v>3978</v>
      </c>
      <c r="Z391" s="0" t="s">
        <v>60</v>
      </c>
    </row>
    <row r="392" customFormat="false" ht="15" hidden="false" customHeight="false" outlineLevel="0" collapsed="false">
      <c r="A392" s="0" t="n">
        <v>389</v>
      </c>
      <c r="B392" s="9" t="n">
        <v>1668860</v>
      </c>
      <c r="C392" s="0" t="n">
        <v>17748</v>
      </c>
      <c r="D392" s="0" t="n">
        <v>1336828</v>
      </c>
      <c r="E392" s="0" t="s">
        <v>1281</v>
      </c>
      <c r="F392" s="0" t="n">
        <v>114376</v>
      </c>
      <c r="G392" s="0" t="s">
        <v>3979</v>
      </c>
      <c r="H392" s="0" t="s">
        <v>3980</v>
      </c>
      <c r="I392" s="0" t="s">
        <v>3981</v>
      </c>
      <c r="J392" s="0" t="s">
        <v>3982</v>
      </c>
      <c r="K392" s="0" t="s">
        <v>3983</v>
      </c>
      <c r="L392" s="0" t="n">
        <v>1279867</v>
      </c>
      <c r="M392" s="0" t="s">
        <v>3984</v>
      </c>
      <c r="N392" s="0" t="n">
        <v>1067583</v>
      </c>
      <c r="O392" s="9" t="n">
        <v>7520</v>
      </c>
      <c r="P392" s="0" t="s">
        <v>240</v>
      </c>
      <c r="Q392" s="0" t="s">
        <v>3985</v>
      </c>
      <c r="R392" s="0" t="s">
        <v>3986</v>
      </c>
      <c r="S392" s="0" t="s">
        <v>3987</v>
      </c>
      <c r="T392" s="0" t="s">
        <v>2142</v>
      </c>
      <c r="U392" s="9" t="n">
        <v>0</v>
      </c>
      <c r="V392" s="0" t="n">
        <v>0</v>
      </c>
      <c r="W392" s="0" t="n">
        <v>20231231</v>
      </c>
      <c r="X392" s="0" t="n">
        <v>0.322207444052572</v>
      </c>
      <c r="Y392" s="0" t="s">
        <v>3988</v>
      </c>
      <c r="Z392" s="0" t="s">
        <v>60</v>
      </c>
    </row>
    <row r="393" customFormat="false" ht="15" hidden="false" customHeight="false" outlineLevel="0" collapsed="false">
      <c r="A393" s="0" t="n">
        <v>390</v>
      </c>
      <c r="B393" s="9" t="n">
        <v>1355181</v>
      </c>
      <c r="C393" s="0" t="n">
        <v>17749</v>
      </c>
      <c r="D393" s="0" t="n">
        <v>1052313</v>
      </c>
      <c r="E393" s="0" t="s">
        <v>208</v>
      </c>
      <c r="F393" s="0" t="n">
        <v>172387</v>
      </c>
      <c r="G393" s="0" t="s">
        <v>3989</v>
      </c>
      <c r="H393" s="0" t="s">
        <v>3990</v>
      </c>
      <c r="I393" s="0" t="s">
        <v>3991</v>
      </c>
      <c r="J393" s="0" t="s">
        <v>3992</v>
      </c>
      <c r="K393" s="0" t="s">
        <v>3993</v>
      </c>
      <c r="L393" s="0" t="n">
        <v>796866</v>
      </c>
      <c r="M393" s="0" t="s">
        <v>3994</v>
      </c>
      <c r="N393" s="0" t="n">
        <v>724667</v>
      </c>
      <c r="O393" s="9" t="n">
        <v>247</v>
      </c>
      <c r="P393" s="0" t="s">
        <v>253</v>
      </c>
      <c r="Q393" s="0" t="s">
        <v>3995</v>
      </c>
      <c r="R393" s="0" t="s">
        <v>3996</v>
      </c>
      <c r="S393" s="0" t="s">
        <v>243</v>
      </c>
      <c r="T393" s="0" t="s">
        <v>3997</v>
      </c>
      <c r="U393" s="9" t="n">
        <v>145</v>
      </c>
      <c r="V393" s="0" t="n">
        <v>0</v>
      </c>
      <c r="W393" s="0" t="n">
        <v>20231231</v>
      </c>
      <c r="X393" s="0" t="n">
        <v>1.21574319970484</v>
      </c>
      <c r="Y393" s="0" t="s">
        <v>3998</v>
      </c>
      <c r="Z393" s="0" t="s">
        <v>60</v>
      </c>
    </row>
    <row r="394" customFormat="false" ht="15" hidden="false" customHeight="false" outlineLevel="0" collapsed="false">
      <c r="A394" s="0" t="n">
        <v>391</v>
      </c>
      <c r="B394" s="9" t="n">
        <v>1594063</v>
      </c>
      <c r="C394" s="0" t="n">
        <v>17751</v>
      </c>
      <c r="D394" s="0" t="n">
        <v>1298128</v>
      </c>
      <c r="E394" s="0" t="s">
        <v>271</v>
      </c>
      <c r="F394" s="0" t="n">
        <v>137906</v>
      </c>
      <c r="G394" s="0" t="s">
        <v>3999</v>
      </c>
      <c r="H394" s="0" t="s">
        <v>4000</v>
      </c>
      <c r="I394" s="0" t="s">
        <v>4001</v>
      </c>
      <c r="J394" s="0" t="s">
        <v>4002</v>
      </c>
      <c r="K394" s="0" t="s">
        <v>4003</v>
      </c>
      <c r="L394" s="0" t="n">
        <v>1301332</v>
      </c>
      <c r="M394" s="0" t="s">
        <v>4004</v>
      </c>
      <c r="N394" s="0" t="n">
        <v>1106344</v>
      </c>
      <c r="O394" s="9" t="n">
        <v>868</v>
      </c>
      <c r="P394" s="0" t="s">
        <v>266</v>
      </c>
      <c r="Q394" s="0" t="s">
        <v>4005</v>
      </c>
      <c r="R394" s="0" t="s">
        <v>4006</v>
      </c>
      <c r="S394" s="0" t="s">
        <v>4007</v>
      </c>
      <c r="T394" s="0" t="s">
        <v>4008</v>
      </c>
      <c r="U394" s="9" t="n">
        <v>0</v>
      </c>
      <c r="V394" s="0" t="n">
        <v>12.1764467340533</v>
      </c>
      <c r="W394" s="0" t="n">
        <v>20231231</v>
      </c>
      <c r="X394" s="0" t="n">
        <v>0.596513557387332</v>
      </c>
      <c r="Y394" s="0" t="s">
        <v>4009</v>
      </c>
      <c r="Z394" s="0" t="s">
        <v>60</v>
      </c>
    </row>
    <row r="395" customFormat="false" ht="15" hidden="false" customHeight="false" outlineLevel="0" collapsed="false">
      <c r="A395" s="0" t="n">
        <v>392</v>
      </c>
      <c r="B395" s="9" t="n">
        <v>1710496</v>
      </c>
      <c r="C395" s="0" t="n">
        <v>17897</v>
      </c>
      <c r="D395" s="0" t="n">
        <v>1305375</v>
      </c>
      <c r="E395" s="0" t="s">
        <v>890</v>
      </c>
      <c r="F395" s="0" t="n">
        <v>207718</v>
      </c>
      <c r="G395" s="0" t="s">
        <v>4010</v>
      </c>
      <c r="H395" s="0" t="s">
        <v>4011</v>
      </c>
      <c r="I395" s="0" t="s">
        <v>4012</v>
      </c>
      <c r="J395" s="0" t="s">
        <v>4013</v>
      </c>
      <c r="K395" s="0" t="s">
        <v>4014</v>
      </c>
      <c r="L395" s="0" t="n">
        <v>1443037</v>
      </c>
      <c r="M395" s="0" t="s">
        <v>4015</v>
      </c>
      <c r="N395" s="0" t="n">
        <v>1358198</v>
      </c>
      <c r="O395" s="9" t="n">
        <v>3022</v>
      </c>
      <c r="P395" s="0" t="s">
        <v>278</v>
      </c>
      <c r="Q395" s="0" t="s">
        <v>4016</v>
      </c>
      <c r="R395" s="0" t="s">
        <v>4017</v>
      </c>
      <c r="S395" s="0" t="s">
        <v>4018</v>
      </c>
      <c r="T395" s="0" t="s">
        <v>4019</v>
      </c>
      <c r="U395" s="9" t="n">
        <v>0</v>
      </c>
      <c r="V395" s="0" t="n">
        <v>17.2376294794173</v>
      </c>
      <c r="W395" s="0" t="n">
        <v>20231231</v>
      </c>
      <c r="X395" s="0" t="n">
        <v>0.65399363820256</v>
      </c>
      <c r="Y395" s="0" t="s">
        <v>4020</v>
      </c>
      <c r="Z395" s="0" t="s">
        <v>60</v>
      </c>
    </row>
    <row r="396" customFormat="false" ht="15" hidden="false" customHeight="false" outlineLevel="0" collapsed="false">
      <c r="A396" s="0" t="n">
        <v>393</v>
      </c>
      <c r="B396" s="9" t="n">
        <v>786047</v>
      </c>
      <c r="C396" s="0" t="n">
        <v>17951</v>
      </c>
      <c r="D396" s="0" t="n">
        <v>667956</v>
      </c>
      <c r="E396" s="0" t="s">
        <v>85</v>
      </c>
      <c r="F396" s="0" t="n">
        <v>61893</v>
      </c>
      <c r="G396" s="0" t="s">
        <v>4021</v>
      </c>
      <c r="H396" s="0" t="s">
        <v>4022</v>
      </c>
      <c r="I396" s="0" t="s">
        <v>4023</v>
      </c>
      <c r="J396" s="0" t="s">
        <v>4024</v>
      </c>
      <c r="K396" s="0" t="s">
        <v>4025</v>
      </c>
      <c r="L396" s="0" t="n">
        <v>579733</v>
      </c>
      <c r="M396" s="0" t="s">
        <v>4026</v>
      </c>
      <c r="N396" s="0" t="n">
        <v>540903</v>
      </c>
      <c r="O396" s="9" t="n">
        <v>175</v>
      </c>
      <c r="P396" s="0" t="s">
        <v>290</v>
      </c>
      <c r="Q396" s="0" t="s">
        <v>4027</v>
      </c>
      <c r="R396" s="0" t="s">
        <v>4028</v>
      </c>
      <c r="S396" s="0" t="s">
        <v>4029</v>
      </c>
      <c r="T396" s="0" t="s">
        <v>400</v>
      </c>
      <c r="U396" s="9" t="n">
        <v>0</v>
      </c>
      <c r="V396" s="0" t="n">
        <v>14.5884941078829</v>
      </c>
      <c r="W396" s="0" t="n">
        <v>20231231</v>
      </c>
      <c r="X396" s="0" t="n">
        <v>0.589256193210774</v>
      </c>
      <c r="Y396" s="0" t="s">
        <v>4030</v>
      </c>
      <c r="Z396" s="0" t="s">
        <v>158</v>
      </c>
    </row>
    <row r="397" customFormat="false" ht="15" hidden="false" customHeight="false" outlineLevel="0" collapsed="false">
      <c r="A397" s="0" t="n">
        <v>394</v>
      </c>
      <c r="B397" s="9" t="n">
        <v>1368285</v>
      </c>
      <c r="C397" s="0" t="n">
        <v>17960</v>
      </c>
      <c r="D397" s="0" t="n">
        <v>1030269</v>
      </c>
      <c r="E397" s="0" t="s">
        <v>246</v>
      </c>
      <c r="F397" s="0" t="n">
        <v>113530</v>
      </c>
      <c r="G397" s="0" t="s">
        <v>4031</v>
      </c>
      <c r="H397" s="0" t="s">
        <v>4032</v>
      </c>
      <c r="I397" s="0" t="s">
        <v>4033</v>
      </c>
      <c r="J397" s="0" t="s">
        <v>4034</v>
      </c>
      <c r="K397" s="0" t="s">
        <v>4035</v>
      </c>
      <c r="L397" s="0" t="n">
        <v>1165140</v>
      </c>
      <c r="M397" s="0" t="s">
        <v>4036</v>
      </c>
      <c r="N397" s="0" t="n">
        <v>832768</v>
      </c>
      <c r="O397" s="9" t="n">
        <v>8829</v>
      </c>
      <c r="P397" s="0" t="s">
        <v>302</v>
      </c>
      <c r="Q397" s="0" t="s">
        <v>4037</v>
      </c>
      <c r="R397" s="0" t="s">
        <v>4038</v>
      </c>
      <c r="S397" s="0" t="s">
        <v>4039</v>
      </c>
      <c r="T397" s="0" t="s">
        <v>4040</v>
      </c>
      <c r="U397" s="9" t="n">
        <v>284</v>
      </c>
      <c r="V397" s="0" t="n">
        <v>13.2488524274602</v>
      </c>
      <c r="W397" s="0" t="n">
        <v>20231231</v>
      </c>
      <c r="X397" s="0" t="n">
        <v>0.517619709580597</v>
      </c>
      <c r="Y397" s="0" t="s">
        <v>4041</v>
      </c>
      <c r="Z397" s="0" t="s">
        <v>158</v>
      </c>
    </row>
    <row r="398" customFormat="false" ht="15" hidden="false" customHeight="false" outlineLevel="0" collapsed="false">
      <c r="A398" s="0" t="n">
        <v>395</v>
      </c>
      <c r="B398" s="9" t="n">
        <v>2515915</v>
      </c>
      <c r="C398" s="0" t="n">
        <v>18012</v>
      </c>
      <c r="D398" s="0" t="n">
        <v>2106019</v>
      </c>
      <c r="E398" s="0" t="s">
        <v>890</v>
      </c>
      <c r="F398" s="0" t="n">
        <v>266248</v>
      </c>
      <c r="G398" s="0" t="s">
        <v>4042</v>
      </c>
      <c r="H398" s="0" t="s">
        <v>4043</v>
      </c>
      <c r="I398" s="0" t="s">
        <v>4044</v>
      </c>
      <c r="J398" s="0" t="s">
        <v>4045</v>
      </c>
      <c r="K398" s="0" t="s">
        <v>4046</v>
      </c>
      <c r="L398" s="0" t="n">
        <v>1993532</v>
      </c>
      <c r="M398" s="0" t="s">
        <v>4047</v>
      </c>
      <c r="N398" s="0" t="n">
        <v>1887130</v>
      </c>
      <c r="O398" s="9" t="n">
        <v>555</v>
      </c>
      <c r="P398" s="0" t="s">
        <v>312</v>
      </c>
      <c r="Q398" s="0" t="s">
        <v>4048</v>
      </c>
      <c r="R398" s="0" t="s">
        <v>4049</v>
      </c>
      <c r="S398" s="0" t="s">
        <v>4050</v>
      </c>
      <c r="T398" s="0" t="s">
        <v>4051</v>
      </c>
      <c r="U398" s="9" t="n">
        <v>0</v>
      </c>
      <c r="V398" s="0" t="n">
        <v>14.2074219489545</v>
      </c>
      <c r="W398" s="0" t="n">
        <v>20231231</v>
      </c>
      <c r="X398" s="0" t="n">
        <v>0.877971664486964</v>
      </c>
      <c r="Y398" s="0" t="s">
        <v>4052</v>
      </c>
      <c r="Z398" s="0" t="s">
        <v>158</v>
      </c>
    </row>
    <row r="399" customFormat="false" ht="15" hidden="false" customHeight="false" outlineLevel="0" collapsed="false">
      <c r="A399" s="0" t="n">
        <v>396</v>
      </c>
      <c r="B399" s="9" t="n">
        <v>2931539</v>
      </c>
      <c r="C399" s="0" t="n">
        <v>18013</v>
      </c>
      <c r="D399" s="0" t="n">
        <v>2493477</v>
      </c>
      <c r="E399" s="0" t="s">
        <v>246</v>
      </c>
      <c r="F399" s="0" t="n">
        <v>220301</v>
      </c>
      <c r="G399" s="0" t="s">
        <v>4053</v>
      </c>
      <c r="H399" s="0" t="s">
        <v>4054</v>
      </c>
      <c r="I399" s="0" t="s">
        <v>4055</v>
      </c>
      <c r="J399" s="0" t="s">
        <v>4056</v>
      </c>
      <c r="K399" s="0" t="s">
        <v>4057</v>
      </c>
      <c r="L399" s="0" t="n">
        <v>2374611</v>
      </c>
      <c r="M399" s="0" t="s">
        <v>4058</v>
      </c>
      <c r="N399" s="0" t="n">
        <v>2161468</v>
      </c>
      <c r="O399" s="9" t="n">
        <v>686</v>
      </c>
      <c r="P399" s="0" t="s">
        <v>324</v>
      </c>
      <c r="Q399" s="0" t="s">
        <v>4059</v>
      </c>
      <c r="R399" s="0" t="s">
        <v>4060</v>
      </c>
      <c r="S399" s="0" t="s">
        <v>4061</v>
      </c>
      <c r="T399" s="0" t="s">
        <v>4062</v>
      </c>
      <c r="U399" s="9" t="n">
        <v>24</v>
      </c>
      <c r="V399" s="0" t="n">
        <v>12.6829971931169</v>
      </c>
      <c r="W399" s="0" t="n">
        <v>20231231</v>
      </c>
      <c r="X399" s="0" t="n">
        <v>0.394516829891397</v>
      </c>
      <c r="Y399" s="0" t="s">
        <v>4063</v>
      </c>
      <c r="Z399" s="0" t="s">
        <v>158</v>
      </c>
    </row>
    <row r="400" customFormat="false" ht="15" hidden="false" customHeight="false" outlineLevel="0" collapsed="false">
      <c r="A400" s="0" t="n">
        <v>397</v>
      </c>
      <c r="B400" s="9" t="n">
        <v>392854</v>
      </c>
      <c r="C400" s="0" t="n">
        <v>18028</v>
      </c>
      <c r="D400" s="0" t="n">
        <v>313497</v>
      </c>
      <c r="E400" s="0" t="s">
        <v>259</v>
      </c>
      <c r="F400" s="0" t="n">
        <v>40632</v>
      </c>
      <c r="G400" s="0" t="s">
        <v>4064</v>
      </c>
      <c r="H400" s="0" t="s">
        <v>4065</v>
      </c>
      <c r="I400" s="0" t="s">
        <v>4066</v>
      </c>
      <c r="J400" s="0" t="s">
        <v>4067</v>
      </c>
      <c r="K400" s="0" t="s">
        <v>4068</v>
      </c>
      <c r="L400" s="0" t="n">
        <v>265068</v>
      </c>
      <c r="M400" s="0" t="s">
        <v>4069</v>
      </c>
      <c r="N400" s="0" t="n">
        <v>237654</v>
      </c>
      <c r="O400" s="9" t="n">
        <v>817</v>
      </c>
      <c r="P400" s="0" t="s">
        <v>337</v>
      </c>
      <c r="Q400" s="0" t="s">
        <v>4070</v>
      </c>
      <c r="R400" s="0" t="s">
        <v>4071</v>
      </c>
      <c r="S400" s="0" t="s">
        <v>4072</v>
      </c>
      <c r="T400" s="0" t="s">
        <v>4073</v>
      </c>
      <c r="U400" s="9" t="n">
        <v>104</v>
      </c>
      <c r="V400" s="0" t="n">
        <v>0</v>
      </c>
      <c r="W400" s="0" t="n">
        <v>20231231</v>
      </c>
      <c r="X400" s="0" t="n">
        <v>0.610395045804294</v>
      </c>
      <c r="Y400" s="0" t="s">
        <v>901</v>
      </c>
      <c r="Z400" s="0" t="s">
        <v>158</v>
      </c>
    </row>
    <row r="401" customFormat="false" ht="15" hidden="false" customHeight="false" outlineLevel="0" collapsed="false">
      <c r="A401" s="0" t="n">
        <v>398</v>
      </c>
      <c r="B401" s="9" t="n">
        <v>727730</v>
      </c>
      <c r="C401" s="0" t="n">
        <v>18030</v>
      </c>
      <c r="D401" s="0" t="n">
        <v>660214</v>
      </c>
      <c r="E401" s="0" t="s">
        <v>271</v>
      </c>
      <c r="F401" s="0" t="n">
        <v>49050</v>
      </c>
      <c r="G401" s="0" t="s">
        <v>4074</v>
      </c>
      <c r="H401" s="0" t="s">
        <v>4075</v>
      </c>
      <c r="I401" s="0" t="s">
        <v>4076</v>
      </c>
      <c r="J401" s="0" t="s">
        <v>4077</v>
      </c>
      <c r="K401" s="0" t="s">
        <v>4078</v>
      </c>
      <c r="L401" s="0" t="n">
        <v>587845</v>
      </c>
      <c r="M401" s="0" t="s">
        <v>4079</v>
      </c>
      <c r="N401" s="0" t="n">
        <v>451120</v>
      </c>
      <c r="O401" s="9" t="n">
        <v>456</v>
      </c>
      <c r="P401" s="0" t="s">
        <v>349</v>
      </c>
      <c r="Q401" s="0" t="s">
        <v>4080</v>
      </c>
      <c r="R401" s="0" t="s">
        <v>4081</v>
      </c>
      <c r="S401" s="0" t="s">
        <v>4082</v>
      </c>
      <c r="T401" s="0" t="s">
        <v>4083</v>
      </c>
      <c r="U401" s="9" t="n">
        <v>0</v>
      </c>
      <c r="V401" s="0" t="n">
        <v>13.2959890498966</v>
      </c>
      <c r="W401" s="0" t="n">
        <v>20231231</v>
      </c>
      <c r="X401" s="0" t="n">
        <v>0.703209915440082</v>
      </c>
      <c r="Y401" s="0" t="s">
        <v>4084</v>
      </c>
      <c r="Z401" s="0" t="s">
        <v>158</v>
      </c>
    </row>
    <row r="402" customFormat="false" ht="15" hidden="false" customHeight="false" outlineLevel="0" collapsed="false">
      <c r="A402" s="0" t="n">
        <v>399</v>
      </c>
      <c r="B402" s="9" t="n">
        <v>684364</v>
      </c>
      <c r="C402" s="0" t="n">
        <v>18031</v>
      </c>
      <c r="D402" s="0" t="n">
        <v>562404</v>
      </c>
      <c r="E402" s="0" t="s">
        <v>794</v>
      </c>
      <c r="F402" s="0" t="n">
        <v>37606</v>
      </c>
      <c r="G402" s="0" t="s">
        <v>4085</v>
      </c>
      <c r="H402" s="0" t="s">
        <v>4086</v>
      </c>
      <c r="I402" s="0" t="s">
        <v>4087</v>
      </c>
      <c r="J402" s="0" t="s">
        <v>4088</v>
      </c>
      <c r="K402" s="0" t="s">
        <v>4089</v>
      </c>
      <c r="L402" s="0" t="n">
        <v>480262</v>
      </c>
      <c r="M402" s="0" t="s">
        <v>4090</v>
      </c>
      <c r="N402" s="0" t="n">
        <v>439722</v>
      </c>
      <c r="O402" s="9" t="n">
        <v>697</v>
      </c>
      <c r="P402" s="0" t="s">
        <v>361</v>
      </c>
      <c r="Q402" s="0" t="s">
        <v>4091</v>
      </c>
      <c r="R402" s="0" t="s">
        <v>4092</v>
      </c>
      <c r="S402" s="0" t="s">
        <v>2173</v>
      </c>
      <c r="T402" s="0" t="s">
        <v>4093</v>
      </c>
      <c r="U402" s="9" t="n">
        <v>0</v>
      </c>
      <c r="V402" s="0" t="n">
        <v>16.0938463078374</v>
      </c>
      <c r="W402" s="0" t="n">
        <v>20231231</v>
      </c>
      <c r="X402" s="0" t="n">
        <v>0.257383867860737</v>
      </c>
      <c r="Y402" s="0" t="s">
        <v>4094</v>
      </c>
      <c r="Z402" s="0" t="s">
        <v>158</v>
      </c>
    </row>
    <row r="403" customFormat="false" ht="15" hidden="false" customHeight="false" outlineLevel="0" collapsed="false">
      <c r="A403" s="0" t="n">
        <v>400</v>
      </c>
      <c r="B403" s="9" t="n">
        <v>552093</v>
      </c>
      <c r="C403" s="0" t="n">
        <v>18038</v>
      </c>
      <c r="D403" s="0" t="n">
        <v>419606</v>
      </c>
      <c r="E403" s="0" t="s">
        <v>1281</v>
      </c>
      <c r="F403" s="0" t="n">
        <v>66547</v>
      </c>
      <c r="G403" s="0" t="s">
        <v>4095</v>
      </c>
      <c r="H403" s="0" t="s">
        <v>4096</v>
      </c>
      <c r="I403" s="0" t="s">
        <v>4097</v>
      </c>
      <c r="J403" s="0" t="s">
        <v>4098</v>
      </c>
      <c r="K403" s="0" t="s">
        <v>4099</v>
      </c>
      <c r="L403" s="0" t="n">
        <v>418246</v>
      </c>
      <c r="M403" s="0" t="s">
        <v>4100</v>
      </c>
      <c r="N403" s="0" t="n">
        <v>392161</v>
      </c>
      <c r="O403" s="9" t="n">
        <v>2367</v>
      </c>
      <c r="P403" s="0" t="s">
        <v>372</v>
      </c>
      <c r="Q403" s="0" t="s">
        <v>4101</v>
      </c>
      <c r="R403" s="0" t="s">
        <v>4102</v>
      </c>
      <c r="S403" s="0" t="s">
        <v>4103</v>
      </c>
      <c r="T403" s="0" t="s">
        <v>4104</v>
      </c>
      <c r="U403" s="9" t="n">
        <v>0</v>
      </c>
      <c r="V403" s="0" t="n">
        <v>0</v>
      </c>
      <c r="W403" s="0" t="n">
        <v>20231231</v>
      </c>
      <c r="X403" s="0" t="n">
        <v>0.311938300906613</v>
      </c>
      <c r="Y403" s="0" t="s">
        <v>4105</v>
      </c>
      <c r="Z403" s="0" t="s">
        <v>158</v>
      </c>
    </row>
    <row r="404" customFormat="false" ht="15" hidden="false" customHeight="false" outlineLevel="0" collapsed="false">
      <c r="A404" s="0" t="n">
        <v>401</v>
      </c>
      <c r="B404" s="9" t="n">
        <v>7260613</v>
      </c>
      <c r="C404" s="0" t="n">
        <v>18408</v>
      </c>
      <c r="D404" s="0" t="n">
        <v>5329154</v>
      </c>
      <c r="E404" s="0" t="s">
        <v>742</v>
      </c>
      <c r="F404" s="0" t="n">
        <v>408311</v>
      </c>
      <c r="G404" s="0" t="s">
        <v>4106</v>
      </c>
      <c r="H404" s="0" t="s">
        <v>4107</v>
      </c>
      <c r="I404" s="0" t="s">
        <v>4108</v>
      </c>
      <c r="J404" s="0" t="s">
        <v>4109</v>
      </c>
      <c r="K404" s="0" t="s">
        <v>4110</v>
      </c>
      <c r="L404" s="0" t="n">
        <v>4829377</v>
      </c>
      <c r="M404" s="0" t="s">
        <v>4111</v>
      </c>
      <c r="N404" s="0" t="n">
        <v>4395557</v>
      </c>
      <c r="O404" s="9" t="n">
        <v>3682</v>
      </c>
      <c r="P404" s="0" t="s">
        <v>384</v>
      </c>
      <c r="Q404" s="0" t="s">
        <v>4112</v>
      </c>
      <c r="R404" s="0" t="s">
        <v>4113</v>
      </c>
      <c r="S404" s="0" t="s">
        <v>4114</v>
      </c>
      <c r="T404" s="0" t="s">
        <v>4115</v>
      </c>
      <c r="U404" s="9" t="n">
        <v>0</v>
      </c>
      <c r="V404" s="0" t="n">
        <v>11.8012092146704</v>
      </c>
      <c r="W404" s="0" t="n">
        <v>20231231</v>
      </c>
      <c r="X404" s="0" t="n">
        <v>0.245774438397451</v>
      </c>
      <c r="Y404" s="0" t="s">
        <v>4116</v>
      </c>
      <c r="Z404" s="0" t="s">
        <v>60</v>
      </c>
    </row>
    <row r="405" customFormat="false" ht="15" hidden="false" customHeight="false" outlineLevel="0" collapsed="false">
      <c r="A405" s="0" t="n">
        <v>402</v>
      </c>
      <c r="B405" s="9" t="n">
        <v>2483046</v>
      </c>
      <c r="C405" s="0" t="n">
        <v>19531</v>
      </c>
      <c r="D405" s="0" t="n">
        <v>2045823</v>
      </c>
      <c r="E405" s="0" t="s">
        <v>4117</v>
      </c>
      <c r="F405" s="0" t="n">
        <v>242363</v>
      </c>
      <c r="G405" s="0" t="s">
        <v>4118</v>
      </c>
      <c r="H405" s="0" t="s">
        <v>4119</v>
      </c>
      <c r="I405" s="0" t="s">
        <v>4120</v>
      </c>
      <c r="J405" s="0" t="s">
        <v>4121</v>
      </c>
      <c r="K405" s="0" t="s">
        <v>4122</v>
      </c>
      <c r="L405" s="0" t="n">
        <v>1996479</v>
      </c>
      <c r="M405" s="0" t="s">
        <v>4123</v>
      </c>
      <c r="N405" s="0" t="n">
        <v>1632308</v>
      </c>
      <c r="O405" s="9" t="n">
        <v>6950</v>
      </c>
      <c r="P405" s="0" t="s">
        <v>397</v>
      </c>
      <c r="Q405" s="0" t="s">
        <v>4124</v>
      </c>
      <c r="R405" s="0" t="s">
        <v>4125</v>
      </c>
      <c r="S405" s="0" t="s">
        <v>4126</v>
      </c>
      <c r="T405" s="0" t="s">
        <v>4127</v>
      </c>
      <c r="U405" s="9" t="n">
        <v>53</v>
      </c>
      <c r="V405" s="0" t="n">
        <v>14.4325224821325</v>
      </c>
      <c r="W405" s="0" t="n">
        <v>20231231</v>
      </c>
      <c r="X405" s="0" t="n">
        <v>0.483130976497632</v>
      </c>
      <c r="Y405" s="0" t="s">
        <v>4128</v>
      </c>
      <c r="Z405" s="0" t="s">
        <v>60</v>
      </c>
    </row>
    <row r="406" customFormat="false" ht="15" hidden="false" customHeight="false" outlineLevel="0" collapsed="false">
      <c r="A406" s="0" t="n">
        <v>403</v>
      </c>
      <c r="B406" s="9" t="n">
        <v>876702</v>
      </c>
      <c r="C406" s="0" t="n">
        <v>19532</v>
      </c>
      <c r="D406" s="0" t="n">
        <v>727881</v>
      </c>
      <c r="E406" s="0" t="s">
        <v>208</v>
      </c>
      <c r="F406" s="0" t="n">
        <v>96676</v>
      </c>
      <c r="G406" s="0" t="s">
        <v>4129</v>
      </c>
      <c r="H406" s="0" t="s">
        <v>4130</v>
      </c>
      <c r="I406" s="0" t="s">
        <v>4131</v>
      </c>
      <c r="J406" s="0" t="s">
        <v>4132</v>
      </c>
      <c r="K406" s="0" t="s">
        <v>4133</v>
      </c>
      <c r="L406" s="0" t="n">
        <v>585480</v>
      </c>
      <c r="M406" s="0" t="s">
        <v>4134</v>
      </c>
      <c r="N406" s="0" t="n">
        <v>482338</v>
      </c>
      <c r="O406" s="9" t="n">
        <v>1128</v>
      </c>
      <c r="P406" s="0" t="s">
        <v>409</v>
      </c>
      <c r="Q406" s="0" t="s">
        <v>4135</v>
      </c>
      <c r="R406" s="0" t="s">
        <v>4136</v>
      </c>
      <c r="S406" s="0" t="s">
        <v>4137</v>
      </c>
      <c r="T406" s="0" t="s">
        <v>4138</v>
      </c>
      <c r="U406" s="9" t="n">
        <v>12</v>
      </c>
      <c r="V406" s="0" t="n">
        <v>20.8402581908709</v>
      </c>
      <c r="W406" s="0" t="n">
        <v>20231231</v>
      </c>
      <c r="X406" s="0" t="n">
        <v>0.768323735574911</v>
      </c>
      <c r="Y406" s="0" t="s">
        <v>4139</v>
      </c>
      <c r="Z406" s="0" t="s">
        <v>60</v>
      </c>
    </row>
    <row r="407" customFormat="false" ht="15" hidden="false" customHeight="false" outlineLevel="0" collapsed="false">
      <c r="A407" s="0" t="n">
        <v>404</v>
      </c>
      <c r="B407" s="9" t="n">
        <v>2968976</v>
      </c>
      <c r="C407" s="0" t="n">
        <v>19690</v>
      </c>
      <c r="D407" s="0" t="n">
        <v>2150988</v>
      </c>
      <c r="E407" s="0" t="s">
        <v>172</v>
      </c>
      <c r="F407" s="0" t="n">
        <v>327540</v>
      </c>
      <c r="G407" s="0" t="s">
        <v>4140</v>
      </c>
      <c r="H407" s="0" t="s">
        <v>4141</v>
      </c>
      <c r="I407" s="0" t="s">
        <v>4142</v>
      </c>
      <c r="J407" s="0" t="s">
        <v>4143</v>
      </c>
      <c r="K407" s="0" t="s">
        <v>4144</v>
      </c>
      <c r="L407" s="0" t="n">
        <v>2611058</v>
      </c>
      <c r="M407" s="0" t="s">
        <v>4145</v>
      </c>
      <c r="N407" s="0" t="n">
        <v>2127332</v>
      </c>
      <c r="O407" s="9" t="n">
        <v>30772</v>
      </c>
      <c r="P407" s="0" t="s">
        <v>420</v>
      </c>
      <c r="Q407" s="0" t="s">
        <v>4146</v>
      </c>
      <c r="R407" s="0" t="s">
        <v>4147</v>
      </c>
      <c r="S407" s="0" t="s">
        <v>4148</v>
      </c>
      <c r="T407" s="0" t="s">
        <v>4149</v>
      </c>
      <c r="U407" s="9" t="n">
        <v>0</v>
      </c>
      <c r="V407" s="0" t="n">
        <v>13.7063330070435</v>
      </c>
      <c r="W407" s="0" t="n">
        <v>20231231</v>
      </c>
      <c r="X407" s="0" t="n">
        <v>1.87023078988431</v>
      </c>
      <c r="Y407" s="0" t="s">
        <v>4150</v>
      </c>
      <c r="Z407" s="0" t="s">
        <v>60</v>
      </c>
    </row>
    <row r="408" customFormat="false" ht="15" hidden="false" customHeight="false" outlineLevel="0" collapsed="false">
      <c r="A408" s="0" t="n">
        <v>405</v>
      </c>
      <c r="B408" s="9" t="n">
        <v>659684</v>
      </c>
      <c r="C408" s="0" t="n">
        <v>19836</v>
      </c>
      <c r="D408" s="0" t="n">
        <v>484649</v>
      </c>
      <c r="E408" s="0" t="s">
        <v>271</v>
      </c>
      <c r="F408" s="0" t="n">
        <v>120787</v>
      </c>
      <c r="G408" s="0" t="s">
        <v>4151</v>
      </c>
      <c r="H408" s="0" t="s">
        <v>4152</v>
      </c>
      <c r="I408" s="0" t="s">
        <v>4153</v>
      </c>
      <c r="J408" s="0" t="s">
        <v>4154</v>
      </c>
      <c r="K408" s="0" t="s">
        <v>4155</v>
      </c>
      <c r="L408" s="0" t="n">
        <v>547206</v>
      </c>
      <c r="M408" s="0" t="s">
        <v>4156</v>
      </c>
      <c r="N408" s="0" t="n">
        <v>481157</v>
      </c>
      <c r="O408" s="9" t="n">
        <v>3751</v>
      </c>
      <c r="P408" s="0" t="s">
        <v>290</v>
      </c>
      <c r="Q408" s="0" t="s">
        <v>4157</v>
      </c>
      <c r="R408" s="0" t="s">
        <v>4158</v>
      </c>
      <c r="S408" s="0" t="s">
        <v>2372</v>
      </c>
      <c r="T408" s="0" t="s">
        <v>4159</v>
      </c>
      <c r="U408" s="9" t="n">
        <v>123</v>
      </c>
      <c r="V408" s="0" t="n">
        <v>25.7908734334641</v>
      </c>
      <c r="W408" s="0" t="n">
        <v>20231231</v>
      </c>
      <c r="X408" s="0" t="n">
        <v>0.787682704932891</v>
      </c>
      <c r="Y408" s="0" t="s">
        <v>4160</v>
      </c>
      <c r="Z408" s="0" t="s">
        <v>60</v>
      </c>
    </row>
    <row r="409" customFormat="false" ht="15" hidden="false" customHeight="false" outlineLevel="0" collapsed="false">
      <c r="A409" s="0" t="n">
        <v>406</v>
      </c>
      <c r="B409" s="9" t="n">
        <v>1381838</v>
      </c>
      <c r="C409" s="0" t="n">
        <v>24540</v>
      </c>
      <c r="D409" s="0" t="n">
        <v>1106164</v>
      </c>
      <c r="E409" s="0" t="s">
        <v>513</v>
      </c>
      <c r="F409" s="0" t="n">
        <v>246470</v>
      </c>
      <c r="G409" s="0" t="s">
        <v>4161</v>
      </c>
      <c r="H409" s="0" t="s">
        <v>4162</v>
      </c>
      <c r="I409" s="0" t="s">
        <v>4163</v>
      </c>
      <c r="J409" s="0" t="s">
        <v>4164</v>
      </c>
      <c r="K409" s="0" t="s">
        <v>3333</v>
      </c>
      <c r="L409" s="0" t="n">
        <v>1204510</v>
      </c>
      <c r="M409" s="0" t="s">
        <v>4165</v>
      </c>
      <c r="N409" s="0" t="n">
        <v>1166184</v>
      </c>
      <c r="O409" s="9" t="n">
        <v>430</v>
      </c>
      <c r="P409" s="0" t="s">
        <v>443</v>
      </c>
      <c r="Q409" s="0" t="s">
        <v>4166</v>
      </c>
      <c r="R409" s="0" t="s">
        <v>4167</v>
      </c>
      <c r="S409" s="0" t="s">
        <v>61</v>
      </c>
      <c r="T409" s="0" t="s">
        <v>4168</v>
      </c>
      <c r="U409" s="9" t="n">
        <v>0</v>
      </c>
      <c r="V409" s="0" t="n">
        <v>19.0652745831146</v>
      </c>
      <c r="W409" s="0" t="n">
        <v>20231231</v>
      </c>
      <c r="X409" s="0" t="n">
        <v>2.38776188693731</v>
      </c>
      <c r="Y409" s="0" t="s">
        <v>4169</v>
      </c>
      <c r="Z409" s="0" t="s">
        <v>158</v>
      </c>
    </row>
    <row r="410" customFormat="false" ht="15" hidden="false" customHeight="false" outlineLevel="0" collapsed="false">
      <c r="A410" s="0" t="n">
        <v>407</v>
      </c>
      <c r="B410" s="9" t="n">
        <v>540887</v>
      </c>
      <c r="C410" s="0" t="n">
        <v>27824</v>
      </c>
      <c r="D410" s="0" t="n">
        <v>387033</v>
      </c>
      <c r="E410" s="0" t="s">
        <v>1281</v>
      </c>
      <c r="F410" s="0" t="n">
        <v>65160</v>
      </c>
      <c r="G410" s="0" t="s">
        <v>4170</v>
      </c>
      <c r="H410" s="0" t="s">
        <v>4171</v>
      </c>
      <c r="I410" s="0" t="s">
        <v>4172</v>
      </c>
      <c r="J410" s="0" t="s">
        <v>4173</v>
      </c>
      <c r="K410" s="0" t="s">
        <v>4174</v>
      </c>
      <c r="L410" s="0" t="n">
        <v>453372</v>
      </c>
      <c r="M410" s="0" t="s">
        <v>4175</v>
      </c>
      <c r="N410" s="0" t="n">
        <v>388283</v>
      </c>
      <c r="O410" s="9" t="n">
        <v>1178</v>
      </c>
      <c r="P410" s="0" t="s">
        <v>453</v>
      </c>
      <c r="Q410" s="0" t="s">
        <v>4176</v>
      </c>
      <c r="R410" s="0" t="s">
        <v>4177</v>
      </c>
      <c r="S410" s="0" t="s">
        <v>551</v>
      </c>
      <c r="T410" s="0" t="s">
        <v>4178</v>
      </c>
      <c r="U410" s="9" t="n">
        <v>0</v>
      </c>
      <c r="V410" s="0" t="n">
        <v>21.059017196498</v>
      </c>
      <c r="W410" s="0" t="n">
        <v>20231231</v>
      </c>
      <c r="X410" s="0" t="n">
        <v>-0.189996164928387</v>
      </c>
      <c r="Y410" s="0" t="s">
        <v>283</v>
      </c>
      <c r="Z410" s="0" t="s">
        <v>158</v>
      </c>
    </row>
    <row r="411" customFormat="false" ht="15" hidden="false" customHeight="false" outlineLevel="0" collapsed="false">
      <c r="A411" s="0" t="n">
        <v>408</v>
      </c>
      <c r="B411" s="9" t="n">
        <v>300333</v>
      </c>
      <c r="C411" s="0" t="n">
        <v>28155</v>
      </c>
      <c r="D411" s="0" t="n">
        <v>262408</v>
      </c>
      <c r="E411" s="0" t="s">
        <v>1500</v>
      </c>
      <c r="F411" s="0" t="n">
        <v>27418</v>
      </c>
      <c r="G411" s="0" t="s">
        <v>4179</v>
      </c>
      <c r="H411" s="0" t="s">
        <v>4180</v>
      </c>
      <c r="I411" s="0" t="s">
        <v>4181</v>
      </c>
      <c r="J411" s="0" t="s">
        <v>4182</v>
      </c>
      <c r="K411" s="0" t="s">
        <v>4183</v>
      </c>
      <c r="L411" s="0" t="n">
        <v>167102</v>
      </c>
      <c r="M411" s="0" t="s">
        <v>4184</v>
      </c>
      <c r="N411" s="0" t="n">
        <v>149453</v>
      </c>
      <c r="O411" s="9" t="n">
        <v>0</v>
      </c>
      <c r="P411" s="0" t="s">
        <v>464</v>
      </c>
      <c r="Q411" s="0" t="s">
        <v>61</v>
      </c>
      <c r="R411" s="0" t="s">
        <v>4185</v>
      </c>
      <c r="S411" s="0" t="s">
        <v>1018</v>
      </c>
      <c r="T411" s="0" t="s">
        <v>4186</v>
      </c>
      <c r="U411" s="9" t="n">
        <v>0</v>
      </c>
      <c r="V411" s="0" t="n">
        <v>17.465163376961</v>
      </c>
      <c r="W411" s="0" t="n">
        <v>20231231</v>
      </c>
      <c r="X411" s="0" t="n">
        <v>-0.0555299835149543</v>
      </c>
      <c r="Y411" s="0" t="s">
        <v>4187</v>
      </c>
      <c r="Z411" s="0" t="s">
        <v>158</v>
      </c>
    </row>
    <row r="412" customFormat="false" ht="15" hidden="false" customHeight="false" outlineLevel="0" collapsed="false">
      <c r="A412" s="0" t="n">
        <v>409</v>
      </c>
      <c r="B412" s="9" t="n">
        <v>105413</v>
      </c>
      <c r="C412" s="0" t="n">
        <v>28288</v>
      </c>
      <c r="D412" s="0" t="n">
        <v>79221</v>
      </c>
      <c r="E412" s="0" t="s">
        <v>61</v>
      </c>
      <c r="F412" s="0" t="n">
        <v>6044</v>
      </c>
      <c r="G412" s="0" t="s">
        <v>4188</v>
      </c>
      <c r="H412" s="0" t="s">
        <v>4189</v>
      </c>
      <c r="I412" s="0" t="s">
        <v>4190</v>
      </c>
      <c r="J412" s="0" t="s">
        <v>4191</v>
      </c>
      <c r="K412" s="0" t="s">
        <v>4192</v>
      </c>
      <c r="L412" s="0" t="n">
        <v>84936</v>
      </c>
      <c r="M412" s="0" t="s">
        <v>4193</v>
      </c>
      <c r="N412" s="0" t="n">
        <v>76865</v>
      </c>
      <c r="O412" s="9" t="n">
        <v>257</v>
      </c>
      <c r="P412" s="0" t="s">
        <v>475</v>
      </c>
      <c r="Q412" s="0" t="s">
        <v>4194</v>
      </c>
      <c r="R412" s="0" t="s">
        <v>4195</v>
      </c>
      <c r="S412" s="0" t="s">
        <v>2173</v>
      </c>
      <c r="T412" s="0" t="s">
        <v>4196</v>
      </c>
      <c r="U412" s="9" t="n">
        <v>0</v>
      </c>
      <c r="V412" s="0" t="n">
        <v>12.817178197792</v>
      </c>
      <c r="W412" s="0" t="n">
        <v>20231231</v>
      </c>
      <c r="X412" s="0" t="n">
        <v>-0.0661496616639364</v>
      </c>
      <c r="Y412" s="0" t="s">
        <v>4197</v>
      </c>
      <c r="Z412" s="0" t="s">
        <v>60</v>
      </c>
    </row>
    <row r="413" customFormat="false" ht="15" hidden="false" customHeight="false" outlineLevel="0" collapsed="false">
      <c r="A413" s="0" t="n">
        <v>410</v>
      </c>
      <c r="B413" s="9" t="n">
        <v>93947</v>
      </c>
      <c r="C413" s="0" t="n">
        <v>28369</v>
      </c>
      <c r="D413" s="0" t="n">
        <v>77109</v>
      </c>
      <c r="E413" s="0" t="s">
        <v>208</v>
      </c>
      <c r="F413" s="0" t="n">
        <v>9350</v>
      </c>
      <c r="G413" s="0" t="s">
        <v>4198</v>
      </c>
      <c r="H413" s="0" t="s">
        <v>4199</v>
      </c>
      <c r="I413" s="0" t="s">
        <v>4200</v>
      </c>
      <c r="J413" s="0" t="s">
        <v>4201</v>
      </c>
      <c r="K413" s="0" t="s">
        <v>4202</v>
      </c>
      <c r="L413" s="0" t="n">
        <v>78888</v>
      </c>
      <c r="M413" s="0" t="s">
        <v>4203</v>
      </c>
      <c r="N413" s="0" t="n">
        <v>65888</v>
      </c>
      <c r="O413" s="9" t="n">
        <v>178</v>
      </c>
      <c r="P413" s="0" t="s">
        <v>486</v>
      </c>
      <c r="Q413" s="0" t="s">
        <v>4204</v>
      </c>
      <c r="R413" s="0" t="s">
        <v>4205</v>
      </c>
      <c r="S413" s="0" t="s">
        <v>478</v>
      </c>
      <c r="T413" s="0" t="s">
        <v>4137</v>
      </c>
      <c r="U413" s="9" t="n">
        <v>0</v>
      </c>
      <c r="V413" s="0" t="n">
        <v>0</v>
      </c>
      <c r="W413" s="0" t="n">
        <v>20231231</v>
      </c>
      <c r="X413" s="0" t="n">
        <v>-0.191016386958749</v>
      </c>
      <c r="Y413" s="0" t="s">
        <v>4206</v>
      </c>
      <c r="Z413" s="0" t="s">
        <v>60</v>
      </c>
    </row>
    <row r="414" customFormat="false" ht="15" hidden="false" customHeight="false" outlineLevel="0" collapsed="false">
      <c r="A414" s="0" t="n">
        <v>411</v>
      </c>
      <c r="B414" s="9" t="n">
        <v>285205</v>
      </c>
      <c r="C414" s="0" t="n">
        <v>28837</v>
      </c>
      <c r="D414" s="0" t="n">
        <v>255839</v>
      </c>
      <c r="E414" s="0" t="s">
        <v>172</v>
      </c>
      <c r="F414" s="0" t="n">
        <v>26107</v>
      </c>
      <c r="G414" s="0" t="s">
        <v>4207</v>
      </c>
      <c r="H414" s="0" t="s">
        <v>4208</v>
      </c>
      <c r="I414" s="0" t="s">
        <v>4209</v>
      </c>
      <c r="J414" s="0" t="s">
        <v>4210</v>
      </c>
      <c r="K414" s="0" t="s">
        <v>2034</v>
      </c>
      <c r="L414" s="0" t="n">
        <v>198536</v>
      </c>
      <c r="M414" s="0" t="s">
        <v>4211</v>
      </c>
      <c r="N414" s="0" t="n">
        <v>190865</v>
      </c>
      <c r="O414" s="9" t="n">
        <v>89</v>
      </c>
      <c r="P414" s="0" t="s">
        <v>497</v>
      </c>
      <c r="Q414" s="0" t="s">
        <v>4212</v>
      </c>
      <c r="R414" s="0" t="s">
        <v>4213</v>
      </c>
      <c r="S414" s="0" t="s">
        <v>4214</v>
      </c>
      <c r="T414" s="0" t="s">
        <v>4215</v>
      </c>
      <c r="U414" s="9" t="n">
        <v>0</v>
      </c>
      <c r="V414" s="0" t="n">
        <v>16.6032466838163</v>
      </c>
      <c r="W414" s="0" t="n">
        <v>20231231</v>
      </c>
      <c r="X414" s="0" t="n">
        <v>0.843499779821749</v>
      </c>
      <c r="Y414" s="0" t="s">
        <v>4216</v>
      </c>
      <c r="Z414" s="0" t="s">
        <v>98</v>
      </c>
    </row>
    <row r="415" customFormat="false" ht="15" hidden="false" customHeight="false" outlineLevel="0" collapsed="false">
      <c r="A415" s="0" t="n">
        <v>412</v>
      </c>
      <c r="B415" s="9" t="n">
        <v>179139</v>
      </c>
      <c r="C415" s="0" t="n">
        <v>29636</v>
      </c>
      <c r="D415" s="0" t="n">
        <v>140257</v>
      </c>
      <c r="E415" s="0" t="s">
        <v>271</v>
      </c>
      <c r="F415" s="0" t="n">
        <v>25841</v>
      </c>
      <c r="G415" s="0" t="s">
        <v>4217</v>
      </c>
      <c r="H415" s="0" t="s">
        <v>4218</v>
      </c>
      <c r="I415" s="0" t="s">
        <v>4219</v>
      </c>
      <c r="J415" s="0" t="s">
        <v>4220</v>
      </c>
      <c r="K415" s="0" t="s">
        <v>4221</v>
      </c>
      <c r="L415" s="0" t="n">
        <v>134978</v>
      </c>
      <c r="M415" s="0" t="s">
        <v>4222</v>
      </c>
      <c r="N415" s="0" t="n">
        <v>131783</v>
      </c>
      <c r="O415" s="9" t="n">
        <v>1361</v>
      </c>
      <c r="P415" s="0" t="s">
        <v>509</v>
      </c>
      <c r="Q415" s="0" t="s">
        <v>4223</v>
      </c>
      <c r="R415" s="0" t="s">
        <v>4224</v>
      </c>
      <c r="S415" s="0" t="s">
        <v>4225</v>
      </c>
      <c r="T415" s="0" t="s">
        <v>401</v>
      </c>
      <c r="U415" s="9" t="n">
        <v>0</v>
      </c>
      <c r="V415" s="0" t="n">
        <v>27.101782005029</v>
      </c>
      <c r="W415" s="0" t="n">
        <v>20231231</v>
      </c>
      <c r="X415" s="0" t="n">
        <v>0.411731485018589</v>
      </c>
      <c r="Y415" s="0" t="s">
        <v>83</v>
      </c>
      <c r="Z415" s="0" t="s">
        <v>60</v>
      </c>
    </row>
    <row r="416" customFormat="false" ht="15" hidden="false" customHeight="false" outlineLevel="0" collapsed="false">
      <c r="A416" s="0" t="n">
        <v>413</v>
      </c>
      <c r="B416" s="9" t="n">
        <v>188129</v>
      </c>
      <c r="C416" s="0" t="n">
        <v>29743</v>
      </c>
      <c r="D416" s="0" t="n">
        <v>163831</v>
      </c>
      <c r="E416" s="0" t="s">
        <v>1500</v>
      </c>
      <c r="F416" s="0" t="n">
        <v>16795</v>
      </c>
      <c r="G416" s="0" t="s">
        <v>4226</v>
      </c>
      <c r="H416" s="0" t="s">
        <v>4227</v>
      </c>
      <c r="I416" s="0" t="s">
        <v>4228</v>
      </c>
      <c r="J416" s="0" t="s">
        <v>4229</v>
      </c>
      <c r="K416" s="0" t="s">
        <v>4230</v>
      </c>
      <c r="L416" s="0" t="n">
        <v>133848</v>
      </c>
      <c r="M416" s="0" t="s">
        <v>4231</v>
      </c>
      <c r="N416" s="0" t="n">
        <v>85948</v>
      </c>
      <c r="O416" s="9" t="n">
        <v>436</v>
      </c>
      <c r="P416" s="0" t="s">
        <v>520</v>
      </c>
      <c r="Q416" s="0" t="s">
        <v>4232</v>
      </c>
      <c r="R416" s="0" t="s">
        <v>4233</v>
      </c>
      <c r="S416" s="0" t="s">
        <v>1079</v>
      </c>
      <c r="T416" s="0" t="s">
        <v>4234</v>
      </c>
      <c r="U416" s="9" t="n">
        <v>0</v>
      </c>
      <c r="V416" s="0" t="n">
        <v>17.8279612561101</v>
      </c>
      <c r="W416" s="0" t="n">
        <v>20231231</v>
      </c>
      <c r="X416" s="0" t="n">
        <v>0.530724484627272</v>
      </c>
      <c r="Y416" s="0" t="s">
        <v>4235</v>
      </c>
      <c r="Z416" s="0" t="s">
        <v>60</v>
      </c>
    </row>
    <row r="417" customFormat="false" ht="15" hidden="false" customHeight="false" outlineLevel="0" collapsed="false">
      <c r="A417" s="0" t="n">
        <v>414</v>
      </c>
      <c r="B417" s="9" t="n">
        <v>571301</v>
      </c>
      <c r="C417" s="0" t="n">
        <v>29744</v>
      </c>
      <c r="D417" s="0" t="n">
        <v>426673</v>
      </c>
      <c r="E417" s="0" t="s">
        <v>195</v>
      </c>
      <c r="F417" s="0" t="n">
        <v>46181</v>
      </c>
      <c r="G417" s="0" t="s">
        <v>4236</v>
      </c>
      <c r="H417" s="0" t="s">
        <v>4237</v>
      </c>
      <c r="I417" s="0" t="s">
        <v>4238</v>
      </c>
      <c r="J417" s="0" t="s">
        <v>4239</v>
      </c>
      <c r="K417" s="0" t="s">
        <v>4240</v>
      </c>
      <c r="L417" s="0" t="n">
        <v>429667</v>
      </c>
      <c r="M417" s="0" t="s">
        <v>4241</v>
      </c>
      <c r="N417" s="0" t="n">
        <v>394330</v>
      </c>
      <c r="O417" s="9" t="n">
        <v>141</v>
      </c>
      <c r="P417" s="0" t="s">
        <v>531</v>
      </c>
      <c r="Q417" s="0" t="s">
        <v>4242</v>
      </c>
      <c r="R417" s="0" t="s">
        <v>4243</v>
      </c>
      <c r="S417" s="0" t="s">
        <v>256</v>
      </c>
      <c r="T417" s="0" t="s">
        <v>218</v>
      </c>
      <c r="U417" s="9" t="n">
        <v>0</v>
      </c>
      <c r="V417" s="0" t="n">
        <v>15.3066612398453</v>
      </c>
      <c r="W417" s="0" t="n">
        <v>20231231</v>
      </c>
      <c r="X417" s="0" t="n">
        <v>-1.92589358136684</v>
      </c>
      <c r="Y417" s="0" t="s">
        <v>4244</v>
      </c>
      <c r="Z417" s="0" t="s">
        <v>158</v>
      </c>
    </row>
    <row r="418" customFormat="false" ht="15" hidden="false" customHeight="false" outlineLevel="0" collapsed="false">
      <c r="A418" s="0" t="n">
        <v>415</v>
      </c>
      <c r="B418" s="9" t="n">
        <v>552031</v>
      </c>
      <c r="C418" s="0" t="n">
        <v>30350</v>
      </c>
      <c r="D418" s="0" t="n">
        <v>441306</v>
      </c>
      <c r="E418" s="0" t="s">
        <v>61</v>
      </c>
      <c r="F418" s="0" t="n">
        <v>56419</v>
      </c>
      <c r="G418" s="0" t="s">
        <v>4245</v>
      </c>
      <c r="H418" s="0" t="s">
        <v>4246</v>
      </c>
      <c r="I418" s="0" t="s">
        <v>4247</v>
      </c>
      <c r="J418" s="0" t="s">
        <v>4248</v>
      </c>
      <c r="K418" s="0" t="s">
        <v>4249</v>
      </c>
      <c r="L418" s="0" t="n">
        <v>403381</v>
      </c>
      <c r="M418" s="0" t="s">
        <v>4250</v>
      </c>
      <c r="N418" s="0" t="n">
        <v>383810</v>
      </c>
      <c r="O418" s="9" t="n">
        <v>2020</v>
      </c>
      <c r="P418" s="0" t="s">
        <v>543</v>
      </c>
      <c r="Q418" s="0" t="s">
        <v>4251</v>
      </c>
      <c r="R418" s="0" t="s">
        <v>4252</v>
      </c>
      <c r="S418" s="0" t="s">
        <v>4253</v>
      </c>
      <c r="T418" s="0" t="s">
        <v>4254</v>
      </c>
      <c r="U418" s="9" t="n">
        <v>0</v>
      </c>
      <c r="V418" s="0" t="n">
        <v>20.7187970391521</v>
      </c>
      <c r="W418" s="0" t="n">
        <v>20231231</v>
      </c>
      <c r="X418" s="0" t="n">
        <v>0.694638101857137</v>
      </c>
      <c r="Y418" s="0" t="s">
        <v>3711</v>
      </c>
      <c r="Z418" s="0" t="s">
        <v>98</v>
      </c>
    </row>
    <row r="419" customFormat="false" ht="15" hidden="false" customHeight="false" outlineLevel="0" collapsed="false">
      <c r="A419" s="0" t="n">
        <v>416</v>
      </c>
      <c r="B419" s="9" t="n">
        <v>105203</v>
      </c>
      <c r="C419" s="0" t="n">
        <v>30878</v>
      </c>
      <c r="D419" s="0" t="n">
        <v>73899</v>
      </c>
      <c r="E419" s="0" t="s">
        <v>1729</v>
      </c>
      <c r="F419" s="0" t="n">
        <v>12316</v>
      </c>
      <c r="G419" s="0" t="s">
        <v>4255</v>
      </c>
      <c r="H419" s="0" t="s">
        <v>4256</v>
      </c>
      <c r="I419" s="0" t="s">
        <v>4257</v>
      </c>
      <c r="J419" s="0" t="s">
        <v>61</v>
      </c>
      <c r="K419" s="0" t="s">
        <v>4258</v>
      </c>
      <c r="L419" s="0" t="n">
        <v>86638</v>
      </c>
      <c r="M419" s="0" t="s">
        <v>4259</v>
      </c>
      <c r="N419" s="0" t="n">
        <v>86535</v>
      </c>
      <c r="O419" s="9" t="n">
        <v>584</v>
      </c>
      <c r="P419" s="0" t="s">
        <v>553</v>
      </c>
      <c r="Q419" s="0" t="s">
        <v>4260</v>
      </c>
      <c r="R419" s="0" t="s">
        <v>4261</v>
      </c>
      <c r="S419" s="0" t="s">
        <v>61</v>
      </c>
      <c r="T419" s="0" t="s">
        <v>4262</v>
      </c>
      <c r="U419" s="9" t="n">
        <v>0</v>
      </c>
      <c r="V419" s="0" t="n">
        <v>0</v>
      </c>
      <c r="W419" s="0" t="n">
        <v>20231231</v>
      </c>
      <c r="X419" s="0" t="n">
        <v>-0.284696681831123</v>
      </c>
      <c r="Y419" s="0" t="s">
        <v>4263</v>
      </c>
      <c r="Z419" s="0" t="s">
        <v>60</v>
      </c>
    </row>
    <row r="420" customFormat="false" ht="15" hidden="false" customHeight="false" outlineLevel="0" collapsed="false">
      <c r="A420" s="0" t="n">
        <v>417</v>
      </c>
      <c r="B420" s="9" t="n">
        <v>854116</v>
      </c>
      <c r="C420" s="0" t="n">
        <v>33418</v>
      </c>
      <c r="D420" s="0" t="n">
        <v>664122</v>
      </c>
      <c r="E420" s="0" t="s">
        <v>1187</v>
      </c>
      <c r="F420" s="0" t="n">
        <v>68784</v>
      </c>
      <c r="G420" s="0" t="s">
        <v>4264</v>
      </c>
      <c r="H420" s="0" t="s">
        <v>4265</v>
      </c>
      <c r="I420" s="0" t="s">
        <v>4266</v>
      </c>
      <c r="J420" s="0" t="s">
        <v>4267</v>
      </c>
      <c r="K420" s="0" t="s">
        <v>4268</v>
      </c>
      <c r="L420" s="0" t="n">
        <v>418780</v>
      </c>
      <c r="M420" s="0" t="s">
        <v>4269</v>
      </c>
      <c r="N420" s="0" t="n">
        <v>354004</v>
      </c>
      <c r="O420" s="9" t="n">
        <v>1741</v>
      </c>
      <c r="P420" s="0" t="s">
        <v>564</v>
      </c>
      <c r="Q420" s="0" t="s">
        <v>4270</v>
      </c>
      <c r="R420" s="0" t="s">
        <v>4271</v>
      </c>
      <c r="S420" s="0" t="s">
        <v>4272</v>
      </c>
      <c r="T420" s="0" t="s">
        <v>4273</v>
      </c>
      <c r="U420" s="9" t="n">
        <v>0</v>
      </c>
      <c r="V420" s="0" t="n">
        <v>16.202753847616</v>
      </c>
      <c r="W420" s="0" t="n">
        <v>20231231</v>
      </c>
      <c r="X420" s="0" t="n">
        <v>0.532293820018618</v>
      </c>
      <c r="Y420" s="0" t="s">
        <v>4274</v>
      </c>
      <c r="Z420" s="0" t="s">
        <v>98</v>
      </c>
    </row>
    <row r="421" customFormat="false" ht="15" hidden="false" customHeight="false" outlineLevel="0" collapsed="false">
      <c r="A421" s="0" t="n">
        <v>418</v>
      </c>
      <c r="B421" s="9" t="n">
        <v>78004</v>
      </c>
      <c r="C421" s="0" t="n">
        <v>35206</v>
      </c>
      <c r="D421" s="0" t="n">
        <v>500</v>
      </c>
      <c r="E421" s="0" t="s">
        <v>61</v>
      </c>
      <c r="F421" s="0" t="n">
        <v>74403</v>
      </c>
      <c r="G421" s="0" t="s">
        <v>4275</v>
      </c>
      <c r="H421" s="0" t="s">
        <v>4276</v>
      </c>
      <c r="I421" s="0" t="s">
        <v>61</v>
      </c>
      <c r="J421" s="0" t="s">
        <v>61</v>
      </c>
      <c r="K421" s="0" t="s">
        <v>61</v>
      </c>
      <c r="L421" s="0" t="n">
        <v>0</v>
      </c>
      <c r="M421" s="0" t="s">
        <v>61</v>
      </c>
      <c r="N421" s="0" t="n">
        <v>0</v>
      </c>
      <c r="O421" s="9" t="n">
        <v>0</v>
      </c>
      <c r="P421" s="0" t="s">
        <v>1112</v>
      </c>
      <c r="Q421" s="0" t="s">
        <v>61</v>
      </c>
      <c r="R421" s="0" t="s">
        <v>4277</v>
      </c>
      <c r="S421" s="0" t="s">
        <v>61</v>
      </c>
      <c r="T421" s="0" t="s">
        <v>61</v>
      </c>
      <c r="U421" s="9" t="n">
        <v>0</v>
      </c>
      <c r="V421" s="0" t="n">
        <v>0</v>
      </c>
      <c r="W421" s="0" t="n">
        <v>20231231</v>
      </c>
      <c r="X421" s="0" t="n">
        <v>19.6375956732605</v>
      </c>
      <c r="Y421" s="0" t="s">
        <v>4278</v>
      </c>
      <c r="Z421" s="0" t="s">
        <v>158</v>
      </c>
    </row>
    <row r="422" customFormat="false" ht="15" hidden="false" customHeight="false" outlineLevel="0" collapsed="false">
      <c r="A422" s="0" t="n">
        <v>419</v>
      </c>
      <c r="B422" s="9" t="n">
        <v>5700364</v>
      </c>
      <c r="C422" s="0" t="n">
        <v>4255</v>
      </c>
      <c r="D422" s="0" t="n">
        <v>4632579</v>
      </c>
      <c r="E422" s="0" t="s">
        <v>61</v>
      </c>
      <c r="F422" s="0" t="n">
        <v>508674</v>
      </c>
      <c r="G422" s="0" t="s">
        <v>4279</v>
      </c>
      <c r="H422" s="0" t="s">
        <v>4280</v>
      </c>
      <c r="I422" s="0" t="s">
        <v>4281</v>
      </c>
      <c r="J422" s="0" t="s">
        <v>4282</v>
      </c>
      <c r="K422" s="0" t="s">
        <v>4283</v>
      </c>
      <c r="L422" s="0" t="n">
        <v>4108414</v>
      </c>
      <c r="M422" s="0" t="s">
        <v>4284</v>
      </c>
      <c r="N422" s="0" t="n">
        <v>3717758</v>
      </c>
      <c r="O422" s="9" t="n">
        <v>5448</v>
      </c>
      <c r="P422" s="0" t="s">
        <v>575</v>
      </c>
      <c r="Q422" s="0" t="s">
        <v>4285</v>
      </c>
      <c r="R422" s="0" t="s">
        <v>4286</v>
      </c>
      <c r="S422" s="0" t="s">
        <v>4287</v>
      </c>
      <c r="T422" s="0" t="s">
        <v>4288</v>
      </c>
      <c r="U422" s="9" t="n">
        <v>0</v>
      </c>
      <c r="V422" s="0" t="n">
        <v>13.6976813844604</v>
      </c>
      <c r="W422" s="0" t="n">
        <v>20231231</v>
      </c>
      <c r="X422" s="0" t="n">
        <v>0.80297935806377</v>
      </c>
      <c r="Y422" s="0" t="s">
        <v>4289</v>
      </c>
      <c r="Z422" s="0" t="s">
        <v>60</v>
      </c>
    </row>
    <row r="423" customFormat="false" ht="15" hidden="false" customHeight="false" outlineLevel="0" collapsed="false">
      <c r="A423" s="0" t="n">
        <v>420</v>
      </c>
      <c r="B423" s="9" t="n">
        <v>2911223</v>
      </c>
      <c r="C423" s="0" t="n">
        <v>4256</v>
      </c>
      <c r="D423" s="0" t="n">
        <v>2600329</v>
      </c>
      <c r="E423" s="0" t="s">
        <v>271</v>
      </c>
      <c r="F423" s="0" t="n">
        <v>214531</v>
      </c>
      <c r="G423" s="0" t="s">
        <v>4290</v>
      </c>
      <c r="H423" s="0" t="s">
        <v>4291</v>
      </c>
      <c r="I423" s="0" t="s">
        <v>4292</v>
      </c>
      <c r="J423" s="0" t="s">
        <v>4293</v>
      </c>
      <c r="K423" s="0" t="s">
        <v>4294</v>
      </c>
      <c r="L423" s="0" t="n">
        <v>2129454</v>
      </c>
      <c r="M423" s="0" t="s">
        <v>4295</v>
      </c>
      <c r="N423" s="0" t="n">
        <v>1701843</v>
      </c>
      <c r="O423" s="9" t="n">
        <v>2178</v>
      </c>
      <c r="P423" s="0" t="s">
        <v>587</v>
      </c>
      <c r="Q423" s="0" t="s">
        <v>4296</v>
      </c>
      <c r="R423" s="0" t="s">
        <v>4297</v>
      </c>
      <c r="S423" s="0" t="s">
        <v>4298</v>
      </c>
      <c r="T423" s="0" t="s">
        <v>4299</v>
      </c>
      <c r="U423" s="9" t="n">
        <v>429</v>
      </c>
      <c r="V423" s="0" t="n">
        <v>13.6193252605501</v>
      </c>
      <c r="W423" s="0" t="n">
        <v>20231231</v>
      </c>
      <c r="X423" s="0" t="n">
        <v>1.07604648622624</v>
      </c>
      <c r="Y423" s="0" t="s">
        <v>4300</v>
      </c>
      <c r="Z423" s="0" t="s">
        <v>60</v>
      </c>
    </row>
    <row r="424" customFormat="false" ht="15" hidden="false" customHeight="false" outlineLevel="0" collapsed="false">
      <c r="A424" s="0" t="n">
        <v>421</v>
      </c>
      <c r="B424" s="9" t="n">
        <v>693138</v>
      </c>
      <c r="C424" s="0" t="n">
        <v>59086</v>
      </c>
      <c r="D424" s="0" t="n">
        <v>600781</v>
      </c>
      <c r="E424" s="0" t="s">
        <v>858</v>
      </c>
      <c r="F424" s="0" t="n">
        <v>88263</v>
      </c>
      <c r="G424" s="0" t="s">
        <v>4301</v>
      </c>
      <c r="H424" s="0" t="s">
        <v>4302</v>
      </c>
      <c r="I424" s="0" t="s">
        <v>4303</v>
      </c>
      <c r="J424" s="0" t="s">
        <v>4304</v>
      </c>
      <c r="K424" s="0" t="s">
        <v>61</v>
      </c>
      <c r="L424" s="0" t="n">
        <v>588570</v>
      </c>
      <c r="M424" s="0" t="s">
        <v>4305</v>
      </c>
      <c r="N424" s="0" t="n">
        <v>473617</v>
      </c>
      <c r="O424" s="9" t="n">
        <v>4555</v>
      </c>
      <c r="P424" s="0" t="s">
        <v>599</v>
      </c>
      <c r="Q424" s="0" t="s">
        <v>4306</v>
      </c>
      <c r="R424" s="0" t="s">
        <v>4307</v>
      </c>
      <c r="S424" s="0" t="s">
        <v>4308</v>
      </c>
      <c r="T424" s="0" t="s">
        <v>61</v>
      </c>
      <c r="U424" s="9" t="n">
        <v>1112</v>
      </c>
      <c r="V424" s="0" t="n">
        <v>15.2351344587961</v>
      </c>
      <c r="W424" s="0" t="n">
        <v>20231231</v>
      </c>
      <c r="X424" s="0" t="n">
        <v>1.45617949519887</v>
      </c>
      <c r="Y424" s="0" t="s">
        <v>2774</v>
      </c>
      <c r="Z424" s="0" t="s">
        <v>158</v>
      </c>
    </row>
    <row r="425" customFormat="false" ht="15" hidden="false" customHeight="false" outlineLevel="0" collapsed="false">
      <c r="A425" s="0" t="n">
        <v>422</v>
      </c>
      <c r="B425" s="9" t="n">
        <v>238058</v>
      </c>
      <c r="C425" s="0" t="n">
        <v>59176</v>
      </c>
      <c r="D425" s="0" t="n">
        <v>197828</v>
      </c>
      <c r="E425" s="0" t="s">
        <v>2413</v>
      </c>
      <c r="F425" s="0" t="n">
        <v>23051</v>
      </c>
      <c r="G425" s="0" t="s">
        <v>4309</v>
      </c>
      <c r="H425" s="0" t="s">
        <v>4310</v>
      </c>
      <c r="I425" s="0" t="s">
        <v>4311</v>
      </c>
      <c r="J425" s="0" t="s">
        <v>4312</v>
      </c>
      <c r="K425" s="0" t="s">
        <v>218</v>
      </c>
      <c r="L425" s="0" t="n">
        <v>151977</v>
      </c>
      <c r="M425" s="0" t="s">
        <v>4313</v>
      </c>
      <c r="N425" s="0" t="n">
        <v>128774</v>
      </c>
      <c r="O425" s="9" t="n">
        <v>0</v>
      </c>
      <c r="P425" s="0" t="s">
        <v>610</v>
      </c>
      <c r="Q425" s="0" t="s">
        <v>61</v>
      </c>
      <c r="R425" s="0" t="s">
        <v>4314</v>
      </c>
      <c r="S425" s="0" t="s">
        <v>3333</v>
      </c>
      <c r="T425" s="0" t="s">
        <v>61</v>
      </c>
      <c r="U425" s="9" t="n">
        <v>0</v>
      </c>
      <c r="V425" s="0" t="n">
        <v>16.0544884234369</v>
      </c>
      <c r="W425" s="0" t="n">
        <v>20231231</v>
      </c>
      <c r="X425" s="0" t="n">
        <v>-0.191603674122027</v>
      </c>
      <c r="Y425" s="0" t="s">
        <v>4315</v>
      </c>
      <c r="Z425" s="0" t="s">
        <v>158</v>
      </c>
    </row>
    <row r="426" customFormat="false" ht="15" hidden="false" customHeight="false" outlineLevel="0" collapsed="false">
      <c r="A426" s="0" t="n">
        <v>423</v>
      </c>
      <c r="B426" s="9" t="n">
        <v>75597</v>
      </c>
      <c r="C426" s="0" t="n">
        <v>59289</v>
      </c>
      <c r="D426" s="0" t="n">
        <v>55515</v>
      </c>
      <c r="E426" s="0" t="s">
        <v>4316</v>
      </c>
      <c r="F426" s="0" t="n">
        <v>19214</v>
      </c>
      <c r="G426" s="0" t="s">
        <v>4317</v>
      </c>
      <c r="H426" s="0" t="s">
        <v>4318</v>
      </c>
      <c r="I426" s="0" t="s">
        <v>4319</v>
      </c>
      <c r="J426" s="0" t="s">
        <v>4320</v>
      </c>
      <c r="K426" s="0" t="s">
        <v>61</v>
      </c>
      <c r="L426" s="0" t="n">
        <v>34267</v>
      </c>
      <c r="M426" s="0" t="s">
        <v>4321</v>
      </c>
      <c r="N426" s="0" t="n">
        <v>13703</v>
      </c>
      <c r="O426" s="9" t="n">
        <v>0</v>
      </c>
      <c r="P426" s="0" t="s">
        <v>2223</v>
      </c>
      <c r="Q426" s="0" t="s">
        <v>61</v>
      </c>
      <c r="R426" s="0" t="s">
        <v>4322</v>
      </c>
      <c r="S426" s="0" t="s">
        <v>61</v>
      </c>
      <c r="T426" s="0" t="s">
        <v>61</v>
      </c>
      <c r="U426" s="9" t="n">
        <v>0</v>
      </c>
      <c r="V426" s="0" t="n">
        <v>0</v>
      </c>
      <c r="W426" s="0" t="n">
        <v>20231231</v>
      </c>
      <c r="X426" s="0" t="n">
        <v>-4.45568212086552</v>
      </c>
      <c r="Y426" s="0" t="s">
        <v>4323</v>
      </c>
      <c r="Z426" s="0" t="s">
        <v>158</v>
      </c>
    </row>
    <row r="427" customFormat="false" ht="15" hidden="false" customHeight="false" outlineLevel="0" collapsed="false">
      <c r="A427" s="0" t="n">
        <v>424</v>
      </c>
      <c r="B427" s="9" t="n">
        <v>159178</v>
      </c>
      <c r="C427" s="0" t="n">
        <v>59298</v>
      </c>
      <c r="D427" s="0" t="n">
        <v>130214</v>
      </c>
      <c r="E427" s="0" t="s">
        <v>603</v>
      </c>
      <c r="F427" s="0" t="n">
        <v>27360</v>
      </c>
      <c r="G427" s="0" t="s">
        <v>4324</v>
      </c>
      <c r="H427" s="0" t="s">
        <v>4325</v>
      </c>
      <c r="I427" s="0" t="s">
        <v>4326</v>
      </c>
      <c r="J427" s="0" t="s">
        <v>4327</v>
      </c>
      <c r="K427" s="0" t="s">
        <v>61</v>
      </c>
      <c r="L427" s="0" t="n">
        <v>77426</v>
      </c>
      <c r="M427" s="0" t="s">
        <v>4328</v>
      </c>
      <c r="N427" s="0" t="n">
        <v>58407</v>
      </c>
      <c r="O427" s="9" t="n">
        <v>0</v>
      </c>
      <c r="P427" s="0" t="s">
        <v>1684</v>
      </c>
      <c r="Q427" s="0" t="s">
        <v>61</v>
      </c>
      <c r="R427" s="0" t="s">
        <v>4329</v>
      </c>
      <c r="S427" s="0" t="s">
        <v>61</v>
      </c>
      <c r="T427" s="0" t="s">
        <v>61</v>
      </c>
      <c r="U427" s="9" t="n">
        <v>0</v>
      </c>
      <c r="V427" s="0" t="n">
        <v>0</v>
      </c>
      <c r="W427" s="0" t="n">
        <v>20231231</v>
      </c>
      <c r="X427" s="0" t="n">
        <v>-2.10600972672534</v>
      </c>
      <c r="Y427" s="0" t="s">
        <v>4330</v>
      </c>
      <c r="Z427" s="0" t="s">
        <v>98</v>
      </c>
    </row>
    <row r="428" customFormat="false" ht="15" hidden="false" customHeight="false" outlineLevel="0" collapsed="false">
      <c r="A428" s="0" t="n">
        <v>425</v>
      </c>
      <c r="B428" s="9" t="n">
        <v>1098634</v>
      </c>
      <c r="C428" s="0" t="n">
        <v>6271</v>
      </c>
      <c r="D428" s="0" t="n">
        <v>898049</v>
      </c>
      <c r="E428" s="0" t="s">
        <v>1708</v>
      </c>
      <c r="F428" s="0" t="n">
        <v>101032</v>
      </c>
      <c r="G428" s="0" t="s">
        <v>4331</v>
      </c>
      <c r="H428" s="0" t="s">
        <v>4332</v>
      </c>
      <c r="I428" s="0" t="s">
        <v>4333</v>
      </c>
      <c r="J428" s="0" t="s">
        <v>4334</v>
      </c>
      <c r="K428" s="0" t="s">
        <v>4335</v>
      </c>
      <c r="L428" s="0" t="n">
        <v>846003</v>
      </c>
      <c r="M428" s="0" t="s">
        <v>4336</v>
      </c>
      <c r="N428" s="0" t="n">
        <v>655964</v>
      </c>
      <c r="O428" s="9" t="n">
        <v>6955</v>
      </c>
      <c r="P428" s="0" t="s">
        <v>621</v>
      </c>
      <c r="Q428" s="0" t="s">
        <v>4337</v>
      </c>
      <c r="R428" s="0" t="s">
        <v>4338</v>
      </c>
      <c r="S428" s="0" t="s">
        <v>4339</v>
      </c>
      <c r="T428" s="0" t="s">
        <v>4340</v>
      </c>
      <c r="U428" s="9" t="n">
        <v>485</v>
      </c>
      <c r="V428" s="0" t="n">
        <v>14.9041762421334</v>
      </c>
      <c r="W428" s="0" t="n">
        <v>20231231</v>
      </c>
      <c r="X428" s="0" t="n">
        <v>1.3825664132056</v>
      </c>
      <c r="Y428" s="0" t="s">
        <v>4341</v>
      </c>
      <c r="Z428" s="0" t="s">
        <v>98</v>
      </c>
    </row>
    <row r="429" customFormat="false" ht="15" hidden="false" customHeight="false" outlineLevel="0" collapsed="false">
      <c r="A429" s="0" t="n">
        <v>426</v>
      </c>
      <c r="B429" s="9" t="n">
        <v>560588</v>
      </c>
      <c r="C429" s="0" t="n">
        <v>6275</v>
      </c>
      <c r="D429" s="0" t="n">
        <v>486814</v>
      </c>
      <c r="E429" s="0" t="s">
        <v>390</v>
      </c>
      <c r="F429" s="0" t="n">
        <v>30793</v>
      </c>
      <c r="G429" s="0" t="s">
        <v>4342</v>
      </c>
      <c r="H429" s="0" t="s">
        <v>4343</v>
      </c>
      <c r="I429" s="0" t="s">
        <v>4344</v>
      </c>
      <c r="J429" s="0" t="s">
        <v>4345</v>
      </c>
      <c r="K429" s="0" t="s">
        <v>4346</v>
      </c>
      <c r="L429" s="0" t="n">
        <v>336986</v>
      </c>
      <c r="M429" s="0" t="s">
        <v>4347</v>
      </c>
      <c r="N429" s="0" t="n">
        <v>278886</v>
      </c>
      <c r="O429" s="9" t="n">
        <v>1221</v>
      </c>
      <c r="P429" s="0" t="s">
        <v>633</v>
      </c>
      <c r="Q429" s="0" t="s">
        <v>4348</v>
      </c>
      <c r="R429" s="0" t="s">
        <v>4349</v>
      </c>
      <c r="S429" s="0" t="s">
        <v>534</v>
      </c>
      <c r="T429" s="0" t="s">
        <v>4350</v>
      </c>
      <c r="U429" s="9" t="n">
        <v>104</v>
      </c>
      <c r="V429" s="0" t="n">
        <v>14.8417408506429</v>
      </c>
      <c r="W429" s="0" t="n">
        <v>20231231</v>
      </c>
      <c r="X429" s="0" t="n">
        <v>0.433314521647085</v>
      </c>
      <c r="Y429" s="0" t="s">
        <v>2363</v>
      </c>
      <c r="Z429" s="0" t="s">
        <v>98</v>
      </c>
    </row>
    <row r="430" customFormat="false" ht="15" hidden="false" customHeight="false" outlineLevel="0" collapsed="false">
      <c r="A430" s="0" t="n">
        <v>427</v>
      </c>
      <c r="B430" s="9" t="n">
        <v>78840</v>
      </c>
      <c r="C430" s="0" t="n">
        <v>6280</v>
      </c>
      <c r="D430" s="0" t="n">
        <v>68883</v>
      </c>
      <c r="E430" s="0" t="s">
        <v>1187</v>
      </c>
      <c r="F430" s="0" t="n">
        <v>9375</v>
      </c>
      <c r="G430" s="0" t="s">
        <v>4351</v>
      </c>
      <c r="H430" s="0" t="s">
        <v>4352</v>
      </c>
      <c r="I430" s="0" t="s">
        <v>4353</v>
      </c>
      <c r="J430" s="0" t="s">
        <v>4354</v>
      </c>
      <c r="K430" s="0" t="s">
        <v>4355</v>
      </c>
      <c r="L430" s="0" t="n">
        <v>67918</v>
      </c>
      <c r="M430" s="0" t="s">
        <v>4356</v>
      </c>
      <c r="N430" s="0" t="n">
        <v>59964</v>
      </c>
      <c r="O430" s="9" t="n">
        <v>956</v>
      </c>
      <c r="P430" s="0" t="s">
        <v>644</v>
      </c>
      <c r="Q430" s="0" t="s">
        <v>4357</v>
      </c>
      <c r="R430" s="0" t="s">
        <v>4358</v>
      </c>
      <c r="S430" s="0" t="s">
        <v>120</v>
      </c>
      <c r="T430" s="0" t="s">
        <v>4359</v>
      </c>
      <c r="U430" s="9" t="n">
        <v>0</v>
      </c>
      <c r="V430" s="0" t="n">
        <v>0</v>
      </c>
      <c r="W430" s="0" t="n">
        <v>20231231</v>
      </c>
      <c r="X430" s="0" t="n">
        <v>1.84538132619786</v>
      </c>
      <c r="Y430" s="0" t="s">
        <v>4360</v>
      </c>
      <c r="Z430" s="0" t="s">
        <v>98</v>
      </c>
    </row>
    <row r="431" customFormat="false" ht="15" hidden="false" customHeight="false" outlineLevel="0" collapsed="false">
      <c r="A431" s="0" t="n">
        <v>428</v>
      </c>
      <c r="B431" s="9" t="n">
        <v>3955727</v>
      </c>
      <c r="C431" s="0" t="n">
        <v>11971</v>
      </c>
      <c r="D431" s="0" t="n">
        <v>3137892</v>
      </c>
      <c r="E431" s="0" t="s">
        <v>390</v>
      </c>
      <c r="F431" s="0" t="n">
        <v>487592</v>
      </c>
      <c r="G431" s="0" t="s">
        <v>4361</v>
      </c>
      <c r="H431" s="0" t="s">
        <v>4362</v>
      </c>
      <c r="I431" s="0" t="s">
        <v>4363</v>
      </c>
      <c r="J431" s="0" t="s">
        <v>4364</v>
      </c>
      <c r="K431" s="0" t="s">
        <v>4365</v>
      </c>
      <c r="L431" s="0" t="n">
        <v>3014809</v>
      </c>
      <c r="M431" s="0" t="s">
        <v>4366</v>
      </c>
      <c r="N431" s="0" t="n">
        <v>2661075</v>
      </c>
      <c r="O431" s="9" t="n">
        <v>6869</v>
      </c>
      <c r="P431" s="0" t="s">
        <v>54</v>
      </c>
      <c r="Q431" s="0" t="s">
        <v>4367</v>
      </c>
      <c r="R431" s="0" t="s">
        <v>4368</v>
      </c>
      <c r="S431" s="0" t="s">
        <v>1781</v>
      </c>
      <c r="T431" s="0" t="s">
        <v>4369</v>
      </c>
      <c r="U431" s="9" t="n">
        <v>0</v>
      </c>
      <c r="V431" s="0" t="n">
        <v>14.0984467343394</v>
      </c>
      <c r="W431" s="0" t="n">
        <v>20240331</v>
      </c>
      <c r="X431" s="0" t="n">
        <v>1.1683674016711</v>
      </c>
      <c r="Y431" s="0" t="s">
        <v>3036</v>
      </c>
      <c r="Z431" s="0" t="s">
        <v>60</v>
      </c>
    </row>
    <row r="432" customFormat="false" ht="15" hidden="false" customHeight="false" outlineLevel="0" collapsed="false">
      <c r="A432" s="0" t="n">
        <v>429</v>
      </c>
      <c r="B432" s="9" t="n">
        <v>1024449</v>
      </c>
      <c r="C432" s="0" t="n">
        <v>12874</v>
      </c>
      <c r="D432" s="0" t="n">
        <v>876882</v>
      </c>
      <c r="E432" s="0" t="s">
        <v>1729</v>
      </c>
      <c r="F432" s="0" t="n">
        <v>106671</v>
      </c>
      <c r="G432" s="0" t="s">
        <v>4370</v>
      </c>
      <c r="H432" s="0" t="s">
        <v>4371</v>
      </c>
      <c r="I432" s="0" t="s">
        <v>4372</v>
      </c>
      <c r="J432" s="0" t="s">
        <v>4373</v>
      </c>
      <c r="K432" s="0" t="s">
        <v>2880</v>
      </c>
      <c r="L432" s="0" t="n">
        <v>797792</v>
      </c>
      <c r="M432" s="0" t="s">
        <v>4374</v>
      </c>
      <c r="N432" s="0" t="n">
        <v>629564</v>
      </c>
      <c r="O432" s="9" t="n">
        <v>1466</v>
      </c>
      <c r="P432" s="0" t="s">
        <v>68</v>
      </c>
      <c r="Q432" s="0" t="s">
        <v>4375</v>
      </c>
      <c r="R432" s="0" t="s">
        <v>4376</v>
      </c>
      <c r="S432" s="0" t="s">
        <v>4377</v>
      </c>
      <c r="T432" s="0" t="s">
        <v>2852</v>
      </c>
      <c r="U432" s="9" t="n">
        <v>0</v>
      </c>
      <c r="V432" s="0" t="n">
        <v>16.0884328878907</v>
      </c>
      <c r="W432" s="0" t="n">
        <v>20240331</v>
      </c>
      <c r="X432" s="0" t="n">
        <v>0.884731192413479</v>
      </c>
      <c r="Y432" s="0" t="s">
        <v>4378</v>
      </c>
      <c r="Z432" s="0" t="s">
        <v>60</v>
      </c>
    </row>
    <row r="433" customFormat="false" ht="15" hidden="false" customHeight="false" outlineLevel="0" collapsed="false">
      <c r="A433" s="0" t="n">
        <v>430</v>
      </c>
      <c r="B433" s="9" t="n">
        <v>1806517</v>
      </c>
      <c r="C433" s="0" t="n">
        <v>13063</v>
      </c>
      <c r="D433" s="0" t="n">
        <v>1572488</v>
      </c>
      <c r="E433" s="0" t="s">
        <v>172</v>
      </c>
      <c r="F433" s="0" t="n">
        <v>144426</v>
      </c>
      <c r="G433" s="0" t="s">
        <v>4379</v>
      </c>
      <c r="H433" s="0" t="s">
        <v>4380</v>
      </c>
      <c r="I433" s="0" t="s">
        <v>4381</v>
      </c>
      <c r="J433" s="0" t="s">
        <v>4382</v>
      </c>
      <c r="K433" s="0" t="s">
        <v>4383</v>
      </c>
      <c r="L433" s="0" t="n">
        <v>1429824</v>
      </c>
      <c r="M433" s="0" t="s">
        <v>4384</v>
      </c>
      <c r="N433" s="0" t="n">
        <v>1360729</v>
      </c>
      <c r="O433" s="9" t="n">
        <v>510</v>
      </c>
      <c r="P433" s="0" t="s">
        <v>80</v>
      </c>
      <c r="Q433" s="0" t="s">
        <v>4385</v>
      </c>
      <c r="R433" s="0" t="s">
        <v>4386</v>
      </c>
      <c r="S433" s="0" t="s">
        <v>155</v>
      </c>
      <c r="T433" s="0" t="s">
        <v>4387</v>
      </c>
      <c r="U433" s="9" t="n">
        <v>0</v>
      </c>
      <c r="V433" s="0" t="n">
        <v>0</v>
      </c>
      <c r="W433" s="0" t="n">
        <v>20240331</v>
      </c>
      <c r="X433" s="0" t="n">
        <v>0.280149291821904</v>
      </c>
      <c r="Y433" s="0" t="s">
        <v>435</v>
      </c>
      <c r="Z433" s="0" t="s">
        <v>60</v>
      </c>
    </row>
    <row r="434" customFormat="false" ht="15" hidden="false" customHeight="false" outlineLevel="0" collapsed="false">
      <c r="A434" s="0" t="n">
        <v>431</v>
      </c>
      <c r="B434" s="9" t="n">
        <v>842231</v>
      </c>
      <c r="C434" s="0" t="n">
        <v>14134</v>
      </c>
      <c r="D434" s="0" t="n">
        <v>674131</v>
      </c>
      <c r="E434" s="0" t="s">
        <v>1187</v>
      </c>
      <c r="F434" s="0" t="n">
        <v>108189</v>
      </c>
      <c r="G434" s="0" t="s">
        <v>4388</v>
      </c>
      <c r="H434" s="0" t="s">
        <v>4389</v>
      </c>
      <c r="I434" s="0" t="s">
        <v>4390</v>
      </c>
      <c r="J434" s="0" t="s">
        <v>4391</v>
      </c>
      <c r="K434" s="0" t="s">
        <v>4392</v>
      </c>
      <c r="L434" s="0" t="n">
        <v>633180</v>
      </c>
      <c r="M434" s="0" t="s">
        <v>4393</v>
      </c>
      <c r="N434" s="0" t="n">
        <v>560872</v>
      </c>
      <c r="O434" s="9" t="n">
        <v>10903</v>
      </c>
      <c r="P434" s="0" t="s">
        <v>92</v>
      </c>
      <c r="Q434" s="0" t="s">
        <v>4394</v>
      </c>
      <c r="R434" s="0" t="s">
        <v>4395</v>
      </c>
      <c r="S434" s="0" t="s">
        <v>3375</v>
      </c>
      <c r="T434" s="0" t="s">
        <v>4396</v>
      </c>
      <c r="U434" s="9" t="n">
        <v>0</v>
      </c>
      <c r="V434" s="0" t="n">
        <v>19.5631605084554</v>
      </c>
      <c r="W434" s="0" t="n">
        <v>20240331</v>
      </c>
      <c r="X434" s="0" t="n">
        <v>1.52742469831594</v>
      </c>
      <c r="Y434" s="0" t="s">
        <v>4397</v>
      </c>
      <c r="Z434" s="0" t="s">
        <v>98</v>
      </c>
    </row>
    <row r="435" customFormat="false" ht="15" hidden="false" customHeight="false" outlineLevel="0" collapsed="false">
      <c r="A435" s="0" t="n">
        <v>432</v>
      </c>
      <c r="B435" s="9" t="n">
        <v>239150</v>
      </c>
      <c r="C435" s="0" t="n">
        <v>14136</v>
      </c>
      <c r="D435" s="0" t="n">
        <v>196243</v>
      </c>
      <c r="E435" s="0" t="s">
        <v>4398</v>
      </c>
      <c r="F435" s="0" t="n">
        <v>17389</v>
      </c>
      <c r="G435" s="0" t="s">
        <v>4399</v>
      </c>
      <c r="H435" s="0" t="s">
        <v>4400</v>
      </c>
      <c r="I435" s="0" t="s">
        <v>4401</v>
      </c>
      <c r="J435" s="0" t="s">
        <v>4402</v>
      </c>
      <c r="K435" s="0" t="s">
        <v>4403</v>
      </c>
      <c r="L435" s="0" t="n">
        <v>153163</v>
      </c>
      <c r="M435" s="0" t="s">
        <v>4404</v>
      </c>
      <c r="N435" s="0" t="n">
        <v>123830</v>
      </c>
      <c r="O435" s="9" t="n">
        <v>502</v>
      </c>
      <c r="P435" s="0" t="s">
        <v>105</v>
      </c>
      <c r="Q435" s="0" t="s">
        <v>4405</v>
      </c>
      <c r="R435" s="0" t="s">
        <v>4406</v>
      </c>
      <c r="S435" s="0" t="s">
        <v>3652</v>
      </c>
      <c r="T435" s="0" t="s">
        <v>4407</v>
      </c>
      <c r="U435" s="9" t="n">
        <v>469</v>
      </c>
      <c r="V435" s="0" t="n">
        <v>17.5483668012374</v>
      </c>
      <c r="W435" s="0" t="n">
        <v>20240331</v>
      </c>
      <c r="X435" s="0" t="n">
        <v>0.678212630653181</v>
      </c>
      <c r="Y435" s="0" t="s">
        <v>3562</v>
      </c>
      <c r="Z435" s="0" t="s">
        <v>98</v>
      </c>
    </row>
    <row r="436" customFormat="false" ht="15" hidden="false" customHeight="false" outlineLevel="0" collapsed="false">
      <c r="A436" s="0" t="n">
        <v>433</v>
      </c>
      <c r="B436" s="9" t="n">
        <v>1501419</v>
      </c>
      <c r="C436" s="0" t="n">
        <v>14140</v>
      </c>
      <c r="D436" s="0" t="n">
        <v>1223701</v>
      </c>
      <c r="E436" s="0" t="s">
        <v>208</v>
      </c>
      <c r="F436" s="0" t="n">
        <v>125756</v>
      </c>
      <c r="G436" s="0" t="s">
        <v>4408</v>
      </c>
      <c r="H436" s="0" t="s">
        <v>4409</v>
      </c>
      <c r="I436" s="0" t="s">
        <v>4410</v>
      </c>
      <c r="J436" s="0" t="s">
        <v>4411</v>
      </c>
      <c r="K436" s="0" t="s">
        <v>4412</v>
      </c>
      <c r="L436" s="0" t="n">
        <v>1056452</v>
      </c>
      <c r="M436" s="0" t="s">
        <v>4413</v>
      </c>
      <c r="N436" s="0" t="n">
        <v>938480</v>
      </c>
      <c r="O436" s="9" t="n">
        <v>4548</v>
      </c>
      <c r="P436" s="0" t="s">
        <v>117</v>
      </c>
      <c r="Q436" s="0" t="s">
        <v>4414</v>
      </c>
      <c r="R436" s="0" t="s">
        <v>4415</v>
      </c>
      <c r="S436" s="0" t="s">
        <v>108</v>
      </c>
      <c r="T436" s="0" t="s">
        <v>3104</v>
      </c>
      <c r="U436" s="9" t="n">
        <v>0</v>
      </c>
      <c r="V436" s="0" t="n">
        <v>0</v>
      </c>
      <c r="W436" s="0" t="n">
        <v>20240331</v>
      </c>
      <c r="X436" s="0" t="n">
        <v>0.266123685640066</v>
      </c>
      <c r="Y436" s="0" t="s">
        <v>4416</v>
      </c>
      <c r="Z436" s="0" t="s">
        <v>98</v>
      </c>
    </row>
    <row r="437" customFormat="false" ht="15" hidden="false" customHeight="false" outlineLevel="0" collapsed="false">
      <c r="A437" s="0" t="n">
        <v>434</v>
      </c>
      <c r="B437" s="9" t="n">
        <v>1416981</v>
      </c>
      <c r="C437" s="0" t="n">
        <v>14158</v>
      </c>
      <c r="D437" s="0" t="n">
        <v>1175239</v>
      </c>
      <c r="E437" s="0" t="s">
        <v>233</v>
      </c>
      <c r="F437" s="0" t="n">
        <v>79774</v>
      </c>
      <c r="G437" s="0" t="s">
        <v>4417</v>
      </c>
      <c r="H437" s="0" t="s">
        <v>4418</v>
      </c>
      <c r="I437" s="0" t="s">
        <v>4419</v>
      </c>
      <c r="J437" s="0" t="s">
        <v>4420</v>
      </c>
      <c r="K437" s="0" t="s">
        <v>4421</v>
      </c>
      <c r="L437" s="0" t="n">
        <v>1039391</v>
      </c>
      <c r="M437" s="0" t="s">
        <v>4422</v>
      </c>
      <c r="N437" s="0" t="n">
        <v>909000</v>
      </c>
      <c r="O437" s="9" t="n">
        <v>1813</v>
      </c>
      <c r="P437" s="0" t="s">
        <v>129</v>
      </c>
      <c r="Q437" s="0" t="s">
        <v>4423</v>
      </c>
      <c r="R437" s="0" t="s">
        <v>4424</v>
      </c>
      <c r="S437" s="0" t="s">
        <v>352</v>
      </c>
      <c r="T437" s="0" t="s">
        <v>4425</v>
      </c>
      <c r="U437" s="9" t="n">
        <v>60</v>
      </c>
      <c r="V437" s="0" t="n">
        <v>13.3404695925329</v>
      </c>
      <c r="W437" s="0" t="n">
        <v>20240331</v>
      </c>
      <c r="X437" s="0" t="n">
        <v>0.733611995914674</v>
      </c>
      <c r="Y437" s="0" t="s">
        <v>4426</v>
      </c>
      <c r="Z437" s="0" t="s">
        <v>98</v>
      </c>
    </row>
    <row r="438" customFormat="false" ht="15" hidden="false" customHeight="false" outlineLevel="0" collapsed="false">
      <c r="A438" s="0" t="n">
        <v>435</v>
      </c>
      <c r="B438" s="9" t="n">
        <v>363663</v>
      </c>
      <c r="C438" s="0" t="n">
        <v>14168</v>
      </c>
      <c r="D438" s="0" t="n">
        <v>323430</v>
      </c>
      <c r="E438" s="0" t="s">
        <v>858</v>
      </c>
      <c r="F438" s="0" t="n">
        <v>35210</v>
      </c>
      <c r="G438" s="0" t="s">
        <v>4427</v>
      </c>
      <c r="H438" s="0" t="s">
        <v>4428</v>
      </c>
      <c r="I438" s="0" t="s">
        <v>4429</v>
      </c>
      <c r="J438" s="0" t="s">
        <v>4430</v>
      </c>
      <c r="K438" s="0" t="s">
        <v>4431</v>
      </c>
      <c r="L438" s="0" t="n">
        <v>250702</v>
      </c>
      <c r="M438" s="0" t="s">
        <v>4432</v>
      </c>
      <c r="N438" s="0" t="n">
        <v>213218</v>
      </c>
      <c r="O438" s="9" t="n">
        <v>1095</v>
      </c>
      <c r="P438" s="0" t="s">
        <v>140</v>
      </c>
      <c r="Q438" s="0" t="s">
        <v>4433</v>
      </c>
      <c r="R438" s="0" t="s">
        <v>4434</v>
      </c>
      <c r="S438" s="0" t="s">
        <v>4435</v>
      </c>
      <c r="T438" s="0" t="s">
        <v>4436</v>
      </c>
      <c r="U438" s="9" t="n">
        <v>1</v>
      </c>
      <c r="V438" s="0" t="n">
        <v>16.3907253005299</v>
      </c>
      <c r="W438" s="0" t="n">
        <v>20240331</v>
      </c>
      <c r="X438" s="0" t="n">
        <v>0.787388476403298</v>
      </c>
      <c r="Y438" s="0" t="s">
        <v>4437</v>
      </c>
      <c r="Z438" s="0" t="s">
        <v>98</v>
      </c>
    </row>
    <row r="439" customFormat="false" ht="15" hidden="false" customHeight="false" outlineLevel="0" collapsed="false">
      <c r="A439" s="0" t="n">
        <v>436</v>
      </c>
      <c r="B439" s="9" t="n">
        <v>1238358</v>
      </c>
      <c r="C439" s="0" t="n">
        <v>14240</v>
      </c>
      <c r="D439" s="0" t="n">
        <v>983728</v>
      </c>
      <c r="E439" s="0" t="s">
        <v>61</v>
      </c>
      <c r="F439" s="0" t="n">
        <v>87867</v>
      </c>
      <c r="G439" s="0" t="s">
        <v>4438</v>
      </c>
      <c r="H439" s="0" t="s">
        <v>4439</v>
      </c>
      <c r="I439" s="0" t="s">
        <v>4440</v>
      </c>
      <c r="J439" s="0" t="s">
        <v>4441</v>
      </c>
      <c r="K439" s="0" t="s">
        <v>4442</v>
      </c>
      <c r="L439" s="0" t="n">
        <v>920113</v>
      </c>
      <c r="M439" s="0" t="s">
        <v>4443</v>
      </c>
      <c r="N439" s="0" t="n">
        <v>804017</v>
      </c>
      <c r="O439" s="9" t="n">
        <v>3281</v>
      </c>
      <c r="P439" s="0" t="s">
        <v>152</v>
      </c>
      <c r="Q439" s="0" t="s">
        <v>4444</v>
      </c>
      <c r="R439" s="0" t="s">
        <v>4445</v>
      </c>
      <c r="S439" s="0" t="s">
        <v>1329</v>
      </c>
      <c r="T439" s="0" t="s">
        <v>244</v>
      </c>
      <c r="U439" s="9" t="n">
        <v>0</v>
      </c>
      <c r="V439" s="0" t="n">
        <v>16.0804516584333</v>
      </c>
      <c r="W439" s="0" t="n">
        <v>20240331</v>
      </c>
      <c r="X439" s="0" t="n">
        <v>0.489845223176813</v>
      </c>
      <c r="Y439" s="0" t="s">
        <v>402</v>
      </c>
      <c r="Z439" s="0" t="s">
        <v>158</v>
      </c>
    </row>
    <row r="440" customFormat="false" ht="15" hidden="false" customHeight="false" outlineLevel="0" collapsed="false">
      <c r="A440" s="0" t="n">
        <v>437</v>
      </c>
      <c r="B440" s="9" t="n">
        <v>1079745</v>
      </c>
      <c r="C440" s="0" t="n">
        <v>17115</v>
      </c>
      <c r="D440" s="0" t="n">
        <v>803428</v>
      </c>
      <c r="E440" s="0" t="s">
        <v>208</v>
      </c>
      <c r="F440" s="0" t="n">
        <v>88109</v>
      </c>
      <c r="G440" s="0" t="s">
        <v>4446</v>
      </c>
      <c r="H440" s="0" t="s">
        <v>4447</v>
      </c>
      <c r="I440" s="0" t="s">
        <v>4448</v>
      </c>
      <c r="J440" s="0" t="s">
        <v>1495</v>
      </c>
      <c r="K440" s="0" t="s">
        <v>4449</v>
      </c>
      <c r="L440" s="0" t="n">
        <v>896159</v>
      </c>
      <c r="M440" s="0" t="s">
        <v>4450</v>
      </c>
      <c r="N440" s="0" t="n">
        <v>845242</v>
      </c>
      <c r="O440" s="9" t="n">
        <v>2344</v>
      </c>
      <c r="P440" s="0" t="s">
        <v>166</v>
      </c>
      <c r="Q440" s="0" t="s">
        <v>4451</v>
      </c>
      <c r="R440" s="0" t="s">
        <v>4452</v>
      </c>
      <c r="S440" s="0" t="s">
        <v>534</v>
      </c>
      <c r="T440" s="0" t="s">
        <v>4453</v>
      </c>
      <c r="U440" s="9" t="n">
        <v>0</v>
      </c>
      <c r="V440" s="0" t="n">
        <v>13.958856660342</v>
      </c>
      <c r="W440" s="0" t="n">
        <v>20240331</v>
      </c>
      <c r="X440" s="0" t="n">
        <v>0.534576872366088</v>
      </c>
      <c r="Y440" s="0" t="s">
        <v>4454</v>
      </c>
      <c r="Z440" s="0" t="s">
        <v>60</v>
      </c>
    </row>
    <row r="441" customFormat="false" ht="15" hidden="false" customHeight="false" outlineLevel="0" collapsed="false">
      <c r="A441" s="0" t="n">
        <v>438</v>
      </c>
      <c r="B441" s="9" t="n">
        <v>1658628</v>
      </c>
      <c r="C441" s="0" t="n">
        <v>17180</v>
      </c>
      <c r="D441" s="0" t="n">
        <v>1184689</v>
      </c>
      <c r="E441" s="0" t="s">
        <v>1436</v>
      </c>
      <c r="F441" s="0" t="n">
        <v>137543</v>
      </c>
      <c r="G441" s="0" t="s">
        <v>4455</v>
      </c>
      <c r="H441" s="0" t="s">
        <v>4456</v>
      </c>
      <c r="I441" s="0" t="s">
        <v>4457</v>
      </c>
      <c r="J441" s="0" t="s">
        <v>4458</v>
      </c>
      <c r="K441" s="0" t="s">
        <v>4459</v>
      </c>
      <c r="L441" s="0" t="n">
        <v>1488562</v>
      </c>
      <c r="M441" s="0" t="s">
        <v>4460</v>
      </c>
      <c r="N441" s="0" t="n">
        <v>1225328</v>
      </c>
      <c r="O441" s="9" t="n">
        <v>6109</v>
      </c>
      <c r="P441" s="0" t="s">
        <v>179</v>
      </c>
      <c r="Q441" s="0" t="s">
        <v>4461</v>
      </c>
      <c r="R441" s="0" t="s">
        <v>4462</v>
      </c>
      <c r="S441" s="0" t="s">
        <v>4463</v>
      </c>
      <c r="T441" s="0" t="s">
        <v>4464</v>
      </c>
      <c r="U441" s="9" t="n">
        <v>0</v>
      </c>
      <c r="V441" s="0" t="n">
        <v>14.3313029893451</v>
      </c>
      <c r="W441" s="0" t="n">
        <v>20240331</v>
      </c>
      <c r="X441" s="0" t="n">
        <v>0.387207231428846</v>
      </c>
      <c r="Y441" s="0" t="s">
        <v>4465</v>
      </c>
      <c r="Z441" s="0" t="s">
        <v>158</v>
      </c>
    </row>
    <row r="442" customFormat="false" ht="15" hidden="false" customHeight="false" outlineLevel="0" collapsed="false">
      <c r="A442" s="0" t="n">
        <v>439</v>
      </c>
      <c r="B442" s="9" t="n">
        <v>343636</v>
      </c>
      <c r="C442" s="0" t="n">
        <v>17443</v>
      </c>
      <c r="D442" s="0" t="n">
        <v>303567</v>
      </c>
      <c r="E442" s="0" t="s">
        <v>742</v>
      </c>
      <c r="F442" s="0" t="n">
        <v>38886</v>
      </c>
      <c r="G442" s="0" t="s">
        <v>4466</v>
      </c>
      <c r="H442" s="0" t="s">
        <v>4467</v>
      </c>
      <c r="I442" s="0" t="s">
        <v>4468</v>
      </c>
      <c r="J442" s="0" t="s">
        <v>61</v>
      </c>
      <c r="K442" s="0" t="s">
        <v>4469</v>
      </c>
      <c r="L442" s="0" t="n">
        <v>200566</v>
      </c>
      <c r="M442" s="0" t="s">
        <v>4470</v>
      </c>
      <c r="N442" s="0" t="n">
        <v>198841</v>
      </c>
      <c r="O442" s="9" t="n">
        <v>1048</v>
      </c>
      <c r="P442" s="0" t="s">
        <v>190</v>
      </c>
      <c r="Q442" s="0" t="s">
        <v>4471</v>
      </c>
      <c r="R442" s="0" t="s">
        <v>4472</v>
      </c>
      <c r="S442" s="0" t="s">
        <v>61</v>
      </c>
      <c r="T442" s="0" t="s">
        <v>3162</v>
      </c>
      <c r="U442" s="9" t="n">
        <v>0</v>
      </c>
      <c r="V442" s="0" t="n">
        <v>0</v>
      </c>
      <c r="W442" s="0" t="n">
        <v>20240331</v>
      </c>
      <c r="X442" s="0" t="n">
        <v>-0.50316710300389</v>
      </c>
      <c r="Y442" s="0" t="s">
        <v>4473</v>
      </c>
      <c r="Z442" s="0" t="s">
        <v>158</v>
      </c>
    </row>
    <row r="443" customFormat="false" ht="15" hidden="false" customHeight="false" outlineLevel="0" collapsed="false">
      <c r="A443" s="0" t="n">
        <v>440</v>
      </c>
      <c r="B443" s="9" t="n">
        <v>1866220</v>
      </c>
      <c r="C443" s="0" t="n">
        <v>17658</v>
      </c>
      <c r="D443" s="0" t="n">
        <v>1503369</v>
      </c>
      <c r="E443" s="0" t="s">
        <v>794</v>
      </c>
      <c r="F443" s="0" t="n">
        <v>208139</v>
      </c>
      <c r="G443" s="0" t="s">
        <v>4474</v>
      </c>
      <c r="H443" s="0" t="s">
        <v>4475</v>
      </c>
      <c r="I443" s="0" t="s">
        <v>4476</v>
      </c>
      <c r="J443" s="0" t="s">
        <v>4477</v>
      </c>
      <c r="K443" s="0" t="s">
        <v>4478</v>
      </c>
      <c r="L443" s="0" t="n">
        <v>1313902</v>
      </c>
      <c r="M443" s="0" t="s">
        <v>4479</v>
      </c>
      <c r="N443" s="0" t="n">
        <v>1122390</v>
      </c>
      <c r="O443" s="9" t="n">
        <v>9256</v>
      </c>
      <c r="P443" s="0" t="s">
        <v>202</v>
      </c>
      <c r="Q443" s="0" t="s">
        <v>4480</v>
      </c>
      <c r="R443" s="0" t="s">
        <v>4481</v>
      </c>
      <c r="S443" s="0" t="s">
        <v>1738</v>
      </c>
      <c r="T443" s="0" t="s">
        <v>4482</v>
      </c>
      <c r="U443" s="9" t="n">
        <v>385</v>
      </c>
      <c r="V443" s="0" t="n">
        <v>0</v>
      </c>
      <c r="W443" s="0" t="n">
        <v>20240331</v>
      </c>
      <c r="X443" s="0" t="n">
        <v>0.958254818606865</v>
      </c>
      <c r="Y443" s="0" t="s">
        <v>4052</v>
      </c>
      <c r="Z443" s="0" t="s">
        <v>60</v>
      </c>
    </row>
    <row r="444" customFormat="false" ht="15" hidden="false" customHeight="false" outlineLevel="0" collapsed="false">
      <c r="A444" s="0" t="n">
        <v>441</v>
      </c>
      <c r="B444" s="9" t="n">
        <v>1107414</v>
      </c>
      <c r="C444" s="0" t="n">
        <v>17741</v>
      </c>
      <c r="D444" s="0" t="n">
        <v>821220</v>
      </c>
      <c r="E444" s="0" t="s">
        <v>271</v>
      </c>
      <c r="F444" s="0" t="n">
        <v>140357</v>
      </c>
      <c r="G444" s="0" t="s">
        <v>4483</v>
      </c>
      <c r="H444" s="0" t="s">
        <v>4484</v>
      </c>
      <c r="I444" s="0" t="s">
        <v>4485</v>
      </c>
      <c r="J444" s="0" t="s">
        <v>4486</v>
      </c>
      <c r="K444" s="0" t="s">
        <v>4487</v>
      </c>
      <c r="L444" s="0" t="n">
        <v>927393</v>
      </c>
      <c r="M444" s="0" t="s">
        <v>4488</v>
      </c>
      <c r="N444" s="0" t="n">
        <v>863345</v>
      </c>
      <c r="O444" s="9" t="n">
        <v>7415</v>
      </c>
      <c r="P444" s="0" t="s">
        <v>215</v>
      </c>
      <c r="Q444" s="0" t="s">
        <v>4489</v>
      </c>
      <c r="R444" s="0" t="s">
        <v>4490</v>
      </c>
      <c r="S444" s="0" t="s">
        <v>3244</v>
      </c>
      <c r="T444" s="0" t="s">
        <v>4491</v>
      </c>
      <c r="U444" s="9" t="n">
        <v>0</v>
      </c>
      <c r="V444" s="0" t="n">
        <v>0</v>
      </c>
      <c r="W444" s="0" t="n">
        <v>20240331</v>
      </c>
      <c r="X444" s="0" t="n">
        <v>0.564580253103116</v>
      </c>
      <c r="Y444" s="0" t="s">
        <v>4492</v>
      </c>
      <c r="Z444" s="0" t="s">
        <v>60</v>
      </c>
    </row>
    <row r="445" customFormat="false" ht="15" hidden="false" customHeight="false" outlineLevel="0" collapsed="false">
      <c r="A445" s="0" t="n">
        <v>442</v>
      </c>
      <c r="B445" s="9" t="n">
        <v>1393711</v>
      </c>
      <c r="C445" s="0" t="n">
        <v>17743</v>
      </c>
      <c r="D445" s="0" t="n">
        <v>978717</v>
      </c>
      <c r="E445" s="0" t="s">
        <v>794</v>
      </c>
      <c r="F445" s="0" t="n">
        <v>122061</v>
      </c>
      <c r="G445" s="0" t="s">
        <v>4493</v>
      </c>
      <c r="H445" s="0" t="s">
        <v>4494</v>
      </c>
      <c r="I445" s="0" t="s">
        <v>4495</v>
      </c>
      <c r="J445" s="0" t="s">
        <v>4496</v>
      </c>
      <c r="K445" s="0" t="s">
        <v>4497</v>
      </c>
      <c r="L445" s="0" t="n">
        <v>1099628</v>
      </c>
      <c r="M445" s="0" t="s">
        <v>4498</v>
      </c>
      <c r="N445" s="0" t="n">
        <v>1062851</v>
      </c>
      <c r="O445" s="9" t="n">
        <v>3695</v>
      </c>
      <c r="P445" s="0" t="s">
        <v>227</v>
      </c>
      <c r="Q445" s="0" t="s">
        <v>4499</v>
      </c>
      <c r="R445" s="0" t="s">
        <v>4500</v>
      </c>
      <c r="S445" s="0" t="s">
        <v>478</v>
      </c>
      <c r="T445" s="0" t="s">
        <v>4501</v>
      </c>
      <c r="U445" s="9" t="n">
        <v>0</v>
      </c>
      <c r="V445" s="0" t="n">
        <v>0</v>
      </c>
      <c r="W445" s="0" t="n">
        <v>20240331</v>
      </c>
      <c r="X445" s="0" t="n">
        <v>-0.0366187223309691</v>
      </c>
      <c r="Y445" s="0" t="s">
        <v>4502</v>
      </c>
      <c r="Z445" s="0" t="s">
        <v>60</v>
      </c>
    </row>
    <row r="446" customFormat="false" ht="15" hidden="false" customHeight="false" outlineLevel="0" collapsed="false">
      <c r="A446" s="0" t="n">
        <v>443</v>
      </c>
      <c r="B446" s="9" t="n">
        <v>1644996</v>
      </c>
      <c r="C446" s="0" t="n">
        <v>17748</v>
      </c>
      <c r="D446" s="0" t="n">
        <v>1346317</v>
      </c>
      <c r="E446" s="0" t="s">
        <v>208</v>
      </c>
      <c r="F446" s="0" t="n">
        <v>112176</v>
      </c>
      <c r="G446" s="0" t="s">
        <v>4503</v>
      </c>
      <c r="H446" s="0" t="s">
        <v>4504</v>
      </c>
      <c r="I446" s="0" t="s">
        <v>4505</v>
      </c>
      <c r="J446" s="0" t="s">
        <v>4506</v>
      </c>
      <c r="K446" s="0" t="s">
        <v>4507</v>
      </c>
      <c r="L446" s="0" t="n">
        <v>1265225</v>
      </c>
      <c r="M446" s="0" t="s">
        <v>4508</v>
      </c>
      <c r="N446" s="0" t="n">
        <v>1052324</v>
      </c>
      <c r="O446" s="9" t="n">
        <v>9414</v>
      </c>
      <c r="P446" s="0" t="s">
        <v>240</v>
      </c>
      <c r="Q446" s="0" t="s">
        <v>4509</v>
      </c>
      <c r="R446" s="0" t="s">
        <v>4510</v>
      </c>
      <c r="S446" s="0" t="s">
        <v>4350</v>
      </c>
      <c r="T446" s="0" t="s">
        <v>4511</v>
      </c>
      <c r="U446" s="9" t="n">
        <v>0</v>
      </c>
      <c r="V446" s="0" t="n">
        <v>0</v>
      </c>
      <c r="W446" s="0" t="n">
        <v>20240331</v>
      </c>
      <c r="X446" s="0" t="n">
        <v>0.186368991289905</v>
      </c>
      <c r="Y446" s="0" t="s">
        <v>4512</v>
      </c>
      <c r="Z446" s="0" t="s">
        <v>60</v>
      </c>
    </row>
    <row r="447" customFormat="false" ht="15" hidden="false" customHeight="false" outlineLevel="0" collapsed="false">
      <c r="A447" s="0" t="n">
        <v>444</v>
      </c>
      <c r="B447" s="9" t="n">
        <v>1350095</v>
      </c>
      <c r="C447" s="0" t="n">
        <v>17749</v>
      </c>
      <c r="D447" s="0" t="n">
        <v>1048039</v>
      </c>
      <c r="E447" s="0" t="s">
        <v>259</v>
      </c>
      <c r="F447" s="0" t="n">
        <v>173084</v>
      </c>
      <c r="G447" s="0" t="s">
        <v>4513</v>
      </c>
      <c r="H447" s="0" t="s">
        <v>4514</v>
      </c>
      <c r="I447" s="0" t="s">
        <v>4515</v>
      </c>
      <c r="J447" s="0" t="s">
        <v>4516</v>
      </c>
      <c r="K447" s="0" t="s">
        <v>4517</v>
      </c>
      <c r="L447" s="0" t="n">
        <v>812727</v>
      </c>
      <c r="M447" s="0" t="s">
        <v>4518</v>
      </c>
      <c r="N447" s="0" t="n">
        <v>738584</v>
      </c>
      <c r="O447" s="9" t="n">
        <v>546</v>
      </c>
      <c r="P447" s="0" t="s">
        <v>253</v>
      </c>
      <c r="Q447" s="0" t="s">
        <v>4519</v>
      </c>
      <c r="R447" s="0" t="s">
        <v>4520</v>
      </c>
      <c r="S447" s="0" t="s">
        <v>218</v>
      </c>
      <c r="T447" s="0" t="s">
        <v>1098</v>
      </c>
      <c r="U447" s="9" t="n">
        <v>3</v>
      </c>
      <c r="V447" s="0" t="n">
        <v>0</v>
      </c>
      <c r="W447" s="0" t="n">
        <v>20240331</v>
      </c>
      <c r="X447" s="0" t="n">
        <v>1.20534836371594</v>
      </c>
      <c r="Y447" s="0" t="s">
        <v>4521</v>
      </c>
      <c r="Z447" s="0" t="s">
        <v>60</v>
      </c>
    </row>
    <row r="448" customFormat="false" ht="15" hidden="false" customHeight="false" outlineLevel="0" collapsed="false">
      <c r="A448" s="0" t="n">
        <v>445</v>
      </c>
      <c r="B448" s="9" t="n">
        <v>1632063</v>
      </c>
      <c r="C448" s="0" t="n">
        <v>17751</v>
      </c>
      <c r="D448" s="0" t="n">
        <v>1308912</v>
      </c>
      <c r="E448" s="0" t="s">
        <v>208</v>
      </c>
      <c r="F448" s="0" t="n">
        <v>138475</v>
      </c>
      <c r="G448" s="0" t="s">
        <v>4522</v>
      </c>
      <c r="H448" s="0" t="s">
        <v>4523</v>
      </c>
      <c r="I448" s="0" t="s">
        <v>4524</v>
      </c>
      <c r="J448" s="0" t="s">
        <v>4525</v>
      </c>
      <c r="K448" s="0" t="s">
        <v>4526</v>
      </c>
      <c r="L448" s="0" t="n">
        <v>1332202</v>
      </c>
      <c r="M448" s="0" t="s">
        <v>4527</v>
      </c>
      <c r="N448" s="0" t="n">
        <v>1123971</v>
      </c>
      <c r="O448" s="9" t="n">
        <v>805</v>
      </c>
      <c r="P448" s="0" t="s">
        <v>266</v>
      </c>
      <c r="Q448" s="0" t="s">
        <v>4528</v>
      </c>
      <c r="R448" s="0" t="s">
        <v>4529</v>
      </c>
      <c r="S448" s="0" t="s">
        <v>988</v>
      </c>
      <c r="T448" s="0" t="s">
        <v>4530</v>
      </c>
      <c r="U448" s="9" t="n">
        <v>0</v>
      </c>
      <c r="V448" s="0" t="n">
        <v>11.9941117035014</v>
      </c>
      <c r="W448" s="0" t="n">
        <v>20240331</v>
      </c>
      <c r="X448" s="0" t="n">
        <v>0.407671616049714</v>
      </c>
      <c r="Y448" s="0" t="s">
        <v>4531</v>
      </c>
      <c r="Z448" s="0" t="s">
        <v>60</v>
      </c>
    </row>
    <row r="449" customFormat="false" ht="15" hidden="false" customHeight="false" outlineLevel="0" collapsed="false">
      <c r="A449" s="0" t="n">
        <v>446</v>
      </c>
      <c r="B449" s="9" t="n">
        <v>1717181</v>
      </c>
      <c r="C449" s="0" t="n">
        <v>17897</v>
      </c>
      <c r="D449" s="0" t="n">
        <v>1296371</v>
      </c>
      <c r="E449" s="0" t="s">
        <v>159</v>
      </c>
      <c r="F449" s="0" t="n">
        <v>211359</v>
      </c>
      <c r="G449" s="0" t="s">
        <v>4532</v>
      </c>
      <c r="H449" s="0" t="s">
        <v>4533</v>
      </c>
      <c r="I449" s="0" t="s">
        <v>4534</v>
      </c>
      <c r="J449" s="0" t="s">
        <v>4535</v>
      </c>
      <c r="K449" s="0" t="s">
        <v>4536</v>
      </c>
      <c r="L449" s="0" t="n">
        <v>1431534</v>
      </c>
      <c r="M449" s="0" t="s">
        <v>4537</v>
      </c>
      <c r="N449" s="0" t="n">
        <v>1346782</v>
      </c>
      <c r="O449" s="9" t="n">
        <v>3411</v>
      </c>
      <c r="P449" s="0" t="s">
        <v>278</v>
      </c>
      <c r="Q449" s="0" t="s">
        <v>4538</v>
      </c>
      <c r="R449" s="0" t="s">
        <v>4539</v>
      </c>
      <c r="S449" s="0" t="s">
        <v>4540</v>
      </c>
      <c r="T449" s="0" t="s">
        <v>4541</v>
      </c>
      <c r="U449" s="9" t="n">
        <v>0</v>
      </c>
      <c r="V449" s="0" t="n">
        <v>17.5420163258205</v>
      </c>
      <c r="W449" s="0" t="n">
        <v>20240331</v>
      </c>
      <c r="X449" s="0" t="n">
        <v>1.19917950261941</v>
      </c>
      <c r="Y449" s="0" t="s">
        <v>1218</v>
      </c>
      <c r="Z449" s="0" t="s">
        <v>60</v>
      </c>
    </row>
    <row r="450" customFormat="false" ht="15" hidden="false" customHeight="false" outlineLevel="0" collapsed="false">
      <c r="A450" s="0" t="n">
        <v>447</v>
      </c>
      <c r="B450" s="9" t="n">
        <v>794635</v>
      </c>
      <c r="C450" s="0" t="n">
        <v>17951</v>
      </c>
      <c r="D450" s="0" t="n">
        <v>661495</v>
      </c>
      <c r="E450" s="0" t="s">
        <v>1500</v>
      </c>
      <c r="F450" s="0" t="n">
        <v>61632</v>
      </c>
      <c r="G450" s="0" t="s">
        <v>4542</v>
      </c>
      <c r="H450" s="0" t="s">
        <v>4543</v>
      </c>
      <c r="I450" s="0" t="s">
        <v>4544</v>
      </c>
      <c r="J450" s="0" t="s">
        <v>4545</v>
      </c>
      <c r="K450" s="0" t="s">
        <v>4546</v>
      </c>
      <c r="L450" s="0" t="n">
        <v>585701</v>
      </c>
      <c r="M450" s="0" t="s">
        <v>4547</v>
      </c>
      <c r="N450" s="0" t="n">
        <v>544281</v>
      </c>
      <c r="O450" s="9" t="n">
        <v>174</v>
      </c>
      <c r="P450" s="0" t="s">
        <v>290</v>
      </c>
      <c r="Q450" s="0" t="s">
        <v>4548</v>
      </c>
      <c r="R450" s="0" t="s">
        <v>4549</v>
      </c>
      <c r="S450" s="0" t="s">
        <v>1738</v>
      </c>
      <c r="T450" s="0" t="s">
        <v>3510</v>
      </c>
      <c r="U450" s="9" t="n">
        <v>0</v>
      </c>
      <c r="V450" s="0" t="n">
        <v>14.6324208046485</v>
      </c>
      <c r="W450" s="0" t="n">
        <v>20240331</v>
      </c>
      <c r="X450" s="0" t="n">
        <v>0.560264493427521</v>
      </c>
      <c r="Y450" s="0" t="s">
        <v>1373</v>
      </c>
      <c r="Z450" s="0" t="s">
        <v>158</v>
      </c>
    </row>
    <row r="451" customFormat="false" ht="15" hidden="false" customHeight="false" outlineLevel="0" collapsed="false">
      <c r="A451" s="0" t="n">
        <v>448</v>
      </c>
      <c r="B451" s="9" t="n">
        <v>1358652</v>
      </c>
      <c r="C451" s="0" t="n">
        <v>17960</v>
      </c>
      <c r="D451" s="0" t="n">
        <v>1003157</v>
      </c>
      <c r="E451" s="0" t="s">
        <v>259</v>
      </c>
      <c r="F451" s="0" t="n">
        <v>113634</v>
      </c>
      <c r="G451" s="0" t="s">
        <v>4550</v>
      </c>
      <c r="H451" s="0" t="s">
        <v>4551</v>
      </c>
      <c r="I451" s="0" t="s">
        <v>4552</v>
      </c>
      <c r="J451" s="0" t="s">
        <v>4553</v>
      </c>
      <c r="K451" s="0" t="s">
        <v>4554</v>
      </c>
      <c r="L451" s="0" t="n">
        <v>1167672</v>
      </c>
      <c r="M451" s="0" t="s">
        <v>4555</v>
      </c>
      <c r="N451" s="0" t="n">
        <v>831348</v>
      </c>
      <c r="O451" s="9" t="n">
        <v>9231</v>
      </c>
      <c r="P451" s="0" t="s">
        <v>302</v>
      </c>
      <c r="Q451" s="0" t="s">
        <v>4556</v>
      </c>
      <c r="R451" s="0" t="s">
        <v>4557</v>
      </c>
      <c r="S451" s="0" t="s">
        <v>4558</v>
      </c>
      <c r="T451" s="0" t="s">
        <v>4559</v>
      </c>
      <c r="U451" s="9" t="n">
        <v>0</v>
      </c>
      <c r="V451" s="0" t="n">
        <v>13.3536414605849</v>
      </c>
      <c r="W451" s="0" t="n">
        <v>20240331</v>
      </c>
      <c r="X451" s="0" t="n">
        <v>0.376099631197934</v>
      </c>
      <c r="Y451" s="0" t="s">
        <v>4560</v>
      </c>
      <c r="Z451" s="0" t="s">
        <v>158</v>
      </c>
    </row>
    <row r="452" customFormat="false" ht="15" hidden="false" customHeight="false" outlineLevel="0" collapsed="false">
      <c r="A452" s="0" t="n">
        <v>449</v>
      </c>
      <c r="B452" s="9" t="n">
        <v>2475597</v>
      </c>
      <c r="C452" s="0" t="n">
        <v>18012</v>
      </c>
      <c r="D452" s="0" t="n">
        <v>2087993</v>
      </c>
      <c r="E452" s="0" t="s">
        <v>172</v>
      </c>
      <c r="F452" s="0" t="n">
        <v>269535</v>
      </c>
      <c r="G452" s="0" t="s">
        <v>4561</v>
      </c>
      <c r="H452" s="0" t="s">
        <v>4562</v>
      </c>
      <c r="I452" s="0" t="s">
        <v>4563</v>
      </c>
      <c r="J452" s="0" t="s">
        <v>4564</v>
      </c>
      <c r="K452" s="0" t="s">
        <v>4565</v>
      </c>
      <c r="L452" s="0" t="n">
        <v>1997011</v>
      </c>
      <c r="M452" s="0" t="s">
        <v>4566</v>
      </c>
      <c r="N452" s="0" t="n">
        <v>1892259</v>
      </c>
      <c r="O452" s="9" t="n">
        <v>790</v>
      </c>
      <c r="P452" s="0" t="s">
        <v>312</v>
      </c>
      <c r="Q452" s="0" t="s">
        <v>4567</v>
      </c>
      <c r="R452" s="0" t="s">
        <v>4568</v>
      </c>
      <c r="S452" s="0" t="s">
        <v>340</v>
      </c>
      <c r="T452" s="0" t="s">
        <v>4569</v>
      </c>
      <c r="U452" s="9" t="n">
        <v>0</v>
      </c>
      <c r="V452" s="0" t="n">
        <v>14.3710292966398</v>
      </c>
      <c r="W452" s="0" t="n">
        <v>20240331</v>
      </c>
      <c r="X452" s="0" t="n">
        <v>0.667372932289855</v>
      </c>
      <c r="Y452" s="0" t="s">
        <v>3437</v>
      </c>
      <c r="Z452" s="0" t="s">
        <v>158</v>
      </c>
    </row>
    <row r="453" customFormat="false" ht="15" hidden="false" customHeight="false" outlineLevel="0" collapsed="false">
      <c r="A453" s="0" t="n">
        <v>450</v>
      </c>
      <c r="B453" s="9" t="n">
        <v>2943126</v>
      </c>
      <c r="C453" s="0" t="n">
        <v>18013</v>
      </c>
      <c r="D453" s="0" t="n">
        <v>2511525</v>
      </c>
      <c r="E453" s="0" t="s">
        <v>794</v>
      </c>
      <c r="F453" s="0" t="n">
        <v>220450</v>
      </c>
      <c r="G453" s="0" t="s">
        <v>4570</v>
      </c>
      <c r="H453" s="0" t="s">
        <v>4571</v>
      </c>
      <c r="I453" s="0" t="s">
        <v>4572</v>
      </c>
      <c r="J453" s="0" t="s">
        <v>4573</v>
      </c>
      <c r="K453" s="0" t="s">
        <v>4574</v>
      </c>
      <c r="L453" s="0" t="n">
        <v>2386994</v>
      </c>
      <c r="M453" s="0" t="s">
        <v>4575</v>
      </c>
      <c r="N453" s="0" t="n">
        <v>2170356</v>
      </c>
      <c r="O453" s="9" t="n">
        <v>990</v>
      </c>
      <c r="P453" s="0" t="s">
        <v>324</v>
      </c>
      <c r="Q453" s="0" t="s">
        <v>4576</v>
      </c>
      <c r="R453" s="0" t="s">
        <v>4577</v>
      </c>
      <c r="S453" s="0" t="s">
        <v>281</v>
      </c>
      <c r="T453" s="0" t="s">
        <v>4578</v>
      </c>
      <c r="U453" s="9" t="n">
        <v>357</v>
      </c>
      <c r="V453" s="0" t="n">
        <v>12.4379068806188</v>
      </c>
      <c r="W453" s="0" t="n">
        <v>20240331</v>
      </c>
      <c r="X453" s="0" t="n">
        <v>0.262414963236202</v>
      </c>
      <c r="Y453" s="0" t="s">
        <v>4579</v>
      </c>
      <c r="Z453" s="0" t="s">
        <v>158</v>
      </c>
    </row>
    <row r="454" customFormat="false" ht="15" hidden="false" customHeight="false" outlineLevel="0" collapsed="false">
      <c r="A454" s="0" t="n">
        <v>451</v>
      </c>
      <c r="B454" s="9" t="n">
        <v>397277</v>
      </c>
      <c r="C454" s="0" t="n">
        <v>18028</v>
      </c>
      <c r="D454" s="0" t="n">
        <v>325871</v>
      </c>
      <c r="E454" s="0" t="s">
        <v>208</v>
      </c>
      <c r="F454" s="0" t="n">
        <v>40522</v>
      </c>
      <c r="G454" s="0" t="s">
        <v>4580</v>
      </c>
      <c r="H454" s="0" t="s">
        <v>4581</v>
      </c>
      <c r="I454" s="0" t="s">
        <v>4582</v>
      </c>
      <c r="J454" s="0" t="s">
        <v>4583</v>
      </c>
      <c r="K454" s="0" t="s">
        <v>4584</v>
      </c>
      <c r="L454" s="0" t="n">
        <v>267508</v>
      </c>
      <c r="M454" s="0" t="s">
        <v>4585</v>
      </c>
      <c r="N454" s="0" t="n">
        <v>240691</v>
      </c>
      <c r="O454" s="9" t="n">
        <v>704</v>
      </c>
      <c r="P454" s="0" t="s">
        <v>337</v>
      </c>
      <c r="Q454" s="0" t="s">
        <v>4586</v>
      </c>
      <c r="R454" s="0" t="s">
        <v>4587</v>
      </c>
      <c r="S454" s="0" t="s">
        <v>4588</v>
      </c>
      <c r="T454" s="0" t="s">
        <v>4589</v>
      </c>
      <c r="U454" s="9" t="n">
        <v>59</v>
      </c>
      <c r="V454" s="0" t="n">
        <v>0</v>
      </c>
      <c r="W454" s="0" t="n">
        <v>20240331</v>
      </c>
      <c r="X454" s="0" t="n">
        <v>0.397908701215368</v>
      </c>
      <c r="Y454" s="0" t="s">
        <v>4590</v>
      </c>
      <c r="Z454" s="0" t="s">
        <v>158</v>
      </c>
    </row>
    <row r="455" customFormat="false" ht="15" hidden="false" customHeight="false" outlineLevel="0" collapsed="false">
      <c r="A455" s="0" t="n">
        <v>452</v>
      </c>
      <c r="B455" s="9" t="n">
        <v>760475</v>
      </c>
      <c r="C455" s="0" t="n">
        <v>18030</v>
      </c>
      <c r="D455" s="0" t="n">
        <v>679167</v>
      </c>
      <c r="E455" s="0" t="s">
        <v>794</v>
      </c>
      <c r="F455" s="0" t="n">
        <v>49359</v>
      </c>
      <c r="G455" s="0" t="s">
        <v>4591</v>
      </c>
      <c r="H455" s="0" t="s">
        <v>4592</v>
      </c>
      <c r="I455" s="0" t="s">
        <v>4593</v>
      </c>
      <c r="J455" s="0" t="s">
        <v>4594</v>
      </c>
      <c r="K455" s="0" t="s">
        <v>4595</v>
      </c>
      <c r="L455" s="0" t="n">
        <v>576022</v>
      </c>
      <c r="M455" s="0" t="s">
        <v>4596</v>
      </c>
      <c r="N455" s="0" t="n">
        <v>444671</v>
      </c>
      <c r="O455" s="9" t="n">
        <v>508</v>
      </c>
      <c r="P455" s="0" t="s">
        <v>349</v>
      </c>
      <c r="Q455" s="0" t="s">
        <v>4597</v>
      </c>
      <c r="R455" s="0" t="s">
        <v>4598</v>
      </c>
      <c r="S455" s="0" t="s">
        <v>352</v>
      </c>
      <c r="T455" s="0" t="s">
        <v>4599</v>
      </c>
      <c r="U455" s="9" t="n">
        <v>133</v>
      </c>
      <c r="V455" s="0" t="n">
        <v>13.5007684922143</v>
      </c>
      <c r="W455" s="0" t="n">
        <v>20240331</v>
      </c>
      <c r="X455" s="0" t="n">
        <v>0.68055140252855</v>
      </c>
      <c r="Y455" s="0" t="s">
        <v>4600</v>
      </c>
      <c r="Z455" s="0" t="s">
        <v>158</v>
      </c>
    </row>
    <row r="456" customFormat="false" ht="15" hidden="false" customHeight="false" outlineLevel="0" collapsed="false">
      <c r="A456" s="0" t="n">
        <v>453</v>
      </c>
      <c r="B456" s="9" t="n">
        <v>669872</v>
      </c>
      <c r="C456" s="0" t="n">
        <v>18031</v>
      </c>
      <c r="D456" s="0" t="n">
        <v>532494</v>
      </c>
      <c r="E456" s="0" t="s">
        <v>4117</v>
      </c>
      <c r="F456" s="0" t="n">
        <v>36392</v>
      </c>
      <c r="G456" s="0" t="s">
        <v>4601</v>
      </c>
      <c r="H456" s="0" t="s">
        <v>4602</v>
      </c>
      <c r="I456" s="0" t="s">
        <v>4603</v>
      </c>
      <c r="J456" s="0" t="s">
        <v>4604</v>
      </c>
      <c r="K456" s="0" t="s">
        <v>4605</v>
      </c>
      <c r="L456" s="0" t="n">
        <v>476691</v>
      </c>
      <c r="M456" s="0" t="s">
        <v>4606</v>
      </c>
      <c r="N456" s="0" t="n">
        <v>436768</v>
      </c>
      <c r="O456" s="9" t="n">
        <v>893</v>
      </c>
      <c r="P456" s="0" t="s">
        <v>361</v>
      </c>
      <c r="Q456" s="0" t="s">
        <v>4607</v>
      </c>
      <c r="R456" s="0" t="s">
        <v>4608</v>
      </c>
      <c r="S456" s="0" t="s">
        <v>489</v>
      </c>
      <c r="T456" s="0" t="s">
        <v>4609</v>
      </c>
      <c r="U456" s="9" t="n">
        <v>8</v>
      </c>
      <c r="V456" s="0" t="n">
        <v>16.3361319436295</v>
      </c>
      <c r="W456" s="0" t="n">
        <v>20240331</v>
      </c>
      <c r="X456" s="0" t="n">
        <v>0.457822713323232</v>
      </c>
      <c r="Y456" s="0" t="s">
        <v>4610</v>
      </c>
      <c r="Z456" s="0" t="s">
        <v>158</v>
      </c>
    </row>
    <row r="457" customFormat="false" ht="15" hidden="false" customHeight="false" outlineLevel="0" collapsed="false">
      <c r="A457" s="0" t="n">
        <v>454</v>
      </c>
      <c r="B457" s="9" t="n">
        <v>522345</v>
      </c>
      <c r="C457" s="0" t="n">
        <v>18038</v>
      </c>
      <c r="D457" s="0" t="n">
        <v>409953</v>
      </c>
      <c r="E457" s="0" t="s">
        <v>61</v>
      </c>
      <c r="F457" s="0" t="n">
        <v>65908</v>
      </c>
      <c r="G457" s="0" t="s">
        <v>4611</v>
      </c>
      <c r="H457" s="0" t="s">
        <v>4612</v>
      </c>
      <c r="I457" s="0" t="s">
        <v>4613</v>
      </c>
      <c r="J457" s="0" t="s">
        <v>4614</v>
      </c>
      <c r="K457" s="0" t="s">
        <v>4615</v>
      </c>
      <c r="L457" s="0" t="n">
        <v>416656</v>
      </c>
      <c r="M457" s="0" t="s">
        <v>4616</v>
      </c>
      <c r="N457" s="0" t="n">
        <v>389167</v>
      </c>
      <c r="O457" s="9" t="n">
        <v>2189</v>
      </c>
      <c r="P457" s="0" t="s">
        <v>372</v>
      </c>
      <c r="Q457" s="0" t="s">
        <v>4617</v>
      </c>
      <c r="R457" s="0" t="s">
        <v>4618</v>
      </c>
      <c r="S457" s="0" t="s">
        <v>293</v>
      </c>
      <c r="T457" s="0" t="s">
        <v>4619</v>
      </c>
      <c r="U457" s="9" t="n">
        <v>0</v>
      </c>
      <c r="V457" s="0" t="n">
        <v>0</v>
      </c>
      <c r="W457" s="0" t="n">
        <v>20240331</v>
      </c>
      <c r="X457" s="0" t="n">
        <v>1.0870799431889</v>
      </c>
      <c r="Y457" s="0" t="s">
        <v>4620</v>
      </c>
      <c r="Z457" s="0" t="s">
        <v>158</v>
      </c>
    </row>
    <row r="458" customFormat="false" ht="15" hidden="false" customHeight="false" outlineLevel="0" collapsed="false">
      <c r="A458" s="0" t="n">
        <v>455</v>
      </c>
      <c r="B458" s="9" t="n">
        <v>7209064</v>
      </c>
      <c r="C458" s="0" t="n">
        <v>18408</v>
      </c>
      <c r="D458" s="0" t="n">
        <v>5243296</v>
      </c>
      <c r="E458" s="0" t="s">
        <v>195</v>
      </c>
      <c r="F458" s="0" t="n">
        <v>402922</v>
      </c>
      <c r="G458" s="0" t="s">
        <v>4621</v>
      </c>
      <c r="H458" s="0" t="s">
        <v>4622</v>
      </c>
      <c r="I458" s="0" t="s">
        <v>4623</v>
      </c>
      <c r="J458" s="0" t="s">
        <v>4624</v>
      </c>
      <c r="K458" s="0" t="s">
        <v>4625</v>
      </c>
      <c r="L458" s="0" t="n">
        <v>4840855</v>
      </c>
      <c r="M458" s="0" t="s">
        <v>4626</v>
      </c>
      <c r="N458" s="0" t="n">
        <v>4375722</v>
      </c>
      <c r="O458" s="9" t="n">
        <v>4530</v>
      </c>
      <c r="P458" s="0" t="s">
        <v>384</v>
      </c>
      <c r="Q458" s="0" t="s">
        <v>4627</v>
      </c>
      <c r="R458" s="0" t="s">
        <v>4628</v>
      </c>
      <c r="S458" s="0" t="s">
        <v>4629</v>
      </c>
      <c r="T458" s="0" t="s">
        <v>4630</v>
      </c>
      <c r="U458" s="9" t="n">
        <v>0</v>
      </c>
      <c r="V458" s="0" t="n">
        <v>11.6477404589509</v>
      </c>
      <c r="W458" s="0" t="n">
        <v>20240331</v>
      </c>
      <c r="X458" s="0" t="n">
        <v>-0.0140431607422889</v>
      </c>
      <c r="Y458" s="0" t="s">
        <v>4631</v>
      </c>
      <c r="Z458" s="0" t="s">
        <v>60</v>
      </c>
    </row>
    <row r="459" customFormat="false" ht="15" hidden="false" customHeight="false" outlineLevel="0" collapsed="false">
      <c r="A459" s="0" t="n">
        <v>456</v>
      </c>
      <c r="B459" s="9" t="n">
        <v>2536962</v>
      </c>
      <c r="C459" s="0" t="n">
        <v>19531</v>
      </c>
      <c r="D459" s="0" t="n">
        <v>1943034</v>
      </c>
      <c r="E459" s="0" t="s">
        <v>61</v>
      </c>
      <c r="F459" s="0" t="n">
        <v>242536</v>
      </c>
      <c r="G459" s="0" t="s">
        <v>4632</v>
      </c>
      <c r="H459" s="0" t="s">
        <v>4633</v>
      </c>
      <c r="I459" s="0" t="s">
        <v>4634</v>
      </c>
      <c r="J459" s="0" t="s">
        <v>4635</v>
      </c>
      <c r="K459" s="0" t="s">
        <v>4636</v>
      </c>
      <c r="L459" s="0" t="n">
        <v>2037730</v>
      </c>
      <c r="M459" s="0" t="s">
        <v>4637</v>
      </c>
      <c r="N459" s="0" t="n">
        <v>1667925</v>
      </c>
      <c r="O459" s="9" t="n">
        <v>8011</v>
      </c>
      <c r="P459" s="0" t="s">
        <v>397</v>
      </c>
      <c r="Q459" s="0" t="s">
        <v>4638</v>
      </c>
      <c r="R459" s="0" t="s">
        <v>4639</v>
      </c>
      <c r="S459" s="0" t="s">
        <v>772</v>
      </c>
      <c r="T459" s="0" t="s">
        <v>4640</v>
      </c>
      <c r="U459" s="9" t="n">
        <v>26</v>
      </c>
      <c r="V459" s="0" t="n">
        <v>14.3160659623927</v>
      </c>
      <c r="W459" s="0" t="n">
        <v>20240331</v>
      </c>
      <c r="X459" s="0" t="n">
        <v>0.303107086681934</v>
      </c>
      <c r="Y459" s="0" t="s">
        <v>4641</v>
      </c>
      <c r="Z459" s="0" t="s">
        <v>60</v>
      </c>
    </row>
    <row r="460" customFormat="false" ht="15" hidden="false" customHeight="false" outlineLevel="0" collapsed="false">
      <c r="A460" s="0" t="n">
        <v>457</v>
      </c>
      <c r="B460" s="9" t="n">
        <v>898226</v>
      </c>
      <c r="C460" s="0" t="n">
        <v>19532</v>
      </c>
      <c r="D460" s="0" t="n">
        <v>728574</v>
      </c>
      <c r="E460" s="0" t="s">
        <v>195</v>
      </c>
      <c r="F460" s="0" t="n">
        <v>97076</v>
      </c>
      <c r="G460" s="0" t="s">
        <v>4642</v>
      </c>
      <c r="H460" s="0" t="s">
        <v>4643</v>
      </c>
      <c r="I460" s="0" t="s">
        <v>4644</v>
      </c>
      <c r="J460" s="0" t="s">
        <v>4645</v>
      </c>
      <c r="K460" s="0" t="s">
        <v>4646</v>
      </c>
      <c r="L460" s="0" t="n">
        <v>591701</v>
      </c>
      <c r="M460" s="0" t="s">
        <v>4647</v>
      </c>
      <c r="N460" s="0" t="n">
        <v>486940</v>
      </c>
      <c r="O460" s="9" t="n">
        <v>1722</v>
      </c>
      <c r="P460" s="0" t="s">
        <v>409</v>
      </c>
      <c r="Q460" s="0" t="s">
        <v>4648</v>
      </c>
      <c r="R460" s="0" t="s">
        <v>4649</v>
      </c>
      <c r="S460" s="0" t="s">
        <v>708</v>
      </c>
      <c r="T460" s="0" t="s">
        <v>4650</v>
      </c>
      <c r="U460" s="9" t="n">
        <v>0</v>
      </c>
      <c r="V460" s="0" t="n">
        <v>20.9615309283706</v>
      </c>
      <c r="W460" s="0" t="n">
        <v>20240331</v>
      </c>
      <c r="X460" s="0" t="n">
        <v>0.943362209622024</v>
      </c>
      <c r="Y460" s="0" t="s">
        <v>4651</v>
      </c>
      <c r="Z460" s="0" t="s">
        <v>60</v>
      </c>
    </row>
    <row r="461" customFormat="false" ht="15" hidden="false" customHeight="false" outlineLevel="0" collapsed="false">
      <c r="A461" s="0" t="n">
        <v>458</v>
      </c>
      <c r="B461" s="9" t="n">
        <v>3001015</v>
      </c>
      <c r="C461" s="0" t="n">
        <v>19690</v>
      </c>
      <c r="D461" s="0" t="n">
        <v>2249394</v>
      </c>
      <c r="E461" s="0" t="s">
        <v>259</v>
      </c>
      <c r="F461" s="0" t="n">
        <v>351913</v>
      </c>
      <c r="G461" s="0" t="s">
        <v>4652</v>
      </c>
      <c r="H461" s="0" t="s">
        <v>4653</v>
      </c>
      <c r="I461" s="0" t="s">
        <v>4654</v>
      </c>
      <c r="J461" s="0" t="s">
        <v>4655</v>
      </c>
      <c r="K461" s="0" t="s">
        <v>4656</v>
      </c>
      <c r="L461" s="0" t="n">
        <v>2656781</v>
      </c>
      <c r="M461" s="0" t="s">
        <v>4657</v>
      </c>
      <c r="N461" s="0" t="n">
        <v>2071416</v>
      </c>
      <c r="O461" s="9" t="n">
        <v>27951</v>
      </c>
      <c r="P461" s="0" t="s">
        <v>420</v>
      </c>
      <c r="Q461" s="0" t="s">
        <v>4658</v>
      </c>
      <c r="R461" s="0" t="s">
        <v>4659</v>
      </c>
      <c r="S461" s="0" t="s">
        <v>4660</v>
      </c>
      <c r="T461" s="0" t="s">
        <v>4661</v>
      </c>
      <c r="U461" s="9" t="n">
        <v>0</v>
      </c>
      <c r="V461" s="0" t="n">
        <v>14.2226449666769</v>
      </c>
      <c r="W461" s="0" t="n">
        <v>20240331</v>
      </c>
      <c r="X461" s="0" t="n">
        <v>1.85795924985482</v>
      </c>
      <c r="Y461" s="0" t="s">
        <v>4662</v>
      </c>
      <c r="Z461" s="0" t="s">
        <v>60</v>
      </c>
    </row>
    <row r="462" customFormat="false" ht="15" hidden="false" customHeight="false" outlineLevel="0" collapsed="false">
      <c r="A462" s="0" t="n">
        <v>459</v>
      </c>
      <c r="B462" s="9" t="n">
        <v>677132</v>
      </c>
      <c r="C462" s="0" t="n">
        <v>19836</v>
      </c>
      <c r="D462" s="0" t="n">
        <v>501943</v>
      </c>
      <c r="E462" s="0" t="s">
        <v>61</v>
      </c>
      <c r="F462" s="0" t="n">
        <v>121076</v>
      </c>
      <c r="G462" s="0" t="s">
        <v>4663</v>
      </c>
      <c r="H462" s="0" t="s">
        <v>4664</v>
      </c>
      <c r="I462" s="0" t="s">
        <v>4665</v>
      </c>
      <c r="J462" s="0" t="s">
        <v>4666</v>
      </c>
      <c r="K462" s="0" t="s">
        <v>4667</v>
      </c>
      <c r="L462" s="0" t="n">
        <v>563910</v>
      </c>
      <c r="M462" s="0" t="s">
        <v>4668</v>
      </c>
      <c r="N462" s="0" t="n">
        <v>501814</v>
      </c>
      <c r="O462" s="9" t="n">
        <v>4708</v>
      </c>
      <c r="P462" s="0" t="s">
        <v>290</v>
      </c>
      <c r="Q462" s="0" t="s">
        <v>4669</v>
      </c>
      <c r="R462" s="0" t="s">
        <v>4670</v>
      </c>
      <c r="S462" s="0" t="s">
        <v>1329</v>
      </c>
      <c r="T462" s="0" t="s">
        <v>4671</v>
      </c>
      <c r="U462" s="9" t="n">
        <v>134</v>
      </c>
      <c r="V462" s="0" t="n">
        <v>25.4067359742023</v>
      </c>
      <c r="W462" s="0" t="n">
        <v>20240331</v>
      </c>
      <c r="X462" s="0" t="n">
        <v>0.619382173762133</v>
      </c>
      <c r="Y462" s="0" t="s">
        <v>4672</v>
      </c>
      <c r="Z462" s="0" t="s">
        <v>60</v>
      </c>
    </row>
    <row r="463" customFormat="false" ht="15" hidden="false" customHeight="false" outlineLevel="0" collapsed="false">
      <c r="A463" s="0" t="n">
        <v>460</v>
      </c>
      <c r="B463" s="9" t="n">
        <v>1433532</v>
      </c>
      <c r="C463" s="0" t="n">
        <v>24540</v>
      </c>
      <c r="D463" s="0" t="n">
        <v>1156113</v>
      </c>
      <c r="E463" s="0" t="s">
        <v>172</v>
      </c>
      <c r="F463" s="0" t="n">
        <v>252599</v>
      </c>
      <c r="G463" s="0" t="s">
        <v>4673</v>
      </c>
      <c r="H463" s="0" t="s">
        <v>4674</v>
      </c>
      <c r="I463" s="0" t="s">
        <v>4675</v>
      </c>
      <c r="J463" s="0" t="s">
        <v>4676</v>
      </c>
      <c r="K463" s="0" t="s">
        <v>4677</v>
      </c>
      <c r="L463" s="0" t="n">
        <v>1220007</v>
      </c>
      <c r="M463" s="0" t="s">
        <v>4678</v>
      </c>
      <c r="N463" s="0" t="n">
        <v>1181027</v>
      </c>
      <c r="O463" s="9" t="n">
        <v>30157</v>
      </c>
      <c r="P463" s="0" t="s">
        <v>443</v>
      </c>
      <c r="Q463" s="0" t="s">
        <v>4679</v>
      </c>
      <c r="R463" s="0" t="s">
        <v>4680</v>
      </c>
      <c r="S463" s="0" t="s">
        <v>61</v>
      </c>
      <c r="T463" s="0" t="s">
        <v>61</v>
      </c>
      <c r="U463" s="9" t="n">
        <v>0</v>
      </c>
      <c r="V463" s="0" t="n">
        <v>18.9186492671387</v>
      </c>
      <c r="W463" s="0" t="n">
        <v>20240331</v>
      </c>
      <c r="X463" s="0" t="n">
        <v>1.89104806828232</v>
      </c>
      <c r="Y463" s="0" t="s">
        <v>4681</v>
      </c>
      <c r="Z463" s="0" t="s">
        <v>158</v>
      </c>
    </row>
    <row r="464" customFormat="false" ht="15" hidden="false" customHeight="false" outlineLevel="0" collapsed="false">
      <c r="A464" s="0" t="n">
        <v>461</v>
      </c>
      <c r="B464" s="9" t="n">
        <v>541415</v>
      </c>
      <c r="C464" s="0" t="n">
        <v>27824</v>
      </c>
      <c r="D464" s="0" t="n">
        <v>385991</v>
      </c>
      <c r="E464" s="0" t="s">
        <v>1187</v>
      </c>
      <c r="F464" s="0" t="n">
        <v>64777</v>
      </c>
      <c r="G464" s="0" t="s">
        <v>4682</v>
      </c>
      <c r="H464" s="0" t="s">
        <v>4683</v>
      </c>
      <c r="I464" s="0" t="s">
        <v>4684</v>
      </c>
      <c r="J464" s="0" t="s">
        <v>4685</v>
      </c>
      <c r="K464" s="0" t="s">
        <v>4686</v>
      </c>
      <c r="L464" s="0" t="n">
        <v>453279</v>
      </c>
      <c r="M464" s="0" t="s">
        <v>4687</v>
      </c>
      <c r="N464" s="0" t="n">
        <v>390846</v>
      </c>
      <c r="O464" s="9" t="n">
        <v>1045</v>
      </c>
      <c r="P464" s="0" t="s">
        <v>453</v>
      </c>
      <c r="Q464" s="0" t="s">
        <v>4688</v>
      </c>
      <c r="R464" s="0" t="s">
        <v>4689</v>
      </c>
      <c r="S464" s="0" t="s">
        <v>4690</v>
      </c>
      <c r="T464" s="0" t="s">
        <v>4691</v>
      </c>
      <c r="U464" s="9" t="n">
        <v>0</v>
      </c>
      <c r="V464" s="0" t="n">
        <v>21.0236173119163</v>
      </c>
      <c r="W464" s="0" t="n">
        <v>20240331</v>
      </c>
      <c r="X464" s="0" t="n">
        <v>-0.393235899037422</v>
      </c>
      <c r="Y464" s="0" t="s">
        <v>4692</v>
      </c>
      <c r="Z464" s="0" t="s">
        <v>158</v>
      </c>
    </row>
    <row r="465" customFormat="false" ht="15" hidden="false" customHeight="false" outlineLevel="0" collapsed="false">
      <c r="A465" s="0" t="n">
        <v>462</v>
      </c>
      <c r="B465" s="9" t="n">
        <v>297031</v>
      </c>
      <c r="C465" s="0" t="n">
        <v>28155</v>
      </c>
      <c r="D465" s="0" t="n">
        <v>249108</v>
      </c>
      <c r="E465" s="0" t="s">
        <v>1500</v>
      </c>
      <c r="F465" s="0" t="n">
        <v>27388</v>
      </c>
      <c r="G465" s="0" t="s">
        <v>4693</v>
      </c>
      <c r="H465" s="0" t="s">
        <v>4694</v>
      </c>
      <c r="I465" s="0" t="s">
        <v>4695</v>
      </c>
      <c r="J465" s="0" t="s">
        <v>4696</v>
      </c>
      <c r="K465" s="0" t="s">
        <v>4697</v>
      </c>
      <c r="L465" s="0" t="n">
        <v>166779</v>
      </c>
      <c r="M465" s="0" t="s">
        <v>4698</v>
      </c>
      <c r="N465" s="0" t="n">
        <v>149746</v>
      </c>
      <c r="O465" s="9" t="n">
        <v>130</v>
      </c>
      <c r="P465" s="0" t="s">
        <v>464</v>
      </c>
      <c r="Q465" s="0" t="s">
        <v>4699</v>
      </c>
      <c r="R465" s="0" t="s">
        <v>4700</v>
      </c>
      <c r="S465" s="0" t="s">
        <v>256</v>
      </c>
      <c r="T465" s="0" t="s">
        <v>4701</v>
      </c>
      <c r="U465" s="9" t="n">
        <v>0</v>
      </c>
      <c r="V465" s="0" t="n">
        <v>17.7250205933339</v>
      </c>
      <c r="W465" s="0" t="n">
        <v>20240331</v>
      </c>
      <c r="X465" s="0" t="n">
        <v>-0.0455333766346817</v>
      </c>
      <c r="Y465" s="0" t="s">
        <v>3144</v>
      </c>
      <c r="Z465" s="0" t="s">
        <v>158</v>
      </c>
    </row>
    <row r="466" customFormat="false" ht="15" hidden="false" customHeight="false" outlineLevel="0" collapsed="false">
      <c r="A466" s="0" t="n">
        <v>463</v>
      </c>
      <c r="B466" s="9" t="n">
        <v>103458</v>
      </c>
      <c r="C466" s="0" t="n">
        <v>28288</v>
      </c>
      <c r="D466" s="0" t="n">
        <v>74972</v>
      </c>
      <c r="E466" s="0" t="s">
        <v>61</v>
      </c>
      <c r="F466" s="0" t="n">
        <v>5859</v>
      </c>
      <c r="G466" s="0" t="s">
        <v>4702</v>
      </c>
      <c r="H466" s="0" t="s">
        <v>4703</v>
      </c>
      <c r="I466" s="0" t="s">
        <v>4704</v>
      </c>
      <c r="J466" s="0" t="s">
        <v>4705</v>
      </c>
      <c r="K466" s="0" t="s">
        <v>4706</v>
      </c>
      <c r="L466" s="0" t="n">
        <v>83770</v>
      </c>
      <c r="M466" s="0" t="s">
        <v>4707</v>
      </c>
      <c r="N466" s="0" t="n">
        <v>75913</v>
      </c>
      <c r="O466" s="9" t="n">
        <v>254</v>
      </c>
      <c r="P466" s="0" t="s">
        <v>475</v>
      </c>
      <c r="Q466" s="0" t="s">
        <v>4708</v>
      </c>
      <c r="R466" s="0" t="s">
        <v>4709</v>
      </c>
      <c r="S466" s="0" t="s">
        <v>61</v>
      </c>
      <c r="T466" s="0" t="s">
        <v>4710</v>
      </c>
      <c r="U466" s="9" t="n">
        <v>0</v>
      </c>
      <c r="V466" s="0" t="n">
        <v>13.7396501276225</v>
      </c>
      <c r="W466" s="0" t="n">
        <v>20240331</v>
      </c>
      <c r="X466" s="0" t="n">
        <v>0.0727721895332526</v>
      </c>
      <c r="Y466" s="0" t="s">
        <v>1030</v>
      </c>
      <c r="Z466" s="0" t="s">
        <v>60</v>
      </c>
    </row>
    <row r="467" customFormat="false" ht="15" hidden="false" customHeight="false" outlineLevel="0" collapsed="false">
      <c r="A467" s="0" t="n">
        <v>464</v>
      </c>
      <c r="B467" s="9" t="n">
        <v>95113</v>
      </c>
      <c r="C467" s="0" t="n">
        <v>28369</v>
      </c>
      <c r="D467" s="0" t="n">
        <v>75369</v>
      </c>
      <c r="E467" s="0" t="s">
        <v>208</v>
      </c>
      <c r="F467" s="0" t="n">
        <v>9266</v>
      </c>
      <c r="G467" s="0" t="s">
        <v>4711</v>
      </c>
      <c r="H467" s="0" t="s">
        <v>4712</v>
      </c>
      <c r="I467" s="0" t="s">
        <v>4713</v>
      </c>
      <c r="J467" s="0" t="s">
        <v>4714</v>
      </c>
      <c r="K467" s="0" t="s">
        <v>4715</v>
      </c>
      <c r="L467" s="0" t="n">
        <v>80819</v>
      </c>
      <c r="M467" s="0" t="s">
        <v>4716</v>
      </c>
      <c r="N467" s="0" t="n">
        <v>67466</v>
      </c>
      <c r="O467" s="9" t="n">
        <v>174</v>
      </c>
      <c r="P467" s="0" t="s">
        <v>486</v>
      </c>
      <c r="Q467" s="0" t="s">
        <v>4717</v>
      </c>
      <c r="R467" s="0" t="s">
        <v>4718</v>
      </c>
      <c r="S467" s="0" t="s">
        <v>352</v>
      </c>
      <c r="T467" s="0" t="s">
        <v>218</v>
      </c>
      <c r="U467" s="9" t="n">
        <v>0</v>
      </c>
      <c r="V467" s="0" t="n">
        <v>13.8289808112487</v>
      </c>
      <c r="W467" s="0" t="n">
        <v>20240331</v>
      </c>
      <c r="X467" s="0" t="n">
        <v>-0.355442716597905</v>
      </c>
      <c r="Y467" s="0" t="s">
        <v>4719</v>
      </c>
      <c r="Z467" s="0" t="s">
        <v>60</v>
      </c>
    </row>
    <row r="468" customFormat="false" ht="15" hidden="false" customHeight="false" outlineLevel="0" collapsed="false">
      <c r="A468" s="0" t="n">
        <v>465</v>
      </c>
      <c r="B468" s="9" t="n">
        <v>280957</v>
      </c>
      <c r="C468" s="0" t="n">
        <v>28837</v>
      </c>
      <c r="D468" s="0" t="n">
        <v>251772</v>
      </c>
      <c r="E468" s="0" t="s">
        <v>436</v>
      </c>
      <c r="F468" s="0" t="n">
        <v>26570</v>
      </c>
      <c r="G468" s="0" t="s">
        <v>4720</v>
      </c>
      <c r="H468" s="0" t="s">
        <v>4721</v>
      </c>
      <c r="I468" s="0" t="s">
        <v>4722</v>
      </c>
      <c r="J468" s="0" t="s">
        <v>1336</v>
      </c>
      <c r="K468" s="0" t="s">
        <v>4723</v>
      </c>
      <c r="L468" s="0" t="n">
        <v>197084</v>
      </c>
      <c r="M468" s="0" t="s">
        <v>4724</v>
      </c>
      <c r="N468" s="0" t="n">
        <v>188594</v>
      </c>
      <c r="O468" s="9" t="n">
        <v>89</v>
      </c>
      <c r="P468" s="0" t="s">
        <v>497</v>
      </c>
      <c r="Q468" s="0" t="s">
        <v>4725</v>
      </c>
      <c r="R468" s="0" t="s">
        <v>4726</v>
      </c>
      <c r="S468" s="0" t="s">
        <v>61</v>
      </c>
      <c r="T468" s="0" t="s">
        <v>4727</v>
      </c>
      <c r="U468" s="9" t="n">
        <v>38</v>
      </c>
      <c r="V468" s="0" t="n">
        <v>16.8987480781902</v>
      </c>
      <c r="W468" s="0" t="n">
        <v>20240331</v>
      </c>
      <c r="X468" s="0" t="n">
        <v>0.73901109576411</v>
      </c>
      <c r="Y468" s="0" t="s">
        <v>4728</v>
      </c>
      <c r="Z468" s="0" t="s">
        <v>98</v>
      </c>
    </row>
    <row r="469" customFormat="false" ht="15" hidden="false" customHeight="false" outlineLevel="0" collapsed="false">
      <c r="A469" s="0" t="n">
        <v>466</v>
      </c>
      <c r="B469" s="9" t="n">
        <v>178210</v>
      </c>
      <c r="C469" s="0" t="n">
        <v>29636</v>
      </c>
      <c r="D469" s="0" t="n">
        <v>137138</v>
      </c>
      <c r="E469" s="0" t="s">
        <v>390</v>
      </c>
      <c r="F469" s="0" t="n">
        <v>25969</v>
      </c>
      <c r="G469" s="0" t="s">
        <v>4729</v>
      </c>
      <c r="H469" s="0" t="s">
        <v>4730</v>
      </c>
      <c r="I469" s="0" t="s">
        <v>4731</v>
      </c>
      <c r="J469" s="0" t="s">
        <v>4732</v>
      </c>
      <c r="K469" s="0" t="s">
        <v>4733</v>
      </c>
      <c r="L469" s="0" t="n">
        <v>135540</v>
      </c>
      <c r="M469" s="0" t="s">
        <v>4734</v>
      </c>
      <c r="N469" s="0" t="n">
        <v>132513</v>
      </c>
      <c r="O469" s="9" t="n">
        <v>899</v>
      </c>
      <c r="P469" s="0" t="s">
        <v>509</v>
      </c>
      <c r="Q469" s="0" t="s">
        <v>4735</v>
      </c>
      <c r="R469" s="0" t="s">
        <v>4736</v>
      </c>
      <c r="S469" s="0" t="s">
        <v>61</v>
      </c>
      <c r="T469" s="0" t="s">
        <v>4737</v>
      </c>
      <c r="U469" s="9" t="n">
        <v>0</v>
      </c>
      <c r="V469" s="0" t="n">
        <v>27.410238197661</v>
      </c>
      <c r="W469" s="0" t="n">
        <v>20240331</v>
      </c>
      <c r="X469" s="0" t="n">
        <v>0.311180386680808</v>
      </c>
      <c r="Y469" s="0" t="s">
        <v>4738</v>
      </c>
      <c r="Z469" s="0" t="s">
        <v>60</v>
      </c>
    </row>
    <row r="470" customFormat="false" ht="15" hidden="false" customHeight="false" outlineLevel="0" collapsed="false">
      <c r="A470" s="0" t="n">
        <v>467</v>
      </c>
      <c r="B470" s="9" t="n">
        <v>184760</v>
      </c>
      <c r="C470" s="0" t="n">
        <v>29743</v>
      </c>
      <c r="D470" s="0" t="n">
        <v>160737</v>
      </c>
      <c r="E470" s="0" t="s">
        <v>61</v>
      </c>
      <c r="F470" s="0" t="n">
        <v>16808</v>
      </c>
      <c r="G470" s="0" t="s">
        <v>4739</v>
      </c>
      <c r="H470" s="0" t="s">
        <v>4740</v>
      </c>
      <c r="I470" s="0" t="s">
        <v>4741</v>
      </c>
      <c r="J470" s="0" t="s">
        <v>4742</v>
      </c>
      <c r="K470" s="0" t="s">
        <v>4743</v>
      </c>
      <c r="L470" s="0" t="n">
        <v>133015</v>
      </c>
      <c r="M470" s="0" t="s">
        <v>4744</v>
      </c>
      <c r="N470" s="0" t="n">
        <v>85228</v>
      </c>
      <c r="O470" s="9" t="n">
        <v>140</v>
      </c>
      <c r="P470" s="0" t="s">
        <v>520</v>
      </c>
      <c r="Q470" s="0" t="s">
        <v>4745</v>
      </c>
      <c r="R470" s="0" t="s">
        <v>4746</v>
      </c>
      <c r="S470" s="0" t="s">
        <v>61</v>
      </c>
      <c r="T470" s="0" t="s">
        <v>966</v>
      </c>
      <c r="U470" s="9" t="n">
        <v>0</v>
      </c>
      <c r="V470" s="0" t="n">
        <v>18.3034236752105</v>
      </c>
      <c r="W470" s="0" t="n">
        <v>20240331</v>
      </c>
      <c r="X470" s="0" t="n">
        <v>0.300357479035316</v>
      </c>
      <c r="Y470" s="0" t="s">
        <v>4747</v>
      </c>
      <c r="Z470" s="0" t="s">
        <v>60</v>
      </c>
    </row>
    <row r="471" customFormat="false" ht="15" hidden="false" customHeight="false" outlineLevel="0" collapsed="false">
      <c r="A471" s="0" t="n">
        <v>468</v>
      </c>
      <c r="B471" s="9" t="n">
        <v>576540</v>
      </c>
      <c r="C471" s="0" t="n">
        <v>29744</v>
      </c>
      <c r="D471" s="0" t="n">
        <v>428893</v>
      </c>
      <c r="E471" s="0" t="s">
        <v>794</v>
      </c>
      <c r="F471" s="0" t="n">
        <v>44302</v>
      </c>
      <c r="G471" s="0" t="s">
        <v>4748</v>
      </c>
      <c r="H471" s="0" t="s">
        <v>4749</v>
      </c>
      <c r="I471" s="0" t="s">
        <v>4750</v>
      </c>
      <c r="J471" s="0" t="s">
        <v>4751</v>
      </c>
      <c r="K471" s="0" t="s">
        <v>4752</v>
      </c>
      <c r="L471" s="0" t="n">
        <v>431608</v>
      </c>
      <c r="M471" s="0" t="s">
        <v>4753</v>
      </c>
      <c r="N471" s="0" t="n">
        <v>396224</v>
      </c>
      <c r="O471" s="9" t="n">
        <v>141</v>
      </c>
      <c r="P471" s="0" t="s">
        <v>531</v>
      </c>
      <c r="Q471" s="0" t="s">
        <v>4754</v>
      </c>
      <c r="R471" s="0" t="s">
        <v>4755</v>
      </c>
      <c r="S471" s="0" t="s">
        <v>61</v>
      </c>
      <c r="T471" s="0" t="s">
        <v>61</v>
      </c>
      <c r="U471" s="9" t="n">
        <v>0</v>
      </c>
      <c r="V471" s="0" t="n">
        <v>14.8696742059058</v>
      </c>
      <c r="W471" s="0" t="n">
        <v>20240331</v>
      </c>
      <c r="X471" s="0" t="n">
        <v>-0.803595619950847</v>
      </c>
      <c r="Y471" s="0" t="s">
        <v>4756</v>
      </c>
      <c r="Z471" s="0" t="s">
        <v>158</v>
      </c>
    </row>
    <row r="472" customFormat="false" ht="15" hidden="false" customHeight="false" outlineLevel="0" collapsed="false">
      <c r="A472" s="0" t="n">
        <v>469</v>
      </c>
      <c r="B472" s="9" t="n">
        <v>558824</v>
      </c>
      <c r="C472" s="0" t="n">
        <v>30350</v>
      </c>
      <c r="D472" s="0" t="n">
        <v>445096</v>
      </c>
      <c r="E472" s="0" t="s">
        <v>271</v>
      </c>
      <c r="F472" s="0" t="n">
        <v>56764</v>
      </c>
      <c r="G472" s="0" t="s">
        <v>4757</v>
      </c>
      <c r="H472" s="0" t="s">
        <v>4758</v>
      </c>
      <c r="I472" s="0" t="s">
        <v>4759</v>
      </c>
      <c r="J472" s="0" t="s">
        <v>4760</v>
      </c>
      <c r="K472" s="0" t="s">
        <v>4761</v>
      </c>
      <c r="L472" s="0" t="n">
        <v>404058</v>
      </c>
      <c r="M472" s="0" t="s">
        <v>4762</v>
      </c>
      <c r="N472" s="0" t="n">
        <v>385261</v>
      </c>
      <c r="O472" s="9" t="n">
        <v>1795</v>
      </c>
      <c r="P472" s="0" t="s">
        <v>543</v>
      </c>
      <c r="Q472" s="0" t="s">
        <v>4763</v>
      </c>
      <c r="R472" s="0" t="s">
        <v>4764</v>
      </c>
      <c r="S472" s="0" t="s">
        <v>230</v>
      </c>
      <c r="T472" s="0" t="s">
        <v>4511</v>
      </c>
      <c r="U472" s="9" t="n">
        <v>0</v>
      </c>
      <c r="V472" s="0" t="n">
        <v>20.9443498153697</v>
      </c>
      <c r="W472" s="0" t="n">
        <v>20240331</v>
      </c>
      <c r="X472" s="0" t="n">
        <v>0.456585242898488</v>
      </c>
      <c r="Y472" s="0" t="s">
        <v>4765</v>
      </c>
      <c r="Z472" s="0" t="s">
        <v>98</v>
      </c>
    </row>
    <row r="473" customFormat="false" ht="15" hidden="false" customHeight="false" outlineLevel="0" collapsed="false">
      <c r="A473" s="0" t="n">
        <v>470</v>
      </c>
      <c r="B473" s="9" t="n">
        <v>102792</v>
      </c>
      <c r="C473" s="0" t="n">
        <v>30878</v>
      </c>
      <c r="D473" s="0" t="n">
        <v>74987</v>
      </c>
      <c r="E473" s="0" t="s">
        <v>3672</v>
      </c>
      <c r="F473" s="0" t="n">
        <v>12317</v>
      </c>
      <c r="G473" s="0" t="s">
        <v>4766</v>
      </c>
      <c r="H473" s="0" t="s">
        <v>4767</v>
      </c>
      <c r="I473" s="0" t="s">
        <v>4768</v>
      </c>
      <c r="J473" s="0" t="s">
        <v>61</v>
      </c>
      <c r="K473" s="0" t="s">
        <v>1576</v>
      </c>
      <c r="L473" s="0" t="n">
        <v>87874</v>
      </c>
      <c r="M473" s="0" t="s">
        <v>4769</v>
      </c>
      <c r="N473" s="0" t="n">
        <v>87769</v>
      </c>
      <c r="O473" s="9" t="n">
        <v>836</v>
      </c>
      <c r="P473" s="0" t="s">
        <v>553</v>
      </c>
      <c r="Q473" s="0" t="s">
        <v>4770</v>
      </c>
      <c r="R473" s="0" t="s">
        <v>4771</v>
      </c>
      <c r="S473" s="0" t="s">
        <v>61</v>
      </c>
      <c r="T473" s="0" t="s">
        <v>3045</v>
      </c>
      <c r="U473" s="9" t="n">
        <v>0</v>
      </c>
      <c r="V473" s="0" t="n">
        <v>0</v>
      </c>
      <c r="W473" s="0" t="n">
        <v>20240331</v>
      </c>
      <c r="X473" s="0" t="n">
        <v>0.0615399408639631</v>
      </c>
      <c r="Y473" s="0" t="s">
        <v>4772</v>
      </c>
      <c r="Z473" s="0" t="s">
        <v>60</v>
      </c>
    </row>
    <row r="474" customFormat="false" ht="15" hidden="false" customHeight="false" outlineLevel="0" collapsed="false">
      <c r="A474" s="0" t="n">
        <v>471</v>
      </c>
      <c r="B474" s="9" t="n">
        <v>893621</v>
      </c>
      <c r="C474" s="0" t="n">
        <v>33418</v>
      </c>
      <c r="D474" s="0" t="n">
        <v>783873</v>
      </c>
      <c r="E474" s="0" t="s">
        <v>2218</v>
      </c>
      <c r="F474" s="0" t="n">
        <v>68407</v>
      </c>
      <c r="G474" s="0" t="s">
        <v>4773</v>
      </c>
      <c r="H474" s="0" t="s">
        <v>4774</v>
      </c>
      <c r="I474" s="0" t="s">
        <v>4775</v>
      </c>
      <c r="J474" s="0" t="s">
        <v>4776</v>
      </c>
      <c r="K474" s="0" t="s">
        <v>4777</v>
      </c>
      <c r="L474" s="0" t="n">
        <v>457449</v>
      </c>
      <c r="M474" s="0" t="s">
        <v>4778</v>
      </c>
      <c r="N474" s="0" t="n">
        <v>381804</v>
      </c>
      <c r="O474" s="9" t="n">
        <v>1692</v>
      </c>
      <c r="P474" s="0" t="s">
        <v>564</v>
      </c>
      <c r="Q474" s="0" t="s">
        <v>4779</v>
      </c>
      <c r="R474" s="0" t="s">
        <v>4780</v>
      </c>
      <c r="S474" s="0" t="s">
        <v>71</v>
      </c>
      <c r="T474" s="0" t="s">
        <v>3113</v>
      </c>
      <c r="U474" s="9" t="n">
        <v>0</v>
      </c>
      <c r="V474" s="0" t="n">
        <v>14.9143227744402</v>
      </c>
      <c r="W474" s="0" t="n">
        <v>20240331</v>
      </c>
      <c r="X474" s="0" t="n">
        <v>0.317210198101888</v>
      </c>
      <c r="Y474" s="0" t="s">
        <v>4781</v>
      </c>
      <c r="Z474" s="0" t="s">
        <v>98</v>
      </c>
    </row>
    <row r="475" customFormat="false" ht="15" hidden="false" customHeight="false" outlineLevel="0" collapsed="false">
      <c r="A475" s="0" t="n">
        <v>472</v>
      </c>
      <c r="B475" s="9" t="n">
        <v>79848</v>
      </c>
      <c r="C475" s="0" t="n">
        <v>35206</v>
      </c>
      <c r="D475" s="0" t="n">
        <v>500</v>
      </c>
      <c r="E475" s="0" t="s">
        <v>61</v>
      </c>
      <c r="F475" s="0" t="n">
        <v>77369</v>
      </c>
      <c r="G475" s="0" t="s">
        <v>4782</v>
      </c>
      <c r="H475" s="0" t="s">
        <v>4783</v>
      </c>
      <c r="I475" s="0" t="s">
        <v>61</v>
      </c>
      <c r="J475" s="0" t="s">
        <v>61</v>
      </c>
      <c r="K475" s="0" t="s">
        <v>61</v>
      </c>
      <c r="L475" s="0" t="n">
        <v>0</v>
      </c>
      <c r="M475" s="0" t="s">
        <v>61</v>
      </c>
      <c r="N475" s="0" t="n">
        <v>0</v>
      </c>
      <c r="O475" s="9" t="n">
        <v>0</v>
      </c>
      <c r="P475" s="0" t="s">
        <v>1112</v>
      </c>
      <c r="Q475" s="0" t="s">
        <v>61</v>
      </c>
      <c r="R475" s="0" t="s">
        <v>4784</v>
      </c>
      <c r="S475" s="0" t="s">
        <v>61</v>
      </c>
      <c r="T475" s="0" t="s">
        <v>61</v>
      </c>
      <c r="U475" s="9" t="n">
        <v>0</v>
      </c>
      <c r="V475" s="0" t="n">
        <v>0</v>
      </c>
      <c r="W475" s="0" t="n">
        <v>20240331</v>
      </c>
      <c r="X475" s="0" t="n">
        <v>15.0318019410587</v>
      </c>
      <c r="Y475" s="0" t="s">
        <v>4785</v>
      </c>
      <c r="Z475" s="0" t="s">
        <v>158</v>
      </c>
    </row>
    <row r="476" customFormat="false" ht="15" hidden="false" customHeight="false" outlineLevel="0" collapsed="false">
      <c r="A476" s="0" t="n">
        <v>473</v>
      </c>
      <c r="B476" s="9" t="n">
        <v>5784624</v>
      </c>
      <c r="C476" s="0" t="n">
        <v>4255</v>
      </c>
      <c r="D476" s="0" t="n">
        <v>4586176</v>
      </c>
      <c r="E476" s="0" t="s">
        <v>159</v>
      </c>
      <c r="F476" s="0" t="n">
        <v>514258</v>
      </c>
      <c r="G476" s="0" t="s">
        <v>4786</v>
      </c>
      <c r="H476" s="0" t="s">
        <v>4787</v>
      </c>
      <c r="I476" s="0" t="s">
        <v>4788</v>
      </c>
      <c r="J476" s="0" t="s">
        <v>4789</v>
      </c>
      <c r="K476" s="0" t="s">
        <v>4790</v>
      </c>
      <c r="L476" s="0" t="n">
        <v>4130564</v>
      </c>
      <c r="M476" s="0" t="s">
        <v>4791</v>
      </c>
      <c r="N476" s="0" t="n">
        <v>3749893</v>
      </c>
      <c r="O476" s="9" t="n">
        <v>5658</v>
      </c>
      <c r="P476" s="0" t="s">
        <v>575</v>
      </c>
      <c r="Q476" s="0" t="s">
        <v>4792</v>
      </c>
      <c r="R476" s="0" t="s">
        <v>4793</v>
      </c>
      <c r="S476" s="0" t="s">
        <v>4794</v>
      </c>
      <c r="T476" s="0" t="s">
        <v>4795</v>
      </c>
      <c r="U476" s="9" t="n">
        <v>0</v>
      </c>
      <c r="V476" s="0" t="n">
        <v>13.8464365654592</v>
      </c>
      <c r="W476" s="0" t="n">
        <v>20240331</v>
      </c>
      <c r="X476" s="0" t="n">
        <v>0.965155557846469</v>
      </c>
      <c r="Y476" s="0" t="s">
        <v>4796</v>
      </c>
      <c r="Z476" s="0" t="s">
        <v>60</v>
      </c>
    </row>
    <row r="477" customFormat="false" ht="15" hidden="false" customHeight="false" outlineLevel="0" collapsed="false">
      <c r="A477" s="0" t="n">
        <v>474</v>
      </c>
      <c r="B477" s="9" t="n">
        <v>2942447</v>
      </c>
      <c r="C477" s="0" t="n">
        <v>4256</v>
      </c>
      <c r="D477" s="0" t="n">
        <v>2549402</v>
      </c>
      <c r="E477" s="0" t="s">
        <v>742</v>
      </c>
      <c r="F477" s="0" t="n">
        <v>214088</v>
      </c>
      <c r="G477" s="0" t="s">
        <v>4797</v>
      </c>
      <c r="H477" s="0" t="s">
        <v>4798</v>
      </c>
      <c r="I477" s="0" t="s">
        <v>4799</v>
      </c>
      <c r="J477" s="0" t="s">
        <v>4800</v>
      </c>
      <c r="K477" s="0" t="s">
        <v>4801</v>
      </c>
      <c r="L477" s="0" t="n">
        <v>2173746</v>
      </c>
      <c r="M477" s="0" t="s">
        <v>4802</v>
      </c>
      <c r="N477" s="0" t="n">
        <v>1739026</v>
      </c>
      <c r="O477" s="9" t="n">
        <v>2710</v>
      </c>
      <c r="P477" s="0" t="s">
        <v>587</v>
      </c>
      <c r="Q477" s="0" t="s">
        <v>4803</v>
      </c>
      <c r="R477" s="0" t="s">
        <v>4804</v>
      </c>
      <c r="S477" s="0" t="s">
        <v>739</v>
      </c>
      <c r="T477" s="0" t="s">
        <v>4805</v>
      </c>
      <c r="U477" s="9" t="n">
        <v>49</v>
      </c>
      <c r="V477" s="0" t="n">
        <v>13.4945885990368</v>
      </c>
      <c r="W477" s="0" t="n">
        <v>20240331</v>
      </c>
      <c r="X477" s="0" t="n">
        <v>0.85553165791717</v>
      </c>
      <c r="Y477" s="0" t="s">
        <v>4806</v>
      </c>
      <c r="Z477" s="0" t="s">
        <v>60</v>
      </c>
    </row>
    <row r="478" customFormat="false" ht="15" hidden="false" customHeight="false" outlineLevel="0" collapsed="false">
      <c r="A478" s="0" t="n">
        <v>475</v>
      </c>
      <c r="B478" s="9" t="n">
        <v>697280</v>
      </c>
      <c r="C478" s="0" t="n">
        <v>59086</v>
      </c>
      <c r="D478" s="0" t="n">
        <v>594743</v>
      </c>
      <c r="E478" s="0" t="s">
        <v>1187</v>
      </c>
      <c r="F478" s="0" t="n">
        <v>90844</v>
      </c>
      <c r="G478" s="0" t="s">
        <v>4807</v>
      </c>
      <c r="H478" s="0" t="s">
        <v>4808</v>
      </c>
      <c r="I478" s="0" t="s">
        <v>4809</v>
      </c>
      <c r="J478" s="0" t="s">
        <v>4810</v>
      </c>
      <c r="K478" s="0" t="s">
        <v>61</v>
      </c>
      <c r="L478" s="0" t="n">
        <v>585578</v>
      </c>
      <c r="M478" s="0" t="s">
        <v>4811</v>
      </c>
      <c r="N478" s="0" t="n">
        <v>474718</v>
      </c>
      <c r="O478" s="9" t="n">
        <v>4483</v>
      </c>
      <c r="P478" s="0" t="s">
        <v>599</v>
      </c>
      <c r="Q478" s="0" t="s">
        <v>4812</v>
      </c>
      <c r="R478" s="0" t="s">
        <v>4813</v>
      </c>
      <c r="S478" s="0" t="s">
        <v>4814</v>
      </c>
      <c r="T478" s="0" t="s">
        <v>3162</v>
      </c>
      <c r="U478" s="9" t="n">
        <v>0</v>
      </c>
      <c r="V478" s="0" t="n">
        <v>15.5722724532851</v>
      </c>
      <c r="W478" s="0" t="n">
        <v>20240331</v>
      </c>
      <c r="X478" s="0" t="n">
        <v>1.50861107954586</v>
      </c>
      <c r="Y478" s="0" t="s">
        <v>4815</v>
      </c>
      <c r="Z478" s="0" t="s">
        <v>158</v>
      </c>
    </row>
    <row r="479" customFormat="false" ht="15" hidden="false" customHeight="false" outlineLevel="0" collapsed="false">
      <c r="A479" s="0" t="n">
        <v>476</v>
      </c>
      <c r="B479" s="9" t="n">
        <v>222037</v>
      </c>
      <c r="C479" s="0" t="n">
        <v>59176</v>
      </c>
      <c r="D479" s="0" t="n">
        <v>182535</v>
      </c>
      <c r="E479" s="0" t="s">
        <v>246</v>
      </c>
      <c r="F479" s="0" t="n">
        <v>26809</v>
      </c>
      <c r="G479" s="0" t="s">
        <v>4816</v>
      </c>
      <c r="H479" s="0" t="s">
        <v>4817</v>
      </c>
      <c r="I479" s="0" t="s">
        <v>4818</v>
      </c>
      <c r="J479" s="0" t="s">
        <v>4819</v>
      </c>
      <c r="K479" s="0" t="s">
        <v>1488</v>
      </c>
      <c r="L479" s="0" t="n">
        <v>155520</v>
      </c>
      <c r="M479" s="0" t="s">
        <v>4820</v>
      </c>
      <c r="N479" s="0" t="n">
        <v>132126</v>
      </c>
      <c r="O479" s="9" t="n">
        <v>0</v>
      </c>
      <c r="P479" s="0" t="s">
        <v>610</v>
      </c>
      <c r="Q479" s="0" t="s">
        <v>61</v>
      </c>
      <c r="R479" s="0" t="s">
        <v>4821</v>
      </c>
      <c r="S479" s="0" t="s">
        <v>4540</v>
      </c>
      <c r="T479" s="0" t="s">
        <v>61</v>
      </c>
      <c r="U479" s="9" t="n">
        <v>0</v>
      </c>
      <c r="V479" s="0" t="n">
        <v>18.0162937093356</v>
      </c>
      <c r="W479" s="0" t="n">
        <v>20240331</v>
      </c>
      <c r="X479" s="0" t="n">
        <v>-0.0643345396059509</v>
      </c>
      <c r="Y479" s="0" t="s">
        <v>4822</v>
      </c>
      <c r="Z479" s="0" t="s">
        <v>158</v>
      </c>
    </row>
    <row r="480" customFormat="false" ht="15" hidden="false" customHeight="false" outlineLevel="0" collapsed="false">
      <c r="A480" s="0" t="n">
        <v>477</v>
      </c>
      <c r="B480" s="9" t="n">
        <v>93964</v>
      </c>
      <c r="C480" s="0" t="n">
        <v>59289</v>
      </c>
      <c r="D480" s="0" t="n">
        <v>74106</v>
      </c>
      <c r="E480" s="0" t="s">
        <v>4823</v>
      </c>
      <c r="F480" s="0" t="n">
        <v>18864</v>
      </c>
      <c r="G480" s="0" t="s">
        <v>4824</v>
      </c>
      <c r="H480" s="0" t="s">
        <v>4825</v>
      </c>
      <c r="I480" s="0" t="s">
        <v>4826</v>
      </c>
      <c r="J480" s="0" t="s">
        <v>4827</v>
      </c>
      <c r="K480" s="0" t="s">
        <v>61</v>
      </c>
      <c r="L480" s="0" t="n">
        <v>45541</v>
      </c>
      <c r="M480" s="0" t="s">
        <v>4828</v>
      </c>
      <c r="N480" s="0" t="n">
        <v>18119</v>
      </c>
      <c r="O480" s="9" t="n">
        <v>327</v>
      </c>
      <c r="P480" s="0" t="s">
        <v>2223</v>
      </c>
      <c r="Q480" s="0" t="s">
        <v>4829</v>
      </c>
      <c r="R480" s="0" t="s">
        <v>4830</v>
      </c>
      <c r="S480" s="0" t="s">
        <v>61</v>
      </c>
      <c r="T480" s="0" t="s">
        <v>61</v>
      </c>
      <c r="U480" s="9" t="n">
        <v>0</v>
      </c>
      <c r="V480" s="0" t="n">
        <v>0</v>
      </c>
      <c r="W480" s="0" t="n">
        <v>20240331</v>
      </c>
      <c r="X480" s="0" t="n">
        <v>-1.65604118871675</v>
      </c>
      <c r="Y480" s="0" t="s">
        <v>4831</v>
      </c>
      <c r="Z480" s="0" t="s">
        <v>158</v>
      </c>
    </row>
    <row r="481" customFormat="false" ht="15" hidden="false" customHeight="false" outlineLevel="0" collapsed="false">
      <c r="A481" s="0" t="n">
        <v>478</v>
      </c>
      <c r="B481" s="9" t="n">
        <v>169806</v>
      </c>
      <c r="C481" s="0" t="n">
        <v>59298</v>
      </c>
      <c r="D481" s="0" t="n">
        <v>142779</v>
      </c>
      <c r="E481" s="0" t="s">
        <v>1687</v>
      </c>
      <c r="F481" s="0" t="n">
        <v>26235</v>
      </c>
      <c r="G481" s="0" t="s">
        <v>4832</v>
      </c>
      <c r="H481" s="0" t="s">
        <v>4833</v>
      </c>
      <c r="I481" s="0" t="s">
        <v>4834</v>
      </c>
      <c r="J481" s="0" t="s">
        <v>4835</v>
      </c>
      <c r="K481" s="0" t="s">
        <v>61</v>
      </c>
      <c r="L481" s="0" t="n">
        <v>84880</v>
      </c>
      <c r="M481" s="0" t="s">
        <v>4836</v>
      </c>
      <c r="N481" s="0" t="n">
        <v>66264</v>
      </c>
      <c r="O481" s="9" t="n">
        <v>0</v>
      </c>
      <c r="P481" s="0" t="s">
        <v>1684</v>
      </c>
      <c r="Q481" s="0" t="s">
        <v>61</v>
      </c>
      <c r="R481" s="0" t="s">
        <v>4837</v>
      </c>
      <c r="S481" s="0" t="s">
        <v>61</v>
      </c>
      <c r="T481" s="0" t="s">
        <v>61</v>
      </c>
      <c r="U481" s="9" t="n">
        <v>0</v>
      </c>
      <c r="V481" s="0" t="n">
        <v>0</v>
      </c>
      <c r="W481" s="0" t="n">
        <v>20240331</v>
      </c>
      <c r="X481" s="0" t="n">
        <v>-1.2766578313839</v>
      </c>
      <c r="Y481" s="0" t="s">
        <v>4838</v>
      </c>
      <c r="Z481" s="0" t="s">
        <v>98</v>
      </c>
    </row>
    <row r="482" customFormat="false" ht="15" hidden="false" customHeight="false" outlineLevel="0" collapsed="false">
      <c r="A482" s="0" t="n">
        <v>479</v>
      </c>
      <c r="B482" s="9" t="n">
        <v>1106658</v>
      </c>
      <c r="C482" s="0" t="n">
        <v>6271</v>
      </c>
      <c r="D482" s="0" t="n">
        <v>884850</v>
      </c>
      <c r="E482" s="0" t="s">
        <v>858</v>
      </c>
      <c r="F482" s="0" t="n">
        <v>101645</v>
      </c>
      <c r="G482" s="0" t="s">
        <v>4839</v>
      </c>
      <c r="H482" s="0" t="s">
        <v>4840</v>
      </c>
      <c r="I482" s="0" t="s">
        <v>4841</v>
      </c>
      <c r="J482" s="0" t="s">
        <v>4842</v>
      </c>
      <c r="K482" s="0" t="s">
        <v>4843</v>
      </c>
      <c r="L482" s="0" t="n">
        <v>867382</v>
      </c>
      <c r="M482" s="0" t="s">
        <v>4844</v>
      </c>
      <c r="N482" s="0" t="n">
        <v>668396</v>
      </c>
      <c r="O482" s="9" t="n">
        <v>6384</v>
      </c>
      <c r="P482" s="0" t="s">
        <v>621</v>
      </c>
      <c r="Q482" s="0" t="s">
        <v>4845</v>
      </c>
      <c r="R482" s="0" t="s">
        <v>4846</v>
      </c>
      <c r="S482" s="0" t="s">
        <v>1557</v>
      </c>
      <c r="T482" s="0" t="s">
        <v>4847</v>
      </c>
      <c r="U482" s="9" t="n">
        <v>787</v>
      </c>
      <c r="V482" s="0" t="n">
        <v>14.9516406498885</v>
      </c>
      <c r="W482" s="0" t="n">
        <v>20240331</v>
      </c>
      <c r="X482" s="0" t="n">
        <v>1.1249303947051</v>
      </c>
      <c r="Y482" s="0" t="s">
        <v>4848</v>
      </c>
      <c r="Z482" s="0" t="s">
        <v>98</v>
      </c>
    </row>
    <row r="483" customFormat="false" ht="15" hidden="false" customHeight="false" outlineLevel="0" collapsed="false">
      <c r="A483" s="0" t="n">
        <v>480</v>
      </c>
      <c r="B483" s="9" t="n">
        <v>560771</v>
      </c>
      <c r="C483" s="0" t="n">
        <v>6275</v>
      </c>
      <c r="D483" s="0" t="n">
        <v>481992</v>
      </c>
      <c r="E483" s="0" t="s">
        <v>195</v>
      </c>
      <c r="F483" s="0" t="n">
        <v>30328</v>
      </c>
      <c r="G483" s="0" t="s">
        <v>4849</v>
      </c>
      <c r="H483" s="0" t="s">
        <v>4850</v>
      </c>
      <c r="I483" s="0" t="s">
        <v>4851</v>
      </c>
      <c r="J483" s="0" t="s">
        <v>4852</v>
      </c>
      <c r="K483" s="0" t="s">
        <v>4853</v>
      </c>
      <c r="L483" s="0" t="n">
        <v>341837</v>
      </c>
      <c r="M483" s="0" t="s">
        <v>4854</v>
      </c>
      <c r="N483" s="0" t="n">
        <v>282409</v>
      </c>
      <c r="O483" s="9" t="n">
        <v>1168</v>
      </c>
      <c r="P483" s="0" t="s">
        <v>633</v>
      </c>
      <c r="Q483" s="0" t="s">
        <v>4855</v>
      </c>
      <c r="R483" s="0" t="s">
        <v>4856</v>
      </c>
      <c r="S483" s="0" t="s">
        <v>61</v>
      </c>
      <c r="T483" s="0" t="s">
        <v>4857</v>
      </c>
      <c r="U483" s="9" t="n">
        <v>406</v>
      </c>
      <c r="V483" s="0" t="n">
        <v>14.7583990455872</v>
      </c>
      <c r="W483" s="0" t="n">
        <v>20240331</v>
      </c>
      <c r="X483" s="0" t="n">
        <v>0.470857236620922</v>
      </c>
      <c r="Y483" s="0" t="s">
        <v>4651</v>
      </c>
      <c r="Z483" s="0" t="s">
        <v>98</v>
      </c>
    </row>
    <row r="484" customFormat="false" ht="15" hidden="false" customHeight="false" outlineLevel="0" collapsed="false">
      <c r="A484" s="0" t="n">
        <v>481</v>
      </c>
      <c r="B484" s="9" t="n">
        <v>78008</v>
      </c>
      <c r="C484" s="0" t="n">
        <v>6280</v>
      </c>
      <c r="D484" s="0" t="n">
        <v>68177</v>
      </c>
      <c r="E484" s="0" t="s">
        <v>195</v>
      </c>
      <c r="F484" s="0" t="n">
        <v>9657</v>
      </c>
      <c r="G484" s="0" t="s">
        <v>4858</v>
      </c>
      <c r="H484" s="0" t="s">
        <v>4859</v>
      </c>
      <c r="I484" s="0" t="s">
        <v>4860</v>
      </c>
      <c r="J484" s="0" t="s">
        <v>4861</v>
      </c>
      <c r="K484" s="0" t="s">
        <v>4862</v>
      </c>
      <c r="L484" s="0" t="n">
        <v>67312</v>
      </c>
      <c r="M484" s="0" t="s">
        <v>4863</v>
      </c>
      <c r="N484" s="0" t="n">
        <v>59060</v>
      </c>
      <c r="O484" s="9" t="n">
        <v>1333</v>
      </c>
      <c r="P484" s="0" t="s">
        <v>644</v>
      </c>
      <c r="Q484" s="0" t="s">
        <v>4864</v>
      </c>
      <c r="R484" s="0" t="s">
        <v>4865</v>
      </c>
      <c r="S484" s="0" t="s">
        <v>61</v>
      </c>
      <c r="T484" s="0" t="s">
        <v>3334</v>
      </c>
      <c r="U484" s="9" t="n">
        <v>0</v>
      </c>
      <c r="V484" s="0" t="n">
        <v>0</v>
      </c>
      <c r="W484" s="0" t="n">
        <v>20240331</v>
      </c>
      <c r="X484" s="0" t="n">
        <v>1.43833520350913</v>
      </c>
      <c r="Y484" s="0" t="s">
        <v>4866</v>
      </c>
      <c r="Z484" s="0" t="s">
        <v>98</v>
      </c>
    </row>
    <row r="485" customFormat="false" ht="15" hidden="false" customHeight="false" outlineLevel="0" collapsed="false">
      <c r="A485" s="0" t="n">
        <v>482</v>
      </c>
      <c r="B485" s="9" t="n">
        <v>4030143</v>
      </c>
      <c r="C485" s="0" t="n">
        <v>11971</v>
      </c>
      <c r="D485" s="0" t="n">
        <v>3147483</v>
      </c>
      <c r="E485" s="0" t="s">
        <v>208</v>
      </c>
      <c r="F485" s="0" t="n">
        <v>493698</v>
      </c>
      <c r="G485" s="0" t="s">
        <v>4867</v>
      </c>
      <c r="H485" s="0" t="s">
        <v>4868</v>
      </c>
      <c r="I485" s="0" t="s">
        <v>4869</v>
      </c>
      <c r="J485" s="0" t="s">
        <v>4870</v>
      </c>
      <c r="K485" s="0" t="s">
        <v>4871</v>
      </c>
      <c r="L485" s="0" t="n">
        <v>3068077</v>
      </c>
      <c r="M485" s="0" t="s">
        <v>4872</v>
      </c>
      <c r="N485" s="0" t="n">
        <v>2699076</v>
      </c>
      <c r="O485" s="9" t="n">
        <v>6276</v>
      </c>
      <c r="P485" s="0" t="s">
        <v>54</v>
      </c>
      <c r="Q485" s="0" t="s">
        <v>4873</v>
      </c>
      <c r="R485" s="0" t="s">
        <v>4874</v>
      </c>
      <c r="S485" s="0" t="s">
        <v>3035</v>
      </c>
      <c r="T485" s="0" t="s">
        <v>1388</v>
      </c>
      <c r="U485" s="9" t="n">
        <v>34</v>
      </c>
      <c r="V485" s="0" t="n">
        <v>14.1219990069339</v>
      </c>
      <c r="W485" s="0" t="n">
        <v>20240630</v>
      </c>
      <c r="X485" s="0" t="n">
        <v>1.18607846053742</v>
      </c>
      <c r="Y485" s="0" t="s">
        <v>4875</v>
      </c>
      <c r="Z485" s="0" t="s">
        <v>60</v>
      </c>
    </row>
    <row r="486" customFormat="false" ht="15" hidden="false" customHeight="false" outlineLevel="0" collapsed="false">
      <c r="A486" s="0" t="n">
        <v>483</v>
      </c>
      <c r="B486" s="9" t="n">
        <v>1036850</v>
      </c>
      <c r="C486" s="0" t="n">
        <v>12874</v>
      </c>
      <c r="D486" s="0" t="n">
        <v>862144</v>
      </c>
      <c r="E486" s="0" t="s">
        <v>61</v>
      </c>
      <c r="F486" s="0" t="n">
        <v>108474</v>
      </c>
      <c r="G486" s="0" t="s">
        <v>4876</v>
      </c>
      <c r="H486" s="0" t="s">
        <v>4877</v>
      </c>
      <c r="I486" s="0" t="s">
        <v>4878</v>
      </c>
      <c r="J486" s="0" t="s">
        <v>4879</v>
      </c>
      <c r="K486" s="0" t="s">
        <v>4880</v>
      </c>
      <c r="L486" s="0" t="n">
        <v>815577</v>
      </c>
      <c r="M486" s="0" t="s">
        <v>4881</v>
      </c>
      <c r="N486" s="0" t="n">
        <v>639776</v>
      </c>
      <c r="O486" s="9" t="n">
        <v>1516</v>
      </c>
      <c r="P486" s="0" t="s">
        <v>68</v>
      </c>
      <c r="Q486" s="0" t="s">
        <v>4882</v>
      </c>
      <c r="R486" s="0" t="s">
        <v>4883</v>
      </c>
      <c r="S486" s="0" t="s">
        <v>3746</v>
      </c>
      <c r="T486" s="0" t="s">
        <v>4884</v>
      </c>
      <c r="U486" s="9" t="n">
        <v>0</v>
      </c>
      <c r="V486" s="0" t="n">
        <v>15.9291126336225</v>
      </c>
      <c r="W486" s="0" t="n">
        <v>20240630</v>
      </c>
      <c r="X486" s="0" t="n">
        <v>0.873634279818951</v>
      </c>
      <c r="Y486" s="0" t="s">
        <v>389</v>
      </c>
      <c r="Z486" s="0" t="s">
        <v>60</v>
      </c>
    </row>
    <row r="487" customFormat="false" ht="15" hidden="false" customHeight="false" outlineLevel="0" collapsed="false">
      <c r="A487" s="0" t="n">
        <v>484</v>
      </c>
      <c r="B487" s="9" t="n">
        <v>1848882</v>
      </c>
      <c r="C487" s="0" t="n">
        <v>13063</v>
      </c>
      <c r="D487" s="0" t="n">
        <v>1607298</v>
      </c>
      <c r="E487" s="0" t="s">
        <v>61</v>
      </c>
      <c r="F487" s="0" t="n">
        <v>147977</v>
      </c>
      <c r="G487" s="0" t="s">
        <v>4885</v>
      </c>
      <c r="H487" s="0" t="s">
        <v>4886</v>
      </c>
      <c r="I487" s="0" t="s">
        <v>4887</v>
      </c>
      <c r="J487" s="0" t="s">
        <v>4888</v>
      </c>
      <c r="K487" s="0" t="s">
        <v>4889</v>
      </c>
      <c r="L487" s="0" t="n">
        <v>1470585</v>
      </c>
      <c r="M487" s="0" t="s">
        <v>4890</v>
      </c>
      <c r="N487" s="0" t="n">
        <v>1404637</v>
      </c>
      <c r="O487" s="9" t="n">
        <v>701</v>
      </c>
      <c r="P487" s="0" t="s">
        <v>80</v>
      </c>
      <c r="Q487" s="0" t="s">
        <v>4891</v>
      </c>
      <c r="R487" s="0" t="s">
        <v>4892</v>
      </c>
      <c r="S487" s="0" t="s">
        <v>3967</v>
      </c>
      <c r="T487" s="0" t="s">
        <v>4893</v>
      </c>
      <c r="U487" s="9" t="n">
        <v>0</v>
      </c>
      <c r="V487" s="0" t="n">
        <v>0</v>
      </c>
      <c r="W487" s="0" t="n">
        <v>20240630</v>
      </c>
      <c r="X487" s="0" t="n">
        <v>0.367034339548908</v>
      </c>
      <c r="Y487" s="0" t="s">
        <v>1310</v>
      </c>
      <c r="Z487" s="0" t="s">
        <v>60</v>
      </c>
    </row>
    <row r="488" customFormat="false" ht="15" hidden="false" customHeight="false" outlineLevel="0" collapsed="false">
      <c r="A488" s="0" t="n">
        <v>485</v>
      </c>
      <c r="B488" s="9" t="n">
        <v>842999</v>
      </c>
      <c r="C488" s="0" t="n">
        <v>14134</v>
      </c>
      <c r="D488" s="0" t="n">
        <v>661992</v>
      </c>
      <c r="E488" s="0" t="s">
        <v>1187</v>
      </c>
      <c r="F488" s="0" t="n">
        <v>108954</v>
      </c>
      <c r="G488" s="0" t="s">
        <v>4894</v>
      </c>
      <c r="H488" s="0" t="s">
        <v>4895</v>
      </c>
      <c r="I488" s="0" t="s">
        <v>4896</v>
      </c>
      <c r="J488" s="0" t="s">
        <v>4897</v>
      </c>
      <c r="K488" s="0" t="s">
        <v>4898</v>
      </c>
      <c r="L488" s="0" t="n">
        <v>629164</v>
      </c>
      <c r="M488" s="0" t="s">
        <v>4899</v>
      </c>
      <c r="N488" s="0" t="n">
        <v>563428</v>
      </c>
      <c r="O488" s="9" t="n">
        <v>9888</v>
      </c>
      <c r="P488" s="0" t="s">
        <v>92</v>
      </c>
      <c r="Q488" s="0" t="s">
        <v>4900</v>
      </c>
      <c r="R488" s="0" t="s">
        <v>4901</v>
      </c>
      <c r="S488" s="0" t="s">
        <v>4902</v>
      </c>
      <c r="T488" s="0" t="s">
        <v>4903</v>
      </c>
      <c r="U488" s="9" t="n">
        <v>0</v>
      </c>
      <c r="V488" s="0" t="n">
        <v>19.8068345450076</v>
      </c>
      <c r="W488" s="0" t="n">
        <v>20240630</v>
      </c>
      <c r="X488" s="0" t="n">
        <v>0.900954458964721</v>
      </c>
      <c r="Y488" s="0" t="s">
        <v>4904</v>
      </c>
      <c r="Z488" s="0" t="s">
        <v>98</v>
      </c>
    </row>
    <row r="489" customFormat="false" ht="15" hidden="false" customHeight="false" outlineLevel="0" collapsed="false">
      <c r="A489" s="0" t="n">
        <v>486</v>
      </c>
      <c r="B489" s="9" t="n">
        <v>234689</v>
      </c>
      <c r="C489" s="0" t="n">
        <v>14136</v>
      </c>
      <c r="D489" s="0" t="n">
        <v>196106</v>
      </c>
      <c r="E489" s="0" t="s">
        <v>1729</v>
      </c>
      <c r="F489" s="0" t="n">
        <v>18072</v>
      </c>
      <c r="G489" s="0" t="s">
        <v>4905</v>
      </c>
      <c r="H489" s="0" t="s">
        <v>4906</v>
      </c>
      <c r="I489" s="0" t="s">
        <v>4907</v>
      </c>
      <c r="J489" s="0" t="s">
        <v>4908</v>
      </c>
      <c r="K489" s="0" t="s">
        <v>4909</v>
      </c>
      <c r="L489" s="0" t="n">
        <v>155721</v>
      </c>
      <c r="M489" s="0" t="s">
        <v>4910</v>
      </c>
      <c r="N489" s="0" t="n">
        <v>125414</v>
      </c>
      <c r="O489" s="9" t="n">
        <v>483</v>
      </c>
      <c r="P489" s="0" t="s">
        <v>105</v>
      </c>
      <c r="Q489" s="0" t="s">
        <v>4911</v>
      </c>
      <c r="R489" s="0" t="s">
        <v>4912</v>
      </c>
      <c r="S489" s="0" t="s">
        <v>4710</v>
      </c>
      <c r="T489" s="0" t="s">
        <v>4732</v>
      </c>
      <c r="U489" s="9" t="n">
        <v>271</v>
      </c>
      <c r="V489" s="0" t="n">
        <v>17.8729116356195</v>
      </c>
      <c r="W489" s="0" t="n">
        <v>20240630</v>
      </c>
      <c r="X489" s="0" t="n">
        <v>0.61382201704967</v>
      </c>
      <c r="Y489" s="0" t="s">
        <v>4913</v>
      </c>
      <c r="Z489" s="0" t="s">
        <v>98</v>
      </c>
    </row>
    <row r="490" customFormat="false" ht="15" hidden="false" customHeight="false" outlineLevel="0" collapsed="false">
      <c r="A490" s="0" t="n">
        <v>487</v>
      </c>
      <c r="B490" s="9" t="n">
        <v>1498757</v>
      </c>
      <c r="C490" s="0" t="n">
        <v>14140</v>
      </c>
      <c r="D490" s="0" t="n">
        <v>1198797</v>
      </c>
      <c r="E490" s="0" t="s">
        <v>742</v>
      </c>
      <c r="F490" s="0" t="n">
        <v>127558</v>
      </c>
      <c r="G490" s="0" t="s">
        <v>4914</v>
      </c>
      <c r="H490" s="0" t="s">
        <v>4915</v>
      </c>
      <c r="I490" s="0" t="s">
        <v>4916</v>
      </c>
      <c r="J490" s="0" t="s">
        <v>4917</v>
      </c>
      <c r="K490" s="0" t="s">
        <v>4862</v>
      </c>
      <c r="L490" s="0" t="n">
        <v>1076486</v>
      </c>
      <c r="M490" s="0" t="s">
        <v>4918</v>
      </c>
      <c r="N490" s="0" t="n">
        <v>949990</v>
      </c>
      <c r="O490" s="9" t="n">
        <v>2046</v>
      </c>
      <c r="P490" s="0" t="s">
        <v>117</v>
      </c>
      <c r="Q490" s="0" t="s">
        <v>4919</v>
      </c>
      <c r="R490" s="0" t="s">
        <v>4920</v>
      </c>
      <c r="S490" s="0" t="s">
        <v>2994</v>
      </c>
      <c r="T490" s="0" t="s">
        <v>1499</v>
      </c>
      <c r="U490" s="9" t="n">
        <v>0</v>
      </c>
      <c r="V490" s="0" t="n">
        <v>0</v>
      </c>
      <c r="W490" s="0" t="n">
        <v>20240630</v>
      </c>
      <c r="X490" s="0" t="n">
        <v>0.291683814744817</v>
      </c>
      <c r="Y490" s="0" t="s">
        <v>4921</v>
      </c>
      <c r="Z490" s="0" t="s">
        <v>98</v>
      </c>
    </row>
    <row r="491" customFormat="false" ht="15" hidden="false" customHeight="false" outlineLevel="0" collapsed="false">
      <c r="A491" s="0" t="n">
        <v>488</v>
      </c>
      <c r="B491" s="9" t="n">
        <v>1397831</v>
      </c>
      <c r="C491" s="0" t="n">
        <v>14158</v>
      </c>
      <c r="D491" s="0" t="n">
        <v>1057053</v>
      </c>
      <c r="E491" s="0" t="s">
        <v>195</v>
      </c>
      <c r="F491" s="0" t="n">
        <v>80058</v>
      </c>
      <c r="G491" s="0" t="s">
        <v>4922</v>
      </c>
      <c r="H491" s="0" t="s">
        <v>4923</v>
      </c>
      <c r="I491" s="0" t="s">
        <v>4924</v>
      </c>
      <c r="J491" s="0" t="s">
        <v>4925</v>
      </c>
      <c r="K491" s="0" t="s">
        <v>4926</v>
      </c>
      <c r="L491" s="0" t="n">
        <v>1014144</v>
      </c>
      <c r="M491" s="0" t="s">
        <v>4927</v>
      </c>
      <c r="N491" s="0" t="n">
        <v>936491</v>
      </c>
      <c r="O491" s="9" t="n">
        <v>1771</v>
      </c>
      <c r="P491" s="0" t="s">
        <v>129</v>
      </c>
      <c r="Q491" s="0" t="s">
        <v>4928</v>
      </c>
      <c r="R491" s="0" t="s">
        <v>4929</v>
      </c>
      <c r="S491" s="0" t="s">
        <v>3385</v>
      </c>
      <c r="T491" s="0" t="s">
        <v>4930</v>
      </c>
      <c r="U491" s="9" t="n">
        <v>157</v>
      </c>
      <c r="V491" s="0" t="n">
        <v>13.1336578060651</v>
      </c>
      <c r="W491" s="0" t="n">
        <v>20240630</v>
      </c>
      <c r="X491" s="0" t="n">
        <v>0.687930744662969</v>
      </c>
      <c r="Y491" s="0" t="s">
        <v>4931</v>
      </c>
      <c r="Z491" s="0" t="s">
        <v>98</v>
      </c>
    </row>
    <row r="492" customFormat="false" ht="15" hidden="false" customHeight="false" outlineLevel="0" collapsed="false">
      <c r="A492" s="0" t="n">
        <v>489</v>
      </c>
      <c r="B492" s="9" t="n">
        <v>371774</v>
      </c>
      <c r="C492" s="0" t="n">
        <v>14168</v>
      </c>
      <c r="D492" s="0" t="n">
        <v>330926</v>
      </c>
      <c r="E492" s="0" t="s">
        <v>259</v>
      </c>
      <c r="F492" s="0" t="n">
        <v>35832</v>
      </c>
      <c r="G492" s="0" t="s">
        <v>4932</v>
      </c>
      <c r="H492" s="0" t="s">
        <v>4933</v>
      </c>
      <c r="I492" s="0" t="s">
        <v>4934</v>
      </c>
      <c r="J492" s="0" t="s">
        <v>4935</v>
      </c>
      <c r="K492" s="0" t="s">
        <v>4936</v>
      </c>
      <c r="L492" s="0" t="n">
        <v>262207</v>
      </c>
      <c r="M492" s="0" t="s">
        <v>4937</v>
      </c>
      <c r="N492" s="0" t="n">
        <v>222296</v>
      </c>
      <c r="O492" s="9" t="n">
        <v>1042</v>
      </c>
      <c r="P492" s="0" t="s">
        <v>140</v>
      </c>
      <c r="Q492" s="0" t="s">
        <v>4938</v>
      </c>
      <c r="R492" s="0" t="s">
        <v>4939</v>
      </c>
      <c r="S492" s="0" t="s">
        <v>3632</v>
      </c>
      <c r="T492" s="0" t="s">
        <v>1978</v>
      </c>
      <c r="U492" s="9" t="n">
        <v>1</v>
      </c>
      <c r="V492" s="0" t="n">
        <v>16.1143275437546</v>
      </c>
      <c r="W492" s="0" t="n">
        <v>20240630</v>
      </c>
      <c r="X492" s="0" t="n">
        <v>0.916620469726825</v>
      </c>
      <c r="Y492" s="0" t="s">
        <v>3387</v>
      </c>
      <c r="Z492" s="0" t="s">
        <v>98</v>
      </c>
    </row>
    <row r="493" customFormat="false" ht="15" hidden="false" customHeight="false" outlineLevel="0" collapsed="false">
      <c r="A493" s="0" t="n">
        <v>490</v>
      </c>
      <c r="B493" s="9" t="n">
        <v>1270696</v>
      </c>
      <c r="C493" s="0" t="n">
        <v>14240</v>
      </c>
      <c r="D493" s="0" t="n">
        <v>1022140</v>
      </c>
      <c r="E493" s="0" t="s">
        <v>61</v>
      </c>
      <c r="F493" s="0" t="n">
        <v>88523</v>
      </c>
      <c r="G493" s="0" t="s">
        <v>4940</v>
      </c>
      <c r="H493" s="0" t="s">
        <v>4941</v>
      </c>
      <c r="I493" s="0" t="s">
        <v>4942</v>
      </c>
      <c r="J493" s="0" t="s">
        <v>4943</v>
      </c>
      <c r="K493" s="0" t="s">
        <v>4944</v>
      </c>
      <c r="L493" s="0" t="n">
        <v>930519</v>
      </c>
      <c r="M493" s="0" t="s">
        <v>4945</v>
      </c>
      <c r="N493" s="0" t="n">
        <v>787415</v>
      </c>
      <c r="O493" s="9" t="n">
        <v>3555</v>
      </c>
      <c r="P493" s="0" t="s">
        <v>152</v>
      </c>
      <c r="Q493" s="0" t="s">
        <v>4946</v>
      </c>
      <c r="R493" s="0" t="s">
        <v>4947</v>
      </c>
      <c r="S493" s="0" t="s">
        <v>1865</v>
      </c>
      <c r="T493" s="0" t="s">
        <v>4948</v>
      </c>
      <c r="U493" s="9" t="n">
        <v>0</v>
      </c>
      <c r="V493" s="0" t="n">
        <v>16.0006617207284</v>
      </c>
      <c r="W493" s="0" t="n">
        <v>20240630</v>
      </c>
      <c r="X493" s="0" t="n">
        <v>0.413870322740833</v>
      </c>
      <c r="Y493" s="0" t="s">
        <v>2304</v>
      </c>
      <c r="Z493" s="0" t="s">
        <v>158</v>
      </c>
    </row>
    <row r="494" customFormat="false" ht="15" hidden="false" customHeight="false" outlineLevel="0" collapsed="false">
      <c r="A494" s="0" t="n">
        <v>491</v>
      </c>
      <c r="B494" s="9" t="n">
        <v>1071403</v>
      </c>
      <c r="C494" s="0" t="n">
        <v>17115</v>
      </c>
      <c r="D494" s="0" t="n">
        <v>787661</v>
      </c>
      <c r="E494" s="0" t="s">
        <v>195</v>
      </c>
      <c r="F494" s="0" t="n">
        <v>89467</v>
      </c>
      <c r="G494" s="0" t="s">
        <v>4949</v>
      </c>
      <c r="H494" s="0" t="s">
        <v>4950</v>
      </c>
      <c r="I494" s="0" t="s">
        <v>4951</v>
      </c>
      <c r="J494" s="0" t="s">
        <v>4952</v>
      </c>
      <c r="K494" s="0" t="s">
        <v>4953</v>
      </c>
      <c r="L494" s="0" t="n">
        <v>893732</v>
      </c>
      <c r="M494" s="0" t="s">
        <v>4954</v>
      </c>
      <c r="N494" s="0" t="n">
        <v>843758</v>
      </c>
      <c r="O494" s="9" t="n">
        <v>2433</v>
      </c>
      <c r="P494" s="0" t="s">
        <v>166</v>
      </c>
      <c r="Q494" s="0" t="s">
        <v>4955</v>
      </c>
      <c r="R494" s="0" t="s">
        <v>4956</v>
      </c>
      <c r="S494" s="0" t="s">
        <v>243</v>
      </c>
      <c r="T494" s="0" t="s">
        <v>4957</v>
      </c>
      <c r="U494" s="9" t="n">
        <v>0</v>
      </c>
      <c r="V494" s="0" t="n">
        <v>14.2345042759811</v>
      </c>
      <c r="W494" s="0" t="n">
        <v>20240630</v>
      </c>
      <c r="X494" s="0" t="n">
        <v>0.369675963044739</v>
      </c>
      <c r="Y494" s="0" t="s">
        <v>4958</v>
      </c>
      <c r="Z494" s="0" t="s">
        <v>60</v>
      </c>
    </row>
    <row r="495" customFormat="false" ht="15" hidden="false" customHeight="false" outlineLevel="0" collapsed="false">
      <c r="A495" s="0" t="n">
        <v>492</v>
      </c>
      <c r="B495" s="9" t="n">
        <v>1640511</v>
      </c>
      <c r="C495" s="0" t="n">
        <v>17180</v>
      </c>
      <c r="D495" s="0" t="n">
        <v>1189680</v>
      </c>
      <c r="E495" s="0" t="s">
        <v>1187</v>
      </c>
      <c r="F495" s="0" t="n">
        <v>139135</v>
      </c>
      <c r="G495" s="0" t="s">
        <v>4959</v>
      </c>
      <c r="H495" s="0" t="s">
        <v>4960</v>
      </c>
      <c r="I495" s="0" t="s">
        <v>4961</v>
      </c>
      <c r="J495" s="0" t="s">
        <v>4962</v>
      </c>
      <c r="K495" s="0" t="s">
        <v>4963</v>
      </c>
      <c r="L495" s="0" t="n">
        <v>1460125</v>
      </c>
      <c r="M495" s="0" t="s">
        <v>4964</v>
      </c>
      <c r="N495" s="0" t="n">
        <v>1213990</v>
      </c>
      <c r="O495" s="9" t="n">
        <v>5092</v>
      </c>
      <c r="P495" s="0" t="s">
        <v>179</v>
      </c>
      <c r="Q495" s="0" t="s">
        <v>4965</v>
      </c>
      <c r="R495" s="0" t="s">
        <v>4966</v>
      </c>
      <c r="S495" s="0" t="s">
        <v>4967</v>
      </c>
      <c r="T495" s="0" t="s">
        <v>4968</v>
      </c>
      <c r="U495" s="9" t="n">
        <v>0</v>
      </c>
      <c r="V495" s="0" t="n">
        <v>14.6981446942181</v>
      </c>
      <c r="W495" s="0" t="n">
        <v>20240630</v>
      </c>
      <c r="X495" s="0" t="n">
        <v>0.39737401699871</v>
      </c>
      <c r="Y495" s="0" t="s">
        <v>4969</v>
      </c>
      <c r="Z495" s="0" t="s">
        <v>158</v>
      </c>
    </row>
    <row r="496" customFormat="false" ht="15" hidden="false" customHeight="false" outlineLevel="0" collapsed="false">
      <c r="A496" s="0" t="n">
        <v>493</v>
      </c>
      <c r="B496" s="9" t="n">
        <v>365097</v>
      </c>
      <c r="C496" s="0" t="n">
        <v>17443</v>
      </c>
      <c r="D496" s="0" t="n">
        <v>300117</v>
      </c>
      <c r="E496" s="0" t="s">
        <v>742</v>
      </c>
      <c r="F496" s="0" t="n">
        <v>38871</v>
      </c>
      <c r="G496" s="0" t="s">
        <v>4970</v>
      </c>
      <c r="H496" s="0" t="s">
        <v>4971</v>
      </c>
      <c r="I496" s="0" t="s">
        <v>4972</v>
      </c>
      <c r="J496" s="0" t="s">
        <v>61</v>
      </c>
      <c r="K496" s="0" t="s">
        <v>4973</v>
      </c>
      <c r="L496" s="0" t="n">
        <v>200580</v>
      </c>
      <c r="M496" s="0" t="s">
        <v>4974</v>
      </c>
      <c r="N496" s="0" t="n">
        <v>198905</v>
      </c>
      <c r="O496" s="9" t="n">
        <v>1042</v>
      </c>
      <c r="P496" s="0" t="s">
        <v>190</v>
      </c>
      <c r="Q496" s="0" t="s">
        <v>4975</v>
      </c>
      <c r="R496" s="0" t="s">
        <v>4976</v>
      </c>
      <c r="S496" s="0" t="s">
        <v>61</v>
      </c>
      <c r="T496" s="0" t="s">
        <v>556</v>
      </c>
      <c r="U496" s="9" t="n">
        <v>0</v>
      </c>
      <c r="V496" s="0" t="n">
        <v>0</v>
      </c>
      <c r="W496" s="0" t="n">
        <v>20240630</v>
      </c>
      <c r="X496" s="0" t="n">
        <v>-0.190207341097617</v>
      </c>
      <c r="Y496" s="0" t="s">
        <v>4977</v>
      </c>
      <c r="Z496" s="0" t="s">
        <v>158</v>
      </c>
    </row>
    <row r="497" customFormat="false" ht="15" hidden="false" customHeight="false" outlineLevel="0" collapsed="false">
      <c r="A497" s="0" t="n">
        <v>494</v>
      </c>
      <c r="B497" s="9" t="n">
        <v>1912692</v>
      </c>
      <c r="C497" s="0" t="n">
        <v>17658</v>
      </c>
      <c r="D497" s="0" t="n">
        <v>1503955</v>
      </c>
      <c r="E497" s="0" t="s">
        <v>172</v>
      </c>
      <c r="F497" s="0" t="n">
        <v>211101</v>
      </c>
      <c r="G497" s="0" t="s">
        <v>4978</v>
      </c>
      <c r="H497" s="0" t="s">
        <v>4979</v>
      </c>
      <c r="I497" s="0" t="s">
        <v>4980</v>
      </c>
      <c r="J497" s="0" t="s">
        <v>4981</v>
      </c>
      <c r="K497" s="0" t="s">
        <v>4982</v>
      </c>
      <c r="L497" s="0" t="n">
        <v>1361231</v>
      </c>
      <c r="M497" s="0" t="s">
        <v>4983</v>
      </c>
      <c r="N497" s="0" t="n">
        <v>1158750</v>
      </c>
      <c r="O497" s="9" t="n">
        <v>10806</v>
      </c>
      <c r="P497" s="0" t="s">
        <v>202</v>
      </c>
      <c r="Q497" s="0" t="s">
        <v>4984</v>
      </c>
      <c r="R497" s="0" t="s">
        <v>4985</v>
      </c>
      <c r="S497" s="0" t="s">
        <v>4986</v>
      </c>
      <c r="T497" s="0" t="s">
        <v>4987</v>
      </c>
      <c r="U497" s="9" t="n">
        <v>15</v>
      </c>
      <c r="V497" s="0" t="n">
        <v>0</v>
      </c>
      <c r="W497" s="0" t="n">
        <v>20240630</v>
      </c>
      <c r="X497" s="0" t="n">
        <v>0.777361795851378</v>
      </c>
      <c r="Y497" s="0" t="s">
        <v>3489</v>
      </c>
      <c r="Z497" s="0" t="s">
        <v>60</v>
      </c>
    </row>
    <row r="498" customFormat="false" ht="15" hidden="false" customHeight="false" outlineLevel="0" collapsed="false">
      <c r="A498" s="0" t="n">
        <v>495</v>
      </c>
      <c r="B498" s="9" t="n">
        <v>1160635</v>
      </c>
      <c r="C498" s="0" t="n">
        <v>17741</v>
      </c>
      <c r="D498" s="0" t="n">
        <v>863648</v>
      </c>
      <c r="E498" s="0" t="s">
        <v>172</v>
      </c>
      <c r="F498" s="0" t="n">
        <v>141966</v>
      </c>
      <c r="G498" s="0" t="s">
        <v>4988</v>
      </c>
      <c r="H498" s="0" t="s">
        <v>4989</v>
      </c>
      <c r="I498" s="0" t="s">
        <v>4990</v>
      </c>
      <c r="J498" s="0" t="s">
        <v>4991</v>
      </c>
      <c r="K498" s="0" t="s">
        <v>4992</v>
      </c>
      <c r="L498" s="0" t="n">
        <v>968304</v>
      </c>
      <c r="M498" s="0" t="s">
        <v>4993</v>
      </c>
      <c r="N498" s="0" t="n">
        <v>905457</v>
      </c>
      <c r="O498" s="9" t="n">
        <v>7132</v>
      </c>
      <c r="P498" s="0" t="s">
        <v>215</v>
      </c>
      <c r="Q498" s="0" t="s">
        <v>4994</v>
      </c>
      <c r="R498" s="0" t="s">
        <v>4995</v>
      </c>
      <c r="S498" s="0" t="s">
        <v>4996</v>
      </c>
      <c r="T498" s="0" t="s">
        <v>4997</v>
      </c>
      <c r="U498" s="9" t="n">
        <v>0</v>
      </c>
      <c r="V498" s="0" t="n">
        <v>0</v>
      </c>
      <c r="W498" s="0" t="n">
        <v>20240630</v>
      </c>
      <c r="X498" s="0" t="n">
        <v>0.576787824521446</v>
      </c>
      <c r="Y498" s="0" t="s">
        <v>4998</v>
      </c>
      <c r="Z498" s="0" t="s">
        <v>60</v>
      </c>
    </row>
    <row r="499" customFormat="false" ht="15" hidden="false" customHeight="false" outlineLevel="0" collapsed="false">
      <c r="A499" s="0" t="n">
        <v>496</v>
      </c>
      <c r="B499" s="9" t="n">
        <v>1404406</v>
      </c>
      <c r="C499" s="0" t="n">
        <v>17743</v>
      </c>
      <c r="D499" s="0" t="n">
        <v>980636</v>
      </c>
      <c r="E499" s="0" t="s">
        <v>61</v>
      </c>
      <c r="F499" s="0" t="n">
        <v>121628</v>
      </c>
      <c r="G499" s="0" t="s">
        <v>4999</v>
      </c>
      <c r="H499" s="0" t="s">
        <v>5000</v>
      </c>
      <c r="I499" s="0" t="s">
        <v>5001</v>
      </c>
      <c r="J499" s="0" t="s">
        <v>5002</v>
      </c>
      <c r="K499" s="0" t="s">
        <v>5003</v>
      </c>
      <c r="L499" s="0" t="n">
        <v>1119255</v>
      </c>
      <c r="M499" s="0" t="s">
        <v>5004</v>
      </c>
      <c r="N499" s="0" t="n">
        <v>1079649</v>
      </c>
      <c r="O499" s="9" t="n">
        <v>3998</v>
      </c>
      <c r="P499" s="0" t="s">
        <v>227</v>
      </c>
      <c r="Q499" s="0" t="s">
        <v>5005</v>
      </c>
      <c r="R499" s="0" t="s">
        <v>5006</v>
      </c>
      <c r="S499" s="0" t="s">
        <v>293</v>
      </c>
      <c r="T499" s="0" t="s">
        <v>5007</v>
      </c>
      <c r="U499" s="9" t="n">
        <v>0</v>
      </c>
      <c r="V499" s="0" t="n">
        <v>0</v>
      </c>
      <c r="W499" s="0" t="n">
        <v>20240630</v>
      </c>
      <c r="X499" s="0" t="n">
        <v>-0.0312997808297457</v>
      </c>
      <c r="Y499" s="0" t="s">
        <v>5008</v>
      </c>
      <c r="Z499" s="0" t="s">
        <v>60</v>
      </c>
    </row>
    <row r="500" customFormat="false" ht="15" hidden="false" customHeight="false" outlineLevel="0" collapsed="false">
      <c r="A500" s="0" t="n">
        <v>497</v>
      </c>
      <c r="B500" s="9" t="n">
        <v>1653584</v>
      </c>
      <c r="C500" s="0" t="n">
        <v>17748</v>
      </c>
      <c r="D500" s="0" t="n">
        <v>1349536</v>
      </c>
      <c r="E500" s="0" t="s">
        <v>159</v>
      </c>
      <c r="F500" s="0" t="n">
        <v>113727</v>
      </c>
      <c r="G500" s="0" t="s">
        <v>5009</v>
      </c>
      <c r="H500" s="0" t="s">
        <v>5010</v>
      </c>
      <c r="I500" s="0" t="s">
        <v>5011</v>
      </c>
      <c r="J500" s="0" t="s">
        <v>5012</v>
      </c>
      <c r="K500" s="0" t="s">
        <v>5013</v>
      </c>
      <c r="L500" s="0" t="n">
        <v>1269678</v>
      </c>
      <c r="M500" s="0" t="s">
        <v>5014</v>
      </c>
      <c r="N500" s="0" t="n">
        <v>1060225</v>
      </c>
      <c r="O500" s="9" t="n">
        <v>7932</v>
      </c>
      <c r="P500" s="0" t="s">
        <v>240</v>
      </c>
      <c r="Q500" s="0" t="s">
        <v>5015</v>
      </c>
      <c r="R500" s="0" t="s">
        <v>5016</v>
      </c>
      <c r="S500" s="0" t="s">
        <v>230</v>
      </c>
      <c r="T500" s="0" t="s">
        <v>5017</v>
      </c>
      <c r="U500" s="9" t="n">
        <v>0</v>
      </c>
      <c r="V500" s="0" t="n">
        <v>0</v>
      </c>
      <c r="W500" s="0" t="n">
        <v>20240630</v>
      </c>
      <c r="X500" s="0" t="n">
        <v>0.279983250930057</v>
      </c>
      <c r="Y500" s="0" t="s">
        <v>4160</v>
      </c>
      <c r="Z500" s="0" t="s">
        <v>60</v>
      </c>
    </row>
    <row r="501" customFormat="false" ht="15" hidden="false" customHeight="false" outlineLevel="0" collapsed="false">
      <c r="A501" s="0" t="n">
        <v>498</v>
      </c>
      <c r="B501" s="9" t="n">
        <v>1395226</v>
      </c>
      <c r="C501" s="0" t="n">
        <v>17749</v>
      </c>
      <c r="D501" s="0" t="n">
        <v>1095901</v>
      </c>
      <c r="E501" s="0" t="s">
        <v>259</v>
      </c>
      <c r="F501" s="0" t="n">
        <v>177800</v>
      </c>
      <c r="G501" s="0" t="s">
        <v>5018</v>
      </c>
      <c r="H501" s="0" t="s">
        <v>5019</v>
      </c>
      <c r="I501" s="0" t="s">
        <v>5020</v>
      </c>
      <c r="J501" s="0" t="s">
        <v>5021</v>
      </c>
      <c r="K501" s="0" t="s">
        <v>5022</v>
      </c>
      <c r="L501" s="0" t="n">
        <v>822053</v>
      </c>
      <c r="M501" s="0" t="s">
        <v>5023</v>
      </c>
      <c r="N501" s="0" t="n">
        <v>744624</v>
      </c>
      <c r="O501" s="9" t="n">
        <v>243</v>
      </c>
      <c r="P501" s="0" t="s">
        <v>253</v>
      </c>
      <c r="Q501" s="0" t="s">
        <v>5024</v>
      </c>
      <c r="R501" s="0" t="s">
        <v>5025</v>
      </c>
      <c r="S501" s="0" t="s">
        <v>1079</v>
      </c>
      <c r="T501" s="0" t="s">
        <v>5026</v>
      </c>
      <c r="U501" s="9" t="n">
        <v>0</v>
      </c>
      <c r="V501" s="0" t="n">
        <v>0</v>
      </c>
      <c r="W501" s="0" t="n">
        <v>20240630</v>
      </c>
      <c r="X501" s="0" t="n">
        <v>0.98007512250939</v>
      </c>
      <c r="Y501" s="0" t="s">
        <v>5027</v>
      </c>
      <c r="Z501" s="0" t="s">
        <v>60</v>
      </c>
    </row>
    <row r="502" customFormat="false" ht="15" hidden="false" customHeight="false" outlineLevel="0" collapsed="false">
      <c r="A502" s="0" t="n">
        <v>499</v>
      </c>
      <c r="B502" s="9" t="n">
        <v>1628666</v>
      </c>
      <c r="C502" s="0" t="n">
        <v>17751</v>
      </c>
      <c r="D502" s="0" t="n">
        <v>1314857</v>
      </c>
      <c r="E502" s="0" t="s">
        <v>271</v>
      </c>
      <c r="F502" s="0" t="n">
        <v>140560</v>
      </c>
      <c r="G502" s="0" t="s">
        <v>5028</v>
      </c>
      <c r="H502" s="0" t="s">
        <v>5029</v>
      </c>
      <c r="I502" s="0" t="s">
        <v>5030</v>
      </c>
      <c r="J502" s="0" t="s">
        <v>5031</v>
      </c>
      <c r="K502" s="0" t="s">
        <v>5032</v>
      </c>
      <c r="L502" s="0" t="n">
        <v>1345733</v>
      </c>
      <c r="M502" s="0" t="s">
        <v>5033</v>
      </c>
      <c r="N502" s="0" t="n">
        <v>1148666</v>
      </c>
      <c r="O502" s="9" t="n">
        <v>4863</v>
      </c>
      <c r="P502" s="0" t="s">
        <v>266</v>
      </c>
      <c r="Q502" s="0" t="s">
        <v>5034</v>
      </c>
      <c r="R502" s="0" t="s">
        <v>5035</v>
      </c>
      <c r="S502" s="0" t="s">
        <v>1956</v>
      </c>
      <c r="T502" s="0" t="s">
        <v>5036</v>
      </c>
      <c r="U502" s="9" t="n">
        <v>0</v>
      </c>
      <c r="V502" s="0" t="n">
        <v>12.7562003813965</v>
      </c>
      <c r="W502" s="0" t="n">
        <v>20240630</v>
      </c>
      <c r="X502" s="0" t="n">
        <v>0.443314564249097</v>
      </c>
      <c r="Y502" s="0" t="s">
        <v>5037</v>
      </c>
      <c r="Z502" s="0" t="s">
        <v>60</v>
      </c>
    </row>
    <row r="503" customFormat="false" ht="15" hidden="false" customHeight="false" outlineLevel="0" collapsed="false">
      <c r="A503" s="0" t="n">
        <v>500</v>
      </c>
      <c r="B503" s="9" t="n">
        <v>1732333</v>
      </c>
      <c r="C503" s="0" t="n">
        <v>17897</v>
      </c>
      <c r="D503" s="0" t="n">
        <v>1311255</v>
      </c>
      <c r="E503" s="0" t="s">
        <v>1500</v>
      </c>
      <c r="F503" s="0" t="n">
        <v>211953</v>
      </c>
      <c r="G503" s="0" t="s">
        <v>5038</v>
      </c>
      <c r="H503" s="0" t="s">
        <v>5039</v>
      </c>
      <c r="I503" s="0" t="s">
        <v>5040</v>
      </c>
      <c r="J503" s="0" t="s">
        <v>5041</v>
      </c>
      <c r="K503" s="0" t="s">
        <v>5042</v>
      </c>
      <c r="L503" s="0" t="n">
        <v>1440034</v>
      </c>
      <c r="M503" s="0" t="s">
        <v>5043</v>
      </c>
      <c r="N503" s="0" t="n">
        <v>1352677</v>
      </c>
      <c r="O503" s="9" t="n">
        <v>4016</v>
      </c>
      <c r="P503" s="0" t="s">
        <v>278</v>
      </c>
      <c r="Q503" s="0" t="s">
        <v>5044</v>
      </c>
      <c r="R503" s="0" t="s">
        <v>5045</v>
      </c>
      <c r="S503" s="0" t="s">
        <v>5046</v>
      </c>
      <c r="T503" s="0" t="s">
        <v>5047</v>
      </c>
      <c r="U503" s="9" t="n">
        <v>0</v>
      </c>
      <c r="V503" s="0" t="n">
        <v>18.0579734151777</v>
      </c>
      <c r="W503" s="0" t="n">
        <v>20240630</v>
      </c>
      <c r="X503" s="0" t="n">
        <v>0.719533489276184</v>
      </c>
      <c r="Y503" s="0" t="s">
        <v>5048</v>
      </c>
      <c r="Z503" s="0" t="s">
        <v>60</v>
      </c>
    </row>
    <row r="504" customFormat="false" ht="15" hidden="false" customHeight="false" outlineLevel="0" collapsed="false">
      <c r="A504" s="0" t="n">
        <v>501</v>
      </c>
      <c r="B504" s="9" t="n">
        <v>810464</v>
      </c>
      <c r="C504" s="0" t="n">
        <v>17951</v>
      </c>
      <c r="D504" s="0" t="n">
        <v>665540</v>
      </c>
      <c r="E504" s="0" t="s">
        <v>61</v>
      </c>
      <c r="F504" s="0" t="n">
        <v>63303</v>
      </c>
      <c r="G504" s="0" t="s">
        <v>5049</v>
      </c>
      <c r="H504" s="0" t="s">
        <v>5050</v>
      </c>
      <c r="I504" s="0" t="s">
        <v>5051</v>
      </c>
      <c r="J504" s="0" t="s">
        <v>5052</v>
      </c>
      <c r="K504" s="0" t="s">
        <v>5053</v>
      </c>
      <c r="L504" s="0" t="n">
        <v>596085</v>
      </c>
      <c r="M504" s="0" t="s">
        <v>5054</v>
      </c>
      <c r="N504" s="0" t="n">
        <v>552786</v>
      </c>
      <c r="O504" s="9" t="n">
        <v>62</v>
      </c>
      <c r="P504" s="0" t="s">
        <v>290</v>
      </c>
      <c r="Q504" s="0" t="s">
        <v>5055</v>
      </c>
      <c r="R504" s="0" t="s">
        <v>5056</v>
      </c>
      <c r="S504" s="0" t="s">
        <v>5057</v>
      </c>
      <c r="T504" s="0" t="s">
        <v>2914</v>
      </c>
      <c r="U504" s="9" t="n">
        <v>0</v>
      </c>
      <c r="V504" s="0" t="n">
        <v>14.6203235537616</v>
      </c>
      <c r="W504" s="0" t="n">
        <v>20240630</v>
      </c>
      <c r="X504" s="0" t="n">
        <v>0.501098636386068</v>
      </c>
      <c r="Y504" s="0" t="s">
        <v>5058</v>
      </c>
      <c r="Z504" s="0" t="s">
        <v>158</v>
      </c>
    </row>
    <row r="505" customFormat="false" ht="15" hidden="false" customHeight="false" outlineLevel="0" collapsed="false">
      <c r="A505" s="0" t="n">
        <v>502</v>
      </c>
      <c r="B505" s="9" t="n">
        <v>1384318</v>
      </c>
      <c r="C505" s="0" t="n">
        <v>17960</v>
      </c>
      <c r="D505" s="0" t="n">
        <v>1047199</v>
      </c>
      <c r="E505" s="0" t="s">
        <v>1708</v>
      </c>
      <c r="F505" s="0" t="n">
        <v>114741</v>
      </c>
      <c r="G505" s="0" t="s">
        <v>5059</v>
      </c>
      <c r="H505" s="0" t="s">
        <v>5060</v>
      </c>
      <c r="I505" s="0" t="s">
        <v>5061</v>
      </c>
      <c r="J505" s="0" t="s">
        <v>5062</v>
      </c>
      <c r="K505" s="0" t="s">
        <v>5063</v>
      </c>
      <c r="L505" s="0" t="n">
        <v>1177826</v>
      </c>
      <c r="M505" s="0" t="s">
        <v>5064</v>
      </c>
      <c r="N505" s="0" t="n">
        <v>834712</v>
      </c>
      <c r="O505" s="9" t="n">
        <v>9254</v>
      </c>
      <c r="P505" s="0" t="s">
        <v>302</v>
      </c>
      <c r="Q505" s="0" t="s">
        <v>5065</v>
      </c>
      <c r="R505" s="0" t="s">
        <v>5066</v>
      </c>
      <c r="S505" s="0" t="s">
        <v>578</v>
      </c>
      <c r="T505" s="0" t="s">
        <v>5067</v>
      </c>
      <c r="U505" s="9" t="n">
        <v>0</v>
      </c>
      <c r="V505" s="0" t="n">
        <v>13.2905193445561</v>
      </c>
      <c r="W505" s="0" t="n">
        <v>20240630</v>
      </c>
      <c r="X505" s="0" t="n">
        <v>0.355511881408475</v>
      </c>
      <c r="Y505" s="0" t="s">
        <v>5068</v>
      </c>
      <c r="Z505" s="0" t="s">
        <v>158</v>
      </c>
    </row>
    <row r="506" customFormat="false" ht="15" hidden="false" customHeight="false" outlineLevel="0" collapsed="false">
      <c r="A506" s="0" t="n">
        <v>503</v>
      </c>
      <c r="B506" s="9" t="n">
        <v>2499818</v>
      </c>
      <c r="C506" s="0" t="n">
        <v>18012</v>
      </c>
      <c r="D506" s="0" t="n">
        <v>2102355</v>
      </c>
      <c r="E506" s="0" t="s">
        <v>271</v>
      </c>
      <c r="F506" s="0" t="n">
        <v>274634</v>
      </c>
      <c r="G506" s="0" t="s">
        <v>5069</v>
      </c>
      <c r="H506" s="0" t="s">
        <v>5070</v>
      </c>
      <c r="I506" s="0" t="s">
        <v>5071</v>
      </c>
      <c r="J506" s="0" t="s">
        <v>5072</v>
      </c>
      <c r="K506" s="0" t="s">
        <v>916</v>
      </c>
      <c r="L506" s="0" t="n">
        <v>2035131</v>
      </c>
      <c r="M506" s="0" t="s">
        <v>5073</v>
      </c>
      <c r="N506" s="0" t="n">
        <v>1928747</v>
      </c>
      <c r="O506" s="9" t="n">
        <v>990</v>
      </c>
      <c r="P506" s="0" t="s">
        <v>312</v>
      </c>
      <c r="Q506" s="0" t="s">
        <v>5074</v>
      </c>
      <c r="R506" s="0" t="s">
        <v>5075</v>
      </c>
      <c r="S506" s="0" t="s">
        <v>2600</v>
      </c>
      <c r="T506" s="0" t="s">
        <v>5076</v>
      </c>
      <c r="U506" s="9" t="n">
        <v>0</v>
      </c>
      <c r="V506" s="0" t="n">
        <v>14.6041845930891</v>
      </c>
      <c r="W506" s="0" t="n">
        <v>20240630</v>
      </c>
      <c r="X506" s="0" t="n">
        <v>0.658441157978623</v>
      </c>
      <c r="Y506" s="0" t="s">
        <v>5077</v>
      </c>
      <c r="Z506" s="0" t="s">
        <v>158</v>
      </c>
    </row>
    <row r="507" customFormat="false" ht="15" hidden="false" customHeight="false" outlineLevel="0" collapsed="false">
      <c r="A507" s="0" t="n">
        <v>504</v>
      </c>
      <c r="B507" s="9" t="n">
        <v>2913389</v>
      </c>
      <c r="C507" s="0" t="n">
        <v>18013</v>
      </c>
      <c r="D507" s="0" t="n">
        <v>2458436</v>
      </c>
      <c r="E507" s="0" t="s">
        <v>390</v>
      </c>
      <c r="F507" s="0" t="n">
        <v>223415</v>
      </c>
      <c r="G507" s="0" t="s">
        <v>5078</v>
      </c>
      <c r="H507" s="0" t="s">
        <v>5079</v>
      </c>
      <c r="I507" s="0" t="s">
        <v>5080</v>
      </c>
      <c r="J507" s="0" t="s">
        <v>5081</v>
      </c>
      <c r="K507" s="0" t="s">
        <v>5082</v>
      </c>
      <c r="L507" s="0" t="n">
        <v>2408662</v>
      </c>
      <c r="M507" s="0" t="s">
        <v>5083</v>
      </c>
      <c r="N507" s="0" t="n">
        <v>2192853</v>
      </c>
      <c r="O507" s="9" t="n">
        <v>1084</v>
      </c>
      <c r="P507" s="0" t="s">
        <v>324</v>
      </c>
      <c r="Q507" s="0" t="s">
        <v>5084</v>
      </c>
      <c r="R507" s="0" t="s">
        <v>5085</v>
      </c>
      <c r="S507" s="0" t="s">
        <v>4710</v>
      </c>
      <c r="T507" s="0" t="s">
        <v>5086</v>
      </c>
      <c r="U507" s="9" t="n">
        <v>224</v>
      </c>
      <c r="V507" s="0" t="n">
        <v>12.2970178752133</v>
      </c>
      <c r="W507" s="0" t="n">
        <v>20240630</v>
      </c>
      <c r="X507" s="0" t="n">
        <v>0.222779696164817</v>
      </c>
      <c r="Y507" s="0" t="s">
        <v>5087</v>
      </c>
      <c r="Z507" s="0" t="s">
        <v>158</v>
      </c>
    </row>
    <row r="508" customFormat="false" ht="15" hidden="false" customHeight="false" outlineLevel="0" collapsed="false">
      <c r="A508" s="0" t="n">
        <v>505</v>
      </c>
      <c r="B508" s="9" t="n">
        <v>393662</v>
      </c>
      <c r="C508" s="0" t="n">
        <v>18028</v>
      </c>
      <c r="D508" s="0" t="n">
        <v>324859</v>
      </c>
      <c r="E508" s="0" t="s">
        <v>195</v>
      </c>
      <c r="F508" s="0" t="n">
        <v>40845</v>
      </c>
      <c r="G508" s="0" t="s">
        <v>5088</v>
      </c>
      <c r="H508" s="0" t="s">
        <v>5089</v>
      </c>
      <c r="I508" s="0" t="s">
        <v>5090</v>
      </c>
      <c r="J508" s="0" t="s">
        <v>5091</v>
      </c>
      <c r="K508" s="0" t="s">
        <v>5092</v>
      </c>
      <c r="L508" s="0" t="n">
        <v>270218</v>
      </c>
      <c r="M508" s="0" t="s">
        <v>5093</v>
      </c>
      <c r="N508" s="0" t="n">
        <v>243503</v>
      </c>
      <c r="O508" s="9" t="n">
        <v>548</v>
      </c>
      <c r="P508" s="0" t="s">
        <v>337</v>
      </c>
      <c r="Q508" s="0" t="s">
        <v>5094</v>
      </c>
      <c r="R508" s="0" t="s">
        <v>5095</v>
      </c>
      <c r="S508" s="0" t="s">
        <v>2105</v>
      </c>
      <c r="T508" s="0" t="s">
        <v>5096</v>
      </c>
      <c r="U508" s="9" t="n">
        <v>68</v>
      </c>
      <c r="V508" s="0" t="n">
        <v>0</v>
      </c>
      <c r="W508" s="0" t="n">
        <v>20240630</v>
      </c>
      <c r="X508" s="0" t="n">
        <v>0.470352502506773</v>
      </c>
      <c r="Y508" s="0" t="s">
        <v>5097</v>
      </c>
      <c r="Z508" s="0" t="s">
        <v>158</v>
      </c>
    </row>
    <row r="509" customFormat="false" ht="15" hidden="false" customHeight="false" outlineLevel="0" collapsed="false">
      <c r="A509" s="0" t="n">
        <v>506</v>
      </c>
      <c r="B509" s="9" t="n">
        <v>764903</v>
      </c>
      <c r="C509" s="0" t="n">
        <v>18030</v>
      </c>
      <c r="D509" s="0" t="n">
        <v>682796</v>
      </c>
      <c r="E509" s="0" t="s">
        <v>195</v>
      </c>
      <c r="F509" s="0" t="n">
        <v>50593</v>
      </c>
      <c r="G509" s="0" t="s">
        <v>5098</v>
      </c>
      <c r="H509" s="0" t="s">
        <v>5099</v>
      </c>
      <c r="I509" s="0" t="s">
        <v>5100</v>
      </c>
      <c r="J509" s="0" t="s">
        <v>5101</v>
      </c>
      <c r="K509" s="0" t="s">
        <v>5102</v>
      </c>
      <c r="L509" s="0" t="n">
        <v>593081</v>
      </c>
      <c r="M509" s="0" t="s">
        <v>5103</v>
      </c>
      <c r="N509" s="0" t="n">
        <v>452116</v>
      </c>
      <c r="O509" s="9" t="n">
        <v>1934</v>
      </c>
      <c r="P509" s="0" t="s">
        <v>349</v>
      </c>
      <c r="Q509" s="0" t="s">
        <v>5104</v>
      </c>
      <c r="R509" s="0" t="s">
        <v>5105</v>
      </c>
      <c r="S509" s="0" t="s">
        <v>5106</v>
      </c>
      <c r="T509" s="0" t="s">
        <v>5107</v>
      </c>
      <c r="U509" s="9" t="n">
        <v>0</v>
      </c>
      <c r="V509" s="0" t="n">
        <v>13.4436887474241</v>
      </c>
      <c r="W509" s="0" t="n">
        <v>20240630</v>
      </c>
      <c r="X509" s="0" t="n">
        <v>0.674002311473751</v>
      </c>
      <c r="Y509" s="0" t="s">
        <v>5108</v>
      </c>
      <c r="Z509" s="0" t="s">
        <v>158</v>
      </c>
    </row>
    <row r="510" customFormat="false" ht="15" hidden="false" customHeight="false" outlineLevel="0" collapsed="false">
      <c r="A510" s="0" t="n">
        <v>507</v>
      </c>
      <c r="B510" s="9" t="n">
        <v>669965</v>
      </c>
      <c r="C510" s="0" t="n">
        <v>18031</v>
      </c>
      <c r="D510" s="0" t="n">
        <v>520982</v>
      </c>
      <c r="E510" s="0" t="s">
        <v>1729</v>
      </c>
      <c r="F510" s="0" t="n">
        <v>36939</v>
      </c>
      <c r="G510" s="0" t="s">
        <v>5109</v>
      </c>
      <c r="H510" s="0" t="s">
        <v>5110</v>
      </c>
      <c r="I510" s="0" t="s">
        <v>5111</v>
      </c>
      <c r="J510" s="0" t="s">
        <v>630</v>
      </c>
      <c r="K510" s="0" t="s">
        <v>5112</v>
      </c>
      <c r="L510" s="0" t="n">
        <v>472971</v>
      </c>
      <c r="M510" s="0" t="s">
        <v>5113</v>
      </c>
      <c r="N510" s="0" t="n">
        <v>433316</v>
      </c>
      <c r="O510" s="9" t="n">
        <v>900</v>
      </c>
      <c r="P510" s="0" t="s">
        <v>361</v>
      </c>
      <c r="Q510" s="0" t="s">
        <v>5114</v>
      </c>
      <c r="R510" s="0" t="s">
        <v>5115</v>
      </c>
      <c r="S510" s="0" t="s">
        <v>489</v>
      </c>
      <c r="T510" s="0" t="s">
        <v>2852</v>
      </c>
      <c r="U510" s="9" t="n">
        <v>27</v>
      </c>
      <c r="V510" s="0" t="n">
        <v>16.5316455015501</v>
      </c>
      <c r="W510" s="0" t="n">
        <v>20240630</v>
      </c>
      <c r="X510" s="0" t="n">
        <v>0.428613561597885</v>
      </c>
      <c r="Y510" s="0" t="s">
        <v>2875</v>
      </c>
      <c r="Z510" s="0" t="s">
        <v>158</v>
      </c>
    </row>
    <row r="511" customFormat="false" ht="15" hidden="false" customHeight="false" outlineLevel="0" collapsed="false">
      <c r="A511" s="0" t="n">
        <v>508</v>
      </c>
      <c r="B511" s="9" t="n">
        <v>528195</v>
      </c>
      <c r="C511" s="0" t="n">
        <v>18038</v>
      </c>
      <c r="D511" s="0" t="n">
        <v>406919</v>
      </c>
      <c r="E511" s="0" t="s">
        <v>208</v>
      </c>
      <c r="F511" s="0" t="n">
        <v>66574</v>
      </c>
      <c r="G511" s="0" t="s">
        <v>5116</v>
      </c>
      <c r="H511" s="0" t="s">
        <v>5117</v>
      </c>
      <c r="I511" s="0" t="s">
        <v>5118</v>
      </c>
      <c r="J511" s="0" t="s">
        <v>5119</v>
      </c>
      <c r="K511" s="0" t="s">
        <v>5120</v>
      </c>
      <c r="L511" s="0" t="n">
        <v>417854</v>
      </c>
      <c r="M511" s="0" t="s">
        <v>5121</v>
      </c>
      <c r="N511" s="0" t="n">
        <v>385504</v>
      </c>
      <c r="O511" s="9" t="n">
        <v>2632</v>
      </c>
      <c r="P511" s="0" t="s">
        <v>372</v>
      </c>
      <c r="Q511" s="0" t="s">
        <v>5122</v>
      </c>
      <c r="R511" s="0" t="s">
        <v>5123</v>
      </c>
      <c r="S511" s="0" t="s">
        <v>155</v>
      </c>
      <c r="T511" s="0" t="s">
        <v>5124</v>
      </c>
      <c r="U511" s="9" t="n">
        <v>0</v>
      </c>
      <c r="V511" s="0" t="n">
        <v>0</v>
      </c>
      <c r="W511" s="0" t="n">
        <v>20240630</v>
      </c>
      <c r="X511" s="0" t="n">
        <v>0.655171832852562</v>
      </c>
      <c r="Y511" s="0" t="s">
        <v>4063</v>
      </c>
      <c r="Z511" s="0" t="s">
        <v>158</v>
      </c>
    </row>
    <row r="512" customFormat="false" ht="15" hidden="false" customHeight="false" outlineLevel="0" collapsed="false">
      <c r="A512" s="0" t="n">
        <v>509</v>
      </c>
      <c r="B512" s="9" t="n">
        <v>7222033</v>
      </c>
      <c r="C512" s="0" t="n">
        <v>18408</v>
      </c>
      <c r="D512" s="0" t="n">
        <v>5353465</v>
      </c>
      <c r="E512" s="0" t="s">
        <v>390</v>
      </c>
      <c r="F512" s="0" t="n">
        <v>408904</v>
      </c>
      <c r="G512" s="0" t="s">
        <v>5125</v>
      </c>
      <c r="H512" s="0" t="s">
        <v>5126</v>
      </c>
      <c r="I512" s="0" t="s">
        <v>5127</v>
      </c>
      <c r="J512" s="0" t="s">
        <v>5128</v>
      </c>
      <c r="K512" s="0" t="s">
        <v>5129</v>
      </c>
      <c r="L512" s="0" t="n">
        <v>4887305</v>
      </c>
      <c r="M512" s="0" t="s">
        <v>5130</v>
      </c>
      <c r="N512" s="0" t="n">
        <v>4394120</v>
      </c>
      <c r="O512" s="9" t="n">
        <v>4032</v>
      </c>
      <c r="P512" s="0" t="s">
        <v>384</v>
      </c>
      <c r="Q512" s="0" t="s">
        <v>5131</v>
      </c>
      <c r="R512" s="0" t="s">
        <v>5132</v>
      </c>
      <c r="S512" s="0" t="s">
        <v>5133</v>
      </c>
      <c r="T512" s="0" t="s">
        <v>5134</v>
      </c>
      <c r="U512" s="9" t="n">
        <v>0</v>
      </c>
      <c r="V512" s="0" t="n">
        <v>11.3956962361995</v>
      </c>
      <c r="W512" s="0" t="n">
        <v>20240630</v>
      </c>
      <c r="X512" s="0" t="n">
        <v>0.0504801142925108</v>
      </c>
      <c r="Y512" s="0" t="s">
        <v>2739</v>
      </c>
      <c r="Z512" s="0" t="s">
        <v>60</v>
      </c>
    </row>
    <row r="513" customFormat="false" ht="15" hidden="false" customHeight="false" outlineLevel="0" collapsed="false">
      <c r="A513" s="0" t="n">
        <v>510</v>
      </c>
      <c r="B513" s="9" t="n">
        <v>2602801</v>
      </c>
      <c r="C513" s="0" t="n">
        <v>19531</v>
      </c>
      <c r="D513" s="0" t="n">
        <v>2007423</v>
      </c>
      <c r="E513" s="0" t="s">
        <v>61</v>
      </c>
      <c r="F513" s="0" t="n">
        <v>245672</v>
      </c>
      <c r="G513" s="0" t="s">
        <v>5135</v>
      </c>
      <c r="H513" s="0" t="s">
        <v>5136</v>
      </c>
      <c r="I513" s="0" t="s">
        <v>5137</v>
      </c>
      <c r="J513" s="0" t="s">
        <v>5138</v>
      </c>
      <c r="K513" s="0" t="s">
        <v>5139</v>
      </c>
      <c r="L513" s="0" t="n">
        <v>2138891</v>
      </c>
      <c r="M513" s="0" t="s">
        <v>5140</v>
      </c>
      <c r="N513" s="0" t="n">
        <v>1752265</v>
      </c>
      <c r="O513" s="9" t="n">
        <v>8076</v>
      </c>
      <c r="P513" s="0" t="s">
        <v>397</v>
      </c>
      <c r="Q513" s="0" t="s">
        <v>5141</v>
      </c>
      <c r="R513" s="0" t="s">
        <v>5142</v>
      </c>
      <c r="S513" s="0" t="s">
        <v>3747</v>
      </c>
      <c r="T513" s="0" t="s">
        <v>5143</v>
      </c>
      <c r="U513" s="9" t="n">
        <v>12</v>
      </c>
      <c r="V513" s="0" t="n">
        <v>13.7246237828604</v>
      </c>
      <c r="W513" s="0" t="n">
        <v>20240630</v>
      </c>
      <c r="X513" s="0" t="n">
        <v>0.363488052763752</v>
      </c>
      <c r="Y513" s="0" t="s">
        <v>5144</v>
      </c>
      <c r="Z513" s="0" t="s">
        <v>60</v>
      </c>
    </row>
    <row r="514" customFormat="false" ht="15" hidden="false" customHeight="false" outlineLevel="0" collapsed="false">
      <c r="A514" s="0" t="n">
        <v>511</v>
      </c>
      <c r="B514" s="9" t="n">
        <v>880879</v>
      </c>
      <c r="C514" s="0" t="n">
        <v>19532</v>
      </c>
      <c r="D514" s="0" t="n">
        <v>709469</v>
      </c>
      <c r="E514" s="0" t="s">
        <v>390</v>
      </c>
      <c r="F514" s="0" t="n">
        <v>98709</v>
      </c>
      <c r="G514" s="0" t="s">
        <v>5145</v>
      </c>
      <c r="H514" s="0" t="s">
        <v>5146</v>
      </c>
      <c r="I514" s="0" t="s">
        <v>5147</v>
      </c>
      <c r="J514" s="0" t="s">
        <v>5148</v>
      </c>
      <c r="K514" s="0" t="s">
        <v>5149</v>
      </c>
      <c r="L514" s="0" t="n">
        <v>596358</v>
      </c>
      <c r="M514" s="0" t="s">
        <v>5150</v>
      </c>
      <c r="N514" s="0" t="n">
        <v>490094</v>
      </c>
      <c r="O514" s="9" t="n">
        <v>1611</v>
      </c>
      <c r="P514" s="0" t="s">
        <v>409</v>
      </c>
      <c r="Q514" s="0" t="s">
        <v>5151</v>
      </c>
      <c r="R514" s="0" t="s">
        <v>5152</v>
      </c>
      <c r="S514" s="0" t="s">
        <v>5153</v>
      </c>
      <c r="T514" s="0" t="s">
        <v>5154</v>
      </c>
      <c r="U514" s="9" t="n">
        <v>0</v>
      </c>
      <c r="V514" s="0" t="n">
        <v>21.2603406906925</v>
      </c>
      <c r="W514" s="0" t="n">
        <v>20240630</v>
      </c>
      <c r="X514" s="0" t="n">
        <v>0.858496118129066</v>
      </c>
      <c r="Y514" s="0" t="s">
        <v>764</v>
      </c>
      <c r="Z514" s="0" t="s">
        <v>60</v>
      </c>
    </row>
    <row r="515" customFormat="false" ht="15" hidden="false" customHeight="false" outlineLevel="0" collapsed="false">
      <c r="A515" s="0" t="n">
        <v>512</v>
      </c>
      <c r="B515" s="9" t="n">
        <v>3132203</v>
      </c>
      <c r="C515" s="0" t="n">
        <v>19690</v>
      </c>
      <c r="D515" s="0" t="n">
        <v>2362286</v>
      </c>
      <c r="E515" s="0" t="s">
        <v>259</v>
      </c>
      <c r="F515" s="0" t="n">
        <v>376634</v>
      </c>
      <c r="G515" s="0" t="s">
        <v>5155</v>
      </c>
      <c r="H515" s="0" t="s">
        <v>5156</v>
      </c>
      <c r="I515" s="0" t="s">
        <v>5157</v>
      </c>
      <c r="J515" s="0" t="s">
        <v>5158</v>
      </c>
      <c r="K515" s="0" t="s">
        <v>5159</v>
      </c>
      <c r="L515" s="0" t="n">
        <v>2761157</v>
      </c>
      <c r="M515" s="0" t="s">
        <v>5160</v>
      </c>
      <c r="N515" s="0" t="n">
        <v>2127514</v>
      </c>
      <c r="O515" s="9" t="n">
        <v>28260</v>
      </c>
      <c r="P515" s="0" t="s">
        <v>420</v>
      </c>
      <c r="Q515" s="0" t="s">
        <v>5161</v>
      </c>
      <c r="R515" s="0" t="s">
        <v>5162</v>
      </c>
      <c r="S515" s="0" t="s">
        <v>5163</v>
      </c>
      <c r="T515" s="0" t="s">
        <v>5164</v>
      </c>
      <c r="U515" s="9" t="n">
        <v>0</v>
      </c>
      <c r="V515" s="0" t="n">
        <v>14.822901584382</v>
      </c>
      <c r="W515" s="0" t="n">
        <v>20240630</v>
      </c>
      <c r="X515" s="0" t="n">
        <v>1.9118906936064</v>
      </c>
      <c r="Y515" s="0" t="s">
        <v>5165</v>
      </c>
      <c r="Z515" s="0" t="s">
        <v>60</v>
      </c>
    </row>
    <row r="516" customFormat="false" ht="15" hidden="false" customHeight="false" outlineLevel="0" collapsed="false">
      <c r="A516" s="0" t="n">
        <v>513</v>
      </c>
      <c r="B516" s="9" t="n">
        <v>693631</v>
      </c>
      <c r="C516" s="0" t="n">
        <v>19836</v>
      </c>
      <c r="D516" s="0" t="n">
        <v>494603</v>
      </c>
      <c r="E516" s="0" t="s">
        <v>61</v>
      </c>
      <c r="F516" s="0" t="n">
        <v>122241</v>
      </c>
      <c r="G516" s="0" t="s">
        <v>5166</v>
      </c>
      <c r="H516" s="0" t="s">
        <v>5167</v>
      </c>
      <c r="I516" s="0" t="s">
        <v>5168</v>
      </c>
      <c r="J516" s="0" t="s">
        <v>5169</v>
      </c>
      <c r="K516" s="0" t="s">
        <v>5170</v>
      </c>
      <c r="L516" s="0" t="n">
        <v>583028</v>
      </c>
      <c r="M516" s="0" t="s">
        <v>5171</v>
      </c>
      <c r="N516" s="0" t="n">
        <v>520353</v>
      </c>
      <c r="O516" s="9" t="n">
        <v>5114</v>
      </c>
      <c r="P516" s="0" t="s">
        <v>290</v>
      </c>
      <c r="Q516" s="0" t="s">
        <v>5172</v>
      </c>
      <c r="R516" s="0" t="s">
        <v>5173</v>
      </c>
      <c r="S516" s="0" t="s">
        <v>120</v>
      </c>
      <c r="T516" s="0" t="s">
        <v>4706</v>
      </c>
      <c r="U516" s="9" t="n">
        <v>539</v>
      </c>
      <c r="V516" s="0" t="n">
        <v>24.7547146632848</v>
      </c>
      <c r="W516" s="0" t="n">
        <v>20240630</v>
      </c>
      <c r="X516" s="0" t="n">
        <v>0.6592636990771</v>
      </c>
      <c r="Y516" s="0" t="s">
        <v>5174</v>
      </c>
      <c r="Z516" s="0" t="s">
        <v>60</v>
      </c>
    </row>
    <row r="517" customFormat="false" ht="15" hidden="false" customHeight="false" outlineLevel="0" collapsed="false">
      <c r="A517" s="0" t="n">
        <v>514</v>
      </c>
      <c r="B517" s="9" t="n">
        <v>1450962</v>
      </c>
      <c r="C517" s="0" t="n">
        <v>24540</v>
      </c>
      <c r="D517" s="0" t="n">
        <v>1167579</v>
      </c>
      <c r="E517" s="0" t="s">
        <v>593</v>
      </c>
      <c r="F517" s="0" t="n">
        <v>259158</v>
      </c>
      <c r="G517" s="0" t="s">
        <v>5175</v>
      </c>
      <c r="H517" s="0" t="s">
        <v>5176</v>
      </c>
      <c r="I517" s="0" t="s">
        <v>5177</v>
      </c>
      <c r="J517" s="0" t="s">
        <v>5178</v>
      </c>
      <c r="K517" s="0" t="s">
        <v>2843</v>
      </c>
      <c r="L517" s="0" t="n">
        <v>1284005</v>
      </c>
      <c r="M517" s="0" t="s">
        <v>5179</v>
      </c>
      <c r="N517" s="0" t="n">
        <v>1244382</v>
      </c>
      <c r="O517" s="9" t="n">
        <v>30086</v>
      </c>
      <c r="P517" s="0" t="s">
        <v>443</v>
      </c>
      <c r="Q517" s="0" t="s">
        <v>5180</v>
      </c>
      <c r="R517" s="0" t="s">
        <v>5181</v>
      </c>
      <c r="S517" s="0" t="s">
        <v>61</v>
      </c>
      <c r="T517" s="0" t="s">
        <v>61</v>
      </c>
      <c r="U517" s="9" t="n">
        <v>0</v>
      </c>
      <c r="V517" s="0" t="n">
        <v>18.6244989044056</v>
      </c>
      <c r="W517" s="0" t="n">
        <v>20240630</v>
      </c>
      <c r="X517" s="0" t="n">
        <v>1.93262033990791</v>
      </c>
      <c r="Y517" s="0" t="s">
        <v>3691</v>
      </c>
      <c r="Z517" s="0" t="s">
        <v>158</v>
      </c>
    </row>
    <row r="518" customFormat="false" ht="15" hidden="false" customHeight="false" outlineLevel="0" collapsed="false">
      <c r="A518" s="0" t="n">
        <v>515</v>
      </c>
      <c r="B518" s="9" t="n">
        <v>557168</v>
      </c>
      <c r="C518" s="0" t="n">
        <v>27824</v>
      </c>
      <c r="D518" s="0" t="n">
        <v>362991</v>
      </c>
      <c r="E518" s="0" t="s">
        <v>246</v>
      </c>
      <c r="F518" s="0" t="n">
        <v>64563</v>
      </c>
      <c r="G518" s="0" t="s">
        <v>5182</v>
      </c>
      <c r="H518" s="0" t="s">
        <v>5183</v>
      </c>
      <c r="I518" s="0" t="s">
        <v>5184</v>
      </c>
      <c r="J518" s="0" t="s">
        <v>5185</v>
      </c>
      <c r="K518" s="0" t="s">
        <v>5186</v>
      </c>
      <c r="L518" s="0" t="n">
        <v>460555</v>
      </c>
      <c r="M518" s="0" t="s">
        <v>5187</v>
      </c>
      <c r="N518" s="0" t="n">
        <v>398633</v>
      </c>
      <c r="O518" s="9" t="n">
        <v>1077</v>
      </c>
      <c r="P518" s="0" t="s">
        <v>453</v>
      </c>
      <c r="Q518" s="0" t="s">
        <v>5188</v>
      </c>
      <c r="R518" s="0" t="s">
        <v>5189</v>
      </c>
      <c r="S518" s="0" t="s">
        <v>3113</v>
      </c>
      <c r="T518" s="0" t="s">
        <v>5190</v>
      </c>
      <c r="U518" s="9" t="n">
        <v>0</v>
      </c>
      <c r="V518" s="0" t="n">
        <v>20.3577838503214</v>
      </c>
      <c r="W518" s="0" t="n">
        <v>20240630</v>
      </c>
      <c r="X518" s="0" t="n">
        <v>-0.374023312411938</v>
      </c>
      <c r="Y518" s="0" t="s">
        <v>5191</v>
      </c>
      <c r="Z518" s="0" t="s">
        <v>158</v>
      </c>
    </row>
    <row r="519" customFormat="false" ht="15" hidden="false" customHeight="false" outlineLevel="0" collapsed="false">
      <c r="A519" s="0" t="n">
        <v>516</v>
      </c>
      <c r="B519" s="9" t="n">
        <v>302055</v>
      </c>
      <c r="C519" s="0" t="n">
        <v>28155</v>
      </c>
      <c r="D519" s="0" t="n">
        <v>259692</v>
      </c>
      <c r="E519" s="0" t="s">
        <v>794</v>
      </c>
      <c r="F519" s="0" t="n">
        <v>27301</v>
      </c>
      <c r="G519" s="0" t="s">
        <v>5192</v>
      </c>
      <c r="H519" s="0" t="s">
        <v>5193</v>
      </c>
      <c r="I519" s="0" t="s">
        <v>5194</v>
      </c>
      <c r="J519" s="0" t="s">
        <v>5195</v>
      </c>
      <c r="K519" s="0" t="s">
        <v>5196</v>
      </c>
      <c r="L519" s="0" t="n">
        <v>173251</v>
      </c>
      <c r="M519" s="0" t="s">
        <v>5197</v>
      </c>
      <c r="N519" s="0" t="n">
        <v>155404</v>
      </c>
      <c r="O519" s="9" t="n">
        <v>0</v>
      </c>
      <c r="P519" s="0" t="s">
        <v>464</v>
      </c>
      <c r="Q519" s="0" t="s">
        <v>61</v>
      </c>
      <c r="R519" s="0" t="s">
        <v>5198</v>
      </c>
      <c r="S519" s="0" t="s">
        <v>256</v>
      </c>
      <c r="T519" s="0" t="s">
        <v>5199</v>
      </c>
      <c r="U519" s="9" t="n">
        <v>0</v>
      </c>
      <c r="V519" s="0" t="n">
        <v>16.9262702346722</v>
      </c>
      <c r="W519" s="0" t="n">
        <v>20240630</v>
      </c>
      <c r="X519" s="0" t="n">
        <v>-0.0547019798336482</v>
      </c>
      <c r="Y519" s="0" t="s">
        <v>4187</v>
      </c>
      <c r="Z519" s="0" t="s">
        <v>158</v>
      </c>
    </row>
    <row r="520" customFormat="false" ht="15" hidden="false" customHeight="false" outlineLevel="0" collapsed="false">
      <c r="A520" s="0" t="n">
        <v>517</v>
      </c>
      <c r="B520" s="9" t="n">
        <v>102466</v>
      </c>
      <c r="C520" s="0" t="n">
        <v>28288</v>
      </c>
      <c r="D520" s="0" t="n">
        <v>74553</v>
      </c>
      <c r="E520" s="0" t="s">
        <v>890</v>
      </c>
      <c r="F520" s="0" t="n">
        <v>5947</v>
      </c>
      <c r="G520" s="0" t="s">
        <v>5200</v>
      </c>
      <c r="H520" s="0" t="s">
        <v>5201</v>
      </c>
      <c r="I520" s="0" t="s">
        <v>5202</v>
      </c>
      <c r="J520" s="0" t="s">
        <v>5203</v>
      </c>
      <c r="K520" s="0" t="s">
        <v>5204</v>
      </c>
      <c r="L520" s="0" t="n">
        <v>82144</v>
      </c>
      <c r="M520" s="0" t="s">
        <v>5205</v>
      </c>
      <c r="N520" s="0" t="n">
        <v>74830</v>
      </c>
      <c r="O520" s="9" t="n">
        <v>251</v>
      </c>
      <c r="P520" s="0" t="s">
        <v>475</v>
      </c>
      <c r="Q520" s="0" t="s">
        <v>5206</v>
      </c>
      <c r="R520" s="0" t="s">
        <v>5207</v>
      </c>
      <c r="S520" s="0" t="s">
        <v>61</v>
      </c>
      <c r="T520" s="0" t="s">
        <v>2054</v>
      </c>
      <c r="U520" s="9" t="n">
        <v>0</v>
      </c>
      <c r="V520" s="0" t="n">
        <v>13.1640405593165</v>
      </c>
      <c r="W520" s="0" t="n">
        <v>20240630</v>
      </c>
      <c r="X520" s="0" t="n">
        <v>0.104067296851964</v>
      </c>
      <c r="Y520" s="0" t="s">
        <v>5208</v>
      </c>
      <c r="Z520" s="0" t="s">
        <v>60</v>
      </c>
    </row>
    <row r="521" customFormat="false" ht="15" hidden="false" customHeight="false" outlineLevel="0" collapsed="false">
      <c r="A521" s="0" t="n">
        <v>518</v>
      </c>
      <c r="B521" s="9" t="n">
        <v>95722</v>
      </c>
      <c r="C521" s="0" t="n">
        <v>28369</v>
      </c>
      <c r="D521" s="0" t="n">
        <v>71038</v>
      </c>
      <c r="E521" s="0" t="s">
        <v>195</v>
      </c>
      <c r="F521" s="0" t="n">
        <v>9198</v>
      </c>
      <c r="G521" s="0" t="s">
        <v>5209</v>
      </c>
      <c r="H521" s="0" t="s">
        <v>5210</v>
      </c>
      <c r="I521" s="0" t="s">
        <v>5211</v>
      </c>
      <c r="J521" s="0" t="s">
        <v>5212</v>
      </c>
      <c r="K521" s="0" t="s">
        <v>5213</v>
      </c>
      <c r="L521" s="0" t="n">
        <v>81829</v>
      </c>
      <c r="M521" s="0" t="s">
        <v>5214</v>
      </c>
      <c r="N521" s="0" t="n">
        <v>68216</v>
      </c>
      <c r="O521" s="9" t="n">
        <v>141</v>
      </c>
      <c r="P521" s="0" t="s">
        <v>486</v>
      </c>
      <c r="Q521" s="0" t="s">
        <v>5215</v>
      </c>
      <c r="R521" s="0" t="s">
        <v>5216</v>
      </c>
      <c r="S521" s="0" t="s">
        <v>478</v>
      </c>
      <c r="T521" s="0" t="s">
        <v>2984</v>
      </c>
      <c r="U521" s="9" t="n">
        <v>0</v>
      </c>
      <c r="V521" s="0" t="n">
        <v>13.6709423889672</v>
      </c>
      <c r="W521" s="0" t="n">
        <v>20240630</v>
      </c>
      <c r="X521" s="0" t="n">
        <v>-0.320244959302203</v>
      </c>
      <c r="Y521" s="0" t="s">
        <v>4692</v>
      </c>
      <c r="Z521" s="0" t="s">
        <v>60</v>
      </c>
    </row>
    <row r="522" customFormat="false" ht="15" hidden="false" customHeight="false" outlineLevel="0" collapsed="false">
      <c r="A522" s="0" t="n">
        <v>519</v>
      </c>
      <c r="B522" s="9" t="n">
        <v>285118</v>
      </c>
      <c r="C522" s="0" t="n">
        <v>28837</v>
      </c>
      <c r="D522" s="0" t="n">
        <v>254557</v>
      </c>
      <c r="E522" s="0" t="s">
        <v>4117</v>
      </c>
      <c r="F522" s="0" t="n">
        <v>27060</v>
      </c>
      <c r="G522" s="0" t="s">
        <v>5217</v>
      </c>
      <c r="H522" s="0" t="s">
        <v>5218</v>
      </c>
      <c r="I522" s="0" t="s">
        <v>5219</v>
      </c>
      <c r="J522" s="0" t="s">
        <v>5220</v>
      </c>
      <c r="K522" s="0" t="s">
        <v>4202</v>
      </c>
      <c r="L522" s="0" t="n">
        <v>202274</v>
      </c>
      <c r="M522" s="0" t="s">
        <v>5221</v>
      </c>
      <c r="N522" s="0" t="n">
        <v>192922</v>
      </c>
      <c r="O522" s="9" t="n">
        <v>155</v>
      </c>
      <c r="P522" s="0" t="s">
        <v>497</v>
      </c>
      <c r="Q522" s="0" t="s">
        <v>5222</v>
      </c>
      <c r="R522" s="0" t="s">
        <v>5223</v>
      </c>
      <c r="S522" s="0" t="s">
        <v>61</v>
      </c>
      <c r="T522" s="0" t="s">
        <v>1576</v>
      </c>
      <c r="U522" s="9" t="n">
        <v>0</v>
      </c>
      <c r="V522" s="0" t="n">
        <v>16.7395381692405</v>
      </c>
      <c r="W522" s="0" t="n">
        <v>20240630</v>
      </c>
      <c r="X522" s="0" t="n">
        <v>0.716098111079786</v>
      </c>
      <c r="Y522" s="0" t="s">
        <v>5224</v>
      </c>
      <c r="Z522" s="0" t="s">
        <v>98</v>
      </c>
    </row>
    <row r="523" customFormat="false" ht="15" hidden="false" customHeight="false" outlineLevel="0" collapsed="false">
      <c r="A523" s="0" t="n">
        <v>520</v>
      </c>
      <c r="B523" s="9" t="n">
        <v>180255</v>
      </c>
      <c r="C523" s="0" t="n">
        <v>29636</v>
      </c>
      <c r="D523" s="0" t="n">
        <v>137021</v>
      </c>
      <c r="E523" s="0" t="s">
        <v>195</v>
      </c>
      <c r="F523" s="0" t="n">
        <v>26121</v>
      </c>
      <c r="G523" s="0" t="s">
        <v>5225</v>
      </c>
      <c r="H523" s="0" t="s">
        <v>5226</v>
      </c>
      <c r="I523" s="0" t="s">
        <v>5227</v>
      </c>
      <c r="J523" s="0" t="s">
        <v>5228</v>
      </c>
      <c r="K523" s="0" t="s">
        <v>5229</v>
      </c>
      <c r="L523" s="0" t="n">
        <v>138577</v>
      </c>
      <c r="M523" s="0" t="s">
        <v>5230</v>
      </c>
      <c r="N523" s="0" t="n">
        <v>135371</v>
      </c>
      <c r="O523" s="9" t="n">
        <v>2731</v>
      </c>
      <c r="P523" s="0" t="s">
        <v>509</v>
      </c>
      <c r="Q523" s="0" t="s">
        <v>5231</v>
      </c>
      <c r="R523" s="0" t="s">
        <v>5232</v>
      </c>
      <c r="S523" s="0" t="s">
        <v>352</v>
      </c>
      <c r="T523" s="0" t="s">
        <v>5233</v>
      </c>
      <c r="U523" s="9" t="n">
        <v>0</v>
      </c>
      <c r="V523" s="0" t="n">
        <v>26.8583867787312</v>
      </c>
      <c r="W523" s="0" t="n">
        <v>20240630</v>
      </c>
      <c r="X523" s="0" t="n">
        <v>0.247766013645732</v>
      </c>
      <c r="Y523" s="0" t="s">
        <v>5234</v>
      </c>
      <c r="Z523" s="0" t="s">
        <v>60</v>
      </c>
    </row>
    <row r="524" customFormat="false" ht="15" hidden="false" customHeight="false" outlineLevel="0" collapsed="false">
      <c r="A524" s="0" t="n">
        <v>521</v>
      </c>
      <c r="B524" s="9" t="n">
        <v>189887</v>
      </c>
      <c r="C524" s="0" t="n">
        <v>29743</v>
      </c>
      <c r="D524" s="0" t="n">
        <v>166017</v>
      </c>
      <c r="E524" s="0" t="s">
        <v>1281</v>
      </c>
      <c r="F524" s="0" t="n">
        <v>17099</v>
      </c>
      <c r="G524" s="0" t="s">
        <v>5235</v>
      </c>
      <c r="H524" s="0" t="s">
        <v>5236</v>
      </c>
      <c r="I524" s="0" t="s">
        <v>5237</v>
      </c>
      <c r="J524" s="0" t="s">
        <v>5238</v>
      </c>
      <c r="K524" s="0" t="s">
        <v>5239</v>
      </c>
      <c r="L524" s="0" t="n">
        <v>133832</v>
      </c>
      <c r="M524" s="0" t="s">
        <v>5240</v>
      </c>
      <c r="N524" s="0" t="n">
        <v>86883</v>
      </c>
      <c r="O524" s="9" t="n">
        <v>167</v>
      </c>
      <c r="P524" s="0" t="s">
        <v>520</v>
      </c>
      <c r="Q524" s="0" t="s">
        <v>5241</v>
      </c>
      <c r="R524" s="0" t="s">
        <v>5242</v>
      </c>
      <c r="S524" s="0" t="s">
        <v>3967</v>
      </c>
      <c r="T524" s="0" t="s">
        <v>5243</v>
      </c>
      <c r="U524" s="9" t="n">
        <v>0</v>
      </c>
      <c r="V524" s="0" t="n">
        <v>18.342035357699</v>
      </c>
      <c r="W524" s="0" t="n">
        <v>20240630</v>
      </c>
      <c r="X524" s="0" t="n">
        <v>0.296387905667619</v>
      </c>
      <c r="Y524" s="0" t="s">
        <v>5244</v>
      </c>
      <c r="Z524" s="0" t="s">
        <v>60</v>
      </c>
    </row>
    <row r="525" customFormat="false" ht="15" hidden="false" customHeight="false" outlineLevel="0" collapsed="false">
      <c r="A525" s="0" t="n">
        <v>522</v>
      </c>
      <c r="B525" s="9" t="n">
        <v>602018</v>
      </c>
      <c r="C525" s="0" t="n">
        <v>29744</v>
      </c>
      <c r="D525" s="0" t="n">
        <v>471240</v>
      </c>
      <c r="E525" s="0" t="s">
        <v>794</v>
      </c>
      <c r="F525" s="0" t="n">
        <v>46233</v>
      </c>
      <c r="G525" s="0" t="s">
        <v>5245</v>
      </c>
      <c r="H525" s="0" t="s">
        <v>5246</v>
      </c>
      <c r="I525" s="0" t="s">
        <v>5247</v>
      </c>
      <c r="J525" s="0" t="s">
        <v>5248</v>
      </c>
      <c r="K525" s="0" t="s">
        <v>5249</v>
      </c>
      <c r="L525" s="0" t="n">
        <v>434882</v>
      </c>
      <c r="M525" s="0" t="s">
        <v>5250</v>
      </c>
      <c r="N525" s="0" t="n">
        <v>400003</v>
      </c>
      <c r="O525" s="9" t="n">
        <v>141</v>
      </c>
      <c r="P525" s="0" t="s">
        <v>531</v>
      </c>
      <c r="Q525" s="0" t="s">
        <v>5251</v>
      </c>
      <c r="R525" s="0" t="s">
        <v>5252</v>
      </c>
      <c r="S525" s="0" t="s">
        <v>352</v>
      </c>
      <c r="T525" s="0" t="s">
        <v>61</v>
      </c>
      <c r="U525" s="9" t="n">
        <v>0</v>
      </c>
      <c r="V525" s="0" t="n">
        <v>15.527357074635</v>
      </c>
      <c r="W525" s="0" t="n">
        <v>20240630</v>
      </c>
      <c r="X525" s="0" t="n">
        <v>0.296595325680526</v>
      </c>
      <c r="Y525" s="0" t="s">
        <v>967</v>
      </c>
      <c r="Z525" s="0" t="s">
        <v>158</v>
      </c>
    </row>
    <row r="526" customFormat="false" ht="15" hidden="false" customHeight="false" outlineLevel="0" collapsed="false">
      <c r="A526" s="0" t="n">
        <v>523</v>
      </c>
      <c r="B526" s="9" t="n">
        <v>564787</v>
      </c>
      <c r="C526" s="0" t="n">
        <v>30350</v>
      </c>
      <c r="D526" s="0" t="n">
        <v>443952</v>
      </c>
      <c r="E526" s="0" t="s">
        <v>195</v>
      </c>
      <c r="F526" s="0" t="n">
        <v>57863</v>
      </c>
      <c r="G526" s="0" t="s">
        <v>5253</v>
      </c>
      <c r="H526" s="0" t="s">
        <v>5254</v>
      </c>
      <c r="I526" s="0" t="s">
        <v>5255</v>
      </c>
      <c r="J526" s="0" t="s">
        <v>5256</v>
      </c>
      <c r="K526" s="0" t="s">
        <v>5257</v>
      </c>
      <c r="L526" s="0" t="n">
        <v>416045</v>
      </c>
      <c r="M526" s="0" t="s">
        <v>5258</v>
      </c>
      <c r="N526" s="0" t="n">
        <v>396859</v>
      </c>
      <c r="O526" s="9" t="n">
        <v>1683</v>
      </c>
      <c r="P526" s="0" t="s">
        <v>543</v>
      </c>
      <c r="Q526" s="0" t="s">
        <v>5259</v>
      </c>
      <c r="R526" s="0" t="s">
        <v>5260</v>
      </c>
      <c r="S526" s="0" t="s">
        <v>5261</v>
      </c>
      <c r="T526" s="0" t="s">
        <v>2391</v>
      </c>
      <c r="U526" s="9" t="n">
        <v>0</v>
      </c>
      <c r="V526" s="0" t="n">
        <v>20.7901181982749</v>
      </c>
      <c r="W526" s="0" t="n">
        <v>20240630</v>
      </c>
      <c r="X526" s="0" t="n">
        <v>0.535675281474205</v>
      </c>
      <c r="Y526" s="0" t="s">
        <v>5262</v>
      </c>
      <c r="Z526" s="0" t="s">
        <v>98</v>
      </c>
    </row>
    <row r="527" customFormat="false" ht="15" hidden="false" customHeight="false" outlineLevel="0" collapsed="false">
      <c r="A527" s="0" t="n">
        <v>524</v>
      </c>
      <c r="B527" s="9" t="n">
        <v>102920</v>
      </c>
      <c r="C527" s="0" t="n">
        <v>30878</v>
      </c>
      <c r="D527" s="0" t="n">
        <v>76575</v>
      </c>
      <c r="E527" s="0" t="s">
        <v>5263</v>
      </c>
      <c r="F527" s="0" t="n">
        <v>12189</v>
      </c>
      <c r="G527" s="0" t="s">
        <v>5264</v>
      </c>
      <c r="H527" s="0" t="s">
        <v>5265</v>
      </c>
      <c r="I527" s="0" t="s">
        <v>5266</v>
      </c>
      <c r="J527" s="0" t="s">
        <v>61</v>
      </c>
      <c r="K527" s="0" t="s">
        <v>1977</v>
      </c>
      <c r="L527" s="0" t="n">
        <v>88156</v>
      </c>
      <c r="M527" s="0" t="s">
        <v>5267</v>
      </c>
      <c r="N527" s="0" t="n">
        <v>87984</v>
      </c>
      <c r="O527" s="9" t="n">
        <v>1829</v>
      </c>
      <c r="P527" s="0" t="s">
        <v>553</v>
      </c>
      <c r="Q527" s="0" t="s">
        <v>5268</v>
      </c>
      <c r="R527" s="0" t="s">
        <v>5269</v>
      </c>
      <c r="S527" s="0" t="s">
        <v>61</v>
      </c>
      <c r="T527" s="0" t="s">
        <v>5270</v>
      </c>
      <c r="U527" s="9" t="n">
        <v>0</v>
      </c>
      <c r="V527" s="0" t="n">
        <v>0</v>
      </c>
      <c r="W527" s="0" t="n">
        <v>20240630</v>
      </c>
      <c r="X527" s="0" t="n">
        <v>-0.227714970329511</v>
      </c>
      <c r="Y527" s="0" t="s">
        <v>5271</v>
      </c>
      <c r="Z527" s="0" t="s">
        <v>60</v>
      </c>
    </row>
    <row r="528" customFormat="false" ht="15" hidden="false" customHeight="false" outlineLevel="0" collapsed="false">
      <c r="A528" s="0" t="n">
        <v>525</v>
      </c>
      <c r="B528" s="9" t="n">
        <v>907185</v>
      </c>
      <c r="C528" s="0" t="n">
        <v>33418</v>
      </c>
      <c r="D528" s="0" t="n">
        <v>797623</v>
      </c>
      <c r="E528" s="0" t="s">
        <v>1708</v>
      </c>
      <c r="F528" s="0" t="n">
        <v>68495</v>
      </c>
      <c r="G528" s="0" t="s">
        <v>5272</v>
      </c>
      <c r="H528" s="0" t="s">
        <v>5273</v>
      </c>
      <c r="I528" s="0" t="s">
        <v>5274</v>
      </c>
      <c r="J528" s="0" t="s">
        <v>5275</v>
      </c>
      <c r="K528" s="0" t="s">
        <v>5276</v>
      </c>
      <c r="L528" s="0" t="n">
        <v>496078</v>
      </c>
      <c r="M528" s="0" t="s">
        <v>5277</v>
      </c>
      <c r="N528" s="0" t="n">
        <v>409365</v>
      </c>
      <c r="O528" s="9" t="n">
        <v>964</v>
      </c>
      <c r="P528" s="0" t="s">
        <v>564</v>
      </c>
      <c r="Q528" s="0" t="s">
        <v>5278</v>
      </c>
      <c r="R528" s="0" t="s">
        <v>5279</v>
      </c>
      <c r="S528" s="0" t="s">
        <v>155</v>
      </c>
      <c r="T528" s="0" t="s">
        <v>5280</v>
      </c>
      <c r="U528" s="9" t="n">
        <v>0</v>
      </c>
      <c r="V528" s="0" t="n">
        <v>14.3976303978601</v>
      </c>
      <c r="W528" s="0" t="n">
        <v>20240630</v>
      </c>
      <c r="X528" s="0" t="n">
        <v>0.374700273680357</v>
      </c>
      <c r="Y528" s="0" t="s">
        <v>4094</v>
      </c>
      <c r="Z528" s="0" t="s">
        <v>98</v>
      </c>
    </row>
    <row r="529" customFormat="false" ht="15" hidden="false" customHeight="false" outlineLevel="0" collapsed="false">
      <c r="A529" s="0" t="n">
        <v>526</v>
      </c>
      <c r="B529" s="9" t="n">
        <v>84424</v>
      </c>
      <c r="C529" s="0" t="n">
        <v>35206</v>
      </c>
      <c r="D529" s="0" t="n">
        <v>500</v>
      </c>
      <c r="E529" s="0" t="s">
        <v>61</v>
      </c>
      <c r="F529" s="0" t="n">
        <v>82008</v>
      </c>
      <c r="G529" s="0" t="s">
        <v>5281</v>
      </c>
      <c r="H529" s="0" t="s">
        <v>5282</v>
      </c>
      <c r="I529" s="0" t="s">
        <v>61</v>
      </c>
      <c r="J529" s="0" t="s">
        <v>61</v>
      </c>
      <c r="K529" s="0" t="s">
        <v>61</v>
      </c>
      <c r="L529" s="0" t="n">
        <v>0</v>
      </c>
      <c r="M529" s="0" t="s">
        <v>61</v>
      </c>
      <c r="N529" s="0" t="n">
        <v>0</v>
      </c>
      <c r="O529" s="9" t="n">
        <v>0</v>
      </c>
      <c r="P529" s="0" t="s">
        <v>1112</v>
      </c>
      <c r="Q529" s="0" t="s">
        <v>61</v>
      </c>
      <c r="R529" s="0" t="s">
        <v>5283</v>
      </c>
      <c r="S529" s="0" t="s">
        <v>61</v>
      </c>
      <c r="T529" s="0" t="s">
        <v>61</v>
      </c>
      <c r="U529" s="9" t="n">
        <v>0</v>
      </c>
      <c r="V529" s="0" t="n">
        <v>0</v>
      </c>
      <c r="W529" s="0" t="n">
        <v>20240630</v>
      </c>
      <c r="X529" s="0" t="n">
        <v>18.8338919249121</v>
      </c>
      <c r="Y529" s="0" t="s">
        <v>5284</v>
      </c>
      <c r="Z529" s="0" t="s">
        <v>158</v>
      </c>
    </row>
    <row r="530" customFormat="false" ht="15" hidden="false" customHeight="false" outlineLevel="0" collapsed="false">
      <c r="A530" s="0" t="n">
        <v>527</v>
      </c>
      <c r="B530" s="9" t="n">
        <v>5709625</v>
      </c>
      <c r="C530" s="0" t="n">
        <v>4255</v>
      </c>
      <c r="D530" s="0" t="n">
        <v>4547560</v>
      </c>
      <c r="E530" s="0" t="s">
        <v>890</v>
      </c>
      <c r="F530" s="0" t="n">
        <v>521498</v>
      </c>
      <c r="G530" s="0" t="s">
        <v>5285</v>
      </c>
      <c r="H530" s="0" t="s">
        <v>5286</v>
      </c>
      <c r="I530" s="0" t="s">
        <v>5287</v>
      </c>
      <c r="J530" s="0" t="s">
        <v>5288</v>
      </c>
      <c r="K530" s="0" t="s">
        <v>5289</v>
      </c>
      <c r="L530" s="0" t="n">
        <v>4153682</v>
      </c>
      <c r="M530" s="0" t="s">
        <v>5290</v>
      </c>
      <c r="N530" s="0" t="n">
        <v>3763309</v>
      </c>
      <c r="O530" s="9" t="n">
        <v>7795</v>
      </c>
      <c r="P530" s="0" t="s">
        <v>575</v>
      </c>
      <c r="Q530" s="0" t="s">
        <v>5291</v>
      </c>
      <c r="R530" s="0" t="s">
        <v>5292</v>
      </c>
      <c r="S530" s="0" t="s">
        <v>5293</v>
      </c>
      <c r="T530" s="0" t="s">
        <v>4987</v>
      </c>
      <c r="U530" s="9" t="n">
        <v>0</v>
      </c>
      <c r="V530" s="0" t="n">
        <v>13.8306326550339</v>
      </c>
      <c r="W530" s="0" t="n">
        <v>20240630</v>
      </c>
      <c r="X530" s="0" t="n">
        <v>0.924812905065092</v>
      </c>
      <c r="Y530" s="0" t="s">
        <v>5294</v>
      </c>
      <c r="Z530" s="0" t="s">
        <v>60</v>
      </c>
    </row>
    <row r="531" customFormat="false" ht="15" hidden="false" customHeight="false" outlineLevel="0" collapsed="false">
      <c r="A531" s="0" t="n">
        <v>528</v>
      </c>
      <c r="B531" s="9" t="n">
        <v>3049270</v>
      </c>
      <c r="C531" s="0" t="n">
        <v>4256</v>
      </c>
      <c r="D531" s="0" t="n">
        <v>2578790</v>
      </c>
      <c r="E531" s="0" t="s">
        <v>61</v>
      </c>
      <c r="F531" s="0" t="n">
        <v>215996</v>
      </c>
      <c r="G531" s="0" t="s">
        <v>5295</v>
      </c>
      <c r="H531" s="0" t="s">
        <v>5296</v>
      </c>
      <c r="I531" s="0" t="s">
        <v>5297</v>
      </c>
      <c r="J531" s="0" t="s">
        <v>5298</v>
      </c>
      <c r="K531" s="0" t="s">
        <v>5299</v>
      </c>
      <c r="L531" s="0" t="n">
        <v>2247670</v>
      </c>
      <c r="M531" s="0" t="s">
        <v>5300</v>
      </c>
      <c r="N531" s="0" t="n">
        <v>1791622</v>
      </c>
      <c r="O531" s="9" t="n">
        <v>2564</v>
      </c>
      <c r="P531" s="0" t="s">
        <v>587</v>
      </c>
      <c r="Q531" s="0" t="s">
        <v>5301</v>
      </c>
      <c r="R531" s="0" t="s">
        <v>5302</v>
      </c>
      <c r="S531" s="0" t="s">
        <v>4435</v>
      </c>
      <c r="T531" s="0" t="s">
        <v>5303</v>
      </c>
      <c r="U531" s="9" t="n">
        <v>87</v>
      </c>
      <c r="V531" s="0" t="n">
        <v>13.1885325111592</v>
      </c>
      <c r="W531" s="0" t="n">
        <v>20240630</v>
      </c>
      <c r="X531" s="0" t="n">
        <v>0.857312303576122</v>
      </c>
      <c r="Y531" s="0" t="s">
        <v>5304</v>
      </c>
      <c r="Z531" s="0" t="s">
        <v>60</v>
      </c>
    </row>
    <row r="532" customFormat="false" ht="15" hidden="false" customHeight="false" outlineLevel="0" collapsed="false">
      <c r="A532" s="0" t="n">
        <v>529</v>
      </c>
      <c r="B532" s="9" t="n">
        <v>706680</v>
      </c>
      <c r="C532" s="0" t="n">
        <v>59086</v>
      </c>
      <c r="D532" s="0" t="n">
        <v>602024</v>
      </c>
      <c r="E532" s="0" t="s">
        <v>1436</v>
      </c>
      <c r="F532" s="0" t="n">
        <v>93282</v>
      </c>
      <c r="G532" s="0" t="s">
        <v>5305</v>
      </c>
      <c r="H532" s="0" t="s">
        <v>5306</v>
      </c>
      <c r="I532" s="0" t="s">
        <v>5307</v>
      </c>
      <c r="J532" s="0" t="s">
        <v>5308</v>
      </c>
      <c r="K532" s="0" t="s">
        <v>61</v>
      </c>
      <c r="L532" s="0" t="n">
        <v>594567</v>
      </c>
      <c r="M532" s="0" t="s">
        <v>5309</v>
      </c>
      <c r="N532" s="0" t="n">
        <v>475386</v>
      </c>
      <c r="O532" s="9" t="n">
        <v>4045</v>
      </c>
      <c r="P532" s="0" t="s">
        <v>599</v>
      </c>
      <c r="Q532" s="0" t="s">
        <v>5310</v>
      </c>
      <c r="R532" s="0" t="s">
        <v>5311</v>
      </c>
      <c r="S532" s="0" t="s">
        <v>4350</v>
      </c>
      <c r="T532" s="0" t="s">
        <v>5312</v>
      </c>
      <c r="U532" s="9" t="n">
        <v>0</v>
      </c>
      <c r="V532" s="0" t="n">
        <v>15.7258590273076</v>
      </c>
      <c r="W532" s="0" t="n">
        <v>20240630</v>
      </c>
      <c r="X532" s="0" t="n">
        <v>1.41567060766831</v>
      </c>
      <c r="Y532" s="0" t="s">
        <v>2803</v>
      </c>
      <c r="Z532" s="0" t="s">
        <v>158</v>
      </c>
    </row>
    <row r="533" customFormat="false" ht="15" hidden="false" customHeight="false" outlineLevel="0" collapsed="false">
      <c r="A533" s="0" t="n">
        <v>530</v>
      </c>
      <c r="B533" s="9" t="n">
        <v>229589</v>
      </c>
      <c r="C533" s="0" t="n">
        <v>59176</v>
      </c>
      <c r="D533" s="0" t="n">
        <v>190049</v>
      </c>
      <c r="E533" s="0" t="s">
        <v>1187</v>
      </c>
      <c r="F533" s="0" t="n">
        <v>26811</v>
      </c>
      <c r="G533" s="0" t="s">
        <v>5313</v>
      </c>
      <c r="H533" s="0" t="s">
        <v>5314</v>
      </c>
      <c r="I533" s="0" t="s">
        <v>5315</v>
      </c>
      <c r="J533" s="0" t="s">
        <v>5316</v>
      </c>
      <c r="K533" s="0" t="s">
        <v>256</v>
      </c>
      <c r="L533" s="0" t="n">
        <v>167384</v>
      </c>
      <c r="M533" s="0" t="s">
        <v>5317</v>
      </c>
      <c r="N533" s="0" t="n">
        <v>145359</v>
      </c>
      <c r="O533" s="9" t="n">
        <v>0</v>
      </c>
      <c r="P533" s="0" t="s">
        <v>610</v>
      </c>
      <c r="Q533" s="0" t="s">
        <v>61</v>
      </c>
      <c r="R533" s="0" t="s">
        <v>5318</v>
      </c>
      <c r="S533" s="0" t="s">
        <v>4540</v>
      </c>
      <c r="T533" s="0" t="s">
        <v>5319</v>
      </c>
      <c r="U533" s="9" t="n">
        <v>0</v>
      </c>
      <c r="V533" s="0" t="n">
        <v>0</v>
      </c>
      <c r="W533" s="0" t="n">
        <v>20240630</v>
      </c>
      <c r="X533" s="0" t="n">
        <v>-0.0574175999443223</v>
      </c>
      <c r="Y533" s="0" t="s">
        <v>5320</v>
      </c>
      <c r="Z533" s="0" t="s">
        <v>158</v>
      </c>
    </row>
    <row r="534" customFormat="false" ht="15" hidden="false" customHeight="false" outlineLevel="0" collapsed="false">
      <c r="A534" s="0" t="n">
        <v>531</v>
      </c>
      <c r="B534" s="9" t="n">
        <v>105919</v>
      </c>
      <c r="C534" s="0" t="n">
        <v>59289</v>
      </c>
      <c r="D534" s="0" t="n">
        <v>86145</v>
      </c>
      <c r="E534" s="0" t="s">
        <v>3635</v>
      </c>
      <c r="F534" s="0" t="n">
        <v>18695</v>
      </c>
      <c r="G534" s="0" t="s">
        <v>5321</v>
      </c>
      <c r="H534" s="0" t="s">
        <v>5322</v>
      </c>
      <c r="I534" s="0" t="s">
        <v>5323</v>
      </c>
      <c r="J534" s="0" t="s">
        <v>5324</v>
      </c>
      <c r="K534" s="0" t="s">
        <v>61</v>
      </c>
      <c r="L534" s="0" t="n">
        <v>51371</v>
      </c>
      <c r="M534" s="0" t="s">
        <v>5325</v>
      </c>
      <c r="N534" s="0" t="n">
        <v>20661</v>
      </c>
      <c r="O534" s="9" t="n">
        <v>326</v>
      </c>
      <c r="P534" s="0" t="s">
        <v>2223</v>
      </c>
      <c r="Q534" s="0" t="s">
        <v>5326</v>
      </c>
      <c r="R534" s="0" t="s">
        <v>5327</v>
      </c>
      <c r="S534" s="0" t="s">
        <v>61</v>
      </c>
      <c r="T534" s="0" t="s">
        <v>5328</v>
      </c>
      <c r="U534" s="9" t="n">
        <v>0</v>
      </c>
      <c r="V534" s="0" t="n">
        <v>0</v>
      </c>
      <c r="W534" s="0" t="n">
        <v>20240630</v>
      </c>
      <c r="X534" s="0" t="n">
        <v>-1.13039059096849</v>
      </c>
      <c r="Y534" s="0" t="s">
        <v>5329</v>
      </c>
      <c r="Z534" s="0" t="s">
        <v>158</v>
      </c>
    </row>
    <row r="535" customFormat="false" ht="15" hidden="false" customHeight="false" outlineLevel="0" collapsed="false">
      <c r="A535" s="0" t="n">
        <v>532</v>
      </c>
      <c r="B535" s="9" t="n">
        <v>218470</v>
      </c>
      <c r="C535" s="0" t="n">
        <v>59298</v>
      </c>
      <c r="D535" s="0" t="n">
        <v>191471</v>
      </c>
      <c r="E535" s="0" t="s">
        <v>5330</v>
      </c>
      <c r="F535" s="0" t="n">
        <v>25754</v>
      </c>
      <c r="G535" s="0" t="s">
        <v>5331</v>
      </c>
      <c r="H535" s="0" t="s">
        <v>5332</v>
      </c>
      <c r="I535" s="0" t="s">
        <v>5333</v>
      </c>
      <c r="J535" s="0" t="s">
        <v>5334</v>
      </c>
      <c r="K535" s="0" t="s">
        <v>61</v>
      </c>
      <c r="L535" s="0" t="n">
        <v>98920</v>
      </c>
      <c r="M535" s="0" t="s">
        <v>5335</v>
      </c>
      <c r="N535" s="0" t="n">
        <v>79488</v>
      </c>
      <c r="O535" s="9" t="n">
        <v>0</v>
      </c>
      <c r="P535" s="0" t="s">
        <v>1684</v>
      </c>
      <c r="Q535" s="0" t="s">
        <v>61</v>
      </c>
      <c r="R535" s="0" t="s">
        <v>5336</v>
      </c>
      <c r="S535" s="0" t="s">
        <v>61</v>
      </c>
      <c r="T535" s="0" t="s">
        <v>61</v>
      </c>
      <c r="U535" s="9" t="n">
        <v>0</v>
      </c>
      <c r="V535" s="0" t="n">
        <v>0</v>
      </c>
      <c r="W535" s="0" t="n">
        <v>20240630</v>
      </c>
      <c r="X535" s="0" t="n">
        <v>-1.24942004259719</v>
      </c>
      <c r="Y535" s="0" t="s">
        <v>5337</v>
      </c>
      <c r="Z535" s="0" t="s">
        <v>98</v>
      </c>
    </row>
    <row r="536" customFormat="false" ht="15" hidden="false" customHeight="false" outlineLevel="0" collapsed="false">
      <c r="A536" s="0" t="n">
        <v>533</v>
      </c>
      <c r="B536" s="9" t="n">
        <v>1099892</v>
      </c>
      <c r="C536" s="0" t="n">
        <v>6271</v>
      </c>
      <c r="D536" s="0" t="n">
        <v>850097</v>
      </c>
      <c r="E536" s="0" t="s">
        <v>1393</v>
      </c>
      <c r="F536" s="0" t="n">
        <v>103229</v>
      </c>
      <c r="G536" s="0" t="s">
        <v>5338</v>
      </c>
      <c r="H536" s="0" t="s">
        <v>5339</v>
      </c>
      <c r="I536" s="0" t="s">
        <v>5340</v>
      </c>
      <c r="J536" s="0" t="s">
        <v>5341</v>
      </c>
      <c r="K536" s="0" t="s">
        <v>5342</v>
      </c>
      <c r="L536" s="0" t="n">
        <v>862977</v>
      </c>
      <c r="M536" s="0" t="s">
        <v>5343</v>
      </c>
      <c r="N536" s="0" t="n">
        <v>686602</v>
      </c>
      <c r="O536" s="9" t="n">
        <v>5816</v>
      </c>
      <c r="P536" s="0" t="s">
        <v>621</v>
      </c>
      <c r="Q536" s="0" t="s">
        <v>5344</v>
      </c>
      <c r="R536" s="0" t="s">
        <v>5345</v>
      </c>
      <c r="S536" s="0" t="s">
        <v>1525</v>
      </c>
      <c r="T536" s="0" t="s">
        <v>5346</v>
      </c>
      <c r="U536" s="9" t="n">
        <v>670</v>
      </c>
      <c r="V536" s="0" t="n">
        <v>14.8842709917216</v>
      </c>
      <c r="W536" s="0" t="n">
        <v>20240630</v>
      </c>
      <c r="X536" s="0" t="n">
        <v>1.11624647825961</v>
      </c>
      <c r="Y536" s="0" t="s">
        <v>5347</v>
      </c>
      <c r="Z536" s="0" t="s">
        <v>98</v>
      </c>
    </row>
    <row r="537" customFormat="false" ht="15" hidden="false" customHeight="false" outlineLevel="0" collapsed="false">
      <c r="A537" s="0" t="n">
        <v>534</v>
      </c>
      <c r="B537" s="9" t="n">
        <v>555322</v>
      </c>
      <c r="C537" s="0" t="n">
        <v>6275</v>
      </c>
      <c r="D537" s="0" t="n">
        <v>475950</v>
      </c>
      <c r="E537" s="0" t="s">
        <v>195</v>
      </c>
      <c r="F537" s="0" t="n">
        <v>30528</v>
      </c>
      <c r="G537" s="0" t="s">
        <v>5348</v>
      </c>
      <c r="H537" s="0" t="s">
        <v>5349</v>
      </c>
      <c r="I537" s="0" t="s">
        <v>5350</v>
      </c>
      <c r="J537" s="0" t="s">
        <v>5351</v>
      </c>
      <c r="K537" s="0" t="s">
        <v>5352</v>
      </c>
      <c r="L537" s="0" t="n">
        <v>346288</v>
      </c>
      <c r="M537" s="0" t="s">
        <v>5353</v>
      </c>
      <c r="N537" s="0" t="n">
        <v>286833</v>
      </c>
      <c r="O537" s="9" t="n">
        <v>1132</v>
      </c>
      <c r="P537" s="0" t="s">
        <v>633</v>
      </c>
      <c r="Q537" s="0" t="s">
        <v>5354</v>
      </c>
      <c r="R537" s="0" t="s">
        <v>5355</v>
      </c>
      <c r="S537" s="0" t="s">
        <v>1079</v>
      </c>
      <c r="T537" s="0" t="s">
        <v>5356</v>
      </c>
      <c r="U537" s="9" t="n">
        <v>0</v>
      </c>
      <c r="V537" s="0" t="n">
        <v>14.8227959202203</v>
      </c>
      <c r="W537" s="0" t="n">
        <v>20240630</v>
      </c>
      <c r="X537" s="0" t="n">
        <v>0.484528661086993</v>
      </c>
      <c r="Y537" s="0" t="s">
        <v>1176</v>
      </c>
      <c r="Z537" s="0" t="s">
        <v>98</v>
      </c>
    </row>
    <row r="538" customFormat="false" ht="15" hidden="false" customHeight="false" outlineLevel="0" collapsed="false">
      <c r="A538" s="0" t="n">
        <v>535</v>
      </c>
      <c r="B538" s="9" t="n">
        <v>81265</v>
      </c>
      <c r="C538" s="0" t="n">
        <v>6280</v>
      </c>
      <c r="D538" s="0" t="n">
        <v>71124</v>
      </c>
      <c r="E538" s="0" t="s">
        <v>390</v>
      </c>
      <c r="F538" s="0" t="n">
        <v>9570</v>
      </c>
      <c r="G538" s="0" t="s">
        <v>5357</v>
      </c>
      <c r="H538" s="0" t="s">
        <v>5358</v>
      </c>
      <c r="I538" s="0" t="s">
        <v>5359</v>
      </c>
      <c r="J538" s="0" t="s">
        <v>5360</v>
      </c>
      <c r="K538" s="0" t="s">
        <v>5361</v>
      </c>
      <c r="L538" s="0" t="n">
        <v>68641</v>
      </c>
      <c r="M538" s="0" t="s">
        <v>5362</v>
      </c>
      <c r="N538" s="0" t="n">
        <v>59949</v>
      </c>
      <c r="O538" s="9" t="n">
        <v>1206</v>
      </c>
      <c r="P538" s="0" t="s">
        <v>644</v>
      </c>
      <c r="Q538" s="0" t="s">
        <v>5363</v>
      </c>
      <c r="R538" s="0" t="s">
        <v>5364</v>
      </c>
      <c r="S538" s="0" t="s">
        <v>256</v>
      </c>
      <c r="T538" s="0" t="s">
        <v>5365</v>
      </c>
      <c r="U538" s="9" t="n">
        <v>0</v>
      </c>
      <c r="V538" s="0" t="n">
        <v>0</v>
      </c>
      <c r="W538" s="0" t="n">
        <v>20240630</v>
      </c>
      <c r="X538" s="0" t="n">
        <v>1.4362928525532</v>
      </c>
      <c r="Y538" s="0" t="s">
        <v>5366</v>
      </c>
      <c r="Z538" s="0" t="s">
        <v>98</v>
      </c>
    </row>
    <row r="539" customFormat="false" ht="15" hidden="false" customHeight="false" outlineLevel="0" collapsed="false">
      <c r="A539" s="0" t="n">
        <v>536</v>
      </c>
      <c r="B539" s="9" t="n">
        <v>4025992</v>
      </c>
      <c r="C539" s="0" t="n">
        <v>11971</v>
      </c>
      <c r="D539" s="0" t="n">
        <v>3269616</v>
      </c>
      <c r="E539" s="0" t="s">
        <v>208</v>
      </c>
      <c r="F539" s="0" t="n">
        <v>513464</v>
      </c>
      <c r="G539" s="0" t="s">
        <v>5367</v>
      </c>
      <c r="H539" s="0" t="s">
        <v>5368</v>
      </c>
      <c r="I539" s="0" t="s">
        <v>5369</v>
      </c>
      <c r="J539" s="0" t="s">
        <v>5370</v>
      </c>
      <c r="K539" s="0" t="s">
        <v>52</v>
      </c>
      <c r="L539" s="0" t="n">
        <v>3083007</v>
      </c>
      <c r="M539" s="0" t="s">
        <v>5371</v>
      </c>
      <c r="N539" s="0" t="n">
        <v>2726474</v>
      </c>
      <c r="O539" s="9" t="n">
        <v>7100</v>
      </c>
      <c r="P539" s="0" t="s">
        <v>54</v>
      </c>
      <c r="Q539" s="0" t="s">
        <v>5372</v>
      </c>
      <c r="R539" s="0" t="s">
        <v>5373</v>
      </c>
      <c r="S539" s="0" t="s">
        <v>5374</v>
      </c>
      <c r="T539" s="0" t="s">
        <v>5375</v>
      </c>
      <c r="U539" s="9" t="n">
        <v>0</v>
      </c>
      <c r="V539" s="0" t="n">
        <v>14.1709737676617</v>
      </c>
      <c r="W539" s="0" t="n">
        <v>20240930</v>
      </c>
      <c r="X539" s="0" t="n">
        <v>1.25603124970666</v>
      </c>
      <c r="Y539" s="0" t="s">
        <v>5376</v>
      </c>
      <c r="Z539" s="0" t="s">
        <v>60</v>
      </c>
    </row>
    <row r="540" customFormat="false" ht="15" hidden="false" customHeight="false" outlineLevel="0" collapsed="false">
      <c r="A540" s="0" t="n">
        <v>537</v>
      </c>
      <c r="B540" s="9" t="n">
        <v>1048081</v>
      </c>
      <c r="C540" s="0" t="n">
        <v>12874</v>
      </c>
      <c r="D540" s="0" t="n">
        <v>886959</v>
      </c>
      <c r="E540" s="0" t="s">
        <v>794</v>
      </c>
      <c r="F540" s="0" t="n">
        <v>113573</v>
      </c>
      <c r="G540" s="0" t="s">
        <v>5377</v>
      </c>
      <c r="H540" s="0" t="s">
        <v>5378</v>
      </c>
      <c r="I540" s="0" t="s">
        <v>5379</v>
      </c>
      <c r="J540" s="0" t="s">
        <v>5380</v>
      </c>
      <c r="K540" s="0" t="s">
        <v>5381</v>
      </c>
      <c r="L540" s="0" t="n">
        <v>818183</v>
      </c>
      <c r="M540" s="0" t="s">
        <v>5382</v>
      </c>
      <c r="N540" s="0" t="n">
        <v>635002</v>
      </c>
      <c r="O540" s="9" t="n">
        <v>1535</v>
      </c>
      <c r="P540" s="0" t="s">
        <v>68</v>
      </c>
      <c r="Q540" s="0" t="s">
        <v>5383</v>
      </c>
      <c r="R540" s="0" t="s">
        <v>5384</v>
      </c>
      <c r="S540" s="0" t="s">
        <v>988</v>
      </c>
      <c r="T540" s="0" t="s">
        <v>5385</v>
      </c>
      <c r="U540" s="9" t="n">
        <v>27</v>
      </c>
      <c r="V540" s="0" t="n">
        <v>16.2659086030794</v>
      </c>
      <c r="W540" s="0" t="n">
        <v>20240930</v>
      </c>
      <c r="X540" s="0" t="n">
        <v>0.901173084941212</v>
      </c>
      <c r="Y540" s="0" t="s">
        <v>1424</v>
      </c>
      <c r="Z540" s="0" t="s">
        <v>60</v>
      </c>
    </row>
    <row r="541" customFormat="false" ht="15" hidden="false" customHeight="false" outlineLevel="0" collapsed="false">
      <c r="A541" s="0" t="n">
        <v>538</v>
      </c>
      <c r="B541" s="9" t="n">
        <v>1856523</v>
      </c>
      <c r="C541" s="0" t="n">
        <v>13063</v>
      </c>
      <c r="D541" s="0" t="n">
        <v>1649721</v>
      </c>
      <c r="E541" s="0" t="s">
        <v>61</v>
      </c>
      <c r="F541" s="0" t="n">
        <v>158562</v>
      </c>
      <c r="G541" s="0" t="s">
        <v>5386</v>
      </c>
      <c r="H541" s="0" t="s">
        <v>5387</v>
      </c>
      <c r="I541" s="0" t="s">
        <v>5388</v>
      </c>
      <c r="J541" s="0" t="s">
        <v>5389</v>
      </c>
      <c r="K541" s="0" t="s">
        <v>5390</v>
      </c>
      <c r="L541" s="0" t="n">
        <v>1476973</v>
      </c>
      <c r="M541" s="0" t="s">
        <v>5391</v>
      </c>
      <c r="N541" s="0" t="n">
        <v>1407554</v>
      </c>
      <c r="O541" s="9" t="n">
        <v>503</v>
      </c>
      <c r="P541" s="0" t="s">
        <v>80</v>
      </c>
      <c r="Q541" s="0" t="s">
        <v>5392</v>
      </c>
      <c r="R541" s="0" t="s">
        <v>5393</v>
      </c>
      <c r="S541" s="0" t="s">
        <v>5394</v>
      </c>
      <c r="T541" s="0" t="s">
        <v>4893</v>
      </c>
      <c r="U541" s="9" t="n">
        <v>0</v>
      </c>
      <c r="V541" s="0" t="n">
        <v>0</v>
      </c>
      <c r="W541" s="0" t="n">
        <v>20240930</v>
      </c>
      <c r="X541" s="0" t="n">
        <v>0.459638695982449</v>
      </c>
      <c r="Y541" s="0" t="s">
        <v>5395</v>
      </c>
      <c r="Z541" s="0" t="s">
        <v>60</v>
      </c>
    </row>
    <row r="542" customFormat="false" ht="15" hidden="false" customHeight="false" outlineLevel="0" collapsed="false">
      <c r="A542" s="0" t="n">
        <v>539</v>
      </c>
      <c r="B542" s="9" t="n">
        <v>881237</v>
      </c>
      <c r="C542" s="0" t="n">
        <v>14134</v>
      </c>
      <c r="D542" s="0" t="n">
        <v>697247</v>
      </c>
      <c r="E542" s="0" t="s">
        <v>1187</v>
      </c>
      <c r="F542" s="0" t="n">
        <v>113479</v>
      </c>
      <c r="G542" s="0" t="s">
        <v>5396</v>
      </c>
      <c r="H542" s="0" t="s">
        <v>5397</v>
      </c>
      <c r="I542" s="0" t="s">
        <v>5398</v>
      </c>
      <c r="J542" s="0" t="s">
        <v>5399</v>
      </c>
      <c r="K542" s="0" t="s">
        <v>5400</v>
      </c>
      <c r="L542" s="0" t="n">
        <v>626162</v>
      </c>
      <c r="M542" s="0" t="s">
        <v>5401</v>
      </c>
      <c r="N542" s="0" t="n">
        <v>553522</v>
      </c>
      <c r="O542" s="9" t="n">
        <v>8606</v>
      </c>
      <c r="P542" s="0" t="s">
        <v>92</v>
      </c>
      <c r="Q542" s="0" t="s">
        <v>5402</v>
      </c>
      <c r="R542" s="0" t="s">
        <v>5403</v>
      </c>
      <c r="S542" s="0" t="s">
        <v>5404</v>
      </c>
      <c r="T542" s="0" t="s">
        <v>5405</v>
      </c>
      <c r="U542" s="9" t="n">
        <v>0</v>
      </c>
      <c r="V542" s="0" t="n">
        <v>19.944591622946</v>
      </c>
      <c r="W542" s="0" t="n">
        <v>20240930</v>
      </c>
      <c r="X542" s="0" t="n">
        <v>0.952621592945186</v>
      </c>
      <c r="Y542" s="0" t="s">
        <v>5406</v>
      </c>
      <c r="Z542" s="0" t="s">
        <v>98</v>
      </c>
    </row>
    <row r="543" customFormat="false" ht="15" hidden="false" customHeight="false" outlineLevel="0" collapsed="false">
      <c r="A543" s="0" t="n">
        <v>540</v>
      </c>
      <c r="B543" s="9" t="n">
        <v>238286</v>
      </c>
      <c r="C543" s="0" t="n">
        <v>14136</v>
      </c>
      <c r="D543" s="0" t="n">
        <v>200050</v>
      </c>
      <c r="E543" s="0" t="s">
        <v>890</v>
      </c>
      <c r="F543" s="0" t="n">
        <v>19934</v>
      </c>
      <c r="G543" s="0" t="s">
        <v>5407</v>
      </c>
      <c r="H543" s="0" t="s">
        <v>5408</v>
      </c>
      <c r="I543" s="0" t="s">
        <v>5409</v>
      </c>
      <c r="J543" s="0" t="s">
        <v>2828</v>
      </c>
      <c r="K543" s="0" t="s">
        <v>5410</v>
      </c>
      <c r="L543" s="0" t="n">
        <v>158640</v>
      </c>
      <c r="M543" s="0" t="s">
        <v>5411</v>
      </c>
      <c r="N543" s="0" t="n">
        <v>128174</v>
      </c>
      <c r="O543" s="9" t="n">
        <v>517</v>
      </c>
      <c r="P543" s="0" t="s">
        <v>105</v>
      </c>
      <c r="Q543" s="0" t="s">
        <v>5412</v>
      </c>
      <c r="R543" s="0" t="s">
        <v>5413</v>
      </c>
      <c r="S543" s="0" t="s">
        <v>5414</v>
      </c>
      <c r="T543" s="0" t="s">
        <v>803</v>
      </c>
      <c r="U543" s="9" t="n">
        <v>633</v>
      </c>
      <c r="V543" s="0" t="n">
        <v>18.0331440644395</v>
      </c>
      <c r="W543" s="0" t="n">
        <v>20240930</v>
      </c>
      <c r="X543" s="0" t="n">
        <v>0.549679011145021</v>
      </c>
      <c r="Y543" s="0" t="s">
        <v>5415</v>
      </c>
      <c r="Z543" s="0" t="s">
        <v>98</v>
      </c>
    </row>
    <row r="544" customFormat="false" ht="15" hidden="false" customHeight="false" outlineLevel="0" collapsed="false">
      <c r="A544" s="0" t="n">
        <v>541</v>
      </c>
      <c r="B544" s="9" t="n">
        <v>1527182</v>
      </c>
      <c r="C544" s="0" t="n">
        <v>14140</v>
      </c>
      <c r="D544" s="0" t="n">
        <v>1238363</v>
      </c>
      <c r="E544" s="0" t="s">
        <v>1281</v>
      </c>
      <c r="F544" s="0" t="n">
        <v>137226</v>
      </c>
      <c r="G544" s="0" t="s">
        <v>5416</v>
      </c>
      <c r="H544" s="0" t="s">
        <v>5417</v>
      </c>
      <c r="I544" s="0" t="s">
        <v>5418</v>
      </c>
      <c r="J544" s="0" t="s">
        <v>5419</v>
      </c>
      <c r="K544" s="0" t="s">
        <v>132</v>
      </c>
      <c r="L544" s="0" t="n">
        <v>1092353</v>
      </c>
      <c r="M544" s="0" t="s">
        <v>5420</v>
      </c>
      <c r="N544" s="0" t="n">
        <v>974171</v>
      </c>
      <c r="O544" s="9" t="n">
        <v>2124</v>
      </c>
      <c r="P544" s="0" t="s">
        <v>117</v>
      </c>
      <c r="Q544" s="0" t="s">
        <v>5421</v>
      </c>
      <c r="R544" s="0" t="s">
        <v>5422</v>
      </c>
      <c r="S544" s="0" t="s">
        <v>3244</v>
      </c>
      <c r="T544" s="0" t="s">
        <v>2688</v>
      </c>
      <c r="U544" s="9" t="n">
        <v>0</v>
      </c>
      <c r="V544" s="0" t="n">
        <v>0</v>
      </c>
      <c r="W544" s="0" t="n">
        <v>20240930</v>
      </c>
      <c r="X544" s="0" t="n">
        <v>0.289026150270389</v>
      </c>
      <c r="Y544" s="0" t="s">
        <v>5423</v>
      </c>
      <c r="Z544" s="0" t="s">
        <v>98</v>
      </c>
    </row>
    <row r="545" customFormat="false" ht="15" hidden="false" customHeight="false" outlineLevel="0" collapsed="false">
      <c r="A545" s="0" t="n">
        <v>542</v>
      </c>
      <c r="B545" s="9" t="n">
        <v>1518788</v>
      </c>
      <c r="C545" s="0" t="n">
        <v>14158</v>
      </c>
      <c r="D545" s="0" t="n">
        <v>1176600</v>
      </c>
      <c r="E545" s="0" t="s">
        <v>246</v>
      </c>
      <c r="F545" s="0" t="n">
        <v>88128</v>
      </c>
      <c r="G545" s="0" t="s">
        <v>5424</v>
      </c>
      <c r="H545" s="0" t="s">
        <v>5425</v>
      </c>
      <c r="I545" s="0" t="s">
        <v>5426</v>
      </c>
      <c r="J545" s="0" t="s">
        <v>5427</v>
      </c>
      <c r="K545" s="0" t="s">
        <v>5428</v>
      </c>
      <c r="L545" s="0" t="n">
        <v>1127929</v>
      </c>
      <c r="M545" s="0" t="s">
        <v>5429</v>
      </c>
      <c r="N545" s="0" t="n">
        <v>979666</v>
      </c>
      <c r="O545" s="9" t="n">
        <v>1709</v>
      </c>
      <c r="P545" s="0" t="s">
        <v>129</v>
      </c>
      <c r="Q545" s="0" t="s">
        <v>5430</v>
      </c>
      <c r="R545" s="0" t="s">
        <v>5431</v>
      </c>
      <c r="S545" s="0" t="s">
        <v>2678</v>
      </c>
      <c r="T545" s="0" t="s">
        <v>2262</v>
      </c>
      <c r="U545" s="9" t="n">
        <v>255</v>
      </c>
      <c r="V545" s="0" t="n">
        <v>12.7326927079282</v>
      </c>
      <c r="W545" s="0" t="n">
        <v>20240930</v>
      </c>
      <c r="X545" s="0" t="n">
        <v>0.591958039788572</v>
      </c>
      <c r="Y545" s="0" t="s">
        <v>5432</v>
      </c>
      <c r="Z545" s="0" t="s">
        <v>98</v>
      </c>
    </row>
    <row r="546" customFormat="false" ht="15" hidden="false" customHeight="false" outlineLevel="0" collapsed="false">
      <c r="A546" s="0" t="n">
        <v>543</v>
      </c>
      <c r="B546" s="9" t="n">
        <v>371732</v>
      </c>
      <c r="C546" s="0" t="n">
        <v>14168</v>
      </c>
      <c r="D546" s="0" t="n">
        <v>328030</v>
      </c>
      <c r="E546" s="0" t="s">
        <v>246</v>
      </c>
      <c r="F546" s="0" t="n">
        <v>38425</v>
      </c>
      <c r="G546" s="0" t="s">
        <v>5433</v>
      </c>
      <c r="H546" s="0" t="s">
        <v>5434</v>
      </c>
      <c r="I546" s="0" t="s">
        <v>5435</v>
      </c>
      <c r="J546" s="0" t="s">
        <v>5436</v>
      </c>
      <c r="K546" s="0" t="s">
        <v>5437</v>
      </c>
      <c r="L546" s="0" t="n">
        <v>268497</v>
      </c>
      <c r="M546" s="0" t="s">
        <v>5438</v>
      </c>
      <c r="N546" s="0" t="n">
        <v>228801</v>
      </c>
      <c r="O546" s="9" t="n">
        <v>865</v>
      </c>
      <c r="P546" s="0" t="s">
        <v>140</v>
      </c>
      <c r="Q546" s="0" t="s">
        <v>5439</v>
      </c>
      <c r="R546" s="0" t="s">
        <v>5440</v>
      </c>
      <c r="S546" s="0" t="s">
        <v>3244</v>
      </c>
      <c r="T546" s="0" t="s">
        <v>5441</v>
      </c>
      <c r="U546" s="9" t="n">
        <v>2</v>
      </c>
      <c r="V546" s="0" t="n">
        <v>16.4355401593798</v>
      </c>
      <c r="W546" s="0" t="n">
        <v>20240930</v>
      </c>
      <c r="X546" s="0" t="n">
        <v>1.07473840142319</v>
      </c>
      <c r="Y546" s="0" t="s">
        <v>1740</v>
      </c>
      <c r="Z546" s="0" t="s">
        <v>98</v>
      </c>
    </row>
    <row r="547" customFormat="false" ht="15" hidden="false" customHeight="false" outlineLevel="0" collapsed="false">
      <c r="A547" s="0" t="n">
        <v>544</v>
      </c>
      <c r="B547" s="9" t="n">
        <v>1215556</v>
      </c>
      <c r="C547" s="0" t="n">
        <v>14240</v>
      </c>
      <c r="D547" s="0" t="n">
        <v>1013911</v>
      </c>
      <c r="E547" s="0" t="s">
        <v>61</v>
      </c>
      <c r="F547" s="0" t="n">
        <v>96896</v>
      </c>
      <c r="G547" s="0" t="s">
        <v>5442</v>
      </c>
      <c r="H547" s="0" t="s">
        <v>5443</v>
      </c>
      <c r="I547" s="0" t="s">
        <v>5444</v>
      </c>
      <c r="J547" s="0" t="s">
        <v>5445</v>
      </c>
      <c r="K547" s="0" t="s">
        <v>5446</v>
      </c>
      <c r="L547" s="0" t="n">
        <v>912838</v>
      </c>
      <c r="M547" s="0" t="s">
        <v>5447</v>
      </c>
      <c r="N547" s="0" t="n">
        <v>772079</v>
      </c>
      <c r="O547" s="9" t="n">
        <v>3698</v>
      </c>
      <c r="P547" s="0" t="s">
        <v>152</v>
      </c>
      <c r="Q547" s="0" t="s">
        <v>5448</v>
      </c>
      <c r="R547" s="0" t="s">
        <v>5449</v>
      </c>
      <c r="S547" s="0" t="s">
        <v>5450</v>
      </c>
      <c r="T547" s="0" t="s">
        <v>5451</v>
      </c>
      <c r="U547" s="9" t="n">
        <v>0</v>
      </c>
      <c r="V547" s="0" t="n">
        <v>16.518911598904</v>
      </c>
      <c r="W547" s="0" t="n">
        <v>20240930</v>
      </c>
      <c r="X547" s="0" t="n">
        <v>0.459382516970762</v>
      </c>
      <c r="Y547" s="0" t="s">
        <v>2505</v>
      </c>
      <c r="Z547" s="0" t="s">
        <v>158</v>
      </c>
    </row>
    <row r="548" customFormat="false" ht="15" hidden="false" customHeight="false" outlineLevel="0" collapsed="false">
      <c r="A548" s="0" t="n">
        <v>545</v>
      </c>
      <c r="B548" s="9" t="n">
        <v>1064825</v>
      </c>
      <c r="C548" s="0" t="n">
        <v>17115</v>
      </c>
      <c r="D548" s="0" t="n">
        <v>811295</v>
      </c>
      <c r="E548" s="0" t="s">
        <v>390</v>
      </c>
      <c r="F548" s="0" t="n">
        <v>93281</v>
      </c>
      <c r="G548" s="0" t="s">
        <v>5452</v>
      </c>
      <c r="H548" s="0" t="s">
        <v>5453</v>
      </c>
      <c r="I548" s="0" t="s">
        <v>5454</v>
      </c>
      <c r="J548" s="0" t="s">
        <v>5455</v>
      </c>
      <c r="K548" s="0" t="s">
        <v>5456</v>
      </c>
      <c r="L548" s="0" t="n">
        <v>883708</v>
      </c>
      <c r="M548" s="0" t="s">
        <v>5457</v>
      </c>
      <c r="N548" s="0" t="n">
        <v>834346</v>
      </c>
      <c r="O548" s="9" t="n">
        <v>2417</v>
      </c>
      <c r="P548" s="0" t="s">
        <v>166</v>
      </c>
      <c r="Q548" s="0" t="s">
        <v>5458</v>
      </c>
      <c r="R548" s="0" t="s">
        <v>5459</v>
      </c>
      <c r="S548" s="0" t="s">
        <v>3005</v>
      </c>
      <c r="T548" s="0" t="s">
        <v>5460</v>
      </c>
      <c r="U548" s="9" t="n">
        <v>0</v>
      </c>
      <c r="V548" s="0" t="n">
        <v>14.1631497814056</v>
      </c>
      <c r="W548" s="0" t="n">
        <v>20240930</v>
      </c>
      <c r="X548" s="0" t="n">
        <v>0.320784489973106</v>
      </c>
      <c r="Y548" s="0" t="s">
        <v>5461</v>
      </c>
      <c r="Z548" s="0" t="s">
        <v>60</v>
      </c>
    </row>
    <row r="549" customFormat="false" ht="15" hidden="false" customHeight="false" outlineLevel="0" collapsed="false">
      <c r="A549" s="0" t="n">
        <v>546</v>
      </c>
      <c r="B549" s="9" t="n">
        <v>1621350</v>
      </c>
      <c r="C549" s="0" t="n">
        <v>17180</v>
      </c>
      <c r="D549" s="0" t="n">
        <v>1203070</v>
      </c>
      <c r="E549" s="0" t="s">
        <v>47</v>
      </c>
      <c r="F549" s="0" t="n">
        <v>143061</v>
      </c>
      <c r="G549" s="0" t="s">
        <v>5462</v>
      </c>
      <c r="H549" s="0" t="s">
        <v>5463</v>
      </c>
      <c r="I549" s="0" t="s">
        <v>5464</v>
      </c>
      <c r="J549" s="0" t="s">
        <v>5465</v>
      </c>
      <c r="K549" s="0" t="s">
        <v>5466</v>
      </c>
      <c r="L549" s="0" t="n">
        <v>1443161</v>
      </c>
      <c r="M549" s="0" t="s">
        <v>5467</v>
      </c>
      <c r="N549" s="0" t="n">
        <v>1205697</v>
      </c>
      <c r="O549" s="9" t="n">
        <v>5975</v>
      </c>
      <c r="P549" s="0" t="s">
        <v>179</v>
      </c>
      <c r="Q549" s="0" t="s">
        <v>5468</v>
      </c>
      <c r="R549" s="0" t="s">
        <v>5469</v>
      </c>
      <c r="S549" s="0" t="s">
        <v>1977</v>
      </c>
      <c r="T549" s="0" t="s">
        <v>5470</v>
      </c>
      <c r="U549" s="9" t="n">
        <v>0</v>
      </c>
      <c r="V549" s="0" t="n">
        <v>15.09738503074</v>
      </c>
      <c r="W549" s="0" t="n">
        <v>20240930</v>
      </c>
      <c r="X549" s="0" t="n">
        <v>0.397392188864424</v>
      </c>
      <c r="Y549" s="0" t="s">
        <v>5471</v>
      </c>
      <c r="Z549" s="0" t="s">
        <v>158</v>
      </c>
    </row>
    <row r="550" customFormat="false" ht="15" hidden="false" customHeight="false" outlineLevel="0" collapsed="false">
      <c r="A550" s="0" t="n">
        <v>547</v>
      </c>
      <c r="B550" s="9" t="n">
        <v>366752</v>
      </c>
      <c r="C550" s="0" t="n">
        <v>17443</v>
      </c>
      <c r="D550" s="0" t="n">
        <v>299271</v>
      </c>
      <c r="E550" s="0" t="s">
        <v>159</v>
      </c>
      <c r="F550" s="0" t="n">
        <v>41324</v>
      </c>
      <c r="G550" s="0" t="s">
        <v>5472</v>
      </c>
      <c r="H550" s="0" t="s">
        <v>5473</v>
      </c>
      <c r="I550" s="0" t="s">
        <v>5474</v>
      </c>
      <c r="J550" s="0" t="s">
        <v>61</v>
      </c>
      <c r="K550" s="0" t="s">
        <v>1019</v>
      </c>
      <c r="L550" s="0" t="n">
        <v>197179</v>
      </c>
      <c r="M550" s="0" t="s">
        <v>5475</v>
      </c>
      <c r="N550" s="0" t="n">
        <v>195221</v>
      </c>
      <c r="O550" s="9" t="n">
        <v>1019</v>
      </c>
      <c r="P550" s="0" t="s">
        <v>190</v>
      </c>
      <c r="Q550" s="0" t="s">
        <v>5476</v>
      </c>
      <c r="R550" s="0" t="s">
        <v>5477</v>
      </c>
      <c r="S550" s="0" t="s">
        <v>61</v>
      </c>
      <c r="T550" s="0" t="s">
        <v>506</v>
      </c>
      <c r="U550" s="9" t="n">
        <v>0</v>
      </c>
      <c r="V550" s="0" t="n">
        <v>0</v>
      </c>
      <c r="W550" s="0" t="n">
        <v>20240930</v>
      </c>
      <c r="X550" s="0" t="n">
        <v>-0.182427732699306</v>
      </c>
      <c r="Y550" s="0" t="s">
        <v>5478</v>
      </c>
      <c r="Z550" s="0" t="s">
        <v>158</v>
      </c>
    </row>
    <row r="551" customFormat="false" ht="15" hidden="false" customHeight="false" outlineLevel="0" collapsed="false">
      <c r="A551" s="0" t="n">
        <v>548</v>
      </c>
      <c r="B551" s="9" t="n">
        <v>1980951</v>
      </c>
      <c r="C551" s="0" t="n">
        <v>17658</v>
      </c>
      <c r="D551" s="0" t="n">
        <v>1559068</v>
      </c>
      <c r="E551" s="0" t="s">
        <v>208</v>
      </c>
      <c r="F551" s="0" t="n">
        <v>230579</v>
      </c>
      <c r="G551" s="0" t="s">
        <v>5479</v>
      </c>
      <c r="H551" s="0" t="s">
        <v>5480</v>
      </c>
      <c r="I551" s="0" t="s">
        <v>5481</v>
      </c>
      <c r="J551" s="0" t="s">
        <v>5482</v>
      </c>
      <c r="K551" s="0" t="s">
        <v>5483</v>
      </c>
      <c r="L551" s="0" t="n">
        <v>1397203</v>
      </c>
      <c r="M551" s="0" t="s">
        <v>5484</v>
      </c>
      <c r="N551" s="0" t="n">
        <v>1195334</v>
      </c>
      <c r="O551" s="9" t="n">
        <v>9425</v>
      </c>
      <c r="P551" s="0" t="s">
        <v>202</v>
      </c>
      <c r="Q551" s="0" t="s">
        <v>5485</v>
      </c>
      <c r="R551" s="0" t="s">
        <v>5486</v>
      </c>
      <c r="S551" s="0" t="s">
        <v>2678</v>
      </c>
      <c r="T551" s="0" t="s">
        <v>5487</v>
      </c>
      <c r="U551" s="9" t="n">
        <v>0</v>
      </c>
      <c r="V551" s="0" t="n">
        <v>0</v>
      </c>
      <c r="W551" s="0" t="n">
        <v>20240930</v>
      </c>
      <c r="X551" s="0" t="n">
        <v>0.960411822183859</v>
      </c>
      <c r="Y551" s="0" t="s">
        <v>1836</v>
      </c>
      <c r="Z551" s="0" t="s">
        <v>60</v>
      </c>
    </row>
    <row r="552" customFormat="false" ht="15" hidden="false" customHeight="false" outlineLevel="0" collapsed="false">
      <c r="A552" s="0" t="n">
        <v>549</v>
      </c>
      <c r="B552" s="9" t="n">
        <v>1162261</v>
      </c>
      <c r="C552" s="0" t="n">
        <v>17741</v>
      </c>
      <c r="D552" s="0" t="n">
        <v>905592</v>
      </c>
      <c r="E552" s="0" t="s">
        <v>246</v>
      </c>
      <c r="F552" s="0" t="n">
        <v>146197</v>
      </c>
      <c r="G552" s="0" t="s">
        <v>5488</v>
      </c>
      <c r="H552" s="0" t="s">
        <v>5489</v>
      </c>
      <c r="I552" s="0" t="s">
        <v>5490</v>
      </c>
      <c r="J552" s="0" t="s">
        <v>5491</v>
      </c>
      <c r="K552" s="0" t="s">
        <v>5492</v>
      </c>
      <c r="L552" s="0" t="n">
        <v>984780</v>
      </c>
      <c r="M552" s="0" t="s">
        <v>5493</v>
      </c>
      <c r="N552" s="0" t="n">
        <v>925810</v>
      </c>
      <c r="O552" s="9" t="n">
        <v>2723</v>
      </c>
      <c r="P552" s="0" t="s">
        <v>215</v>
      </c>
      <c r="Q552" s="0" t="s">
        <v>5494</v>
      </c>
      <c r="R552" s="0" t="s">
        <v>5495</v>
      </c>
      <c r="S552" s="0" t="s">
        <v>5496</v>
      </c>
      <c r="T552" s="0" t="s">
        <v>5497</v>
      </c>
      <c r="U552" s="9" t="n">
        <v>0</v>
      </c>
      <c r="V552" s="0" t="n">
        <v>0</v>
      </c>
      <c r="W552" s="0" t="n">
        <v>20240930</v>
      </c>
      <c r="X552" s="0" t="n">
        <v>0.623215257165778</v>
      </c>
      <c r="Y552" s="0" t="s">
        <v>1050</v>
      </c>
      <c r="Z552" s="0" t="s">
        <v>60</v>
      </c>
    </row>
    <row r="553" customFormat="false" ht="15" hidden="false" customHeight="false" outlineLevel="0" collapsed="false">
      <c r="A553" s="0" t="n">
        <v>550</v>
      </c>
      <c r="B553" s="9" t="n">
        <v>1427194</v>
      </c>
      <c r="C553" s="0" t="n">
        <v>17743</v>
      </c>
      <c r="D553" s="0" t="n">
        <v>1006052</v>
      </c>
      <c r="E553" s="0" t="s">
        <v>61</v>
      </c>
      <c r="F553" s="0" t="n">
        <v>126250</v>
      </c>
      <c r="G553" s="0" t="s">
        <v>5498</v>
      </c>
      <c r="H553" s="0" t="s">
        <v>5499</v>
      </c>
      <c r="I553" s="0" t="s">
        <v>5500</v>
      </c>
      <c r="J553" s="0" t="s">
        <v>5501</v>
      </c>
      <c r="K553" s="0" t="s">
        <v>5502</v>
      </c>
      <c r="L553" s="0" t="n">
        <v>1138419</v>
      </c>
      <c r="M553" s="0" t="s">
        <v>5503</v>
      </c>
      <c r="N553" s="0" t="n">
        <v>1102493</v>
      </c>
      <c r="O553" s="9" t="n">
        <v>1621</v>
      </c>
      <c r="P553" s="0" t="s">
        <v>227</v>
      </c>
      <c r="Q553" s="0" t="s">
        <v>5504</v>
      </c>
      <c r="R553" s="0" t="s">
        <v>5505</v>
      </c>
      <c r="S553" s="0" t="s">
        <v>4435</v>
      </c>
      <c r="T553" s="0" t="s">
        <v>5506</v>
      </c>
      <c r="U553" s="9" t="n">
        <v>0</v>
      </c>
      <c r="V553" s="0" t="n">
        <v>0</v>
      </c>
      <c r="W553" s="0" t="n">
        <v>20240930</v>
      </c>
      <c r="X553" s="0" t="n">
        <v>0.0586009796050293</v>
      </c>
      <c r="Y553" s="0" t="s">
        <v>5507</v>
      </c>
      <c r="Z553" s="0" t="s">
        <v>60</v>
      </c>
    </row>
    <row r="554" customFormat="false" ht="15" hidden="false" customHeight="false" outlineLevel="0" collapsed="false">
      <c r="A554" s="0" t="n">
        <v>551</v>
      </c>
      <c r="B554" s="9" t="n">
        <v>1623796</v>
      </c>
      <c r="C554" s="0" t="n">
        <v>17748</v>
      </c>
      <c r="D554" s="0" t="n">
        <v>1375485</v>
      </c>
      <c r="E554" s="0" t="s">
        <v>4117</v>
      </c>
      <c r="F554" s="0" t="n">
        <v>122957</v>
      </c>
      <c r="G554" s="0" t="s">
        <v>5508</v>
      </c>
      <c r="H554" s="0" t="s">
        <v>5509</v>
      </c>
      <c r="I554" s="0" t="s">
        <v>5510</v>
      </c>
      <c r="J554" s="0" t="s">
        <v>5511</v>
      </c>
      <c r="K554" s="0" t="s">
        <v>5512</v>
      </c>
      <c r="L554" s="0" t="n">
        <v>1252737</v>
      </c>
      <c r="M554" s="0" t="s">
        <v>5513</v>
      </c>
      <c r="N554" s="0" t="n">
        <v>1057786</v>
      </c>
      <c r="O554" s="9" t="n">
        <v>5501</v>
      </c>
      <c r="P554" s="0" t="s">
        <v>240</v>
      </c>
      <c r="Q554" s="0" t="s">
        <v>5514</v>
      </c>
      <c r="R554" s="0" t="s">
        <v>5515</v>
      </c>
      <c r="S554" s="0" t="s">
        <v>5516</v>
      </c>
      <c r="T554" s="0" t="s">
        <v>5517</v>
      </c>
      <c r="U554" s="9" t="n">
        <v>0</v>
      </c>
      <c r="V554" s="0" t="n">
        <v>0</v>
      </c>
      <c r="W554" s="0" t="n">
        <v>20240930</v>
      </c>
      <c r="X554" s="0" t="n">
        <v>0.356747638834355</v>
      </c>
      <c r="Y554" s="0" t="s">
        <v>5518</v>
      </c>
      <c r="Z554" s="0" t="s">
        <v>60</v>
      </c>
    </row>
    <row r="555" customFormat="false" ht="15" hidden="false" customHeight="false" outlineLevel="0" collapsed="false">
      <c r="A555" s="0" t="n">
        <v>552</v>
      </c>
      <c r="B555" s="9" t="n">
        <v>1372601</v>
      </c>
      <c r="C555" s="0" t="n">
        <v>17749</v>
      </c>
      <c r="D555" s="0" t="n">
        <v>1059435</v>
      </c>
      <c r="E555" s="0" t="s">
        <v>259</v>
      </c>
      <c r="F555" s="0" t="n">
        <v>190135</v>
      </c>
      <c r="G555" s="0" t="s">
        <v>5519</v>
      </c>
      <c r="H555" s="0" t="s">
        <v>5520</v>
      </c>
      <c r="I555" s="0" t="s">
        <v>5521</v>
      </c>
      <c r="J555" s="0" t="s">
        <v>5522</v>
      </c>
      <c r="K555" s="0" t="s">
        <v>5523</v>
      </c>
      <c r="L555" s="0" t="n">
        <v>820744</v>
      </c>
      <c r="M555" s="0" t="s">
        <v>5524</v>
      </c>
      <c r="N555" s="0" t="n">
        <v>748076</v>
      </c>
      <c r="O555" s="9" t="n">
        <v>617</v>
      </c>
      <c r="P555" s="0" t="s">
        <v>253</v>
      </c>
      <c r="Q555" s="0" t="s">
        <v>5525</v>
      </c>
      <c r="R555" s="0" t="s">
        <v>5526</v>
      </c>
      <c r="S555" s="0" t="s">
        <v>1604</v>
      </c>
      <c r="T555" s="0" t="s">
        <v>5527</v>
      </c>
      <c r="U555" s="9" t="n">
        <v>4</v>
      </c>
      <c r="V555" s="0" t="n">
        <v>0</v>
      </c>
      <c r="W555" s="0" t="n">
        <v>20240930</v>
      </c>
      <c r="X555" s="0" t="n">
        <v>1.09049365962965</v>
      </c>
      <c r="Y555" s="0" t="s">
        <v>5528</v>
      </c>
      <c r="Z555" s="0" t="s">
        <v>60</v>
      </c>
    </row>
    <row r="556" customFormat="false" ht="15" hidden="false" customHeight="false" outlineLevel="0" collapsed="false">
      <c r="A556" s="0" t="n">
        <v>553</v>
      </c>
      <c r="B556" s="9" t="n">
        <v>1665363</v>
      </c>
      <c r="C556" s="0" t="n">
        <v>17751</v>
      </c>
      <c r="D556" s="0" t="n">
        <v>1312346</v>
      </c>
      <c r="E556" s="0" t="s">
        <v>271</v>
      </c>
      <c r="F556" s="0" t="n">
        <v>146041</v>
      </c>
      <c r="G556" s="0" t="s">
        <v>5529</v>
      </c>
      <c r="H556" s="0" t="s">
        <v>5530</v>
      </c>
      <c r="I556" s="0" t="s">
        <v>5531</v>
      </c>
      <c r="J556" s="0" t="s">
        <v>5532</v>
      </c>
      <c r="K556" s="0" t="s">
        <v>5533</v>
      </c>
      <c r="L556" s="0" t="n">
        <v>1372411</v>
      </c>
      <c r="M556" s="0" t="s">
        <v>5534</v>
      </c>
      <c r="N556" s="0" t="n">
        <v>1170198</v>
      </c>
      <c r="O556" s="9" t="n">
        <v>5637</v>
      </c>
      <c r="P556" s="0" t="s">
        <v>266</v>
      </c>
      <c r="Q556" s="0" t="s">
        <v>5535</v>
      </c>
      <c r="R556" s="0" t="s">
        <v>5536</v>
      </c>
      <c r="S556" s="0" t="s">
        <v>5537</v>
      </c>
      <c r="T556" s="0" t="s">
        <v>5538</v>
      </c>
      <c r="U556" s="9" t="n">
        <v>0</v>
      </c>
      <c r="V556" s="0" t="n">
        <v>12.6616730688762</v>
      </c>
      <c r="W556" s="0" t="n">
        <v>20240930</v>
      </c>
      <c r="X556" s="0" t="n">
        <v>0.432944118659756</v>
      </c>
      <c r="Y556" s="0" t="s">
        <v>5539</v>
      </c>
      <c r="Z556" s="0" t="s">
        <v>60</v>
      </c>
    </row>
    <row r="557" customFormat="false" ht="15" hidden="false" customHeight="false" outlineLevel="0" collapsed="false">
      <c r="A557" s="0" t="n">
        <v>554</v>
      </c>
      <c r="B557" s="9" t="n">
        <v>1743721</v>
      </c>
      <c r="C557" s="0" t="n">
        <v>17897</v>
      </c>
      <c r="D557" s="0" t="n">
        <v>1323557</v>
      </c>
      <c r="E557" s="0" t="s">
        <v>794</v>
      </c>
      <c r="F557" s="0" t="n">
        <v>219695</v>
      </c>
      <c r="G557" s="0" t="s">
        <v>5540</v>
      </c>
      <c r="H557" s="0" t="s">
        <v>5541</v>
      </c>
      <c r="I557" s="0" t="s">
        <v>5542</v>
      </c>
      <c r="J557" s="0" t="s">
        <v>5543</v>
      </c>
      <c r="K557" s="0" t="s">
        <v>5544</v>
      </c>
      <c r="L557" s="0" t="n">
        <v>1443445</v>
      </c>
      <c r="M557" s="0" t="s">
        <v>5545</v>
      </c>
      <c r="N557" s="0" t="n">
        <v>1355336</v>
      </c>
      <c r="O557" s="9" t="n">
        <v>4826</v>
      </c>
      <c r="P557" s="0" t="s">
        <v>278</v>
      </c>
      <c r="Q557" s="0" t="s">
        <v>5546</v>
      </c>
      <c r="R557" s="0" t="s">
        <v>5547</v>
      </c>
      <c r="S557" s="0" t="s">
        <v>5548</v>
      </c>
      <c r="T557" s="0" t="s">
        <v>5549</v>
      </c>
      <c r="U557" s="9" t="n">
        <v>0</v>
      </c>
      <c r="V557" s="0" t="n">
        <v>18.0101447735768</v>
      </c>
      <c r="W557" s="0" t="n">
        <v>20240930</v>
      </c>
      <c r="X557" s="0" t="n">
        <v>0.828207779242847</v>
      </c>
      <c r="Y557" s="0" t="s">
        <v>207</v>
      </c>
      <c r="Z557" s="0" t="s">
        <v>60</v>
      </c>
    </row>
    <row r="558" customFormat="false" ht="15" hidden="false" customHeight="false" outlineLevel="0" collapsed="false">
      <c r="A558" s="0" t="n">
        <v>555</v>
      </c>
      <c r="B558" s="9" t="n">
        <v>819978</v>
      </c>
      <c r="C558" s="0" t="n">
        <v>17951</v>
      </c>
      <c r="D558" s="0" t="n">
        <v>688357</v>
      </c>
      <c r="E558" s="0" t="s">
        <v>390</v>
      </c>
      <c r="F558" s="0" t="n">
        <v>67870</v>
      </c>
      <c r="G558" s="0" t="s">
        <v>5550</v>
      </c>
      <c r="H558" s="0" t="s">
        <v>5551</v>
      </c>
      <c r="I558" s="0" t="s">
        <v>5552</v>
      </c>
      <c r="J558" s="0" t="s">
        <v>5553</v>
      </c>
      <c r="K558" s="0" t="s">
        <v>5554</v>
      </c>
      <c r="L558" s="0" t="n">
        <v>599913</v>
      </c>
      <c r="M558" s="0" t="s">
        <v>5555</v>
      </c>
      <c r="N558" s="0" t="n">
        <v>550875</v>
      </c>
      <c r="O558" s="9" t="n">
        <v>61</v>
      </c>
      <c r="P558" s="0" t="s">
        <v>290</v>
      </c>
      <c r="Q558" s="0" t="s">
        <v>5556</v>
      </c>
      <c r="R558" s="0" t="s">
        <v>5557</v>
      </c>
      <c r="S558" s="0" t="s">
        <v>5558</v>
      </c>
      <c r="T558" s="0" t="s">
        <v>4308</v>
      </c>
      <c r="U558" s="9" t="n">
        <v>0</v>
      </c>
      <c r="V558" s="0" t="n">
        <v>14.5460942258817</v>
      </c>
      <c r="W558" s="0" t="n">
        <v>20240930</v>
      </c>
      <c r="X558" s="0" t="n">
        <v>0.511043995809567</v>
      </c>
      <c r="Y558" s="0" t="s">
        <v>5559</v>
      </c>
      <c r="Z558" s="0" t="s">
        <v>158</v>
      </c>
    </row>
    <row r="559" customFormat="false" ht="15" hidden="false" customHeight="false" outlineLevel="0" collapsed="false">
      <c r="A559" s="0" t="n">
        <v>556</v>
      </c>
      <c r="B559" s="9" t="n">
        <v>1380640</v>
      </c>
      <c r="C559" s="0" t="n">
        <v>17960</v>
      </c>
      <c r="D559" s="0" t="n">
        <v>1050589</v>
      </c>
      <c r="E559" s="0" t="s">
        <v>1146</v>
      </c>
      <c r="F559" s="0" t="n">
        <v>117711</v>
      </c>
      <c r="G559" s="0" t="s">
        <v>5560</v>
      </c>
      <c r="H559" s="0" t="s">
        <v>5561</v>
      </c>
      <c r="I559" s="0" t="s">
        <v>5562</v>
      </c>
      <c r="J559" s="0" t="s">
        <v>5563</v>
      </c>
      <c r="K559" s="0" t="s">
        <v>5564</v>
      </c>
      <c r="L559" s="0" t="n">
        <v>1167764</v>
      </c>
      <c r="M559" s="0" t="s">
        <v>5565</v>
      </c>
      <c r="N559" s="0" t="n">
        <v>827763</v>
      </c>
      <c r="O559" s="9" t="n">
        <v>6798</v>
      </c>
      <c r="P559" s="0" t="s">
        <v>302</v>
      </c>
      <c r="Q559" s="0" t="s">
        <v>5566</v>
      </c>
      <c r="R559" s="0" t="s">
        <v>5567</v>
      </c>
      <c r="S559" s="0" t="s">
        <v>5568</v>
      </c>
      <c r="T559" s="0" t="s">
        <v>5569</v>
      </c>
      <c r="U559" s="9" t="n">
        <v>44</v>
      </c>
      <c r="V559" s="0" t="n">
        <v>13.4452092505768</v>
      </c>
      <c r="W559" s="0" t="n">
        <v>20240930</v>
      </c>
      <c r="X559" s="0" t="n">
        <v>0.211894845039827</v>
      </c>
      <c r="Y559" s="0" t="s">
        <v>1009</v>
      </c>
      <c r="Z559" s="0" t="s">
        <v>158</v>
      </c>
    </row>
    <row r="560" customFormat="false" ht="15" hidden="false" customHeight="false" outlineLevel="0" collapsed="false">
      <c r="A560" s="0" t="n">
        <v>557</v>
      </c>
      <c r="B560" s="9" t="n">
        <v>2583718</v>
      </c>
      <c r="C560" s="0" t="n">
        <v>18012</v>
      </c>
      <c r="D560" s="0" t="n">
        <v>2179694</v>
      </c>
      <c r="E560" s="0" t="s">
        <v>208</v>
      </c>
      <c r="F560" s="0" t="n">
        <v>287158</v>
      </c>
      <c r="G560" s="0" t="s">
        <v>5570</v>
      </c>
      <c r="H560" s="0" t="s">
        <v>5571</v>
      </c>
      <c r="I560" s="0" t="s">
        <v>5572</v>
      </c>
      <c r="J560" s="0" t="s">
        <v>5573</v>
      </c>
      <c r="K560" s="0" t="s">
        <v>5574</v>
      </c>
      <c r="L560" s="0" t="n">
        <v>2078109</v>
      </c>
      <c r="M560" s="0" t="s">
        <v>5575</v>
      </c>
      <c r="N560" s="0" t="n">
        <v>1973661</v>
      </c>
      <c r="O560" s="9" t="n">
        <v>551</v>
      </c>
      <c r="P560" s="0" t="s">
        <v>312</v>
      </c>
      <c r="Q560" s="0" t="s">
        <v>5576</v>
      </c>
      <c r="R560" s="0" t="s">
        <v>5577</v>
      </c>
      <c r="S560" s="0" t="s">
        <v>5578</v>
      </c>
      <c r="T560" s="0" t="s">
        <v>5579</v>
      </c>
      <c r="U560" s="9" t="n">
        <v>0</v>
      </c>
      <c r="V560" s="0" t="n">
        <v>14.420969624268</v>
      </c>
      <c r="W560" s="0" t="n">
        <v>20240930</v>
      </c>
      <c r="X560" s="0" t="n">
        <v>0.708107955416192</v>
      </c>
      <c r="Y560" s="0" t="s">
        <v>5580</v>
      </c>
      <c r="Z560" s="0" t="s">
        <v>158</v>
      </c>
    </row>
    <row r="561" customFormat="false" ht="15" hidden="false" customHeight="false" outlineLevel="0" collapsed="false">
      <c r="A561" s="0" t="n">
        <v>558</v>
      </c>
      <c r="B561" s="9" t="n">
        <v>2889853</v>
      </c>
      <c r="C561" s="0" t="n">
        <v>18013</v>
      </c>
      <c r="D561" s="0" t="n">
        <v>2534229</v>
      </c>
      <c r="E561" s="0" t="s">
        <v>61</v>
      </c>
      <c r="F561" s="0" t="n">
        <v>234630</v>
      </c>
      <c r="G561" s="0" t="s">
        <v>5581</v>
      </c>
      <c r="H561" s="0" t="s">
        <v>5582</v>
      </c>
      <c r="I561" s="0" t="s">
        <v>5583</v>
      </c>
      <c r="J561" s="0" t="s">
        <v>5584</v>
      </c>
      <c r="K561" s="0" t="s">
        <v>5585</v>
      </c>
      <c r="L561" s="0" t="n">
        <v>2393581</v>
      </c>
      <c r="M561" s="0" t="s">
        <v>5586</v>
      </c>
      <c r="N561" s="0" t="n">
        <v>2183396</v>
      </c>
      <c r="O561" s="9" t="n">
        <v>1627</v>
      </c>
      <c r="P561" s="0" t="s">
        <v>324</v>
      </c>
      <c r="Q561" s="0" t="s">
        <v>5587</v>
      </c>
      <c r="R561" s="0" t="s">
        <v>5588</v>
      </c>
      <c r="S561" s="0" t="s">
        <v>5589</v>
      </c>
      <c r="T561" s="0" t="s">
        <v>5590</v>
      </c>
      <c r="U561" s="9" t="n">
        <v>74</v>
      </c>
      <c r="V561" s="0" t="n">
        <v>12.6133265662941</v>
      </c>
      <c r="W561" s="0" t="n">
        <v>20240930</v>
      </c>
      <c r="X561" s="0" t="n">
        <v>0.25337240311984</v>
      </c>
      <c r="Y561" s="0" t="s">
        <v>5244</v>
      </c>
      <c r="Z561" s="0" t="s">
        <v>158</v>
      </c>
    </row>
    <row r="562" customFormat="false" ht="15" hidden="false" customHeight="false" outlineLevel="0" collapsed="false">
      <c r="A562" s="0" t="n">
        <v>559</v>
      </c>
      <c r="B562" s="9" t="n">
        <v>407460</v>
      </c>
      <c r="C562" s="0" t="n">
        <v>18028</v>
      </c>
      <c r="D562" s="0" t="n">
        <v>337570</v>
      </c>
      <c r="E562" s="0" t="s">
        <v>1187</v>
      </c>
      <c r="F562" s="0" t="n">
        <v>43831</v>
      </c>
      <c r="G562" s="0" t="s">
        <v>5591</v>
      </c>
      <c r="H562" s="0" t="s">
        <v>5592</v>
      </c>
      <c r="I562" s="0" t="s">
        <v>5593</v>
      </c>
      <c r="J562" s="0" t="s">
        <v>5594</v>
      </c>
      <c r="K562" s="0" t="s">
        <v>5595</v>
      </c>
      <c r="L562" s="0" t="n">
        <v>273990</v>
      </c>
      <c r="M562" s="0" t="s">
        <v>5596</v>
      </c>
      <c r="N562" s="0" t="n">
        <v>249806</v>
      </c>
      <c r="O562" s="9" t="n">
        <v>908</v>
      </c>
      <c r="P562" s="0" t="s">
        <v>337</v>
      </c>
      <c r="Q562" s="0" t="s">
        <v>5597</v>
      </c>
      <c r="R562" s="0" t="s">
        <v>5598</v>
      </c>
      <c r="S562" s="0" t="s">
        <v>5599</v>
      </c>
      <c r="T562" s="0" t="s">
        <v>5600</v>
      </c>
      <c r="U562" s="9" t="n">
        <v>358</v>
      </c>
      <c r="V562" s="0" t="n">
        <v>0</v>
      </c>
      <c r="W562" s="0" t="n">
        <v>20240930</v>
      </c>
      <c r="X562" s="0" t="n">
        <v>0.449445889497145</v>
      </c>
      <c r="Y562" s="0" t="s">
        <v>5601</v>
      </c>
      <c r="Z562" s="0" t="s">
        <v>158</v>
      </c>
    </row>
    <row r="563" customFormat="false" ht="15" hidden="false" customHeight="false" outlineLevel="0" collapsed="false">
      <c r="A563" s="0" t="n">
        <v>560</v>
      </c>
      <c r="B563" s="9" t="n">
        <v>794567</v>
      </c>
      <c r="C563" s="0" t="n">
        <v>18030</v>
      </c>
      <c r="D563" s="0" t="n">
        <v>707506</v>
      </c>
      <c r="E563" s="0" t="s">
        <v>390</v>
      </c>
      <c r="F563" s="0" t="n">
        <v>54737</v>
      </c>
      <c r="G563" s="0" t="s">
        <v>5602</v>
      </c>
      <c r="H563" s="0" t="s">
        <v>5603</v>
      </c>
      <c r="I563" s="0" t="s">
        <v>5604</v>
      </c>
      <c r="J563" s="0" t="s">
        <v>5605</v>
      </c>
      <c r="K563" s="0" t="s">
        <v>5606</v>
      </c>
      <c r="L563" s="0" t="n">
        <v>588776</v>
      </c>
      <c r="M563" s="0" t="s">
        <v>5607</v>
      </c>
      <c r="N563" s="0" t="n">
        <v>447654</v>
      </c>
      <c r="O563" s="9" t="n">
        <v>1967</v>
      </c>
      <c r="P563" s="0" t="s">
        <v>349</v>
      </c>
      <c r="Q563" s="0" t="s">
        <v>5608</v>
      </c>
      <c r="R563" s="0" t="s">
        <v>5609</v>
      </c>
      <c r="S563" s="0" t="s">
        <v>2054</v>
      </c>
      <c r="T563" s="0" t="s">
        <v>5610</v>
      </c>
      <c r="U563" s="9" t="n">
        <v>0</v>
      </c>
      <c r="V563" s="0" t="n">
        <v>13.6705393261032</v>
      </c>
      <c r="W563" s="0" t="n">
        <v>20240930</v>
      </c>
      <c r="X563" s="0" t="n">
        <v>0.697344762810995</v>
      </c>
      <c r="Y563" s="0" t="s">
        <v>5611</v>
      </c>
      <c r="Z563" s="0" t="s">
        <v>158</v>
      </c>
    </row>
    <row r="564" customFormat="false" ht="15" hidden="false" customHeight="false" outlineLevel="0" collapsed="false">
      <c r="A564" s="0" t="n">
        <v>561</v>
      </c>
      <c r="B564" s="9" t="n">
        <v>677501</v>
      </c>
      <c r="C564" s="0" t="n">
        <v>18031</v>
      </c>
      <c r="D564" s="0" t="n">
        <v>528633</v>
      </c>
      <c r="E564" s="0" t="s">
        <v>1500</v>
      </c>
      <c r="F564" s="0" t="n">
        <v>41575</v>
      </c>
      <c r="G564" s="0" t="s">
        <v>5612</v>
      </c>
      <c r="H564" s="0" t="s">
        <v>5613</v>
      </c>
      <c r="I564" s="0" t="s">
        <v>5614</v>
      </c>
      <c r="J564" s="0" t="s">
        <v>5615</v>
      </c>
      <c r="K564" s="0" t="s">
        <v>5616</v>
      </c>
      <c r="L564" s="0" t="n">
        <v>468218</v>
      </c>
      <c r="M564" s="0" t="s">
        <v>5617</v>
      </c>
      <c r="N564" s="0" t="n">
        <v>431155</v>
      </c>
      <c r="O564" s="9" t="n">
        <v>973</v>
      </c>
      <c r="P564" s="0" t="s">
        <v>361</v>
      </c>
      <c r="Q564" s="0" t="s">
        <v>5618</v>
      </c>
      <c r="R564" s="0" t="s">
        <v>5619</v>
      </c>
      <c r="S564" s="0" t="s">
        <v>143</v>
      </c>
      <c r="T564" s="0" t="s">
        <v>5620</v>
      </c>
      <c r="U564" s="9" t="n">
        <v>0</v>
      </c>
      <c r="V564" s="0" t="n">
        <v>16.7487150865234</v>
      </c>
      <c r="W564" s="0" t="n">
        <v>20240930</v>
      </c>
      <c r="X564" s="0" t="n">
        <v>0.42618981664151</v>
      </c>
      <c r="Y564" s="0" t="s">
        <v>3748</v>
      </c>
      <c r="Z564" s="0" t="s">
        <v>158</v>
      </c>
    </row>
    <row r="565" customFormat="false" ht="15" hidden="false" customHeight="false" outlineLevel="0" collapsed="false">
      <c r="A565" s="0" t="n">
        <v>562</v>
      </c>
      <c r="B565" s="9" t="n">
        <v>578941</v>
      </c>
      <c r="C565" s="0" t="n">
        <v>18038</v>
      </c>
      <c r="D565" s="0" t="n">
        <v>436224</v>
      </c>
      <c r="E565" s="0" t="s">
        <v>195</v>
      </c>
      <c r="F565" s="0" t="n">
        <v>68568</v>
      </c>
      <c r="G565" s="0" t="s">
        <v>5621</v>
      </c>
      <c r="H565" s="0" t="s">
        <v>5622</v>
      </c>
      <c r="I565" s="0" t="s">
        <v>5623</v>
      </c>
      <c r="J565" s="0" t="s">
        <v>5624</v>
      </c>
      <c r="K565" s="0" t="s">
        <v>5625</v>
      </c>
      <c r="L565" s="0" t="n">
        <v>419953</v>
      </c>
      <c r="M565" s="0" t="s">
        <v>5626</v>
      </c>
      <c r="N565" s="0" t="n">
        <v>385462</v>
      </c>
      <c r="O565" s="9" t="n">
        <v>2472</v>
      </c>
      <c r="P565" s="0" t="s">
        <v>372</v>
      </c>
      <c r="Q565" s="0" t="s">
        <v>5627</v>
      </c>
      <c r="R565" s="0" t="s">
        <v>5628</v>
      </c>
      <c r="S565" s="0" t="s">
        <v>1865</v>
      </c>
      <c r="T565" s="0" t="s">
        <v>3054</v>
      </c>
      <c r="U565" s="9" t="n">
        <v>0</v>
      </c>
      <c r="V565" s="0" t="n">
        <v>0</v>
      </c>
      <c r="W565" s="0" t="n">
        <v>20240930</v>
      </c>
      <c r="X565" s="0" t="n">
        <v>0.480130621285366</v>
      </c>
      <c r="Y565" s="0" t="s">
        <v>5629</v>
      </c>
      <c r="Z565" s="0" t="s">
        <v>158</v>
      </c>
    </row>
    <row r="566" customFormat="false" ht="15" hidden="false" customHeight="false" outlineLevel="0" collapsed="false">
      <c r="A566" s="0" t="n">
        <v>563</v>
      </c>
      <c r="B566" s="9" t="n">
        <v>7218777</v>
      </c>
      <c r="C566" s="0" t="n">
        <v>18408</v>
      </c>
      <c r="D566" s="0" t="n">
        <v>5440947</v>
      </c>
      <c r="E566" s="0" t="s">
        <v>890</v>
      </c>
      <c r="F566" s="0" t="n">
        <v>451617</v>
      </c>
      <c r="G566" s="0" t="s">
        <v>5630</v>
      </c>
      <c r="H566" s="0" t="s">
        <v>5631</v>
      </c>
      <c r="I566" s="0" t="s">
        <v>5632</v>
      </c>
      <c r="J566" s="0" t="s">
        <v>5633</v>
      </c>
      <c r="K566" s="0" t="s">
        <v>5634</v>
      </c>
      <c r="L566" s="0" t="n">
        <v>4864322</v>
      </c>
      <c r="M566" s="0" t="s">
        <v>5635</v>
      </c>
      <c r="N566" s="0" t="n">
        <v>4390169</v>
      </c>
      <c r="O566" s="9" t="n">
        <v>3776</v>
      </c>
      <c r="P566" s="0" t="s">
        <v>384</v>
      </c>
      <c r="Q566" s="0" t="s">
        <v>5636</v>
      </c>
      <c r="R566" s="0" t="s">
        <v>5637</v>
      </c>
      <c r="S566" s="0" t="s">
        <v>5638</v>
      </c>
      <c r="T566" s="0" t="s">
        <v>5639</v>
      </c>
      <c r="U566" s="9" t="n">
        <v>0</v>
      </c>
      <c r="V566" s="0" t="n">
        <v>11.5300926753721</v>
      </c>
      <c r="W566" s="0" t="n">
        <v>20240930</v>
      </c>
      <c r="X566" s="0" t="n">
        <v>0.155178563405037</v>
      </c>
      <c r="Y566" s="0" t="s">
        <v>3891</v>
      </c>
      <c r="Z566" s="0" t="s">
        <v>60</v>
      </c>
    </row>
    <row r="567" customFormat="false" ht="15" hidden="false" customHeight="false" outlineLevel="0" collapsed="false">
      <c r="A567" s="0" t="n">
        <v>564</v>
      </c>
      <c r="B567" s="9" t="n">
        <v>2632240</v>
      </c>
      <c r="C567" s="0" t="n">
        <v>19531</v>
      </c>
      <c r="D567" s="0" t="n">
        <v>2115575</v>
      </c>
      <c r="E567" s="0" t="s">
        <v>1729</v>
      </c>
      <c r="F567" s="0" t="n">
        <v>257463</v>
      </c>
      <c r="G567" s="0" t="s">
        <v>5640</v>
      </c>
      <c r="H567" s="0" t="s">
        <v>5641</v>
      </c>
      <c r="I567" s="0" t="s">
        <v>5642</v>
      </c>
      <c r="J567" s="0" t="s">
        <v>5643</v>
      </c>
      <c r="K567" s="0" t="s">
        <v>5644</v>
      </c>
      <c r="L567" s="0" t="n">
        <v>2161349</v>
      </c>
      <c r="M567" s="0" t="s">
        <v>5645</v>
      </c>
      <c r="N567" s="0" t="n">
        <v>1773165</v>
      </c>
      <c r="O567" s="9" t="n">
        <v>6917</v>
      </c>
      <c r="P567" s="0" t="s">
        <v>397</v>
      </c>
      <c r="Q567" s="0" t="s">
        <v>5646</v>
      </c>
      <c r="R567" s="0" t="s">
        <v>5647</v>
      </c>
      <c r="S567" s="0" t="s">
        <v>5648</v>
      </c>
      <c r="T567" s="0" t="s">
        <v>5649</v>
      </c>
      <c r="U567" s="9" t="n">
        <v>8</v>
      </c>
      <c r="V567" s="0" t="n">
        <v>13.8153054969781</v>
      </c>
      <c r="W567" s="0" t="n">
        <v>20240930</v>
      </c>
      <c r="X567" s="0" t="n">
        <v>0.454164925004259</v>
      </c>
      <c r="Y567" s="0" t="s">
        <v>5650</v>
      </c>
      <c r="Z567" s="0" t="s">
        <v>60</v>
      </c>
    </row>
    <row r="568" customFormat="false" ht="15" hidden="false" customHeight="false" outlineLevel="0" collapsed="false">
      <c r="A568" s="0" t="n">
        <v>565</v>
      </c>
      <c r="B568" s="9" t="n">
        <v>870742</v>
      </c>
      <c r="C568" s="0" t="n">
        <v>19532</v>
      </c>
      <c r="D568" s="0" t="n">
        <v>721893</v>
      </c>
      <c r="E568" s="0" t="s">
        <v>390</v>
      </c>
      <c r="F568" s="0" t="n">
        <v>105663</v>
      </c>
      <c r="G568" s="0" t="s">
        <v>5651</v>
      </c>
      <c r="H568" s="0" t="s">
        <v>5652</v>
      </c>
      <c r="I568" s="0" t="s">
        <v>5653</v>
      </c>
      <c r="J568" s="0" t="s">
        <v>5654</v>
      </c>
      <c r="K568" s="0" t="s">
        <v>5655</v>
      </c>
      <c r="L568" s="0" t="n">
        <v>605503</v>
      </c>
      <c r="M568" s="0" t="s">
        <v>5656</v>
      </c>
      <c r="N568" s="0" t="n">
        <v>500065</v>
      </c>
      <c r="O568" s="9" t="n">
        <v>1698</v>
      </c>
      <c r="P568" s="0" t="s">
        <v>409</v>
      </c>
      <c r="Q568" s="0" t="s">
        <v>5657</v>
      </c>
      <c r="R568" s="0" t="s">
        <v>5658</v>
      </c>
      <c r="S568" s="0" t="s">
        <v>294</v>
      </c>
      <c r="T568" s="0" t="s">
        <v>5659</v>
      </c>
      <c r="U568" s="9" t="n">
        <v>0</v>
      </c>
      <c r="V568" s="0" t="n">
        <v>21.3137628374641</v>
      </c>
      <c r="W568" s="0" t="n">
        <v>20240930</v>
      </c>
      <c r="X568" s="0" t="n">
        <v>0.89346683117121</v>
      </c>
      <c r="Y568" s="0" t="s">
        <v>4030</v>
      </c>
      <c r="Z568" s="0" t="s">
        <v>60</v>
      </c>
    </row>
    <row r="569" customFormat="false" ht="15" hidden="false" customHeight="false" outlineLevel="0" collapsed="false">
      <c r="A569" s="0" t="n">
        <v>566</v>
      </c>
      <c r="B569" s="9" t="n">
        <v>3939898</v>
      </c>
      <c r="C569" s="0" t="n">
        <v>19690</v>
      </c>
      <c r="D569" s="0" t="n">
        <v>3161567</v>
      </c>
      <c r="E569" s="0" t="s">
        <v>172</v>
      </c>
      <c r="F569" s="0" t="n">
        <v>392557</v>
      </c>
      <c r="G569" s="0" t="s">
        <v>5660</v>
      </c>
      <c r="H569" s="0" t="s">
        <v>5661</v>
      </c>
      <c r="I569" s="0" t="s">
        <v>5662</v>
      </c>
      <c r="J569" s="0" t="s">
        <v>5663</v>
      </c>
      <c r="K569" s="0" t="s">
        <v>5664</v>
      </c>
      <c r="L569" s="0" t="n">
        <v>3520602</v>
      </c>
      <c r="M569" s="0" t="s">
        <v>5665</v>
      </c>
      <c r="N569" s="0" t="n">
        <v>2821610</v>
      </c>
      <c r="O569" s="9" t="n">
        <v>37172</v>
      </c>
      <c r="P569" s="0" t="s">
        <v>420</v>
      </c>
      <c r="Q569" s="0" t="s">
        <v>5666</v>
      </c>
      <c r="R569" s="0" t="s">
        <v>5667</v>
      </c>
      <c r="S569" s="0" t="s">
        <v>5668</v>
      </c>
      <c r="T569" s="0" t="s">
        <v>3724</v>
      </c>
      <c r="U569" s="9" t="n">
        <v>0</v>
      </c>
      <c r="V569" s="0" t="n">
        <v>12.6993196381174</v>
      </c>
      <c r="W569" s="0" t="n">
        <v>20240930</v>
      </c>
      <c r="X569" s="0" t="n">
        <v>1.88570349603423</v>
      </c>
      <c r="Y569" s="0" t="s">
        <v>5669</v>
      </c>
      <c r="Z569" s="0" t="s">
        <v>60</v>
      </c>
    </row>
    <row r="570" customFormat="false" ht="15" hidden="false" customHeight="false" outlineLevel="0" collapsed="false">
      <c r="A570" s="0" t="n">
        <v>567</v>
      </c>
      <c r="B570" s="9" t="n">
        <v>712547</v>
      </c>
      <c r="C570" s="0" t="n">
        <v>19836</v>
      </c>
      <c r="D570" s="0" t="n">
        <v>529260</v>
      </c>
      <c r="E570" s="0" t="s">
        <v>390</v>
      </c>
      <c r="F570" s="0" t="n">
        <v>125592</v>
      </c>
      <c r="G570" s="0" t="s">
        <v>5670</v>
      </c>
      <c r="H570" s="0" t="s">
        <v>5671</v>
      </c>
      <c r="I570" s="0" t="s">
        <v>5672</v>
      </c>
      <c r="J570" s="0" t="s">
        <v>5673</v>
      </c>
      <c r="K570" s="0" t="s">
        <v>5674</v>
      </c>
      <c r="L570" s="0" t="n">
        <v>608881</v>
      </c>
      <c r="M570" s="0" t="s">
        <v>5675</v>
      </c>
      <c r="N570" s="0" t="n">
        <v>548608</v>
      </c>
      <c r="O570" s="9" t="n">
        <v>5741</v>
      </c>
      <c r="P570" s="0" t="s">
        <v>290</v>
      </c>
      <c r="Q570" s="0" t="s">
        <v>5676</v>
      </c>
      <c r="R570" s="0" t="s">
        <v>5677</v>
      </c>
      <c r="S570" s="0" t="s">
        <v>955</v>
      </c>
      <c r="T570" s="0" t="s">
        <v>5678</v>
      </c>
      <c r="U570" s="9" t="n">
        <v>354</v>
      </c>
      <c r="V570" s="0" t="n">
        <v>23.9355177549039</v>
      </c>
      <c r="W570" s="0" t="n">
        <v>20240930</v>
      </c>
      <c r="X570" s="0" t="n">
        <v>0.72911205784628</v>
      </c>
      <c r="Y570" s="0" t="s">
        <v>5679</v>
      </c>
      <c r="Z570" s="0" t="s">
        <v>60</v>
      </c>
    </row>
    <row r="571" customFormat="false" ht="15" hidden="false" customHeight="false" outlineLevel="0" collapsed="false">
      <c r="A571" s="0" t="n">
        <v>568</v>
      </c>
      <c r="B571" s="9" t="n">
        <v>1490469</v>
      </c>
      <c r="C571" s="0" t="n">
        <v>24540</v>
      </c>
      <c r="D571" s="0" t="n">
        <v>1197002</v>
      </c>
      <c r="E571" s="0" t="s">
        <v>246</v>
      </c>
      <c r="F571" s="0" t="n">
        <v>267573</v>
      </c>
      <c r="G571" s="0" t="s">
        <v>5680</v>
      </c>
      <c r="H571" s="0" t="s">
        <v>5681</v>
      </c>
      <c r="I571" s="0" t="s">
        <v>5682</v>
      </c>
      <c r="J571" s="0" t="s">
        <v>5683</v>
      </c>
      <c r="K571" s="0" t="s">
        <v>1049</v>
      </c>
      <c r="L571" s="0" t="n">
        <v>1298136</v>
      </c>
      <c r="M571" s="0" t="s">
        <v>5684</v>
      </c>
      <c r="N571" s="0" t="n">
        <v>1257005</v>
      </c>
      <c r="O571" s="9" t="n">
        <v>22568</v>
      </c>
      <c r="P571" s="0" t="s">
        <v>443</v>
      </c>
      <c r="Q571" s="0" t="s">
        <v>5685</v>
      </c>
      <c r="R571" s="0" t="s">
        <v>5686</v>
      </c>
      <c r="S571" s="0" t="s">
        <v>1018</v>
      </c>
      <c r="T571" s="0" t="s">
        <v>61</v>
      </c>
      <c r="U571" s="9" t="n">
        <v>0</v>
      </c>
      <c r="V571" s="0" t="n">
        <v>19.0478995737024</v>
      </c>
      <c r="W571" s="0" t="n">
        <v>20240930</v>
      </c>
      <c r="X571" s="0" t="n">
        <v>2.09759403529842</v>
      </c>
      <c r="Y571" s="0" t="s">
        <v>5687</v>
      </c>
      <c r="Z571" s="0" t="s">
        <v>158</v>
      </c>
    </row>
    <row r="572" customFormat="false" ht="15" hidden="false" customHeight="false" outlineLevel="0" collapsed="false">
      <c r="A572" s="0" t="n">
        <v>569</v>
      </c>
      <c r="B572" s="9" t="n">
        <v>565595</v>
      </c>
      <c r="C572" s="0" t="n">
        <v>27824</v>
      </c>
      <c r="D572" s="0" t="n">
        <v>371884</v>
      </c>
      <c r="E572" s="0" t="s">
        <v>195</v>
      </c>
      <c r="F572" s="0" t="n">
        <v>63535</v>
      </c>
      <c r="G572" s="0" t="s">
        <v>5688</v>
      </c>
      <c r="H572" s="0" t="s">
        <v>5689</v>
      </c>
      <c r="I572" s="0" t="s">
        <v>5690</v>
      </c>
      <c r="J572" s="0" t="s">
        <v>5691</v>
      </c>
      <c r="K572" s="0" t="s">
        <v>5692</v>
      </c>
      <c r="L572" s="0" t="n">
        <v>468047</v>
      </c>
      <c r="M572" s="0" t="s">
        <v>5693</v>
      </c>
      <c r="N572" s="0" t="n">
        <v>407195</v>
      </c>
      <c r="O572" s="9" t="n">
        <v>2900</v>
      </c>
      <c r="P572" s="0" t="s">
        <v>453</v>
      </c>
      <c r="Q572" s="0" t="s">
        <v>5694</v>
      </c>
      <c r="R572" s="0" t="s">
        <v>5695</v>
      </c>
      <c r="S572" s="0" t="s">
        <v>5696</v>
      </c>
      <c r="T572" s="0" t="s">
        <v>5697</v>
      </c>
      <c r="U572" s="9" t="n">
        <v>0</v>
      </c>
      <c r="V572" s="0" t="n">
        <v>19.3955916631453</v>
      </c>
      <c r="W572" s="0" t="n">
        <v>20240930</v>
      </c>
      <c r="X572" s="0" t="n">
        <v>-0.656895429386435</v>
      </c>
      <c r="Y572" s="0" t="s">
        <v>5698</v>
      </c>
      <c r="Z572" s="0" t="s">
        <v>158</v>
      </c>
    </row>
    <row r="573" customFormat="false" ht="15" hidden="false" customHeight="false" outlineLevel="0" collapsed="false">
      <c r="A573" s="0" t="n">
        <v>570</v>
      </c>
      <c r="B573" s="9" t="n">
        <v>298193</v>
      </c>
      <c r="C573" s="0" t="n">
        <v>28155</v>
      </c>
      <c r="D573" s="0" t="n">
        <v>259984</v>
      </c>
      <c r="E573" s="0" t="s">
        <v>794</v>
      </c>
      <c r="F573" s="0" t="n">
        <v>27490</v>
      </c>
      <c r="G573" s="0" t="s">
        <v>5699</v>
      </c>
      <c r="H573" s="0" t="s">
        <v>5700</v>
      </c>
      <c r="I573" s="0" t="s">
        <v>5701</v>
      </c>
      <c r="J573" s="0" t="s">
        <v>5702</v>
      </c>
      <c r="K573" s="0" t="s">
        <v>5703</v>
      </c>
      <c r="L573" s="0" t="n">
        <v>173650</v>
      </c>
      <c r="M573" s="0" t="s">
        <v>5704</v>
      </c>
      <c r="N573" s="0" t="n">
        <v>156786</v>
      </c>
      <c r="O573" s="9" t="n">
        <v>46</v>
      </c>
      <c r="P573" s="0" t="s">
        <v>464</v>
      </c>
      <c r="Q573" s="0" t="s">
        <v>5705</v>
      </c>
      <c r="R573" s="0" t="s">
        <v>5706</v>
      </c>
      <c r="S573" s="0" t="s">
        <v>256</v>
      </c>
      <c r="T573" s="0" t="s">
        <v>5707</v>
      </c>
      <c r="U573" s="9" t="n">
        <v>0</v>
      </c>
      <c r="V573" s="0" t="n">
        <v>17.5684475088697</v>
      </c>
      <c r="W573" s="0" t="n">
        <v>20240930</v>
      </c>
      <c r="X573" s="0" t="n">
        <v>0</v>
      </c>
      <c r="Y573" s="0" t="s">
        <v>61</v>
      </c>
      <c r="Z573" s="0" t="s">
        <v>158</v>
      </c>
    </row>
    <row r="574" customFormat="false" ht="15" hidden="false" customHeight="false" outlineLevel="0" collapsed="false">
      <c r="A574" s="0" t="n">
        <v>571</v>
      </c>
      <c r="B574" s="9" t="n">
        <v>102402</v>
      </c>
      <c r="C574" s="0" t="n">
        <v>28288</v>
      </c>
      <c r="D574" s="0" t="n">
        <v>74874</v>
      </c>
      <c r="E574" s="0" t="s">
        <v>1729</v>
      </c>
      <c r="F574" s="0" t="n">
        <v>6447</v>
      </c>
      <c r="G574" s="0" t="s">
        <v>5708</v>
      </c>
      <c r="H574" s="0" t="s">
        <v>5709</v>
      </c>
      <c r="I574" s="0" t="s">
        <v>5710</v>
      </c>
      <c r="J574" s="0" t="s">
        <v>5711</v>
      </c>
      <c r="K574" s="0" t="s">
        <v>5712</v>
      </c>
      <c r="L574" s="0" t="n">
        <v>81030</v>
      </c>
      <c r="M574" s="0" t="s">
        <v>5713</v>
      </c>
      <c r="N574" s="0" t="n">
        <v>74225</v>
      </c>
      <c r="O574" s="9" t="n">
        <v>140</v>
      </c>
      <c r="P574" s="0" t="s">
        <v>475</v>
      </c>
      <c r="Q574" s="0" t="s">
        <v>5714</v>
      </c>
      <c r="R574" s="0" t="s">
        <v>5715</v>
      </c>
      <c r="S574" s="0" t="s">
        <v>61</v>
      </c>
      <c r="T574" s="0" t="s">
        <v>1604</v>
      </c>
      <c r="U574" s="9" t="n">
        <v>0</v>
      </c>
      <c r="V574" s="0" t="n">
        <v>13.3806203414282</v>
      </c>
      <c r="W574" s="0" t="n">
        <v>20240930</v>
      </c>
      <c r="X574" s="0" t="n">
        <v>0.0863646888497338</v>
      </c>
      <c r="Y574" s="0" t="s">
        <v>5716</v>
      </c>
      <c r="Z574" s="0" t="s">
        <v>60</v>
      </c>
    </row>
    <row r="575" customFormat="false" ht="15" hidden="false" customHeight="false" outlineLevel="0" collapsed="false">
      <c r="A575" s="0" t="n">
        <v>572</v>
      </c>
      <c r="B575" s="9" t="n">
        <v>94545</v>
      </c>
      <c r="C575" s="0" t="n">
        <v>28369</v>
      </c>
      <c r="D575" s="0" t="n">
        <v>75881</v>
      </c>
      <c r="E575" s="0" t="s">
        <v>195</v>
      </c>
      <c r="F575" s="0" t="n">
        <v>9202</v>
      </c>
      <c r="G575" s="0" t="s">
        <v>5717</v>
      </c>
      <c r="H575" s="0" t="s">
        <v>5718</v>
      </c>
      <c r="I575" s="0" t="s">
        <v>5719</v>
      </c>
      <c r="J575" s="0" t="s">
        <v>5720</v>
      </c>
      <c r="K575" s="0" t="s">
        <v>1616</v>
      </c>
      <c r="L575" s="0" t="n">
        <v>81722</v>
      </c>
      <c r="M575" s="0" t="s">
        <v>5721</v>
      </c>
      <c r="N575" s="0" t="n">
        <v>68636</v>
      </c>
      <c r="O575" s="9" t="n">
        <v>135</v>
      </c>
      <c r="P575" s="0" t="s">
        <v>486</v>
      </c>
      <c r="Q575" s="0" t="s">
        <v>5722</v>
      </c>
      <c r="R575" s="0" t="s">
        <v>5723</v>
      </c>
      <c r="S575" s="0" t="s">
        <v>293</v>
      </c>
      <c r="T575" s="0" t="s">
        <v>2342</v>
      </c>
      <c r="U575" s="9" t="n">
        <v>0</v>
      </c>
      <c r="V575" s="0" t="n">
        <v>13.8902686836758</v>
      </c>
      <c r="W575" s="0" t="n">
        <v>20240930</v>
      </c>
      <c r="X575" s="0" t="n">
        <v>-0.208082630553586</v>
      </c>
      <c r="Y575" s="0" t="s">
        <v>5724</v>
      </c>
      <c r="Z575" s="0" t="s">
        <v>60</v>
      </c>
    </row>
    <row r="576" customFormat="false" ht="15" hidden="false" customHeight="false" outlineLevel="0" collapsed="false">
      <c r="A576" s="0" t="n">
        <v>573</v>
      </c>
      <c r="B576" s="9" t="n">
        <v>283014</v>
      </c>
      <c r="C576" s="0" t="n">
        <v>28837</v>
      </c>
      <c r="D576" s="0" t="n">
        <v>251476</v>
      </c>
      <c r="E576" s="0" t="s">
        <v>742</v>
      </c>
      <c r="F576" s="0" t="n">
        <v>28217</v>
      </c>
      <c r="G576" s="0" t="s">
        <v>5725</v>
      </c>
      <c r="H576" s="0" t="s">
        <v>5726</v>
      </c>
      <c r="I576" s="0" t="s">
        <v>5727</v>
      </c>
      <c r="J576" s="0" t="s">
        <v>5728</v>
      </c>
      <c r="K576" s="0" t="s">
        <v>5729</v>
      </c>
      <c r="L576" s="0" t="n">
        <v>203765</v>
      </c>
      <c r="M576" s="0" t="s">
        <v>5730</v>
      </c>
      <c r="N576" s="0" t="n">
        <v>194609</v>
      </c>
      <c r="O576" s="9" t="n">
        <v>30</v>
      </c>
      <c r="P576" s="0" t="s">
        <v>497</v>
      </c>
      <c r="Q576" s="0" t="s">
        <v>5731</v>
      </c>
      <c r="R576" s="0" t="s">
        <v>5732</v>
      </c>
      <c r="S576" s="0" t="s">
        <v>5733</v>
      </c>
      <c r="T576" s="0" t="s">
        <v>5106</v>
      </c>
      <c r="U576" s="9" t="n">
        <v>0</v>
      </c>
      <c r="V576" s="0" t="n">
        <v>17.7307318906392</v>
      </c>
      <c r="W576" s="0" t="n">
        <v>20240930</v>
      </c>
      <c r="X576" s="0" t="n">
        <v>0.88534503400353</v>
      </c>
      <c r="Y576" s="0" t="s">
        <v>659</v>
      </c>
      <c r="Z576" s="0" t="s">
        <v>98</v>
      </c>
    </row>
    <row r="577" customFormat="false" ht="15" hidden="false" customHeight="false" outlineLevel="0" collapsed="false">
      <c r="A577" s="0" t="n">
        <v>574</v>
      </c>
      <c r="B577" s="9" t="n">
        <v>181616</v>
      </c>
      <c r="C577" s="0" t="n">
        <v>29636</v>
      </c>
      <c r="D577" s="0" t="n">
        <v>140789</v>
      </c>
      <c r="E577" s="0" t="s">
        <v>271</v>
      </c>
      <c r="F577" s="0" t="n">
        <v>26607</v>
      </c>
      <c r="G577" s="0" t="s">
        <v>5734</v>
      </c>
      <c r="H577" s="0" t="s">
        <v>5735</v>
      </c>
      <c r="I577" s="0" t="s">
        <v>5736</v>
      </c>
      <c r="J577" s="0" t="s">
        <v>5737</v>
      </c>
      <c r="K577" s="0" t="s">
        <v>5738</v>
      </c>
      <c r="L577" s="0" t="n">
        <v>139743</v>
      </c>
      <c r="M577" s="0" t="s">
        <v>5739</v>
      </c>
      <c r="N577" s="0" t="n">
        <v>136319</v>
      </c>
      <c r="O577" s="9" t="n">
        <v>2870</v>
      </c>
      <c r="P577" s="0" t="s">
        <v>509</v>
      </c>
      <c r="Q577" s="0" t="s">
        <v>5740</v>
      </c>
      <c r="R577" s="0" t="s">
        <v>5741</v>
      </c>
      <c r="S577" s="0" t="s">
        <v>478</v>
      </c>
      <c r="T577" s="0" t="s">
        <v>5742</v>
      </c>
      <c r="U577" s="9" t="n">
        <v>0</v>
      </c>
      <c r="V577" s="0" t="n">
        <v>27.01771126452</v>
      </c>
      <c r="W577" s="0" t="n">
        <v>20240930</v>
      </c>
      <c r="X577" s="0" t="n">
        <v>0.335911070326187</v>
      </c>
      <c r="Y577" s="0" t="s">
        <v>5743</v>
      </c>
      <c r="Z577" s="0" t="s">
        <v>60</v>
      </c>
    </row>
    <row r="578" customFormat="false" ht="15" hidden="false" customHeight="false" outlineLevel="0" collapsed="false">
      <c r="A578" s="0" t="n">
        <v>575</v>
      </c>
      <c r="B578" s="9" t="n">
        <v>194865</v>
      </c>
      <c r="C578" s="0" t="n">
        <v>29743</v>
      </c>
      <c r="D578" s="0" t="n">
        <v>169632</v>
      </c>
      <c r="E578" s="0" t="s">
        <v>1500</v>
      </c>
      <c r="F578" s="0" t="n">
        <v>18304</v>
      </c>
      <c r="G578" s="0" t="s">
        <v>5744</v>
      </c>
      <c r="H578" s="0" t="s">
        <v>5745</v>
      </c>
      <c r="I578" s="0" t="s">
        <v>5746</v>
      </c>
      <c r="J578" s="0" t="s">
        <v>5747</v>
      </c>
      <c r="K578" s="0" t="s">
        <v>5748</v>
      </c>
      <c r="L578" s="0" t="n">
        <v>135474</v>
      </c>
      <c r="M578" s="0" t="s">
        <v>5749</v>
      </c>
      <c r="N578" s="0" t="n">
        <v>88755</v>
      </c>
      <c r="O578" s="9" t="n">
        <v>713</v>
      </c>
      <c r="P578" s="0" t="s">
        <v>520</v>
      </c>
      <c r="Q578" s="0" t="s">
        <v>5750</v>
      </c>
      <c r="R578" s="0" t="s">
        <v>5751</v>
      </c>
      <c r="S578" s="0" t="s">
        <v>230</v>
      </c>
      <c r="T578" s="0" t="s">
        <v>5752</v>
      </c>
      <c r="U578" s="9" t="n">
        <v>0</v>
      </c>
      <c r="V578" s="0" t="n">
        <v>18.2276559407954</v>
      </c>
      <c r="W578" s="0" t="n">
        <v>20240930</v>
      </c>
      <c r="X578" s="0" t="n">
        <v>0.307613817098072</v>
      </c>
      <c r="Y578" s="0" t="s">
        <v>5753</v>
      </c>
      <c r="Z578" s="0" t="s">
        <v>60</v>
      </c>
    </row>
    <row r="579" customFormat="false" ht="15" hidden="false" customHeight="false" outlineLevel="0" collapsed="false">
      <c r="A579" s="0" t="n">
        <v>576</v>
      </c>
      <c r="B579" s="9" t="n">
        <v>602075</v>
      </c>
      <c r="C579" s="0" t="n">
        <v>29744</v>
      </c>
      <c r="D579" s="0" t="n">
        <v>467670</v>
      </c>
      <c r="E579" s="0" t="s">
        <v>61</v>
      </c>
      <c r="F579" s="0" t="n">
        <v>48662</v>
      </c>
      <c r="G579" s="0" t="s">
        <v>5754</v>
      </c>
      <c r="H579" s="0" t="s">
        <v>5755</v>
      </c>
      <c r="I579" s="0" t="s">
        <v>5756</v>
      </c>
      <c r="J579" s="0" t="s">
        <v>5757</v>
      </c>
      <c r="K579" s="0" t="s">
        <v>5758</v>
      </c>
      <c r="L579" s="0" t="n">
        <v>436785</v>
      </c>
      <c r="M579" s="0" t="s">
        <v>5759</v>
      </c>
      <c r="N579" s="0" t="n">
        <v>400419</v>
      </c>
      <c r="O579" s="9" t="n">
        <v>0</v>
      </c>
      <c r="P579" s="0" t="s">
        <v>531</v>
      </c>
      <c r="Q579" s="0" t="s">
        <v>61</v>
      </c>
      <c r="R579" s="0" t="s">
        <v>5760</v>
      </c>
      <c r="S579" s="0" t="s">
        <v>2688</v>
      </c>
      <c r="T579" s="0" t="s">
        <v>61</v>
      </c>
      <c r="U579" s="9" t="n">
        <v>0</v>
      </c>
      <c r="V579" s="0" t="n">
        <v>15.6619539212435</v>
      </c>
      <c r="W579" s="0" t="n">
        <v>20240930</v>
      </c>
      <c r="X579" s="0" t="n">
        <v>0.207937144494701</v>
      </c>
      <c r="Y579" s="0" t="s">
        <v>4105</v>
      </c>
      <c r="Z579" s="0" t="s">
        <v>158</v>
      </c>
    </row>
    <row r="580" customFormat="false" ht="15" hidden="false" customHeight="false" outlineLevel="0" collapsed="false">
      <c r="A580" s="0" t="n">
        <v>577</v>
      </c>
      <c r="B580" s="9" t="n">
        <v>583685</v>
      </c>
      <c r="C580" s="0" t="n">
        <v>30350</v>
      </c>
      <c r="D580" s="0" t="n">
        <v>462099</v>
      </c>
      <c r="E580" s="0" t="s">
        <v>794</v>
      </c>
      <c r="F580" s="0" t="n">
        <v>60586</v>
      </c>
      <c r="G580" s="0" t="s">
        <v>5761</v>
      </c>
      <c r="H580" s="0" t="s">
        <v>5762</v>
      </c>
      <c r="I580" s="0" t="s">
        <v>5763</v>
      </c>
      <c r="J580" s="0" t="s">
        <v>5764</v>
      </c>
      <c r="K580" s="0" t="s">
        <v>5765</v>
      </c>
      <c r="L580" s="0" t="n">
        <v>434699</v>
      </c>
      <c r="M580" s="0" t="s">
        <v>5766</v>
      </c>
      <c r="N580" s="0" t="n">
        <v>415141</v>
      </c>
      <c r="O580" s="9" t="n">
        <v>1774</v>
      </c>
      <c r="P580" s="0" t="s">
        <v>543</v>
      </c>
      <c r="Q580" s="0" t="s">
        <v>5767</v>
      </c>
      <c r="R580" s="0" t="s">
        <v>5768</v>
      </c>
      <c r="S580" s="0" t="s">
        <v>5769</v>
      </c>
      <c r="T580" s="0" t="s">
        <v>5770</v>
      </c>
      <c r="U580" s="9" t="n">
        <v>0</v>
      </c>
      <c r="V580" s="0" t="n">
        <v>20.6833500325561</v>
      </c>
      <c r="W580" s="0" t="n">
        <v>20240930</v>
      </c>
      <c r="X580" s="0" t="n">
        <v>0.62176253371026</v>
      </c>
      <c r="Y580" s="0" t="s">
        <v>5771</v>
      </c>
      <c r="Z580" s="0" t="s">
        <v>98</v>
      </c>
    </row>
    <row r="581" customFormat="false" ht="15" hidden="false" customHeight="false" outlineLevel="0" collapsed="false">
      <c r="A581" s="0" t="n">
        <v>578</v>
      </c>
      <c r="B581" s="9" t="n">
        <v>101059</v>
      </c>
      <c r="C581" s="0" t="n">
        <v>30878</v>
      </c>
      <c r="D581" s="0" t="n">
        <v>76246</v>
      </c>
      <c r="E581" s="0" t="s">
        <v>1281</v>
      </c>
      <c r="F581" s="0" t="n">
        <v>11989</v>
      </c>
      <c r="G581" s="0" t="s">
        <v>5772</v>
      </c>
      <c r="H581" s="0" t="s">
        <v>5773</v>
      </c>
      <c r="I581" s="0" t="s">
        <v>5774</v>
      </c>
      <c r="J581" s="0" t="s">
        <v>61</v>
      </c>
      <c r="K581" s="0" t="s">
        <v>5775</v>
      </c>
      <c r="L581" s="0" t="n">
        <v>87769</v>
      </c>
      <c r="M581" s="0" t="s">
        <v>5776</v>
      </c>
      <c r="N581" s="0" t="n">
        <v>87603</v>
      </c>
      <c r="O581" s="9" t="n">
        <v>1674</v>
      </c>
      <c r="P581" s="0" t="s">
        <v>553</v>
      </c>
      <c r="Q581" s="0" t="s">
        <v>5777</v>
      </c>
      <c r="R581" s="0" t="s">
        <v>5778</v>
      </c>
      <c r="S581" s="0" t="s">
        <v>61</v>
      </c>
      <c r="T581" s="0" t="s">
        <v>5779</v>
      </c>
      <c r="U581" s="9" t="n">
        <v>0</v>
      </c>
      <c r="V581" s="0" t="n">
        <v>0</v>
      </c>
      <c r="W581" s="0" t="n">
        <v>20240930</v>
      </c>
      <c r="X581" s="0" t="n">
        <v>-0.533353658240569</v>
      </c>
      <c r="Y581" s="0" t="s">
        <v>5780</v>
      </c>
      <c r="Z581" s="0" t="s">
        <v>60</v>
      </c>
    </row>
    <row r="582" customFormat="false" ht="15" hidden="false" customHeight="false" outlineLevel="0" collapsed="false">
      <c r="A582" s="0" t="n">
        <v>579</v>
      </c>
      <c r="B582" s="9" t="n">
        <v>938865</v>
      </c>
      <c r="C582" s="0" t="n">
        <v>33418</v>
      </c>
      <c r="D582" s="0" t="n">
        <v>826469</v>
      </c>
      <c r="E582" s="0" t="s">
        <v>1393</v>
      </c>
      <c r="F582" s="0" t="n">
        <v>69813</v>
      </c>
      <c r="G582" s="0" t="s">
        <v>5781</v>
      </c>
      <c r="H582" s="0" t="s">
        <v>5782</v>
      </c>
      <c r="I582" s="0" t="s">
        <v>5783</v>
      </c>
      <c r="J582" s="0" t="s">
        <v>5784</v>
      </c>
      <c r="K582" s="0" t="s">
        <v>5785</v>
      </c>
      <c r="L582" s="0" t="n">
        <v>532153</v>
      </c>
      <c r="M582" s="0" t="s">
        <v>5786</v>
      </c>
      <c r="N582" s="0" t="n">
        <v>442986</v>
      </c>
      <c r="O582" s="9" t="n">
        <v>1024</v>
      </c>
      <c r="P582" s="0" t="s">
        <v>564</v>
      </c>
      <c r="Q582" s="0" t="s">
        <v>5787</v>
      </c>
      <c r="R582" s="0" t="s">
        <v>5788</v>
      </c>
      <c r="S582" s="0" t="s">
        <v>71</v>
      </c>
      <c r="T582" s="0" t="s">
        <v>1824</v>
      </c>
      <c r="U582" s="9" t="n">
        <v>0</v>
      </c>
      <c r="V582" s="0" t="n">
        <v>13.9529252381118</v>
      </c>
      <c r="W582" s="0" t="n">
        <v>20240930</v>
      </c>
      <c r="X582" s="0" t="n">
        <v>0.395784291055647</v>
      </c>
      <c r="Y582" s="0" t="s">
        <v>5037</v>
      </c>
      <c r="Z582" s="0" t="s">
        <v>98</v>
      </c>
    </row>
    <row r="583" customFormat="false" ht="15" hidden="false" customHeight="false" outlineLevel="0" collapsed="false">
      <c r="A583" s="0" t="n">
        <v>580</v>
      </c>
      <c r="B583" s="9" t="n">
        <v>90470</v>
      </c>
      <c r="C583" s="0" t="n">
        <v>35206</v>
      </c>
      <c r="D583" s="0" t="n">
        <v>500</v>
      </c>
      <c r="E583" s="0" t="s">
        <v>61</v>
      </c>
      <c r="F583" s="0" t="n">
        <v>87835</v>
      </c>
      <c r="G583" s="0" t="s">
        <v>5789</v>
      </c>
      <c r="H583" s="0" t="s">
        <v>5790</v>
      </c>
      <c r="I583" s="0" t="s">
        <v>61</v>
      </c>
      <c r="J583" s="0" t="s">
        <v>61</v>
      </c>
      <c r="K583" s="0" t="s">
        <v>61</v>
      </c>
      <c r="L583" s="0" t="n">
        <v>0</v>
      </c>
      <c r="M583" s="0" t="s">
        <v>61</v>
      </c>
      <c r="N583" s="0" t="n">
        <v>0</v>
      </c>
      <c r="O583" s="9" t="n">
        <v>0</v>
      </c>
      <c r="P583" s="0" t="s">
        <v>1112</v>
      </c>
      <c r="Q583" s="0" t="s">
        <v>61</v>
      </c>
      <c r="R583" s="0" t="s">
        <v>5791</v>
      </c>
      <c r="S583" s="0" t="s">
        <v>61</v>
      </c>
      <c r="T583" s="0" t="s">
        <v>61</v>
      </c>
      <c r="U583" s="9" t="n">
        <v>0</v>
      </c>
      <c r="V583" s="0" t="n">
        <v>0</v>
      </c>
      <c r="W583" s="0" t="n">
        <v>20240930</v>
      </c>
      <c r="X583" s="0" t="n">
        <v>21.5285961063394</v>
      </c>
      <c r="Y583" s="0" t="s">
        <v>5792</v>
      </c>
      <c r="Z583" s="0" t="s">
        <v>158</v>
      </c>
    </row>
    <row r="584" customFormat="false" ht="15" hidden="false" customHeight="false" outlineLevel="0" collapsed="false">
      <c r="A584" s="0" t="n">
        <v>581</v>
      </c>
      <c r="B584" s="9" t="n">
        <v>5730254</v>
      </c>
      <c r="C584" s="0" t="n">
        <v>4255</v>
      </c>
      <c r="D584" s="0" t="n">
        <v>4609875</v>
      </c>
      <c r="E584" s="0" t="s">
        <v>794</v>
      </c>
      <c r="F584" s="0" t="n">
        <v>543598</v>
      </c>
      <c r="G584" s="0" t="s">
        <v>5793</v>
      </c>
      <c r="H584" s="0" t="s">
        <v>5794</v>
      </c>
      <c r="I584" s="0" t="s">
        <v>5795</v>
      </c>
      <c r="J584" s="0" t="s">
        <v>5796</v>
      </c>
      <c r="K584" s="0" t="s">
        <v>5797</v>
      </c>
      <c r="L584" s="0" t="n">
        <v>4128435</v>
      </c>
      <c r="M584" s="0" t="s">
        <v>5798</v>
      </c>
      <c r="N584" s="0" t="n">
        <v>3753732</v>
      </c>
      <c r="O584" s="9" t="n">
        <v>5350</v>
      </c>
      <c r="P584" s="0" t="s">
        <v>575</v>
      </c>
      <c r="Q584" s="0" t="s">
        <v>5799</v>
      </c>
      <c r="R584" s="0" t="s">
        <v>5800</v>
      </c>
      <c r="S584" s="0" t="s">
        <v>5801</v>
      </c>
      <c r="T584" s="0" t="s">
        <v>3582</v>
      </c>
      <c r="U584" s="9" t="n">
        <v>0</v>
      </c>
      <c r="V584" s="0" t="n">
        <v>14.1867246818839</v>
      </c>
      <c r="W584" s="0" t="n">
        <v>20240930</v>
      </c>
      <c r="X584" s="0" t="n">
        <v>0.9337865070275</v>
      </c>
      <c r="Y584" s="0" t="s">
        <v>5802</v>
      </c>
      <c r="Z584" s="0" t="s">
        <v>60</v>
      </c>
    </row>
    <row r="585" customFormat="false" ht="15" hidden="false" customHeight="false" outlineLevel="0" collapsed="false">
      <c r="A585" s="0" t="n">
        <v>582</v>
      </c>
      <c r="B585" s="9" t="n">
        <v>3107311</v>
      </c>
      <c r="C585" s="0" t="n">
        <v>4256</v>
      </c>
      <c r="D585" s="0" t="n">
        <v>2703552</v>
      </c>
      <c r="E585" s="0" t="s">
        <v>1500</v>
      </c>
      <c r="F585" s="0" t="n">
        <v>227931</v>
      </c>
      <c r="G585" s="0" t="s">
        <v>5803</v>
      </c>
      <c r="H585" s="0" t="s">
        <v>5804</v>
      </c>
      <c r="I585" s="0" t="s">
        <v>5805</v>
      </c>
      <c r="J585" s="0" t="s">
        <v>5806</v>
      </c>
      <c r="K585" s="0" t="s">
        <v>5807</v>
      </c>
      <c r="L585" s="0" t="n">
        <v>2307253</v>
      </c>
      <c r="M585" s="0" t="s">
        <v>5808</v>
      </c>
      <c r="N585" s="0" t="n">
        <v>1810714</v>
      </c>
      <c r="O585" s="9" t="n">
        <v>2497</v>
      </c>
      <c r="P585" s="0" t="s">
        <v>587</v>
      </c>
      <c r="Q585" s="0" t="s">
        <v>5809</v>
      </c>
      <c r="R585" s="0" t="s">
        <v>5810</v>
      </c>
      <c r="S585" s="0" t="s">
        <v>1039</v>
      </c>
      <c r="T585" s="0" t="s">
        <v>3483</v>
      </c>
      <c r="U585" s="9" t="n">
        <v>405</v>
      </c>
      <c r="V585" s="0" t="n">
        <v>13.0554366502324</v>
      </c>
      <c r="W585" s="0" t="n">
        <v>20240930</v>
      </c>
      <c r="X585" s="0" t="n">
        <v>0.912442159618479</v>
      </c>
      <c r="Y585" s="0" t="s">
        <v>5811</v>
      </c>
      <c r="Z585" s="0" t="s">
        <v>60</v>
      </c>
    </row>
    <row r="586" customFormat="false" ht="15" hidden="false" customHeight="false" outlineLevel="0" collapsed="false">
      <c r="A586" s="0" t="n">
        <v>583</v>
      </c>
      <c r="B586" s="9" t="n">
        <v>716744</v>
      </c>
      <c r="C586" s="0" t="n">
        <v>59086</v>
      </c>
      <c r="D586" s="0" t="n">
        <v>614764</v>
      </c>
      <c r="E586" s="0" t="s">
        <v>85</v>
      </c>
      <c r="F586" s="0" t="n">
        <v>96571</v>
      </c>
      <c r="G586" s="0" t="s">
        <v>5812</v>
      </c>
      <c r="H586" s="0" t="s">
        <v>5813</v>
      </c>
      <c r="I586" s="0" t="s">
        <v>5814</v>
      </c>
      <c r="J586" s="0" t="s">
        <v>5815</v>
      </c>
      <c r="K586" s="0" t="s">
        <v>61</v>
      </c>
      <c r="L586" s="0" t="n">
        <v>599117</v>
      </c>
      <c r="M586" s="0" t="s">
        <v>5816</v>
      </c>
      <c r="N586" s="0" t="n">
        <v>474334</v>
      </c>
      <c r="O586" s="9" t="n">
        <v>3521</v>
      </c>
      <c r="P586" s="0" t="s">
        <v>599</v>
      </c>
      <c r="Q586" s="0" t="s">
        <v>5817</v>
      </c>
      <c r="R586" s="0" t="s">
        <v>5818</v>
      </c>
      <c r="S586" s="0" t="s">
        <v>5819</v>
      </c>
      <c r="T586" s="0" t="s">
        <v>5820</v>
      </c>
      <c r="U586" s="9" t="n">
        <v>6307</v>
      </c>
      <c r="V586" s="0" t="n">
        <v>16.0439870513234</v>
      </c>
      <c r="W586" s="0" t="n">
        <v>20240930</v>
      </c>
      <c r="X586" s="0" t="n">
        <v>1.44425252021969</v>
      </c>
      <c r="Y586" s="0" t="s">
        <v>3325</v>
      </c>
      <c r="Z586" s="0" t="s">
        <v>158</v>
      </c>
    </row>
    <row r="587" customFormat="false" ht="15" hidden="false" customHeight="false" outlineLevel="0" collapsed="false">
      <c r="A587" s="0" t="n">
        <v>584</v>
      </c>
      <c r="B587" s="9" t="n">
        <v>228046</v>
      </c>
      <c r="C587" s="0" t="n">
        <v>59176</v>
      </c>
      <c r="D587" s="0" t="n">
        <v>192544</v>
      </c>
      <c r="E587" s="0" t="s">
        <v>172</v>
      </c>
      <c r="F587" s="0" t="n">
        <v>27016</v>
      </c>
      <c r="G587" s="0" t="s">
        <v>5821</v>
      </c>
      <c r="H587" s="0" t="s">
        <v>5822</v>
      </c>
      <c r="I587" s="0" t="s">
        <v>5823</v>
      </c>
      <c r="J587" s="0" t="s">
        <v>5824</v>
      </c>
      <c r="K587" s="0" t="s">
        <v>61</v>
      </c>
      <c r="L587" s="0" t="n">
        <v>169029</v>
      </c>
      <c r="M587" s="0" t="s">
        <v>5825</v>
      </c>
      <c r="N587" s="0" t="n">
        <v>146756</v>
      </c>
      <c r="O587" s="9" t="n">
        <v>0</v>
      </c>
      <c r="P587" s="0" t="s">
        <v>610</v>
      </c>
      <c r="Q587" s="0" t="s">
        <v>61</v>
      </c>
      <c r="R587" s="0" t="s">
        <v>5826</v>
      </c>
      <c r="S587" s="0" t="s">
        <v>4540</v>
      </c>
      <c r="T587" s="0" t="s">
        <v>61</v>
      </c>
      <c r="U587" s="9" t="n">
        <v>0</v>
      </c>
      <c r="V587" s="0" t="n">
        <v>0</v>
      </c>
      <c r="W587" s="0" t="n">
        <v>20240930</v>
      </c>
      <c r="X587" s="0" t="n">
        <v>0.0476526211412943</v>
      </c>
      <c r="Y587" s="0" t="s">
        <v>5827</v>
      </c>
      <c r="Z587" s="0" t="s">
        <v>158</v>
      </c>
    </row>
    <row r="588" customFormat="false" ht="15" hidden="false" customHeight="false" outlineLevel="0" collapsed="false">
      <c r="A588" s="0" t="n">
        <v>585</v>
      </c>
      <c r="B588" s="9" t="n">
        <v>120497</v>
      </c>
      <c r="C588" s="0" t="n">
        <v>59289</v>
      </c>
      <c r="D588" s="0" t="n">
        <v>102833</v>
      </c>
      <c r="E588" s="0" t="s">
        <v>5828</v>
      </c>
      <c r="F588" s="0" t="n">
        <v>16578</v>
      </c>
      <c r="G588" s="0" t="s">
        <v>5829</v>
      </c>
      <c r="H588" s="0" t="s">
        <v>5830</v>
      </c>
      <c r="I588" s="0" t="s">
        <v>5831</v>
      </c>
      <c r="J588" s="0" t="s">
        <v>5832</v>
      </c>
      <c r="K588" s="0" t="s">
        <v>61</v>
      </c>
      <c r="L588" s="0" t="n">
        <v>73232</v>
      </c>
      <c r="M588" s="0" t="s">
        <v>5833</v>
      </c>
      <c r="N588" s="0" t="n">
        <v>31000</v>
      </c>
      <c r="O588" s="9" t="n">
        <v>4832</v>
      </c>
      <c r="P588" s="0" t="s">
        <v>2223</v>
      </c>
      <c r="Q588" s="0" t="s">
        <v>5834</v>
      </c>
      <c r="R588" s="0" t="s">
        <v>5835</v>
      </c>
      <c r="S588" s="0" t="s">
        <v>61</v>
      </c>
      <c r="T588" s="0" t="s">
        <v>61</v>
      </c>
      <c r="U588" s="9" t="n">
        <v>0</v>
      </c>
      <c r="V588" s="0" t="n">
        <v>0</v>
      </c>
      <c r="W588" s="0" t="n">
        <v>20240930</v>
      </c>
      <c r="X588" s="0" t="n">
        <v>-3.55028579942775</v>
      </c>
      <c r="Y588" s="0" t="s">
        <v>5836</v>
      </c>
      <c r="Z588" s="0" t="s">
        <v>158</v>
      </c>
    </row>
    <row r="589" customFormat="false" ht="15" hidden="false" customHeight="false" outlineLevel="0" collapsed="false">
      <c r="A589" s="0" t="n">
        <v>586</v>
      </c>
      <c r="B589" s="9" t="n">
        <v>257839</v>
      </c>
      <c r="C589" s="0" t="n">
        <v>59298</v>
      </c>
      <c r="D589" s="0" t="n">
        <v>230108</v>
      </c>
      <c r="E589" s="0" t="s">
        <v>2413</v>
      </c>
      <c r="F589" s="0" t="n">
        <v>26808</v>
      </c>
      <c r="G589" s="0" t="s">
        <v>5837</v>
      </c>
      <c r="H589" s="0" t="s">
        <v>5838</v>
      </c>
      <c r="I589" s="0" t="s">
        <v>5839</v>
      </c>
      <c r="J589" s="0" t="s">
        <v>5840</v>
      </c>
      <c r="K589" s="0" t="s">
        <v>61</v>
      </c>
      <c r="L589" s="0" t="n">
        <v>111891</v>
      </c>
      <c r="M589" s="0" t="s">
        <v>5841</v>
      </c>
      <c r="N589" s="0" t="n">
        <v>88153</v>
      </c>
      <c r="O589" s="9" t="n">
        <v>0</v>
      </c>
      <c r="P589" s="0" t="s">
        <v>1684</v>
      </c>
      <c r="Q589" s="0" t="s">
        <v>61</v>
      </c>
      <c r="R589" s="0" t="s">
        <v>5842</v>
      </c>
      <c r="S589" s="0" t="s">
        <v>61</v>
      </c>
      <c r="T589" s="0" t="s">
        <v>61</v>
      </c>
      <c r="U589" s="9" t="n">
        <v>0</v>
      </c>
      <c r="V589" s="0" t="n">
        <v>0</v>
      </c>
      <c r="W589" s="0" t="n">
        <v>20240930</v>
      </c>
      <c r="X589" s="0" t="n">
        <v>-1.04704613103554</v>
      </c>
      <c r="Y589" s="0" t="s">
        <v>5843</v>
      </c>
      <c r="Z589" s="0" t="s">
        <v>98</v>
      </c>
    </row>
    <row r="590" customFormat="false" ht="15" hidden="false" customHeight="false" outlineLevel="0" collapsed="false">
      <c r="A590" s="0" t="n">
        <v>587</v>
      </c>
      <c r="B590" s="9" t="n">
        <v>1176660</v>
      </c>
      <c r="C590" s="0" t="n">
        <v>6271</v>
      </c>
      <c r="D590" s="0" t="n">
        <v>930724</v>
      </c>
      <c r="E590" s="0" t="s">
        <v>1436</v>
      </c>
      <c r="F590" s="0" t="n">
        <v>110390</v>
      </c>
      <c r="G590" s="0" t="s">
        <v>5844</v>
      </c>
      <c r="H590" s="0" t="s">
        <v>5845</v>
      </c>
      <c r="I590" s="0" t="s">
        <v>5846</v>
      </c>
      <c r="J590" s="0" t="s">
        <v>5847</v>
      </c>
      <c r="K590" s="0" t="s">
        <v>5848</v>
      </c>
      <c r="L590" s="0" t="n">
        <v>913349</v>
      </c>
      <c r="M590" s="0" t="s">
        <v>5849</v>
      </c>
      <c r="N590" s="0" t="n">
        <v>709642</v>
      </c>
      <c r="O590" s="9" t="n">
        <v>4487</v>
      </c>
      <c r="P590" s="0" t="s">
        <v>621</v>
      </c>
      <c r="Q590" s="0" t="s">
        <v>5850</v>
      </c>
      <c r="R590" s="0" t="s">
        <v>5851</v>
      </c>
      <c r="S590" s="0" t="s">
        <v>5852</v>
      </c>
      <c r="T590" s="0" t="s">
        <v>772</v>
      </c>
      <c r="U590" s="9" t="n">
        <v>873</v>
      </c>
      <c r="V590" s="0" t="n">
        <v>14.7664225949049</v>
      </c>
      <c r="W590" s="0" t="n">
        <v>20240930</v>
      </c>
      <c r="X590" s="0" t="n">
        <v>1.13807452468225</v>
      </c>
      <c r="Y590" s="0" t="s">
        <v>5853</v>
      </c>
      <c r="Z590" s="0" t="s">
        <v>98</v>
      </c>
    </row>
    <row r="591" customFormat="false" ht="15" hidden="false" customHeight="false" outlineLevel="0" collapsed="false">
      <c r="A591" s="0" t="n">
        <v>588</v>
      </c>
      <c r="B591" s="9" t="n">
        <v>558754</v>
      </c>
      <c r="C591" s="0" t="n">
        <v>6275</v>
      </c>
      <c r="D591" s="0" t="n">
        <v>473501</v>
      </c>
      <c r="E591" s="0" t="s">
        <v>61</v>
      </c>
      <c r="F591" s="0" t="n">
        <v>36242</v>
      </c>
      <c r="G591" s="0" t="s">
        <v>5854</v>
      </c>
      <c r="H591" s="0" t="s">
        <v>5855</v>
      </c>
      <c r="I591" s="0" t="s">
        <v>5856</v>
      </c>
      <c r="J591" s="0" t="s">
        <v>5857</v>
      </c>
      <c r="K591" s="0" t="s">
        <v>5858</v>
      </c>
      <c r="L591" s="0" t="n">
        <v>346673</v>
      </c>
      <c r="M591" s="0" t="s">
        <v>5859</v>
      </c>
      <c r="N591" s="0" t="n">
        <v>288795</v>
      </c>
      <c r="O591" s="9" t="n">
        <v>745</v>
      </c>
      <c r="P591" s="0" t="s">
        <v>633</v>
      </c>
      <c r="Q591" s="0" t="s">
        <v>5860</v>
      </c>
      <c r="R591" s="0" t="s">
        <v>5861</v>
      </c>
      <c r="S591" s="0" t="s">
        <v>327</v>
      </c>
      <c r="T591" s="0" t="s">
        <v>5862</v>
      </c>
      <c r="U591" s="9" t="n">
        <v>68</v>
      </c>
      <c r="V591" s="0" t="n">
        <v>15.2047103929892</v>
      </c>
      <c r="W591" s="0" t="n">
        <v>20240930</v>
      </c>
      <c r="X591" s="0" t="n">
        <v>0.610514678351193</v>
      </c>
      <c r="Y591" s="0" t="s">
        <v>4681</v>
      </c>
      <c r="Z591" s="0" t="s">
        <v>98</v>
      </c>
    </row>
    <row r="592" customFormat="false" ht="15" hidden="false" customHeight="false" outlineLevel="0" collapsed="false">
      <c r="A592" s="0" t="n">
        <v>589</v>
      </c>
      <c r="B592" s="9" t="n">
        <v>85714</v>
      </c>
      <c r="C592" s="0" t="n">
        <v>6280</v>
      </c>
      <c r="D592" s="0" t="n">
        <v>75614</v>
      </c>
      <c r="E592" s="0" t="s">
        <v>1187</v>
      </c>
      <c r="F592" s="0" t="n">
        <v>9836</v>
      </c>
      <c r="G592" s="0" t="s">
        <v>5863</v>
      </c>
      <c r="H592" s="0" t="s">
        <v>5864</v>
      </c>
      <c r="I592" s="0" t="s">
        <v>5865</v>
      </c>
      <c r="J592" s="0" t="s">
        <v>5866</v>
      </c>
      <c r="K592" s="0" t="s">
        <v>5867</v>
      </c>
      <c r="L592" s="0" t="n">
        <v>70650</v>
      </c>
      <c r="M592" s="0" t="s">
        <v>5868</v>
      </c>
      <c r="N592" s="0" t="n">
        <v>62411</v>
      </c>
      <c r="O592" s="9" t="n">
        <v>1121</v>
      </c>
      <c r="P592" s="0" t="s">
        <v>644</v>
      </c>
      <c r="Q592" s="0" t="s">
        <v>5869</v>
      </c>
      <c r="R592" s="0" t="s">
        <v>5870</v>
      </c>
      <c r="S592" s="0" t="s">
        <v>281</v>
      </c>
      <c r="T592" s="0" t="s">
        <v>647</v>
      </c>
      <c r="U592" s="9" t="n">
        <v>0</v>
      </c>
      <c r="V592" s="0" t="n">
        <v>0</v>
      </c>
      <c r="W592" s="0" t="n">
        <v>20240930</v>
      </c>
      <c r="X592" s="0" t="n">
        <v>1.37847937324559</v>
      </c>
      <c r="Y592" s="0" t="s">
        <v>5871</v>
      </c>
      <c r="Z592" s="0" t="s">
        <v>98</v>
      </c>
    </row>
    <row r="593" customFormat="false" ht="15" hidden="false" customHeight="false" outlineLevel="0" collapsed="false">
      <c r="A593" s="0" t="n">
        <v>590</v>
      </c>
      <c r="B593" s="9" t="n">
        <v>4077997</v>
      </c>
      <c r="C593" s="0" t="n">
        <v>11971</v>
      </c>
      <c r="D593" s="0" t="n">
        <v>3274818</v>
      </c>
      <c r="E593" s="0" t="s">
        <v>208</v>
      </c>
      <c r="F593" s="0" t="n">
        <v>493072</v>
      </c>
      <c r="G593" s="0" t="s">
        <v>5872</v>
      </c>
      <c r="H593" s="0" t="s">
        <v>5873</v>
      </c>
      <c r="I593" s="0" t="s">
        <v>5874</v>
      </c>
      <c r="J593" s="0" t="s">
        <v>5875</v>
      </c>
      <c r="K593" s="0" t="s">
        <v>5876</v>
      </c>
      <c r="L593" s="0" t="n">
        <v>3148332</v>
      </c>
      <c r="M593" s="0" t="s">
        <v>5877</v>
      </c>
      <c r="N593" s="0" t="n">
        <v>2776221</v>
      </c>
      <c r="O593" s="9" t="n">
        <v>6995</v>
      </c>
      <c r="P593" s="0" t="s">
        <v>54</v>
      </c>
      <c r="Q593" s="0" t="s">
        <v>5878</v>
      </c>
      <c r="R593" s="0" t="s">
        <v>5879</v>
      </c>
      <c r="S593" s="0" t="s">
        <v>5880</v>
      </c>
      <c r="T593" s="0" t="s">
        <v>5881</v>
      </c>
      <c r="U593" s="9" t="n">
        <v>3</v>
      </c>
      <c r="V593" s="0" t="n">
        <v>13.4411479487113</v>
      </c>
      <c r="W593" s="0" t="n">
        <v>20241231</v>
      </c>
      <c r="X593" s="0" t="n">
        <v>1.26447906428998</v>
      </c>
      <c r="Y593" s="0" t="s">
        <v>5882</v>
      </c>
      <c r="Z593" s="0" t="s">
        <v>60</v>
      </c>
    </row>
    <row r="594" customFormat="false" ht="15" hidden="false" customHeight="false" outlineLevel="0" collapsed="false">
      <c r="A594" s="0" t="n">
        <v>591</v>
      </c>
      <c r="B594" s="9" t="n">
        <v>1078599</v>
      </c>
      <c r="C594" s="0" t="n">
        <v>12874</v>
      </c>
      <c r="D594" s="0" t="n">
        <v>931493</v>
      </c>
      <c r="E594" s="0" t="s">
        <v>246</v>
      </c>
      <c r="F594" s="0" t="n">
        <v>96293</v>
      </c>
      <c r="G594" s="0" t="s">
        <v>5883</v>
      </c>
      <c r="H594" s="0" t="s">
        <v>5884</v>
      </c>
      <c r="I594" s="0" t="s">
        <v>5885</v>
      </c>
      <c r="J594" s="0" t="s">
        <v>5886</v>
      </c>
      <c r="K594" s="0" t="s">
        <v>5887</v>
      </c>
      <c r="L594" s="0" t="n">
        <v>824752</v>
      </c>
      <c r="M594" s="0" t="s">
        <v>5888</v>
      </c>
      <c r="N594" s="0" t="n">
        <v>640478</v>
      </c>
      <c r="O594" s="9" t="n">
        <v>1392</v>
      </c>
      <c r="P594" s="0" t="s">
        <v>68</v>
      </c>
      <c r="Q594" s="0" t="s">
        <v>5889</v>
      </c>
      <c r="R594" s="0" t="s">
        <v>5890</v>
      </c>
      <c r="S594" s="0" t="s">
        <v>3967</v>
      </c>
      <c r="T594" s="0" t="s">
        <v>5385</v>
      </c>
      <c r="U594" s="9" t="n">
        <v>0</v>
      </c>
      <c r="V594" s="0" t="n">
        <v>14.0068083332392</v>
      </c>
      <c r="W594" s="0" t="n">
        <v>20241231</v>
      </c>
      <c r="X594" s="0" t="n">
        <v>0.860333153789986</v>
      </c>
      <c r="Y594" s="0" t="s">
        <v>5891</v>
      </c>
      <c r="Z594" s="0" t="s">
        <v>60</v>
      </c>
    </row>
    <row r="595" customFormat="false" ht="15" hidden="false" customHeight="false" outlineLevel="0" collapsed="false">
      <c r="A595" s="0" t="n">
        <v>592</v>
      </c>
      <c r="B595" s="9" t="n">
        <v>1867411</v>
      </c>
      <c r="C595" s="0" t="n">
        <v>13063</v>
      </c>
      <c r="D595" s="0" t="n">
        <v>1626222</v>
      </c>
      <c r="E595" s="0" t="s">
        <v>61</v>
      </c>
      <c r="F595" s="0" t="n">
        <v>153090</v>
      </c>
      <c r="G595" s="0" t="s">
        <v>5892</v>
      </c>
      <c r="H595" s="0" t="s">
        <v>5893</v>
      </c>
      <c r="I595" s="0" t="s">
        <v>5894</v>
      </c>
      <c r="J595" s="0" t="s">
        <v>5895</v>
      </c>
      <c r="K595" s="0" t="s">
        <v>3945</v>
      </c>
      <c r="L595" s="0" t="n">
        <v>1503020</v>
      </c>
      <c r="M595" s="0" t="s">
        <v>5896</v>
      </c>
      <c r="N595" s="0" t="n">
        <v>1427918</v>
      </c>
      <c r="O595" s="9" t="n">
        <v>471</v>
      </c>
      <c r="P595" s="0" t="s">
        <v>80</v>
      </c>
      <c r="Q595" s="0" t="s">
        <v>5897</v>
      </c>
      <c r="R595" s="0" t="s">
        <v>5898</v>
      </c>
      <c r="S595" s="0" t="s">
        <v>3746</v>
      </c>
      <c r="T595" s="0" t="s">
        <v>5899</v>
      </c>
      <c r="U595" s="9" t="n">
        <v>0</v>
      </c>
      <c r="V595" s="0" t="n">
        <v>0</v>
      </c>
      <c r="W595" s="0" t="n">
        <v>20241231</v>
      </c>
      <c r="X595" s="0" t="n">
        <v>0.520034133011195</v>
      </c>
      <c r="Y595" s="0" t="s">
        <v>5900</v>
      </c>
      <c r="Z595" s="0" t="s">
        <v>60</v>
      </c>
    </row>
    <row r="596" customFormat="false" ht="15" hidden="false" customHeight="false" outlineLevel="0" collapsed="false">
      <c r="A596" s="0" t="n">
        <v>593</v>
      </c>
      <c r="B596" s="9" t="n">
        <v>894082</v>
      </c>
      <c r="C596" s="0" t="n">
        <v>14134</v>
      </c>
      <c r="D596" s="0" t="n">
        <v>716959</v>
      </c>
      <c r="E596" s="0" t="s">
        <v>1187</v>
      </c>
      <c r="F596" s="0" t="n">
        <v>111729</v>
      </c>
      <c r="G596" s="0" t="s">
        <v>5901</v>
      </c>
      <c r="H596" s="0" t="s">
        <v>5902</v>
      </c>
      <c r="I596" s="0" t="s">
        <v>5903</v>
      </c>
      <c r="J596" s="0" t="s">
        <v>5904</v>
      </c>
      <c r="K596" s="0" t="s">
        <v>5905</v>
      </c>
      <c r="L596" s="0" t="n">
        <v>643373</v>
      </c>
      <c r="M596" s="0" t="s">
        <v>5906</v>
      </c>
      <c r="N596" s="0" t="n">
        <v>570625</v>
      </c>
      <c r="O596" s="9" t="n">
        <v>3603</v>
      </c>
      <c r="P596" s="0" t="s">
        <v>92</v>
      </c>
      <c r="Q596" s="0" t="s">
        <v>5907</v>
      </c>
      <c r="R596" s="0" t="s">
        <v>5908</v>
      </c>
      <c r="S596" s="0" t="s">
        <v>5909</v>
      </c>
      <c r="T596" s="0" t="s">
        <v>5910</v>
      </c>
      <c r="U596" s="9" t="n">
        <v>0</v>
      </c>
      <c r="V596" s="0" t="n">
        <v>20.2931917327933</v>
      </c>
      <c r="W596" s="0" t="n">
        <v>20241231</v>
      </c>
      <c r="X596" s="0" t="n">
        <v>0.807708956890982</v>
      </c>
      <c r="Y596" s="0" t="s">
        <v>5911</v>
      </c>
      <c r="Z596" s="0" t="s">
        <v>98</v>
      </c>
    </row>
    <row r="597" customFormat="false" ht="15" hidden="false" customHeight="false" outlineLevel="0" collapsed="false">
      <c r="A597" s="0" t="n">
        <v>594</v>
      </c>
      <c r="B597" s="9" t="n">
        <v>237708</v>
      </c>
      <c r="C597" s="0" t="n">
        <v>14136</v>
      </c>
      <c r="D597" s="0" t="n">
        <v>204666</v>
      </c>
      <c r="E597" s="0" t="s">
        <v>390</v>
      </c>
      <c r="F597" s="0" t="n">
        <v>18926</v>
      </c>
      <c r="G597" s="0" t="s">
        <v>5912</v>
      </c>
      <c r="H597" s="0" t="s">
        <v>5913</v>
      </c>
      <c r="I597" s="0" t="s">
        <v>5914</v>
      </c>
      <c r="J597" s="0" t="s">
        <v>5915</v>
      </c>
      <c r="K597" s="0" t="s">
        <v>5916</v>
      </c>
      <c r="L597" s="0" t="n">
        <v>157799</v>
      </c>
      <c r="M597" s="0" t="s">
        <v>5917</v>
      </c>
      <c r="N597" s="0" t="n">
        <v>125909</v>
      </c>
      <c r="O597" s="9" t="n">
        <v>510</v>
      </c>
      <c r="P597" s="0" t="s">
        <v>105</v>
      </c>
      <c r="Q597" s="0" t="s">
        <v>5918</v>
      </c>
      <c r="R597" s="0" t="s">
        <v>5919</v>
      </c>
      <c r="S597" s="0" t="s">
        <v>5920</v>
      </c>
      <c r="T597" s="0" t="s">
        <v>5921</v>
      </c>
      <c r="U597" s="9" t="n">
        <v>714</v>
      </c>
      <c r="V597" s="0" t="n">
        <v>18.3832074375363</v>
      </c>
      <c r="W597" s="0" t="n">
        <v>20241231</v>
      </c>
      <c r="X597" s="0" t="n">
        <v>0.592215367017237</v>
      </c>
      <c r="Y597" s="0" t="s">
        <v>2464</v>
      </c>
      <c r="Z597" s="0" t="s">
        <v>98</v>
      </c>
    </row>
    <row r="598" customFormat="false" ht="15" hidden="false" customHeight="false" outlineLevel="0" collapsed="false">
      <c r="A598" s="0" t="n">
        <v>595</v>
      </c>
      <c r="B598" s="9" t="n">
        <v>1558316</v>
      </c>
      <c r="C598" s="0" t="n">
        <v>14140</v>
      </c>
      <c r="D598" s="0" t="n">
        <v>1234041</v>
      </c>
      <c r="E598" s="0" t="s">
        <v>1500</v>
      </c>
      <c r="F598" s="0" t="n">
        <v>133315</v>
      </c>
      <c r="G598" s="0" t="s">
        <v>5922</v>
      </c>
      <c r="H598" s="0" t="s">
        <v>5923</v>
      </c>
      <c r="I598" s="0" t="s">
        <v>5924</v>
      </c>
      <c r="J598" s="0" t="s">
        <v>5925</v>
      </c>
      <c r="K598" s="0" t="s">
        <v>5926</v>
      </c>
      <c r="L598" s="0" t="n">
        <v>1100572</v>
      </c>
      <c r="M598" s="0" t="s">
        <v>5927</v>
      </c>
      <c r="N598" s="0" t="n">
        <v>975721</v>
      </c>
      <c r="O598" s="9" t="n">
        <v>5344</v>
      </c>
      <c r="P598" s="0" t="s">
        <v>117</v>
      </c>
      <c r="Q598" s="0" t="s">
        <v>5928</v>
      </c>
      <c r="R598" s="0" t="s">
        <v>5929</v>
      </c>
      <c r="S598" s="0" t="s">
        <v>5930</v>
      </c>
      <c r="T598" s="0" t="s">
        <v>5931</v>
      </c>
      <c r="U598" s="9" t="n">
        <v>0</v>
      </c>
      <c r="V598" s="0" t="n">
        <v>0</v>
      </c>
      <c r="W598" s="0" t="n">
        <v>20241231</v>
      </c>
      <c r="X598" s="0" t="n">
        <v>0.30821925027166</v>
      </c>
      <c r="Y598" s="0" t="s">
        <v>5932</v>
      </c>
      <c r="Z598" s="0" t="s">
        <v>98</v>
      </c>
    </row>
    <row r="599" customFormat="false" ht="15" hidden="false" customHeight="false" outlineLevel="0" collapsed="false">
      <c r="A599" s="0" t="n">
        <v>596</v>
      </c>
      <c r="B599" s="9" t="n">
        <v>1527590</v>
      </c>
      <c r="C599" s="0" t="n">
        <v>14158</v>
      </c>
      <c r="D599" s="0" t="n">
        <v>1171399</v>
      </c>
      <c r="E599" s="0" t="s">
        <v>172</v>
      </c>
      <c r="F599" s="0" t="n">
        <v>82437</v>
      </c>
      <c r="G599" s="0" t="s">
        <v>5933</v>
      </c>
      <c r="H599" s="0" t="s">
        <v>5934</v>
      </c>
      <c r="I599" s="0" t="s">
        <v>5935</v>
      </c>
      <c r="J599" s="0" t="s">
        <v>5936</v>
      </c>
      <c r="K599" s="0" t="s">
        <v>5937</v>
      </c>
      <c r="L599" s="0" t="n">
        <v>1163102</v>
      </c>
      <c r="M599" s="0" t="s">
        <v>5938</v>
      </c>
      <c r="N599" s="0" t="n">
        <v>1010360</v>
      </c>
      <c r="O599" s="9" t="n">
        <v>1652</v>
      </c>
      <c r="P599" s="0" t="s">
        <v>129</v>
      </c>
      <c r="Q599" s="0" t="s">
        <v>5939</v>
      </c>
      <c r="R599" s="0" t="s">
        <v>5940</v>
      </c>
      <c r="S599" s="0" t="s">
        <v>5941</v>
      </c>
      <c r="T599" s="0" t="s">
        <v>5942</v>
      </c>
      <c r="U599" s="9" t="n">
        <v>241</v>
      </c>
      <c r="V599" s="0" t="n">
        <v>12.508099717311</v>
      </c>
      <c r="W599" s="0" t="n">
        <v>20241231</v>
      </c>
      <c r="X599" s="0" t="n">
        <v>0.659307705761988</v>
      </c>
      <c r="Y599" s="0" t="s">
        <v>4815</v>
      </c>
      <c r="Z599" s="0" t="s">
        <v>98</v>
      </c>
    </row>
    <row r="600" customFormat="false" ht="15" hidden="false" customHeight="false" outlineLevel="0" collapsed="false">
      <c r="A600" s="0" t="n">
        <v>597</v>
      </c>
      <c r="B600" s="9" t="n">
        <v>369405</v>
      </c>
      <c r="C600" s="0" t="n">
        <v>14168</v>
      </c>
      <c r="D600" s="0" t="n">
        <v>325925</v>
      </c>
      <c r="E600" s="0" t="s">
        <v>246</v>
      </c>
      <c r="F600" s="0" t="n">
        <v>37830</v>
      </c>
      <c r="G600" s="0" t="s">
        <v>5943</v>
      </c>
      <c r="H600" s="0" t="s">
        <v>5944</v>
      </c>
      <c r="I600" s="0" t="s">
        <v>5945</v>
      </c>
      <c r="J600" s="0" t="s">
        <v>5946</v>
      </c>
      <c r="K600" s="0" t="s">
        <v>5947</v>
      </c>
      <c r="L600" s="0" t="n">
        <v>276382</v>
      </c>
      <c r="M600" s="0" t="s">
        <v>5948</v>
      </c>
      <c r="N600" s="0" t="n">
        <v>234027</v>
      </c>
      <c r="O600" s="9" t="n">
        <v>910</v>
      </c>
      <c r="P600" s="0" t="s">
        <v>140</v>
      </c>
      <c r="Q600" s="0" t="s">
        <v>5949</v>
      </c>
      <c r="R600" s="0" t="s">
        <v>5950</v>
      </c>
      <c r="S600" s="0" t="s">
        <v>3104</v>
      </c>
      <c r="T600" s="0" t="s">
        <v>5951</v>
      </c>
      <c r="U600" s="9" t="n">
        <v>0</v>
      </c>
      <c r="V600" s="0" t="n">
        <v>16.4194761448442</v>
      </c>
      <c r="W600" s="0" t="n">
        <v>20241231</v>
      </c>
      <c r="X600" s="0" t="n">
        <v>0.985943826552391</v>
      </c>
      <c r="Y600" s="0" t="s">
        <v>5952</v>
      </c>
      <c r="Z600" s="0" t="s">
        <v>98</v>
      </c>
    </row>
    <row r="601" customFormat="false" ht="15" hidden="false" customHeight="false" outlineLevel="0" collapsed="false">
      <c r="A601" s="0" t="n">
        <v>598</v>
      </c>
      <c r="B601" s="9" t="n">
        <v>1188010</v>
      </c>
      <c r="C601" s="0" t="n">
        <v>14240</v>
      </c>
      <c r="D601" s="0" t="n">
        <v>977466</v>
      </c>
      <c r="E601" s="0" t="s">
        <v>1281</v>
      </c>
      <c r="F601" s="0" t="n">
        <v>89624</v>
      </c>
      <c r="G601" s="0" t="s">
        <v>5953</v>
      </c>
      <c r="H601" s="0" t="s">
        <v>5954</v>
      </c>
      <c r="I601" s="0" t="s">
        <v>5955</v>
      </c>
      <c r="J601" s="0" t="s">
        <v>5956</v>
      </c>
      <c r="K601" s="0" t="s">
        <v>5957</v>
      </c>
      <c r="L601" s="0" t="n">
        <v>874800</v>
      </c>
      <c r="M601" s="0" t="s">
        <v>5958</v>
      </c>
      <c r="N601" s="0" t="n">
        <v>760710</v>
      </c>
      <c r="O601" s="9" t="n">
        <v>2934</v>
      </c>
      <c r="P601" s="0" t="s">
        <v>152</v>
      </c>
      <c r="Q601" s="0" t="s">
        <v>5959</v>
      </c>
      <c r="R601" s="0" t="s">
        <v>5960</v>
      </c>
      <c r="S601" s="0" t="s">
        <v>988</v>
      </c>
      <c r="T601" s="0" t="s">
        <v>5961</v>
      </c>
      <c r="U601" s="9" t="n">
        <v>0</v>
      </c>
      <c r="V601" s="0" t="n">
        <v>17.1493147404287</v>
      </c>
      <c r="W601" s="0" t="n">
        <v>20241231</v>
      </c>
      <c r="X601" s="0" t="n">
        <v>0.504315605562752</v>
      </c>
      <c r="Y601" s="0" t="s">
        <v>5962</v>
      </c>
      <c r="Z601" s="0" t="s">
        <v>158</v>
      </c>
    </row>
    <row r="602" customFormat="false" ht="15" hidden="false" customHeight="false" outlineLevel="0" collapsed="false">
      <c r="A602" s="0" t="n">
        <v>599</v>
      </c>
      <c r="B602" s="9" t="n">
        <v>1041970</v>
      </c>
      <c r="C602" s="0" t="n">
        <v>17115</v>
      </c>
      <c r="D602" s="0" t="n">
        <v>827656</v>
      </c>
      <c r="E602" s="0" t="s">
        <v>794</v>
      </c>
      <c r="F602" s="0" t="n">
        <v>91891</v>
      </c>
      <c r="G602" s="0" t="s">
        <v>5963</v>
      </c>
      <c r="H602" s="0" t="s">
        <v>5964</v>
      </c>
      <c r="I602" s="0" t="s">
        <v>5965</v>
      </c>
      <c r="J602" s="0" t="s">
        <v>5966</v>
      </c>
      <c r="K602" s="0" t="s">
        <v>5967</v>
      </c>
      <c r="L602" s="0" t="n">
        <v>872561</v>
      </c>
      <c r="M602" s="0" t="s">
        <v>5968</v>
      </c>
      <c r="N602" s="0" t="n">
        <v>826165</v>
      </c>
      <c r="O602" s="9" t="n">
        <v>2571</v>
      </c>
      <c r="P602" s="0" t="s">
        <v>166</v>
      </c>
      <c r="Q602" s="0" t="s">
        <v>5969</v>
      </c>
      <c r="R602" s="0" t="s">
        <v>5970</v>
      </c>
      <c r="S602" s="0" t="s">
        <v>500</v>
      </c>
      <c r="T602" s="0" t="s">
        <v>5971</v>
      </c>
      <c r="U602" s="9" t="n">
        <v>0</v>
      </c>
      <c r="V602" s="0" t="n">
        <v>14.8981926999983</v>
      </c>
      <c r="W602" s="0" t="n">
        <v>20241231</v>
      </c>
      <c r="X602" s="0" t="n">
        <v>0.297310003392755</v>
      </c>
      <c r="Y602" s="0" t="s">
        <v>5972</v>
      </c>
      <c r="Z602" s="0" t="s">
        <v>60</v>
      </c>
    </row>
    <row r="603" customFormat="false" ht="15" hidden="false" customHeight="false" outlineLevel="0" collapsed="false">
      <c r="A603" s="0" t="n">
        <v>600</v>
      </c>
      <c r="B603" s="9" t="n">
        <v>1600157</v>
      </c>
      <c r="C603" s="0" t="n">
        <v>17180</v>
      </c>
      <c r="D603" s="0" t="n">
        <v>1219406</v>
      </c>
      <c r="E603" s="0" t="s">
        <v>61</v>
      </c>
      <c r="F603" s="0" t="n">
        <v>143344</v>
      </c>
      <c r="G603" s="0" t="s">
        <v>5973</v>
      </c>
      <c r="H603" s="0" t="s">
        <v>5974</v>
      </c>
      <c r="I603" s="0" t="s">
        <v>5975</v>
      </c>
      <c r="J603" s="0" t="s">
        <v>5976</v>
      </c>
      <c r="K603" s="0" t="s">
        <v>5977</v>
      </c>
      <c r="L603" s="0" t="n">
        <v>1419052</v>
      </c>
      <c r="M603" s="0" t="s">
        <v>5978</v>
      </c>
      <c r="N603" s="0" t="n">
        <v>1189538</v>
      </c>
      <c r="O603" s="9" t="n">
        <v>6126</v>
      </c>
      <c r="P603" s="0" t="s">
        <v>179</v>
      </c>
      <c r="Q603" s="0" t="s">
        <v>5979</v>
      </c>
      <c r="R603" s="0" t="s">
        <v>5980</v>
      </c>
      <c r="S603" s="0" t="s">
        <v>5981</v>
      </c>
      <c r="T603" s="0" t="s">
        <v>5982</v>
      </c>
      <c r="U603" s="9" t="n">
        <v>0</v>
      </c>
      <c r="V603" s="0" t="n">
        <v>15.5888053222663</v>
      </c>
      <c r="W603" s="0" t="n">
        <v>20241231</v>
      </c>
      <c r="X603" s="0" t="n">
        <v>0.464179137228712</v>
      </c>
      <c r="Y603" s="0" t="s">
        <v>5983</v>
      </c>
      <c r="Z603" s="0" t="s">
        <v>158</v>
      </c>
    </row>
    <row r="604" customFormat="false" ht="15" hidden="false" customHeight="false" outlineLevel="0" collapsed="false">
      <c r="A604" s="0" t="n">
        <v>601</v>
      </c>
      <c r="B604" s="9" t="n">
        <v>362004</v>
      </c>
      <c r="C604" s="0" t="n">
        <v>17443</v>
      </c>
      <c r="D604" s="0" t="n">
        <v>296951</v>
      </c>
      <c r="E604" s="0" t="s">
        <v>233</v>
      </c>
      <c r="F604" s="0" t="n">
        <v>38929</v>
      </c>
      <c r="G604" s="0" t="s">
        <v>5984</v>
      </c>
      <c r="H604" s="0" t="s">
        <v>5985</v>
      </c>
      <c r="I604" s="0" t="s">
        <v>5986</v>
      </c>
      <c r="J604" s="0" t="s">
        <v>61</v>
      </c>
      <c r="K604" s="0" t="s">
        <v>5987</v>
      </c>
      <c r="L604" s="0" t="n">
        <v>198189</v>
      </c>
      <c r="M604" s="0" t="s">
        <v>5988</v>
      </c>
      <c r="N604" s="0" t="n">
        <v>196227</v>
      </c>
      <c r="O604" s="9" t="n">
        <v>1097</v>
      </c>
      <c r="P604" s="0" t="s">
        <v>190</v>
      </c>
      <c r="Q604" s="0" t="s">
        <v>5989</v>
      </c>
      <c r="R604" s="0" t="s">
        <v>5990</v>
      </c>
      <c r="S604" s="0" t="s">
        <v>61</v>
      </c>
      <c r="T604" s="0" t="s">
        <v>61</v>
      </c>
      <c r="U604" s="9" t="n">
        <v>0</v>
      </c>
      <c r="V604" s="0" t="n">
        <v>0</v>
      </c>
      <c r="W604" s="0" t="n">
        <v>20241231</v>
      </c>
      <c r="X604" s="0" t="n">
        <v>-0.226147959468919</v>
      </c>
      <c r="Y604" s="0" t="s">
        <v>5991</v>
      </c>
      <c r="Z604" s="0" t="s">
        <v>158</v>
      </c>
    </row>
    <row r="605" customFormat="false" ht="15" hidden="false" customHeight="false" outlineLevel="0" collapsed="false">
      <c r="A605" s="0" t="n">
        <v>602</v>
      </c>
      <c r="B605" s="9" t="n">
        <v>1989287</v>
      </c>
      <c r="C605" s="0" t="n">
        <v>17658</v>
      </c>
      <c r="D605" s="0" t="n">
        <v>1532228</v>
      </c>
      <c r="E605" s="0" t="s">
        <v>271</v>
      </c>
      <c r="F605" s="0" t="n">
        <v>221439</v>
      </c>
      <c r="G605" s="0" t="s">
        <v>5992</v>
      </c>
      <c r="H605" s="0" t="s">
        <v>5993</v>
      </c>
      <c r="I605" s="0" t="s">
        <v>5994</v>
      </c>
      <c r="J605" s="0" t="s">
        <v>5995</v>
      </c>
      <c r="K605" s="0" t="s">
        <v>5996</v>
      </c>
      <c r="L605" s="0" t="n">
        <v>1433227</v>
      </c>
      <c r="M605" s="0" t="s">
        <v>5997</v>
      </c>
      <c r="N605" s="0" t="n">
        <v>1227698</v>
      </c>
      <c r="O605" s="9" t="n">
        <v>9730</v>
      </c>
      <c r="P605" s="0" t="s">
        <v>202</v>
      </c>
      <c r="Q605" s="0" t="s">
        <v>5998</v>
      </c>
      <c r="R605" s="0" t="s">
        <v>5999</v>
      </c>
      <c r="S605" s="0" t="s">
        <v>3910</v>
      </c>
      <c r="T605" s="0" t="s">
        <v>6000</v>
      </c>
      <c r="U605" s="9" t="n">
        <v>0</v>
      </c>
      <c r="V605" s="0" t="n">
        <v>0</v>
      </c>
      <c r="W605" s="0" t="n">
        <v>20241231</v>
      </c>
      <c r="X605" s="0" t="n">
        <v>0.895346445042463</v>
      </c>
      <c r="Y605" s="0" t="s">
        <v>6001</v>
      </c>
      <c r="Z605" s="0" t="s">
        <v>60</v>
      </c>
    </row>
    <row r="606" customFormat="false" ht="15" hidden="false" customHeight="false" outlineLevel="0" collapsed="false">
      <c r="A606" s="0" t="n">
        <v>603</v>
      </c>
      <c r="B606" s="9" t="n">
        <v>1167995</v>
      </c>
      <c r="C606" s="0" t="n">
        <v>17741</v>
      </c>
      <c r="D606" s="0" t="n">
        <v>895674</v>
      </c>
      <c r="E606" s="0" t="s">
        <v>208</v>
      </c>
      <c r="F606" s="0" t="n">
        <v>147350</v>
      </c>
      <c r="G606" s="0" t="s">
        <v>6002</v>
      </c>
      <c r="H606" s="0" t="s">
        <v>6003</v>
      </c>
      <c r="I606" s="0" t="s">
        <v>6004</v>
      </c>
      <c r="J606" s="0" t="s">
        <v>6005</v>
      </c>
      <c r="K606" s="0" t="s">
        <v>6006</v>
      </c>
      <c r="L606" s="0" t="n">
        <v>992991</v>
      </c>
      <c r="M606" s="0" t="s">
        <v>6007</v>
      </c>
      <c r="N606" s="0" t="n">
        <v>934014</v>
      </c>
      <c r="O606" s="9" t="n">
        <v>3480</v>
      </c>
      <c r="P606" s="0" t="s">
        <v>215</v>
      </c>
      <c r="Q606" s="0" t="s">
        <v>6008</v>
      </c>
      <c r="R606" s="0" t="s">
        <v>6009</v>
      </c>
      <c r="S606" s="0" t="s">
        <v>294</v>
      </c>
      <c r="T606" s="0" t="s">
        <v>6010</v>
      </c>
      <c r="U606" s="9" t="n">
        <v>0</v>
      </c>
      <c r="V606" s="0" t="n">
        <v>0</v>
      </c>
      <c r="W606" s="0" t="n">
        <v>20241231</v>
      </c>
      <c r="X606" s="0" t="n">
        <v>0.645702012436472</v>
      </c>
      <c r="Y606" s="0" t="s">
        <v>6011</v>
      </c>
      <c r="Z606" s="0" t="s">
        <v>60</v>
      </c>
    </row>
    <row r="607" customFormat="false" ht="15" hidden="false" customHeight="false" outlineLevel="0" collapsed="false">
      <c r="A607" s="0" t="n">
        <v>604</v>
      </c>
      <c r="B607" s="9" t="n">
        <v>1411602</v>
      </c>
      <c r="C607" s="0" t="n">
        <v>17743</v>
      </c>
      <c r="D607" s="0" t="n">
        <v>1011066</v>
      </c>
      <c r="E607" s="0" t="s">
        <v>61</v>
      </c>
      <c r="F607" s="0" t="n">
        <v>125438</v>
      </c>
      <c r="G607" s="0" t="s">
        <v>6012</v>
      </c>
      <c r="H607" s="0" t="s">
        <v>6013</v>
      </c>
      <c r="I607" s="0" t="s">
        <v>6014</v>
      </c>
      <c r="J607" s="0" t="s">
        <v>6015</v>
      </c>
      <c r="K607" s="0" t="s">
        <v>6016</v>
      </c>
      <c r="L607" s="0" t="n">
        <v>1136109</v>
      </c>
      <c r="M607" s="0" t="s">
        <v>6017</v>
      </c>
      <c r="N607" s="0" t="n">
        <v>1098486</v>
      </c>
      <c r="O607" s="9" t="n">
        <v>632</v>
      </c>
      <c r="P607" s="0" t="s">
        <v>227</v>
      </c>
      <c r="Q607" s="0" t="s">
        <v>6018</v>
      </c>
      <c r="R607" s="0" t="s">
        <v>6019</v>
      </c>
      <c r="S607" s="0" t="s">
        <v>4435</v>
      </c>
      <c r="T607" s="0" t="s">
        <v>6020</v>
      </c>
      <c r="U607" s="9" t="n">
        <v>0</v>
      </c>
      <c r="V607" s="0" t="n">
        <v>0</v>
      </c>
      <c r="W607" s="0" t="n">
        <v>20241231</v>
      </c>
      <c r="X607" s="0" t="n">
        <v>0.107798252400096</v>
      </c>
      <c r="Y607" s="0" t="s">
        <v>6021</v>
      </c>
      <c r="Z607" s="0" t="s">
        <v>60</v>
      </c>
    </row>
    <row r="608" customFormat="false" ht="15" hidden="false" customHeight="false" outlineLevel="0" collapsed="false">
      <c r="A608" s="0" t="n">
        <v>605</v>
      </c>
      <c r="B608" s="9" t="n">
        <v>1608101</v>
      </c>
      <c r="C608" s="0" t="n">
        <v>17748</v>
      </c>
      <c r="D608" s="0" t="n">
        <v>1393920</v>
      </c>
      <c r="E608" s="0" t="s">
        <v>1281</v>
      </c>
      <c r="F608" s="0" t="n">
        <v>116220</v>
      </c>
      <c r="G608" s="0" t="s">
        <v>6022</v>
      </c>
      <c r="H608" s="0" t="s">
        <v>6023</v>
      </c>
      <c r="I608" s="0" t="s">
        <v>6024</v>
      </c>
      <c r="J608" s="0" t="s">
        <v>6025</v>
      </c>
      <c r="K608" s="0" t="s">
        <v>5233</v>
      </c>
      <c r="L608" s="0" t="n">
        <v>1278094</v>
      </c>
      <c r="M608" s="0" t="s">
        <v>6026</v>
      </c>
      <c r="N608" s="0" t="n">
        <v>1056120</v>
      </c>
      <c r="O608" s="9" t="n">
        <v>6153</v>
      </c>
      <c r="P608" s="0" t="s">
        <v>240</v>
      </c>
      <c r="Q608" s="0" t="s">
        <v>6027</v>
      </c>
      <c r="R608" s="0" t="s">
        <v>6028</v>
      </c>
      <c r="S608" s="0" t="s">
        <v>6029</v>
      </c>
      <c r="T608" s="0" t="s">
        <v>6030</v>
      </c>
      <c r="U608" s="9" t="n">
        <v>0</v>
      </c>
      <c r="V608" s="0" t="n">
        <v>0</v>
      </c>
      <c r="W608" s="0" t="n">
        <v>20241231</v>
      </c>
      <c r="X608" s="0" t="n">
        <v>0.329721781163526</v>
      </c>
      <c r="Y608" s="0" t="s">
        <v>6031</v>
      </c>
      <c r="Z608" s="0" t="s">
        <v>60</v>
      </c>
    </row>
    <row r="609" customFormat="false" ht="15" hidden="false" customHeight="false" outlineLevel="0" collapsed="false">
      <c r="A609" s="0" t="n">
        <v>606</v>
      </c>
      <c r="B609" s="9" t="n">
        <v>1400586</v>
      </c>
      <c r="C609" s="0" t="n">
        <v>17749</v>
      </c>
      <c r="D609" s="0" t="n">
        <v>1098984</v>
      </c>
      <c r="E609" s="0" t="s">
        <v>246</v>
      </c>
      <c r="F609" s="0" t="n">
        <v>189574</v>
      </c>
      <c r="G609" s="0" t="s">
        <v>6032</v>
      </c>
      <c r="H609" s="0" t="s">
        <v>6033</v>
      </c>
      <c r="I609" s="0" t="s">
        <v>6034</v>
      </c>
      <c r="J609" s="0" t="s">
        <v>6035</v>
      </c>
      <c r="K609" s="0" t="s">
        <v>6036</v>
      </c>
      <c r="L609" s="0" t="n">
        <v>826652</v>
      </c>
      <c r="M609" s="0" t="s">
        <v>6037</v>
      </c>
      <c r="N609" s="0" t="n">
        <v>755022</v>
      </c>
      <c r="O609" s="9" t="n">
        <v>610</v>
      </c>
      <c r="P609" s="0" t="s">
        <v>253</v>
      </c>
      <c r="Q609" s="0" t="s">
        <v>6038</v>
      </c>
      <c r="R609" s="0" t="s">
        <v>6039</v>
      </c>
      <c r="S609" s="0" t="s">
        <v>218</v>
      </c>
      <c r="T609" s="0" t="s">
        <v>6040</v>
      </c>
      <c r="U609" s="9" t="n">
        <v>0</v>
      </c>
      <c r="V609" s="0" t="n">
        <v>0</v>
      </c>
      <c r="W609" s="0" t="n">
        <v>20241231</v>
      </c>
      <c r="X609" s="0" t="n">
        <v>1.14589123831468</v>
      </c>
      <c r="Y609" s="0" t="s">
        <v>2680</v>
      </c>
      <c r="Z609" s="0" t="s">
        <v>60</v>
      </c>
    </row>
    <row r="610" customFormat="false" ht="15" hidden="false" customHeight="false" outlineLevel="0" collapsed="false">
      <c r="A610" s="0" t="n">
        <v>607</v>
      </c>
      <c r="B610" s="9" t="n">
        <v>1661812</v>
      </c>
      <c r="C610" s="0" t="n">
        <v>17751</v>
      </c>
      <c r="D610" s="0" t="n">
        <v>1317297</v>
      </c>
      <c r="E610" s="0" t="s">
        <v>246</v>
      </c>
      <c r="F610" s="0" t="n">
        <v>146032</v>
      </c>
      <c r="G610" s="0" t="s">
        <v>6041</v>
      </c>
      <c r="H610" s="0" t="s">
        <v>6042</v>
      </c>
      <c r="I610" s="0" t="s">
        <v>6043</v>
      </c>
      <c r="J610" s="0" t="s">
        <v>6044</v>
      </c>
      <c r="K610" s="0" t="s">
        <v>6045</v>
      </c>
      <c r="L610" s="0" t="n">
        <v>1375193</v>
      </c>
      <c r="M610" s="0" t="s">
        <v>6046</v>
      </c>
      <c r="N610" s="0" t="n">
        <v>1175847</v>
      </c>
      <c r="O610" s="9" t="n">
        <v>2670</v>
      </c>
      <c r="P610" s="0" t="s">
        <v>266</v>
      </c>
      <c r="Q610" s="0" t="s">
        <v>6047</v>
      </c>
      <c r="R610" s="0" t="s">
        <v>6048</v>
      </c>
      <c r="S610" s="0" t="s">
        <v>6049</v>
      </c>
      <c r="T610" s="0" t="s">
        <v>6050</v>
      </c>
      <c r="U610" s="9" t="n">
        <v>0</v>
      </c>
      <c r="V610" s="0" t="n">
        <v>12.6009441821716</v>
      </c>
      <c r="W610" s="0" t="n">
        <v>20241231</v>
      </c>
      <c r="X610" s="0" t="n">
        <v>0.422514537152252</v>
      </c>
      <c r="Y610" s="0" t="s">
        <v>6051</v>
      </c>
      <c r="Z610" s="0" t="s">
        <v>60</v>
      </c>
    </row>
    <row r="611" customFormat="false" ht="15" hidden="false" customHeight="false" outlineLevel="0" collapsed="false">
      <c r="A611" s="0" t="n">
        <v>608</v>
      </c>
      <c r="B611" s="9" t="n">
        <v>1764971</v>
      </c>
      <c r="C611" s="0" t="n">
        <v>17897</v>
      </c>
      <c r="D611" s="0" t="n">
        <v>1348133</v>
      </c>
      <c r="E611" s="0" t="s">
        <v>61</v>
      </c>
      <c r="F611" s="0" t="n">
        <v>215583</v>
      </c>
      <c r="G611" s="0" t="s">
        <v>6052</v>
      </c>
      <c r="H611" s="0" t="s">
        <v>6053</v>
      </c>
      <c r="I611" s="0" t="s">
        <v>6054</v>
      </c>
      <c r="J611" s="0" t="s">
        <v>6055</v>
      </c>
      <c r="K611" s="0" t="s">
        <v>5013</v>
      </c>
      <c r="L611" s="0" t="n">
        <v>1469046</v>
      </c>
      <c r="M611" s="0" t="s">
        <v>6056</v>
      </c>
      <c r="N611" s="0" t="n">
        <v>1368497</v>
      </c>
      <c r="O611" s="9" t="n">
        <v>4603</v>
      </c>
      <c r="P611" s="0" t="s">
        <v>278</v>
      </c>
      <c r="Q611" s="0" t="s">
        <v>6057</v>
      </c>
      <c r="R611" s="0" t="s">
        <v>6058</v>
      </c>
      <c r="S611" s="0" t="s">
        <v>5548</v>
      </c>
      <c r="T611" s="0" t="s">
        <v>6059</v>
      </c>
      <c r="U611" s="9" t="n">
        <v>0</v>
      </c>
      <c r="V611" s="0" t="n">
        <v>17.6014618454454</v>
      </c>
      <c r="W611" s="0" t="n">
        <v>20241231</v>
      </c>
      <c r="X611" s="0" t="n">
        <v>0.605050213976672</v>
      </c>
      <c r="Y611" s="0" t="s">
        <v>6060</v>
      </c>
      <c r="Z611" s="0" t="s">
        <v>60</v>
      </c>
    </row>
    <row r="612" customFormat="false" ht="15" hidden="false" customHeight="false" outlineLevel="0" collapsed="false">
      <c r="A612" s="0" t="n">
        <v>609</v>
      </c>
      <c r="B612" s="9" t="n">
        <v>821983</v>
      </c>
      <c r="C612" s="0" t="n">
        <v>17951</v>
      </c>
      <c r="D612" s="0" t="n">
        <v>701106</v>
      </c>
      <c r="E612" s="0" t="s">
        <v>246</v>
      </c>
      <c r="F612" s="0" t="n">
        <v>65761</v>
      </c>
      <c r="G612" s="0" t="s">
        <v>6061</v>
      </c>
      <c r="H612" s="0" t="s">
        <v>6062</v>
      </c>
      <c r="I612" s="0" t="s">
        <v>6063</v>
      </c>
      <c r="J612" s="0" t="s">
        <v>6064</v>
      </c>
      <c r="K612" s="0" t="s">
        <v>6065</v>
      </c>
      <c r="L612" s="0" t="n">
        <v>617817</v>
      </c>
      <c r="M612" s="0" t="s">
        <v>6066</v>
      </c>
      <c r="N612" s="0" t="n">
        <v>567751</v>
      </c>
      <c r="O612" s="9" t="n">
        <v>60</v>
      </c>
      <c r="P612" s="0" t="s">
        <v>290</v>
      </c>
      <c r="Q612" s="0" t="s">
        <v>6067</v>
      </c>
      <c r="R612" s="0" t="s">
        <v>6068</v>
      </c>
      <c r="S612" s="0" t="s">
        <v>6069</v>
      </c>
      <c r="T612" s="0" t="s">
        <v>4677</v>
      </c>
      <c r="U612" s="9" t="n">
        <v>0</v>
      </c>
      <c r="V612" s="0" t="n">
        <v>14.1464151450054</v>
      </c>
      <c r="W612" s="0" t="n">
        <v>20241231</v>
      </c>
      <c r="X612" s="0" t="n">
        <v>0.486473579798404</v>
      </c>
      <c r="Y612" s="0" t="s">
        <v>6070</v>
      </c>
      <c r="Z612" s="0" t="s">
        <v>158</v>
      </c>
    </row>
    <row r="613" customFormat="false" ht="15" hidden="false" customHeight="false" outlineLevel="0" collapsed="false">
      <c r="A613" s="0" t="n">
        <v>610</v>
      </c>
      <c r="B613" s="9" t="n">
        <v>1353925</v>
      </c>
      <c r="C613" s="0" t="n">
        <v>17960</v>
      </c>
      <c r="D613" s="0" t="n">
        <v>1120519</v>
      </c>
      <c r="E613" s="0" t="s">
        <v>603</v>
      </c>
      <c r="F613" s="0" t="n">
        <v>115328</v>
      </c>
      <c r="G613" s="0" t="s">
        <v>6071</v>
      </c>
      <c r="H613" s="0" t="s">
        <v>6072</v>
      </c>
      <c r="I613" s="0" t="s">
        <v>6073</v>
      </c>
      <c r="J613" s="0" t="s">
        <v>6074</v>
      </c>
      <c r="K613" s="0" t="s">
        <v>6075</v>
      </c>
      <c r="L613" s="0" t="n">
        <v>1150547</v>
      </c>
      <c r="M613" s="0" t="s">
        <v>6076</v>
      </c>
      <c r="N613" s="0" t="n">
        <v>823641</v>
      </c>
      <c r="O613" s="9" t="n">
        <v>7247</v>
      </c>
      <c r="P613" s="0" t="s">
        <v>302</v>
      </c>
      <c r="Q613" s="0" t="s">
        <v>6077</v>
      </c>
      <c r="R613" s="0" t="s">
        <v>6078</v>
      </c>
      <c r="S613" s="0" t="s">
        <v>6079</v>
      </c>
      <c r="T613" s="0" t="s">
        <v>6080</v>
      </c>
      <c r="U613" s="9" t="n">
        <v>0</v>
      </c>
      <c r="V613" s="0" t="n">
        <v>13.6907933076507</v>
      </c>
      <c r="W613" s="0" t="n">
        <v>20241231</v>
      </c>
      <c r="X613" s="0" t="n">
        <v>0.226999833475026</v>
      </c>
      <c r="Y613" s="0" t="s">
        <v>6081</v>
      </c>
      <c r="Z613" s="0" t="s">
        <v>158</v>
      </c>
    </row>
    <row r="614" customFormat="false" ht="15" hidden="false" customHeight="false" outlineLevel="0" collapsed="false">
      <c r="A614" s="0" t="n">
        <v>611</v>
      </c>
      <c r="B614" s="9" t="n">
        <v>2624175</v>
      </c>
      <c r="C614" s="0" t="n">
        <v>18012</v>
      </c>
      <c r="D614" s="0" t="n">
        <v>2255597</v>
      </c>
      <c r="E614" s="0" t="s">
        <v>271</v>
      </c>
      <c r="F614" s="0" t="n">
        <v>284572</v>
      </c>
      <c r="G614" s="0" t="s">
        <v>6082</v>
      </c>
      <c r="H614" s="0" t="s">
        <v>6083</v>
      </c>
      <c r="I614" s="0" t="s">
        <v>6084</v>
      </c>
      <c r="J614" s="0" t="s">
        <v>6085</v>
      </c>
      <c r="K614" s="0" t="s">
        <v>6086</v>
      </c>
      <c r="L614" s="0" t="n">
        <v>2093747</v>
      </c>
      <c r="M614" s="0" t="s">
        <v>6087</v>
      </c>
      <c r="N614" s="0" t="n">
        <v>1993083</v>
      </c>
      <c r="O614" s="9" t="n">
        <v>1092</v>
      </c>
      <c r="P614" s="0" t="s">
        <v>312</v>
      </c>
      <c r="Q614" s="0" t="s">
        <v>6088</v>
      </c>
      <c r="R614" s="0" t="s">
        <v>6089</v>
      </c>
      <c r="S614" s="0" t="s">
        <v>2054</v>
      </c>
      <c r="T614" s="0" t="s">
        <v>6090</v>
      </c>
      <c r="U614" s="9" t="n">
        <v>0</v>
      </c>
      <c r="V614" s="0" t="n">
        <v>14.0447992781927</v>
      </c>
      <c r="W614" s="0" t="n">
        <v>20241231</v>
      </c>
      <c r="X614" s="0" t="n">
        <v>0.664292610658148</v>
      </c>
      <c r="Y614" s="0" t="s">
        <v>3016</v>
      </c>
      <c r="Z614" s="0" t="s">
        <v>158</v>
      </c>
    </row>
    <row r="615" customFormat="false" ht="15" hidden="false" customHeight="false" outlineLevel="0" collapsed="false">
      <c r="A615" s="0" t="n">
        <v>612</v>
      </c>
      <c r="B615" s="9" t="n">
        <v>2917813</v>
      </c>
      <c r="C615" s="0" t="n">
        <v>18013</v>
      </c>
      <c r="D615" s="0" t="n">
        <v>2614357</v>
      </c>
      <c r="E615" s="0" t="s">
        <v>271</v>
      </c>
      <c r="F615" s="0" t="n">
        <v>228244</v>
      </c>
      <c r="G615" s="0" t="s">
        <v>6091</v>
      </c>
      <c r="H615" s="0" t="s">
        <v>6092</v>
      </c>
      <c r="I615" s="0" t="s">
        <v>6093</v>
      </c>
      <c r="J615" s="0" t="s">
        <v>6094</v>
      </c>
      <c r="K615" s="0" t="s">
        <v>6095</v>
      </c>
      <c r="L615" s="0" t="n">
        <v>2432691</v>
      </c>
      <c r="M615" s="0" t="s">
        <v>6096</v>
      </c>
      <c r="N615" s="0" t="n">
        <v>2216800</v>
      </c>
      <c r="O615" s="9" t="n">
        <v>2327</v>
      </c>
      <c r="P615" s="0" t="s">
        <v>324</v>
      </c>
      <c r="Q615" s="0" t="s">
        <v>6097</v>
      </c>
      <c r="R615" s="0" t="s">
        <v>6098</v>
      </c>
      <c r="S615" s="0" t="s">
        <v>6099</v>
      </c>
      <c r="T615" s="0" t="s">
        <v>6100</v>
      </c>
      <c r="U615" s="9" t="n">
        <v>128</v>
      </c>
      <c r="V615" s="0" t="n">
        <v>12.4949322507426</v>
      </c>
      <c r="W615" s="0" t="n">
        <v>20241231</v>
      </c>
      <c r="X615" s="0" t="n">
        <v>0.223627200302554</v>
      </c>
      <c r="Y615" s="0" t="s">
        <v>6101</v>
      </c>
      <c r="Z615" s="0" t="s">
        <v>158</v>
      </c>
    </row>
    <row r="616" customFormat="false" ht="15" hidden="false" customHeight="false" outlineLevel="0" collapsed="false">
      <c r="A616" s="0" t="n">
        <v>613</v>
      </c>
      <c r="B616" s="9" t="n">
        <v>402051</v>
      </c>
      <c r="C616" s="0" t="n">
        <v>18028</v>
      </c>
      <c r="D616" s="0" t="n">
        <v>341523</v>
      </c>
      <c r="E616" s="0" t="s">
        <v>85</v>
      </c>
      <c r="F616" s="0" t="n">
        <v>42186</v>
      </c>
      <c r="G616" s="0" t="s">
        <v>6102</v>
      </c>
      <c r="H616" s="0" t="s">
        <v>6103</v>
      </c>
      <c r="I616" s="0" t="s">
        <v>6104</v>
      </c>
      <c r="J616" s="0" t="s">
        <v>6105</v>
      </c>
      <c r="K616" s="0" t="s">
        <v>6106</v>
      </c>
      <c r="L616" s="0" t="n">
        <v>279403</v>
      </c>
      <c r="M616" s="0" t="s">
        <v>6107</v>
      </c>
      <c r="N616" s="0" t="n">
        <v>254756</v>
      </c>
      <c r="O616" s="9" t="n">
        <v>888</v>
      </c>
      <c r="P616" s="0" t="s">
        <v>337</v>
      </c>
      <c r="Q616" s="0" t="s">
        <v>6108</v>
      </c>
      <c r="R616" s="0" t="s">
        <v>6109</v>
      </c>
      <c r="S616" s="0" t="s">
        <v>3747</v>
      </c>
      <c r="T616" s="0" t="s">
        <v>6110</v>
      </c>
      <c r="U616" s="9" t="n">
        <v>183</v>
      </c>
      <c r="V616" s="0" t="n">
        <v>0</v>
      </c>
      <c r="W616" s="0" t="n">
        <v>20241231</v>
      </c>
      <c r="X616" s="0" t="n">
        <v>0.42743103911897</v>
      </c>
      <c r="Y616" s="0" t="s">
        <v>6111</v>
      </c>
      <c r="Z616" s="0" t="s">
        <v>158</v>
      </c>
    </row>
    <row r="617" customFormat="false" ht="15" hidden="false" customHeight="false" outlineLevel="0" collapsed="false">
      <c r="A617" s="0" t="n">
        <v>614</v>
      </c>
      <c r="B617" s="9" t="n">
        <v>777879</v>
      </c>
      <c r="C617" s="0" t="n">
        <v>18030</v>
      </c>
      <c r="D617" s="0" t="n">
        <v>716969</v>
      </c>
      <c r="E617" s="0" t="s">
        <v>390</v>
      </c>
      <c r="F617" s="0" t="n">
        <v>53665</v>
      </c>
      <c r="G617" s="0" t="s">
        <v>6112</v>
      </c>
      <c r="H617" s="0" t="s">
        <v>6113</v>
      </c>
      <c r="I617" s="0" t="s">
        <v>6114</v>
      </c>
      <c r="J617" s="0" t="s">
        <v>6115</v>
      </c>
      <c r="K617" s="0" t="s">
        <v>6116</v>
      </c>
      <c r="L617" s="0" t="n">
        <v>590868</v>
      </c>
      <c r="M617" s="0" t="s">
        <v>6117</v>
      </c>
      <c r="N617" s="0" t="n">
        <v>455091</v>
      </c>
      <c r="O617" s="9" t="n">
        <v>2023</v>
      </c>
      <c r="P617" s="0" t="s">
        <v>349</v>
      </c>
      <c r="Q617" s="0" t="s">
        <v>6118</v>
      </c>
      <c r="R617" s="0" t="s">
        <v>6119</v>
      </c>
      <c r="S617" s="0" t="s">
        <v>4857</v>
      </c>
      <c r="T617" s="0" t="s">
        <v>6120</v>
      </c>
      <c r="U617" s="9" t="n">
        <v>0</v>
      </c>
      <c r="V617" s="0" t="n">
        <v>13.9987096172383</v>
      </c>
      <c r="W617" s="0" t="n">
        <v>20241231</v>
      </c>
      <c r="X617" s="0" t="n">
        <v>0.707871330531473</v>
      </c>
      <c r="Y617" s="0" t="s">
        <v>6121</v>
      </c>
      <c r="Z617" s="0" t="s">
        <v>158</v>
      </c>
    </row>
    <row r="618" customFormat="false" ht="15" hidden="false" customHeight="false" outlineLevel="0" collapsed="false">
      <c r="A618" s="0" t="n">
        <v>615</v>
      </c>
      <c r="B618" s="9" t="n">
        <v>675378</v>
      </c>
      <c r="C618" s="0" t="n">
        <v>18031</v>
      </c>
      <c r="D618" s="0" t="n">
        <v>530034</v>
      </c>
      <c r="E618" s="0" t="s">
        <v>1500</v>
      </c>
      <c r="F618" s="0" t="n">
        <v>38022</v>
      </c>
      <c r="G618" s="0" t="s">
        <v>6122</v>
      </c>
      <c r="H618" s="0" t="s">
        <v>6123</v>
      </c>
      <c r="I618" s="0" t="s">
        <v>6124</v>
      </c>
      <c r="J618" s="0" t="s">
        <v>6125</v>
      </c>
      <c r="K618" s="0" t="s">
        <v>6126</v>
      </c>
      <c r="L618" s="0" t="n">
        <v>459460</v>
      </c>
      <c r="M618" s="0" t="s">
        <v>6127</v>
      </c>
      <c r="N618" s="0" t="n">
        <v>420845</v>
      </c>
      <c r="O618" s="9" t="n">
        <v>884</v>
      </c>
      <c r="P618" s="0" t="s">
        <v>361</v>
      </c>
      <c r="Q618" s="0" t="s">
        <v>6128</v>
      </c>
      <c r="R618" s="0" t="s">
        <v>6129</v>
      </c>
      <c r="S618" s="0" t="s">
        <v>1575</v>
      </c>
      <c r="T618" s="0" t="s">
        <v>4671</v>
      </c>
      <c r="U618" s="9" t="n">
        <v>0</v>
      </c>
      <c r="V618" s="0" t="n">
        <v>17.0941348626103</v>
      </c>
      <c r="W618" s="0" t="n">
        <v>20241231</v>
      </c>
      <c r="X618" s="0" t="n">
        <v>0.427144160043588</v>
      </c>
      <c r="Y618" s="0" t="s">
        <v>6130</v>
      </c>
      <c r="Z618" s="0" t="s">
        <v>158</v>
      </c>
    </row>
    <row r="619" customFormat="false" ht="15" hidden="false" customHeight="false" outlineLevel="0" collapsed="false">
      <c r="A619" s="0" t="n">
        <v>616</v>
      </c>
      <c r="B619" s="9" t="n">
        <v>559057</v>
      </c>
      <c r="C619" s="0" t="n">
        <v>18038</v>
      </c>
      <c r="D619" s="0" t="n">
        <v>417615</v>
      </c>
      <c r="E619" s="0" t="s">
        <v>195</v>
      </c>
      <c r="F619" s="0" t="n">
        <v>67734</v>
      </c>
      <c r="G619" s="0" t="s">
        <v>6131</v>
      </c>
      <c r="H619" s="0" t="s">
        <v>6132</v>
      </c>
      <c r="I619" s="0" t="s">
        <v>6133</v>
      </c>
      <c r="J619" s="0" t="s">
        <v>6134</v>
      </c>
      <c r="K619" s="0" t="s">
        <v>6135</v>
      </c>
      <c r="L619" s="0" t="n">
        <v>433853</v>
      </c>
      <c r="M619" s="0" t="s">
        <v>6136</v>
      </c>
      <c r="N619" s="0" t="n">
        <v>399538</v>
      </c>
      <c r="O619" s="9" t="n">
        <v>2689</v>
      </c>
      <c r="P619" s="0" t="s">
        <v>372</v>
      </c>
      <c r="Q619" s="0" t="s">
        <v>6137</v>
      </c>
      <c r="R619" s="0" t="s">
        <v>6138</v>
      </c>
      <c r="S619" s="0" t="s">
        <v>668</v>
      </c>
      <c r="T619" s="0" t="s">
        <v>6139</v>
      </c>
      <c r="U619" s="9" t="n">
        <v>0</v>
      </c>
      <c r="V619" s="0" t="n">
        <v>0</v>
      </c>
      <c r="W619" s="0" t="n">
        <v>20241231</v>
      </c>
      <c r="X619" s="0" t="n">
        <v>0.458106180656936</v>
      </c>
      <c r="Y619" s="0" t="s">
        <v>6140</v>
      </c>
      <c r="Z619" s="0" t="s">
        <v>158</v>
      </c>
    </row>
    <row r="620" customFormat="false" ht="15" hidden="false" customHeight="false" outlineLevel="0" collapsed="false">
      <c r="A620" s="0" t="n">
        <v>617</v>
      </c>
      <c r="B620" s="9" t="n">
        <v>7237664</v>
      </c>
      <c r="C620" s="0" t="n">
        <v>18408</v>
      </c>
      <c r="D620" s="0" t="n">
        <v>5962875</v>
      </c>
      <c r="E620" s="0" t="s">
        <v>794</v>
      </c>
      <c r="F620" s="0" t="n">
        <v>430159</v>
      </c>
      <c r="G620" s="0" t="s">
        <v>6141</v>
      </c>
      <c r="H620" s="0" t="s">
        <v>6142</v>
      </c>
      <c r="I620" s="0" t="s">
        <v>6143</v>
      </c>
      <c r="J620" s="0" t="s">
        <v>6144</v>
      </c>
      <c r="K620" s="0" t="s">
        <v>6145</v>
      </c>
      <c r="L620" s="0" t="n">
        <v>4937169</v>
      </c>
      <c r="M620" s="0" t="s">
        <v>6146</v>
      </c>
      <c r="N620" s="0" t="n">
        <v>4424778</v>
      </c>
      <c r="O620" s="9" t="n">
        <v>6486</v>
      </c>
      <c r="P620" s="0" t="s">
        <v>384</v>
      </c>
      <c r="Q620" s="0" t="s">
        <v>6147</v>
      </c>
      <c r="R620" s="0" t="s">
        <v>6148</v>
      </c>
      <c r="S620" s="0" t="s">
        <v>3509</v>
      </c>
      <c r="T620" s="0" t="s">
        <v>6149</v>
      </c>
      <c r="U620" s="9" t="n">
        <v>0</v>
      </c>
      <c r="V620" s="0" t="n">
        <v>11.1220330462601</v>
      </c>
      <c r="W620" s="0" t="n">
        <v>20241231</v>
      </c>
      <c r="X620" s="0" t="n">
        <v>0.170575806214819</v>
      </c>
      <c r="Y620" s="0" t="s">
        <v>6150</v>
      </c>
      <c r="Z620" s="0" t="s">
        <v>60</v>
      </c>
    </row>
    <row r="621" customFormat="false" ht="15" hidden="false" customHeight="false" outlineLevel="0" collapsed="false">
      <c r="A621" s="0" t="n">
        <v>618</v>
      </c>
      <c r="B621" s="9" t="n">
        <v>2607826</v>
      </c>
      <c r="C621" s="0" t="n">
        <v>19531</v>
      </c>
      <c r="D621" s="0" t="n">
        <v>2305045</v>
      </c>
      <c r="E621" s="0" t="s">
        <v>1281</v>
      </c>
      <c r="F621" s="0" t="n">
        <v>258848</v>
      </c>
      <c r="G621" s="0" t="s">
        <v>6151</v>
      </c>
      <c r="H621" s="0" t="s">
        <v>6152</v>
      </c>
      <c r="I621" s="0" t="s">
        <v>6153</v>
      </c>
      <c r="J621" s="0" t="s">
        <v>6154</v>
      </c>
      <c r="K621" s="0" t="s">
        <v>6155</v>
      </c>
      <c r="L621" s="0" t="n">
        <v>2155933</v>
      </c>
      <c r="M621" s="0" t="s">
        <v>6156</v>
      </c>
      <c r="N621" s="0" t="n">
        <v>1794381</v>
      </c>
      <c r="O621" s="9" t="n">
        <v>6433</v>
      </c>
      <c r="P621" s="0" t="s">
        <v>397</v>
      </c>
      <c r="Q621" s="0" t="s">
        <v>6157</v>
      </c>
      <c r="R621" s="0" t="s">
        <v>6158</v>
      </c>
      <c r="S621" s="0" t="s">
        <v>6159</v>
      </c>
      <c r="T621" s="0" t="s">
        <v>6160</v>
      </c>
      <c r="U621" s="9" t="n">
        <v>47</v>
      </c>
      <c r="V621" s="0" t="n">
        <v>14.1069486209343</v>
      </c>
      <c r="W621" s="0" t="n">
        <v>20241231</v>
      </c>
      <c r="X621" s="0" t="n">
        <v>0.568341059055616</v>
      </c>
      <c r="Y621" s="0" t="s">
        <v>6161</v>
      </c>
      <c r="Z621" s="0" t="s">
        <v>60</v>
      </c>
    </row>
    <row r="622" customFormat="false" ht="15" hidden="false" customHeight="false" outlineLevel="0" collapsed="false">
      <c r="A622" s="0" t="n">
        <v>619</v>
      </c>
      <c r="B622" s="9" t="n">
        <v>841355</v>
      </c>
      <c r="C622" s="0" t="n">
        <v>19532</v>
      </c>
      <c r="D622" s="0" t="n">
        <v>726139</v>
      </c>
      <c r="E622" s="0" t="s">
        <v>271</v>
      </c>
      <c r="F622" s="0" t="n">
        <v>102611</v>
      </c>
      <c r="G622" s="0" t="s">
        <v>6162</v>
      </c>
      <c r="H622" s="0" t="s">
        <v>6163</v>
      </c>
      <c r="I622" s="0" t="s">
        <v>6164</v>
      </c>
      <c r="J622" s="0" t="s">
        <v>6165</v>
      </c>
      <c r="K622" s="0" t="s">
        <v>6166</v>
      </c>
      <c r="L622" s="0" t="n">
        <v>610614</v>
      </c>
      <c r="M622" s="0" t="s">
        <v>6167</v>
      </c>
      <c r="N622" s="0" t="n">
        <v>502892</v>
      </c>
      <c r="O622" s="9" t="n">
        <v>1747</v>
      </c>
      <c r="P622" s="0" t="s">
        <v>409</v>
      </c>
      <c r="Q622" s="0" t="s">
        <v>6168</v>
      </c>
      <c r="R622" s="0" t="s">
        <v>6169</v>
      </c>
      <c r="S622" s="0" t="s">
        <v>6170</v>
      </c>
      <c r="T622" s="0" t="s">
        <v>6171</v>
      </c>
      <c r="U622" s="9" t="n">
        <v>0</v>
      </c>
      <c r="V622" s="0" t="n">
        <v>21.4383093615106</v>
      </c>
      <c r="W622" s="0" t="n">
        <v>20241231</v>
      </c>
      <c r="X622" s="0" t="n">
        <v>0.860939251412119</v>
      </c>
      <c r="Y622" s="0" t="s">
        <v>6172</v>
      </c>
      <c r="Z622" s="0" t="s">
        <v>60</v>
      </c>
    </row>
    <row r="623" customFormat="false" ht="15" hidden="false" customHeight="false" outlineLevel="0" collapsed="false">
      <c r="A623" s="0" t="n">
        <v>620</v>
      </c>
      <c r="B623" s="9" t="n">
        <v>4083054</v>
      </c>
      <c r="C623" s="0" t="n">
        <v>19690</v>
      </c>
      <c r="D623" s="0" t="n">
        <v>3178140</v>
      </c>
      <c r="E623" s="0" t="s">
        <v>85</v>
      </c>
      <c r="F623" s="0" t="n">
        <v>444101</v>
      </c>
      <c r="G623" s="0" t="s">
        <v>6173</v>
      </c>
      <c r="H623" s="0" t="s">
        <v>6174</v>
      </c>
      <c r="I623" s="0" t="s">
        <v>6175</v>
      </c>
      <c r="J623" s="0" t="s">
        <v>6176</v>
      </c>
      <c r="K623" s="0" t="s">
        <v>2730</v>
      </c>
      <c r="L623" s="0" t="n">
        <v>3626020</v>
      </c>
      <c r="M623" s="0" t="s">
        <v>6177</v>
      </c>
      <c r="N623" s="0" t="n">
        <v>2812366</v>
      </c>
      <c r="O623" s="9" t="n">
        <v>30066</v>
      </c>
      <c r="P623" s="0" t="s">
        <v>420</v>
      </c>
      <c r="Q623" s="0" t="s">
        <v>6178</v>
      </c>
      <c r="R623" s="0" t="s">
        <v>6179</v>
      </c>
      <c r="S623" s="0" t="s">
        <v>6180</v>
      </c>
      <c r="T623" s="0" t="s">
        <v>6181</v>
      </c>
      <c r="U623" s="9" t="n">
        <v>0</v>
      </c>
      <c r="V623" s="0" t="n">
        <v>13.9124837251983</v>
      </c>
      <c r="W623" s="0" t="n">
        <v>20241231</v>
      </c>
      <c r="X623" s="0" t="n">
        <v>2.00155957794462</v>
      </c>
      <c r="Y623" s="0" t="s">
        <v>6182</v>
      </c>
      <c r="Z623" s="0" t="s">
        <v>60</v>
      </c>
    </row>
    <row r="624" customFormat="false" ht="15" hidden="false" customHeight="false" outlineLevel="0" collapsed="false">
      <c r="A624" s="0" t="n">
        <v>621</v>
      </c>
      <c r="B624" s="9" t="n">
        <v>725956</v>
      </c>
      <c r="C624" s="0" t="n">
        <v>19836</v>
      </c>
      <c r="D624" s="0" t="n">
        <v>546072</v>
      </c>
      <c r="E624" s="0" t="s">
        <v>172</v>
      </c>
      <c r="F624" s="0" t="n">
        <v>126418</v>
      </c>
      <c r="G624" s="0" t="s">
        <v>6183</v>
      </c>
      <c r="H624" s="0" t="s">
        <v>6184</v>
      </c>
      <c r="I624" s="0" t="s">
        <v>6185</v>
      </c>
      <c r="J624" s="0" t="s">
        <v>6186</v>
      </c>
      <c r="K624" s="0" t="s">
        <v>6187</v>
      </c>
      <c r="L624" s="0" t="n">
        <v>621275</v>
      </c>
      <c r="M624" s="0" t="s">
        <v>6188</v>
      </c>
      <c r="N624" s="0" t="n">
        <v>565995</v>
      </c>
      <c r="O624" s="9" t="n">
        <v>5575</v>
      </c>
      <c r="P624" s="0" t="s">
        <v>290</v>
      </c>
      <c r="Q624" s="0" t="s">
        <v>6189</v>
      </c>
      <c r="R624" s="0" t="s">
        <v>6190</v>
      </c>
      <c r="S624" s="0" t="s">
        <v>6191</v>
      </c>
      <c r="T624" s="0" t="s">
        <v>6192</v>
      </c>
      <c r="U624" s="9" t="n">
        <v>115</v>
      </c>
      <c r="V624" s="0" t="n">
        <v>23.4027315459259</v>
      </c>
      <c r="W624" s="0" t="n">
        <v>20241231</v>
      </c>
      <c r="X624" s="0" t="n">
        <v>0.635783162051918</v>
      </c>
      <c r="Y624" s="0" t="s">
        <v>6193</v>
      </c>
      <c r="Z624" s="0" t="s">
        <v>60</v>
      </c>
    </row>
    <row r="625" customFormat="false" ht="15" hidden="false" customHeight="false" outlineLevel="0" collapsed="false">
      <c r="A625" s="0" t="n">
        <v>622</v>
      </c>
      <c r="B625" s="9" t="n">
        <v>1527088</v>
      </c>
      <c r="C625" s="0" t="n">
        <v>24540</v>
      </c>
      <c r="D625" s="0" t="n">
        <v>1227168</v>
      </c>
      <c r="E625" s="0" t="s">
        <v>47</v>
      </c>
      <c r="F625" s="0" t="n">
        <v>276022</v>
      </c>
      <c r="G625" s="0" t="s">
        <v>6194</v>
      </c>
      <c r="H625" s="0" t="s">
        <v>6195</v>
      </c>
      <c r="I625" s="0" t="s">
        <v>6196</v>
      </c>
      <c r="J625" s="0" t="s">
        <v>6197</v>
      </c>
      <c r="K625" s="0" t="s">
        <v>6198</v>
      </c>
      <c r="L625" s="0" t="n">
        <v>1371569</v>
      </c>
      <c r="M625" s="0" t="s">
        <v>6199</v>
      </c>
      <c r="N625" s="0" t="n">
        <v>1331608</v>
      </c>
      <c r="O625" s="9" t="n">
        <v>28862</v>
      </c>
      <c r="P625" s="0" t="s">
        <v>443</v>
      </c>
      <c r="Q625" s="0" t="s">
        <v>6200</v>
      </c>
      <c r="R625" s="0" t="s">
        <v>6201</v>
      </c>
      <c r="S625" s="0" t="s">
        <v>1018</v>
      </c>
      <c r="T625" s="0" t="s">
        <v>61</v>
      </c>
      <c r="U625" s="9" t="n">
        <v>0</v>
      </c>
      <c r="V625" s="0" t="n">
        <v>18.6892666157372</v>
      </c>
      <c r="W625" s="0" t="n">
        <v>20241231</v>
      </c>
      <c r="X625" s="0" t="n">
        <v>2.16766070982136</v>
      </c>
      <c r="Y625" s="0" t="s">
        <v>6202</v>
      </c>
      <c r="Z625" s="0" t="s">
        <v>158</v>
      </c>
    </row>
    <row r="626" customFormat="false" ht="15" hidden="false" customHeight="false" outlineLevel="0" collapsed="false">
      <c r="A626" s="0" t="n">
        <v>623</v>
      </c>
      <c r="B626" s="9" t="n">
        <v>567213</v>
      </c>
      <c r="C626" s="0" t="n">
        <v>27824</v>
      </c>
      <c r="D626" s="0" t="n">
        <v>364594</v>
      </c>
      <c r="E626" s="0" t="s">
        <v>195</v>
      </c>
      <c r="F626" s="0" t="n">
        <v>62425</v>
      </c>
      <c r="G626" s="0" t="s">
        <v>6203</v>
      </c>
      <c r="H626" s="0" t="s">
        <v>6204</v>
      </c>
      <c r="I626" s="0" t="s">
        <v>6205</v>
      </c>
      <c r="J626" s="0" t="s">
        <v>6206</v>
      </c>
      <c r="K626" s="0" t="s">
        <v>6207</v>
      </c>
      <c r="L626" s="0" t="n">
        <v>477239</v>
      </c>
      <c r="M626" s="0" t="s">
        <v>6208</v>
      </c>
      <c r="N626" s="0" t="n">
        <v>418833</v>
      </c>
      <c r="O626" s="9" t="n">
        <v>1549</v>
      </c>
      <c r="P626" s="0" t="s">
        <v>453</v>
      </c>
      <c r="Q626" s="0" t="s">
        <v>6209</v>
      </c>
      <c r="R626" s="0" t="s">
        <v>6210</v>
      </c>
      <c r="S626" s="0" t="s">
        <v>6211</v>
      </c>
      <c r="T626" s="0" t="s">
        <v>6212</v>
      </c>
      <c r="U626" s="9" t="n">
        <v>0</v>
      </c>
      <c r="V626" s="0" t="n">
        <v>19.034594199942</v>
      </c>
      <c r="W626" s="0" t="n">
        <v>20241231</v>
      </c>
      <c r="X626" s="0" t="n">
        <v>-0.525560567879556</v>
      </c>
      <c r="Y626" s="0" t="s">
        <v>6213</v>
      </c>
      <c r="Z626" s="0" t="s">
        <v>158</v>
      </c>
    </row>
    <row r="627" customFormat="false" ht="15" hidden="false" customHeight="false" outlineLevel="0" collapsed="false">
      <c r="A627" s="0" t="n">
        <v>624</v>
      </c>
      <c r="B627" s="9" t="n">
        <v>295833</v>
      </c>
      <c r="C627" s="0" t="n">
        <v>28155</v>
      </c>
      <c r="D627" s="0" t="n">
        <v>257082</v>
      </c>
      <c r="E627" s="0" t="s">
        <v>794</v>
      </c>
      <c r="F627" s="0" t="n">
        <v>27363</v>
      </c>
      <c r="G627" s="0" t="s">
        <v>6214</v>
      </c>
      <c r="H627" s="0" t="s">
        <v>6215</v>
      </c>
      <c r="I627" s="0" t="s">
        <v>6216</v>
      </c>
      <c r="J627" s="0" t="s">
        <v>6217</v>
      </c>
      <c r="K627" s="0" t="s">
        <v>6218</v>
      </c>
      <c r="L627" s="0" t="n">
        <v>174792</v>
      </c>
      <c r="M627" s="0" t="s">
        <v>6219</v>
      </c>
      <c r="N627" s="0" t="n">
        <v>157930</v>
      </c>
      <c r="O627" s="9" t="n">
        <v>0</v>
      </c>
      <c r="P627" s="0" t="s">
        <v>464</v>
      </c>
      <c r="Q627" s="0" t="s">
        <v>61</v>
      </c>
      <c r="R627" s="0" t="s">
        <v>6220</v>
      </c>
      <c r="S627" s="0" t="s">
        <v>256</v>
      </c>
      <c r="T627" s="0" t="s">
        <v>6221</v>
      </c>
      <c r="U627" s="9" t="n">
        <v>0</v>
      </c>
      <c r="V627" s="0" t="n">
        <v>17.6109436246782</v>
      </c>
      <c r="W627" s="0" t="n">
        <v>20241231</v>
      </c>
      <c r="X627" s="0" t="n">
        <v>-0.0231009511565541</v>
      </c>
      <c r="Y627" s="0" t="s">
        <v>4631</v>
      </c>
      <c r="Z627" s="0" t="s">
        <v>158</v>
      </c>
    </row>
    <row r="628" customFormat="false" ht="15" hidden="false" customHeight="false" outlineLevel="0" collapsed="false">
      <c r="A628" s="0" t="n">
        <v>625</v>
      </c>
      <c r="B628" s="9" t="n">
        <v>102307</v>
      </c>
      <c r="C628" s="0" t="n">
        <v>28288</v>
      </c>
      <c r="D628" s="0" t="n">
        <v>74614</v>
      </c>
      <c r="E628" s="0" t="s">
        <v>742</v>
      </c>
      <c r="F628" s="0" t="n">
        <v>5875</v>
      </c>
      <c r="G628" s="0" t="s">
        <v>6222</v>
      </c>
      <c r="H628" s="0" t="s">
        <v>6223</v>
      </c>
      <c r="I628" s="0" t="s">
        <v>6224</v>
      </c>
      <c r="J628" s="0" t="s">
        <v>6225</v>
      </c>
      <c r="K628" s="0" t="s">
        <v>6226</v>
      </c>
      <c r="L628" s="0" t="n">
        <v>83156</v>
      </c>
      <c r="M628" s="0" t="s">
        <v>6227</v>
      </c>
      <c r="N628" s="0" t="n">
        <v>75140</v>
      </c>
      <c r="O628" s="9" t="n">
        <v>137</v>
      </c>
      <c r="P628" s="0" t="s">
        <v>475</v>
      </c>
      <c r="Q628" s="0" t="s">
        <v>6228</v>
      </c>
      <c r="R628" s="0" t="s">
        <v>6229</v>
      </c>
      <c r="S628" s="0" t="s">
        <v>61</v>
      </c>
      <c r="T628" s="0" t="s">
        <v>1595</v>
      </c>
      <c r="U628" s="9" t="n">
        <v>0</v>
      </c>
      <c r="V628" s="0" t="n">
        <v>13.0257542310522</v>
      </c>
      <c r="W628" s="0" t="n">
        <v>20241231</v>
      </c>
      <c r="X628" s="0" t="n">
        <v>0.0310049879274328</v>
      </c>
      <c r="Y628" s="0" t="s">
        <v>6230</v>
      </c>
      <c r="Z628" s="0" t="s">
        <v>60</v>
      </c>
    </row>
    <row r="629" customFormat="false" ht="15" hidden="false" customHeight="false" outlineLevel="0" collapsed="false">
      <c r="A629" s="0" t="n">
        <v>626</v>
      </c>
      <c r="B629" s="9" t="n">
        <v>93759</v>
      </c>
      <c r="C629" s="0" t="n">
        <v>28369</v>
      </c>
      <c r="D629" s="0" t="n">
        <v>74708</v>
      </c>
      <c r="E629" s="0" t="s">
        <v>271</v>
      </c>
      <c r="F629" s="0" t="n">
        <v>9043</v>
      </c>
      <c r="G629" s="0" t="s">
        <v>6231</v>
      </c>
      <c r="H629" s="0" t="s">
        <v>6232</v>
      </c>
      <c r="I629" s="0" t="s">
        <v>6233</v>
      </c>
      <c r="J629" s="0" t="s">
        <v>6234</v>
      </c>
      <c r="K629" s="0" t="s">
        <v>6235</v>
      </c>
      <c r="L629" s="0" t="n">
        <v>81371</v>
      </c>
      <c r="M629" s="0" t="s">
        <v>6236</v>
      </c>
      <c r="N629" s="0" t="n">
        <v>68320</v>
      </c>
      <c r="O629" s="9" t="n">
        <v>208</v>
      </c>
      <c r="P629" s="0" t="s">
        <v>486</v>
      </c>
      <c r="Q629" s="0" t="s">
        <v>6237</v>
      </c>
      <c r="R629" s="0" t="s">
        <v>6238</v>
      </c>
      <c r="S629" s="0" t="s">
        <v>155</v>
      </c>
      <c r="T629" s="0" t="s">
        <v>3375</v>
      </c>
      <c r="U629" s="9" t="n">
        <v>0</v>
      </c>
      <c r="V629" s="0" t="n">
        <v>13.8247801806983</v>
      </c>
      <c r="W629" s="0" t="n">
        <v>20241231</v>
      </c>
      <c r="X629" s="0" t="n">
        <v>-0.324465319202006</v>
      </c>
      <c r="Y629" s="0" t="s">
        <v>6239</v>
      </c>
      <c r="Z629" s="0" t="s">
        <v>60</v>
      </c>
    </row>
    <row r="630" customFormat="false" ht="15" hidden="false" customHeight="false" outlineLevel="0" collapsed="false">
      <c r="A630" s="0" t="n">
        <v>627</v>
      </c>
      <c r="B630" s="9" t="n">
        <v>287826</v>
      </c>
      <c r="C630" s="0" t="n">
        <v>28837</v>
      </c>
      <c r="D630" s="0" t="n">
        <v>255992</v>
      </c>
      <c r="E630" s="0" t="s">
        <v>742</v>
      </c>
      <c r="F630" s="0" t="n">
        <v>28739</v>
      </c>
      <c r="G630" s="0" t="s">
        <v>6240</v>
      </c>
      <c r="H630" s="0" t="s">
        <v>6241</v>
      </c>
      <c r="I630" s="0" t="s">
        <v>6242</v>
      </c>
      <c r="J630" s="0" t="s">
        <v>6243</v>
      </c>
      <c r="K630" s="0" t="s">
        <v>6244</v>
      </c>
      <c r="L630" s="0" t="n">
        <v>205742</v>
      </c>
      <c r="M630" s="0" t="s">
        <v>6245</v>
      </c>
      <c r="N630" s="0" t="n">
        <v>197027</v>
      </c>
      <c r="O630" s="9" t="n">
        <v>0</v>
      </c>
      <c r="P630" s="0" t="s">
        <v>497</v>
      </c>
      <c r="Q630" s="0" t="s">
        <v>61</v>
      </c>
      <c r="R630" s="0" t="s">
        <v>6246</v>
      </c>
      <c r="S630" s="0" t="s">
        <v>5733</v>
      </c>
      <c r="T630" s="0" t="s">
        <v>6247</v>
      </c>
      <c r="U630" s="9" t="n">
        <v>0</v>
      </c>
      <c r="V630" s="0" t="n">
        <v>17.8530996972904</v>
      </c>
      <c r="W630" s="0" t="n">
        <v>20241231</v>
      </c>
      <c r="X630" s="0" t="n">
        <v>0.89725198998678</v>
      </c>
      <c r="Y630" s="0" t="s">
        <v>6248</v>
      </c>
      <c r="Z630" s="0" t="s">
        <v>98</v>
      </c>
    </row>
    <row r="631" customFormat="false" ht="15" hidden="false" customHeight="false" outlineLevel="0" collapsed="false">
      <c r="A631" s="0" t="n">
        <v>628</v>
      </c>
      <c r="B631" s="9" t="n">
        <v>182860</v>
      </c>
      <c r="C631" s="0" t="n">
        <v>29636</v>
      </c>
      <c r="D631" s="0" t="n">
        <v>141498</v>
      </c>
      <c r="E631" s="0" t="s">
        <v>271</v>
      </c>
      <c r="F631" s="0" t="n">
        <v>27319</v>
      </c>
      <c r="G631" s="0" t="s">
        <v>6249</v>
      </c>
      <c r="H631" s="0" t="s">
        <v>6250</v>
      </c>
      <c r="I631" s="0" t="s">
        <v>6251</v>
      </c>
      <c r="J631" s="0" t="s">
        <v>6252</v>
      </c>
      <c r="K631" s="0" t="s">
        <v>6253</v>
      </c>
      <c r="L631" s="0" t="n">
        <v>143339</v>
      </c>
      <c r="M631" s="0" t="s">
        <v>6254</v>
      </c>
      <c r="N631" s="0" t="n">
        <v>139835</v>
      </c>
      <c r="O631" s="9" t="n">
        <v>2868</v>
      </c>
      <c r="P631" s="0" t="s">
        <v>509</v>
      </c>
      <c r="Q631" s="0" t="s">
        <v>6255</v>
      </c>
      <c r="R631" s="0" t="s">
        <v>6256</v>
      </c>
      <c r="S631" s="0" t="s">
        <v>256</v>
      </c>
      <c r="T631" s="0" t="s">
        <v>6257</v>
      </c>
      <c r="U631" s="9" t="n">
        <v>0</v>
      </c>
      <c r="V631" s="0" t="n">
        <v>26.7512284310365</v>
      </c>
      <c r="W631" s="0" t="n">
        <v>20241231</v>
      </c>
      <c r="X631" s="0" t="n">
        <v>0.375798155374246</v>
      </c>
      <c r="Y631" s="0" t="s">
        <v>6258</v>
      </c>
      <c r="Z631" s="0" t="s">
        <v>60</v>
      </c>
    </row>
    <row r="632" customFormat="false" ht="15" hidden="false" customHeight="false" outlineLevel="0" collapsed="false">
      <c r="A632" s="0" t="n">
        <v>629</v>
      </c>
      <c r="B632" s="9" t="n">
        <v>202964</v>
      </c>
      <c r="C632" s="0" t="n">
        <v>29743</v>
      </c>
      <c r="D632" s="0" t="n">
        <v>178152</v>
      </c>
      <c r="E632" s="0" t="s">
        <v>890</v>
      </c>
      <c r="F632" s="0" t="n">
        <v>18066</v>
      </c>
      <c r="G632" s="0" t="s">
        <v>6259</v>
      </c>
      <c r="H632" s="0" t="s">
        <v>6260</v>
      </c>
      <c r="I632" s="0" t="s">
        <v>6261</v>
      </c>
      <c r="J632" s="0" t="s">
        <v>6262</v>
      </c>
      <c r="K632" s="0" t="s">
        <v>6263</v>
      </c>
      <c r="L632" s="0" t="n">
        <v>135025</v>
      </c>
      <c r="M632" s="0" t="s">
        <v>6264</v>
      </c>
      <c r="N632" s="0" t="n">
        <v>88138</v>
      </c>
      <c r="O632" s="9" t="n">
        <v>647</v>
      </c>
      <c r="P632" s="0" t="s">
        <v>520</v>
      </c>
      <c r="Q632" s="0" t="s">
        <v>6265</v>
      </c>
      <c r="R632" s="0" t="s">
        <v>6266</v>
      </c>
      <c r="S632" s="0" t="s">
        <v>230</v>
      </c>
      <c r="T632" s="0" t="s">
        <v>6267</v>
      </c>
      <c r="U632" s="9" t="n">
        <v>0</v>
      </c>
      <c r="V632" s="0" t="n">
        <v>18.4150066221586</v>
      </c>
      <c r="W632" s="0" t="n">
        <v>20241231</v>
      </c>
      <c r="X632" s="0" t="n">
        <v>0.362792198666465</v>
      </c>
      <c r="Y632" s="0" t="s">
        <v>218</v>
      </c>
      <c r="Z632" s="0" t="s">
        <v>60</v>
      </c>
    </row>
    <row r="633" customFormat="false" ht="15" hidden="false" customHeight="false" outlineLevel="0" collapsed="false">
      <c r="A633" s="0" t="n">
        <v>630</v>
      </c>
      <c r="B633" s="9" t="n">
        <v>581057</v>
      </c>
      <c r="C633" s="0" t="n">
        <v>29744</v>
      </c>
      <c r="D633" s="0" t="n">
        <v>472402</v>
      </c>
      <c r="E633" s="0" t="s">
        <v>794</v>
      </c>
      <c r="F633" s="0" t="n">
        <v>44991</v>
      </c>
      <c r="G633" s="0" t="s">
        <v>6268</v>
      </c>
      <c r="H633" s="0" t="s">
        <v>6269</v>
      </c>
      <c r="I633" s="0" t="s">
        <v>6270</v>
      </c>
      <c r="J633" s="0" t="s">
        <v>6271</v>
      </c>
      <c r="K633" s="0" t="s">
        <v>6272</v>
      </c>
      <c r="L633" s="0" t="n">
        <v>437679</v>
      </c>
      <c r="M633" s="0" t="s">
        <v>6273</v>
      </c>
      <c r="N633" s="0" t="n">
        <v>401559</v>
      </c>
      <c r="O633" s="9" t="n">
        <v>0</v>
      </c>
      <c r="P633" s="0" t="s">
        <v>531</v>
      </c>
      <c r="Q633" s="0" t="s">
        <v>61</v>
      </c>
      <c r="R633" s="0" t="s">
        <v>6274</v>
      </c>
      <c r="S633" s="0" t="s">
        <v>400</v>
      </c>
      <c r="T633" s="0" t="s">
        <v>61</v>
      </c>
      <c r="U633" s="9" t="n">
        <v>0</v>
      </c>
      <c r="V633" s="0" t="n">
        <v>15.5504255593346</v>
      </c>
      <c r="W633" s="0" t="n">
        <v>20241231</v>
      </c>
      <c r="X633" s="0" t="n">
        <v>-0.0833620014517603</v>
      </c>
      <c r="Y633" s="0" t="s">
        <v>6275</v>
      </c>
      <c r="Z633" s="0" t="s">
        <v>158</v>
      </c>
    </row>
    <row r="634" customFormat="false" ht="15" hidden="false" customHeight="false" outlineLevel="0" collapsed="false">
      <c r="A634" s="0" t="n">
        <v>631</v>
      </c>
      <c r="B634" s="9" t="n">
        <v>593799</v>
      </c>
      <c r="C634" s="0" t="n">
        <v>30350</v>
      </c>
      <c r="D634" s="0" t="n">
        <v>466175</v>
      </c>
      <c r="E634" s="0" t="s">
        <v>61</v>
      </c>
      <c r="F634" s="0" t="n">
        <v>60826</v>
      </c>
      <c r="G634" s="0" t="s">
        <v>6276</v>
      </c>
      <c r="H634" s="0" t="s">
        <v>6277</v>
      </c>
      <c r="I634" s="0" t="s">
        <v>6278</v>
      </c>
      <c r="J634" s="0" t="s">
        <v>6279</v>
      </c>
      <c r="K634" s="0" t="s">
        <v>6280</v>
      </c>
      <c r="L634" s="0" t="n">
        <v>456385</v>
      </c>
      <c r="M634" s="0" t="s">
        <v>6281</v>
      </c>
      <c r="N634" s="0" t="n">
        <v>438311</v>
      </c>
      <c r="O634" s="9" t="n">
        <v>1585</v>
      </c>
      <c r="P634" s="0" t="s">
        <v>543</v>
      </c>
      <c r="Q634" s="0" t="s">
        <v>6282</v>
      </c>
      <c r="R634" s="0" t="s">
        <v>6283</v>
      </c>
      <c r="S634" s="0" t="s">
        <v>6284</v>
      </c>
      <c r="T634" s="0" t="s">
        <v>6285</v>
      </c>
      <c r="U634" s="9" t="n">
        <v>0</v>
      </c>
      <c r="V634" s="0" t="n">
        <v>20.2115949468161</v>
      </c>
      <c r="W634" s="0" t="n">
        <v>20241231</v>
      </c>
      <c r="X634" s="0" t="n">
        <v>0.659977862877419</v>
      </c>
      <c r="Y634" s="0" t="s">
        <v>5559</v>
      </c>
      <c r="Z634" s="0" t="s">
        <v>98</v>
      </c>
    </row>
    <row r="635" customFormat="false" ht="15" hidden="false" customHeight="false" outlineLevel="0" collapsed="false">
      <c r="A635" s="0" t="n">
        <v>632</v>
      </c>
      <c r="B635" s="9" t="n">
        <v>99802</v>
      </c>
      <c r="C635" s="0" t="n">
        <v>30878</v>
      </c>
      <c r="D635" s="0" t="n">
        <v>75762</v>
      </c>
      <c r="E635" s="0" t="s">
        <v>61</v>
      </c>
      <c r="F635" s="0" t="n">
        <v>11821</v>
      </c>
      <c r="G635" s="0" t="s">
        <v>6286</v>
      </c>
      <c r="H635" s="0" t="s">
        <v>6287</v>
      </c>
      <c r="I635" s="0" t="s">
        <v>6288</v>
      </c>
      <c r="J635" s="0" t="s">
        <v>61</v>
      </c>
      <c r="K635" s="0" t="s">
        <v>2984</v>
      </c>
      <c r="L635" s="0" t="n">
        <v>86046</v>
      </c>
      <c r="M635" s="0" t="s">
        <v>6289</v>
      </c>
      <c r="N635" s="0" t="n">
        <v>85877</v>
      </c>
      <c r="O635" s="9" t="n">
        <v>1428</v>
      </c>
      <c r="P635" s="0" t="s">
        <v>553</v>
      </c>
      <c r="Q635" s="0" t="s">
        <v>6290</v>
      </c>
      <c r="R635" s="0" t="s">
        <v>6291</v>
      </c>
      <c r="S635" s="0" t="s">
        <v>61</v>
      </c>
      <c r="T635" s="0" t="s">
        <v>1616</v>
      </c>
      <c r="U635" s="9" t="n">
        <v>0</v>
      </c>
      <c r="V635" s="0" t="n">
        <v>0</v>
      </c>
      <c r="W635" s="0" t="n">
        <v>20241231</v>
      </c>
      <c r="X635" s="0" t="n">
        <v>-0.519758644406928</v>
      </c>
      <c r="Y635" s="0" t="s">
        <v>6292</v>
      </c>
      <c r="Z635" s="0" t="s">
        <v>60</v>
      </c>
    </row>
    <row r="636" customFormat="false" ht="15" hidden="false" customHeight="false" outlineLevel="0" collapsed="false">
      <c r="A636" s="0" t="n">
        <v>633</v>
      </c>
      <c r="B636" s="9" t="n">
        <v>950082</v>
      </c>
      <c r="C636" s="0" t="n">
        <v>33418</v>
      </c>
      <c r="D636" s="0" t="n">
        <v>811387</v>
      </c>
      <c r="E636" s="0" t="s">
        <v>259</v>
      </c>
      <c r="F636" s="0" t="n">
        <v>69717</v>
      </c>
      <c r="G636" s="0" t="s">
        <v>6293</v>
      </c>
      <c r="H636" s="0" t="s">
        <v>6294</v>
      </c>
      <c r="I636" s="0" t="s">
        <v>6295</v>
      </c>
      <c r="J636" s="0" t="s">
        <v>6296</v>
      </c>
      <c r="K636" s="0" t="s">
        <v>6297</v>
      </c>
      <c r="L636" s="0" t="n">
        <v>579725</v>
      </c>
      <c r="M636" s="0" t="s">
        <v>6298</v>
      </c>
      <c r="N636" s="0" t="n">
        <v>490295</v>
      </c>
      <c r="O636" s="9" t="n">
        <v>1277</v>
      </c>
      <c r="P636" s="0" t="s">
        <v>564</v>
      </c>
      <c r="Q636" s="0" t="s">
        <v>6299</v>
      </c>
      <c r="R636" s="0" t="s">
        <v>6300</v>
      </c>
      <c r="S636" s="0" t="s">
        <v>6301</v>
      </c>
      <c r="T636" s="0" t="s">
        <v>2821</v>
      </c>
      <c r="U636" s="9" t="n">
        <v>0</v>
      </c>
      <c r="V636" s="0" t="n">
        <v>12.7244669976746</v>
      </c>
      <c r="W636" s="0" t="n">
        <v>20241231</v>
      </c>
      <c r="X636" s="0" t="n">
        <v>0.466342669650027</v>
      </c>
      <c r="Y636" s="0" t="s">
        <v>2374</v>
      </c>
      <c r="Z636" s="0" t="s">
        <v>98</v>
      </c>
    </row>
    <row r="637" customFormat="false" ht="15" hidden="false" customHeight="false" outlineLevel="0" collapsed="false">
      <c r="A637" s="0" t="n">
        <v>634</v>
      </c>
      <c r="B637" s="9" t="n">
        <v>63348</v>
      </c>
      <c r="C637" s="0" t="n">
        <v>35206</v>
      </c>
      <c r="D637" s="0" t="n">
        <v>500</v>
      </c>
      <c r="E637" s="0" t="s">
        <v>61</v>
      </c>
      <c r="F637" s="0" t="n">
        <v>60476</v>
      </c>
      <c r="G637" s="0" t="s">
        <v>6302</v>
      </c>
      <c r="H637" s="0" t="s">
        <v>6303</v>
      </c>
      <c r="I637" s="0" t="s">
        <v>61</v>
      </c>
      <c r="J637" s="0" t="s">
        <v>61</v>
      </c>
      <c r="K637" s="0" t="s">
        <v>61</v>
      </c>
      <c r="L637" s="0" t="n">
        <v>0</v>
      </c>
      <c r="M637" s="0" t="s">
        <v>61</v>
      </c>
      <c r="N637" s="0" t="n">
        <v>0</v>
      </c>
      <c r="O637" s="9" t="n">
        <v>0</v>
      </c>
      <c r="P637" s="0" t="s">
        <v>1112</v>
      </c>
      <c r="Q637" s="0" t="s">
        <v>61</v>
      </c>
      <c r="R637" s="0" t="s">
        <v>6304</v>
      </c>
      <c r="S637" s="0" t="s">
        <v>61</v>
      </c>
      <c r="T637" s="0" t="s">
        <v>61</v>
      </c>
      <c r="U637" s="9" t="n">
        <v>0</v>
      </c>
      <c r="V637" s="0" t="n">
        <v>0</v>
      </c>
      <c r="W637" s="0" t="n">
        <v>20241231</v>
      </c>
      <c r="X637" s="0" t="n">
        <v>20.2893757542402</v>
      </c>
      <c r="Y637" s="0" t="s">
        <v>6305</v>
      </c>
      <c r="Z637" s="0" t="s">
        <v>158</v>
      </c>
    </row>
    <row r="638" customFormat="false" ht="15" hidden="false" customHeight="false" outlineLevel="0" collapsed="false">
      <c r="A638" s="0" t="n">
        <v>635</v>
      </c>
      <c r="B638" s="9" t="n">
        <v>5790238</v>
      </c>
      <c r="C638" s="0" t="n">
        <v>4255</v>
      </c>
      <c r="D638" s="0" t="n">
        <v>4671726</v>
      </c>
      <c r="E638" s="0" t="s">
        <v>390</v>
      </c>
      <c r="F638" s="0" t="n">
        <v>539279</v>
      </c>
      <c r="G638" s="0" t="s">
        <v>6306</v>
      </c>
      <c r="H638" s="0" t="s">
        <v>6307</v>
      </c>
      <c r="I638" s="0" t="s">
        <v>6308</v>
      </c>
      <c r="J638" s="0" t="s">
        <v>6309</v>
      </c>
      <c r="K638" s="0" t="s">
        <v>6310</v>
      </c>
      <c r="L638" s="0" t="n">
        <v>4126308</v>
      </c>
      <c r="M638" s="0" t="s">
        <v>6311</v>
      </c>
      <c r="N638" s="0" t="n">
        <v>3755741</v>
      </c>
      <c r="O638" s="9" t="n">
        <v>4829</v>
      </c>
      <c r="P638" s="0" t="s">
        <v>575</v>
      </c>
      <c r="Q638" s="0" t="s">
        <v>6312</v>
      </c>
      <c r="R638" s="0" t="s">
        <v>6313</v>
      </c>
      <c r="S638" s="0" t="s">
        <v>6314</v>
      </c>
      <c r="T638" s="0" t="s">
        <v>6315</v>
      </c>
      <c r="U638" s="9" t="n">
        <v>0</v>
      </c>
      <c r="V638" s="0" t="n">
        <v>14.3631579775332</v>
      </c>
      <c r="W638" s="0" t="n">
        <v>20241231</v>
      </c>
      <c r="X638" s="0" t="n">
        <v>0.966146562932645</v>
      </c>
      <c r="Y638" s="0" t="s">
        <v>6316</v>
      </c>
      <c r="Z638" s="0" t="s">
        <v>60</v>
      </c>
    </row>
    <row r="639" customFormat="false" ht="15" hidden="false" customHeight="false" outlineLevel="0" collapsed="false">
      <c r="A639" s="0" t="n">
        <v>636</v>
      </c>
      <c r="B639" s="9" t="n">
        <v>3121442</v>
      </c>
      <c r="C639" s="0" t="n">
        <v>4256</v>
      </c>
      <c r="D639" s="0" t="n">
        <v>2726323</v>
      </c>
      <c r="E639" s="0" t="s">
        <v>195</v>
      </c>
      <c r="F639" s="0" t="n">
        <v>223532</v>
      </c>
      <c r="G639" s="0" t="s">
        <v>6317</v>
      </c>
      <c r="H639" s="0" t="s">
        <v>6318</v>
      </c>
      <c r="I639" s="0" t="s">
        <v>6319</v>
      </c>
      <c r="J639" s="0" t="s">
        <v>6320</v>
      </c>
      <c r="K639" s="0" t="s">
        <v>6321</v>
      </c>
      <c r="L639" s="0" t="n">
        <v>2340940</v>
      </c>
      <c r="M639" s="0" t="s">
        <v>6322</v>
      </c>
      <c r="N639" s="0" t="n">
        <v>1846128</v>
      </c>
      <c r="O639" s="9" t="n">
        <v>4248</v>
      </c>
      <c r="P639" s="0" t="s">
        <v>587</v>
      </c>
      <c r="Q639" s="0" t="s">
        <v>6323</v>
      </c>
      <c r="R639" s="0" t="s">
        <v>6324</v>
      </c>
      <c r="S639" s="0" t="s">
        <v>6325</v>
      </c>
      <c r="T639" s="0" t="s">
        <v>6326</v>
      </c>
      <c r="U639" s="9" t="n">
        <v>1020</v>
      </c>
      <c r="V639" s="0" t="n">
        <v>13.1573411623733</v>
      </c>
      <c r="W639" s="0" t="n">
        <v>20241231</v>
      </c>
      <c r="X639" s="0" t="n">
        <v>0.926763449403844</v>
      </c>
      <c r="Y639" s="0" t="s">
        <v>6327</v>
      </c>
      <c r="Z639" s="0" t="s">
        <v>60</v>
      </c>
    </row>
    <row r="640" customFormat="false" ht="15" hidden="false" customHeight="false" outlineLevel="0" collapsed="false">
      <c r="A640" s="0" t="n">
        <v>637</v>
      </c>
      <c r="B640" s="9" t="n">
        <v>708844</v>
      </c>
      <c r="C640" s="0" t="n">
        <v>59086</v>
      </c>
      <c r="D640" s="0" t="n">
        <v>603651</v>
      </c>
      <c r="E640" s="0" t="s">
        <v>1187</v>
      </c>
      <c r="F640" s="0" t="n">
        <v>99876</v>
      </c>
      <c r="G640" s="0" t="s">
        <v>6328</v>
      </c>
      <c r="H640" s="0" t="s">
        <v>6329</v>
      </c>
      <c r="I640" s="0" t="s">
        <v>6330</v>
      </c>
      <c r="J640" s="0" t="s">
        <v>6331</v>
      </c>
      <c r="K640" s="0" t="s">
        <v>61</v>
      </c>
      <c r="L640" s="0" t="n">
        <v>599071</v>
      </c>
      <c r="M640" s="0" t="s">
        <v>6332</v>
      </c>
      <c r="N640" s="0" t="n">
        <v>477361</v>
      </c>
      <c r="O640" s="9" t="n">
        <v>4078</v>
      </c>
      <c r="P640" s="0" t="s">
        <v>599</v>
      </c>
      <c r="Q640" s="0" t="s">
        <v>6333</v>
      </c>
      <c r="R640" s="0" t="s">
        <v>6334</v>
      </c>
      <c r="S640" s="0" t="s">
        <v>6335</v>
      </c>
      <c r="T640" s="0" t="s">
        <v>3779</v>
      </c>
      <c r="U640" s="9" t="n">
        <v>486</v>
      </c>
      <c r="V640" s="0" t="n">
        <v>16.4547485172918</v>
      </c>
      <c r="W640" s="0" t="n">
        <v>20241231</v>
      </c>
      <c r="X640" s="0" t="n">
        <v>1.51475323091527</v>
      </c>
      <c r="Y640" s="0" t="s">
        <v>6336</v>
      </c>
      <c r="Z640" s="0" t="s">
        <v>158</v>
      </c>
    </row>
    <row r="641" customFormat="false" ht="15" hidden="false" customHeight="false" outlineLevel="0" collapsed="false">
      <c r="A641" s="0" t="n">
        <v>638</v>
      </c>
      <c r="B641" s="9" t="n">
        <v>237381</v>
      </c>
      <c r="C641" s="0" t="n">
        <v>59176</v>
      </c>
      <c r="D641" s="0" t="n">
        <v>196927</v>
      </c>
      <c r="E641" s="0" t="s">
        <v>1187</v>
      </c>
      <c r="F641" s="0" t="n">
        <v>27230</v>
      </c>
      <c r="G641" s="0" t="s">
        <v>6337</v>
      </c>
      <c r="H641" s="0" t="s">
        <v>6338</v>
      </c>
      <c r="I641" s="0" t="s">
        <v>6339</v>
      </c>
      <c r="J641" s="0" t="s">
        <v>6340</v>
      </c>
      <c r="K641" s="0" t="s">
        <v>61</v>
      </c>
      <c r="L641" s="0" t="n">
        <v>180752</v>
      </c>
      <c r="M641" s="0" t="s">
        <v>6341</v>
      </c>
      <c r="N641" s="0" t="n">
        <v>156611</v>
      </c>
      <c r="O641" s="9" t="n">
        <v>0</v>
      </c>
      <c r="P641" s="0" t="s">
        <v>610</v>
      </c>
      <c r="Q641" s="0" t="s">
        <v>61</v>
      </c>
      <c r="R641" s="0" t="s">
        <v>6342</v>
      </c>
      <c r="S641" s="0" t="s">
        <v>4540</v>
      </c>
      <c r="T641" s="0" t="s">
        <v>61</v>
      </c>
      <c r="U641" s="9" t="n">
        <v>0</v>
      </c>
      <c r="V641" s="0" t="n">
        <v>0</v>
      </c>
      <c r="W641" s="0" t="n">
        <v>20241231</v>
      </c>
      <c r="X641" s="0" t="n">
        <v>0.113409014371779</v>
      </c>
      <c r="Y641" s="0" t="s">
        <v>256</v>
      </c>
      <c r="Z641" s="0" t="s">
        <v>158</v>
      </c>
    </row>
    <row r="642" customFormat="false" ht="15" hidden="false" customHeight="false" outlineLevel="0" collapsed="false">
      <c r="A642" s="0" t="n">
        <v>639</v>
      </c>
      <c r="B642" s="9" t="n">
        <v>123766</v>
      </c>
      <c r="C642" s="0" t="n">
        <v>59289</v>
      </c>
      <c r="D642" s="0" t="n">
        <v>107030</v>
      </c>
      <c r="E642" s="0" t="s">
        <v>815</v>
      </c>
      <c r="F642" s="0" t="n">
        <v>15858</v>
      </c>
      <c r="G642" s="0" t="s">
        <v>6343</v>
      </c>
      <c r="H642" s="0" t="s">
        <v>6344</v>
      </c>
      <c r="I642" s="0" t="s">
        <v>6345</v>
      </c>
      <c r="J642" s="0" t="s">
        <v>6346</v>
      </c>
      <c r="K642" s="0" t="s">
        <v>61</v>
      </c>
      <c r="L642" s="0" t="n">
        <v>86219</v>
      </c>
      <c r="M642" s="0" t="s">
        <v>6347</v>
      </c>
      <c r="N642" s="0" t="n">
        <v>35426</v>
      </c>
      <c r="O642" s="9" t="n">
        <v>2234</v>
      </c>
      <c r="P642" s="0" t="s">
        <v>2223</v>
      </c>
      <c r="Q642" s="0" t="s">
        <v>6348</v>
      </c>
      <c r="R642" s="0" t="s">
        <v>6349</v>
      </c>
      <c r="S642" s="0" t="s">
        <v>6350</v>
      </c>
      <c r="T642" s="0" t="s">
        <v>6351</v>
      </c>
      <c r="U642" s="9" t="n">
        <v>0</v>
      </c>
      <c r="V642" s="0" t="n">
        <v>0</v>
      </c>
      <c r="W642" s="0" t="n">
        <v>20241231</v>
      </c>
      <c r="X642" s="0" t="n">
        <v>-3.22755669629028</v>
      </c>
      <c r="Y642" s="0" t="s">
        <v>6352</v>
      </c>
      <c r="Z642" s="0" t="s">
        <v>158</v>
      </c>
    </row>
    <row r="643" customFormat="false" ht="15" hidden="false" customHeight="false" outlineLevel="0" collapsed="false">
      <c r="A643" s="0" t="n">
        <v>640</v>
      </c>
      <c r="B643" s="9" t="n">
        <v>261157</v>
      </c>
      <c r="C643" s="0" t="n">
        <v>59298</v>
      </c>
      <c r="D643" s="0" t="n">
        <v>236473</v>
      </c>
      <c r="E643" s="0" t="s">
        <v>2210</v>
      </c>
      <c r="F643" s="0" t="n">
        <v>23720</v>
      </c>
      <c r="G643" s="0" t="s">
        <v>6353</v>
      </c>
      <c r="H643" s="0" t="s">
        <v>6354</v>
      </c>
      <c r="I643" s="0" t="s">
        <v>6355</v>
      </c>
      <c r="J643" s="0" t="s">
        <v>6356</v>
      </c>
      <c r="K643" s="0" t="s">
        <v>61</v>
      </c>
      <c r="L643" s="0" t="n">
        <v>137574</v>
      </c>
      <c r="M643" s="0" t="s">
        <v>6357</v>
      </c>
      <c r="N643" s="0" t="n">
        <v>105764</v>
      </c>
      <c r="O643" s="9" t="n">
        <v>0</v>
      </c>
      <c r="P643" s="0" t="s">
        <v>1684</v>
      </c>
      <c r="Q643" s="0" t="s">
        <v>61</v>
      </c>
      <c r="R643" s="0" t="s">
        <v>6358</v>
      </c>
      <c r="S643" s="0" t="s">
        <v>61</v>
      </c>
      <c r="T643" s="0" t="s">
        <v>61</v>
      </c>
      <c r="U643" s="9" t="n">
        <v>0</v>
      </c>
      <c r="V643" s="0" t="n">
        <v>17.5772477993456</v>
      </c>
      <c r="W643" s="0" t="n">
        <v>20241231</v>
      </c>
      <c r="X643" s="0" t="n">
        <v>-0.940503539781518</v>
      </c>
      <c r="Y643" s="0" t="s">
        <v>6359</v>
      </c>
      <c r="Z643" s="0" t="s">
        <v>98</v>
      </c>
    </row>
    <row r="644" customFormat="false" ht="15" hidden="false" customHeight="false" outlineLevel="0" collapsed="false">
      <c r="A644" s="0" t="n">
        <v>641</v>
      </c>
      <c r="B644" s="9" t="n">
        <v>1248213</v>
      </c>
      <c r="C644" s="0" t="n">
        <v>6271</v>
      </c>
      <c r="D644" s="0" t="n">
        <v>1002714</v>
      </c>
      <c r="E644" s="0" t="s">
        <v>85</v>
      </c>
      <c r="F644" s="0" t="n">
        <v>110120</v>
      </c>
      <c r="G644" s="0" t="s">
        <v>6360</v>
      </c>
      <c r="H644" s="0" t="s">
        <v>6361</v>
      </c>
      <c r="I644" s="0" t="s">
        <v>6362</v>
      </c>
      <c r="J644" s="0" t="s">
        <v>6363</v>
      </c>
      <c r="K644" s="0" t="s">
        <v>6364</v>
      </c>
      <c r="L644" s="0" t="n">
        <v>928589</v>
      </c>
      <c r="M644" s="0" t="s">
        <v>6365</v>
      </c>
      <c r="N644" s="0" t="n">
        <v>726591</v>
      </c>
      <c r="O644" s="9" t="n">
        <v>8338</v>
      </c>
      <c r="P644" s="0" t="s">
        <v>621</v>
      </c>
      <c r="Q644" s="0" t="s">
        <v>6366</v>
      </c>
      <c r="R644" s="0" t="s">
        <v>6367</v>
      </c>
      <c r="S644" s="0" t="s">
        <v>6368</v>
      </c>
      <c r="T644" s="0" t="s">
        <v>6369</v>
      </c>
      <c r="U644" s="9" t="n">
        <v>806</v>
      </c>
      <c r="V644" s="0" t="n">
        <v>14.7627252333487</v>
      </c>
      <c r="W644" s="0" t="n">
        <v>20241231</v>
      </c>
      <c r="X644" s="0" t="n">
        <v>1.22232640966748</v>
      </c>
      <c r="Y644" s="0" t="s">
        <v>6370</v>
      </c>
      <c r="Z644" s="0" t="s">
        <v>98</v>
      </c>
    </row>
    <row r="645" customFormat="false" ht="15" hidden="false" customHeight="false" outlineLevel="0" collapsed="false">
      <c r="A645" s="0" t="n">
        <v>642</v>
      </c>
      <c r="B645" s="9" t="n">
        <v>547799</v>
      </c>
      <c r="C645" s="0" t="n">
        <v>6275</v>
      </c>
      <c r="D645" s="0" t="n">
        <v>491990</v>
      </c>
      <c r="E645" s="0" t="s">
        <v>794</v>
      </c>
      <c r="F645" s="0" t="n">
        <v>33538</v>
      </c>
      <c r="G645" s="0" t="s">
        <v>6371</v>
      </c>
      <c r="H645" s="0" t="s">
        <v>6372</v>
      </c>
      <c r="I645" s="0" t="s">
        <v>6373</v>
      </c>
      <c r="J645" s="0" t="s">
        <v>6374</v>
      </c>
      <c r="K645" s="0" t="s">
        <v>6375</v>
      </c>
      <c r="L645" s="0" t="n">
        <v>348836</v>
      </c>
      <c r="M645" s="0" t="s">
        <v>6376</v>
      </c>
      <c r="N645" s="0" t="n">
        <v>295604</v>
      </c>
      <c r="O645" s="9" t="n">
        <v>694</v>
      </c>
      <c r="P645" s="0" t="s">
        <v>633</v>
      </c>
      <c r="Q645" s="0" t="s">
        <v>6377</v>
      </c>
      <c r="R645" s="0" t="s">
        <v>6378</v>
      </c>
      <c r="S645" s="0" t="s">
        <v>4253</v>
      </c>
      <c r="T645" s="0" t="s">
        <v>6379</v>
      </c>
      <c r="U645" s="9" t="n">
        <v>135</v>
      </c>
      <c r="V645" s="0" t="n">
        <v>15.4276600675766</v>
      </c>
      <c r="W645" s="0" t="n">
        <v>20241231</v>
      </c>
      <c r="X645" s="0" t="n">
        <v>0.621758716658391</v>
      </c>
      <c r="Y645" s="0" t="s">
        <v>2640</v>
      </c>
      <c r="Z645" s="0" t="s">
        <v>98</v>
      </c>
    </row>
    <row r="646" customFormat="false" ht="15" hidden="false" customHeight="false" outlineLevel="0" collapsed="false">
      <c r="A646" s="0" t="n">
        <v>643</v>
      </c>
      <c r="B646" s="9" t="n">
        <v>87669</v>
      </c>
      <c r="C646" s="0" t="n">
        <v>6280</v>
      </c>
      <c r="D646" s="0" t="n">
        <v>77381</v>
      </c>
      <c r="E646" s="0" t="s">
        <v>47</v>
      </c>
      <c r="F646" s="0" t="n">
        <v>9723</v>
      </c>
      <c r="G646" s="0" t="s">
        <v>6380</v>
      </c>
      <c r="H646" s="0" t="s">
        <v>6381</v>
      </c>
      <c r="I646" s="0" t="s">
        <v>6382</v>
      </c>
      <c r="J646" s="0" t="s">
        <v>6383</v>
      </c>
      <c r="K646" s="0" t="s">
        <v>6384</v>
      </c>
      <c r="L646" s="0" t="n">
        <v>70864</v>
      </c>
      <c r="M646" s="0" t="s">
        <v>6385</v>
      </c>
      <c r="N646" s="0" t="n">
        <v>63247</v>
      </c>
      <c r="O646" s="9" t="n">
        <v>1616</v>
      </c>
      <c r="P646" s="0" t="s">
        <v>644</v>
      </c>
      <c r="Q646" s="0" t="s">
        <v>6386</v>
      </c>
      <c r="R646" s="0" t="s">
        <v>6387</v>
      </c>
      <c r="S646" s="0" t="s">
        <v>3244</v>
      </c>
      <c r="T646" s="0" t="s">
        <v>6388</v>
      </c>
      <c r="U646" s="9" t="n">
        <v>0</v>
      </c>
      <c r="V646" s="0" t="n">
        <v>0</v>
      </c>
      <c r="W646" s="0" t="n">
        <v>20241231</v>
      </c>
      <c r="X646" s="0" t="n">
        <v>1.33537142523864</v>
      </c>
      <c r="Y646" s="0" t="s">
        <v>6389</v>
      </c>
      <c r="Z646" s="0" t="s">
        <v>98</v>
      </c>
    </row>
    <row r="647" customFormat="false" ht="15" hidden="false" customHeight="false" outlineLevel="0" collapsed="false">
      <c r="A647" s="0" t="n">
        <v>644</v>
      </c>
      <c r="B647" s="9" t="n">
        <v>4058800</v>
      </c>
      <c r="C647" s="0" t="n">
        <v>11971</v>
      </c>
      <c r="D647" s="0" t="n">
        <v>3305747</v>
      </c>
      <c r="E647" s="0" t="s">
        <v>172</v>
      </c>
      <c r="F647" s="0" t="n">
        <v>500720</v>
      </c>
      <c r="G647" s="0" t="s">
        <v>6390</v>
      </c>
      <c r="H647" s="0" t="s">
        <v>6391</v>
      </c>
      <c r="I647" s="0" t="s">
        <v>6392</v>
      </c>
      <c r="J647" s="0" t="s">
        <v>6393</v>
      </c>
      <c r="K647" s="0" t="s">
        <v>6394</v>
      </c>
      <c r="L647" s="0" t="n">
        <v>3125754</v>
      </c>
      <c r="M647" s="0" t="s">
        <v>6395</v>
      </c>
      <c r="N647" s="0" t="n">
        <v>2780638</v>
      </c>
      <c r="O647" s="9" t="n">
        <v>8085</v>
      </c>
      <c r="P647" s="0" t="s">
        <v>54</v>
      </c>
      <c r="Q647" s="0" t="s">
        <v>6396</v>
      </c>
      <c r="R647" s="0" t="s">
        <v>6397</v>
      </c>
      <c r="S647" s="0" t="s">
        <v>3005</v>
      </c>
      <c r="T647" s="0" t="s">
        <v>6398</v>
      </c>
      <c r="U647" s="9" t="n">
        <v>2</v>
      </c>
      <c r="V647" s="0" t="n">
        <v>13.6146361419019</v>
      </c>
      <c r="W647" s="0" t="n">
        <v>20250331</v>
      </c>
      <c r="X647" s="0" t="n">
        <v>1.15455749971395</v>
      </c>
      <c r="Y647" s="0" t="s">
        <v>1751</v>
      </c>
      <c r="Z647" s="0" t="s">
        <v>60</v>
      </c>
    </row>
    <row r="648" customFormat="false" ht="15" hidden="false" customHeight="false" outlineLevel="0" collapsed="false">
      <c r="A648" s="0" t="n">
        <v>645</v>
      </c>
      <c r="B648" s="9" t="n">
        <v>1079094</v>
      </c>
      <c r="C648" s="0" t="n">
        <v>12874</v>
      </c>
      <c r="D648" s="0" t="n">
        <v>929947</v>
      </c>
      <c r="E648" s="0" t="s">
        <v>794</v>
      </c>
      <c r="F648" s="0" t="n">
        <v>99521</v>
      </c>
      <c r="G648" s="0" t="s">
        <v>6399</v>
      </c>
      <c r="H648" s="0" t="s">
        <v>6400</v>
      </c>
      <c r="I648" s="0" t="s">
        <v>6401</v>
      </c>
      <c r="J648" s="0" t="s">
        <v>6402</v>
      </c>
      <c r="K648" s="0" t="s">
        <v>6403</v>
      </c>
      <c r="L648" s="0" t="n">
        <v>853286</v>
      </c>
      <c r="M648" s="0" t="s">
        <v>6404</v>
      </c>
      <c r="N648" s="0" t="n">
        <v>668513</v>
      </c>
      <c r="O648" s="9" t="n">
        <v>1396</v>
      </c>
      <c r="P648" s="0" t="s">
        <v>68</v>
      </c>
      <c r="Q648" s="0" t="s">
        <v>6405</v>
      </c>
      <c r="R648" s="0" t="s">
        <v>6406</v>
      </c>
      <c r="S648" s="0" t="s">
        <v>478</v>
      </c>
      <c r="T648" s="0" t="s">
        <v>6407</v>
      </c>
      <c r="U648" s="9" t="n">
        <v>11</v>
      </c>
      <c r="V648" s="0" t="n">
        <v>15.5622111834708</v>
      </c>
      <c r="W648" s="0" t="n">
        <v>20250331</v>
      </c>
      <c r="X648" s="0" t="n">
        <v>0.913939100696902</v>
      </c>
      <c r="Y648" s="0" t="s">
        <v>6408</v>
      </c>
      <c r="Z648" s="0" t="s">
        <v>60</v>
      </c>
    </row>
    <row r="649" customFormat="false" ht="15" hidden="false" customHeight="false" outlineLevel="0" collapsed="false">
      <c r="A649" s="0" t="n">
        <v>646</v>
      </c>
      <c r="B649" s="9" t="n">
        <v>1900245</v>
      </c>
      <c r="C649" s="0" t="n">
        <v>13063</v>
      </c>
      <c r="D649" s="0" t="n">
        <v>1610029</v>
      </c>
      <c r="E649" s="0" t="s">
        <v>172</v>
      </c>
      <c r="F649" s="0" t="n">
        <v>160439</v>
      </c>
      <c r="G649" s="0" t="s">
        <v>6409</v>
      </c>
      <c r="H649" s="0" t="s">
        <v>6410</v>
      </c>
      <c r="I649" s="0" t="s">
        <v>6411</v>
      </c>
      <c r="J649" s="0" t="s">
        <v>6412</v>
      </c>
      <c r="K649" s="0" t="s">
        <v>6413</v>
      </c>
      <c r="L649" s="0" t="n">
        <v>1529827</v>
      </c>
      <c r="M649" s="0" t="s">
        <v>6414</v>
      </c>
      <c r="N649" s="0" t="n">
        <v>1448578</v>
      </c>
      <c r="O649" s="9" t="n">
        <v>1033</v>
      </c>
      <c r="P649" s="0" t="s">
        <v>80</v>
      </c>
      <c r="Q649" s="0" t="s">
        <v>6415</v>
      </c>
      <c r="R649" s="0" t="s">
        <v>6416</v>
      </c>
      <c r="S649" s="0" t="s">
        <v>1556</v>
      </c>
      <c r="T649" s="0" t="s">
        <v>6417</v>
      </c>
      <c r="U649" s="9" t="n">
        <v>0</v>
      </c>
      <c r="V649" s="0" t="n">
        <v>0</v>
      </c>
      <c r="W649" s="0" t="n">
        <v>20250331</v>
      </c>
      <c r="X649" s="0" t="n">
        <v>0.573300747201974</v>
      </c>
      <c r="Y649" s="0" t="s">
        <v>6418</v>
      </c>
      <c r="Z649" s="0" t="s">
        <v>60</v>
      </c>
    </row>
    <row r="650" customFormat="false" ht="15" hidden="false" customHeight="false" outlineLevel="0" collapsed="false">
      <c r="A650" s="0" t="n">
        <v>647</v>
      </c>
      <c r="B650" s="9" t="n">
        <v>879312</v>
      </c>
      <c r="C650" s="0" t="n">
        <v>14134</v>
      </c>
      <c r="D650" s="0" t="n">
        <v>701672</v>
      </c>
      <c r="E650" s="0" t="s">
        <v>47</v>
      </c>
      <c r="F650" s="0" t="n">
        <v>113111</v>
      </c>
      <c r="G650" s="0" t="s">
        <v>6419</v>
      </c>
      <c r="H650" s="0" t="s">
        <v>6420</v>
      </c>
      <c r="I650" s="0" t="s">
        <v>6421</v>
      </c>
      <c r="J650" s="0" t="s">
        <v>6422</v>
      </c>
      <c r="K650" s="0" t="s">
        <v>6423</v>
      </c>
      <c r="L650" s="0" t="n">
        <v>628000</v>
      </c>
      <c r="M650" s="0" t="s">
        <v>6424</v>
      </c>
      <c r="N650" s="0" t="n">
        <v>556523</v>
      </c>
      <c r="O650" s="9" t="n">
        <v>2972</v>
      </c>
      <c r="P650" s="0" t="s">
        <v>92</v>
      </c>
      <c r="Q650" s="0" t="s">
        <v>6425</v>
      </c>
      <c r="R650" s="0" t="s">
        <v>6426</v>
      </c>
      <c r="S650" s="0" t="s">
        <v>4588</v>
      </c>
      <c r="T650" s="0" t="s">
        <v>6427</v>
      </c>
      <c r="U650" s="9" t="n">
        <v>0</v>
      </c>
      <c r="V650" s="0" t="n">
        <v>20.4880433281027</v>
      </c>
      <c r="W650" s="0" t="n">
        <v>20250331</v>
      </c>
      <c r="X650" s="0" t="n">
        <v>0.0433067891286426</v>
      </c>
      <c r="Y650" s="0" t="s">
        <v>614</v>
      </c>
      <c r="Z650" s="0" t="s">
        <v>98</v>
      </c>
    </row>
    <row r="651" customFormat="false" ht="15" hidden="false" customHeight="false" outlineLevel="0" collapsed="false">
      <c r="A651" s="0" t="n">
        <v>648</v>
      </c>
      <c r="B651" s="9" t="n">
        <v>238304</v>
      </c>
      <c r="C651" s="0" t="n">
        <v>14136</v>
      </c>
      <c r="D651" s="0" t="n">
        <v>203853</v>
      </c>
      <c r="E651" s="0" t="s">
        <v>390</v>
      </c>
      <c r="F651" s="0" t="n">
        <v>20010</v>
      </c>
      <c r="G651" s="0" t="s">
        <v>6428</v>
      </c>
      <c r="H651" s="0" t="s">
        <v>6429</v>
      </c>
      <c r="I651" s="0" t="s">
        <v>6430</v>
      </c>
      <c r="J651" s="0" t="s">
        <v>6431</v>
      </c>
      <c r="K651" s="0" t="s">
        <v>6432</v>
      </c>
      <c r="L651" s="0" t="n">
        <v>159676</v>
      </c>
      <c r="M651" s="0" t="s">
        <v>6433</v>
      </c>
      <c r="N651" s="0" t="n">
        <v>129094</v>
      </c>
      <c r="O651" s="9" t="n">
        <v>519</v>
      </c>
      <c r="P651" s="0" t="s">
        <v>105</v>
      </c>
      <c r="Q651" s="0" t="s">
        <v>6434</v>
      </c>
      <c r="R651" s="0" t="s">
        <v>6435</v>
      </c>
      <c r="S651" s="0" t="s">
        <v>95</v>
      </c>
      <c r="T651" s="0" t="s">
        <v>6436</v>
      </c>
      <c r="U651" s="9" t="n">
        <v>457</v>
      </c>
      <c r="V651" s="0" t="n">
        <v>18.5712691001977</v>
      </c>
      <c r="W651" s="0" t="n">
        <v>20250331</v>
      </c>
      <c r="X651" s="0" t="n">
        <v>0.650403771333496</v>
      </c>
      <c r="Y651" s="0" t="s">
        <v>73</v>
      </c>
      <c r="Z651" s="0" t="s">
        <v>98</v>
      </c>
    </row>
    <row r="652" customFormat="false" ht="15" hidden="false" customHeight="false" outlineLevel="0" collapsed="false">
      <c r="A652" s="0" t="n">
        <v>649</v>
      </c>
      <c r="B652" s="9" t="n">
        <v>1555515</v>
      </c>
      <c r="C652" s="0" t="n">
        <v>14140</v>
      </c>
      <c r="D652" s="0" t="n">
        <v>1282177</v>
      </c>
      <c r="E652" s="0" t="s">
        <v>172</v>
      </c>
      <c r="F652" s="0" t="n">
        <v>138738</v>
      </c>
      <c r="G652" s="0" t="s">
        <v>6437</v>
      </c>
      <c r="H652" s="0" t="s">
        <v>6438</v>
      </c>
      <c r="I652" s="0" t="s">
        <v>6439</v>
      </c>
      <c r="J652" s="0" t="s">
        <v>6440</v>
      </c>
      <c r="K652" s="0" t="s">
        <v>6441</v>
      </c>
      <c r="L652" s="0" t="n">
        <v>1097749</v>
      </c>
      <c r="M652" s="0" t="s">
        <v>6442</v>
      </c>
      <c r="N652" s="0" t="n">
        <v>973336</v>
      </c>
      <c r="O652" s="9" t="n">
        <v>6970</v>
      </c>
      <c r="P652" s="0" t="s">
        <v>117</v>
      </c>
      <c r="Q652" s="0" t="s">
        <v>6443</v>
      </c>
      <c r="R652" s="0" t="s">
        <v>6444</v>
      </c>
      <c r="S652" s="0" t="s">
        <v>1018</v>
      </c>
      <c r="T652" s="0" t="s">
        <v>6445</v>
      </c>
      <c r="U652" s="9" t="n">
        <v>0</v>
      </c>
      <c r="V652" s="0" t="n">
        <v>0</v>
      </c>
      <c r="W652" s="0" t="n">
        <v>20250331</v>
      </c>
      <c r="X652" s="0" t="n">
        <v>0.225060383816591</v>
      </c>
      <c r="Y652" s="0" t="s">
        <v>6446</v>
      </c>
      <c r="Z652" s="0" t="s">
        <v>98</v>
      </c>
    </row>
    <row r="653" customFormat="false" ht="15" hidden="false" customHeight="false" outlineLevel="0" collapsed="false">
      <c r="A653" s="0" t="n">
        <v>650</v>
      </c>
      <c r="B653" s="9" t="n">
        <v>1524011</v>
      </c>
      <c r="C653" s="0" t="n">
        <v>14158</v>
      </c>
      <c r="D653" s="0" t="n">
        <v>1185295</v>
      </c>
      <c r="E653" s="0" t="s">
        <v>172</v>
      </c>
      <c r="F653" s="0" t="n">
        <v>85660</v>
      </c>
      <c r="G653" s="0" t="s">
        <v>6447</v>
      </c>
      <c r="H653" s="0" t="s">
        <v>6448</v>
      </c>
      <c r="I653" s="0" t="s">
        <v>6449</v>
      </c>
      <c r="J653" s="0" t="s">
        <v>6450</v>
      </c>
      <c r="K653" s="0" t="s">
        <v>6451</v>
      </c>
      <c r="L653" s="0" t="n">
        <v>1167376</v>
      </c>
      <c r="M653" s="0" t="s">
        <v>6452</v>
      </c>
      <c r="N653" s="0" t="n">
        <v>1013094</v>
      </c>
      <c r="O653" s="9" t="n">
        <v>14964</v>
      </c>
      <c r="P653" s="0" t="s">
        <v>129</v>
      </c>
      <c r="Q653" s="0" t="s">
        <v>6453</v>
      </c>
      <c r="R653" s="0" t="s">
        <v>6454</v>
      </c>
      <c r="S653" s="0" t="s">
        <v>352</v>
      </c>
      <c r="T653" s="0" t="s">
        <v>6455</v>
      </c>
      <c r="U653" s="9" t="n">
        <v>25</v>
      </c>
      <c r="V653" s="0" t="n">
        <v>12.5706891302142</v>
      </c>
      <c r="W653" s="0" t="n">
        <v>20250331</v>
      </c>
      <c r="X653" s="0" t="n">
        <v>0.711495375706064</v>
      </c>
      <c r="Y653" s="0" t="s">
        <v>6456</v>
      </c>
      <c r="Z653" s="0" t="s">
        <v>98</v>
      </c>
    </row>
    <row r="654" customFormat="false" ht="15" hidden="false" customHeight="false" outlineLevel="0" collapsed="false">
      <c r="A654" s="0" t="n">
        <v>651</v>
      </c>
      <c r="B654" s="9" t="n">
        <v>374654</v>
      </c>
      <c r="C654" s="0" t="n">
        <v>14168</v>
      </c>
      <c r="D654" s="0" t="n">
        <v>330872</v>
      </c>
      <c r="E654" s="0" t="s">
        <v>1187</v>
      </c>
      <c r="F654" s="0" t="n">
        <v>38318</v>
      </c>
      <c r="G654" s="0" t="s">
        <v>6457</v>
      </c>
      <c r="H654" s="0" t="s">
        <v>6458</v>
      </c>
      <c r="I654" s="0" t="s">
        <v>6459</v>
      </c>
      <c r="J654" s="0" t="s">
        <v>6460</v>
      </c>
      <c r="K654" s="0" t="s">
        <v>6461</v>
      </c>
      <c r="L654" s="0" t="n">
        <v>273066</v>
      </c>
      <c r="M654" s="0" t="s">
        <v>6462</v>
      </c>
      <c r="N654" s="0" t="n">
        <v>233845</v>
      </c>
      <c r="O654" s="9" t="n">
        <v>890</v>
      </c>
      <c r="P654" s="0" t="s">
        <v>140</v>
      </c>
      <c r="Q654" s="0" t="s">
        <v>6463</v>
      </c>
      <c r="R654" s="0" t="s">
        <v>6464</v>
      </c>
      <c r="S654" s="0" t="s">
        <v>120</v>
      </c>
      <c r="T654" s="0" t="s">
        <v>6465</v>
      </c>
      <c r="U654" s="9" t="n">
        <v>0</v>
      </c>
      <c r="V654" s="0" t="n">
        <v>16.7121276852126</v>
      </c>
      <c r="W654" s="0" t="n">
        <v>20250331</v>
      </c>
      <c r="X654" s="0" t="n">
        <v>0.938635242635329</v>
      </c>
      <c r="Y654" s="0" t="s">
        <v>6466</v>
      </c>
      <c r="Z654" s="0" t="s">
        <v>98</v>
      </c>
    </row>
    <row r="655" customFormat="false" ht="15" hidden="false" customHeight="false" outlineLevel="0" collapsed="false">
      <c r="A655" s="0" t="n">
        <v>652</v>
      </c>
      <c r="B655" s="9" t="n">
        <v>1063675</v>
      </c>
      <c r="C655" s="0" t="n">
        <v>17115</v>
      </c>
      <c r="D655" s="0" t="n">
        <v>802777</v>
      </c>
      <c r="E655" s="0" t="s">
        <v>246</v>
      </c>
      <c r="F655" s="0" t="n">
        <v>95052</v>
      </c>
      <c r="G655" s="0" t="s">
        <v>6467</v>
      </c>
      <c r="H655" s="0" t="s">
        <v>6468</v>
      </c>
      <c r="I655" s="0" t="s">
        <v>6469</v>
      </c>
      <c r="J655" s="0" t="s">
        <v>6470</v>
      </c>
      <c r="K655" s="0" t="s">
        <v>6471</v>
      </c>
      <c r="L655" s="0" t="n">
        <v>878855</v>
      </c>
      <c r="M655" s="0" t="s">
        <v>6472</v>
      </c>
      <c r="N655" s="0" t="n">
        <v>833023</v>
      </c>
      <c r="O655" s="9" t="n">
        <v>2554</v>
      </c>
      <c r="P655" s="0" t="s">
        <v>166</v>
      </c>
      <c r="Q655" s="0" t="s">
        <v>6473</v>
      </c>
      <c r="R655" s="0" t="s">
        <v>6474</v>
      </c>
      <c r="S655" s="0" t="s">
        <v>6475</v>
      </c>
      <c r="T655" s="0" t="s">
        <v>636</v>
      </c>
      <c r="U655" s="9" t="n">
        <v>0</v>
      </c>
      <c r="V655" s="0" t="n">
        <v>14.7757448270835</v>
      </c>
      <c r="W655" s="0" t="n">
        <v>20250331</v>
      </c>
      <c r="X655" s="0" t="n">
        <v>0.546340907417917</v>
      </c>
      <c r="Y655" s="0" t="s">
        <v>6476</v>
      </c>
      <c r="Z655" s="0" t="s">
        <v>60</v>
      </c>
    </row>
    <row r="656" customFormat="false" ht="15" hidden="false" customHeight="false" outlineLevel="0" collapsed="false">
      <c r="A656" s="0" t="n">
        <v>653</v>
      </c>
      <c r="B656" s="9" t="n">
        <v>1590319</v>
      </c>
      <c r="C656" s="0" t="n">
        <v>17180</v>
      </c>
      <c r="D656" s="0" t="n">
        <v>1298331</v>
      </c>
      <c r="E656" s="0" t="s">
        <v>390</v>
      </c>
      <c r="F656" s="0" t="n">
        <v>145819</v>
      </c>
      <c r="G656" s="0" t="s">
        <v>6477</v>
      </c>
      <c r="H656" s="0" t="s">
        <v>6478</v>
      </c>
      <c r="I656" s="0" t="s">
        <v>6479</v>
      </c>
      <c r="J656" s="0" t="s">
        <v>6480</v>
      </c>
      <c r="K656" s="0" t="s">
        <v>6481</v>
      </c>
      <c r="L656" s="0" t="n">
        <v>1397284</v>
      </c>
      <c r="M656" s="0" t="s">
        <v>6482</v>
      </c>
      <c r="N656" s="0" t="n">
        <v>1173253</v>
      </c>
      <c r="O656" s="9" t="n">
        <v>5853</v>
      </c>
      <c r="P656" s="0" t="s">
        <v>179</v>
      </c>
      <c r="Q656" s="0" t="s">
        <v>6483</v>
      </c>
      <c r="R656" s="0" t="s">
        <v>6484</v>
      </c>
      <c r="S656" s="0" t="s">
        <v>3333</v>
      </c>
      <c r="T656" s="0" t="s">
        <v>6485</v>
      </c>
      <c r="U656" s="9" t="n">
        <v>20</v>
      </c>
      <c r="V656" s="0" t="n">
        <v>15.9873302996545</v>
      </c>
      <c r="W656" s="0" t="n">
        <v>20250331</v>
      </c>
      <c r="X656" s="0" t="n">
        <v>0.303152256904612</v>
      </c>
      <c r="Y656" s="0" t="s">
        <v>6486</v>
      </c>
      <c r="Z656" s="0" t="s">
        <v>158</v>
      </c>
    </row>
    <row r="657" customFormat="false" ht="15" hidden="false" customHeight="false" outlineLevel="0" collapsed="false">
      <c r="A657" s="0" t="n">
        <v>654</v>
      </c>
      <c r="B657" s="9" t="n">
        <v>363289</v>
      </c>
      <c r="C657" s="0" t="n">
        <v>17443</v>
      </c>
      <c r="D657" s="0" t="n">
        <v>297631</v>
      </c>
      <c r="E657" s="0" t="s">
        <v>259</v>
      </c>
      <c r="F657" s="0" t="n">
        <v>39494</v>
      </c>
      <c r="G657" s="0" t="s">
        <v>6487</v>
      </c>
      <c r="H657" s="0" t="s">
        <v>6488</v>
      </c>
      <c r="I657" s="0" t="s">
        <v>6489</v>
      </c>
      <c r="J657" s="0" t="s">
        <v>61</v>
      </c>
      <c r="K657" s="0" t="s">
        <v>6490</v>
      </c>
      <c r="L657" s="0" t="n">
        <v>198505</v>
      </c>
      <c r="M657" s="0" t="s">
        <v>6491</v>
      </c>
      <c r="N657" s="0" t="n">
        <v>196634</v>
      </c>
      <c r="O657" s="9" t="n">
        <v>931</v>
      </c>
      <c r="P657" s="0" t="s">
        <v>190</v>
      </c>
      <c r="Q657" s="0" t="s">
        <v>6492</v>
      </c>
      <c r="R657" s="0" t="s">
        <v>6493</v>
      </c>
      <c r="S657" s="0" t="s">
        <v>61</v>
      </c>
      <c r="T657" s="0" t="s">
        <v>6494</v>
      </c>
      <c r="U657" s="9" t="n">
        <v>0</v>
      </c>
      <c r="V657" s="0" t="n">
        <v>0</v>
      </c>
      <c r="W657" s="0" t="n">
        <v>20250331</v>
      </c>
      <c r="X657" s="0" t="n">
        <v>-0.539368227736928</v>
      </c>
      <c r="Y657" s="0" t="s">
        <v>6495</v>
      </c>
      <c r="Z657" s="0" t="s">
        <v>158</v>
      </c>
    </row>
    <row r="658" customFormat="false" ht="15" hidden="false" customHeight="false" outlineLevel="0" collapsed="false">
      <c r="A658" s="0" t="n">
        <v>655</v>
      </c>
      <c r="B658" s="9" t="n">
        <v>2028519</v>
      </c>
      <c r="C658" s="0" t="n">
        <v>17658</v>
      </c>
      <c r="D658" s="0" t="n">
        <v>1589312</v>
      </c>
      <c r="E658" s="0" t="s">
        <v>1393</v>
      </c>
      <c r="F658" s="0" t="n">
        <v>229958</v>
      </c>
      <c r="G658" s="0" t="s">
        <v>6496</v>
      </c>
      <c r="H658" s="0" t="s">
        <v>6497</v>
      </c>
      <c r="I658" s="0" t="s">
        <v>6498</v>
      </c>
      <c r="J658" s="0" t="s">
        <v>6499</v>
      </c>
      <c r="K658" s="0" t="s">
        <v>6500</v>
      </c>
      <c r="L658" s="0" t="n">
        <v>1450096</v>
      </c>
      <c r="M658" s="0" t="s">
        <v>6501</v>
      </c>
      <c r="N658" s="0" t="n">
        <v>1246975</v>
      </c>
      <c r="O658" s="9" t="n">
        <v>10604</v>
      </c>
      <c r="P658" s="0" t="s">
        <v>202</v>
      </c>
      <c r="Q658" s="0" t="s">
        <v>6502</v>
      </c>
      <c r="R658" s="0" t="s">
        <v>6503</v>
      </c>
      <c r="S658" s="0" t="s">
        <v>4137</v>
      </c>
      <c r="T658" s="0" t="s">
        <v>6504</v>
      </c>
      <c r="U658" s="9" t="n">
        <v>43</v>
      </c>
      <c r="V658" s="0" t="n">
        <v>0</v>
      </c>
      <c r="W658" s="0" t="n">
        <v>20250331</v>
      </c>
      <c r="X658" s="0" t="n">
        <v>0.336900288366337</v>
      </c>
      <c r="Y658" s="0" t="s">
        <v>83</v>
      </c>
      <c r="Z658" s="0" t="s">
        <v>60</v>
      </c>
    </row>
    <row r="659" customFormat="false" ht="15" hidden="false" customHeight="false" outlineLevel="0" collapsed="false">
      <c r="A659" s="0" t="n">
        <v>656</v>
      </c>
      <c r="B659" s="9" t="n">
        <v>2702374</v>
      </c>
      <c r="C659" s="0" t="n">
        <v>17741</v>
      </c>
      <c r="D659" s="0" t="n">
        <v>2270619</v>
      </c>
      <c r="E659" s="0" t="s">
        <v>2002</v>
      </c>
      <c r="F659" s="0" t="n">
        <v>244064</v>
      </c>
      <c r="G659" s="0" t="s">
        <v>6505</v>
      </c>
      <c r="H659" s="0" t="s">
        <v>6506</v>
      </c>
      <c r="I659" s="0" t="s">
        <v>6507</v>
      </c>
      <c r="J659" s="0" t="s">
        <v>6508</v>
      </c>
      <c r="K659" s="0" t="s">
        <v>6509</v>
      </c>
      <c r="L659" s="0" t="n">
        <v>2221970</v>
      </c>
      <c r="M659" s="0" t="s">
        <v>6510</v>
      </c>
      <c r="N659" s="0" t="n">
        <v>1950768</v>
      </c>
      <c r="O659" s="9" t="n">
        <v>9808</v>
      </c>
      <c r="P659" s="0" t="s">
        <v>215</v>
      </c>
      <c r="Q659" s="0" t="s">
        <v>6511</v>
      </c>
      <c r="R659" s="0" t="s">
        <v>6512</v>
      </c>
      <c r="S659" s="0" t="s">
        <v>2061</v>
      </c>
      <c r="T659" s="0" t="s">
        <v>6513</v>
      </c>
      <c r="U659" s="9" t="n">
        <v>0</v>
      </c>
      <c r="V659" s="0" t="n">
        <v>0</v>
      </c>
      <c r="W659" s="0" t="n">
        <v>20250331</v>
      </c>
      <c r="X659" s="0" t="n">
        <v>0.637665297546565</v>
      </c>
      <c r="Y659" s="0" t="s">
        <v>6514</v>
      </c>
      <c r="Z659" s="0" t="s">
        <v>60</v>
      </c>
    </row>
    <row r="660" customFormat="false" ht="15" hidden="false" customHeight="false" outlineLevel="0" collapsed="false">
      <c r="A660" s="0" t="n">
        <v>657</v>
      </c>
      <c r="B660" s="9" t="n">
        <v>1421036</v>
      </c>
      <c r="C660" s="0" t="n">
        <v>17743</v>
      </c>
      <c r="D660" s="0" t="n">
        <v>1011028</v>
      </c>
      <c r="E660" s="0" t="s">
        <v>61</v>
      </c>
      <c r="F660" s="0" t="n">
        <v>126472</v>
      </c>
      <c r="G660" s="0" t="s">
        <v>6515</v>
      </c>
      <c r="H660" s="0" t="s">
        <v>6516</v>
      </c>
      <c r="I660" s="0" t="s">
        <v>6517</v>
      </c>
      <c r="J660" s="0" t="s">
        <v>6518</v>
      </c>
      <c r="K660" s="0" t="s">
        <v>6519</v>
      </c>
      <c r="L660" s="0" t="n">
        <v>1133534</v>
      </c>
      <c r="M660" s="0" t="s">
        <v>6520</v>
      </c>
      <c r="N660" s="0" t="n">
        <v>1096181</v>
      </c>
      <c r="O660" s="9" t="n">
        <v>757</v>
      </c>
      <c r="P660" s="0" t="s">
        <v>227</v>
      </c>
      <c r="Q660" s="0" t="s">
        <v>6521</v>
      </c>
      <c r="R660" s="0" t="s">
        <v>6522</v>
      </c>
      <c r="S660" s="0" t="s">
        <v>61</v>
      </c>
      <c r="T660" s="0" t="s">
        <v>6523</v>
      </c>
      <c r="U660" s="9" t="n">
        <v>0</v>
      </c>
      <c r="V660" s="0" t="n">
        <v>0</v>
      </c>
      <c r="W660" s="0" t="n">
        <v>20250331</v>
      </c>
      <c r="X660" s="0" t="n">
        <v>-0.0132738457932147</v>
      </c>
      <c r="Y660" s="0" t="s">
        <v>968</v>
      </c>
      <c r="Z660" s="0" t="s">
        <v>60</v>
      </c>
    </row>
    <row r="661" customFormat="false" ht="15" hidden="false" customHeight="false" outlineLevel="0" collapsed="false">
      <c r="A661" s="0" t="n">
        <v>658</v>
      </c>
      <c r="B661" s="9" t="n">
        <v>1415126</v>
      </c>
      <c r="C661" s="0" t="n">
        <v>17749</v>
      </c>
      <c r="D661" s="0" t="n">
        <v>1106043</v>
      </c>
      <c r="E661" s="0" t="s">
        <v>259</v>
      </c>
      <c r="F661" s="0" t="n">
        <v>197514</v>
      </c>
      <c r="G661" s="0" t="s">
        <v>6524</v>
      </c>
      <c r="H661" s="0" t="s">
        <v>6525</v>
      </c>
      <c r="I661" s="0" t="s">
        <v>6526</v>
      </c>
      <c r="J661" s="0" t="s">
        <v>6527</v>
      </c>
      <c r="K661" s="0" t="s">
        <v>6528</v>
      </c>
      <c r="L661" s="0" t="n">
        <v>833371</v>
      </c>
      <c r="M661" s="0" t="s">
        <v>6529</v>
      </c>
      <c r="N661" s="0" t="n">
        <v>756331</v>
      </c>
      <c r="O661" s="9" t="n">
        <v>953</v>
      </c>
      <c r="P661" s="0" t="s">
        <v>253</v>
      </c>
      <c r="Q661" s="0" t="s">
        <v>6530</v>
      </c>
      <c r="R661" s="0" t="s">
        <v>6531</v>
      </c>
      <c r="S661" s="0" t="s">
        <v>256</v>
      </c>
      <c r="T661" s="0" t="s">
        <v>6532</v>
      </c>
      <c r="U661" s="9" t="n">
        <v>90</v>
      </c>
      <c r="V661" s="0" t="n">
        <v>0</v>
      </c>
      <c r="W661" s="0" t="n">
        <v>20250331</v>
      </c>
      <c r="X661" s="0" t="n">
        <v>0.443227148231069</v>
      </c>
      <c r="Y661" s="0" t="s">
        <v>3701</v>
      </c>
      <c r="Z661" s="0" t="s">
        <v>60</v>
      </c>
    </row>
    <row r="662" customFormat="false" ht="15" hidden="false" customHeight="false" outlineLevel="0" collapsed="false">
      <c r="A662" s="0" t="n">
        <v>659</v>
      </c>
      <c r="B662" s="9" t="n">
        <v>1694530</v>
      </c>
      <c r="C662" s="0" t="n">
        <v>17751</v>
      </c>
      <c r="D662" s="0" t="n">
        <v>1333884</v>
      </c>
      <c r="E662" s="0" t="s">
        <v>246</v>
      </c>
      <c r="F662" s="0" t="n">
        <v>150042</v>
      </c>
      <c r="G662" s="0" t="s">
        <v>6533</v>
      </c>
      <c r="H662" s="0" t="s">
        <v>6534</v>
      </c>
      <c r="I662" s="0" t="s">
        <v>6535</v>
      </c>
      <c r="J662" s="0" t="s">
        <v>6536</v>
      </c>
      <c r="K662" s="0" t="s">
        <v>6537</v>
      </c>
      <c r="L662" s="0" t="n">
        <v>1410815</v>
      </c>
      <c r="M662" s="0" t="s">
        <v>6538</v>
      </c>
      <c r="N662" s="0" t="n">
        <v>1197971</v>
      </c>
      <c r="O662" s="9" t="n">
        <v>2675</v>
      </c>
      <c r="P662" s="0" t="s">
        <v>266</v>
      </c>
      <c r="Q662" s="0" t="s">
        <v>6539</v>
      </c>
      <c r="R662" s="0" t="s">
        <v>6540</v>
      </c>
      <c r="S662" s="0" t="s">
        <v>4435</v>
      </c>
      <c r="T662" s="0" t="s">
        <v>6541</v>
      </c>
      <c r="U662" s="9" t="n">
        <v>0</v>
      </c>
      <c r="V662" s="0" t="n">
        <v>12.3894136970979</v>
      </c>
      <c r="W662" s="0" t="n">
        <v>20250331</v>
      </c>
      <c r="X662" s="0" t="n">
        <v>0.361584129388483</v>
      </c>
      <c r="Y662" s="0" t="s">
        <v>6111</v>
      </c>
      <c r="Z662" s="0" t="s">
        <v>60</v>
      </c>
    </row>
    <row r="663" customFormat="false" ht="15" hidden="false" customHeight="false" outlineLevel="0" collapsed="false">
      <c r="A663" s="0" t="n">
        <v>660</v>
      </c>
      <c r="B663" s="9" t="n">
        <v>1759715</v>
      </c>
      <c r="C663" s="0" t="n">
        <v>17897</v>
      </c>
      <c r="D663" s="0" t="n">
        <v>1345096</v>
      </c>
      <c r="E663" s="0" t="s">
        <v>271</v>
      </c>
      <c r="F663" s="0" t="n">
        <v>219109</v>
      </c>
      <c r="G663" s="0" t="s">
        <v>6542</v>
      </c>
      <c r="H663" s="0" t="s">
        <v>6543</v>
      </c>
      <c r="I663" s="0" t="s">
        <v>6544</v>
      </c>
      <c r="J663" s="0" t="s">
        <v>6545</v>
      </c>
      <c r="K663" s="0" t="s">
        <v>6546</v>
      </c>
      <c r="L663" s="0" t="n">
        <v>1470647</v>
      </c>
      <c r="M663" s="0" t="s">
        <v>6547</v>
      </c>
      <c r="N663" s="0" t="n">
        <v>1370211</v>
      </c>
      <c r="O663" s="9" t="n">
        <v>4816</v>
      </c>
      <c r="P663" s="0" t="s">
        <v>278</v>
      </c>
      <c r="Q663" s="0" t="s">
        <v>6548</v>
      </c>
      <c r="R663" s="0" t="s">
        <v>6549</v>
      </c>
      <c r="S663" s="0" t="s">
        <v>6550</v>
      </c>
      <c r="T663" s="0" t="s">
        <v>1264</v>
      </c>
      <c r="U663" s="9" t="n">
        <v>20</v>
      </c>
      <c r="V663" s="0" t="n">
        <v>17.5946551181685</v>
      </c>
      <c r="W663" s="0" t="n">
        <v>20250331</v>
      </c>
      <c r="X663" s="0" t="n">
        <v>0.437372293588705</v>
      </c>
      <c r="Y663" s="0" t="s">
        <v>6551</v>
      </c>
      <c r="Z663" s="0" t="s">
        <v>60</v>
      </c>
    </row>
    <row r="664" customFormat="false" ht="15" hidden="false" customHeight="false" outlineLevel="0" collapsed="false">
      <c r="A664" s="0" t="n">
        <v>661</v>
      </c>
      <c r="B664" s="9" t="n">
        <v>856737</v>
      </c>
      <c r="C664" s="0" t="n">
        <v>17951</v>
      </c>
      <c r="D664" s="0" t="n">
        <v>714191</v>
      </c>
      <c r="E664" s="0" t="s">
        <v>1187</v>
      </c>
      <c r="F664" s="0" t="n">
        <v>68926</v>
      </c>
      <c r="G664" s="0" t="s">
        <v>6552</v>
      </c>
      <c r="H664" s="0" t="s">
        <v>6553</v>
      </c>
      <c r="I664" s="0" t="s">
        <v>6554</v>
      </c>
      <c r="J664" s="0" t="s">
        <v>6555</v>
      </c>
      <c r="K664" s="0" t="s">
        <v>6556</v>
      </c>
      <c r="L664" s="0" t="n">
        <v>656065</v>
      </c>
      <c r="M664" s="0" t="s">
        <v>6557</v>
      </c>
      <c r="N664" s="0" t="n">
        <v>602633</v>
      </c>
      <c r="O664" s="9" t="n">
        <v>152</v>
      </c>
      <c r="P664" s="0" t="s">
        <v>290</v>
      </c>
      <c r="Q664" s="0" t="s">
        <v>6558</v>
      </c>
      <c r="R664" s="0" t="s">
        <v>6559</v>
      </c>
      <c r="S664" s="0" t="s">
        <v>205</v>
      </c>
      <c r="T664" s="0" t="s">
        <v>2688</v>
      </c>
      <c r="U664" s="9" t="n">
        <v>0</v>
      </c>
      <c r="V664" s="0" t="n">
        <v>13.5230158316307</v>
      </c>
      <c r="W664" s="0" t="n">
        <v>20250331</v>
      </c>
      <c r="X664" s="0" t="n">
        <v>0.569958063286313</v>
      </c>
      <c r="Y664" s="0" t="s">
        <v>6560</v>
      </c>
      <c r="Z664" s="0" t="s">
        <v>158</v>
      </c>
    </row>
    <row r="665" customFormat="false" ht="15" hidden="false" customHeight="false" outlineLevel="0" collapsed="false">
      <c r="A665" s="0" t="n">
        <v>662</v>
      </c>
      <c r="B665" s="9" t="n">
        <v>1354203</v>
      </c>
      <c r="C665" s="0" t="n">
        <v>17960</v>
      </c>
      <c r="D665" s="0" t="n">
        <v>1112041</v>
      </c>
      <c r="E665" s="0" t="s">
        <v>1968</v>
      </c>
      <c r="F665" s="0" t="n">
        <v>118120</v>
      </c>
      <c r="G665" s="0" t="s">
        <v>6561</v>
      </c>
      <c r="H665" s="0" t="s">
        <v>6562</v>
      </c>
      <c r="I665" s="0" t="s">
        <v>6563</v>
      </c>
      <c r="J665" s="0" t="s">
        <v>6564</v>
      </c>
      <c r="K665" s="0" t="s">
        <v>6565</v>
      </c>
      <c r="L665" s="0" t="n">
        <v>1150070</v>
      </c>
      <c r="M665" s="0" t="s">
        <v>6566</v>
      </c>
      <c r="N665" s="0" t="n">
        <v>811642</v>
      </c>
      <c r="O665" s="9" t="n">
        <v>7626</v>
      </c>
      <c r="P665" s="0" t="s">
        <v>302</v>
      </c>
      <c r="Q665" s="0" t="s">
        <v>6567</v>
      </c>
      <c r="R665" s="0" t="s">
        <v>6568</v>
      </c>
      <c r="S665" s="0" t="s">
        <v>6569</v>
      </c>
      <c r="T665" s="0" t="s">
        <v>6570</v>
      </c>
      <c r="U665" s="9" t="n">
        <v>0</v>
      </c>
      <c r="V665" s="0" t="n">
        <v>13.7521204502019</v>
      </c>
      <c r="W665" s="0" t="n">
        <v>20250331</v>
      </c>
      <c r="X665" s="0" t="n">
        <v>0.293339162698366</v>
      </c>
      <c r="Y665" s="0" t="s">
        <v>6571</v>
      </c>
      <c r="Z665" s="0" t="s">
        <v>158</v>
      </c>
    </row>
    <row r="666" customFormat="false" ht="15" hidden="false" customHeight="false" outlineLevel="0" collapsed="false">
      <c r="A666" s="0" t="n">
        <v>663</v>
      </c>
      <c r="B666" s="9" t="n">
        <v>2654603</v>
      </c>
      <c r="C666" s="0" t="n">
        <v>18012</v>
      </c>
      <c r="D666" s="0" t="n">
        <v>2299127</v>
      </c>
      <c r="E666" s="0" t="s">
        <v>271</v>
      </c>
      <c r="F666" s="0" t="n">
        <v>293951</v>
      </c>
      <c r="G666" s="0" t="s">
        <v>6572</v>
      </c>
      <c r="H666" s="0" t="s">
        <v>6573</v>
      </c>
      <c r="I666" s="0" t="s">
        <v>6574</v>
      </c>
      <c r="J666" s="0" t="s">
        <v>6575</v>
      </c>
      <c r="K666" s="0" t="s">
        <v>6576</v>
      </c>
      <c r="L666" s="0" t="n">
        <v>2121041</v>
      </c>
      <c r="M666" s="0" t="s">
        <v>6577</v>
      </c>
      <c r="N666" s="0" t="n">
        <v>2023412</v>
      </c>
      <c r="O666" s="9" t="n">
        <v>1089</v>
      </c>
      <c r="P666" s="0" t="s">
        <v>312</v>
      </c>
      <c r="Q666" s="0" t="s">
        <v>6578</v>
      </c>
      <c r="R666" s="0" t="s">
        <v>6579</v>
      </c>
      <c r="S666" s="0" t="s">
        <v>95</v>
      </c>
      <c r="T666" s="0" t="s">
        <v>6580</v>
      </c>
      <c r="U666" s="9" t="n">
        <v>0</v>
      </c>
      <c r="V666" s="0" t="n">
        <v>14.0643760616757</v>
      </c>
      <c r="W666" s="0" t="n">
        <v>20250331</v>
      </c>
      <c r="X666" s="0" t="n">
        <v>0.745930213394085</v>
      </c>
      <c r="Y666" s="0" t="s">
        <v>6581</v>
      </c>
      <c r="Z666" s="0" t="s">
        <v>158</v>
      </c>
    </row>
    <row r="667" customFormat="false" ht="15" hidden="false" customHeight="false" outlineLevel="0" collapsed="false">
      <c r="A667" s="0" t="n">
        <v>664</v>
      </c>
      <c r="B667" s="9" t="n">
        <v>2886966</v>
      </c>
      <c r="C667" s="0" t="n">
        <v>18013</v>
      </c>
      <c r="D667" s="0" t="n">
        <v>2567945</v>
      </c>
      <c r="E667" s="0" t="s">
        <v>172</v>
      </c>
      <c r="F667" s="0" t="n">
        <v>233883</v>
      </c>
      <c r="G667" s="0" t="s">
        <v>6582</v>
      </c>
      <c r="H667" s="0" t="s">
        <v>6583</v>
      </c>
      <c r="I667" s="0" t="s">
        <v>6584</v>
      </c>
      <c r="J667" s="0" t="s">
        <v>6585</v>
      </c>
      <c r="K667" s="0" t="s">
        <v>6586</v>
      </c>
      <c r="L667" s="0" t="n">
        <v>2412223</v>
      </c>
      <c r="M667" s="0" t="s">
        <v>6587</v>
      </c>
      <c r="N667" s="0" t="n">
        <v>2202612</v>
      </c>
      <c r="O667" s="9" t="n">
        <v>2219</v>
      </c>
      <c r="P667" s="0" t="s">
        <v>324</v>
      </c>
      <c r="Q667" s="0" t="s">
        <v>6588</v>
      </c>
      <c r="R667" s="0" t="s">
        <v>6589</v>
      </c>
      <c r="S667" s="0" t="s">
        <v>6590</v>
      </c>
      <c r="T667" s="0" t="s">
        <v>6591</v>
      </c>
      <c r="U667" s="9" t="n">
        <v>52</v>
      </c>
      <c r="V667" s="0" t="n">
        <v>12.6945670847727</v>
      </c>
      <c r="W667" s="0" t="n">
        <v>20250331</v>
      </c>
      <c r="X667" s="0" t="n">
        <v>0.352950560219433</v>
      </c>
      <c r="Y667" s="0" t="s">
        <v>4492</v>
      </c>
      <c r="Z667" s="0" t="s">
        <v>158</v>
      </c>
    </row>
    <row r="668" customFormat="false" ht="15" hidden="false" customHeight="false" outlineLevel="0" collapsed="false">
      <c r="A668" s="0" t="n">
        <v>665</v>
      </c>
      <c r="B668" s="9" t="n">
        <v>400477</v>
      </c>
      <c r="C668" s="0" t="n">
        <v>18028</v>
      </c>
      <c r="D668" s="0" t="n">
        <v>340672</v>
      </c>
      <c r="E668" s="0" t="s">
        <v>1187</v>
      </c>
      <c r="F668" s="0" t="n">
        <v>43552</v>
      </c>
      <c r="G668" s="0" t="s">
        <v>6592</v>
      </c>
      <c r="H668" s="0" t="s">
        <v>6593</v>
      </c>
      <c r="I668" s="0" t="s">
        <v>6594</v>
      </c>
      <c r="J668" s="0" t="s">
        <v>6595</v>
      </c>
      <c r="K668" s="0" t="s">
        <v>6596</v>
      </c>
      <c r="L668" s="0" t="n">
        <v>276711</v>
      </c>
      <c r="M668" s="0" t="s">
        <v>6597</v>
      </c>
      <c r="N668" s="0" t="n">
        <v>254230</v>
      </c>
      <c r="O668" s="9" t="n">
        <v>1021</v>
      </c>
      <c r="P668" s="0" t="s">
        <v>337</v>
      </c>
      <c r="Q668" s="0" t="s">
        <v>6598</v>
      </c>
      <c r="R668" s="0" t="s">
        <v>6599</v>
      </c>
      <c r="S668" s="0" t="s">
        <v>3313</v>
      </c>
      <c r="T668" s="0" t="s">
        <v>6600</v>
      </c>
      <c r="U668" s="9" t="n">
        <v>62</v>
      </c>
      <c r="V668" s="0" t="n">
        <v>0</v>
      </c>
      <c r="W668" s="0" t="n">
        <v>20250331</v>
      </c>
      <c r="X668" s="0" t="n">
        <v>0.536305275329957</v>
      </c>
      <c r="Y668" s="0" t="s">
        <v>6601</v>
      </c>
      <c r="Z668" s="0" t="s">
        <v>158</v>
      </c>
    </row>
    <row r="669" customFormat="false" ht="15" hidden="false" customHeight="false" outlineLevel="0" collapsed="false">
      <c r="A669" s="0" t="n">
        <v>666</v>
      </c>
      <c r="B669" s="9" t="n">
        <v>800795</v>
      </c>
      <c r="C669" s="0" t="n">
        <v>18030</v>
      </c>
      <c r="D669" s="0" t="n">
        <v>736585</v>
      </c>
      <c r="E669" s="0" t="s">
        <v>47</v>
      </c>
      <c r="F669" s="0" t="n">
        <v>56520</v>
      </c>
      <c r="G669" s="0" t="s">
        <v>6602</v>
      </c>
      <c r="H669" s="0" t="s">
        <v>6603</v>
      </c>
      <c r="I669" s="0" t="s">
        <v>6604</v>
      </c>
      <c r="J669" s="0" t="s">
        <v>6605</v>
      </c>
      <c r="K669" s="0" t="s">
        <v>6606</v>
      </c>
      <c r="L669" s="0" t="n">
        <v>593259</v>
      </c>
      <c r="M669" s="0" t="s">
        <v>6607</v>
      </c>
      <c r="N669" s="0" t="n">
        <v>457374</v>
      </c>
      <c r="O669" s="9" t="n">
        <v>1821</v>
      </c>
      <c r="P669" s="0" t="s">
        <v>349</v>
      </c>
      <c r="Q669" s="0" t="s">
        <v>6608</v>
      </c>
      <c r="R669" s="0" t="s">
        <v>6609</v>
      </c>
      <c r="S669" s="0" t="s">
        <v>1716</v>
      </c>
      <c r="T669" s="0" t="s">
        <v>6610</v>
      </c>
      <c r="U669" s="9" t="n">
        <v>0</v>
      </c>
      <c r="V669" s="0" t="n">
        <v>14.1683492306621</v>
      </c>
      <c r="W669" s="0" t="n">
        <v>20250331</v>
      </c>
      <c r="X669" s="0" t="n">
        <v>0.646111863500634</v>
      </c>
      <c r="Y669" s="0" t="s">
        <v>6611</v>
      </c>
      <c r="Z669" s="0" t="s">
        <v>158</v>
      </c>
    </row>
    <row r="670" customFormat="false" ht="15" hidden="false" customHeight="false" outlineLevel="0" collapsed="false">
      <c r="A670" s="0" t="n">
        <v>667</v>
      </c>
      <c r="B670" s="9" t="n">
        <v>669787</v>
      </c>
      <c r="C670" s="0" t="n">
        <v>18031</v>
      </c>
      <c r="D670" s="0" t="n">
        <v>527059</v>
      </c>
      <c r="E670" s="0" t="s">
        <v>208</v>
      </c>
      <c r="F670" s="0" t="n">
        <v>40246</v>
      </c>
      <c r="G670" s="0" t="s">
        <v>6612</v>
      </c>
      <c r="H670" s="0" t="s">
        <v>6613</v>
      </c>
      <c r="I670" s="0" t="s">
        <v>6614</v>
      </c>
      <c r="J670" s="0" t="s">
        <v>6615</v>
      </c>
      <c r="K670" s="0" t="s">
        <v>6616</v>
      </c>
      <c r="L670" s="0" t="n">
        <v>450783</v>
      </c>
      <c r="M670" s="0" t="s">
        <v>6617</v>
      </c>
      <c r="N670" s="0" t="n">
        <v>414125</v>
      </c>
      <c r="O670" s="9" t="n">
        <v>848</v>
      </c>
      <c r="P670" s="0" t="s">
        <v>361</v>
      </c>
      <c r="Q670" s="0" t="s">
        <v>6618</v>
      </c>
      <c r="R670" s="0" t="s">
        <v>6619</v>
      </c>
      <c r="S670" s="0" t="s">
        <v>1079</v>
      </c>
      <c r="T670" s="0" t="s">
        <v>6620</v>
      </c>
      <c r="U670" s="9" t="n">
        <v>0</v>
      </c>
      <c r="V670" s="0" t="n">
        <v>17.3844145899069</v>
      </c>
      <c r="W670" s="0" t="n">
        <v>20250331</v>
      </c>
      <c r="X670" s="0" t="n">
        <v>0.300334903153145</v>
      </c>
      <c r="Y670" s="0" t="s">
        <v>5037</v>
      </c>
      <c r="Z670" s="0" t="s">
        <v>158</v>
      </c>
    </row>
    <row r="671" customFormat="false" ht="15" hidden="false" customHeight="false" outlineLevel="0" collapsed="false">
      <c r="A671" s="0" t="n">
        <v>668</v>
      </c>
      <c r="B671" s="9" t="n">
        <v>575681</v>
      </c>
      <c r="C671" s="0" t="n">
        <v>18038</v>
      </c>
      <c r="D671" s="0" t="n">
        <v>443411</v>
      </c>
      <c r="E671" s="0" t="s">
        <v>61</v>
      </c>
      <c r="F671" s="0" t="n">
        <v>68850</v>
      </c>
      <c r="G671" s="0" t="s">
        <v>6621</v>
      </c>
      <c r="H671" s="0" t="s">
        <v>6622</v>
      </c>
      <c r="I671" s="0" t="s">
        <v>6623</v>
      </c>
      <c r="J671" s="0" t="s">
        <v>6624</v>
      </c>
      <c r="K671" s="0" t="s">
        <v>6625</v>
      </c>
      <c r="L671" s="0" t="n">
        <v>454723</v>
      </c>
      <c r="M671" s="0" t="s">
        <v>6626</v>
      </c>
      <c r="N671" s="0" t="n">
        <v>417170</v>
      </c>
      <c r="O671" s="9" t="n">
        <v>2863</v>
      </c>
      <c r="P671" s="0" t="s">
        <v>372</v>
      </c>
      <c r="Q671" s="0" t="s">
        <v>6627</v>
      </c>
      <c r="R671" s="0" t="s">
        <v>6628</v>
      </c>
      <c r="S671" s="0" t="s">
        <v>6629</v>
      </c>
      <c r="T671" s="0" t="s">
        <v>6630</v>
      </c>
      <c r="U671" s="9" t="n">
        <v>0</v>
      </c>
      <c r="V671" s="0" t="n">
        <v>0</v>
      </c>
      <c r="W671" s="0" t="n">
        <v>20250331</v>
      </c>
      <c r="X671" s="0" t="n">
        <v>0.242522943622228</v>
      </c>
      <c r="Y671" s="0" t="s">
        <v>6631</v>
      </c>
      <c r="Z671" s="0" t="s">
        <v>158</v>
      </c>
    </row>
    <row r="672" customFormat="false" ht="15" hidden="false" customHeight="false" outlineLevel="0" collapsed="false">
      <c r="A672" s="0" t="n">
        <v>669</v>
      </c>
      <c r="B672" s="9" t="n">
        <v>7235355</v>
      </c>
      <c r="C672" s="0" t="n">
        <v>18408</v>
      </c>
      <c r="D672" s="0" t="n">
        <v>6181793</v>
      </c>
      <c r="E672" s="0" t="s">
        <v>85</v>
      </c>
      <c r="F672" s="0" t="n">
        <v>455151</v>
      </c>
      <c r="G672" s="0" t="s">
        <v>6632</v>
      </c>
      <c r="H672" s="0" t="s">
        <v>6633</v>
      </c>
      <c r="I672" s="0" t="s">
        <v>6634</v>
      </c>
      <c r="J672" s="0" t="s">
        <v>6635</v>
      </c>
      <c r="K672" s="0" t="s">
        <v>6636</v>
      </c>
      <c r="L672" s="0" t="n">
        <v>4976949</v>
      </c>
      <c r="M672" s="0" t="s">
        <v>6637</v>
      </c>
      <c r="N672" s="0" t="n">
        <v>4459056</v>
      </c>
      <c r="O672" s="9" t="n">
        <v>8109</v>
      </c>
      <c r="P672" s="0" t="s">
        <v>384</v>
      </c>
      <c r="Q672" s="0" t="s">
        <v>6638</v>
      </c>
      <c r="R672" s="0" t="s">
        <v>6639</v>
      </c>
      <c r="S672" s="0" t="s">
        <v>4794</v>
      </c>
      <c r="T672" s="0" t="s">
        <v>6640</v>
      </c>
      <c r="U672" s="9" t="n">
        <v>0</v>
      </c>
      <c r="V672" s="0" t="n">
        <v>11.3560231469601</v>
      </c>
      <c r="W672" s="0" t="n">
        <v>20250331</v>
      </c>
      <c r="X672" s="0" t="n">
        <v>0.125198481394932</v>
      </c>
      <c r="Y672" s="0" t="s">
        <v>6641</v>
      </c>
      <c r="Z672" s="0" t="s">
        <v>60</v>
      </c>
    </row>
    <row r="673" customFormat="false" ht="15" hidden="false" customHeight="false" outlineLevel="0" collapsed="false">
      <c r="A673" s="0" t="n">
        <v>670</v>
      </c>
      <c r="B673" s="9" t="n">
        <v>2567242</v>
      </c>
      <c r="C673" s="0" t="n">
        <v>19531</v>
      </c>
      <c r="D673" s="0" t="n">
        <v>2162803</v>
      </c>
      <c r="E673" s="0" t="s">
        <v>61</v>
      </c>
      <c r="F673" s="0" t="n">
        <v>266786</v>
      </c>
      <c r="G673" s="0" t="s">
        <v>6642</v>
      </c>
      <c r="H673" s="0" t="s">
        <v>6643</v>
      </c>
      <c r="I673" s="0" t="s">
        <v>6644</v>
      </c>
      <c r="J673" s="0" t="s">
        <v>6645</v>
      </c>
      <c r="K673" s="0" t="s">
        <v>6646</v>
      </c>
      <c r="L673" s="0" t="n">
        <v>2179021</v>
      </c>
      <c r="M673" s="0" t="s">
        <v>6647</v>
      </c>
      <c r="N673" s="0" t="n">
        <v>1814549</v>
      </c>
      <c r="O673" s="9" t="n">
        <v>7253</v>
      </c>
      <c r="P673" s="0" t="s">
        <v>397</v>
      </c>
      <c r="Q673" s="0" t="s">
        <v>6648</v>
      </c>
      <c r="R673" s="0" t="s">
        <v>6649</v>
      </c>
      <c r="S673" s="0" t="s">
        <v>6650</v>
      </c>
      <c r="T673" s="0" t="s">
        <v>6651</v>
      </c>
      <c r="U673" s="9" t="n">
        <v>46</v>
      </c>
      <c r="V673" s="0" t="n">
        <v>14.927898270842</v>
      </c>
      <c r="W673" s="0" t="n">
        <v>20250331</v>
      </c>
      <c r="X673" s="0" t="n">
        <v>0.636590668953529</v>
      </c>
      <c r="Y673" s="0" t="s">
        <v>6652</v>
      </c>
      <c r="Z673" s="0" t="s">
        <v>60</v>
      </c>
    </row>
    <row r="674" customFormat="false" ht="15" hidden="false" customHeight="false" outlineLevel="0" collapsed="false">
      <c r="A674" s="0" t="n">
        <v>671</v>
      </c>
      <c r="B674" s="9" t="n">
        <v>842808</v>
      </c>
      <c r="C674" s="0" t="n">
        <v>19532</v>
      </c>
      <c r="D674" s="0" t="n">
        <v>725198</v>
      </c>
      <c r="E674" s="0" t="s">
        <v>47</v>
      </c>
      <c r="F674" s="0" t="n">
        <v>106845</v>
      </c>
      <c r="G674" s="0" t="s">
        <v>6653</v>
      </c>
      <c r="H674" s="0" t="s">
        <v>6654</v>
      </c>
      <c r="I674" s="0" t="s">
        <v>6655</v>
      </c>
      <c r="J674" s="0" t="s">
        <v>6656</v>
      </c>
      <c r="K674" s="0" t="s">
        <v>6657</v>
      </c>
      <c r="L674" s="0" t="n">
        <v>621805</v>
      </c>
      <c r="M674" s="0" t="s">
        <v>6658</v>
      </c>
      <c r="N674" s="0" t="n">
        <v>513632</v>
      </c>
      <c r="O674" s="9" t="n">
        <v>1797</v>
      </c>
      <c r="P674" s="0" t="s">
        <v>409</v>
      </c>
      <c r="Q674" s="0" t="s">
        <v>6659</v>
      </c>
      <c r="R674" s="0" t="s">
        <v>6660</v>
      </c>
      <c r="S674" s="0" t="s">
        <v>441</v>
      </c>
      <c r="T674" s="0" t="s">
        <v>6661</v>
      </c>
      <c r="U674" s="9" t="n">
        <v>0</v>
      </c>
      <c r="V674" s="0" t="n">
        <v>21.4450676887142</v>
      </c>
      <c r="W674" s="0" t="n">
        <v>20250331</v>
      </c>
      <c r="X674" s="0" t="n">
        <v>0.760021446855204</v>
      </c>
      <c r="Y674" s="0" t="s">
        <v>6662</v>
      </c>
      <c r="Z674" s="0" t="s">
        <v>60</v>
      </c>
    </row>
    <row r="675" customFormat="false" ht="15" hidden="false" customHeight="false" outlineLevel="0" collapsed="false">
      <c r="A675" s="0" t="n">
        <v>672</v>
      </c>
      <c r="B675" s="9" t="n">
        <v>4228502</v>
      </c>
      <c r="C675" s="0" t="n">
        <v>19690</v>
      </c>
      <c r="D675" s="0" t="n">
        <v>3328164</v>
      </c>
      <c r="E675" s="0" t="s">
        <v>3635</v>
      </c>
      <c r="F675" s="0" t="n">
        <v>467516</v>
      </c>
      <c r="G675" s="0" t="s">
        <v>6663</v>
      </c>
      <c r="H675" s="0" t="s">
        <v>6664</v>
      </c>
      <c r="I675" s="0" t="s">
        <v>6665</v>
      </c>
      <c r="J675" s="0" t="s">
        <v>6666</v>
      </c>
      <c r="K675" s="0" t="s">
        <v>1977</v>
      </c>
      <c r="L675" s="0" t="n">
        <v>3800789</v>
      </c>
      <c r="M675" s="0" t="s">
        <v>6667</v>
      </c>
      <c r="N675" s="0" t="n">
        <v>2887276</v>
      </c>
      <c r="O675" s="9" t="n">
        <v>32232</v>
      </c>
      <c r="P675" s="0" t="s">
        <v>420</v>
      </c>
      <c r="Q675" s="0" t="s">
        <v>6668</v>
      </c>
      <c r="R675" s="0" t="s">
        <v>6669</v>
      </c>
      <c r="S675" s="0" t="s">
        <v>6670</v>
      </c>
      <c r="T675" s="0" t="s">
        <v>6671</v>
      </c>
      <c r="U675" s="9" t="n">
        <v>0</v>
      </c>
      <c r="V675" s="0" t="n">
        <v>13.9816970798047</v>
      </c>
      <c r="W675" s="0" t="n">
        <v>20250331</v>
      </c>
      <c r="X675" s="0" t="n">
        <v>1.79807487310439</v>
      </c>
      <c r="Y675" s="0" t="s">
        <v>6672</v>
      </c>
      <c r="Z675" s="0" t="s">
        <v>60</v>
      </c>
    </row>
    <row r="676" customFormat="false" ht="15" hidden="false" customHeight="false" outlineLevel="0" collapsed="false">
      <c r="A676" s="0" t="n">
        <v>673</v>
      </c>
      <c r="B676" s="9" t="n">
        <v>733639</v>
      </c>
      <c r="C676" s="0" t="n">
        <v>19836</v>
      </c>
      <c r="D676" s="0" t="n">
        <v>586835</v>
      </c>
      <c r="E676" s="0" t="s">
        <v>195</v>
      </c>
      <c r="F676" s="0" t="n">
        <v>128641</v>
      </c>
      <c r="G676" s="0" t="s">
        <v>6673</v>
      </c>
      <c r="H676" s="0" t="s">
        <v>6674</v>
      </c>
      <c r="I676" s="0" t="s">
        <v>6675</v>
      </c>
      <c r="J676" s="0" t="s">
        <v>6676</v>
      </c>
      <c r="K676" s="0" t="s">
        <v>6677</v>
      </c>
      <c r="L676" s="0" t="n">
        <v>627367</v>
      </c>
      <c r="M676" s="0" t="s">
        <v>6678</v>
      </c>
      <c r="N676" s="0" t="n">
        <v>573366</v>
      </c>
      <c r="O676" s="9" t="n">
        <v>6387</v>
      </c>
      <c r="P676" s="0" t="s">
        <v>290</v>
      </c>
      <c r="Q676" s="0" t="s">
        <v>6679</v>
      </c>
      <c r="R676" s="0" t="s">
        <v>6680</v>
      </c>
      <c r="S676" s="0" t="s">
        <v>143</v>
      </c>
      <c r="T676" s="0" t="s">
        <v>6681</v>
      </c>
      <c r="U676" s="9" t="n">
        <v>194</v>
      </c>
      <c r="V676" s="0" t="n">
        <v>23.6061274143527</v>
      </c>
      <c r="W676" s="0" t="n">
        <v>20250331</v>
      </c>
      <c r="X676" s="0" t="n">
        <v>0.75637419969238</v>
      </c>
      <c r="Y676" s="0" t="s">
        <v>753</v>
      </c>
      <c r="Z676" s="0" t="s">
        <v>60</v>
      </c>
    </row>
    <row r="677" customFormat="false" ht="15" hidden="false" customHeight="false" outlineLevel="0" collapsed="false">
      <c r="A677" s="0" t="n">
        <v>674</v>
      </c>
      <c r="B677" s="9" t="n">
        <v>1688107</v>
      </c>
      <c r="C677" s="0" t="n">
        <v>24540</v>
      </c>
      <c r="D677" s="0" t="n">
        <v>1385459</v>
      </c>
      <c r="E677" s="0" t="s">
        <v>593</v>
      </c>
      <c r="F677" s="0" t="n">
        <v>273377</v>
      </c>
      <c r="G677" s="0" t="s">
        <v>6682</v>
      </c>
      <c r="H677" s="0" t="s">
        <v>6683</v>
      </c>
      <c r="I677" s="0" t="s">
        <v>6684</v>
      </c>
      <c r="J677" s="0" t="s">
        <v>6685</v>
      </c>
      <c r="K677" s="0" t="s">
        <v>1029</v>
      </c>
      <c r="L677" s="0" t="n">
        <v>1460291</v>
      </c>
      <c r="M677" s="0" t="s">
        <v>6686</v>
      </c>
      <c r="N677" s="0" t="n">
        <v>1421528</v>
      </c>
      <c r="O677" s="9" t="n">
        <v>11794</v>
      </c>
      <c r="P677" s="0" t="s">
        <v>443</v>
      </c>
      <c r="Q677" s="0" t="s">
        <v>6687</v>
      </c>
      <c r="R677" s="0" t="s">
        <v>6688</v>
      </c>
      <c r="S677" s="0" t="s">
        <v>61</v>
      </c>
      <c r="T677" s="0" t="s">
        <v>61</v>
      </c>
      <c r="U677" s="9" t="n">
        <v>0</v>
      </c>
      <c r="V677" s="0" t="n">
        <v>0</v>
      </c>
      <c r="W677" s="0" t="n">
        <v>20250331</v>
      </c>
      <c r="X677" s="0" t="n">
        <v>1.94700476953964</v>
      </c>
      <c r="Y677" s="0" t="s">
        <v>2712</v>
      </c>
      <c r="Z677" s="0" t="s">
        <v>158</v>
      </c>
    </row>
    <row r="678" customFormat="false" ht="15" hidden="false" customHeight="false" outlineLevel="0" collapsed="false">
      <c r="A678" s="0" t="n">
        <v>675</v>
      </c>
      <c r="B678" s="9" t="n">
        <v>575397</v>
      </c>
      <c r="C678" s="0" t="n">
        <v>27824</v>
      </c>
      <c r="D678" s="0" t="n">
        <v>382749</v>
      </c>
      <c r="E678" s="0" t="s">
        <v>1187</v>
      </c>
      <c r="F678" s="0" t="n">
        <v>62093</v>
      </c>
      <c r="G678" s="0" t="s">
        <v>6689</v>
      </c>
      <c r="H678" s="0" t="s">
        <v>6690</v>
      </c>
      <c r="I678" s="0" t="s">
        <v>6691</v>
      </c>
      <c r="J678" s="0" t="s">
        <v>6692</v>
      </c>
      <c r="K678" s="0" t="s">
        <v>6693</v>
      </c>
      <c r="L678" s="0" t="n">
        <v>473217</v>
      </c>
      <c r="M678" s="0" t="s">
        <v>6694</v>
      </c>
      <c r="N678" s="0" t="n">
        <v>420218</v>
      </c>
      <c r="O678" s="9" t="n">
        <v>2067</v>
      </c>
      <c r="P678" s="0" t="s">
        <v>453</v>
      </c>
      <c r="Q678" s="0" t="s">
        <v>6695</v>
      </c>
      <c r="R678" s="0" t="s">
        <v>6696</v>
      </c>
      <c r="S678" s="0" t="s">
        <v>4214</v>
      </c>
      <c r="T678" s="0" t="s">
        <v>2619</v>
      </c>
      <c r="U678" s="9" t="n">
        <v>0</v>
      </c>
      <c r="V678" s="0" t="n">
        <v>18.7325769420946</v>
      </c>
      <c r="W678" s="0" t="n">
        <v>20250331</v>
      </c>
      <c r="X678" s="0" t="n">
        <v>-0.633637024006441</v>
      </c>
      <c r="Y678" s="0" t="s">
        <v>6697</v>
      </c>
      <c r="Z678" s="0" t="s">
        <v>158</v>
      </c>
    </row>
    <row r="679" customFormat="false" ht="15" hidden="false" customHeight="false" outlineLevel="0" collapsed="false">
      <c r="A679" s="0" t="n">
        <v>676</v>
      </c>
      <c r="B679" s="9" t="n">
        <v>299190</v>
      </c>
      <c r="C679" s="0" t="n">
        <v>28155</v>
      </c>
      <c r="D679" s="0" t="n">
        <v>270079</v>
      </c>
      <c r="E679" s="0" t="s">
        <v>61</v>
      </c>
      <c r="F679" s="0" t="n">
        <v>27411</v>
      </c>
      <c r="G679" s="0" t="s">
        <v>6698</v>
      </c>
      <c r="H679" s="0" t="s">
        <v>6699</v>
      </c>
      <c r="I679" s="0" t="s">
        <v>6700</v>
      </c>
      <c r="J679" s="0" t="s">
        <v>6701</v>
      </c>
      <c r="K679" s="0" t="s">
        <v>6702</v>
      </c>
      <c r="L679" s="0" t="n">
        <v>176105</v>
      </c>
      <c r="M679" s="0" t="s">
        <v>6703</v>
      </c>
      <c r="N679" s="0" t="n">
        <v>159503</v>
      </c>
      <c r="O679" s="9" t="n">
        <v>304</v>
      </c>
      <c r="P679" s="0" t="s">
        <v>464</v>
      </c>
      <c r="Q679" s="0" t="s">
        <v>6704</v>
      </c>
      <c r="R679" s="0" t="s">
        <v>6705</v>
      </c>
      <c r="S679" s="0" t="s">
        <v>61</v>
      </c>
      <c r="T679" s="0" t="s">
        <v>364</v>
      </c>
      <c r="U679" s="9" t="n">
        <v>0</v>
      </c>
      <c r="V679" s="0" t="n">
        <v>17.476407488759</v>
      </c>
      <c r="W679" s="0" t="n">
        <v>20250331</v>
      </c>
      <c r="X679" s="0" t="n">
        <v>-0.103525409942137</v>
      </c>
      <c r="Y679" s="0" t="s">
        <v>6706</v>
      </c>
      <c r="Z679" s="0" t="s">
        <v>158</v>
      </c>
    </row>
    <row r="680" customFormat="false" ht="15" hidden="false" customHeight="false" outlineLevel="0" collapsed="false">
      <c r="A680" s="0" t="n">
        <v>677</v>
      </c>
      <c r="B680" s="9" t="n">
        <v>101149</v>
      </c>
      <c r="C680" s="0" t="n">
        <v>28288</v>
      </c>
      <c r="D680" s="0" t="n">
        <v>72293</v>
      </c>
      <c r="E680" s="0" t="s">
        <v>61</v>
      </c>
      <c r="F680" s="0" t="n">
        <v>6164</v>
      </c>
      <c r="G680" s="0" t="s">
        <v>6707</v>
      </c>
      <c r="H680" s="0" t="s">
        <v>6708</v>
      </c>
      <c r="I680" s="0" t="s">
        <v>6709</v>
      </c>
      <c r="J680" s="0" t="s">
        <v>6710</v>
      </c>
      <c r="K680" s="0" t="s">
        <v>6711</v>
      </c>
      <c r="L680" s="0" t="n">
        <v>81722</v>
      </c>
      <c r="M680" s="0" t="s">
        <v>6712</v>
      </c>
      <c r="N680" s="0" t="n">
        <v>73892</v>
      </c>
      <c r="O680" s="9" t="n">
        <v>1</v>
      </c>
      <c r="P680" s="0" t="s">
        <v>475</v>
      </c>
      <c r="Q680" s="0" t="s">
        <v>6713</v>
      </c>
      <c r="R680" s="0" t="s">
        <v>6714</v>
      </c>
      <c r="S680" s="0" t="s">
        <v>61</v>
      </c>
      <c r="T680" s="0" t="s">
        <v>6715</v>
      </c>
      <c r="U680" s="9" t="n">
        <v>0</v>
      </c>
      <c r="V680" s="0" t="n">
        <v>13.3963087197846</v>
      </c>
      <c r="W680" s="0" t="n">
        <v>20250331</v>
      </c>
      <c r="X680" s="0" t="n">
        <v>0.216262975778547</v>
      </c>
      <c r="Y680" s="0" t="s">
        <v>6716</v>
      </c>
      <c r="Z680" s="0" t="s">
        <v>60</v>
      </c>
    </row>
    <row r="681" customFormat="false" ht="15" hidden="false" customHeight="false" outlineLevel="0" collapsed="false">
      <c r="A681" s="0" t="n">
        <v>678</v>
      </c>
      <c r="B681" s="9" t="n">
        <v>93473</v>
      </c>
      <c r="C681" s="0" t="n">
        <v>28369</v>
      </c>
      <c r="D681" s="0" t="n">
        <v>72638</v>
      </c>
      <c r="E681" s="0" t="s">
        <v>390</v>
      </c>
      <c r="F681" s="0" t="n">
        <v>9063</v>
      </c>
      <c r="G681" s="0" t="s">
        <v>6717</v>
      </c>
      <c r="H681" s="0" t="s">
        <v>6718</v>
      </c>
      <c r="I681" s="0" t="s">
        <v>6719</v>
      </c>
      <c r="J681" s="0" t="s">
        <v>6720</v>
      </c>
      <c r="K681" s="0" t="s">
        <v>6721</v>
      </c>
      <c r="L681" s="0" t="n">
        <v>80877</v>
      </c>
      <c r="M681" s="0" t="s">
        <v>6722</v>
      </c>
      <c r="N681" s="0" t="n">
        <v>67131</v>
      </c>
      <c r="O681" s="9" t="n">
        <v>88</v>
      </c>
      <c r="P681" s="0" t="s">
        <v>486</v>
      </c>
      <c r="Q681" s="0" t="s">
        <v>6723</v>
      </c>
      <c r="R681" s="0" t="s">
        <v>6724</v>
      </c>
      <c r="S681" s="0" t="s">
        <v>352</v>
      </c>
      <c r="T681" s="0" t="s">
        <v>2105</v>
      </c>
      <c r="U681" s="9" t="n">
        <v>0</v>
      </c>
      <c r="V681" s="0" t="n">
        <v>14.0023818248443</v>
      </c>
      <c r="W681" s="0" t="n">
        <v>20250331</v>
      </c>
      <c r="X681" s="0" t="n">
        <v>0.0854554776961203</v>
      </c>
      <c r="Y681" s="0" t="s">
        <v>6725</v>
      </c>
      <c r="Z681" s="0" t="s">
        <v>60</v>
      </c>
    </row>
    <row r="682" customFormat="false" ht="15" hidden="false" customHeight="false" outlineLevel="0" collapsed="false">
      <c r="A682" s="0" t="n">
        <v>679</v>
      </c>
      <c r="B682" s="9" t="n">
        <v>289565</v>
      </c>
      <c r="C682" s="0" t="n">
        <v>28837</v>
      </c>
      <c r="D682" s="0" t="n">
        <v>257144</v>
      </c>
      <c r="E682" s="0" t="s">
        <v>246</v>
      </c>
      <c r="F682" s="0" t="n">
        <v>29273</v>
      </c>
      <c r="G682" s="0" t="s">
        <v>6726</v>
      </c>
      <c r="H682" s="0" t="s">
        <v>6727</v>
      </c>
      <c r="I682" s="0" t="s">
        <v>6728</v>
      </c>
      <c r="J682" s="0" t="s">
        <v>6729</v>
      </c>
      <c r="K682" s="0" t="s">
        <v>6730</v>
      </c>
      <c r="L682" s="0" t="n">
        <v>204142</v>
      </c>
      <c r="M682" s="0" t="s">
        <v>6731</v>
      </c>
      <c r="N682" s="0" t="n">
        <v>195050</v>
      </c>
      <c r="O682" s="9" t="n">
        <v>0</v>
      </c>
      <c r="P682" s="0" t="s">
        <v>497</v>
      </c>
      <c r="Q682" s="0" t="s">
        <v>61</v>
      </c>
      <c r="R682" s="0" t="s">
        <v>6732</v>
      </c>
      <c r="S682" s="0" t="s">
        <v>61</v>
      </c>
      <c r="T682" s="0" t="s">
        <v>989</v>
      </c>
      <c r="U682" s="9" t="n">
        <v>0</v>
      </c>
      <c r="V682" s="0" t="n">
        <v>18.1761660582706</v>
      </c>
      <c r="W682" s="0" t="n">
        <v>20250331</v>
      </c>
      <c r="X682" s="0" t="n">
        <v>0.698313621099047</v>
      </c>
      <c r="Y682" s="0" t="s">
        <v>402</v>
      </c>
      <c r="Z682" s="0" t="s">
        <v>98</v>
      </c>
    </row>
    <row r="683" customFormat="false" ht="15" hidden="false" customHeight="false" outlineLevel="0" collapsed="false">
      <c r="A683" s="0" t="n">
        <v>680</v>
      </c>
      <c r="B683" s="9" t="n">
        <v>186509</v>
      </c>
      <c r="C683" s="0" t="n">
        <v>29636</v>
      </c>
      <c r="D683" s="0" t="n">
        <v>143798</v>
      </c>
      <c r="E683" s="0" t="s">
        <v>61</v>
      </c>
      <c r="F683" s="0" t="n">
        <v>27465</v>
      </c>
      <c r="G683" s="0" t="s">
        <v>6733</v>
      </c>
      <c r="H683" s="0" t="s">
        <v>6734</v>
      </c>
      <c r="I683" s="0" t="s">
        <v>6735</v>
      </c>
      <c r="J683" s="0" t="s">
        <v>6736</v>
      </c>
      <c r="K683" s="0" t="s">
        <v>6737</v>
      </c>
      <c r="L683" s="0" t="n">
        <v>144596</v>
      </c>
      <c r="M683" s="0" t="s">
        <v>6738</v>
      </c>
      <c r="N683" s="0" t="n">
        <v>141230</v>
      </c>
      <c r="O683" s="9" t="n">
        <v>3216</v>
      </c>
      <c r="P683" s="0" t="s">
        <v>509</v>
      </c>
      <c r="Q683" s="0" t="s">
        <v>6739</v>
      </c>
      <c r="R683" s="0" t="s">
        <v>6740</v>
      </c>
      <c r="S683" s="0" t="s">
        <v>1079</v>
      </c>
      <c r="T683" s="0" t="s">
        <v>6741</v>
      </c>
      <c r="U683" s="9" t="n">
        <v>0</v>
      </c>
      <c r="V683" s="0" t="n">
        <v>27.1409419276435</v>
      </c>
      <c r="W683" s="0" t="n">
        <v>20250331</v>
      </c>
      <c r="X683" s="0" t="n">
        <v>0.138614772761114</v>
      </c>
      <c r="Y683" s="0" t="s">
        <v>6742</v>
      </c>
      <c r="Z683" s="0" t="s">
        <v>60</v>
      </c>
    </row>
    <row r="684" customFormat="false" ht="15" hidden="false" customHeight="false" outlineLevel="0" collapsed="false">
      <c r="A684" s="0" t="n">
        <v>681</v>
      </c>
      <c r="B684" s="9" t="n">
        <v>199014</v>
      </c>
      <c r="C684" s="0" t="n">
        <v>29743</v>
      </c>
      <c r="D684" s="0" t="n">
        <v>176536</v>
      </c>
      <c r="E684" s="0" t="s">
        <v>61</v>
      </c>
      <c r="F684" s="0" t="n">
        <v>18836</v>
      </c>
      <c r="G684" s="0" t="s">
        <v>6743</v>
      </c>
      <c r="H684" s="0" t="s">
        <v>6744</v>
      </c>
      <c r="I684" s="0" t="s">
        <v>6745</v>
      </c>
      <c r="J684" s="0" t="s">
        <v>6746</v>
      </c>
      <c r="K684" s="0" t="s">
        <v>6747</v>
      </c>
      <c r="L684" s="0" t="n">
        <v>136324</v>
      </c>
      <c r="M684" s="0" t="s">
        <v>6748</v>
      </c>
      <c r="N684" s="0" t="n">
        <v>87895</v>
      </c>
      <c r="O684" s="9" t="n">
        <v>448</v>
      </c>
      <c r="P684" s="0" t="s">
        <v>520</v>
      </c>
      <c r="Q684" s="0" t="s">
        <v>6749</v>
      </c>
      <c r="R684" s="0" t="s">
        <v>6750</v>
      </c>
      <c r="S684" s="0" t="s">
        <v>182</v>
      </c>
      <c r="T684" s="0" t="s">
        <v>6751</v>
      </c>
      <c r="U684" s="9" t="n">
        <v>0</v>
      </c>
      <c r="V684" s="0" t="n">
        <v>18.4080928760645</v>
      </c>
      <c r="W684" s="0" t="n">
        <v>20250331</v>
      </c>
      <c r="X684" s="0" t="n">
        <v>0.608988551612277</v>
      </c>
      <c r="Y684" s="0" t="s">
        <v>6752</v>
      </c>
      <c r="Z684" s="0" t="s">
        <v>60</v>
      </c>
    </row>
    <row r="685" customFormat="false" ht="15" hidden="false" customHeight="false" outlineLevel="0" collapsed="false">
      <c r="A685" s="0" t="n">
        <v>682</v>
      </c>
      <c r="B685" s="9" t="n">
        <v>592720</v>
      </c>
      <c r="C685" s="0" t="n">
        <v>29744</v>
      </c>
      <c r="D685" s="0" t="n">
        <v>473305</v>
      </c>
      <c r="E685" s="0" t="s">
        <v>61</v>
      </c>
      <c r="F685" s="0" t="n">
        <v>44713</v>
      </c>
      <c r="G685" s="0" t="s">
        <v>6753</v>
      </c>
      <c r="H685" s="0" t="s">
        <v>6754</v>
      </c>
      <c r="I685" s="0" t="s">
        <v>6755</v>
      </c>
      <c r="J685" s="0" t="s">
        <v>6756</v>
      </c>
      <c r="K685" s="0" t="s">
        <v>6757</v>
      </c>
      <c r="L685" s="0" t="n">
        <v>448262</v>
      </c>
      <c r="M685" s="0" t="s">
        <v>6758</v>
      </c>
      <c r="N685" s="0" t="n">
        <v>411212</v>
      </c>
      <c r="O685" s="9" t="n">
        <v>0</v>
      </c>
      <c r="P685" s="0" t="s">
        <v>531</v>
      </c>
      <c r="Q685" s="0" t="s">
        <v>61</v>
      </c>
      <c r="R685" s="0" t="s">
        <v>6759</v>
      </c>
      <c r="S685" s="0" t="s">
        <v>352</v>
      </c>
      <c r="T685" s="0" t="s">
        <v>61</v>
      </c>
      <c r="U685" s="9" t="n">
        <v>0</v>
      </c>
      <c r="V685" s="0" t="n">
        <v>15.1642690433057</v>
      </c>
      <c r="W685" s="0" t="n">
        <v>20250331</v>
      </c>
      <c r="X685" s="0" t="n">
        <v>-0.408254719593245</v>
      </c>
      <c r="Y685" s="0" t="s">
        <v>6760</v>
      </c>
      <c r="Z685" s="0" t="s">
        <v>158</v>
      </c>
    </row>
    <row r="686" customFormat="false" ht="15" hidden="false" customHeight="false" outlineLevel="0" collapsed="false">
      <c r="A686" s="0" t="n">
        <v>683</v>
      </c>
      <c r="B686" s="9" t="n">
        <v>609028</v>
      </c>
      <c r="C686" s="0" t="n">
        <v>30350</v>
      </c>
      <c r="D686" s="0" t="n">
        <v>474831</v>
      </c>
      <c r="E686" s="0" t="s">
        <v>208</v>
      </c>
      <c r="F686" s="0" t="n">
        <v>62866</v>
      </c>
      <c r="G686" s="0" t="s">
        <v>6761</v>
      </c>
      <c r="H686" s="0" t="s">
        <v>6762</v>
      </c>
      <c r="I686" s="0" t="s">
        <v>6763</v>
      </c>
      <c r="J686" s="0" t="s">
        <v>6764</v>
      </c>
      <c r="K686" s="0" t="s">
        <v>6765</v>
      </c>
      <c r="L686" s="0" t="n">
        <v>464716</v>
      </c>
      <c r="M686" s="0" t="s">
        <v>6766</v>
      </c>
      <c r="N686" s="0" t="n">
        <v>446528</v>
      </c>
      <c r="O686" s="9" t="n">
        <v>1587</v>
      </c>
      <c r="P686" s="0" t="s">
        <v>543</v>
      </c>
      <c r="Q686" s="0" t="s">
        <v>6767</v>
      </c>
      <c r="R686" s="0" t="s">
        <v>6768</v>
      </c>
      <c r="S686" s="0" t="s">
        <v>5153</v>
      </c>
      <c r="T686" s="0" t="s">
        <v>6769</v>
      </c>
      <c r="U686" s="9" t="n">
        <v>0</v>
      </c>
      <c r="V686" s="0" t="n">
        <v>20.1862311012096</v>
      </c>
      <c r="W686" s="0" t="n">
        <v>20250331</v>
      </c>
      <c r="X686" s="0" t="n">
        <v>0.776836569182434</v>
      </c>
      <c r="Y686" s="0" t="s">
        <v>3748</v>
      </c>
      <c r="Z686" s="0" t="s">
        <v>98</v>
      </c>
    </row>
    <row r="687" customFormat="false" ht="15" hidden="false" customHeight="false" outlineLevel="0" collapsed="false">
      <c r="A687" s="0" t="n">
        <v>684</v>
      </c>
      <c r="B687" s="9" t="n">
        <v>98994</v>
      </c>
      <c r="C687" s="0" t="n">
        <v>30878</v>
      </c>
      <c r="D687" s="0" t="n">
        <v>72918</v>
      </c>
      <c r="E687" s="0" t="s">
        <v>1456</v>
      </c>
      <c r="F687" s="0" t="n">
        <v>11849</v>
      </c>
      <c r="G687" s="0" t="s">
        <v>6770</v>
      </c>
      <c r="H687" s="0" t="s">
        <v>6771</v>
      </c>
      <c r="I687" s="0" t="s">
        <v>6772</v>
      </c>
      <c r="J687" s="0" t="s">
        <v>61</v>
      </c>
      <c r="K687" s="0" t="s">
        <v>6773</v>
      </c>
      <c r="L687" s="0" t="n">
        <v>85658</v>
      </c>
      <c r="M687" s="0" t="s">
        <v>6774</v>
      </c>
      <c r="N687" s="0" t="n">
        <v>85506</v>
      </c>
      <c r="O687" s="9" t="n">
        <v>1420</v>
      </c>
      <c r="P687" s="0" t="s">
        <v>553</v>
      </c>
      <c r="Q687" s="0" t="s">
        <v>6775</v>
      </c>
      <c r="R687" s="0" t="s">
        <v>6776</v>
      </c>
      <c r="S687" s="0" t="s">
        <v>61</v>
      </c>
      <c r="T687" s="0" t="s">
        <v>6335</v>
      </c>
      <c r="U687" s="9" t="n">
        <v>0</v>
      </c>
      <c r="V687" s="0" t="n">
        <v>0</v>
      </c>
      <c r="W687" s="0" t="n">
        <v>20250331</v>
      </c>
      <c r="X687" s="0" t="n">
        <v>-0.06841183927242</v>
      </c>
      <c r="Y687" s="0" t="s">
        <v>6777</v>
      </c>
      <c r="Z687" s="0" t="s">
        <v>60</v>
      </c>
    </row>
    <row r="688" customFormat="false" ht="15" hidden="false" customHeight="false" outlineLevel="0" collapsed="false">
      <c r="A688" s="0" t="n">
        <v>685</v>
      </c>
      <c r="B688" s="9" t="n">
        <v>974770</v>
      </c>
      <c r="C688" s="0" t="n">
        <v>33418</v>
      </c>
      <c r="D688" s="0" t="n">
        <v>799352</v>
      </c>
      <c r="E688" s="0" t="s">
        <v>2413</v>
      </c>
      <c r="F688" s="0" t="n">
        <v>70425</v>
      </c>
      <c r="G688" s="0" t="s">
        <v>6778</v>
      </c>
      <c r="H688" s="0" t="s">
        <v>6779</v>
      </c>
      <c r="I688" s="0" t="s">
        <v>6780</v>
      </c>
      <c r="J688" s="0" t="s">
        <v>6781</v>
      </c>
      <c r="K688" s="0" t="s">
        <v>6782</v>
      </c>
      <c r="L688" s="0" t="n">
        <v>608662</v>
      </c>
      <c r="M688" s="0" t="s">
        <v>6783</v>
      </c>
      <c r="N688" s="0" t="n">
        <v>511573</v>
      </c>
      <c r="O688" s="9" t="n">
        <v>1231</v>
      </c>
      <c r="P688" s="0" t="s">
        <v>564</v>
      </c>
      <c r="Q688" s="0" t="s">
        <v>6784</v>
      </c>
      <c r="R688" s="0" t="s">
        <v>6785</v>
      </c>
      <c r="S688" s="0" t="s">
        <v>2842</v>
      </c>
      <c r="T688" s="0" t="s">
        <v>6786</v>
      </c>
      <c r="U688" s="9" t="n">
        <v>0</v>
      </c>
      <c r="V688" s="0" t="n">
        <v>12.4516242523748</v>
      </c>
      <c r="W688" s="0" t="n">
        <v>20250331</v>
      </c>
      <c r="X688" s="0" t="n">
        <v>0.599734421139911</v>
      </c>
      <c r="Y688" s="0" t="s">
        <v>6787</v>
      </c>
      <c r="Z688" s="0" t="s">
        <v>98</v>
      </c>
    </row>
    <row r="689" customFormat="false" ht="15" hidden="false" customHeight="false" outlineLevel="0" collapsed="false">
      <c r="A689" s="0" t="n">
        <v>686</v>
      </c>
      <c r="B689" s="9" t="n">
        <v>67144</v>
      </c>
      <c r="C689" s="0" t="n">
        <v>35206</v>
      </c>
      <c r="D689" s="0" t="n">
        <v>500</v>
      </c>
      <c r="E689" s="0" t="s">
        <v>61</v>
      </c>
      <c r="F689" s="0" t="n">
        <v>65181</v>
      </c>
      <c r="G689" s="0" t="s">
        <v>6788</v>
      </c>
      <c r="H689" s="0" t="s">
        <v>6789</v>
      </c>
      <c r="I689" s="0" t="s">
        <v>61</v>
      </c>
      <c r="J689" s="0" t="s">
        <v>61</v>
      </c>
      <c r="K689" s="0" t="s">
        <v>61</v>
      </c>
      <c r="L689" s="0" t="n">
        <v>0</v>
      </c>
      <c r="M689" s="0" t="s">
        <v>61</v>
      </c>
      <c r="N689" s="0" t="n">
        <v>0</v>
      </c>
      <c r="O689" s="9" t="n">
        <v>0</v>
      </c>
      <c r="P689" s="0" t="s">
        <v>1112</v>
      </c>
      <c r="Q689" s="0" t="s">
        <v>61</v>
      </c>
      <c r="R689" s="0" t="s">
        <v>6790</v>
      </c>
      <c r="S689" s="0" t="s">
        <v>61</v>
      </c>
      <c r="T689" s="0" t="s">
        <v>61</v>
      </c>
      <c r="U689" s="9" t="n">
        <v>0</v>
      </c>
      <c r="V689" s="0" t="n">
        <v>0</v>
      </c>
      <c r="W689" s="0" t="n">
        <v>20250331</v>
      </c>
      <c r="X689" s="0" t="n">
        <v>28.844680133648</v>
      </c>
      <c r="Y689" s="0" t="s">
        <v>6791</v>
      </c>
      <c r="Z689" s="0" t="s">
        <v>158</v>
      </c>
    </row>
    <row r="690" customFormat="false" ht="15" hidden="false" customHeight="false" outlineLevel="0" collapsed="false">
      <c r="A690" s="0" t="n">
        <v>687</v>
      </c>
      <c r="B690" s="9" t="n">
        <v>6948167</v>
      </c>
      <c r="C690" s="0" t="n">
        <v>4255</v>
      </c>
      <c r="D690" s="0" t="n">
        <v>5632856</v>
      </c>
      <c r="E690" s="0" t="s">
        <v>2534</v>
      </c>
      <c r="F690" s="0" t="n">
        <v>671520</v>
      </c>
      <c r="G690" s="0" t="s">
        <v>6792</v>
      </c>
      <c r="H690" s="0" t="s">
        <v>6793</v>
      </c>
      <c r="I690" s="0" t="s">
        <v>6794</v>
      </c>
      <c r="J690" s="0" t="s">
        <v>6795</v>
      </c>
      <c r="K690" s="0" t="s">
        <v>6796</v>
      </c>
      <c r="L690" s="0" t="n">
        <v>4896145</v>
      </c>
      <c r="M690" s="0" t="s">
        <v>6797</v>
      </c>
      <c r="N690" s="0" t="n">
        <v>4419349</v>
      </c>
      <c r="O690" s="9" t="n">
        <v>7251</v>
      </c>
      <c r="P690" s="0" t="s">
        <v>575</v>
      </c>
      <c r="Q690" s="0" t="s">
        <v>6798</v>
      </c>
      <c r="R690" s="0" t="s">
        <v>6799</v>
      </c>
      <c r="S690" s="0" t="s">
        <v>6800</v>
      </c>
      <c r="T690" s="0" t="s">
        <v>6801</v>
      </c>
      <c r="U690" s="9" t="n">
        <v>0</v>
      </c>
      <c r="V690" s="0" t="n">
        <v>12.5535092500628</v>
      </c>
      <c r="W690" s="0" t="n">
        <v>20250331</v>
      </c>
      <c r="X690" s="0" t="n">
        <v>0.525277693714401</v>
      </c>
      <c r="Y690" s="0" t="s">
        <v>6802</v>
      </c>
      <c r="Z690" s="0" t="s">
        <v>60</v>
      </c>
    </row>
    <row r="691" customFormat="false" ht="15" hidden="false" customHeight="false" outlineLevel="0" collapsed="false">
      <c r="A691" s="0" t="n">
        <v>688</v>
      </c>
      <c r="B691" s="9" t="n">
        <v>3151780</v>
      </c>
      <c r="C691" s="0" t="n">
        <v>4256</v>
      </c>
      <c r="D691" s="0" t="n">
        <v>2712084</v>
      </c>
      <c r="E691" s="0" t="s">
        <v>246</v>
      </c>
      <c r="F691" s="0" t="n">
        <v>230970</v>
      </c>
      <c r="G691" s="0" t="s">
        <v>6803</v>
      </c>
      <c r="H691" s="0" t="s">
        <v>6804</v>
      </c>
      <c r="I691" s="0" t="s">
        <v>6805</v>
      </c>
      <c r="J691" s="0" t="s">
        <v>6806</v>
      </c>
      <c r="K691" s="0" t="s">
        <v>6807</v>
      </c>
      <c r="L691" s="0" t="n">
        <v>2383150</v>
      </c>
      <c r="M691" s="0" t="s">
        <v>6808</v>
      </c>
      <c r="N691" s="0" t="n">
        <v>1883405</v>
      </c>
      <c r="O691" s="9" t="n">
        <v>6053</v>
      </c>
      <c r="P691" s="0" t="s">
        <v>587</v>
      </c>
      <c r="Q691" s="0" t="s">
        <v>6809</v>
      </c>
      <c r="R691" s="0" t="s">
        <v>6810</v>
      </c>
      <c r="S691" s="0" t="s">
        <v>6773</v>
      </c>
      <c r="T691" s="0" t="s">
        <v>6811</v>
      </c>
      <c r="U691" s="9" t="n">
        <v>695</v>
      </c>
      <c r="V691" s="0" t="n">
        <v>13.0723838563465</v>
      </c>
      <c r="W691" s="0" t="n">
        <v>20250331</v>
      </c>
      <c r="X691" s="0" t="n">
        <v>0.949049786537126</v>
      </c>
      <c r="Y691" s="0" t="s">
        <v>6812</v>
      </c>
      <c r="Z691" s="0" t="s">
        <v>60</v>
      </c>
    </row>
    <row r="692" customFormat="false" ht="15" hidden="false" customHeight="false" outlineLevel="0" collapsed="false">
      <c r="A692" s="0" t="n">
        <v>689</v>
      </c>
      <c r="B692" s="9" t="n">
        <v>699078</v>
      </c>
      <c r="C692" s="0" t="n">
        <v>59086</v>
      </c>
      <c r="D692" s="0" t="n">
        <v>590147</v>
      </c>
      <c r="E692" s="0" t="s">
        <v>246</v>
      </c>
      <c r="F692" s="0" t="n">
        <v>102573</v>
      </c>
      <c r="G692" s="0" t="s">
        <v>6813</v>
      </c>
      <c r="H692" s="0" t="s">
        <v>6814</v>
      </c>
      <c r="I692" s="0" t="s">
        <v>6815</v>
      </c>
      <c r="J692" s="0" t="s">
        <v>6816</v>
      </c>
      <c r="K692" s="0" t="s">
        <v>61</v>
      </c>
      <c r="L692" s="0" t="n">
        <v>604662</v>
      </c>
      <c r="M692" s="0" t="s">
        <v>6817</v>
      </c>
      <c r="N692" s="0" t="n">
        <v>482306</v>
      </c>
      <c r="O692" s="9" t="n">
        <v>4011</v>
      </c>
      <c r="P692" s="0" t="s">
        <v>599</v>
      </c>
      <c r="Q692" s="0" t="s">
        <v>6818</v>
      </c>
      <c r="R692" s="0" t="s">
        <v>6819</v>
      </c>
      <c r="S692" s="0" t="s">
        <v>352</v>
      </c>
      <c r="T692" s="0" t="s">
        <v>6820</v>
      </c>
      <c r="U692" s="9" t="n">
        <v>100</v>
      </c>
      <c r="V692" s="0" t="n">
        <v>16.87937276982</v>
      </c>
      <c r="W692" s="0" t="n">
        <v>20250331</v>
      </c>
      <c r="X692" s="0" t="n">
        <v>1.37223510961545</v>
      </c>
      <c r="Y692" s="0" t="s">
        <v>6821</v>
      </c>
      <c r="Z692" s="0" t="s">
        <v>158</v>
      </c>
    </row>
    <row r="693" customFormat="false" ht="15" hidden="false" customHeight="false" outlineLevel="0" collapsed="false">
      <c r="A693" s="0" t="n">
        <v>690</v>
      </c>
      <c r="B693" s="9" t="n">
        <v>253661</v>
      </c>
      <c r="C693" s="0" t="n">
        <v>59176</v>
      </c>
      <c r="D693" s="0" t="n">
        <v>203852</v>
      </c>
      <c r="E693" s="0" t="s">
        <v>1137</v>
      </c>
      <c r="F693" s="0" t="n">
        <v>27423</v>
      </c>
      <c r="G693" s="0" t="s">
        <v>6822</v>
      </c>
      <c r="H693" s="0" t="s">
        <v>6823</v>
      </c>
      <c r="I693" s="0" t="s">
        <v>6824</v>
      </c>
      <c r="J693" s="0" t="s">
        <v>6825</v>
      </c>
      <c r="K693" s="0" t="s">
        <v>61</v>
      </c>
      <c r="L693" s="0" t="n">
        <v>193343</v>
      </c>
      <c r="M693" s="0" t="s">
        <v>6826</v>
      </c>
      <c r="N693" s="0" t="n">
        <v>166487</v>
      </c>
      <c r="O693" s="9" t="n">
        <v>0</v>
      </c>
      <c r="P693" s="0" t="s">
        <v>610</v>
      </c>
      <c r="Q693" s="0" t="s">
        <v>61</v>
      </c>
      <c r="R693" s="0" t="s">
        <v>6827</v>
      </c>
      <c r="S693" s="0" t="s">
        <v>61</v>
      </c>
      <c r="T693" s="0" t="s">
        <v>61</v>
      </c>
      <c r="U693" s="9" t="n">
        <v>0</v>
      </c>
      <c r="V693" s="0" t="n">
        <v>0</v>
      </c>
      <c r="W693" s="0" t="n">
        <v>20250331</v>
      </c>
      <c r="X693" s="0" t="n">
        <v>0.197131813571955</v>
      </c>
      <c r="Y693" s="0" t="s">
        <v>6828</v>
      </c>
      <c r="Z693" s="0" t="s">
        <v>158</v>
      </c>
    </row>
    <row r="694" customFormat="false" ht="15" hidden="false" customHeight="false" outlineLevel="0" collapsed="false">
      <c r="A694" s="0" t="n">
        <v>691</v>
      </c>
      <c r="B694" s="9" t="n">
        <v>130262</v>
      </c>
      <c r="C694" s="0" t="n">
        <v>59289</v>
      </c>
      <c r="D694" s="0" t="n">
        <v>113554</v>
      </c>
      <c r="E694" s="0" t="s">
        <v>2226</v>
      </c>
      <c r="F694" s="0" t="n">
        <v>15654</v>
      </c>
      <c r="G694" s="0" t="s">
        <v>6829</v>
      </c>
      <c r="H694" s="0" t="s">
        <v>6830</v>
      </c>
      <c r="I694" s="0" t="s">
        <v>6831</v>
      </c>
      <c r="J694" s="0" t="s">
        <v>6832</v>
      </c>
      <c r="K694" s="0" t="s">
        <v>61</v>
      </c>
      <c r="L694" s="0" t="n">
        <v>97607</v>
      </c>
      <c r="M694" s="0" t="s">
        <v>6833</v>
      </c>
      <c r="N694" s="0" t="n">
        <v>38027</v>
      </c>
      <c r="O694" s="9" t="n">
        <v>4568</v>
      </c>
      <c r="P694" s="0" t="s">
        <v>2223</v>
      </c>
      <c r="Q694" s="0" t="s">
        <v>6834</v>
      </c>
      <c r="R694" s="0" t="s">
        <v>6835</v>
      </c>
      <c r="S694" s="0" t="s">
        <v>955</v>
      </c>
      <c r="T694" s="0" t="s">
        <v>6836</v>
      </c>
      <c r="U694" s="9" t="n">
        <v>0</v>
      </c>
      <c r="V694" s="0" t="n">
        <v>0</v>
      </c>
      <c r="W694" s="0" t="n">
        <v>20250331</v>
      </c>
      <c r="X694" s="0" t="n">
        <v>-0.642448863904766</v>
      </c>
      <c r="Y694" s="0" t="s">
        <v>6837</v>
      </c>
      <c r="Z694" s="0" t="s">
        <v>158</v>
      </c>
    </row>
    <row r="695" customFormat="false" ht="15" hidden="false" customHeight="false" outlineLevel="0" collapsed="false">
      <c r="A695" s="0" t="n">
        <v>692</v>
      </c>
      <c r="B695" s="9" t="n">
        <v>273586</v>
      </c>
      <c r="C695" s="0" t="n">
        <v>59298</v>
      </c>
      <c r="D695" s="0" t="n">
        <v>247768</v>
      </c>
      <c r="E695" s="0" t="s">
        <v>47</v>
      </c>
      <c r="F695" s="0" t="n">
        <v>24927</v>
      </c>
      <c r="G695" s="0" t="s">
        <v>6838</v>
      </c>
      <c r="H695" s="0" t="s">
        <v>6839</v>
      </c>
      <c r="I695" s="0" t="s">
        <v>6840</v>
      </c>
      <c r="J695" s="0" t="s">
        <v>6841</v>
      </c>
      <c r="K695" s="0" t="s">
        <v>61</v>
      </c>
      <c r="L695" s="0" t="n">
        <v>143380</v>
      </c>
      <c r="M695" s="0" t="s">
        <v>6842</v>
      </c>
      <c r="N695" s="0" t="n">
        <v>109081</v>
      </c>
      <c r="O695" s="9" t="n">
        <v>0</v>
      </c>
      <c r="P695" s="0" t="s">
        <v>1684</v>
      </c>
      <c r="Q695" s="0" t="s">
        <v>61</v>
      </c>
      <c r="R695" s="0" t="s">
        <v>6843</v>
      </c>
      <c r="S695" s="0" t="s">
        <v>61</v>
      </c>
      <c r="T695" s="0" t="s">
        <v>61</v>
      </c>
      <c r="U695" s="9" t="n">
        <v>0</v>
      </c>
      <c r="V695" s="0" t="n">
        <v>17.8288066289366</v>
      </c>
      <c r="W695" s="0" t="n">
        <v>20250331</v>
      </c>
      <c r="X695" s="0" t="n">
        <v>0.0209446406965589</v>
      </c>
      <c r="Y695" s="0" t="s">
        <v>613</v>
      </c>
      <c r="Z695" s="0" t="s">
        <v>98</v>
      </c>
    </row>
    <row r="696" customFormat="false" ht="15" hidden="false" customHeight="false" outlineLevel="0" collapsed="false">
      <c r="A696" s="0" t="n">
        <v>693</v>
      </c>
      <c r="B696" s="9" t="n">
        <v>1187395</v>
      </c>
      <c r="C696" s="0" t="n">
        <v>6271</v>
      </c>
      <c r="D696" s="0" t="n">
        <v>980794</v>
      </c>
      <c r="E696" s="0" t="s">
        <v>858</v>
      </c>
      <c r="F696" s="0" t="n">
        <v>115170</v>
      </c>
      <c r="G696" s="0" t="s">
        <v>6844</v>
      </c>
      <c r="H696" s="0" t="s">
        <v>6845</v>
      </c>
      <c r="I696" s="0" t="s">
        <v>6846</v>
      </c>
      <c r="J696" s="0" t="s">
        <v>6847</v>
      </c>
      <c r="K696" s="0" t="s">
        <v>6848</v>
      </c>
      <c r="L696" s="0" t="n">
        <v>941445</v>
      </c>
      <c r="M696" s="0" t="s">
        <v>6849</v>
      </c>
      <c r="N696" s="0" t="n">
        <v>739251</v>
      </c>
      <c r="O696" s="9" t="n">
        <v>8907</v>
      </c>
      <c r="P696" s="0" t="s">
        <v>621</v>
      </c>
      <c r="Q696" s="0" t="s">
        <v>6850</v>
      </c>
      <c r="R696" s="0" t="s">
        <v>6851</v>
      </c>
      <c r="S696" s="0" t="s">
        <v>5496</v>
      </c>
      <c r="T696" s="0" t="s">
        <v>6852</v>
      </c>
      <c r="U696" s="9" t="n">
        <v>494</v>
      </c>
      <c r="V696" s="0" t="n">
        <v>14.9379069100864</v>
      </c>
      <c r="W696" s="0" t="n">
        <v>20250331</v>
      </c>
      <c r="X696" s="0" t="n">
        <v>1.25143290710164</v>
      </c>
      <c r="Y696" s="0" t="s">
        <v>6853</v>
      </c>
      <c r="Z696" s="0" t="s">
        <v>98</v>
      </c>
    </row>
    <row r="697" customFormat="false" ht="15" hidden="false" customHeight="false" outlineLevel="0" collapsed="false">
      <c r="A697" s="0" t="n">
        <v>694</v>
      </c>
      <c r="B697" s="9" t="n">
        <v>547001</v>
      </c>
      <c r="C697" s="0" t="n">
        <v>6275</v>
      </c>
      <c r="D697" s="0" t="n">
        <v>502984</v>
      </c>
      <c r="E697" s="0" t="s">
        <v>61</v>
      </c>
      <c r="F697" s="0" t="n">
        <v>36237</v>
      </c>
      <c r="G697" s="0" t="s">
        <v>6854</v>
      </c>
      <c r="H697" s="0" t="s">
        <v>6855</v>
      </c>
      <c r="I697" s="0" t="s">
        <v>6856</v>
      </c>
      <c r="J697" s="0" t="s">
        <v>6857</v>
      </c>
      <c r="K697" s="0" t="s">
        <v>6858</v>
      </c>
      <c r="L697" s="0" t="n">
        <v>348655</v>
      </c>
      <c r="M697" s="0" t="s">
        <v>6859</v>
      </c>
      <c r="N697" s="0" t="n">
        <v>298585</v>
      </c>
      <c r="O697" s="9" t="n">
        <v>660</v>
      </c>
      <c r="P697" s="0" t="s">
        <v>633</v>
      </c>
      <c r="Q697" s="0" t="s">
        <v>6860</v>
      </c>
      <c r="R697" s="0" t="s">
        <v>6861</v>
      </c>
      <c r="S697" s="0" t="s">
        <v>534</v>
      </c>
      <c r="T697" s="0" t="s">
        <v>6862</v>
      </c>
      <c r="U697" s="9" t="n">
        <v>338</v>
      </c>
      <c r="V697" s="0" t="n">
        <v>15.7328932381291</v>
      </c>
      <c r="W697" s="0" t="n">
        <v>20250331</v>
      </c>
      <c r="X697" s="0" t="n">
        <v>0.743149433686518</v>
      </c>
      <c r="Y697" s="0" t="s">
        <v>6863</v>
      </c>
      <c r="Z697" s="0" t="s">
        <v>98</v>
      </c>
    </row>
    <row r="698" customFormat="false" ht="15" hidden="false" customHeight="false" outlineLevel="0" collapsed="false">
      <c r="A698" s="0" t="n">
        <v>695</v>
      </c>
      <c r="B698" s="9" t="n">
        <v>88000</v>
      </c>
      <c r="C698" s="0" t="n">
        <v>6280</v>
      </c>
      <c r="D698" s="0" t="n">
        <v>77788</v>
      </c>
      <c r="E698" s="0" t="s">
        <v>172</v>
      </c>
      <c r="F698" s="0" t="n">
        <v>10007</v>
      </c>
      <c r="G698" s="0" t="s">
        <v>6864</v>
      </c>
      <c r="H698" s="0" t="s">
        <v>6865</v>
      </c>
      <c r="I698" s="0" t="s">
        <v>6866</v>
      </c>
      <c r="J698" s="0" t="s">
        <v>6867</v>
      </c>
      <c r="K698" s="0" t="s">
        <v>6868</v>
      </c>
      <c r="L698" s="0" t="n">
        <v>71713</v>
      </c>
      <c r="M698" s="0" t="s">
        <v>6869</v>
      </c>
      <c r="N698" s="0" t="n">
        <v>64224</v>
      </c>
      <c r="O698" s="9" t="n">
        <v>1420</v>
      </c>
      <c r="P698" s="0" t="s">
        <v>644</v>
      </c>
      <c r="Q698" s="0" t="s">
        <v>6870</v>
      </c>
      <c r="R698" s="0" t="s">
        <v>6871</v>
      </c>
      <c r="S698" s="0" t="s">
        <v>352</v>
      </c>
      <c r="T698" s="0" t="s">
        <v>1595</v>
      </c>
      <c r="U698" s="9" t="n">
        <v>0</v>
      </c>
      <c r="V698" s="0" t="n">
        <v>0</v>
      </c>
      <c r="W698" s="0" t="n">
        <v>20250331</v>
      </c>
      <c r="X698" s="0" t="n">
        <v>1.28878743546101</v>
      </c>
      <c r="Y698" s="0" t="s">
        <v>6872</v>
      </c>
      <c r="Z698" s="0" t="s">
        <v>98</v>
      </c>
    </row>
    <row r="699" customFormat="false" ht="15" hidden="false" customHeight="false" outlineLevel="0" collapsed="false">
      <c r="A699" s="0" t="n">
        <v>696</v>
      </c>
      <c r="B699" s="9" t="n">
        <v>4106441</v>
      </c>
      <c r="C699" s="0" t="n">
        <v>11971</v>
      </c>
      <c r="D699" s="0" t="n">
        <v>3299177</v>
      </c>
      <c r="E699" s="0" t="s">
        <v>172</v>
      </c>
      <c r="F699" s="0" t="n">
        <v>503270</v>
      </c>
      <c r="G699" s="0" t="s">
        <v>6873</v>
      </c>
      <c r="H699" s="0" t="s">
        <v>6874</v>
      </c>
      <c r="I699" s="0" t="s">
        <v>6875</v>
      </c>
      <c r="J699" s="0" t="s">
        <v>6876</v>
      </c>
      <c r="K699" s="0" t="s">
        <v>6877</v>
      </c>
      <c r="L699" s="0" t="n">
        <v>3155492</v>
      </c>
      <c r="M699" s="0" t="s">
        <v>6878</v>
      </c>
      <c r="N699" s="0" t="n">
        <v>2795776</v>
      </c>
      <c r="O699" s="9" t="n">
        <v>9732</v>
      </c>
      <c r="P699" s="0" t="s">
        <v>54</v>
      </c>
      <c r="Q699" s="0" t="s">
        <v>6879</v>
      </c>
      <c r="R699" s="0" t="s">
        <v>6880</v>
      </c>
      <c r="S699" s="0" t="s">
        <v>944</v>
      </c>
      <c r="T699" s="0" t="s">
        <v>6881</v>
      </c>
      <c r="U699" s="9" t="n">
        <v>429</v>
      </c>
      <c r="V699" s="0" t="n">
        <v>13.7235807513042</v>
      </c>
      <c r="W699" s="0" t="n">
        <v>20250630</v>
      </c>
      <c r="X699" s="0" t="n">
        <v>0.959403059876807</v>
      </c>
      <c r="Y699" s="0" t="s">
        <v>2985</v>
      </c>
      <c r="Z699" s="0" t="s">
        <v>60</v>
      </c>
    </row>
    <row r="700" customFormat="false" ht="15" hidden="false" customHeight="false" outlineLevel="0" collapsed="false">
      <c r="A700" s="0" t="n">
        <v>697</v>
      </c>
      <c r="B700" s="9" t="n">
        <v>1085692</v>
      </c>
      <c r="C700" s="0" t="n">
        <v>12874</v>
      </c>
      <c r="D700" s="0" t="n">
        <v>934861</v>
      </c>
      <c r="E700" s="0" t="s">
        <v>1500</v>
      </c>
      <c r="F700" s="0" t="n">
        <v>100553</v>
      </c>
      <c r="G700" s="0" t="s">
        <v>6882</v>
      </c>
      <c r="H700" s="0" t="s">
        <v>6883</v>
      </c>
      <c r="I700" s="0" t="s">
        <v>6884</v>
      </c>
      <c r="J700" s="0" t="s">
        <v>6885</v>
      </c>
      <c r="K700" s="0" t="s">
        <v>3487</v>
      </c>
      <c r="L700" s="0" t="n">
        <v>846746</v>
      </c>
      <c r="M700" s="0" t="s">
        <v>6886</v>
      </c>
      <c r="N700" s="0" t="n">
        <v>669261</v>
      </c>
      <c r="O700" s="9" t="n">
        <v>1392</v>
      </c>
      <c r="P700" s="0" t="s">
        <v>68</v>
      </c>
      <c r="Q700" s="0" t="s">
        <v>6887</v>
      </c>
      <c r="R700" s="0" t="s">
        <v>6888</v>
      </c>
      <c r="S700" s="0" t="s">
        <v>2842</v>
      </c>
      <c r="T700" s="0" t="s">
        <v>6889</v>
      </c>
      <c r="U700" s="9" t="n">
        <v>0</v>
      </c>
      <c r="V700" s="0" t="n">
        <v>14.3096445878642</v>
      </c>
      <c r="W700" s="0" t="n">
        <v>20250630</v>
      </c>
      <c r="X700" s="0" t="n">
        <v>0.938648973217796</v>
      </c>
      <c r="Y700" s="0" t="s">
        <v>6890</v>
      </c>
      <c r="Z700" s="0" t="s">
        <v>60</v>
      </c>
    </row>
    <row r="701" customFormat="false" ht="15" hidden="false" customHeight="false" outlineLevel="0" collapsed="false">
      <c r="A701" s="0" t="n">
        <v>698</v>
      </c>
      <c r="B701" s="9" t="n">
        <v>1933479</v>
      </c>
      <c r="C701" s="0" t="n">
        <v>13063</v>
      </c>
      <c r="D701" s="0" t="n">
        <v>1642187</v>
      </c>
      <c r="E701" s="0" t="s">
        <v>271</v>
      </c>
      <c r="F701" s="0" t="n">
        <v>165281</v>
      </c>
      <c r="G701" s="0" t="s">
        <v>6891</v>
      </c>
      <c r="H701" s="0" t="s">
        <v>6892</v>
      </c>
      <c r="I701" s="0" t="s">
        <v>6893</v>
      </c>
      <c r="J701" s="0" t="s">
        <v>6894</v>
      </c>
      <c r="K701" s="0" t="s">
        <v>6895</v>
      </c>
      <c r="L701" s="0" t="n">
        <v>1559292</v>
      </c>
      <c r="M701" s="0" t="s">
        <v>6896</v>
      </c>
      <c r="N701" s="0" t="n">
        <v>1474935</v>
      </c>
      <c r="O701" s="9" t="n">
        <v>2263</v>
      </c>
      <c r="P701" s="0" t="s">
        <v>80</v>
      </c>
      <c r="Q701" s="0" t="s">
        <v>6897</v>
      </c>
      <c r="R701" s="0" t="s">
        <v>6898</v>
      </c>
      <c r="S701" s="0" t="s">
        <v>2033</v>
      </c>
      <c r="T701" s="0" t="s">
        <v>6899</v>
      </c>
      <c r="U701" s="9" t="n">
        <v>183</v>
      </c>
      <c r="V701" s="0" t="n">
        <v>0</v>
      </c>
      <c r="W701" s="0" t="n">
        <v>20250630</v>
      </c>
      <c r="X701" s="0" t="n">
        <v>0.621034232657182</v>
      </c>
      <c r="Y701" s="0" t="s">
        <v>6900</v>
      </c>
      <c r="Z701" s="0" t="s">
        <v>60</v>
      </c>
    </row>
    <row r="702" customFormat="false" ht="15" hidden="false" customHeight="false" outlineLevel="0" collapsed="false">
      <c r="A702" s="0" t="n">
        <v>699</v>
      </c>
      <c r="B702" s="9" t="n">
        <v>882477</v>
      </c>
      <c r="C702" s="0" t="n">
        <v>14134</v>
      </c>
      <c r="D702" s="0" t="n">
        <v>701612</v>
      </c>
      <c r="E702" s="0" t="s">
        <v>47</v>
      </c>
      <c r="F702" s="0" t="n">
        <v>116115</v>
      </c>
      <c r="G702" s="0" t="s">
        <v>6901</v>
      </c>
      <c r="H702" s="0" t="s">
        <v>6902</v>
      </c>
      <c r="I702" s="0" t="s">
        <v>6903</v>
      </c>
      <c r="J702" s="0" t="s">
        <v>6904</v>
      </c>
      <c r="K702" s="0" t="s">
        <v>6905</v>
      </c>
      <c r="L702" s="0" t="n">
        <v>634955</v>
      </c>
      <c r="M702" s="0" t="s">
        <v>6906</v>
      </c>
      <c r="N702" s="0" t="n">
        <v>566443</v>
      </c>
      <c r="O702" s="9" t="n">
        <v>2713</v>
      </c>
      <c r="P702" s="0" t="s">
        <v>92</v>
      </c>
      <c r="Q702" s="0" t="s">
        <v>6907</v>
      </c>
      <c r="R702" s="0" t="s">
        <v>6908</v>
      </c>
      <c r="S702" s="0" t="s">
        <v>751</v>
      </c>
      <c r="T702" s="0" t="s">
        <v>6909</v>
      </c>
      <c r="U702" s="9" t="n">
        <v>0</v>
      </c>
      <c r="V702" s="0" t="n">
        <v>20.6017342528864</v>
      </c>
      <c r="W702" s="0" t="n">
        <v>20250630</v>
      </c>
      <c r="X702" s="0" t="n">
        <v>0.610195299395189</v>
      </c>
      <c r="Y702" s="0" t="s">
        <v>2895</v>
      </c>
      <c r="Z702" s="0" t="s">
        <v>98</v>
      </c>
    </row>
    <row r="703" customFormat="false" ht="15" hidden="false" customHeight="false" outlineLevel="0" collapsed="false">
      <c r="A703" s="0" t="n">
        <v>700</v>
      </c>
      <c r="B703" s="9" t="n">
        <v>247991</v>
      </c>
      <c r="C703" s="0" t="n">
        <v>14136</v>
      </c>
      <c r="D703" s="0" t="n">
        <v>212734</v>
      </c>
      <c r="E703" s="0" t="s">
        <v>85</v>
      </c>
      <c r="F703" s="0" t="n">
        <v>20696</v>
      </c>
      <c r="G703" s="0" t="s">
        <v>6910</v>
      </c>
      <c r="H703" s="0" t="s">
        <v>6911</v>
      </c>
      <c r="I703" s="0" t="s">
        <v>6912</v>
      </c>
      <c r="J703" s="0" t="s">
        <v>6913</v>
      </c>
      <c r="K703" s="0" t="s">
        <v>6914</v>
      </c>
      <c r="L703" s="0" t="n">
        <v>165788</v>
      </c>
      <c r="M703" s="0" t="s">
        <v>6915</v>
      </c>
      <c r="N703" s="0" t="n">
        <v>133756</v>
      </c>
      <c r="O703" s="9" t="n">
        <v>543</v>
      </c>
      <c r="P703" s="0" t="s">
        <v>105</v>
      </c>
      <c r="Q703" s="0" t="s">
        <v>6916</v>
      </c>
      <c r="R703" s="0" t="s">
        <v>6917</v>
      </c>
      <c r="S703" s="0" t="s">
        <v>955</v>
      </c>
      <c r="T703" s="0" t="s">
        <v>6918</v>
      </c>
      <c r="U703" s="9" t="n">
        <v>534</v>
      </c>
      <c r="V703" s="0" t="n">
        <v>17.6574017718266</v>
      </c>
      <c r="W703" s="0" t="n">
        <v>20250630</v>
      </c>
      <c r="X703" s="0" t="n">
        <v>0.601654965518099</v>
      </c>
      <c r="Y703" s="0" t="s">
        <v>6919</v>
      </c>
      <c r="Z703" s="0" t="s">
        <v>98</v>
      </c>
    </row>
    <row r="704" customFormat="false" ht="15" hidden="false" customHeight="false" outlineLevel="0" collapsed="false">
      <c r="A704" s="0" t="n">
        <v>701</v>
      </c>
      <c r="B704" s="9" t="n">
        <v>1560737</v>
      </c>
      <c r="C704" s="0" t="n">
        <v>14140</v>
      </c>
      <c r="D704" s="0" t="n">
        <v>1280949</v>
      </c>
      <c r="E704" s="0" t="s">
        <v>172</v>
      </c>
      <c r="F704" s="0" t="n">
        <v>142689</v>
      </c>
      <c r="G704" s="0" t="s">
        <v>6920</v>
      </c>
      <c r="H704" s="0" t="s">
        <v>6921</v>
      </c>
      <c r="I704" s="0" t="s">
        <v>6922</v>
      </c>
      <c r="J704" s="0" t="s">
        <v>6923</v>
      </c>
      <c r="K704" s="0" t="s">
        <v>6924</v>
      </c>
      <c r="L704" s="0" t="n">
        <v>1105150</v>
      </c>
      <c r="M704" s="0" t="s">
        <v>6925</v>
      </c>
      <c r="N704" s="0" t="n">
        <v>976988</v>
      </c>
      <c r="O704" s="9" t="n">
        <v>7436</v>
      </c>
      <c r="P704" s="0" t="s">
        <v>117</v>
      </c>
      <c r="Q704" s="0" t="s">
        <v>6926</v>
      </c>
      <c r="R704" s="0" t="s">
        <v>6927</v>
      </c>
      <c r="S704" s="0" t="s">
        <v>6928</v>
      </c>
      <c r="T704" s="0" t="s">
        <v>6929</v>
      </c>
      <c r="U704" s="9" t="n">
        <v>0</v>
      </c>
      <c r="V704" s="0" t="n">
        <v>0</v>
      </c>
      <c r="W704" s="0" t="n">
        <v>20250630</v>
      </c>
      <c r="X704" s="0" t="n">
        <v>0.319216663443552</v>
      </c>
      <c r="Y704" s="0" t="s">
        <v>5932</v>
      </c>
      <c r="Z704" s="0" t="s">
        <v>98</v>
      </c>
    </row>
    <row r="705" customFormat="false" ht="15" hidden="false" customHeight="false" outlineLevel="0" collapsed="false">
      <c r="A705" s="0" t="n">
        <v>702</v>
      </c>
      <c r="B705" s="9" t="n">
        <v>1479452</v>
      </c>
      <c r="C705" s="0" t="n">
        <v>14158</v>
      </c>
      <c r="D705" s="0" t="n">
        <v>1107517</v>
      </c>
      <c r="E705" s="0" t="s">
        <v>172</v>
      </c>
      <c r="F705" s="0" t="n">
        <v>86521</v>
      </c>
      <c r="G705" s="0" t="s">
        <v>6930</v>
      </c>
      <c r="H705" s="0" t="s">
        <v>6931</v>
      </c>
      <c r="I705" s="0" t="s">
        <v>6932</v>
      </c>
      <c r="J705" s="0" t="s">
        <v>6933</v>
      </c>
      <c r="K705" s="0" t="s">
        <v>6934</v>
      </c>
      <c r="L705" s="0" t="n">
        <v>1113914</v>
      </c>
      <c r="M705" s="0" t="s">
        <v>6935</v>
      </c>
      <c r="N705" s="0" t="n">
        <v>1031319</v>
      </c>
      <c r="O705" s="9" t="n">
        <v>15189</v>
      </c>
      <c r="P705" s="0" t="s">
        <v>129</v>
      </c>
      <c r="Q705" s="0" t="s">
        <v>6936</v>
      </c>
      <c r="R705" s="0" t="s">
        <v>6937</v>
      </c>
      <c r="S705" s="0" t="s">
        <v>1329</v>
      </c>
      <c r="T705" s="0" t="s">
        <v>6938</v>
      </c>
      <c r="U705" s="9" t="n">
        <v>72</v>
      </c>
      <c r="V705" s="0" t="n">
        <v>12.6234332403009</v>
      </c>
      <c r="W705" s="0" t="n">
        <v>20250630</v>
      </c>
      <c r="X705" s="0" t="n">
        <v>0.704869265488618</v>
      </c>
      <c r="Y705" s="0" t="s">
        <v>648</v>
      </c>
      <c r="Z705" s="0" t="s">
        <v>98</v>
      </c>
    </row>
    <row r="706" customFormat="false" ht="15" hidden="false" customHeight="false" outlineLevel="0" collapsed="false">
      <c r="A706" s="0" t="n">
        <v>703</v>
      </c>
      <c r="B706" s="9" t="n">
        <v>376849</v>
      </c>
      <c r="C706" s="0" t="n">
        <v>14168</v>
      </c>
      <c r="D706" s="0" t="n">
        <v>332557</v>
      </c>
      <c r="E706" s="0" t="s">
        <v>47</v>
      </c>
      <c r="F706" s="0" t="n">
        <v>38788</v>
      </c>
      <c r="G706" s="0" t="s">
        <v>6939</v>
      </c>
      <c r="H706" s="0" t="s">
        <v>6940</v>
      </c>
      <c r="I706" s="0" t="s">
        <v>6941</v>
      </c>
      <c r="J706" s="0" t="s">
        <v>6942</v>
      </c>
      <c r="K706" s="0" t="s">
        <v>6943</v>
      </c>
      <c r="L706" s="0" t="n">
        <v>288218</v>
      </c>
      <c r="M706" s="0" t="s">
        <v>6944</v>
      </c>
      <c r="N706" s="0" t="n">
        <v>247587</v>
      </c>
      <c r="O706" s="9" t="n">
        <v>1012</v>
      </c>
      <c r="P706" s="0" t="s">
        <v>140</v>
      </c>
      <c r="Q706" s="0" t="s">
        <v>6945</v>
      </c>
      <c r="R706" s="0" t="s">
        <v>6946</v>
      </c>
      <c r="S706" s="0" t="s">
        <v>2061</v>
      </c>
      <c r="T706" s="0" t="s">
        <v>1488</v>
      </c>
      <c r="U706" s="9" t="n">
        <v>0</v>
      </c>
      <c r="V706" s="0" t="n">
        <v>16.584016716042</v>
      </c>
      <c r="W706" s="0" t="n">
        <v>20250630</v>
      </c>
      <c r="X706" s="0" t="n">
        <v>0.966716269310238</v>
      </c>
      <c r="Y706" s="0" t="s">
        <v>6947</v>
      </c>
      <c r="Z706" s="0" t="s">
        <v>98</v>
      </c>
    </row>
    <row r="707" customFormat="false" ht="15" hidden="false" customHeight="false" outlineLevel="0" collapsed="false">
      <c r="A707" s="0" t="n">
        <v>704</v>
      </c>
      <c r="B707" s="9" t="n">
        <v>1078591</v>
      </c>
      <c r="C707" s="0" t="n">
        <v>17115</v>
      </c>
      <c r="D707" s="0" t="n">
        <v>819065</v>
      </c>
      <c r="E707" s="0" t="s">
        <v>246</v>
      </c>
      <c r="F707" s="0" t="n">
        <v>97021</v>
      </c>
      <c r="G707" s="0" t="s">
        <v>6948</v>
      </c>
      <c r="H707" s="0" t="s">
        <v>6949</v>
      </c>
      <c r="I707" s="0" t="s">
        <v>6950</v>
      </c>
      <c r="J707" s="0" t="s">
        <v>6951</v>
      </c>
      <c r="K707" s="0" t="s">
        <v>6952</v>
      </c>
      <c r="L707" s="0" t="n">
        <v>882995</v>
      </c>
      <c r="M707" s="0" t="s">
        <v>6953</v>
      </c>
      <c r="N707" s="0" t="n">
        <v>837308</v>
      </c>
      <c r="O707" s="9" t="n">
        <v>2491</v>
      </c>
      <c r="P707" s="0" t="s">
        <v>166</v>
      </c>
      <c r="Q707" s="0" t="s">
        <v>6954</v>
      </c>
      <c r="R707" s="0" t="s">
        <v>6955</v>
      </c>
      <c r="S707" s="0" t="s">
        <v>6956</v>
      </c>
      <c r="T707" s="0" t="s">
        <v>6957</v>
      </c>
      <c r="U707" s="9" t="n">
        <v>83</v>
      </c>
      <c r="V707" s="0" t="n">
        <v>14.8169206277007</v>
      </c>
      <c r="W707" s="0" t="n">
        <v>20250630</v>
      </c>
      <c r="X707" s="0" t="n">
        <v>0.71338933420764</v>
      </c>
      <c r="Y707" s="0" t="s">
        <v>534</v>
      </c>
      <c r="Z707" s="0" t="s">
        <v>60</v>
      </c>
    </row>
    <row r="708" customFormat="false" ht="15" hidden="false" customHeight="false" outlineLevel="0" collapsed="false">
      <c r="A708" s="0" t="n">
        <v>705</v>
      </c>
      <c r="B708" s="9" t="n">
        <v>1609518</v>
      </c>
      <c r="C708" s="0" t="n">
        <v>17180</v>
      </c>
      <c r="D708" s="0" t="n">
        <v>1323945</v>
      </c>
      <c r="E708" s="0" t="s">
        <v>61</v>
      </c>
      <c r="F708" s="0" t="n">
        <v>147515</v>
      </c>
      <c r="G708" s="0" t="s">
        <v>6958</v>
      </c>
      <c r="H708" s="0" t="s">
        <v>6959</v>
      </c>
      <c r="I708" s="0" t="s">
        <v>6960</v>
      </c>
      <c r="J708" s="0" t="s">
        <v>6961</v>
      </c>
      <c r="K708" s="0" t="s">
        <v>6962</v>
      </c>
      <c r="L708" s="0" t="n">
        <v>1394163</v>
      </c>
      <c r="M708" s="0" t="s">
        <v>6963</v>
      </c>
      <c r="N708" s="0" t="n">
        <v>1170848</v>
      </c>
      <c r="O708" s="9" t="n">
        <v>5006</v>
      </c>
      <c r="P708" s="0" t="s">
        <v>179</v>
      </c>
      <c r="Q708" s="0" t="s">
        <v>6964</v>
      </c>
      <c r="R708" s="0" t="s">
        <v>6965</v>
      </c>
      <c r="S708" s="0" t="s">
        <v>5981</v>
      </c>
      <c r="T708" s="0" t="s">
        <v>5492</v>
      </c>
      <c r="U708" s="9" t="n">
        <v>10</v>
      </c>
      <c r="V708" s="0" t="n">
        <v>16.1170926443665</v>
      </c>
      <c r="W708" s="0" t="n">
        <v>20250630</v>
      </c>
      <c r="X708" s="0" t="n">
        <v>0.322125402656753</v>
      </c>
      <c r="Y708" s="0" t="s">
        <v>6966</v>
      </c>
      <c r="Z708" s="0" t="s">
        <v>158</v>
      </c>
    </row>
    <row r="709" customFormat="false" ht="15" hidden="false" customHeight="false" outlineLevel="0" collapsed="false">
      <c r="A709" s="0" t="n">
        <v>706</v>
      </c>
      <c r="B709" s="9" t="n">
        <v>366584</v>
      </c>
      <c r="C709" s="0" t="n">
        <v>17443</v>
      </c>
      <c r="D709" s="0" t="n">
        <v>285374</v>
      </c>
      <c r="E709" s="0" t="s">
        <v>1500</v>
      </c>
      <c r="F709" s="0" t="n">
        <v>40125</v>
      </c>
      <c r="G709" s="0" t="s">
        <v>6967</v>
      </c>
      <c r="H709" s="0" t="s">
        <v>6968</v>
      </c>
      <c r="I709" s="0" t="s">
        <v>6969</v>
      </c>
      <c r="J709" s="0" t="s">
        <v>61</v>
      </c>
      <c r="K709" s="0" t="s">
        <v>6970</v>
      </c>
      <c r="L709" s="0" t="n">
        <v>203227</v>
      </c>
      <c r="M709" s="0" t="s">
        <v>6971</v>
      </c>
      <c r="N709" s="0" t="n">
        <v>201428</v>
      </c>
      <c r="O709" s="9" t="n">
        <v>22</v>
      </c>
      <c r="P709" s="0" t="s">
        <v>190</v>
      </c>
      <c r="Q709" s="0" t="s">
        <v>6972</v>
      </c>
      <c r="R709" s="0" t="s">
        <v>6973</v>
      </c>
      <c r="S709" s="0" t="s">
        <v>61</v>
      </c>
      <c r="T709" s="0" t="s">
        <v>6974</v>
      </c>
      <c r="U709" s="9" t="n">
        <v>0</v>
      </c>
      <c r="V709" s="0" t="n">
        <v>0</v>
      </c>
      <c r="W709" s="0" t="n">
        <v>20250630</v>
      </c>
      <c r="X709" s="0" t="n">
        <v>-0.301132819905539</v>
      </c>
      <c r="Y709" s="0" t="s">
        <v>6975</v>
      </c>
      <c r="Z709" s="0" t="s">
        <v>158</v>
      </c>
    </row>
    <row r="710" customFormat="false" ht="15" hidden="false" customHeight="false" outlineLevel="0" collapsed="false">
      <c r="A710" s="0" t="n">
        <v>707</v>
      </c>
      <c r="B710" s="9" t="n">
        <v>2059300</v>
      </c>
      <c r="C710" s="0" t="n">
        <v>17658</v>
      </c>
      <c r="D710" s="0" t="n">
        <v>1592193</v>
      </c>
      <c r="E710" s="0" t="s">
        <v>259</v>
      </c>
      <c r="F710" s="0" t="n">
        <v>238741</v>
      </c>
      <c r="G710" s="0" t="s">
        <v>6976</v>
      </c>
      <c r="H710" s="0" t="s">
        <v>6977</v>
      </c>
      <c r="I710" s="0" t="s">
        <v>6978</v>
      </c>
      <c r="J710" s="0" t="s">
        <v>6979</v>
      </c>
      <c r="K710" s="0" t="s">
        <v>6980</v>
      </c>
      <c r="L710" s="0" t="n">
        <v>1472870</v>
      </c>
      <c r="M710" s="0" t="s">
        <v>6981</v>
      </c>
      <c r="N710" s="0" t="n">
        <v>1263229</v>
      </c>
      <c r="O710" s="9" t="n">
        <v>10168</v>
      </c>
      <c r="P710" s="0" t="s">
        <v>202</v>
      </c>
      <c r="Q710" s="0" t="s">
        <v>6982</v>
      </c>
      <c r="R710" s="0" t="s">
        <v>6983</v>
      </c>
      <c r="S710" s="0" t="s">
        <v>6984</v>
      </c>
      <c r="T710" s="0" t="s">
        <v>6985</v>
      </c>
      <c r="U710" s="9" t="n">
        <v>0</v>
      </c>
      <c r="V710" s="0" t="n">
        <v>0</v>
      </c>
      <c r="W710" s="0" t="n">
        <v>20250630</v>
      </c>
      <c r="X710" s="0" t="n">
        <v>0.859257679559975</v>
      </c>
      <c r="Y710" s="0" t="s">
        <v>6130</v>
      </c>
      <c r="Z710" s="0" t="s">
        <v>60</v>
      </c>
    </row>
    <row r="711" customFormat="false" ht="15" hidden="false" customHeight="false" outlineLevel="0" collapsed="false">
      <c r="A711" s="0" t="n">
        <v>708</v>
      </c>
      <c r="B711" s="9" t="n">
        <v>2758302</v>
      </c>
      <c r="C711" s="0" t="n">
        <v>17741</v>
      </c>
      <c r="D711" s="0" t="n">
        <v>2253432</v>
      </c>
      <c r="E711" s="0" t="s">
        <v>1729</v>
      </c>
      <c r="F711" s="0" t="n">
        <v>250972</v>
      </c>
      <c r="G711" s="0" t="s">
        <v>6986</v>
      </c>
      <c r="H711" s="0" t="s">
        <v>6987</v>
      </c>
      <c r="I711" s="0" t="s">
        <v>6988</v>
      </c>
      <c r="J711" s="0" t="s">
        <v>6989</v>
      </c>
      <c r="K711" s="0" t="s">
        <v>6990</v>
      </c>
      <c r="L711" s="0" t="n">
        <v>2277439</v>
      </c>
      <c r="M711" s="0" t="s">
        <v>6991</v>
      </c>
      <c r="N711" s="0" t="n">
        <v>2016043</v>
      </c>
      <c r="O711" s="9" t="n">
        <v>14212</v>
      </c>
      <c r="P711" s="0" t="s">
        <v>215</v>
      </c>
      <c r="Q711" s="0" t="s">
        <v>6992</v>
      </c>
      <c r="R711" s="0" t="s">
        <v>6993</v>
      </c>
      <c r="S711" s="0" t="s">
        <v>2678</v>
      </c>
      <c r="T711" s="0" t="s">
        <v>6994</v>
      </c>
      <c r="U711" s="9" t="n">
        <v>0</v>
      </c>
      <c r="V711" s="0" t="n">
        <v>0</v>
      </c>
      <c r="W711" s="0" t="n">
        <v>20250630</v>
      </c>
      <c r="X711" s="0" t="n">
        <v>0.805862894688845</v>
      </c>
      <c r="Y711" s="0" t="s">
        <v>6995</v>
      </c>
      <c r="Z711" s="0" t="s">
        <v>60</v>
      </c>
    </row>
    <row r="712" customFormat="false" ht="15" hidden="false" customHeight="false" outlineLevel="0" collapsed="false">
      <c r="A712" s="0" t="n">
        <v>709</v>
      </c>
      <c r="B712" s="9" t="n">
        <v>1439697</v>
      </c>
      <c r="C712" s="0" t="n">
        <v>17743</v>
      </c>
      <c r="D712" s="0" t="n">
        <v>1017963</v>
      </c>
      <c r="E712" s="0" t="s">
        <v>208</v>
      </c>
      <c r="F712" s="0" t="n">
        <v>126615</v>
      </c>
      <c r="G712" s="0" t="s">
        <v>6996</v>
      </c>
      <c r="H712" s="0" t="s">
        <v>6997</v>
      </c>
      <c r="I712" s="0" t="s">
        <v>6998</v>
      </c>
      <c r="J712" s="0" t="s">
        <v>6999</v>
      </c>
      <c r="K712" s="0" t="s">
        <v>1561</v>
      </c>
      <c r="L712" s="0" t="n">
        <v>1153900</v>
      </c>
      <c r="M712" s="0" t="s">
        <v>7000</v>
      </c>
      <c r="N712" s="0" t="n">
        <v>1110982</v>
      </c>
      <c r="O712" s="9" t="n">
        <v>407</v>
      </c>
      <c r="P712" s="0" t="s">
        <v>227</v>
      </c>
      <c r="Q712" s="0" t="s">
        <v>7001</v>
      </c>
      <c r="R712" s="0" t="s">
        <v>7002</v>
      </c>
      <c r="S712" s="0" t="s">
        <v>7003</v>
      </c>
      <c r="T712" s="0" t="s">
        <v>7004</v>
      </c>
      <c r="U712" s="9" t="n">
        <v>0</v>
      </c>
      <c r="V712" s="0" t="n">
        <v>0</v>
      </c>
      <c r="W712" s="0" t="n">
        <v>20250630</v>
      </c>
      <c r="X712" s="0" t="n">
        <v>0.0674104441716298</v>
      </c>
      <c r="Y712" s="0" t="s">
        <v>7005</v>
      </c>
      <c r="Z712" s="0" t="s">
        <v>60</v>
      </c>
    </row>
    <row r="713" customFormat="false" ht="15" hidden="false" customHeight="false" outlineLevel="0" collapsed="false">
      <c r="A713" s="0" t="n">
        <v>710</v>
      </c>
      <c r="B713" s="9" t="n">
        <v>1447972</v>
      </c>
      <c r="C713" s="0" t="n">
        <v>17749</v>
      </c>
      <c r="D713" s="0" t="n">
        <v>1125192</v>
      </c>
      <c r="E713" s="0" t="s">
        <v>259</v>
      </c>
      <c r="F713" s="0" t="n">
        <v>203598</v>
      </c>
      <c r="G713" s="0" t="s">
        <v>7006</v>
      </c>
      <c r="H713" s="0" t="s">
        <v>7007</v>
      </c>
      <c r="I713" s="0" t="s">
        <v>7008</v>
      </c>
      <c r="J713" s="0" t="s">
        <v>7009</v>
      </c>
      <c r="K713" s="0" t="s">
        <v>7010</v>
      </c>
      <c r="L713" s="0" t="n">
        <v>837251</v>
      </c>
      <c r="M713" s="0" t="s">
        <v>7011</v>
      </c>
      <c r="N713" s="0" t="n">
        <v>759223</v>
      </c>
      <c r="O713" s="9" t="n">
        <v>1306</v>
      </c>
      <c r="P713" s="0" t="s">
        <v>253</v>
      </c>
      <c r="Q713" s="0" t="s">
        <v>7012</v>
      </c>
      <c r="R713" s="0" t="s">
        <v>7013</v>
      </c>
      <c r="S713" s="0" t="s">
        <v>988</v>
      </c>
      <c r="T713" s="0" t="s">
        <v>7014</v>
      </c>
      <c r="U713" s="9" t="n">
        <v>66</v>
      </c>
      <c r="V713" s="0" t="n">
        <v>0</v>
      </c>
      <c r="W713" s="0" t="n">
        <v>20250630</v>
      </c>
      <c r="X713" s="0" t="n">
        <v>0.885431471938352</v>
      </c>
      <c r="Y713" s="0" t="s">
        <v>5900</v>
      </c>
      <c r="Z713" s="0" t="s">
        <v>60</v>
      </c>
    </row>
    <row r="714" customFormat="false" ht="15" hidden="false" customHeight="false" outlineLevel="0" collapsed="false">
      <c r="A714" s="0" t="n">
        <v>711</v>
      </c>
      <c r="B714" s="9" t="n">
        <v>1763462</v>
      </c>
      <c r="C714" s="0" t="n">
        <v>17751</v>
      </c>
      <c r="D714" s="0" t="n">
        <v>1373195</v>
      </c>
      <c r="E714" s="0" t="s">
        <v>259</v>
      </c>
      <c r="F714" s="0" t="n">
        <v>175467</v>
      </c>
      <c r="G714" s="0" t="s">
        <v>7015</v>
      </c>
      <c r="H714" s="0" t="s">
        <v>7016</v>
      </c>
      <c r="I714" s="0" t="s">
        <v>7017</v>
      </c>
      <c r="J714" s="0" t="s">
        <v>7018</v>
      </c>
      <c r="K714" s="0" t="s">
        <v>3006</v>
      </c>
      <c r="L714" s="0" t="n">
        <v>1456858</v>
      </c>
      <c r="M714" s="0" t="s">
        <v>7019</v>
      </c>
      <c r="N714" s="0" t="n">
        <v>1232944</v>
      </c>
      <c r="O714" s="9" t="n">
        <v>2425</v>
      </c>
      <c r="P714" s="0" t="s">
        <v>266</v>
      </c>
      <c r="Q714" s="0" t="s">
        <v>7020</v>
      </c>
      <c r="R714" s="0" t="s">
        <v>7021</v>
      </c>
      <c r="S714" s="0" t="s">
        <v>7022</v>
      </c>
      <c r="T714" s="0" t="s">
        <v>7023</v>
      </c>
      <c r="U714" s="9" t="n">
        <v>0</v>
      </c>
      <c r="V714" s="0" t="n">
        <v>13.9221615094596</v>
      </c>
      <c r="W714" s="0" t="n">
        <v>20250630</v>
      </c>
      <c r="X714" s="0" t="n">
        <v>0.456345594479789</v>
      </c>
      <c r="Y714" s="0" t="s">
        <v>7024</v>
      </c>
      <c r="Z714" s="0" t="s">
        <v>60</v>
      </c>
    </row>
    <row r="715" customFormat="false" ht="15" hidden="false" customHeight="false" outlineLevel="0" collapsed="false">
      <c r="A715" s="0" t="n">
        <v>712</v>
      </c>
      <c r="B715" s="9" t="n">
        <v>1790373</v>
      </c>
      <c r="C715" s="0" t="n">
        <v>17897</v>
      </c>
      <c r="D715" s="0" t="n">
        <v>1352989</v>
      </c>
      <c r="E715" s="0" t="s">
        <v>208</v>
      </c>
      <c r="F715" s="0" t="n">
        <v>226000</v>
      </c>
      <c r="G715" s="0" t="s">
        <v>7025</v>
      </c>
      <c r="H715" s="0" t="s">
        <v>7026</v>
      </c>
      <c r="I715" s="0" t="s">
        <v>7027</v>
      </c>
      <c r="J715" s="0" t="s">
        <v>7028</v>
      </c>
      <c r="K715" s="0" t="s">
        <v>7029</v>
      </c>
      <c r="L715" s="0" t="n">
        <v>1493755</v>
      </c>
      <c r="M715" s="0" t="s">
        <v>7030</v>
      </c>
      <c r="N715" s="0" t="n">
        <v>1393686</v>
      </c>
      <c r="O715" s="9" t="n">
        <v>5391</v>
      </c>
      <c r="P715" s="0" t="s">
        <v>278</v>
      </c>
      <c r="Q715" s="0" t="s">
        <v>7031</v>
      </c>
      <c r="R715" s="0" t="s">
        <v>7032</v>
      </c>
      <c r="S715" s="0" t="s">
        <v>1604</v>
      </c>
      <c r="T715" s="0" t="s">
        <v>7033</v>
      </c>
      <c r="U715" s="9" t="n">
        <v>0</v>
      </c>
      <c r="V715" s="0" t="n">
        <v>17.6818933802263</v>
      </c>
      <c r="W715" s="0" t="n">
        <v>20250630</v>
      </c>
      <c r="X715" s="0" t="n">
        <v>0.973987306631968</v>
      </c>
      <c r="Y715" s="0" t="s">
        <v>7034</v>
      </c>
      <c r="Z715" s="0" t="s">
        <v>60</v>
      </c>
    </row>
    <row r="716" customFormat="false" ht="15" hidden="false" customHeight="false" outlineLevel="0" collapsed="false">
      <c r="A716" s="0" t="n">
        <v>713</v>
      </c>
      <c r="B716" s="9" t="n">
        <v>905293</v>
      </c>
      <c r="C716" s="0" t="n">
        <v>17951</v>
      </c>
      <c r="D716" s="0" t="n">
        <v>747263</v>
      </c>
      <c r="E716" s="0" t="s">
        <v>85</v>
      </c>
      <c r="F716" s="0" t="n">
        <v>70680</v>
      </c>
      <c r="G716" s="0" t="s">
        <v>7035</v>
      </c>
      <c r="H716" s="0" t="s">
        <v>7036</v>
      </c>
      <c r="I716" s="0" t="s">
        <v>7037</v>
      </c>
      <c r="J716" s="0" t="s">
        <v>7038</v>
      </c>
      <c r="K716" s="0" t="s">
        <v>7039</v>
      </c>
      <c r="L716" s="0" t="n">
        <v>694645</v>
      </c>
      <c r="M716" s="0" t="s">
        <v>7040</v>
      </c>
      <c r="N716" s="0" t="n">
        <v>636895</v>
      </c>
      <c r="O716" s="9" t="n">
        <v>150</v>
      </c>
      <c r="P716" s="0" t="s">
        <v>290</v>
      </c>
      <c r="Q716" s="0" t="s">
        <v>7041</v>
      </c>
      <c r="R716" s="0" t="s">
        <v>7042</v>
      </c>
      <c r="S716" s="0" t="s">
        <v>478</v>
      </c>
      <c r="T716" s="0" t="s">
        <v>7043</v>
      </c>
      <c r="U716" s="9" t="n">
        <v>0</v>
      </c>
      <c r="V716" s="0" t="n">
        <v>13.0942608216289</v>
      </c>
      <c r="W716" s="0" t="n">
        <v>20250630</v>
      </c>
      <c r="X716" s="0" t="n">
        <v>0.647365164184546</v>
      </c>
      <c r="Y716" s="0" t="s">
        <v>7044</v>
      </c>
      <c r="Z716" s="0" t="s">
        <v>158</v>
      </c>
    </row>
    <row r="717" customFormat="false" ht="15" hidden="false" customHeight="false" outlineLevel="0" collapsed="false">
      <c r="A717" s="0" t="n">
        <v>714</v>
      </c>
      <c r="B717" s="9" t="n">
        <v>1351508</v>
      </c>
      <c r="C717" s="0" t="n">
        <v>17960</v>
      </c>
      <c r="D717" s="0" t="n">
        <v>1099933</v>
      </c>
      <c r="E717" s="0" t="s">
        <v>1137</v>
      </c>
      <c r="F717" s="0" t="n">
        <v>119316</v>
      </c>
      <c r="G717" s="0" t="s">
        <v>7045</v>
      </c>
      <c r="H717" s="0" t="s">
        <v>7046</v>
      </c>
      <c r="I717" s="0" t="s">
        <v>7047</v>
      </c>
      <c r="J717" s="0" t="s">
        <v>7048</v>
      </c>
      <c r="K717" s="0" t="s">
        <v>7049</v>
      </c>
      <c r="L717" s="0" t="n">
        <v>1146687</v>
      </c>
      <c r="M717" s="0" t="s">
        <v>7050</v>
      </c>
      <c r="N717" s="0" t="n">
        <v>807602</v>
      </c>
      <c r="O717" s="9" t="n">
        <v>7677</v>
      </c>
      <c r="P717" s="0" t="s">
        <v>302</v>
      </c>
      <c r="Q717" s="0" t="s">
        <v>7051</v>
      </c>
      <c r="R717" s="0" t="s">
        <v>7052</v>
      </c>
      <c r="S717" s="0" t="s">
        <v>7053</v>
      </c>
      <c r="T717" s="0" t="s">
        <v>7054</v>
      </c>
      <c r="U717" s="9" t="n">
        <v>0</v>
      </c>
      <c r="V717" s="0" t="n">
        <v>13.7977129571644</v>
      </c>
      <c r="W717" s="0" t="n">
        <v>20250630</v>
      </c>
      <c r="X717" s="0" t="n">
        <v>0.262782180471353</v>
      </c>
      <c r="Y717" s="0" t="s">
        <v>7055</v>
      </c>
      <c r="Z717" s="0" t="s">
        <v>158</v>
      </c>
    </row>
    <row r="718" customFormat="false" ht="15" hidden="false" customHeight="false" outlineLevel="0" collapsed="false">
      <c r="A718" s="0" t="n">
        <v>715</v>
      </c>
      <c r="B718" s="9" t="n">
        <v>2642289</v>
      </c>
      <c r="C718" s="0" t="n">
        <v>18012</v>
      </c>
      <c r="D718" s="0" t="n">
        <v>2262357</v>
      </c>
      <c r="E718" s="0" t="s">
        <v>246</v>
      </c>
      <c r="F718" s="0" t="n">
        <v>301653</v>
      </c>
      <c r="G718" s="0" t="s">
        <v>7056</v>
      </c>
      <c r="H718" s="0" t="s">
        <v>7057</v>
      </c>
      <c r="I718" s="0" t="s">
        <v>7058</v>
      </c>
      <c r="J718" s="0" t="s">
        <v>7059</v>
      </c>
      <c r="K718" s="0" t="s">
        <v>7060</v>
      </c>
      <c r="L718" s="0" t="n">
        <v>2150865</v>
      </c>
      <c r="M718" s="0" t="s">
        <v>7061</v>
      </c>
      <c r="N718" s="0" t="n">
        <v>2050812</v>
      </c>
      <c r="O718" s="9" t="n">
        <v>1020</v>
      </c>
      <c r="P718" s="0" t="s">
        <v>312</v>
      </c>
      <c r="Q718" s="0" t="s">
        <v>7062</v>
      </c>
      <c r="R718" s="0" t="s">
        <v>7063</v>
      </c>
      <c r="S718" s="0" t="s">
        <v>7064</v>
      </c>
      <c r="T718" s="0" t="s">
        <v>7065</v>
      </c>
      <c r="U718" s="9" t="n">
        <v>0</v>
      </c>
      <c r="V718" s="0" t="n">
        <v>13.9483203193009</v>
      </c>
      <c r="W718" s="0" t="n">
        <v>20250630</v>
      </c>
      <c r="X718" s="0" t="n">
        <v>0.790802552231915</v>
      </c>
      <c r="Y718" s="0" t="s">
        <v>2024</v>
      </c>
      <c r="Z718" s="0" t="s">
        <v>158</v>
      </c>
    </row>
    <row r="719" customFormat="false" ht="15" hidden="false" customHeight="false" outlineLevel="0" collapsed="false">
      <c r="A719" s="0" t="n">
        <v>716</v>
      </c>
      <c r="B719" s="9" t="n">
        <v>2896306</v>
      </c>
      <c r="C719" s="0" t="n">
        <v>18013</v>
      </c>
      <c r="D719" s="0" t="n">
        <v>2573471</v>
      </c>
      <c r="E719" s="0" t="s">
        <v>271</v>
      </c>
      <c r="F719" s="0" t="n">
        <v>235044</v>
      </c>
      <c r="G719" s="0" t="s">
        <v>7066</v>
      </c>
      <c r="H719" s="0" t="s">
        <v>7067</v>
      </c>
      <c r="I719" s="0" t="s">
        <v>7068</v>
      </c>
      <c r="J719" s="0" t="s">
        <v>7069</v>
      </c>
      <c r="K719" s="0" t="s">
        <v>7070</v>
      </c>
      <c r="L719" s="0" t="n">
        <v>2423167</v>
      </c>
      <c r="M719" s="0" t="s">
        <v>7071</v>
      </c>
      <c r="N719" s="0" t="n">
        <v>2224117</v>
      </c>
      <c r="O719" s="9" t="n">
        <v>1401</v>
      </c>
      <c r="P719" s="0" t="s">
        <v>324</v>
      </c>
      <c r="Q719" s="0" t="s">
        <v>7072</v>
      </c>
      <c r="R719" s="0" t="s">
        <v>7073</v>
      </c>
      <c r="S719" s="0" t="s">
        <v>7074</v>
      </c>
      <c r="T719" s="0" t="s">
        <v>7075</v>
      </c>
      <c r="U719" s="9" t="n">
        <v>153</v>
      </c>
      <c r="V719" s="0" t="n">
        <v>12.6358689440193</v>
      </c>
      <c r="W719" s="0" t="n">
        <v>20250630</v>
      </c>
      <c r="X719" s="0" t="n">
        <v>0.336164972529288</v>
      </c>
      <c r="Y719" s="0" t="s">
        <v>7076</v>
      </c>
      <c r="Z719" s="0" t="s">
        <v>158</v>
      </c>
    </row>
    <row r="720" customFormat="false" ht="15" hidden="false" customHeight="false" outlineLevel="0" collapsed="false">
      <c r="A720" s="0" t="n">
        <v>717</v>
      </c>
      <c r="B720" s="9" t="n">
        <v>404550</v>
      </c>
      <c r="C720" s="0" t="n">
        <v>18028</v>
      </c>
      <c r="D720" s="0" t="n">
        <v>343782</v>
      </c>
      <c r="E720" s="0" t="s">
        <v>1687</v>
      </c>
      <c r="F720" s="0" t="n">
        <v>44056</v>
      </c>
      <c r="G720" s="0" t="s">
        <v>7077</v>
      </c>
      <c r="H720" s="0" t="s">
        <v>7078</v>
      </c>
      <c r="I720" s="0" t="s">
        <v>7079</v>
      </c>
      <c r="J720" s="0" t="s">
        <v>7080</v>
      </c>
      <c r="K720" s="0" t="s">
        <v>7081</v>
      </c>
      <c r="L720" s="0" t="n">
        <v>278902</v>
      </c>
      <c r="M720" s="0" t="s">
        <v>7082</v>
      </c>
      <c r="N720" s="0" t="n">
        <v>256176</v>
      </c>
      <c r="O720" s="9" t="n">
        <v>1323</v>
      </c>
      <c r="P720" s="0" t="s">
        <v>337</v>
      </c>
      <c r="Q720" s="0" t="s">
        <v>7083</v>
      </c>
      <c r="R720" s="0" t="s">
        <v>7084</v>
      </c>
      <c r="S720" s="0" t="s">
        <v>7085</v>
      </c>
      <c r="T720" s="0" t="s">
        <v>7086</v>
      </c>
      <c r="U720" s="9" t="n">
        <v>65</v>
      </c>
      <c r="V720" s="0" t="n">
        <v>0</v>
      </c>
      <c r="W720" s="0" t="n">
        <v>20250630</v>
      </c>
      <c r="X720" s="0" t="n">
        <v>0.514962579054543</v>
      </c>
      <c r="Y720" s="0" t="s">
        <v>194</v>
      </c>
      <c r="Z720" s="0" t="s">
        <v>158</v>
      </c>
    </row>
    <row r="721" customFormat="false" ht="15" hidden="false" customHeight="false" outlineLevel="0" collapsed="false">
      <c r="A721" s="0" t="n">
        <v>718</v>
      </c>
      <c r="B721" s="9" t="n">
        <v>805858</v>
      </c>
      <c r="C721" s="0" t="n">
        <v>18030</v>
      </c>
      <c r="D721" s="0" t="n">
        <v>738321</v>
      </c>
      <c r="E721" s="0" t="s">
        <v>259</v>
      </c>
      <c r="F721" s="0" t="n">
        <v>58470</v>
      </c>
      <c r="G721" s="0" t="s">
        <v>7087</v>
      </c>
      <c r="H721" s="0" t="s">
        <v>7088</v>
      </c>
      <c r="I721" s="0" t="s">
        <v>7089</v>
      </c>
      <c r="J721" s="0" t="s">
        <v>7090</v>
      </c>
      <c r="K721" s="0" t="s">
        <v>7091</v>
      </c>
      <c r="L721" s="0" t="n">
        <v>601715</v>
      </c>
      <c r="M721" s="0" t="s">
        <v>7092</v>
      </c>
      <c r="N721" s="0" t="n">
        <v>463695</v>
      </c>
      <c r="O721" s="9" t="n">
        <v>1404</v>
      </c>
      <c r="P721" s="0" t="s">
        <v>349</v>
      </c>
      <c r="Q721" s="0" t="s">
        <v>7093</v>
      </c>
      <c r="R721" s="0" t="s">
        <v>7094</v>
      </c>
      <c r="S721" s="0" t="s">
        <v>7003</v>
      </c>
      <c r="T721" s="0" t="s">
        <v>7095</v>
      </c>
      <c r="U721" s="9" t="n">
        <v>0</v>
      </c>
      <c r="V721" s="0" t="n">
        <v>14.1416681477336</v>
      </c>
      <c r="W721" s="0" t="n">
        <v>20250630</v>
      </c>
      <c r="X721" s="0" t="n">
        <v>0.71837995883469</v>
      </c>
      <c r="Y721" s="0" t="s">
        <v>7096</v>
      </c>
      <c r="Z721" s="0" t="s">
        <v>158</v>
      </c>
    </row>
    <row r="722" customFormat="false" ht="15" hidden="false" customHeight="false" outlineLevel="0" collapsed="false">
      <c r="A722" s="0" t="n">
        <v>719</v>
      </c>
      <c r="B722" s="9" t="n">
        <v>669249</v>
      </c>
      <c r="C722" s="0" t="n">
        <v>18031</v>
      </c>
      <c r="D722" s="0" t="n">
        <v>526372</v>
      </c>
      <c r="E722" s="0" t="s">
        <v>47</v>
      </c>
      <c r="F722" s="0" t="n">
        <v>40753</v>
      </c>
      <c r="G722" s="0" t="s">
        <v>7097</v>
      </c>
      <c r="H722" s="0" t="s">
        <v>7098</v>
      </c>
      <c r="I722" s="0" t="s">
        <v>7099</v>
      </c>
      <c r="J722" s="0" t="s">
        <v>7100</v>
      </c>
      <c r="K722" s="0" t="s">
        <v>7101</v>
      </c>
      <c r="L722" s="0" t="n">
        <v>452465</v>
      </c>
      <c r="M722" s="0" t="s">
        <v>7102</v>
      </c>
      <c r="N722" s="0" t="n">
        <v>416232</v>
      </c>
      <c r="O722" s="9" t="n">
        <v>562</v>
      </c>
      <c r="P722" s="0" t="s">
        <v>361</v>
      </c>
      <c r="Q722" s="0" t="s">
        <v>7103</v>
      </c>
      <c r="R722" s="0" t="s">
        <v>7104</v>
      </c>
      <c r="S722" s="0" t="s">
        <v>1977</v>
      </c>
      <c r="T722" s="0" t="s">
        <v>7105</v>
      </c>
      <c r="U722" s="9" t="n">
        <v>4</v>
      </c>
      <c r="V722" s="0" t="n">
        <v>16.9548375809498</v>
      </c>
      <c r="W722" s="0" t="n">
        <v>20250630</v>
      </c>
      <c r="X722" s="0" t="n">
        <v>0.193008984250507</v>
      </c>
      <c r="Y722" s="0" t="s">
        <v>7106</v>
      </c>
      <c r="Z722" s="0" t="s">
        <v>158</v>
      </c>
    </row>
    <row r="723" customFormat="false" ht="15" hidden="false" customHeight="false" outlineLevel="0" collapsed="false">
      <c r="A723" s="0" t="n">
        <v>720</v>
      </c>
      <c r="B723" s="9" t="n">
        <v>597834</v>
      </c>
      <c r="C723" s="0" t="n">
        <v>18038</v>
      </c>
      <c r="D723" s="0" t="n">
        <v>447963</v>
      </c>
      <c r="E723" s="0" t="s">
        <v>61</v>
      </c>
      <c r="F723" s="0" t="n">
        <v>69475</v>
      </c>
      <c r="G723" s="0" t="s">
        <v>7107</v>
      </c>
      <c r="H723" s="0" t="s">
        <v>7108</v>
      </c>
      <c r="I723" s="0" t="s">
        <v>7109</v>
      </c>
      <c r="J723" s="0" t="s">
        <v>7110</v>
      </c>
      <c r="K723" s="0" t="s">
        <v>7111</v>
      </c>
      <c r="L723" s="0" t="n">
        <v>458530</v>
      </c>
      <c r="M723" s="0" t="s">
        <v>7112</v>
      </c>
      <c r="N723" s="0" t="n">
        <v>420497</v>
      </c>
      <c r="O723" s="9" t="n">
        <v>2194</v>
      </c>
      <c r="P723" s="0" t="s">
        <v>372</v>
      </c>
      <c r="Q723" s="0" t="s">
        <v>7113</v>
      </c>
      <c r="R723" s="0" t="s">
        <v>7114</v>
      </c>
      <c r="S723" s="0" t="s">
        <v>7115</v>
      </c>
      <c r="T723" s="0" t="s">
        <v>7116</v>
      </c>
      <c r="U723" s="9" t="n">
        <v>0</v>
      </c>
      <c r="V723" s="0" t="n">
        <v>0</v>
      </c>
      <c r="W723" s="0" t="n">
        <v>20250630</v>
      </c>
      <c r="X723" s="0" t="n">
        <v>0.425956323893033</v>
      </c>
      <c r="Y723" s="0" t="s">
        <v>6193</v>
      </c>
      <c r="Z723" s="0" t="s">
        <v>158</v>
      </c>
    </row>
    <row r="724" customFormat="false" ht="15" hidden="false" customHeight="false" outlineLevel="0" collapsed="false">
      <c r="A724" s="0" t="n">
        <v>721</v>
      </c>
      <c r="B724" s="9" t="n">
        <v>7335916</v>
      </c>
      <c r="C724" s="0" t="n">
        <v>18408</v>
      </c>
      <c r="D724" s="0" t="n">
        <v>5915806</v>
      </c>
      <c r="E724" s="0" t="s">
        <v>2413</v>
      </c>
      <c r="F724" s="0" t="n">
        <v>467639</v>
      </c>
      <c r="G724" s="0" t="s">
        <v>7117</v>
      </c>
      <c r="H724" s="0" t="s">
        <v>7118</v>
      </c>
      <c r="I724" s="0" t="s">
        <v>7119</v>
      </c>
      <c r="J724" s="0" t="s">
        <v>7120</v>
      </c>
      <c r="K724" s="0" t="s">
        <v>7121</v>
      </c>
      <c r="L724" s="0" t="n">
        <v>5070574</v>
      </c>
      <c r="M724" s="0" t="s">
        <v>7122</v>
      </c>
      <c r="N724" s="0" t="n">
        <v>4566132</v>
      </c>
      <c r="O724" s="9" t="n">
        <v>33535</v>
      </c>
      <c r="P724" s="0" t="s">
        <v>384</v>
      </c>
      <c r="Q724" s="0" t="s">
        <v>7123</v>
      </c>
      <c r="R724" s="0" t="s">
        <v>7124</v>
      </c>
      <c r="S724" s="0" t="s">
        <v>1238</v>
      </c>
      <c r="T724" s="0" t="s">
        <v>7125</v>
      </c>
      <c r="U724" s="9" t="n">
        <v>0</v>
      </c>
      <c r="V724" s="0" t="n">
        <v>11.148900251832</v>
      </c>
      <c r="W724" s="0" t="n">
        <v>20250630</v>
      </c>
      <c r="X724" s="0" t="n">
        <v>0.106277541750663</v>
      </c>
      <c r="Y724" s="0" t="s">
        <v>5234</v>
      </c>
      <c r="Z724" s="0" t="s">
        <v>60</v>
      </c>
    </row>
    <row r="725" customFormat="false" ht="15" hidden="false" customHeight="false" outlineLevel="0" collapsed="false">
      <c r="A725" s="0" t="n">
        <v>722</v>
      </c>
      <c r="B725" s="9" t="n">
        <v>2611219</v>
      </c>
      <c r="C725" s="0" t="n">
        <v>19531</v>
      </c>
      <c r="D725" s="0" t="n">
        <v>2294497</v>
      </c>
      <c r="E725" s="0" t="s">
        <v>61</v>
      </c>
      <c r="F725" s="0" t="n">
        <v>275708</v>
      </c>
      <c r="G725" s="0" t="s">
        <v>7126</v>
      </c>
      <c r="H725" s="0" t="s">
        <v>7127</v>
      </c>
      <c r="I725" s="0" t="s">
        <v>7128</v>
      </c>
      <c r="J725" s="0" t="s">
        <v>7129</v>
      </c>
      <c r="K725" s="0" t="s">
        <v>2080</v>
      </c>
      <c r="L725" s="0" t="n">
        <v>2215644</v>
      </c>
      <c r="M725" s="0" t="s">
        <v>7130</v>
      </c>
      <c r="N725" s="0" t="n">
        <v>1826881</v>
      </c>
      <c r="O725" s="9" t="n">
        <v>9735</v>
      </c>
      <c r="P725" s="0" t="s">
        <v>397</v>
      </c>
      <c r="Q725" s="0" t="s">
        <v>7131</v>
      </c>
      <c r="R725" s="0" t="s">
        <v>7132</v>
      </c>
      <c r="S725" s="0" t="s">
        <v>7133</v>
      </c>
      <c r="T725" s="0" t="s">
        <v>7134</v>
      </c>
      <c r="U725" s="9" t="n">
        <v>5</v>
      </c>
      <c r="V725" s="0" t="n">
        <v>14.1532975883845</v>
      </c>
      <c r="W725" s="0" t="n">
        <v>20250630</v>
      </c>
      <c r="X725" s="0" t="n">
        <v>0.844947020319184</v>
      </c>
      <c r="Y725" s="0" t="s">
        <v>7135</v>
      </c>
      <c r="Z725" s="0" t="s">
        <v>60</v>
      </c>
    </row>
    <row r="726" customFormat="false" ht="15" hidden="false" customHeight="false" outlineLevel="0" collapsed="false">
      <c r="A726" s="0" t="n">
        <v>723</v>
      </c>
      <c r="B726" s="9" t="n">
        <v>843145</v>
      </c>
      <c r="C726" s="0" t="n">
        <v>19532</v>
      </c>
      <c r="D726" s="0" t="n">
        <v>706708</v>
      </c>
      <c r="E726" s="0" t="s">
        <v>794</v>
      </c>
      <c r="F726" s="0" t="n">
        <v>110106</v>
      </c>
      <c r="G726" s="0" t="s">
        <v>7136</v>
      </c>
      <c r="H726" s="0" t="s">
        <v>7137</v>
      </c>
      <c r="I726" s="0" t="s">
        <v>7138</v>
      </c>
      <c r="J726" s="0" t="s">
        <v>7139</v>
      </c>
      <c r="K726" s="0" t="s">
        <v>7140</v>
      </c>
      <c r="L726" s="0" t="n">
        <v>617669</v>
      </c>
      <c r="M726" s="0" t="s">
        <v>7141</v>
      </c>
      <c r="N726" s="0" t="n">
        <v>511357</v>
      </c>
      <c r="O726" s="9" t="n">
        <v>1705</v>
      </c>
      <c r="P726" s="0" t="s">
        <v>409</v>
      </c>
      <c r="Q726" s="0" t="s">
        <v>7142</v>
      </c>
      <c r="R726" s="0" t="s">
        <v>7143</v>
      </c>
      <c r="S726" s="0" t="s">
        <v>1556</v>
      </c>
      <c r="T726" s="0" t="s">
        <v>7144</v>
      </c>
      <c r="U726" s="9" t="n">
        <v>189</v>
      </c>
      <c r="V726" s="0" t="n">
        <v>21.8705548239072</v>
      </c>
      <c r="W726" s="0" t="n">
        <v>20250630</v>
      </c>
      <c r="X726" s="0" t="n">
        <v>0.98381360720577</v>
      </c>
      <c r="Y726" s="0" t="s">
        <v>7145</v>
      </c>
      <c r="Z726" s="0" t="s">
        <v>60</v>
      </c>
    </row>
    <row r="727" customFormat="false" ht="15" hidden="false" customHeight="false" outlineLevel="0" collapsed="false">
      <c r="A727" s="0" t="n">
        <v>724</v>
      </c>
      <c r="B727" s="9" t="n">
        <v>4279069</v>
      </c>
      <c r="C727" s="0" t="n">
        <v>19690</v>
      </c>
      <c r="D727" s="0" t="n">
        <v>3405883</v>
      </c>
      <c r="E727" s="0" t="s">
        <v>513</v>
      </c>
      <c r="F727" s="0" t="n">
        <v>494286</v>
      </c>
      <c r="G727" s="0" t="s">
        <v>7146</v>
      </c>
      <c r="H727" s="0" t="s">
        <v>7147</v>
      </c>
      <c r="I727" s="0" t="s">
        <v>7148</v>
      </c>
      <c r="J727" s="0" t="s">
        <v>7149</v>
      </c>
      <c r="K727" s="0" t="s">
        <v>7150</v>
      </c>
      <c r="L727" s="0" t="n">
        <v>3790157</v>
      </c>
      <c r="M727" s="0" t="s">
        <v>7151</v>
      </c>
      <c r="N727" s="0" t="n">
        <v>2852951</v>
      </c>
      <c r="O727" s="9" t="n">
        <v>35011</v>
      </c>
      <c r="P727" s="0" t="s">
        <v>420</v>
      </c>
      <c r="Q727" s="0" t="s">
        <v>7152</v>
      </c>
      <c r="R727" s="0" t="s">
        <v>7153</v>
      </c>
      <c r="S727" s="0" t="s">
        <v>7154</v>
      </c>
      <c r="T727" s="0" t="s">
        <v>7155</v>
      </c>
      <c r="U727" s="9" t="n">
        <v>0</v>
      </c>
      <c r="V727" s="0" t="n">
        <v>14.6965811023661</v>
      </c>
      <c r="W727" s="0" t="n">
        <v>20250630</v>
      </c>
      <c r="X727" s="0" t="n">
        <v>2.09184214445272</v>
      </c>
      <c r="Y727" s="0" t="s">
        <v>7156</v>
      </c>
      <c r="Z727" s="0" t="s">
        <v>60</v>
      </c>
    </row>
    <row r="728" customFormat="false" ht="15" hidden="false" customHeight="false" outlineLevel="0" collapsed="false">
      <c r="A728" s="0" t="n">
        <v>725</v>
      </c>
      <c r="B728" s="9" t="n">
        <v>755186</v>
      </c>
      <c r="C728" s="0" t="n">
        <v>19836</v>
      </c>
      <c r="D728" s="0" t="n">
        <v>587526</v>
      </c>
      <c r="E728" s="0" t="s">
        <v>208</v>
      </c>
      <c r="F728" s="0" t="n">
        <v>130465</v>
      </c>
      <c r="G728" s="0" t="s">
        <v>7157</v>
      </c>
      <c r="H728" s="0" t="s">
        <v>7158</v>
      </c>
      <c r="I728" s="0" t="s">
        <v>7159</v>
      </c>
      <c r="J728" s="0" t="s">
        <v>7160</v>
      </c>
      <c r="K728" s="0" t="s">
        <v>7161</v>
      </c>
      <c r="L728" s="0" t="n">
        <v>643156</v>
      </c>
      <c r="M728" s="0" t="s">
        <v>7162</v>
      </c>
      <c r="N728" s="0" t="n">
        <v>587491</v>
      </c>
      <c r="O728" s="9" t="n">
        <v>8281</v>
      </c>
      <c r="P728" s="0" t="s">
        <v>290</v>
      </c>
      <c r="Q728" s="0" t="s">
        <v>7163</v>
      </c>
      <c r="R728" s="0" t="s">
        <v>7164</v>
      </c>
      <c r="S728" s="0" t="s">
        <v>856</v>
      </c>
      <c r="T728" s="0" t="s">
        <v>7165</v>
      </c>
      <c r="U728" s="9" t="n">
        <v>141</v>
      </c>
      <c r="V728" s="0" t="n">
        <v>23.0548516374529</v>
      </c>
      <c r="W728" s="0" t="n">
        <v>20250630</v>
      </c>
      <c r="X728" s="0" t="n">
        <v>0.839541245838753</v>
      </c>
      <c r="Y728" s="0" t="s">
        <v>7166</v>
      </c>
      <c r="Z728" s="0" t="s">
        <v>60</v>
      </c>
    </row>
    <row r="729" customFormat="false" ht="15" hidden="false" customHeight="false" outlineLevel="0" collapsed="false">
      <c r="A729" s="0" t="n">
        <v>726</v>
      </c>
      <c r="B729" s="9" t="n">
        <v>1748522</v>
      </c>
      <c r="C729" s="0" t="n">
        <v>24540</v>
      </c>
      <c r="D729" s="0" t="n">
        <v>1440031</v>
      </c>
      <c r="E729" s="0" t="s">
        <v>1708</v>
      </c>
      <c r="F729" s="0" t="n">
        <v>282051</v>
      </c>
      <c r="G729" s="0" t="s">
        <v>7167</v>
      </c>
      <c r="H729" s="0" t="s">
        <v>7168</v>
      </c>
      <c r="I729" s="0" t="s">
        <v>7169</v>
      </c>
      <c r="J729" s="0" t="s">
        <v>7170</v>
      </c>
      <c r="K729" s="0" t="s">
        <v>1175</v>
      </c>
      <c r="L729" s="0" t="n">
        <v>1549557</v>
      </c>
      <c r="M729" s="0" t="s">
        <v>7171</v>
      </c>
      <c r="N729" s="0" t="n">
        <v>1506054</v>
      </c>
      <c r="O729" s="9" t="n">
        <v>11424</v>
      </c>
      <c r="P729" s="0" t="s">
        <v>443</v>
      </c>
      <c r="Q729" s="0" t="s">
        <v>7172</v>
      </c>
      <c r="R729" s="0" t="s">
        <v>7173</v>
      </c>
      <c r="S729" s="0" t="s">
        <v>61</v>
      </c>
      <c r="T729" s="0" t="s">
        <v>61</v>
      </c>
      <c r="U729" s="9" t="n">
        <v>0</v>
      </c>
      <c r="V729" s="0" t="n">
        <v>0</v>
      </c>
      <c r="W729" s="0" t="n">
        <v>20250630</v>
      </c>
      <c r="X729" s="0" t="n">
        <v>2.05176886595267</v>
      </c>
      <c r="Y729" s="0" t="s">
        <v>5853</v>
      </c>
      <c r="Z729" s="0" t="s">
        <v>158</v>
      </c>
    </row>
    <row r="730" customFormat="false" ht="15" hidden="false" customHeight="false" outlineLevel="0" collapsed="false">
      <c r="A730" s="0" t="n">
        <v>727</v>
      </c>
      <c r="B730" s="9" t="n">
        <v>571650</v>
      </c>
      <c r="C730" s="0" t="n">
        <v>27824</v>
      </c>
      <c r="D730" s="0" t="n">
        <v>388196</v>
      </c>
      <c r="E730" s="0" t="s">
        <v>172</v>
      </c>
      <c r="F730" s="0" t="n">
        <v>62136</v>
      </c>
      <c r="G730" s="0" t="s">
        <v>7174</v>
      </c>
      <c r="H730" s="0" t="s">
        <v>7175</v>
      </c>
      <c r="I730" s="0" t="s">
        <v>7176</v>
      </c>
      <c r="J730" s="0" t="s">
        <v>7177</v>
      </c>
      <c r="K730" s="0" t="s">
        <v>7178</v>
      </c>
      <c r="L730" s="0" t="n">
        <v>471430</v>
      </c>
      <c r="M730" s="0" t="s">
        <v>7179</v>
      </c>
      <c r="N730" s="0" t="n">
        <v>421364</v>
      </c>
      <c r="O730" s="9" t="n">
        <v>2044</v>
      </c>
      <c r="P730" s="0" t="s">
        <v>453</v>
      </c>
      <c r="Q730" s="0" t="s">
        <v>7180</v>
      </c>
      <c r="R730" s="0" t="s">
        <v>7181</v>
      </c>
      <c r="S730" s="0" t="s">
        <v>7182</v>
      </c>
      <c r="T730" s="0" t="s">
        <v>7183</v>
      </c>
      <c r="U730" s="9" t="n">
        <v>0</v>
      </c>
      <c r="V730" s="0" t="n">
        <v>18.9590144003458</v>
      </c>
      <c r="W730" s="0" t="n">
        <v>20250630</v>
      </c>
      <c r="X730" s="0" t="n">
        <v>-0.305904588568829</v>
      </c>
      <c r="Y730" s="0" t="s">
        <v>7184</v>
      </c>
      <c r="Z730" s="0" t="s">
        <v>158</v>
      </c>
    </row>
    <row r="731" customFormat="false" ht="15" hidden="false" customHeight="false" outlineLevel="0" collapsed="false">
      <c r="A731" s="0" t="n">
        <v>728</v>
      </c>
      <c r="B731" s="9" t="n">
        <v>317001</v>
      </c>
      <c r="C731" s="0" t="n">
        <v>28155</v>
      </c>
      <c r="D731" s="0" t="n">
        <v>287929</v>
      </c>
      <c r="E731" s="0" t="s">
        <v>61</v>
      </c>
      <c r="F731" s="0" t="n">
        <v>27470</v>
      </c>
      <c r="G731" s="0" t="s">
        <v>7185</v>
      </c>
      <c r="H731" s="0" t="s">
        <v>7186</v>
      </c>
      <c r="I731" s="0" t="s">
        <v>7187</v>
      </c>
      <c r="J731" s="0" t="s">
        <v>7033</v>
      </c>
      <c r="K731" s="0" t="s">
        <v>7188</v>
      </c>
      <c r="L731" s="0" t="n">
        <v>180807</v>
      </c>
      <c r="M731" s="0" t="s">
        <v>7189</v>
      </c>
      <c r="N731" s="0" t="n">
        <v>165552</v>
      </c>
      <c r="O731" s="9" t="n">
        <v>0</v>
      </c>
      <c r="P731" s="0" t="s">
        <v>464</v>
      </c>
      <c r="Q731" s="0" t="s">
        <v>61</v>
      </c>
      <c r="R731" s="0" t="s">
        <v>7190</v>
      </c>
      <c r="S731" s="0" t="s">
        <v>340</v>
      </c>
      <c r="T731" s="0" t="s">
        <v>7191</v>
      </c>
      <c r="U731" s="9" t="n">
        <v>0</v>
      </c>
      <c r="V731" s="0" t="n">
        <v>17.1811647071488</v>
      </c>
      <c r="W731" s="0" t="n">
        <v>20250630</v>
      </c>
      <c r="X731" s="0" t="n">
        <v>-0.0309202389410805</v>
      </c>
      <c r="Y731" s="0" t="s">
        <v>7192</v>
      </c>
      <c r="Z731" s="0" t="s">
        <v>158</v>
      </c>
    </row>
    <row r="732" customFormat="false" ht="15" hidden="false" customHeight="false" outlineLevel="0" collapsed="false">
      <c r="A732" s="0" t="n">
        <v>729</v>
      </c>
      <c r="B732" s="9" t="n">
        <v>102731</v>
      </c>
      <c r="C732" s="0" t="n">
        <v>28288</v>
      </c>
      <c r="D732" s="0" t="n">
        <v>76453</v>
      </c>
      <c r="E732" s="0" t="s">
        <v>61</v>
      </c>
      <c r="F732" s="0" t="n">
        <v>6269</v>
      </c>
      <c r="G732" s="0" t="s">
        <v>7193</v>
      </c>
      <c r="H732" s="0" t="s">
        <v>7194</v>
      </c>
      <c r="I732" s="0" t="s">
        <v>7195</v>
      </c>
      <c r="J732" s="0" t="s">
        <v>7196</v>
      </c>
      <c r="K732" s="0" t="s">
        <v>7197</v>
      </c>
      <c r="L732" s="0" t="n">
        <v>82436</v>
      </c>
      <c r="M732" s="0" t="s">
        <v>7198</v>
      </c>
      <c r="N732" s="0" t="n">
        <v>74872</v>
      </c>
      <c r="O732" s="9" t="n">
        <v>99</v>
      </c>
      <c r="P732" s="0" t="s">
        <v>475</v>
      </c>
      <c r="Q732" s="0" t="s">
        <v>7199</v>
      </c>
      <c r="R732" s="0" t="s">
        <v>7200</v>
      </c>
      <c r="S732" s="0" t="s">
        <v>256</v>
      </c>
      <c r="T732" s="0" t="s">
        <v>4814</v>
      </c>
      <c r="U732" s="9" t="n">
        <v>0</v>
      </c>
      <c r="V732" s="0" t="n">
        <v>13.1832466884013</v>
      </c>
      <c r="W732" s="0" t="n">
        <v>20250630</v>
      </c>
      <c r="X732" s="0" t="n">
        <v>0.2469079353467</v>
      </c>
      <c r="Y732" s="0" t="s">
        <v>7201</v>
      </c>
      <c r="Z732" s="0" t="s">
        <v>60</v>
      </c>
    </row>
    <row r="733" customFormat="false" ht="15" hidden="false" customHeight="false" outlineLevel="0" collapsed="false">
      <c r="A733" s="0" t="n">
        <v>730</v>
      </c>
      <c r="B733" s="9" t="n">
        <v>93177</v>
      </c>
      <c r="C733" s="0" t="n">
        <v>28369</v>
      </c>
      <c r="D733" s="0" t="n">
        <v>73160</v>
      </c>
      <c r="E733" s="0" t="s">
        <v>4117</v>
      </c>
      <c r="F733" s="0" t="n">
        <v>9091</v>
      </c>
      <c r="G733" s="0" t="s">
        <v>7202</v>
      </c>
      <c r="H733" s="0" t="s">
        <v>7203</v>
      </c>
      <c r="I733" s="0" t="s">
        <v>7204</v>
      </c>
      <c r="J733" s="0" t="s">
        <v>7205</v>
      </c>
      <c r="K733" s="0" t="s">
        <v>1164</v>
      </c>
      <c r="L733" s="0" t="n">
        <v>79992</v>
      </c>
      <c r="M733" s="0" t="s">
        <v>7206</v>
      </c>
      <c r="N733" s="0" t="n">
        <v>66764</v>
      </c>
      <c r="O733" s="9" t="n">
        <v>86</v>
      </c>
      <c r="P733" s="0" t="s">
        <v>486</v>
      </c>
      <c r="Q733" s="0" t="s">
        <v>7207</v>
      </c>
      <c r="R733" s="0" t="s">
        <v>7208</v>
      </c>
      <c r="S733" s="0" t="s">
        <v>7209</v>
      </c>
      <c r="T733" s="0" t="s">
        <v>3681</v>
      </c>
      <c r="U733" s="9" t="n">
        <v>0</v>
      </c>
      <c r="V733" s="0" t="n">
        <v>14.1380843593321</v>
      </c>
      <c r="W733" s="0" t="n">
        <v>20250630</v>
      </c>
      <c r="X733" s="0" t="n">
        <v>0.102707117103945</v>
      </c>
      <c r="Y733" s="0" t="s">
        <v>7210</v>
      </c>
      <c r="Z733" s="0" t="s">
        <v>60</v>
      </c>
    </row>
    <row r="734" customFormat="false" ht="15" hidden="false" customHeight="false" outlineLevel="0" collapsed="false">
      <c r="A734" s="0" t="n">
        <v>731</v>
      </c>
      <c r="B734" s="9" t="n">
        <v>279103</v>
      </c>
      <c r="C734" s="0" t="n">
        <v>28837</v>
      </c>
      <c r="D734" s="0" t="n">
        <v>248250</v>
      </c>
      <c r="E734" s="0" t="s">
        <v>1729</v>
      </c>
      <c r="F734" s="0" t="n">
        <v>28295</v>
      </c>
      <c r="G734" s="0" t="s">
        <v>7211</v>
      </c>
      <c r="H734" s="0" t="s">
        <v>7212</v>
      </c>
      <c r="I734" s="0" t="s">
        <v>7213</v>
      </c>
      <c r="J734" s="0" t="s">
        <v>7214</v>
      </c>
      <c r="K734" s="0" t="s">
        <v>7215</v>
      </c>
      <c r="L734" s="0" t="n">
        <v>208887</v>
      </c>
      <c r="M734" s="0" t="s">
        <v>7216</v>
      </c>
      <c r="N734" s="0" t="n">
        <v>199905</v>
      </c>
      <c r="O734" s="9" t="n">
        <v>253</v>
      </c>
      <c r="P734" s="0" t="s">
        <v>497</v>
      </c>
      <c r="Q734" s="0" t="s">
        <v>7217</v>
      </c>
      <c r="R734" s="0" t="s">
        <v>7218</v>
      </c>
      <c r="S734" s="0" t="s">
        <v>478</v>
      </c>
      <c r="T734" s="0" t="s">
        <v>7219</v>
      </c>
      <c r="U734" s="9" t="n">
        <v>71</v>
      </c>
      <c r="V734" s="0" t="n">
        <v>17.9895121488231</v>
      </c>
      <c r="W734" s="0" t="n">
        <v>20250630</v>
      </c>
      <c r="X734" s="0" t="n">
        <v>-0.326447120470196</v>
      </c>
      <c r="Y734" s="0" t="s">
        <v>7220</v>
      </c>
      <c r="Z734" s="0" t="s">
        <v>98</v>
      </c>
    </row>
    <row r="735" customFormat="false" ht="15" hidden="false" customHeight="false" outlineLevel="0" collapsed="false">
      <c r="A735" s="0" t="n">
        <v>732</v>
      </c>
      <c r="B735" s="9" t="n">
        <v>185573</v>
      </c>
      <c r="C735" s="0" t="n">
        <v>29636</v>
      </c>
      <c r="D735" s="0" t="n">
        <v>139676</v>
      </c>
      <c r="E735" s="0" t="s">
        <v>61</v>
      </c>
      <c r="F735" s="0" t="n">
        <v>27646</v>
      </c>
      <c r="G735" s="0" t="s">
        <v>7221</v>
      </c>
      <c r="H735" s="0" t="s">
        <v>7222</v>
      </c>
      <c r="I735" s="0" t="s">
        <v>7223</v>
      </c>
      <c r="J735" s="0" t="s">
        <v>7224</v>
      </c>
      <c r="K735" s="0" t="s">
        <v>7225</v>
      </c>
      <c r="L735" s="0" t="n">
        <v>146916</v>
      </c>
      <c r="M735" s="0" t="s">
        <v>7226</v>
      </c>
      <c r="N735" s="0" t="n">
        <v>143630</v>
      </c>
      <c r="O735" s="9" t="n">
        <v>3102</v>
      </c>
      <c r="P735" s="0" t="s">
        <v>509</v>
      </c>
      <c r="Q735" s="0" t="s">
        <v>7227</v>
      </c>
      <c r="R735" s="0" t="s">
        <v>7228</v>
      </c>
      <c r="S735" s="0" t="s">
        <v>1499</v>
      </c>
      <c r="T735" s="0" t="s">
        <v>7229</v>
      </c>
      <c r="U735" s="9" t="n">
        <v>0</v>
      </c>
      <c r="V735" s="0" t="n">
        <v>27.1672138701688</v>
      </c>
      <c r="W735" s="0" t="n">
        <v>20250630</v>
      </c>
      <c r="X735" s="0" t="n">
        <v>0.234619113348782</v>
      </c>
      <c r="Y735" s="0" t="s">
        <v>7230</v>
      </c>
      <c r="Z735" s="0" t="s">
        <v>60</v>
      </c>
    </row>
    <row r="736" customFormat="false" ht="15" hidden="false" customHeight="false" outlineLevel="0" collapsed="false">
      <c r="A736" s="0" t="n">
        <v>733</v>
      </c>
      <c r="B736" s="9" t="n">
        <v>200783</v>
      </c>
      <c r="C736" s="0" t="n">
        <v>29743</v>
      </c>
      <c r="D736" s="0" t="n">
        <v>176912</v>
      </c>
      <c r="E736" s="0" t="s">
        <v>246</v>
      </c>
      <c r="F736" s="0" t="n">
        <v>19214</v>
      </c>
      <c r="G736" s="0" t="s">
        <v>7231</v>
      </c>
      <c r="H736" s="0" t="s">
        <v>7232</v>
      </c>
      <c r="I736" s="0" t="s">
        <v>7233</v>
      </c>
      <c r="J736" s="0" t="s">
        <v>7234</v>
      </c>
      <c r="K736" s="0" t="s">
        <v>7235</v>
      </c>
      <c r="L736" s="0" t="n">
        <v>140338</v>
      </c>
      <c r="M736" s="0" t="s">
        <v>7236</v>
      </c>
      <c r="N736" s="0" t="n">
        <v>89612</v>
      </c>
      <c r="O736" s="9" t="n">
        <v>662</v>
      </c>
      <c r="P736" s="0" t="s">
        <v>520</v>
      </c>
      <c r="Q736" s="0" t="s">
        <v>7237</v>
      </c>
      <c r="R736" s="0" t="s">
        <v>7238</v>
      </c>
      <c r="S736" s="0" t="s">
        <v>182</v>
      </c>
      <c r="T736" s="0" t="s">
        <v>7239</v>
      </c>
      <c r="U736" s="9" t="n">
        <v>0</v>
      </c>
      <c r="V736" s="0" t="n">
        <v>18.1286751690254</v>
      </c>
      <c r="W736" s="0" t="n">
        <v>20250630</v>
      </c>
      <c r="X736" s="0" t="n">
        <v>0.538521901715605</v>
      </c>
      <c r="Y736" s="0" t="s">
        <v>7240</v>
      </c>
      <c r="Z736" s="0" t="s">
        <v>60</v>
      </c>
    </row>
    <row r="737" customFormat="false" ht="15" hidden="false" customHeight="false" outlineLevel="0" collapsed="false">
      <c r="A737" s="0" t="n">
        <v>734</v>
      </c>
      <c r="B737" s="9" t="n">
        <v>605109</v>
      </c>
      <c r="C737" s="0" t="n">
        <v>29744</v>
      </c>
      <c r="D737" s="0" t="n">
        <v>489906</v>
      </c>
      <c r="E737" s="0" t="s">
        <v>195</v>
      </c>
      <c r="F737" s="0" t="n">
        <v>44554</v>
      </c>
      <c r="G737" s="0" t="s">
        <v>7241</v>
      </c>
      <c r="H737" s="0" t="s">
        <v>7242</v>
      </c>
      <c r="I737" s="0" t="s">
        <v>7243</v>
      </c>
      <c r="J737" s="0" t="s">
        <v>7244</v>
      </c>
      <c r="K737" s="0" t="s">
        <v>395</v>
      </c>
      <c r="L737" s="0" t="n">
        <v>439729</v>
      </c>
      <c r="M737" s="0" t="s">
        <v>7245</v>
      </c>
      <c r="N737" s="0" t="n">
        <v>402053</v>
      </c>
      <c r="O737" s="9" t="n">
        <v>14</v>
      </c>
      <c r="P737" s="0" t="s">
        <v>531</v>
      </c>
      <c r="Q737" s="0" t="s">
        <v>7246</v>
      </c>
      <c r="R737" s="0" t="s">
        <v>7247</v>
      </c>
      <c r="S737" s="0" t="s">
        <v>352</v>
      </c>
      <c r="T737" s="0" t="s">
        <v>2730</v>
      </c>
      <c r="U737" s="9" t="n">
        <v>0</v>
      </c>
      <c r="V737" s="0" t="n">
        <v>15.2305620070175</v>
      </c>
      <c r="W737" s="0" t="n">
        <v>20250630</v>
      </c>
      <c r="X737" s="0" t="n">
        <v>-0.385522175114088</v>
      </c>
      <c r="Y737" s="0" t="s">
        <v>7248</v>
      </c>
      <c r="Z737" s="0" t="s">
        <v>158</v>
      </c>
    </row>
    <row r="738" customFormat="false" ht="15" hidden="false" customHeight="false" outlineLevel="0" collapsed="false">
      <c r="A738" s="0" t="n">
        <v>735</v>
      </c>
      <c r="B738" s="9" t="n">
        <v>621434</v>
      </c>
      <c r="C738" s="0" t="n">
        <v>30350</v>
      </c>
      <c r="D738" s="0" t="n">
        <v>477487</v>
      </c>
      <c r="E738" s="0" t="s">
        <v>208</v>
      </c>
      <c r="F738" s="0" t="n">
        <v>64425</v>
      </c>
      <c r="G738" s="0" t="s">
        <v>7249</v>
      </c>
      <c r="H738" s="0" t="s">
        <v>7250</v>
      </c>
      <c r="I738" s="0" t="s">
        <v>7251</v>
      </c>
      <c r="J738" s="0" t="s">
        <v>7252</v>
      </c>
      <c r="K738" s="0" t="s">
        <v>7253</v>
      </c>
      <c r="L738" s="0" t="n">
        <v>479059</v>
      </c>
      <c r="M738" s="0" t="s">
        <v>7254</v>
      </c>
      <c r="N738" s="0" t="n">
        <v>461052</v>
      </c>
      <c r="O738" s="9" t="n">
        <v>1787</v>
      </c>
      <c r="P738" s="0" t="s">
        <v>543</v>
      </c>
      <c r="Q738" s="0" t="s">
        <v>7255</v>
      </c>
      <c r="R738" s="0" t="s">
        <v>7256</v>
      </c>
      <c r="S738" s="0" t="s">
        <v>3632</v>
      </c>
      <c r="T738" s="0" t="s">
        <v>7257</v>
      </c>
      <c r="U738" s="9" t="n">
        <v>0</v>
      </c>
      <c r="V738" s="0" t="n">
        <v>20.0140311414907</v>
      </c>
      <c r="W738" s="0" t="n">
        <v>20250630</v>
      </c>
      <c r="X738" s="0" t="n">
        <v>0.75252389871844</v>
      </c>
      <c r="Y738" s="0" t="s">
        <v>6919</v>
      </c>
      <c r="Z738" s="0" t="s">
        <v>98</v>
      </c>
    </row>
    <row r="739" customFormat="false" ht="15" hidden="false" customHeight="false" outlineLevel="0" collapsed="false">
      <c r="A739" s="0" t="n">
        <v>736</v>
      </c>
      <c r="B739" s="9" t="n">
        <v>98909</v>
      </c>
      <c r="C739" s="0" t="n">
        <v>30878</v>
      </c>
      <c r="D739" s="0" t="n">
        <v>72725</v>
      </c>
      <c r="E739" s="0" t="s">
        <v>330</v>
      </c>
      <c r="F739" s="0" t="n">
        <v>11891</v>
      </c>
      <c r="G739" s="0" t="s">
        <v>7258</v>
      </c>
      <c r="H739" s="0" t="s">
        <v>7259</v>
      </c>
      <c r="I739" s="0" t="s">
        <v>7260</v>
      </c>
      <c r="J739" s="0" t="s">
        <v>61</v>
      </c>
      <c r="K739" s="0" t="s">
        <v>7261</v>
      </c>
      <c r="L739" s="0" t="n">
        <v>86036</v>
      </c>
      <c r="M739" s="0" t="s">
        <v>7262</v>
      </c>
      <c r="N739" s="0" t="n">
        <v>85860</v>
      </c>
      <c r="O739" s="9" t="n">
        <v>1353</v>
      </c>
      <c r="P739" s="0" t="s">
        <v>553</v>
      </c>
      <c r="Q739" s="0" t="s">
        <v>7263</v>
      </c>
      <c r="R739" s="0" t="s">
        <v>7264</v>
      </c>
      <c r="S739" s="0" t="s">
        <v>61</v>
      </c>
      <c r="T739" s="0" t="s">
        <v>7265</v>
      </c>
      <c r="U739" s="9" t="n">
        <v>0</v>
      </c>
      <c r="V739" s="0" t="n">
        <v>0</v>
      </c>
      <c r="W739" s="0" t="n">
        <v>20250630</v>
      </c>
      <c r="X739" s="0" t="n">
        <v>0.00201541794729682</v>
      </c>
      <c r="Y739" s="0" t="s">
        <v>195</v>
      </c>
      <c r="Z739" s="0" t="s">
        <v>60</v>
      </c>
    </row>
    <row r="740" customFormat="false" ht="15" hidden="false" customHeight="false" outlineLevel="0" collapsed="false">
      <c r="A740" s="0" t="n">
        <v>737</v>
      </c>
      <c r="B740" s="9" t="n">
        <v>993609</v>
      </c>
      <c r="C740" s="0" t="n">
        <v>33418</v>
      </c>
      <c r="D740" s="0" t="n">
        <v>817518</v>
      </c>
      <c r="E740" s="0" t="s">
        <v>1708</v>
      </c>
      <c r="F740" s="0" t="n">
        <v>69945</v>
      </c>
      <c r="G740" s="0" t="s">
        <v>7266</v>
      </c>
      <c r="H740" s="0" t="s">
        <v>7267</v>
      </c>
      <c r="I740" s="0" t="s">
        <v>7268</v>
      </c>
      <c r="J740" s="0" t="s">
        <v>7269</v>
      </c>
      <c r="K740" s="0" t="s">
        <v>7270</v>
      </c>
      <c r="L740" s="0" t="n">
        <v>629355</v>
      </c>
      <c r="M740" s="0" t="s">
        <v>7271</v>
      </c>
      <c r="N740" s="0" t="n">
        <v>528008</v>
      </c>
      <c r="O740" s="9" t="n">
        <v>1191</v>
      </c>
      <c r="P740" s="0" t="s">
        <v>564</v>
      </c>
      <c r="Q740" s="0" t="s">
        <v>7272</v>
      </c>
      <c r="R740" s="0" t="s">
        <v>7273</v>
      </c>
      <c r="S740" s="0" t="s">
        <v>293</v>
      </c>
      <c r="T740" s="0" t="s">
        <v>7274</v>
      </c>
      <c r="U740" s="9" t="n">
        <v>0</v>
      </c>
      <c r="V740" s="0" t="n">
        <v>12.4261039075517</v>
      </c>
      <c r="W740" s="0" t="n">
        <v>20250630</v>
      </c>
      <c r="X740" s="0" t="n">
        <v>0.618819302365185</v>
      </c>
      <c r="Y740" s="0" t="s">
        <v>3931</v>
      </c>
      <c r="Z740" s="0" t="s">
        <v>98</v>
      </c>
    </row>
    <row r="741" customFormat="false" ht="15" hidden="false" customHeight="false" outlineLevel="0" collapsed="false">
      <c r="A741" s="0" t="n">
        <v>738</v>
      </c>
      <c r="B741" s="9" t="n">
        <v>72604</v>
      </c>
      <c r="C741" s="0" t="n">
        <v>35206</v>
      </c>
      <c r="D741" s="0" t="n">
        <v>500</v>
      </c>
      <c r="E741" s="0" t="s">
        <v>61</v>
      </c>
      <c r="F741" s="0" t="n">
        <v>70119</v>
      </c>
      <c r="G741" s="0" t="s">
        <v>7275</v>
      </c>
      <c r="H741" s="0" t="s">
        <v>7276</v>
      </c>
      <c r="I741" s="0" t="s">
        <v>61</v>
      </c>
      <c r="J741" s="0" t="s">
        <v>61</v>
      </c>
      <c r="K741" s="0" t="s">
        <v>61</v>
      </c>
      <c r="L741" s="0" t="n">
        <v>0</v>
      </c>
      <c r="M741" s="0" t="s">
        <v>61</v>
      </c>
      <c r="N741" s="0" t="n">
        <v>0</v>
      </c>
      <c r="O741" s="9" t="n">
        <v>0</v>
      </c>
      <c r="P741" s="0" t="s">
        <v>1112</v>
      </c>
      <c r="Q741" s="0" t="s">
        <v>61</v>
      </c>
      <c r="R741" s="0" t="s">
        <v>7277</v>
      </c>
      <c r="S741" s="0" t="s">
        <v>61</v>
      </c>
      <c r="T741" s="0" t="s">
        <v>61</v>
      </c>
      <c r="U741" s="9" t="n">
        <v>0</v>
      </c>
      <c r="V741" s="0" t="n">
        <v>0</v>
      </c>
      <c r="W741" s="0" t="n">
        <v>20250630</v>
      </c>
      <c r="X741" s="0" t="n">
        <v>28.4880056721944</v>
      </c>
      <c r="Y741" s="0" t="s">
        <v>7278</v>
      </c>
      <c r="Z741" s="0" t="s">
        <v>158</v>
      </c>
    </row>
    <row r="742" customFormat="false" ht="15" hidden="false" customHeight="false" outlineLevel="0" collapsed="false">
      <c r="A742" s="0" t="n">
        <v>739</v>
      </c>
      <c r="B742" s="9" t="n">
        <v>6902692</v>
      </c>
      <c r="C742" s="0" t="n">
        <v>4255</v>
      </c>
      <c r="D742" s="0" t="n">
        <v>5545916</v>
      </c>
      <c r="E742" s="0" t="s">
        <v>7279</v>
      </c>
      <c r="F742" s="0" t="n">
        <v>687541</v>
      </c>
      <c r="G742" s="0" t="s">
        <v>7280</v>
      </c>
      <c r="H742" s="0" t="s">
        <v>7281</v>
      </c>
      <c r="I742" s="0" t="s">
        <v>7282</v>
      </c>
      <c r="J742" s="0" t="s">
        <v>7283</v>
      </c>
      <c r="K742" s="0" t="s">
        <v>1274</v>
      </c>
      <c r="L742" s="0" t="n">
        <v>4953936</v>
      </c>
      <c r="M742" s="0" t="s">
        <v>7284</v>
      </c>
      <c r="N742" s="0" t="n">
        <v>4456325</v>
      </c>
      <c r="O742" s="9" t="n">
        <v>18177</v>
      </c>
      <c r="P742" s="0" t="s">
        <v>575</v>
      </c>
      <c r="Q742" s="0" t="s">
        <v>7285</v>
      </c>
      <c r="R742" s="0" t="s">
        <v>7286</v>
      </c>
      <c r="S742" s="0" t="s">
        <v>7219</v>
      </c>
      <c r="T742" s="0" t="s">
        <v>7287</v>
      </c>
      <c r="U742" s="9" t="n">
        <v>0</v>
      </c>
      <c r="V742" s="0" t="n">
        <v>12.8539272598033</v>
      </c>
      <c r="W742" s="0" t="n">
        <v>20250630</v>
      </c>
      <c r="X742" s="0" t="n">
        <v>0.719073888795519</v>
      </c>
      <c r="Y742" s="0" t="s">
        <v>7288</v>
      </c>
      <c r="Z742" s="0" t="s">
        <v>60</v>
      </c>
    </row>
    <row r="743" customFormat="false" ht="15" hidden="false" customHeight="false" outlineLevel="0" collapsed="false">
      <c r="A743" s="0" t="n">
        <v>740</v>
      </c>
      <c r="B743" s="9" t="n">
        <v>3164056</v>
      </c>
      <c r="C743" s="0" t="n">
        <v>4256</v>
      </c>
      <c r="D743" s="0" t="n">
        <v>2706351</v>
      </c>
      <c r="E743" s="0" t="s">
        <v>172</v>
      </c>
      <c r="F743" s="0" t="n">
        <v>236733</v>
      </c>
      <c r="G743" s="0" t="s">
        <v>7289</v>
      </c>
      <c r="H743" s="0" t="s">
        <v>7290</v>
      </c>
      <c r="I743" s="0" t="s">
        <v>7291</v>
      </c>
      <c r="J743" s="0" t="s">
        <v>7292</v>
      </c>
      <c r="K743" s="0" t="s">
        <v>7293</v>
      </c>
      <c r="L743" s="0" t="n">
        <v>2394007</v>
      </c>
      <c r="M743" s="0" t="s">
        <v>7294</v>
      </c>
      <c r="N743" s="0" t="n">
        <v>1881786</v>
      </c>
      <c r="O743" s="9" t="n">
        <v>6039</v>
      </c>
      <c r="P743" s="0" t="s">
        <v>587</v>
      </c>
      <c r="Q743" s="0" t="s">
        <v>7295</v>
      </c>
      <c r="R743" s="0" t="s">
        <v>7296</v>
      </c>
      <c r="S743" s="0" t="s">
        <v>7297</v>
      </c>
      <c r="T743" s="0" t="s">
        <v>7298</v>
      </c>
      <c r="U743" s="9" t="n">
        <v>457</v>
      </c>
      <c r="V743" s="0" t="n">
        <v>13.2562418882408</v>
      </c>
      <c r="W743" s="0" t="n">
        <v>20250630</v>
      </c>
      <c r="X743" s="0" t="n">
        <v>1.00147521350966</v>
      </c>
      <c r="Y743" s="0" t="s">
        <v>7299</v>
      </c>
      <c r="Z743" s="0" t="s">
        <v>60</v>
      </c>
    </row>
    <row r="744" customFormat="false" ht="15" hidden="false" customHeight="false" outlineLevel="0" collapsed="false">
      <c r="A744" s="0" t="n">
        <v>741</v>
      </c>
      <c r="B744" s="9" t="n">
        <v>724753</v>
      </c>
      <c r="C744" s="0" t="n">
        <v>59086</v>
      </c>
      <c r="D744" s="0" t="n">
        <v>612986</v>
      </c>
      <c r="E744" s="0" t="s">
        <v>47</v>
      </c>
      <c r="F744" s="0" t="n">
        <v>105815</v>
      </c>
      <c r="G744" s="0" t="s">
        <v>7300</v>
      </c>
      <c r="H744" s="0" t="s">
        <v>7301</v>
      </c>
      <c r="I744" s="0" t="s">
        <v>7302</v>
      </c>
      <c r="J744" s="0" t="s">
        <v>7303</v>
      </c>
      <c r="K744" s="0" t="s">
        <v>61</v>
      </c>
      <c r="L744" s="0" t="n">
        <v>619103</v>
      </c>
      <c r="M744" s="0" t="s">
        <v>7304</v>
      </c>
      <c r="N744" s="0" t="n">
        <v>495338</v>
      </c>
      <c r="O744" s="9" t="n">
        <v>5998</v>
      </c>
      <c r="P744" s="0" t="s">
        <v>599</v>
      </c>
      <c r="Q744" s="0" t="s">
        <v>7305</v>
      </c>
      <c r="R744" s="0" t="s">
        <v>7306</v>
      </c>
      <c r="S744" s="0" t="s">
        <v>478</v>
      </c>
      <c r="T744" s="0" t="s">
        <v>7307</v>
      </c>
      <c r="U744" s="9" t="n">
        <v>7830</v>
      </c>
      <c r="V744" s="0" t="n">
        <v>16.7805900658004</v>
      </c>
      <c r="W744" s="0" t="n">
        <v>20250630</v>
      </c>
      <c r="X744" s="0" t="n">
        <v>1.55691795515022</v>
      </c>
      <c r="Y744" s="0" t="s">
        <v>7308</v>
      </c>
      <c r="Z744" s="0" t="s">
        <v>158</v>
      </c>
    </row>
    <row r="745" customFormat="false" ht="15" hidden="false" customHeight="false" outlineLevel="0" collapsed="false">
      <c r="A745" s="0" t="n">
        <v>742</v>
      </c>
      <c r="B745" s="9" t="n">
        <v>279006</v>
      </c>
      <c r="C745" s="0" t="n">
        <v>59176</v>
      </c>
      <c r="D745" s="0" t="n">
        <v>229104</v>
      </c>
      <c r="E745" s="0" t="s">
        <v>2210</v>
      </c>
      <c r="F745" s="0" t="n">
        <v>28607</v>
      </c>
      <c r="G745" s="0" t="s">
        <v>7309</v>
      </c>
      <c r="H745" s="0" t="s">
        <v>7310</v>
      </c>
      <c r="I745" s="0" t="s">
        <v>7311</v>
      </c>
      <c r="J745" s="0" t="s">
        <v>7312</v>
      </c>
      <c r="K745" s="0" t="s">
        <v>61</v>
      </c>
      <c r="L745" s="0" t="n">
        <v>209550</v>
      </c>
      <c r="M745" s="0" t="s">
        <v>7313</v>
      </c>
      <c r="N745" s="0" t="n">
        <v>180172</v>
      </c>
      <c r="O745" s="9" t="n">
        <v>0</v>
      </c>
      <c r="P745" s="0" t="s">
        <v>610</v>
      </c>
      <c r="Q745" s="0" t="s">
        <v>61</v>
      </c>
      <c r="R745" s="0" t="s">
        <v>7314</v>
      </c>
      <c r="S745" s="0" t="s">
        <v>61</v>
      </c>
      <c r="T745" s="0" t="s">
        <v>61</v>
      </c>
      <c r="U745" s="9" t="n">
        <v>0</v>
      </c>
      <c r="V745" s="0" t="n">
        <v>0</v>
      </c>
      <c r="W745" s="0" t="n">
        <v>20250630</v>
      </c>
      <c r="X745" s="0" t="n">
        <v>0.168301196808511</v>
      </c>
      <c r="Y745" s="0" t="s">
        <v>7315</v>
      </c>
      <c r="Z745" s="0" t="s">
        <v>158</v>
      </c>
    </row>
    <row r="746" customFormat="false" ht="15" hidden="false" customHeight="false" outlineLevel="0" collapsed="false">
      <c r="A746" s="0" t="n">
        <v>743</v>
      </c>
      <c r="B746" s="9" t="n">
        <v>145991</v>
      </c>
      <c r="C746" s="0" t="n">
        <v>59289</v>
      </c>
      <c r="D746" s="0" t="n">
        <v>129078</v>
      </c>
      <c r="E746" s="0" t="s">
        <v>259</v>
      </c>
      <c r="F746" s="0" t="n">
        <v>15698</v>
      </c>
      <c r="G746" s="0" t="s">
        <v>7316</v>
      </c>
      <c r="H746" s="0" t="s">
        <v>7317</v>
      </c>
      <c r="I746" s="0" t="s">
        <v>7318</v>
      </c>
      <c r="J746" s="0" t="s">
        <v>7319</v>
      </c>
      <c r="K746" s="0" t="s">
        <v>61</v>
      </c>
      <c r="L746" s="0" t="n">
        <v>106204</v>
      </c>
      <c r="M746" s="0" t="s">
        <v>7320</v>
      </c>
      <c r="N746" s="0" t="n">
        <v>38420</v>
      </c>
      <c r="O746" s="9" t="n">
        <v>2835</v>
      </c>
      <c r="P746" s="0" t="s">
        <v>2223</v>
      </c>
      <c r="Q746" s="0" t="s">
        <v>7321</v>
      </c>
      <c r="R746" s="0" t="s">
        <v>7322</v>
      </c>
      <c r="S746" s="0" t="s">
        <v>7323</v>
      </c>
      <c r="T746" s="0" t="s">
        <v>7324</v>
      </c>
      <c r="U746" s="9" t="n">
        <v>0</v>
      </c>
      <c r="V746" s="0" t="n">
        <v>0</v>
      </c>
      <c r="W746" s="0" t="n">
        <v>20250630</v>
      </c>
      <c r="X746" s="0" t="n">
        <v>-0.239988600541474</v>
      </c>
      <c r="Y746" s="0" t="s">
        <v>7325</v>
      </c>
      <c r="Z746" s="0" t="s">
        <v>158</v>
      </c>
    </row>
    <row r="747" customFormat="false" ht="15" hidden="false" customHeight="false" outlineLevel="0" collapsed="false">
      <c r="A747" s="0" t="n">
        <v>744</v>
      </c>
      <c r="B747" s="9" t="n">
        <v>269483</v>
      </c>
      <c r="C747" s="0" t="n">
        <v>59298</v>
      </c>
      <c r="D747" s="0" t="n">
        <v>242655</v>
      </c>
      <c r="E747" s="0" t="s">
        <v>1708</v>
      </c>
      <c r="F747" s="0" t="n">
        <v>25838</v>
      </c>
      <c r="G747" s="0" t="s">
        <v>7326</v>
      </c>
      <c r="H747" s="0" t="s">
        <v>7327</v>
      </c>
      <c r="I747" s="0" t="s">
        <v>7328</v>
      </c>
      <c r="J747" s="0" t="s">
        <v>7329</v>
      </c>
      <c r="K747" s="0" t="s">
        <v>61</v>
      </c>
      <c r="L747" s="0" t="n">
        <v>150271</v>
      </c>
      <c r="M747" s="0" t="s">
        <v>7330</v>
      </c>
      <c r="N747" s="0" t="n">
        <v>114258</v>
      </c>
      <c r="O747" s="9" t="n">
        <v>0</v>
      </c>
      <c r="P747" s="0" t="s">
        <v>1684</v>
      </c>
      <c r="Q747" s="0" t="s">
        <v>61</v>
      </c>
      <c r="R747" s="0" t="s">
        <v>7331</v>
      </c>
      <c r="S747" s="0" t="s">
        <v>61</v>
      </c>
      <c r="T747" s="0" t="s">
        <v>61</v>
      </c>
      <c r="U747" s="9" t="n">
        <v>0</v>
      </c>
      <c r="V747" s="0" t="n">
        <v>16.8779498144312</v>
      </c>
      <c r="W747" s="0" t="n">
        <v>20250630</v>
      </c>
      <c r="X747" s="0" t="n">
        <v>0.0611768333776824</v>
      </c>
      <c r="Y747" s="0" t="s">
        <v>3427</v>
      </c>
      <c r="Z747" s="0" t="s">
        <v>98</v>
      </c>
    </row>
    <row r="748" customFormat="false" ht="15" hidden="false" customHeight="false" outlineLevel="0" collapsed="false">
      <c r="A748" s="0" t="n">
        <v>745</v>
      </c>
      <c r="B748" s="9" t="n">
        <v>1166044</v>
      </c>
      <c r="C748" s="0" t="n">
        <v>6271</v>
      </c>
      <c r="D748" s="0" t="n">
        <v>934460</v>
      </c>
      <c r="E748" s="0" t="s">
        <v>1393</v>
      </c>
      <c r="F748" s="0" t="n">
        <v>118181</v>
      </c>
      <c r="G748" s="0" t="s">
        <v>7332</v>
      </c>
      <c r="H748" s="0" t="s">
        <v>7333</v>
      </c>
      <c r="I748" s="0" t="s">
        <v>7334</v>
      </c>
      <c r="J748" s="0" t="s">
        <v>7335</v>
      </c>
      <c r="K748" s="0" t="s">
        <v>7336</v>
      </c>
      <c r="L748" s="0" t="n">
        <v>943328</v>
      </c>
      <c r="M748" s="0" t="s">
        <v>7337</v>
      </c>
      <c r="N748" s="0" t="n">
        <v>758237</v>
      </c>
      <c r="O748" s="9" t="n">
        <v>8674</v>
      </c>
      <c r="P748" s="0" t="s">
        <v>621</v>
      </c>
      <c r="Q748" s="0" t="s">
        <v>7338</v>
      </c>
      <c r="R748" s="0" t="s">
        <v>7339</v>
      </c>
      <c r="S748" s="0" t="s">
        <v>3005</v>
      </c>
      <c r="T748" s="0" t="s">
        <v>7340</v>
      </c>
      <c r="U748" s="9" t="n">
        <v>557</v>
      </c>
      <c r="V748" s="0" t="n">
        <v>14.8461580612902</v>
      </c>
      <c r="W748" s="0" t="n">
        <v>20250630</v>
      </c>
      <c r="X748" s="0" t="n">
        <v>1.3603757386888</v>
      </c>
      <c r="Y748" s="0" t="s">
        <v>1718</v>
      </c>
      <c r="Z748" s="0" t="s">
        <v>98</v>
      </c>
    </row>
    <row r="749" customFormat="false" ht="15" hidden="false" customHeight="false" outlineLevel="0" collapsed="false">
      <c r="A749" s="0" t="n">
        <v>746</v>
      </c>
      <c r="B749" s="9" t="n">
        <v>552605</v>
      </c>
      <c r="C749" s="0" t="n">
        <v>6275</v>
      </c>
      <c r="D749" s="0" t="n">
        <v>506456</v>
      </c>
      <c r="E749" s="0" t="s">
        <v>794</v>
      </c>
      <c r="F749" s="0" t="n">
        <v>38291</v>
      </c>
      <c r="G749" s="0" t="s">
        <v>7341</v>
      </c>
      <c r="H749" s="0" t="s">
        <v>7342</v>
      </c>
      <c r="I749" s="0" t="s">
        <v>7343</v>
      </c>
      <c r="J749" s="0" t="s">
        <v>7344</v>
      </c>
      <c r="K749" s="0" t="s">
        <v>7345</v>
      </c>
      <c r="L749" s="0" t="n">
        <v>349565</v>
      </c>
      <c r="M749" s="0" t="s">
        <v>7346</v>
      </c>
      <c r="N749" s="0" t="n">
        <v>299164</v>
      </c>
      <c r="O749" s="9" t="n">
        <v>652</v>
      </c>
      <c r="P749" s="0" t="s">
        <v>633</v>
      </c>
      <c r="Q749" s="0" t="s">
        <v>7347</v>
      </c>
      <c r="R749" s="0" t="s">
        <v>7348</v>
      </c>
      <c r="S749" s="0" t="s">
        <v>534</v>
      </c>
      <c r="T749" s="0" t="s">
        <v>7349</v>
      </c>
      <c r="U749" s="9" t="n">
        <v>0</v>
      </c>
      <c r="V749" s="0" t="n">
        <v>15.9807175065868</v>
      </c>
      <c r="W749" s="0" t="n">
        <v>20250630</v>
      </c>
      <c r="X749" s="0" t="n">
        <v>0.80927276534914</v>
      </c>
      <c r="Y749" s="0" t="s">
        <v>7350</v>
      </c>
      <c r="Z749" s="0" t="s">
        <v>98</v>
      </c>
    </row>
    <row r="750" customFormat="false" ht="15" hidden="false" customHeight="false" outlineLevel="0" collapsed="false">
      <c r="A750" s="0" t="n">
        <v>747</v>
      </c>
      <c r="B750" s="9" t="n">
        <v>87770</v>
      </c>
      <c r="C750" s="0" t="n">
        <v>6280</v>
      </c>
      <c r="D750" s="0" t="n">
        <v>77256</v>
      </c>
      <c r="E750" s="0" t="s">
        <v>1187</v>
      </c>
      <c r="F750" s="0" t="n">
        <v>9949</v>
      </c>
      <c r="G750" s="0" t="s">
        <v>7351</v>
      </c>
      <c r="H750" s="0" t="s">
        <v>7352</v>
      </c>
      <c r="I750" s="0" t="s">
        <v>7353</v>
      </c>
      <c r="J750" s="0" t="s">
        <v>7354</v>
      </c>
      <c r="K750" s="0" t="s">
        <v>7355</v>
      </c>
      <c r="L750" s="0" t="n">
        <v>73100</v>
      </c>
      <c r="M750" s="0" t="s">
        <v>7356</v>
      </c>
      <c r="N750" s="0" t="n">
        <v>64947</v>
      </c>
      <c r="O750" s="9" t="n">
        <v>1455</v>
      </c>
      <c r="P750" s="0" t="s">
        <v>644</v>
      </c>
      <c r="Q750" s="0" t="s">
        <v>7357</v>
      </c>
      <c r="R750" s="0" t="s">
        <v>7358</v>
      </c>
      <c r="S750" s="0" t="s">
        <v>61</v>
      </c>
      <c r="T750" s="0" t="s">
        <v>7359</v>
      </c>
      <c r="U750" s="9" t="n">
        <v>0</v>
      </c>
      <c r="V750" s="0" t="n">
        <v>0</v>
      </c>
      <c r="W750" s="0" t="n">
        <v>20250630</v>
      </c>
      <c r="X750" s="0" t="n">
        <v>1.36654026169246</v>
      </c>
      <c r="Y750" s="0" t="s">
        <v>6202</v>
      </c>
      <c r="Z750" s="0" t="s">
        <v>98</v>
      </c>
    </row>
  </sheetData>
  <sheetProtection sheet="true" selectUnlockedCells="true"/>
  <autoFilter ref="A4:Z750"/>
  <mergeCells count="2">
    <mergeCell ref="A1:Z1"/>
    <mergeCell ref="A2:Z2"/>
  </mergeCells>
  <dataValidations count="1">
    <dataValidation allowBlank="true" error="Enter a nonnegative number or clear the cell." errorStyle="stop" errorTitle="Invalid amount" operator="greaterThanOrEqual" showDropDown="false" showErrorMessage="true" showInputMessage="false" sqref="B5:B750 O5:O750 U5:U75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</row>
    <row r="2" customFormat="false" ht="15" hidden="false" customHeight="false" outlineLevel="0" collapsed="false">
      <c r="A2" s="0" t="n">
        <v>2</v>
      </c>
      <c r="B2" s="0" t="n">
        <v>3688993</v>
      </c>
      <c r="C2" s="0" t="n">
        <v>11971</v>
      </c>
      <c r="D2" s="0" t="n">
        <v>3055632</v>
      </c>
      <c r="E2" s="0" t="s">
        <v>47</v>
      </c>
      <c r="F2" s="0" t="n">
        <v>461681</v>
      </c>
      <c r="G2" s="0" t="s">
        <v>48</v>
      </c>
      <c r="H2" s="0" t="s">
        <v>49</v>
      </c>
      <c r="I2" s="0" t="s">
        <v>50</v>
      </c>
      <c r="J2" s="0" t="s">
        <v>51</v>
      </c>
      <c r="K2" s="0" t="s">
        <v>52</v>
      </c>
      <c r="L2" s="0" t="n">
        <v>2657406</v>
      </c>
      <c r="M2" s="0" t="s">
        <v>53</v>
      </c>
      <c r="N2" s="0" t="n">
        <v>2317079</v>
      </c>
      <c r="O2" s="0" t="n">
        <v>9213</v>
      </c>
      <c r="P2" s="0" t="s">
        <v>54</v>
      </c>
      <c r="Q2" s="0" t="s">
        <v>55</v>
      </c>
      <c r="R2" s="0" t="s">
        <v>56</v>
      </c>
      <c r="S2" s="0" t="s">
        <v>57</v>
      </c>
      <c r="T2" s="0" t="s">
        <v>58</v>
      </c>
      <c r="U2" s="0" t="n">
        <v>843</v>
      </c>
      <c r="V2" s="0" t="n">
        <v>13.6789606326397</v>
      </c>
      <c r="W2" s="0" t="n">
        <v>20220331</v>
      </c>
      <c r="X2" s="0" t="n">
        <v>1.11623429129291</v>
      </c>
      <c r="Y2" s="0" t="s">
        <v>59</v>
      </c>
      <c r="Z2" s="0" t="s">
        <v>60</v>
      </c>
    </row>
    <row r="3" customFormat="false" ht="15" hidden="false" customHeight="false" outlineLevel="0" collapsed="false">
      <c r="A3" s="0" t="n">
        <v>3</v>
      </c>
      <c r="B3" s="0" t="n">
        <v>964163</v>
      </c>
      <c r="C3" s="0" t="n">
        <v>12874</v>
      </c>
      <c r="D3" s="0" t="n">
        <v>854194</v>
      </c>
      <c r="E3" s="0" t="s">
        <v>61</v>
      </c>
      <c r="F3" s="0" t="n">
        <v>97916</v>
      </c>
      <c r="G3" s="0" t="s">
        <v>62</v>
      </c>
      <c r="H3" s="0" t="s">
        <v>63</v>
      </c>
      <c r="I3" s="0" t="s">
        <v>64</v>
      </c>
      <c r="J3" s="0" t="s">
        <v>65</v>
      </c>
      <c r="K3" s="0" t="s">
        <v>66</v>
      </c>
      <c r="L3" s="0" t="n">
        <v>732906</v>
      </c>
      <c r="M3" s="0" t="s">
        <v>67</v>
      </c>
      <c r="N3" s="0" t="n">
        <v>577596</v>
      </c>
      <c r="O3" s="0" t="n">
        <v>1069</v>
      </c>
      <c r="P3" s="0" t="s">
        <v>68</v>
      </c>
      <c r="Q3" s="0" t="s">
        <v>69</v>
      </c>
      <c r="R3" s="0" t="s">
        <v>70</v>
      </c>
      <c r="S3" s="0" t="s">
        <v>71</v>
      </c>
      <c r="T3" s="0" t="s">
        <v>72</v>
      </c>
      <c r="U3" s="0" t="n">
        <v>0</v>
      </c>
      <c r="V3" s="0" t="n">
        <v>15.6016028760784</v>
      </c>
      <c r="W3" s="0" t="n">
        <v>20220331</v>
      </c>
      <c r="X3" s="0" t="n">
        <v>0.831497320164808</v>
      </c>
      <c r="Y3" s="0" t="s">
        <v>73</v>
      </c>
      <c r="Z3" s="0" t="s">
        <v>60</v>
      </c>
    </row>
    <row r="4" customFormat="false" ht="15" hidden="false" customHeight="false" outlineLevel="0" collapsed="false">
      <c r="A4" s="4" t="n">
        <v>4</v>
      </c>
      <c r="B4" s="4" t="n">
        <v>1784835</v>
      </c>
      <c r="C4" s="4" t="n">
        <v>13063</v>
      </c>
      <c r="D4" s="4" t="n">
        <v>1619076</v>
      </c>
      <c r="E4" s="4" t="s">
        <v>61</v>
      </c>
      <c r="F4" s="4" t="n">
        <v>148181</v>
      </c>
      <c r="G4" s="4" t="s">
        <v>74</v>
      </c>
      <c r="H4" s="4" t="s">
        <v>75</v>
      </c>
      <c r="I4" s="4" t="s">
        <v>76</v>
      </c>
      <c r="J4" s="4" t="s">
        <v>77</v>
      </c>
      <c r="K4" s="4" t="s">
        <v>78</v>
      </c>
      <c r="L4" s="4" t="n">
        <v>1223389</v>
      </c>
      <c r="M4" s="4" t="s">
        <v>79</v>
      </c>
      <c r="N4" s="4" t="n">
        <v>1160807</v>
      </c>
      <c r="O4" s="4" t="n">
        <v>408</v>
      </c>
      <c r="P4" s="4" t="s">
        <v>80</v>
      </c>
      <c r="Q4" s="4" t="s">
        <v>81</v>
      </c>
      <c r="R4" s="4" t="s">
        <v>82</v>
      </c>
      <c r="S4" s="4" t="s">
        <v>71</v>
      </c>
      <c r="T4" s="4" t="s">
        <v>83</v>
      </c>
      <c r="U4" s="4" t="n">
        <v>1196</v>
      </c>
      <c r="V4" s="4" t="n">
        <v>0</v>
      </c>
      <c r="W4" s="4" t="n">
        <v>20220331</v>
      </c>
      <c r="X4" s="4" t="n">
        <v>0.482373134010048</v>
      </c>
      <c r="Y4" s="4" t="s">
        <v>84</v>
      </c>
      <c r="Z4" s="4" t="s">
        <v>60</v>
      </c>
    </row>
    <row r="5" customFormat="false" ht="15" hidden="false" customHeight="false" outlineLevel="0" collapsed="false">
      <c r="A5" s="4" t="n">
        <v>5</v>
      </c>
      <c r="B5" s="4" t="n">
        <v>869402</v>
      </c>
      <c r="C5" s="4" t="n">
        <v>14134</v>
      </c>
      <c r="D5" s="4" t="n">
        <v>737795</v>
      </c>
      <c r="E5" s="4" t="s">
        <v>85</v>
      </c>
      <c r="F5" s="4" t="n">
        <v>101808</v>
      </c>
      <c r="G5" s="4" t="s">
        <v>86</v>
      </c>
      <c r="H5" s="4" t="s">
        <v>87</v>
      </c>
      <c r="I5" s="4" t="s">
        <v>88</v>
      </c>
      <c r="J5" s="4" t="s">
        <v>89</v>
      </c>
      <c r="K5" s="4" t="s">
        <v>90</v>
      </c>
      <c r="L5" s="4" t="n">
        <v>596388</v>
      </c>
      <c r="M5" s="4" t="s">
        <v>91</v>
      </c>
      <c r="N5" s="4" t="n">
        <v>516229</v>
      </c>
      <c r="O5" s="4" t="n">
        <v>8014</v>
      </c>
      <c r="P5" s="4" t="s">
        <v>92</v>
      </c>
      <c r="Q5" s="4" t="s">
        <v>93</v>
      </c>
      <c r="R5" s="4" t="s">
        <v>94</v>
      </c>
      <c r="S5" s="4" t="s">
        <v>95</v>
      </c>
      <c r="T5" s="4" t="s">
        <v>96</v>
      </c>
      <c r="U5" s="4" t="n">
        <v>0</v>
      </c>
      <c r="V5" s="4" t="n">
        <v>17.5709830780352</v>
      </c>
      <c r="W5" s="4" t="n">
        <v>20220331</v>
      </c>
      <c r="X5" s="4" t="n">
        <v>-0.387293393035349</v>
      </c>
      <c r="Y5" s="4" t="s">
        <v>97</v>
      </c>
      <c r="Z5" s="4" t="s">
        <v>98</v>
      </c>
    </row>
    <row r="6" customFormat="false" ht="15" hidden="false" customHeight="false" outlineLevel="0" collapsed="false">
      <c r="A6" s="4" t="n">
        <v>6</v>
      </c>
      <c r="B6" s="4" t="n">
        <v>222692</v>
      </c>
      <c r="C6" s="4" t="n">
        <v>14136</v>
      </c>
      <c r="D6" s="4" t="n">
        <v>199279</v>
      </c>
      <c r="E6" s="4" t="s">
        <v>47</v>
      </c>
      <c r="F6" s="4" t="n">
        <v>18834</v>
      </c>
      <c r="G6" s="4" t="s">
        <v>99</v>
      </c>
      <c r="H6" s="4" t="s">
        <v>100</v>
      </c>
      <c r="I6" s="4" t="s">
        <v>101</v>
      </c>
      <c r="J6" s="4" t="s">
        <v>102</v>
      </c>
      <c r="K6" s="4" t="s">
        <v>103</v>
      </c>
      <c r="L6" s="4" t="n">
        <v>121199</v>
      </c>
      <c r="M6" s="4" t="s">
        <v>104</v>
      </c>
      <c r="N6" s="4" t="n">
        <v>96809</v>
      </c>
      <c r="O6" s="4" t="n">
        <v>174</v>
      </c>
      <c r="P6" s="4" t="s">
        <v>105</v>
      </c>
      <c r="Q6" s="4" t="s">
        <v>106</v>
      </c>
      <c r="R6" s="4" t="s">
        <v>107</v>
      </c>
      <c r="S6" s="4" t="s">
        <v>108</v>
      </c>
      <c r="T6" s="4" t="s">
        <v>109</v>
      </c>
      <c r="U6" s="4" t="n">
        <v>639</v>
      </c>
      <c r="V6" s="4" t="n">
        <v>17.2762204998947</v>
      </c>
      <c r="W6" s="4" t="n">
        <v>20220331</v>
      </c>
      <c r="X6" s="4" t="n">
        <v>0.199549216522136</v>
      </c>
      <c r="Y6" s="4" t="s">
        <v>110</v>
      </c>
      <c r="Z6" s="4" t="s">
        <v>98</v>
      </c>
    </row>
    <row r="7" customFormat="false" ht="15" hidden="false" customHeight="false" outlineLevel="0" collapsed="false">
      <c r="A7" s="4" t="n">
        <v>7</v>
      </c>
      <c r="B7" s="4" t="n">
        <v>1414510</v>
      </c>
      <c r="C7" s="4" t="n">
        <v>14140</v>
      </c>
      <c r="D7" s="4" t="n">
        <v>1199427</v>
      </c>
      <c r="E7" s="4" t="s">
        <v>61</v>
      </c>
      <c r="F7" s="4" t="n">
        <v>123854</v>
      </c>
      <c r="G7" s="4" t="s">
        <v>111</v>
      </c>
      <c r="H7" s="4" t="s">
        <v>112</v>
      </c>
      <c r="I7" s="4" t="s">
        <v>113</v>
      </c>
      <c r="J7" s="4" t="s">
        <v>114</v>
      </c>
      <c r="K7" s="4" t="s">
        <v>115</v>
      </c>
      <c r="L7" s="4" t="n">
        <v>957867</v>
      </c>
      <c r="M7" s="4" t="s">
        <v>116</v>
      </c>
      <c r="N7" s="4" t="n">
        <v>866005</v>
      </c>
      <c r="O7" s="4" t="n">
        <v>5589</v>
      </c>
      <c r="P7" s="4" t="s">
        <v>117</v>
      </c>
      <c r="Q7" s="4" t="s">
        <v>118</v>
      </c>
      <c r="R7" s="4" t="s">
        <v>119</v>
      </c>
      <c r="S7" s="4" t="s">
        <v>120</v>
      </c>
      <c r="T7" s="4" t="s">
        <v>121</v>
      </c>
      <c r="U7" s="4" t="n">
        <v>0</v>
      </c>
      <c r="V7" s="4" t="n">
        <v>0</v>
      </c>
      <c r="W7" s="4" t="n">
        <v>20220331</v>
      </c>
      <c r="X7" s="4" t="n">
        <v>0.662126324527825</v>
      </c>
      <c r="Y7" s="4" t="s">
        <v>122</v>
      </c>
      <c r="Z7" s="4" t="s">
        <v>98</v>
      </c>
    </row>
    <row r="8" customFormat="false" ht="15" hidden="false" customHeight="false" outlineLevel="0" collapsed="false">
      <c r="A8" s="4" t="n">
        <v>8</v>
      </c>
      <c r="B8" s="4" t="n">
        <v>1232701</v>
      </c>
      <c r="C8" s="4" t="n">
        <v>14158</v>
      </c>
      <c r="D8" s="4" t="n">
        <v>1137254</v>
      </c>
      <c r="E8" s="4" t="s">
        <v>61</v>
      </c>
      <c r="F8" s="4" t="n">
        <v>85105</v>
      </c>
      <c r="G8" s="4" t="s">
        <v>123</v>
      </c>
      <c r="H8" s="4" t="s">
        <v>124</v>
      </c>
      <c r="I8" s="4" t="s">
        <v>125</v>
      </c>
      <c r="J8" s="4" t="s">
        <v>126</v>
      </c>
      <c r="K8" s="4" t="s">
        <v>127</v>
      </c>
      <c r="L8" s="4" t="n">
        <v>830963</v>
      </c>
      <c r="M8" s="4" t="s">
        <v>128</v>
      </c>
      <c r="N8" s="4" t="n">
        <v>698008</v>
      </c>
      <c r="O8" s="4" t="n">
        <v>4405</v>
      </c>
      <c r="P8" s="4" t="s">
        <v>129</v>
      </c>
      <c r="Q8" s="4" t="s">
        <v>130</v>
      </c>
      <c r="R8" s="4" t="s">
        <v>131</v>
      </c>
      <c r="S8" s="4" t="s">
        <v>61</v>
      </c>
      <c r="T8" s="4" t="s">
        <v>132</v>
      </c>
      <c r="U8" s="4" t="n">
        <v>229</v>
      </c>
      <c r="V8" s="4" t="n">
        <v>14.788125615083</v>
      </c>
      <c r="W8" s="4" t="n">
        <v>20220331</v>
      </c>
      <c r="X8" s="4" t="n">
        <v>0.88329131873326</v>
      </c>
      <c r="Y8" s="4" t="s">
        <v>133</v>
      </c>
      <c r="Z8" s="4" t="s">
        <v>98</v>
      </c>
    </row>
    <row r="9" customFormat="false" ht="15" hidden="false" customHeight="false" outlineLevel="0" collapsed="false">
      <c r="A9" s="4" t="n">
        <v>9</v>
      </c>
      <c r="B9" s="4" t="n">
        <v>384095</v>
      </c>
      <c r="C9" s="4" t="n">
        <v>14168</v>
      </c>
      <c r="D9" s="4" t="n">
        <v>345364</v>
      </c>
      <c r="E9" s="4" t="s">
        <v>61</v>
      </c>
      <c r="F9" s="4" t="n">
        <v>34244</v>
      </c>
      <c r="G9" s="4" t="s">
        <v>134</v>
      </c>
      <c r="H9" s="4" t="s">
        <v>135</v>
      </c>
      <c r="I9" s="4" t="s">
        <v>136</v>
      </c>
      <c r="J9" s="4" t="s">
        <v>137</v>
      </c>
      <c r="K9" s="4" t="s">
        <v>138</v>
      </c>
      <c r="L9" s="4" t="n">
        <v>191155</v>
      </c>
      <c r="M9" s="4" t="s">
        <v>139</v>
      </c>
      <c r="N9" s="4" t="n">
        <v>161619</v>
      </c>
      <c r="O9" s="4" t="n">
        <v>1188</v>
      </c>
      <c r="P9" s="4" t="s">
        <v>140</v>
      </c>
      <c r="Q9" s="4" t="s">
        <v>141</v>
      </c>
      <c r="R9" s="4" t="s">
        <v>142</v>
      </c>
      <c r="S9" s="4" t="s">
        <v>143</v>
      </c>
      <c r="T9" s="4" t="s">
        <v>144</v>
      </c>
      <c r="U9" s="4" t="n">
        <v>0</v>
      </c>
      <c r="V9" s="4" t="n">
        <v>19.8246428808378</v>
      </c>
      <c r="W9" s="4" t="n">
        <v>20220331</v>
      </c>
      <c r="X9" s="4" t="n">
        <v>0.135788316459894</v>
      </c>
      <c r="Y9" s="4" t="s">
        <v>145</v>
      </c>
      <c r="Z9" s="4" t="s">
        <v>98</v>
      </c>
    </row>
    <row r="10" customFormat="false" ht="15" hidden="false" customHeight="false" outlineLevel="0" collapsed="false">
      <c r="A10" s="4" t="n">
        <v>10</v>
      </c>
      <c r="B10" s="4" t="n">
        <v>1221074</v>
      </c>
      <c r="C10" s="4" t="n">
        <v>14240</v>
      </c>
      <c r="D10" s="4" t="n">
        <v>1020645</v>
      </c>
      <c r="E10" s="4" t="s">
        <v>61</v>
      </c>
      <c r="F10" s="4" t="n">
        <v>102113</v>
      </c>
      <c r="G10" s="4" t="s">
        <v>146</v>
      </c>
      <c r="H10" s="4" t="s">
        <v>147</v>
      </c>
      <c r="I10" s="4" t="s">
        <v>148</v>
      </c>
      <c r="J10" s="4" t="s">
        <v>149</v>
      </c>
      <c r="K10" s="4" t="s">
        <v>150</v>
      </c>
      <c r="L10" s="4" t="n">
        <v>824670</v>
      </c>
      <c r="M10" s="4" t="s">
        <v>151</v>
      </c>
      <c r="N10" s="4" t="n">
        <v>705835</v>
      </c>
      <c r="O10" s="4" t="n">
        <v>2204</v>
      </c>
      <c r="P10" s="4" t="s">
        <v>152</v>
      </c>
      <c r="Q10" s="4" t="s">
        <v>153</v>
      </c>
      <c r="R10" s="4" t="s">
        <v>154</v>
      </c>
      <c r="S10" s="4" t="s">
        <v>155</v>
      </c>
      <c r="T10" s="4" t="s">
        <v>156</v>
      </c>
      <c r="U10" s="4" t="n">
        <v>0</v>
      </c>
      <c r="V10" s="4" t="n">
        <v>15.1069923364339</v>
      </c>
      <c r="W10" s="4" t="n">
        <v>20220331</v>
      </c>
      <c r="X10" s="4" t="n">
        <v>0.06981188133279</v>
      </c>
      <c r="Y10" s="4" t="s">
        <v>157</v>
      </c>
      <c r="Z10" s="4" t="s">
        <v>158</v>
      </c>
    </row>
    <row r="11" customFormat="false" ht="15" hidden="false" customHeight="false" outlineLevel="0" collapsed="false">
      <c r="A11" s="4" t="n">
        <v>11</v>
      </c>
      <c r="B11" s="4" t="n">
        <v>836644</v>
      </c>
      <c r="C11" s="4" t="n">
        <v>17115</v>
      </c>
      <c r="D11" s="4" t="n">
        <v>738943</v>
      </c>
      <c r="E11" s="4" t="s">
        <v>159</v>
      </c>
      <c r="F11" s="4" t="n">
        <v>83239</v>
      </c>
      <c r="G11" s="4" t="s">
        <v>160</v>
      </c>
      <c r="H11" s="4" t="s">
        <v>161</v>
      </c>
      <c r="I11" s="4" t="s">
        <v>162</v>
      </c>
      <c r="J11" s="4" t="s">
        <v>163</v>
      </c>
      <c r="K11" s="4" t="s">
        <v>164</v>
      </c>
      <c r="L11" s="4" t="n">
        <v>656481</v>
      </c>
      <c r="M11" s="4" t="s">
        <v>165</v>
      </c>
      <c r="N11" s="4" t="n">
        <v>608827</v>
      </c>
      <c r="O11" s="4" t="n">
        <v>164</v>
      </c>
      <c r="P11" s="4" t="s">
        <v>166</v>
      </c>
      <c r="Q11" s="4" t="s">
        <v>167</v>
      </c>
      <c r="R11" s="4" t="s">
        <v>168</v>
      </c>
      <c r="S11" s="4" t="s">
        <v>169</v>
      </c>
      <c r="T11" s="4" t="s">
        <v>170</v>
      </c>
      <c r="U11" s="4" t="n">
        <v>0</v>
      </c>
      <c r="V11" s="4" t="n">
        <v>15.6064687872223</v>
      </c>
      <c r="W11" s="4" t="n">
        <v>20220331</v>
      </c>
      <c r="X11" s="4" t="n">
        <v>1.11496929665211</v>
      </c>
      <c r="Y11" s="4" t="s">
        <v>171</v>
      </c>
      <c r="Z11" s="4" t="s">
        <v>60</v>
      </c>
    </row>
    <row r="12" customFormat="false" ht="15" hidden="false" customHeight="false" outlineLevel="0" collapsed="false">
      <c r="A12" s="4" t="n">
        <v>12</v>
      </c>
      <c r="B12" s="4" t="n">
        <v>1291920</v>
      </c>
      <c r="C12" s="4" t="n">
        <v>17180</v>
      </c>
      <c r="D12" s="4" t="n">
        <v>1121172</v>
      </c>
      <c r="E12" s="4" t="s">
        <v>172</v>
      </c>
      <c r="F12" s="4" t="n">
        <v>126979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n">
        <v>1143017</v>
      </c>
      <c r="M12" s="4" t="s">
        <v>178</v>
      </c>
      <c r="N12" s="4" t="n">
        <v>937482</v>
      </c>
      <c r="O12" s="4" t="n">
        <v>5753</v>
      </c>
      <c r="P12" s="4" t="s">
        <v>179</v>
      </c>
      <c r="Q12" s="4" t="s">
        <v>180</v>
      </c>
      <c r="R12" s="4" t="s">
        <v>181</v>
      </c>
      <c r="S12" s="4" t="s">
        <v>182</v>
      </c>
      <c r="T12" s="4" t="s">
        <v>183</v>
      </c>
      <c r="U12" s="4" t="n">
        <v>0</v>
      </c>
      <c r="V12" s="4" t="n">
        <v>16.0569431386633</v>
      </c>
      <c r="W12" s="4" t="n">
        <v>20220331</v>
      </c>
      <c r="X12" s="4" t="n">
        <v>0.802789289525275</v>
      </c>
      <c r="Y12" s="4" t="s">
        <v>184</v>
      </c>
      <c r="Z12" s="4" t="s">
        <v>158</v>
      </c>
    </row>
    <row r="13" customFormat="false" ht="15" hidden="false" customHeight="false" outlineLevel="0" collapsed="false">
      <c r="A13" s="4" t="n">
        <v>13</v>
      </c>
      <c r="B13" s="4" t="n">
        <v>352255</v>
      </c>
      <c r="C13" s="4" t="n">
        <v>17443</v>
      </c>
      <c r="D13" s="4" t="n">
        <v>302135</v>
      </c>
      <c r="E13" s="4" t="s">
        <v>172</v>
      </c>
      <c r="F13" s="4" t="n">
        <v>42822</v>
      </c>
      <c r="G13" s="4" t="s">
        <v>185</v>
      </c>
      <c r="H13" s="4" t="s">
        <v>186</v>
      </c>
      <c r="I13" s="4" t="s">
        <v>187</v>
      </c>
      <c r="J13" s="4" t="s">
        <v>61</v>
      </c>
      <c r="K13" s="4" t="s">
        <v>188</v>
      </c>
      <c r="L13" s="4" t="n">
        <v>188952</v>
      </c>
      <c r="M13" s="4" t="s">
        <v>189</v>
      </c>
      <c r="N13" s="4" t="n">
        <v>186037</v>
      </c>
      <c r="O13" s="4" t="n">
        <v>842</v>
      </c>
      <c r="P13" s="4" t="s">
        <v>190</v>
      </c>
      <c r="Q13" s="4" t="s">
        <v>191</v>
      </c>
      <c r="R13" s="4" t="s">
        <v>192</v>
      </c>
      <c r="S13" s="4" t="s">
        <v>61</v>
      </c>
      <c r="T13" s="4" t="s">
        <v>193</v>
      </c>
      <c r="U13" s="4" t="n">
        <v>0</v>
      </c>
      <c r="V13" s="4" t="n">
        <v>0</v>
      </c>
      <c r="W13" s="4" t="n">
        <v>20220331</v>
      </c>
      <c r="X13" s="4" t="n">
        <v>0.619253411177981</v>
      </c>
      <c r="Y13" s="4" t="s">
        <v>194</v>
      </c>
      <c r="Z13" s="4" t="s">
        <v>158</v>
      </c>
    </row>
    <row r="14" customFormat="false" ht="15" hidden="false" customHeight="false" outlineLevel="0" collapsed="false">
      <c r="A14" s="4" t="n">
        <v>14</v>
      </c>
      <c r="B14" s="4" t="n">
        <v>1753308</v>
      </c>
      <c r="C14" s="4" t="n">
        <v>17658</v>
      </c>
      <c r="D14" s="4" t="n">
        <v>1508978</v>
      </c>
      <c r="E14" s="4" t="s">
        <v>195</v>
      </c>
      <c r="F14" s="4" t="n">
        <v>215496</v>
      </c>
      <c r="G14" s="4" t="s">
        <v>196</v>
      </c>
      <c r="H14" s="4" t="s">
        <v>197</v>
      </c>
      <c r="I14" s="4" t="s">
        <v>198</v>
      </c>
      <c r="J14" s="4" t="s">
        <v>199</v>
      </c>
      <c r="K14" s="4" t="s">
        <v>200</v>
      </c>
      <c r="L14" s="4" t="n">
        <v>1075938</v>
      </c>
      <c r="M14" s="4" t="s">
        <v>201</v>
      </c>
      <c r="N14" s="4" t="n">
        <v>932001</v>
      </c>
      <c r="O14" s="4" t="n">
        <v>1019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n">
        <v>152</v>
      </c>
      <c r="V14" s="4" t="n">
        <v>0</v>
      </c>
      <c r="W14" s="4" t="n">
        <v>20220331</v>
      </c>
      <c r="X14" s="4" t="n">
        <v>0.857754399438039</v>
      </c>
      <c r="Y14" s="4" t="s">
        <v>207</v>
      </c>
      <c r="Z14" s="4" t="s">
        <v>60</v>
      </c>
    </row>
    <row r="15" customFormat="false" ht="15" hidden="false" customHeight="false" outlineLevel="0" collapsed="false">
      <c r="A15" s="4" t="n">
        <v>15</v>
      </c>
      <c r="B15" s="4" t="n">
        <v>1002149</v>
      </c>
      <c r="C15" s="4" t="n">
        <v>17741</v>
      </c>
      <c r="D15" s="4" t="n">
        <v>846927</v>
      </c>
      <c r="E15" s="4" t="s">
        <v>208</v>
      </c>
      <c r="F15" s="4" t="n">
        <v>129919</v>
      </c>
      <c r="G15" s="4" t="s">
        <v>209</v>
      </c>
      <c r="H15" s="4" t="s">
        <v>210</v>
      </c>
      <c r="I15" s="4" t="s">
        <v>211</v>
      </c>
      <c r="J15" s="4" t="s">
        <v>212</v>
      </c>
      <c r="K15" s="4" t="s">
        <v>213</v>
      </c>
      <c r="L15" s="4" t="n">
        <v>796765</v>
      </c>
      <c r="M15" s="4" t="s">
        <v>214</v>
      </c>
      <c r="N15" s="4" t="n">
        <v>747285</v>
      </c>
      <c r="O15" s="4" t="n">
        <v>1717</v>
      </c>
      <c r="P15" s="4" t="s">
        <v>215</v>
      </c>
      <c r="Q15" s="4" t="s">
        <v>216</v>
      </c>
      <c r="R15" s="4" t="s">
        <v>217</v>
      </c>
      <c r="S15" s="4" t="s">
        <v>218</v>
      </c>
      <c r="T15" s="4" t="s">
        <v>219</v>
      </c>
      <c r="U15" s="4" t="n">
        <v>0</v>
      </c>
      <c r="V15" s="4" t="n">
        <v>0</v>
      </c>
      <c r="W15" s="4" t="n">
        <v>20220331</v>
      </c>
      <c r="X15" s="4" t="n">
        <v>0.582462366574648</v>
      </c>
      <c r="Y15" s="4" t="s">
        <v>220</v>
      </c>
      <c r="Z15" s="4" t="s">
        <v>60</v>
      </c>
    </row>
    <row r="16" customFormat="false" ht="15" hidden="false" customHeight="false" outlineLevel="0" collapsed="false">
      <c r="A16" s="4" t="n">
        <v>16</v>
      </c>
      <c r="B16" s="4" t="n">
        <v>1158500</v>
      </c>
      <c r="C16" s="4" t="n">
        <v>17743</v>
      </c>
      <c r="D16" s="4" t="n">
        <v>899083</v>
      </c>
      <c r="E16" s="4" t="s">
        <v>61</v>
      </c>
      <c r="F16" s="4" t="n">
        <v>126783</v>
      </c>
      <c r="G16" s="4" t="s">
        <v>221</v>
      </c>
      <c r="H16" s="4" t="s">
        <v>222</v>
      </c>
      <c r="I16" s="4" t="s">
        <v>223</v>
      </c>
      <c r="J16" s="4" t="s">
        <v>224</v>
      </c>
      <c r="K16" s="4" t="s">
        <v>225</v>
      </c>
      <c r="L16" s="4" t="n">
        <v>918017</v>
      </c>
      <c r="M16" s="4" t="s">
        <v>226</v>
      </c>
      <c r="N16" s="4" t="n">
        <v>873409</v>
      </c>
      <c r="O16" s="4" t="n">
        <v>3568</v>
      </c>
      <c r="P16" s="4" t="s">
        <v>227</v>
      </c>
      <c r="Q16" s="4" t="s">
        <v>228</v>
      </c>
      <c r="R16" s="4" t="s">
        <v>229</v>
      </c>
      <c r="S16" s="4" t="s">
        <v>230</v>
      </c>
      <c r="T16" s="4" t="s">
        <v>231</v>
      </c>
      <c r="U16" s="4" t="n">
        <v>35</v>
      </c>
      <c r="V16" s="4" t="n">
        <v>0</v>
      </c>
      <c r="W16" s="4" t="n">
        <v>20220331</v>
      </c>
      <c r="X16" s="4" t="n">
        <v>0.398424271744013</v>
      </c>
      <c r="Y16" s="4" t="s">
        <v>232</v>
      </c>
      <c r="Z16" s="4" t="s">
        <v>60</v>
      </c>
    </row>
    <row r="17" customFormat="false" ht="15" hidden="false" customHeight="false" outlineLevel="0" collapsed="false">
      <c r="A17" s="4" t="n">
        <v>17</v>
      </c>
      <c r="B17" s="4" t="n">
        <v>1547967</v>
      </c>
      <c r="C17" s="4" t="n">
        <v>17748</v>
      </c>
      <c r="D17" s="4" t="n">
        <v>1360876</v>
      </c>
      <c r="E17" s="4" t="s">
        <v>233</v>
      </c>
      <c r="F17" s="4" t="n">
        <v>122781</v>
      </c>
      <c r="G17" s="4" t="s">
        <v>234</v>
      </c>
      <c r="H17" s="4" t="s">
        <v>235</v>
      </c>
      <c r="I17" s="4" t="s">
        <v>236</v>
      </c>
      <c r="J17" s="4" t="s">
        <v>237</v>
      </c>
      <c r="K17" s="4" t="s">
        <v>238</v>
      </c>
      <c r="L17" s="4" t="n">
        <v>1135646</v>
      </c>
      <c r="M17" s="4" t="s">
        <v>239</v>
      </c>
      <c r="N17" s="4" t="n">
        <v>958834</v>
      </c>
      <c r="O17" s="4" t="n">
        <v>7767</v>
      </c>
      <c r="P17" s="4" t="s">
        <v>240</v>
      </c>
      <c r="Q17" s="4" t="s">
        <v>241</v>
      </c>
      <c r="R17" s="4" t="s">
        <v>242</v>
      </c>
      <c r="S17" s="4" t="s">
        <v>243</v>
      </c>
      <c r="T17" s="4" t="s">
        <v>244</v>
      </c>
      <c r="U17" s="4" t="n">
        <v>0</v>
      </c>
      <c r="V17" s="4" t="n">
        <v>0</v>
      </c>
      <c r="W17" s="4" t="n">
        <v>20220331</v>
      </c>
      <c r="X17" s="4" t="n">
        <v>-0.306198776629676</v>
      </c>
      <c r="Y17" s="4" t="s">
        <v>245</v>
      </c>
      <c r="Z17" s="4" t="s">
        <v>60</v>
      </c>
    </row>
    <row r="18" customFormat="false" ht="15" hidden="false" customHeight="false" outlineLevel="0" collapsed="false">
      <c r="A18" s="4" t="n">
        <v>18</v>
      </c>
      <c r="B18" s="4" t="n">
        <v>1206621</v>
      </c>
      <c r="C18" s="4" t="n">
        <v>17749</v>
      </c>
      <c r="D18" s="4" t="n">
        <v>984705</v>
      </c>
      <c r="E18" s="4" t="s">
        <v>246</v>
      </c>
      <c r="F18" s="4" t="n">
        <v>164326</v>
      </c>
      <c r="G18" s="4" t="s">
        <v>247</v>
      </c>
      <c r="H18" s="4" t="s">
        <v>248</v>
      </c>
      <c r="I18" s="4" t="s">
        <v>249</v>
      </c>
      <c r="J18" s="4" t="s">
        <v>250</v>
      </c>
      <c r="K18" s="4" t="s">
        <v>251</v>
      </c>
      <c r="L18" s="4" t="n">
        <v>665780</v>
      </c>
      <c r="M18" s="4" t="s">
        <v>252</v>
      </c>
      <c r="N18" s="4" t="n">
        <v>595069</v>
      </c>
      <c r="O18" s="4" t="n">
        <v>225</v>
      </c>
      <c r="P18" s="4" t="s">
        <v>253</v>
      </c>
      <c r="Q18" s="4" t="s">
        <v>254</v>
      </c>
      <c r="R18" s="4" t="s">
        <v>255</v>
      </c>
      <c r="S18" s="4" t="s">
        <v>256</v>
      </c>
      <c r="T18" s="4" t="s">
        <v>257</v>
      </c>
      <c r="U18" s="4" t="n">
        <v>27</v>
      </c>
      <c r="V18" s="4" t="n">
        <v>0</v>
      </c>
      <c r="W18" s="4" t="n">
        <v>20220331</v>
      </c>
      <c r="X18" s="4" t="n">
        <v>0.178286406605462</v>
      </c>
      <c r="Y18" s="4" t="s">
        <v>258</v>
      </c>
      <c r="Z18" s="4" t="s">
        <v>60</v>
      </c>
    </row>
    <row r="19" customFormat="false" ht="15" hidden="false" customHeight="false" outlineLevel="0" collapsed="false">
      <c r="A19" s="4" t="n">
        <v>19</v>
      </c>
      <c r="B19" s="4" t="n">
        <v>1361626</v>
      </c>
      <c r="C19" s="4" t="n">
        <v>17751</v>
      </c>
      <c r="D19" s="4" t="n">
        <v>1200633</v>
      </c>
      <c r="E19" s="4" t="s">
        <v>259</v>
      </c>
      <c r="F19" s="4" t="n">
        <v>129404</v>
      </c>
      <c r="G19" s="4" t="s">
        <v>260</v>
      </c>
      <c r="H19" s="4" t="s">
        <v>261</v>
      </c>
      <c r="I19" s="4" t="s">
        <v>262</v>
      </c>
      <c r="J19" s="4" t="s">
        <v>263</v>
      </c>
      <c r="K19" s="4" t="s">
        <v>264</v>
      </c>
      <c r="L19" s="4" t="n">
        <v>1081029</v>
      </c>
      <c r="M19" s="4" t="s">
        <v>265</v>
      </c>
      <c r="N19" s="4" t="n">
        <v>913702</v>
      </c>
      <c r="O19" s="4" t="n">
        <v>2344</v>
      </c>
      <c r="P19" s="4" t="s">
        <v>266</v>
      </c>
      <c r="Q19" s="4" t="s">
        <v>267</v>
      </c>
      <c r="R19" s="4" t="s">
        <v>268</v>
      </c>
      <c r="S19" s="4" t="s">
        <v>205</v>
      </c>
      <c r="T19" s="4" t="s">
        <v>269</v>
      </c>
      <c r="U19" s="4" t="n">
        <v>0</v>
      </c>
      <c r="V19" s="4" t="n">
        <v>13.7738528053916</v>
      </c>
      <c r="W19" s="4" t="n">
        <v>20220331</v>
      </c>
      <c r="X19" s="4" t="n">
        <v>0.508705684917139</v>
      </c>
      <c r="Y19" s="4" t="s">
        <v>270</v>
      </c>
      <c r="Z19" s="4" t="s">
        <v>60</v>
      </c>
    </row>
    <row r="20" customFormat="false" ht="15" hidden="false" customHeight="false" outlineLevel="0" collapsed="false">
      <c r="A20" s="4" t="n">
        <v>20</v>
      </c>
      <c r="B20" s="4" t="n">
        <v>1471217</v>
      </c>
      <c r="C20" s="4" t="n">
        <v>17897</v>
      </c>
      <c r="D20" s="4" t="n">
        <v>1215413</v>
      </c>
      <c r="E20" s="4" t="s">
        <v>271</v>
      </c>
      <c r="F20" s="4" t="n">
        <v>198845</v>
      </c>
      <c r="G20" s="4" t="s">
        <v>272</v>
      </c>
      <c r="H20" s="4" t="s">
        <v>273</v>
      </c>
      <c r="I20" s="4" t="s">
        <v>274</v>
      </c>
      <c r="J20" s="4" t="s">
        <v>275</v>
      </c>
      <c r="K20" s="4" t="s">
        <v>276</v>
      </c>
      <c r="L20" s="4" t="n">
        <v>1226087</v>
      </c>
      <c r="M20" s="4" t="s">
        <v>277</v>
      </c>
      <c r="N20" s="4" t="n">
        <v>1160300</v>
      </c>
      <c r="O20" s="4" t="n">
        <v>3293</v>
      </c>
      <c r="P20" s="4" t="s">
        <v>278</v>
      </c>
      <c r="Q20" s="4" t="s">
        <v>279</v>
      </c>
      <c r="R20" s="4" t="s">
        <v>280</v>
      </c>
      <c r="S20" s="4" t="s">
        <v>281</v>
      </c>
      <c r="T20" s="4" t="s">
        <v>282</v>
      </c>
      <c r="U20" s="4" t="n">
        <v>0</v>
      </c>
      <c r="V20" s="4" t="n">
        <v>0</v>
      </c>
      <c r="W20" s="4" t="n">
        <v>20220331</v>
      </c>
      <c r="X20" s="4" t="n">
        <v>-0.20422436033401</v>
      </c>
      <c r="Y20" s="4" t="s">
        <v>283</v>
      </c>
      <c r="Z20" s="4" t="s">
        <v>60</v>
      </c>
    </row>
    <row r="21" customFormat="false" ht="15" hidden="false" customHeight="false" outlineLevel="0" collapsed="false">
      <c r="A21" s="0" t="n">
        <v>21</v>
      </c>
      <c r="B21" s="0" t="n">
        <v>702702</v>
      </c>
      <c r="C21" s="0" t="n">
        <v>17951</v>
      </c>
      <c r="D21" s="0" t="n">
        <v>626605</v>
      </c>
      <c r="E21" s="0" t="s">
        <v>246</v>
      </c>
      <c r="F21" s="0" t="n">
        <v>57001</v>
      </c>
      <c r="G21" s="0" t="s">
        <v>284</v>
      </c>
      <c r="H21" s="0" t="s">
        <v>285</v>
      </c>
      <c r="I21" s="0" t="s">
        <v>286</v>
      </c>
      <c r="J21" s="0" t="s">
        <v>287</v>
      </c>
      <c r="K21" s="0" t="s">
        <v>288</v>
      </c>
      <c r="L21" s="0" t="n">
        <v>455133</v>
      </c>
      <c r="M21" s="0" t="s">
        <v>289</v>
      </c>
      <c r="N21" s="0" t="n">
        <v>417998</v>
      </c>
      <c r="O21" s="0" t="n">
        <v>1046</v>
      </c>
      <c r="P21" s="0" t="s">
        <v>290</v>
      </c>
      <c r="Q21" s="0" t="s">
        <v>291</v>
      </c>
      <c r="R21" s="0" t="s">
        <v>292</v>
      </c>
      <c r="S21" s="0" t="s">
        <v>293</v>
      </c>
      <c r="T21" s="0" t="s">
        <v>294</v>
      </c>
      <c r="U21" s="0" t="n">
        <v>0</v>
      </c>
      <c r="V21" s="0" t="n">
        <v>15.5380723051999</v>
      </c>
      <c r="W21" s="0" t="n">
        <v>20220331</v>
      </c>
      <c r="X21" s="0" t="n">
        <v>0.914855176699387</v>
      </c>
      <c r="Y21" s="0" t="s">
        <v>295</v>
      </c>
      <c r="Z21" s="0" t="s">
        <v>158</v>
      </c>
    </row>
    <row r="22" customFormat="false" ht="15" hidden="false" customHeight="false" outlineLevel="0" collapsed="false">
      <c r="A22" s="0" t="n">
        <v>22</v>
      </c>
      <c r="B22" s="0" t="n">
        <v>1150436</v>
      </c>
      <c r="C22" s="0" t="n">
        <v>17960</v>
      </c>
      <c r="D22" s="0" t="n">
        <v>962644</v>
      </c>
      <c r="E22" s="0" t="s">
        <v>259</v>
      </c>
      <c r="F22" s="0" t="n">
        <v>107341</v>
      </c>
      <c r="G22" s="0" t="s">
        <v>296</v>
      </c>
      <c r="H22" s="0" t="s">
        <v>297</v>
      </c>
      <c r="I22" s="0" t="s">
        <v>298</v>
      </c>
      <c r="J22" s="0" t="s">
        <v>299</v>
      </c>
      <c r="K22" s="0" t="s">
        <v>300</v>
      </c>
      <c r="L22" s="0" t="n">
        <v>940745</v>
      </c>
      <c r="M22" s="0" t="s">
        <v>301</v>
      </c>
      <c r="N22" s="0" t="n">
        <v>701328</v>
      </c>
      <c r="O22" s="0" t="n">
        <v>462</v>
      </c>
      <c r="P22" s="0" t="s">
        <v>302</v>
      </c>
      <c r="Q22" s="0" t="s">
        <v>303</v>
      </c>
      <c r="R22" s="0" t="s">
        <v>304</v>
      </c>
      <c r="S22" s="0" t="s">
        <v>108</v>
      </c>
      <c r="T22" s="0" t="s">
        <v>305</v>
      </c>
      <c r="U22" s="0" t="n">
        <v>0</v>
      </c>
      <c r="V22" s="0" t="n">
        <v>14.4388795444508</v>
      </c>
      <c r="W22" s="0" t="n">
        <v>20220331</v>
      </c>
      <c r="X22" s="0" t="n">
        <v>0.833049601017634</v>
      </c>
      <c r="Y22" s="0" t="s">
        <v>59</v>
      </c>
      <c r="Z22" s="0" t="s">
        <v>158</v>
      </c>
    </row>
    <row r="23" customFormat="false" ht="15" hidden="false" customHeight="false" outlineLevel="0" collapsed="false">
      <c r="A23" s="0" t="n">
        <v>23</v>
      </c>
      <c r="B23" s="0" t="n">
        <v>2361388</v>
      </c>
      <c r="C23" s="0" t="n">
        <v>18012</v>
      </c>
      <c r="D23" s="0" t="n">
        <v>1985720</v>
      </c>
      <c r="E23" s="0" t="s">
        <v>271</v>
      </c>
      <c r="F23" s="0" t="n">
        <v>235718</v>
      </c>
      <c r="G23" s="0" t="s">
        <v>306</v>
      </c>
      <c r="H23" s="0" t="s">
        <v>307</v>
      </c>
      <c r="I23" s="0" t="s">
        <v>308</v>
      </c>
      <c r="J23" s="0" t="s">
        <v>309</v>
      </c>
      <c r="K23" s="0" t="s">
        <v>310</v>
      </c>
      <c r="L23" s="0" t="n">
        <v>1846391</v>
      </c>
      <c r="M23" s="0" t="s">
        <v>311</v>
      </c>
      <c r="N23" s="0" t="n">
        <v>1710167</v>
      </c>
      <c r="O23" s="0" t="n">
        <v>1611</v>
      </c>
      <c r="P23" s="0" t="s">
        <v>312</v>
      </c>
      <c r="Q23" s="0" t="s">
        <v>313</v>
      </c>
      <c r="R23" s="0" t="s">
        <v>314</v>
      </c>
      <c r="S23" s="0" t="s">
        <v>315</v>
      </c>
      <c r="T23" s="0" t="s">
        <v>316</v>
      </c>
      <c r="U23" s="0" t="n">
        <v>0</v>
      </c>
      <c r="V23" s="0" t="n">
        <v>12.5879724374004</v>
      </c>
      <c r="W23" s="0" t="n">
        <v>20220331</v>
      </c>
      <c r="X23" s="0" t="n">
        <v>1.38990310237064</v>
      </c>
      <c r="Y23" s="0" t="s">
        <v>317</v>
      </c>
      <c r="Z23" s="0" t="s">
        <v>158</v>
      </c>
    </row>
    <row r="24" customFormat="false" ht="15" hidden="false" customHeight="false" outlineLevel="0" collapsed="false">
      <c r="A24" s="0" t="n">
        <v>24</v>
      </c>
      <c r="B24" s="0" t="n">
        <v>2600482</v>
      </c>
      <c r="C24" s="0" t="n">
        <v>18013</v>
      </c>
      <c r="D24" s="0" t="n">
        <v>2300252</v>
      </c>
      <c r="E24" s="0" t="s">
        <v>61</v>
      </c>
      <c r="F24" s="0" t="n">
        <v>212897</v>
      </c>
      <c r="G24" s="0" t="s">
        <v>318</v>
      </c>
      <c r="H24" s="0" t="s">
        <v>319</v>
      </c>
      <c r="I24" s="0" t="s">
        <v>320</v>
      </c>
      <c r="J24" s="0" t="s">
        <v>321</v>
      </c>
      <c r="K24" s="0" t="s">
        <v>322</v>
      </c>
      <c r="L24" s="0" t="n">
        <v>1930494</v>
      </c>
      <c r="M24" s="0" t="s">
        <v>323</v>
      </c>
      <c r="N24" s="0" t="n">
        <v>1765339</v>
      </c>
      <c r="O24" s="0" t="n">
        <v>1382</v>
      </c>
      <c r="P24" s="0" t="s">
        <v>324</v>
      </c>
      <c r="Q24" s="0" t="s">
        <v>325</v>
      </c>
      <c r="R24" s="0" t="s">
        <v>326</v>
      </c>
      <c r="S24" s="0" t="s">
        <v>327</v>
      </c>
      <c r="T24" s="0" t="s">
        <v>328</v>
      </c>
      <c r="U24" s="0" t="n">
        <v>210</v>
      </c>
      <c r="V24" s="0" t="n">
        <v>14.3274834905896</v>
      </c>
      <c r="W24" s="0" t="n">
        <v>20220331</v>
      </c>
      <c r="X24" s="0" t="n">
        <v>0.731150038080731</v>
      </c>
      <c r="Y24" s="0" t="s">
        <v>329</v>
      </c>
      <c r="Z24" s="0" t="s">
        <v>158</v>
      </c>
    </row>
    <row r="25" customFormat="false" ht="15" hidden="false" customHeight="false" outlineLevel="0" collapsed="false">
      <c r="A25" s="0" t="n">
        <v>25</v>
      </c>
      <c r="B25" s="0" t="n">
        <v>376087</v>
      </c>
      <c r="C25" s="0" t="n">
        <v>18028</v>
      </c>
      <c r="D25" s="0" t="n">
        <v>329792</v>
      </c>
      <c r="E25" s="0" t="s">
        <v>330</v>
      </c>
      <c r="F25" s="0" t="n">
        <v>41683</v>
      </c>
      <c r="G25" s="0" t="s">
        <v>331</v>
      </c>
      <c r="H25" s="0" t="s">
        <v>332</v>
      </c>
      <c r="I25" s="0" t="s">
        <v>333</v>
      </c>
      <c r="J25" s="0" t="s">
        <v>334</v>
      </c>
      <c r="K25" s="0" t="s">
        <v>335</v>
      </c>
      <c r="L25" s="0" t="n">
        <v>230734</v>
      </c>
      <c r="M25" s="0" t="s">
        <v>336</v>
      </c>
      <c r="N25" s="0" t="n">
        <v>205024</v>
      </c>
      <c r="O25" s="0" t="n">
        <v>1080</v>
      </c>
      <c r="P25" s="0" t="s">
        <v>337</v>
      </c>
      <c r="Q25" s="0" t="s">
        <v>338</v>
      </c>
      <c r="R25" s="0" t="s">
        <v>339</v>
      </c>
      <c r="S25" s="0" t="s">
        <v>340</v>
      </c>
      <c r="T25" s="0" t="s">
        <v>341</v>
      </c>
      <c r="U25" s="0" t="n">
        <v>46</v>
      </c>
      <c r="V25" s="0" t="n">
        <v>0</v>
      </c>
      <c r="W25" s="0" t="n">
        <v>20220331</v>
      </c>
      <c r="X25" s="0" t="n">
        <v>0.799467731204258</v>
      </c>
      <c r="Y25" s="0" t="s">
        <v>342</v>
      </c>
      <c r="Z25" s="0" t="s">
        <v>158</v>
      </c>
    </row>
    <row r="26" customFormat="false" ht="15" hidden="false" customHeight="false" outlineLevel="0" collapsed="false">
      <c r="A26" s="0" t="n">
        <v>26</v>
      </c>
      <c r="B26" s="0" t="n">
        <v>675480</v>
      </c>
      <c r="C26" s="0" t="n">
        <v>18030</v>
      </c>
      <c r="D26" s="0" t="n">
        <v>625612</v>
      </c>
      <c r="E26" s="0" t="s">
        <v>85</v>
      </c>
      <c r="F26" s="0" t="n">
        <v>47946</v>
      </c>
      <c r="G26" s="0" t="s">
        <v>343</v>
      </c>
      <c r="H26" s="0" t="s">
        <v>344</v>
      </c>
      <c r="I26" s="0" t="s">
        <v>345</v>
      </c>
      <c r="J26" s="0" t="s">
        <v>346</v>
      </c>
      <c r="K26" s="0" t="s">
        <v>347</v>
      </c>
      <c r="L26" s="0" t="n">
        <v>485470</v>
      </c>
      <c r="M26" s="0" t="s">
        <v>348</v>
      </c>
      <c r="N26" s="0" t="n">
        <v>383166</v>
      </c>
      <c r="O26" s="0" t="n">
        <v>602</v>
      </c>
      <c r="P26" s="0" t="s">
        <v>349</v>
      </c>
      <c r="Q26" s="0" t="s">
        <v>350</v>
      </c>
      <c r="R26" s="0" t="s">
        <v>351</v>
      </c>
      <c r="S26" s="0" t="s">
        <v>352</v>
      </c>
      <c r="T26" s="0" t="s">
        <v>353</v>
      </c>
      <c r="U26" s="0" t="n">
        <v>120</v>
      </c>
      <c r="V26" s="0" t="n">
        <v>14.5080691206684</v>
      </c>
      <c r="W26" s="0" t="n">
        <v>20220331</v>
      </c>
      <c r="X26" s="0" t="n">
        <v>0.354625753802855</v>
      </c>
      <c r="Y26" s="0" t="s">
        <v>354</v>
      </c>
      <c r="Z26" s="0" t="s">
        <v>158</v>
      </c>
    </row>
    <row r="27" customFormat="false" ht="15" hidden="false" customHeight="false" outlineLevel="0" collapsed="false">
      <c r="A27" s="0" t="n">
        <v>27</v>
      </c>
      <c r="B27" s="0" t="n">
        <v>618579</v>
      </c>
      <c r="C27" s="0" t="n">
        <v>18031</v>
      </c>
      <c r="D27" s="0" t="n">
        <v>539167</v>
      </c>
      <c r="E27" s="0" t="s">
        <v>61</v>
      </c>
      <c r="F27" s="0" t="n">
        <v>45852</v>
      </c>
      <c r="G27" s="0" t="s">
        <v>355</v>
      </c>
      <c r="H27" s="0" t="s">
        <v>356</v>
      </c>
      <c r="I27" s="0" t="s">
        <v>357</v>
      </c>
      <c r="J27" s="0" t="s">
        <v>358</v>
      </c>
      <c r="K27" s="0" t="s">
        <v>359</v>
      </c>
      <c r="L27" s="0" t="n">
        <v>414273</v>
      </c>
      <c r="M27" s="0" t="s">
        <v>360</v>
      </c>
      <c r="N27" s="0" t="n">
        <v>368428</v>
      </c>
      <c r="O27" s="0" t="n">
        <v>602</v>
      </c>
      <c r="P27" s="0" t="s">
        <v>361</v>
      </c>
      <c r="Q27" s="0" t="s">
        <v>362</v>
      </c>
      <c r="R27" s="0" t="s">
        <v>363</v>
      </c>
      <c r="S27" s="0" t="s">
        <v>95</v>
      </c>
      <c r="T27" s="0" t="s">
        <v>364</v>
      </c>
      <c r="U27" s="0" t="n">
        <v>0</v>
      </c>
      <c r="V27" s="0" t="n">
        <v>0</v>
      </c>
      <c r="W27" s="0" t="n">
        <v>20220331</v>
      </c>
      <c r="X27" s="0" t="n">
        <v>0.474826734203215</v>
      </c>
      <c r="Y27" s="0" t="s">
        <v>365</v>
      </c>
      <c r="Z27" s="0" t="s">
        <v>158</v>
      </c>
    </row>
    <row r="28" customFormat="false" ht="15" hidden="false" customHeight="false" outlineLevel="0" collapsed="false">
      <c r="A28" s="0" t="n">
        <v>28</v>
      </c>
      <c r="B28" s="0" t="n">
        <v>483496</v>
      </c>
      <c r="C28" s="0" t="n">
        <v>18038</v>
      </c>
      <c r="D28" s="0" t="n">
        <v>404536</v>
      </c>
      <c r="E28" s="0" t="s">
        <v>271</v>
      </c>
      <c r="F28" s="0" t="n">
        <v>69131</v>
      </c>
      <c r="G28" s="0" t="s">
        <v>366</v>
      </c>
      <c r="H28" s="0" t="s">
        <v>367</v>
      </c>
      <c r="I28" s="0" t="s">
        <v>368</v>
      </c>
      <c r="J28" s="0" t="s">
        <v>369</v>
      </c>
      <c r="K28" s="0" t="s">
        <v>370</v>
      </c>
      <c r="L28" s="0" t="n">
        <v>356852</v>
      </c>
      <c r="M28" s="0" t="s">
        <v>371</v>
      </c>
      <c r="N28" s="0" t="n">
        <v>335633</v>
      </c>
      <c r="O28" s="0" t="n">
        <v>2487</v>
      </c>
      <c r="P28" s="0" t="s">
        <v>372</v>
      </c>
      <c r="Q28" s="0" t="s">
        <v>373</v>
      </c>
      <c r="R28" s="0" t="s">
        <v>374</v>
      </c>
      <c r="S28" s="0" t="s">
        <v>375</v>
      </c>
      <c r="T28" s="0" t="s">
        <v>376</v>
      </c>
      <c r="U28" s="0" t="n">
        <v>0</v>
      </c>
      <c r="V28" s="0" t="n">
        <v>0</v>
      </c>
      <c r="W28" s="0" t="n">
        <v>20220331</v>
      </c>
      <c r="X28" s="0" t="n">
        <v>-0.708233314868386</v>
      </c>
      <c r="Y28" s="0" t="s">
        <v>377</v>
      </c>
      <c r="Z28" s="0" t="s">
        <v>158</v>
      </c>
    </row>
    <row r="29" customFormat="false" ht="15" hidden="false" customHeight="false" outlineLevel="0" collapsed="false">
      <c r="A29" s="0" t="n">
        <v>29</v>
      </c>
      <c r="B29" s="0" t="n">
        <v>6919263</v>
      </c>
      <c r="C29" s="0" t="n">
        <v>18408</v>
      </c>
      <c r="D29" s="0" t="n">
        <v>5759296</v>
      </c>
      <c r="E29" s="0" t="s">
        <v>61</v>
      </c>
      <c r="F29" s="0" t="n">
        <v>446779</v>
      </c>
      <c r="G29" s="0" t="s">
        <v>378</v>
      </c>
      <c r="H29" s="0" t="s">
        <v>379</v>
      </c>
      <c r="I29" s="0" t="s">
        <v>380</v>
      </c>
      <c r="J29" s="0" t="s">
        <v>381</v>
      </c>
      <c r="K29" s="0" t="s">
        <v>382</v>
      </c>
      <c r="L29" s="0" t="n">
        <v>3977154</v>
      </c>
      <c r="M29" s="0" t="s">
        <v>383</v>
      </c>
      <c r="N29" s="0" t="n">
        <v>3596517</v>
      </c>
      <c r="O29" s="0" t="n">
        <v>4978</v>
      </c>
      <c r="P29" s="0" t="s">
        <v>384</v>
      </c>
      <c r="Q29" s="0" t="s">
        <v>385</v>
      </c>
      <c r="R29" s="0" t="s">
        <v>386</v>
      </c>
      <c r="S29" s="0" t="s">
        <v>387</v>
      </c>
      <c r="T29" s="0" t="s">
        <v>388</v>
      </c>
      <c r="U29" s="0" t="n">
        <v>0</v>
      </c>
      <c r="V29" s="0" t="n">
        <v>13.1233075612294</v>
      </c>
      <c r="W29" s="0" t="n">
        <v>20220331</v>
      </c>
      <c r="X29" s="0" t="n">
        <v>0.599350000296493</v>
      </c>
      <c r="Y29" s="0" t="s">
        <v>389</v>
      </c>
      <c r="Z29" s="0" t="s">
        <v>60</v>
      </c>
    </row>
    <row r="30" customFormat="false" ht="15" hidden="false" customHeight="false" outlineLevel="0" collapsed="false">
      <c r="A30" s="0" t="n">
        <v>30</v>
      </c>
      <c r="B30" s="0" t="n">
        <v>2173098</v>
      </c>
      <c r="C30" s="0" t="n">
        <v>19531</v>
      </c>
      <c r="D30" s="0" t="n">
        <v>1922538</v>
      </c>
      <c r="E30" s="0" t="s">
        <v>390</v>
      </c>
      <c r="F30" s="0" t="n">
        <v>230604</v>
      </c>
      <c r="G30" s="0" t="s">
        <v>391</v>
      </c>
      <c r="H30" s="0" t="s">
        <v>392</v>
      </c>
      <c r="I30" s="0" t="s">
        <v>393</v>
      </c>
      <c r="J30" s="0" t="s">
        <v>394</v>
      </c>
      <c r="K30" s="0" t="s">
        <v>395</v>
      </c>
      <c r="L30" s="0" t="n">
        <v>1643228</v>
      </c>
      <c r="M30" s="0" t="s">
        <v>396</v>
      </c>
      <c r="N30" s="0" t="n">
        <v>1345130</v>
      </c>
      <c r="O30" s="0" t="n">
        <v>5998</v>
      </c>
      <c r="P30" s="0" t="s">
        <v>397</v>
      </c>
      <c r="Q30" s="0" t="s">
        <v>398</v>
      </c>
      <c r="R30" s="0" t="s">
        <v>399</v>
      </c>
      <c r="S30" s="0" t="s">
        <v>400</v>
      </c>
      <c r="T30" s="0" t="s">
        <v>401</v>
      </c>
      <c r="U30" s="0" t="n">
        <v>418</v>
      </c>
      <c r="V30" s="0" t="n">
        <v>15.6563181861576</v>
      </c>
      <c r="W30" s="0" t="n">
        <v>20220331</v>
      </c>
      <c r="X30" s="0" t="n">
        <v>0.72578440299364</v>
      </c>
      <c r="Y30" s="0" t="s">
        <v>402</v>
      </c>
      <c r="Z30" s="0" t="s">
        <v>60</v>
      </c>
    </row>
    <row r="31" customFormat="false" ht="15" hidden="false" customHeight="false" outlineLevel="0" collapsed="false">
      <c r="A31" s="0" t="n">
        <v>31</v>
      </c>
      <c r="B31" s="0" t="n">
        <v>770032</v>
      </c>
      <c r="C31" s="0" t="n">
        <v>19532</v>
      </c>
      <c r="D31" s="0" t="n">
        <v>660375</v>
      </c>
      <c r="E31" s="0" t="s">
        <v>195</v>
      </c>
      <c r="F31" s="0" t="n">
        <v>96137</v>
      </c>
      <c r="G31" s="0" t="s">
        <v>403</v>
      </c>
      <c r="H31" s="0" t="s">
        <v>404</v>
      </c>
      <c r="I31" s="0" t="s">
        <v>405</v>
      </c>
      <c r="J31" s="0" t="s">
        <v>406</v>
      </c>
      <c r="K31" s="0" t="s">
        <v>407</v>
      </c>
      <c r="L31" s="0" t="n">
        <v>500389</v>
      </c>
      <c r="M31" s="0" t="s">
        <v>408</v>
      </c>
      <c r="N31" s="0" t="n">
        <v>433748</v>
      </c>
      <c r="O31" s="0" t="n">
        <v>2804</v>
      </c>
      <c r="P31" s="0" t="s">
        <v>409</v>
      </c>
      <c r="Q31" s="0" t="s">
        <v>410</v>
      </c>
      <c r="R31" s="0" t="s">
        <v>411</v>
      </c>
      <c r="S31" s="0" t="s">
        <v>205</v>
      </c>
      <c r="T31" s="0" t="s">
        <v>412</v>
      </c>
      <c r="U31" s="0" t="n">
        <v>0</v>
      </c>
      <c r="V31" s="0" t="n">
        <v>21.7967561638214</v>
      </c>
      <c r="W31" s="0" t="n">
        <v>20220331</v>
      </c>
      <c r="X31" s="0" t="n">
        <v>0.746105488016068</v>
      </c>
      <c r="Y31" s="0" t="s">
        <v>413</v>
      </c>
      <c r="Z31" s="0" t="s">
        <v>60</v>
      </c>
    </row>
    <row r="32" customFormat="false" ht="15" hidden="false" customHeight="false" outlineLevel="0" collapsed="false">
      <c r="A32" s="0" t="n">
        <v>32</v>
      </c>
      <c r="B32" s="0" t="n">
        <v>1566116</v>
      </c>
      <c r="C32" s="0" t="n">
        <v>19690</v>
      </c>
      <c r="D32" s="0" t="n">
        <v>1284535</v>
      </c>
      <c r="E32" s="0" t="s">
        <v>159</v>
      </c>
      <c r="F32" s="0" t="n">
        <v>247469</v>
      </c>
      <c r="G32" s="0" t="s">
        <v>414</v>
      </c>
      <c r="H32" s="0" t="s">
        <v>415</v>
      </c>
      <c r="I32" s="0" t="s">
        <v>416</v>
      </c>
      <c r="J32" s="0" t="s">
        <v>417</v>
      </c>
      <c r="K32" s="0" t="s">
        <v>418</v>
      </c>
      <c r="L32" s="0" t="n">
        <v>1232325</v>
      </c>
      <c r="M32" s="0" t="s">
        <v>419</v>
      </c>
      <c r="N32" s="0" t="n">
        <v>894476</v>
      </c>
      <c r="O32" s="0" t="n">
        <v>17912</v>
      </c>
      <c r="P32" s="0" t="s">
        <v>420</v>
      </c>
      <c r="Q32" s="0" t="s">
        <v>421</v>
      </c>
      <c r="R32" s="0" t="s">
        <v>422</v>
      </c>
      <c r="S32" s="0" t="s">
        <v>423</v>
      </c>
      <c r="T32" s="0" t="s">
        <v>424</v>
      </c>
      <c r="U32" s="0" t="n">
        <v>0</v>
      </c>
      <c r="V32" s="0" t="n">
        <v>20.6019537877709</v>
      </c>
      <c r="W32" s="0" t="n">
        <v>20220331</v>
      </c>
      <c r="X32" s="0" t="n">
        <v>2.79887682741086</v>
      </c>
      <c r="Y32" s="0" t="s">
        <v>425</v>
      </c>
      <c r="Z32" s="0" t="s">
        <v>60</v>
      </c>
    </row>
    <row r="33" customFormat="false" ht="15" hidden="false" customHeight="false" outlineLevel="0" collapsed="false">
      <c r="A33" s="0" t="n">
        <v>33</v>
      </c>
      <c r="B33" s="0" t="n">
        <v>568589</v>
      </c>
      <c r="C33" s="0" t="n">
        <v>19836</v>
      </c>
      <c r="D33" s="0" t="n">
        <v>449964</v>
      </c>
      <c r="E33" s="0" t="s">
        <v>61</v>
      </c>
      <c r="F33" s="0" t="n">
        <v>112557</v>
      </c>
      <c r="G33" s="0" t="s">
        <v>426</v>
      </c>
      <c r="H33" s="0" t="s">
        <v>427</v>
      </c>
      <c r="I33" s="0" t="s">
        <v>428</v>
      </c>
      <c r="J33" s="0" t="s">
        <v>429</v>
      </c>
      <c r="K33" s="0" t="s">
        <v>430</v>
      </c>
      <c r="L33" s="0" t="n">
        <v>427806</v>
      </c>
      <c r="M33" s="0" t="s">
        <v>431</v>
      </c>
      <c r="N33" s="0" t="n">
        <v>366535</v>
      </c>
      <c r="O33" s="0" t="n">
        <v>1696</v>
      </c>
      <c r="P33" s="0" t="s">
        <v>290</v>
      </c>
      <c r="Q33" s="0" t="s">
        <v>432</v>
      </c>
      <c r="R33" s="0" t="s">
        <v>433</v>
      </c>
      <c r="S33" s="0" t="s">
        <v>205</v>
      </c>
      <c r="T33" s="0" t="s">
        <v>434</v>
      </c>
      <c r="U33" s="0" t="n">
        <v>91</v>
      </c>
      <c r="V33" s="0" t="n">
        <v>31.7038496016565</v>
      </c>
      <c r="W33" s="0" t="n">
        <v>20220331</v>
      </c>
      <c r="X33" s="0" t="n">
        <v>0.707485161136119</v>
      </c>
      <c r="Y33" s="0" t="s">
        <v>435</v>
      </c>
      <c r="Z33" s="0" t="s">
        <v>60</v>
      </c>
    </row>
    <row r="34" customFormat="false" ht="15" hidden="false" customHeight="false" outlineLevel="0" collapsed="false">
      <c r="A34" s="0" t="n">
        <v>34</v>
      </c>
      <c r="B34" s="0" t="n">
        <v>1244446</v>
      </c>
      <c r="C34" s="0" t="n">
        <v>24540</v>
      </c>
      <c r="D34" s="0" t="n">
        <v>1040872</v>
      </c>
      <c r="E34" s="0" t="s">
        <v>436</v>
      </c>
      <c r="F34" s="0" t="n">
        <v>192853</v>
      </c>
      <c r="G34" s="0" t="s">
        <v>437</v>
      </c>
      <c r="H34" s="0" t="s">
        <v>438</v>
      </c>
      <c r="I34" s="0" t="s">
        <v>439</v>
      </c>
      <c r="J34" s="0" t="s">
        <v>440</v>
      </c>
      <c r="K34" s="0" t="s">
        <v>441</v>
      </c>
      <c r="L34" s="0" t="n">
        <v>1020810</v>
      </c>
      <c r="M34" s="0" t="s">
        <v>442</v>
      </c>
      <c r="N34" s="0" t="n">
        <v>977701</v>
      </c>
      <c r="O34" s="0" t="n">
        <v>815</v>
      </c>
      <c r="P34" s="0" t="s">
        <v>443</v>
      </c>
      <c r="Q34" s="0" t="s">
        <v>444</v>
      </c>
      <c r="R34" s="0" t="s">
        <v>445</v>
      </c>
      <c r="S34" s="0" t="s">
        <v>61</v>
      </c>
      <c r="T34" s="0" t="s">
        <v>61</v>
      </c>
      <c r="U34" s="0" t="n">
        <v>0</v>
      </c>
      <c r="V34" s="0" t="n">
        <v>0</v>
      </c>
      <c r="W34" s="0" t="n">
        <v>20220331</v>
      </c>
      <c r="X34" s="0" t="n">
        <v>2.22850033777255</v>
      </c>
      <c r="Y34" s="0" t="s">
        <v>446</v>
      </c>
      <c r="Z34" s="0" t="s">
        <v>158</v>
      </c>
    </row>
    <row r="35" customFormat="false" ht="15" hidden="false" customHeight="false" outlineLevel="0" collapsed="false">
      <c r="A35" s="0" t="n">
        <v>35</v>
      </c>
      <c r="B35" s="0" t="n">
        <v>458925</v>
      </c>
      <c r="C35" s="0" t="n">
        <v>27824</v>
      </c>
      <c r="D35" s="0" t="n">
        <v>369032</v>
      </c>
      <c r="E35" s="0" t="s">
        <v>61</v>
      </c>
      <c r="F35" s="0" t="n">
        <v>69307</v>
      </c>
      <c r="G35" s="0" t="s">
        <v>447</v>
      </c>
      <c r="H35" s="0" t="s">
        <v>448</v>
      </c>
      <c r="I35" s="0" t="s">
        <v>449</v>
      </c>
      <c r="J35" s="0" t="s">
        <v>450</v>
      </c>
      <c r="K35" s="0" t="s">
        <v>451</v>
      </c>
      <c r="L35" s="0" t="n">
        <v>364112</v>
      </c>
      <c r="M35" s="0" t="s">
        <v>452</v>
      </c>
      <c r="N35" s="0" t="n">
        <v>321326</v>
      </c>
      <c r="O35" s="0" t="n">
        <v>916</v>
      </c>
      <c r="P35" s="0" t="s">
        <v>453</v>
      </c>
      <c r="Q35" s="0" t="s">
        <v>454</v>
      </c>
      <c r="R35" s="0" t="s">
        <v>455</v>
      </c>
      <c r="S35" s="0" t="s">
        <v>61</v>
      </c>
      <c r="T35" s="0" t="s">
        <v>456</v>
      </c>
      <c r="U35" s="0" t="n">
        <v>0</v>
      </c>
      <c r="V35" s="0" t="n">
        <v>25.9429561741573</v>
      </c>
      <c r="W35" s="0" t="n">
        <v>20220331</v>
      </c>
      <c r="X35" s="0" t="n">
        <v>0.26632984641793</v>
      </c>
      <c r="Y35" s="0" t="s">
        <v>457</v>
      </c>
      <c r="Z35" s="0" t="s">
        <v>158</v>
      </c>
    </row>
    <row r="36" customFormat="false" ht="15" hidden="false" customHeight="false" outlineLevel="0" collapsed="false">
      <c r="A36" s="0" t="n">
        <v>36</v>
      </c>
      <c r="B36" s="0" t="n">
        <v>281830</v>
      </c>
      <c r="C36" s="0" t="n">
        <v>28155</v>
      </c>
      <c r="D36" s="0" t="n">
        <v>253420</v>
      </c>
      <c r="E36" s="0" t="s">
        <v>259</v>
      </c>
      <c r="F36" s="0" t="n">
        <v>27480</v>
      </c>
      <c r="G36" s="0" t="s">
        <v>458</v>
      </c>
      <c r="H36" s="0" t="s">
        <v>459</v>
      </c>
      <c r="I36" s="0" t="s">
        <v>460</v>
      </c>
      <c r="J36" s="0" t="s">
        <v>461</v>
      </c>
      <c r="K36" s="0" t="s">
        <v>462</v>
      </c>
      <c r="L36" s="0" t="n">
        <v>147197</v>
      </c>
      <c r="M36" s="0" t="s">
        <v>463</v>
      </c>
      <c r="N36" s="0" t="n">
        <v>137297</v>
      </c>
      <c r="O36" s="0" t="n">
        <v>206</v>
      </c>
      <c r="P36" s="0" t="s">
        <v>464</v>
      </c>
      <c r="Q36" s="0" t="s">
        <v>465</v>
      </c>
      <c r="R36" s="0" t="s">
        <v>466</v>
      </c>
      <c r="S36" s="0" t="s">
        <v>61</v>
      </c>
      <c r="T36" s="0" t="s">
        <v>467</v>
      </c>
      <c r="U36" s="0" t="n">
        <v>0</v>
      </c>
      <c r="V36" s="0" t="n">
        <v>19.3787051455993</v>
      </c>
      <c r="W36" s="0" t="n">
        <v>20220331</v>
      </c>
      <c r="X36" s="0" t="n">
        <v>0.225168568578782</v>
      </c>
      <c r="Y36" s="0" t="s">
        <v>468</v>
      </c>
      <c r="Z36" s="0" t="s">
        <v>158</v>
      </c>
    </row>
    <row r="37" customFormat="false" ht="15" hidden="false" customHeight="false" outlineLevel="0" collapsed="false">
      <c r="A37" s="0" t="n">
        <v>37</v>
      </c>
      <c r="B37" s="0" t="n">
        <v>92044</v>
      </c>
      <c r="C37" s="0" t="n">
        <v>28288</v>
      </c>
      <c r="D37" s="0" t="n">
        <v>76920</v>
      </c>
      <c r="E37" s="0" t="s">
        <v>61</v>
      </c>
      <c r="F37" s="0" t="n">
        <v>7147</v>
      </c>
      <c r="G37" s="0" t="s">
        <v>469</v>
      </c>
      <c r="H37" s="0" t="s">
        <v>470</v>
      </c>
      <c r="I37" s="0" t="s">
        <v>471</v>
      </c>
      <c r="J37" s="0" t="s">
        <v>472</v>
      </c>
      <c r="K37" s="0" t="s">
        <v>473</v>
      </c>
      <c r="L37" s="0" t="n">
        <v>74646</v>
      </c>
      <c r="M37" s="0" t="s">
        <v>474</v>
      </c>
      <c r="N37" s="0" t="n">
        <v>70352</v>
      </c>
      <c r="O37" s="0" t="n">
        <v>606</v>
      </c>
      <c r="P37" s="0" t="s">
        <v>475</v>
      </c>
      <c r="Q37" s="0" t="s">
        <v>476</v>
      </c>
      <c r="R37" s="0" t="s">
        <v>477</v>
      </c>
      <c r="S37" s="0" t="s">
        <v>478</v>
      </c>
      <c r="T37" s="0" t="s">
        <v>479</v>
      </c>
      <c r="U37" s="0" t="n">
        <v>0</v>
      </c>
      <c r="V37" s="0" t="n">
        <v>14.4674296503636</v>
      </c>
      <c r="W37" s="0" t="n">
        <v>20220331</v>
      </c>
      <c r="X37" s="0" t="n">
        <v>0.00432537644291855</v>
      </c>
      <c r="Y37" s="0" t="s">
        <v>246</v>
      </c>
      <c r="Z37" s="0" t="s">
        <v>60</v>
      </c>
    </row>
    <row r="38" customFormat="false" ht="15" hidden="false" customHeight="false" outlineLevel="0" collapsed="false">
      <c r="A38" s="0" t="n">
        <v>38</v>
      </c>
      <c r="B38" s="0" t="n">
        <v>85281</v>
      </c>
      <c r="C38" s="0" t="n">
        <v>28369</v>
      </c>
      <c r="D38" s="0" t="n">
        <v>75519</v>
      </c>
      <c r="E38" s="0" t="s">
        <v>259</v>
      </c>
      <c r="F38" s="0" t="n">
        <v>9337</v>
      </c>
      <c r="G38" s="0" t="s">
        <v>480</v>
      </c>
      <c r="H38" s="0" t="s">
        <v>481</v>
      </c>
      <c r="I38" s="0" t="s">
        <v>482</v>
      </c>
      <c r="J38" s="0" t="s">
        <v>483</v>
      </c>
      <c r="K38" s="0" t="s">
        <v>484</v>
      </c>
      <c r="L38" s="0" t="n">
        <v>72385</v>
      </c>
      <c r="M38" s="0" t="s">
        <v>485</v>
      </c>
      <c r="N38" s="0" t="n">
        <v>61802</v>
      </c>
      <c r="O38" s="0" t="n">
        <v>440</v>
      </c>
      <c r="P38" s="0" t="s">
        <v>486</v>
      </c>
      <c r="Q38" s="0" t="s">
        <v>487</v>
      </c>
      <c r="R38" s="0" t="s">
        <v>488</v>
      </c>
      <c r="S38" s="0" t="s">
        <v>293</v>
      </c>
      <c r="T38" s="0" t="s">
        <v>489</v>
      </c>
      <c r="U38" s="0" t="n">
        <v>0</v>
      </c>
      <c r="V38" s="0" t="n">
        <v>0</v>
      </c>
      <c r="W38" s="0" t="n">
        <v>20220331</v>
      </c>
      <c r="X38" s="0" t="n">
        <v>-0.0793086154815083</v>
      </c>
      <c r="Y38" s="0" t="s">
        <v>490</v>
      </c>
      <c r="Z38" s="0" t="s">
        <v>60</v>
      </c>
    </row>
    <row r="39" customFormat="false" ht="15" hidden="false" customHeight="false" outlineLevel="0" collapsed="false">
      <c r="A39" s="0" t="n">
        <v>39</v>
      </c>
      <c r="B39" s="0" t="n">
        <v>300452</v>
      </c>
      <c r="C39" s="0" t="n">
        <v>28837</v>
      </c>
      <c r="D39" s="0" t="n">
        <v>273714</v>
      </c>
      <c r="E39" s="0" t="s">
        <v>246</v>
      </c>
      <c r="F39" s="0" t="n">
        <v>22104</v>
      </c>
      <c r="G39" s="0" t="s">
        <v>491</v>
      </c>
      <c r="H39" s="0" t="s">
        <v>492</v>
      </c>
      <c r="I39" s="0" t="s">
        <v>493</v>
      </c>
      <c r="J39" s="0" t="s">
        <v>494</v>
      </c>
      <c r="K39" s="0" t="s">
        <v>495</v>
      </c>
      <c r="L39" s="0" t="n">
        <v>189360</v>
      </c>
      <c r="M39" s="0" t="s">
        <v>496</v>
      </c>
      <c r="N39" s="0" t="n">
        <v>180942</v>
      </c>
      <c r="O39" s="0" t="n">
        <v>71</v>
      </c>
      <c r="P39" s="0" t="s">
        <v>497</v>
      </c>
      <c r="Q39" s="0" t="s">
        <v>498</v>
      </c>
      <c r="R39" s="0" t="s">
        <v>499</v>
      </c>
      <c r="S39" s="0" t="s">
        <v>500</v>
      </c>
      <c r="T39" s="0" t="s">
        <v>501</v>
      </c>
      <c r="U39" s="0" t="n">
        <v>0</v>
      </c>
      <c r="V39" s="0" t="n">
        <v>14.5340591975845</v>
      </c>
      <c r="W39" s="0" t="n">
        <v>20220331</v>
      </c>
      <c r="X39" s="0" t="n">
        <v>0.308720697205283</v>
      </c>
      <c r="Y39" s="0" t="s">
        <v>502</v>
      </c>
      <c r="Z39" s="0" t="s">
        <v>98</v>
      </c>
    </row>
    <row r="40" customFormat="false" ht="15" hidden="false" customHeight="false" outlineLevel="0" collapsed="false">
      <c r="A40" s="0" t="n">
        <v>40</v>
      </c>
      <c r="B40" s="0" t="n">
        <v>179872</v>
      </c>
      <c r="C40" s="0" t="n">
        <v>29636</v>
      </c>
      <c r="D40" s="0" t="n">
        <v>154524</v>
      </c>
      <c r="E40" s="0" t="s">
        <v>208</v>
      </c>
      <c r="F40" s="0" t="n">
        <v>24006</v>
      </c>
      <c r="G40" s="0" t="s">
        <v>503</v>
      </c>
      <c r="H40" s="0" t="s">
        <v>504</v>
      </c>
      <c r="I40" s="0" t="s">
        <v>505</v>
      </c>
      <c r="J40" s="0" t="s">
        <v>506</v>
      </c>
      <c r="K40" s="0" t="s">
        <v>507</v>
      </c>
      <c r="L40" s="0" t="n">
        <v>108632</v>
      </c>
      <c r="M40" s="0" t="s">
        <v>508</v>
      </c>
      <c r="N40" s="0" t="n">
        <v>105234</v>
      </c>
      <c r="O40" s="0" t="n">
        <v>1233</v>
      </c>
      <c r="P40" s="0" t="s">
        <v>509</v>
      </c>
      <c r="Q40" s="0" t="s">
        <v>510</v>
      </c>
      <c r="R40" s="0" t="s">
        <v>511</v>
      </c>
      <c r="S40" s="0" t="s">
        <v>478</v>
      </c>
      <c r="T40" s="0" t="s">
        <v>512</v>
      </c>
      <c r="U40" s="0" t="n">
        <v>0</v>
      </c>
      <c r="V40" s="0" t="n">
        <v>31.9768238739019</v>
      </c>
      <c r="W40" s="0" t="n">
        <v>20220331</v>
      </c>
      <c r="X40" s="0" t="n">
        <v>0.0400102248352357</v>
      </c>
      <c r="Y40" s="0" t="s">
        <v>513</v>
      </c>
      <c r="Z40" s="0" t="s">
        <v>60</v>
      </c>
    </row>
    <row r="41" customFormat="false" ht="15" hidden="false" customHeight="false" outlineLevel="0" collapsed="false">
      <c r="A41" s="0" t="n">
        <v>41</v>
      </c>
      <c r="B41" s="0" t="n">
        <v>172820</v>
      </c>
      <c r="C41" s="0" t="n">
        <v>29743</v>
      </c>
      <c r="D41" s="0" t="n">
        <v>154916</v>
      </c>
      <c r="E41" s="0" t="s">
        <v>61</v>
      </c>
      <c r="F41" s="0" t="n">
        <v>15360</v>
      </c>
      <c r="G41" s="0" t="s">
        <v>514</v>
      </c>
      <c r="H41" s="0" t="s">
        <v>515</v>
      </c>
      <c r="I41" s="0" t="s">
        <v>516</v>
      </c>
      <c r="J41" s="0" t="s">
        <v>517</v>
      </c>
      <c r="K41" s="0" t="s">
        <v>518</v>
      </c>
      <c r="L41" s="0" t="n">
        <v>116977</v>
      </c>
      <c r="M41" s="0" t="s">
        <v>519</v>
      </c>
      <c r="N41" s="0" t="n">
        <v>77243</v>
      </c>
      <c r="O41" s="0" t="n">
        <v>442</v>
      </c>
      <c r="P41" s="0" t="s">
        <v>520</v>
      </c>
      <c r="Q41" s="0" t="s">
        <v>521</v>
      </c>
      <c r="R41" s="0" t="s">
        <v>522</v>
      </c>
      <c r="S41" s="0" t="s">
        <v>281</v>
      </c>
      <c r="T41" s="0" t="s">
        <v>523</v>
      </c>
      <c r="U41" s="0" t="n">
        <v>0</v>
      </c>
      <c r="V41" s="0" t="n">
        <v>17.2715138879417</v>
      </c>
      <c r="W41" s="0" t="n">
        <v>20220331</v>
      </c>
      <c r="X41" s="0" t="n">
        <v>0.608807104275382</v>
      </c>
      <c r="Y41" s="0" t="s">
        <v>524</v>
      </c>
      <c r="Z41" s="0" t="s">
        <v>60</v>
      </c>
    </row>
    <row r="42" customFormat="false" ht="15" hidden="false" customHeight="false" outlineLevel="0" collapsed="false">
      <c r="A42" s="0" t="n">
        <v>42</v>
      </c>
      <c r="B42" s="0" t="n">
        <v>499707</v>
      </c>
      <c r="C42" s="0" t="n">
        <v>29744</v>
      </c>
      <c r="D42" s="0" t="n">
        <v>400905</v>
      </c>
      <c r="E42" s="0" t="s">
        <v>246</v>
      </c>
      <c r="F42" s="0" t="n">
        <v>46362</v>
      </c>
      <c r="G42" s="0" t="s">
        <v>525</v>
      </c>
      <c r="H42" s="0" t="s">
        <v>526</v>
      </c>
      <c r="I42" s="0" t="s">
        <v>527</v>
      </c>
      <c r="J42" s="0" t="s">
        <v>528</v>
      </c>
      <c r="K42" s="0" t="s">
        <v>529</v>
      </c>
      <c r="L42" s="0" t="n">
        <v>379456</v>
      </c>
      <c r="M42" s="0" t="s">
        <v>530</v>
      </c>
      <c r="N42" s="0" t="n">
        <v>345285</v>
      </c>
      <c r="O42" s="0" t="n">
        <v>795</v>
      </c>
      <c r="P42" s="0" t="s">
        <v>531</v>
      </c>
      <c r="Q42" s="0" t="s">
        <v>532</v>
      </c>
      <c r="R42" s="0" t="s">
        <v>533</v>
      </c>
      <c r="S42" s="0" t="s">
        <v>534</v>
      </c>
      <c r="T42" s="0" t="s">
        <v>535</v>
      </c>
      <c r="U42" s="0" t="n">
        <v>0</v>
      </c>
      <c r="V42" s="0" t="n">
        <v>17.2969821518877</v>
      </c>
      <c r="W42" s="0" t="n">
        <v>20220331</v>
      </c>
      <c r="X42" s="0" t="n">
        <v>0.319298839198795</v>
      </c>
      <c r="Y42" s="0" t="s">
        <v>536</v>
      </c>
      <c r="Z42" s="0" t="s">
        <v>158</v>
      </c>
    </row>
    <row r="43" customFormat="false" ht="15" hidden="false" customHeight="false" outlineLevel="0" collapsed="false">
      <c r="A43" s="0" t="n">
        <v>43</v>
      </c>
      <c r="B43" s="0" t="n">
        <v>558084</v>
      </c>
      <c r="C43" s="0" t="n">
        <v>30350</v>
      </c>
      <c r="D43" s="0" t="n">
        <v>471489</v>
      </c>
      <c r="E43" s="0" t="s">
        <v>61</v>
      </c>
      <c r="F43" s="0" t="n">
        <v>51735</v>
      </c>
      <c r="G43" s="0" t="s">
        <v>537</v>
      </c>
      <c r="H43" s="0" t="s">
        <v>538</v>
      </c>
      <c r="I43" s="0" t="s">
        <v>539</v>
      </c>
      <c r="J43" s="0" t="s">
        <v>540</v>
      </c>
      <c r="K43" s="0" t="s">
        <v>541</v>
      </c>
      <c r="L43" s="0" t="n">
        <v>367722</v>
      </c>
      <c r="M43" s="0" t="s">
        <v>542</v>
      </c>
      <c r="N43" s="0" t="n">
        <v>353740</v>
      </c>
      <c r="O43" s="0" t="n">
        <v>2750</v>
      </c>
      <c r="P43" s="0" t="s">
        <v>543</v>
      </c>
      <c r="Q43" s="0" t="s">
        <v>544</v>
      </c>
      <c r="R43" s="0" t="s">
        <v>545</v>
      </c>
      <c r="S43" s="0" t="s">
        <v>155</v>
      </c>
      <c r="T43" s="0" t="s">
        <v>546</v>
      </c>
      <c r="U43" s="0" t="n">
        <v>0</v>
      </c>
      <c r="V43" s="0" t="n">
        <v>21.5752243865437</v>
      </c>
      <c r="W43" s="0" t="n">
        <v>20220331</v>
      </c>
      <c r="X43" s="0" t="n">
        <v>0.631458667705776</v>
      </c>
      <c r="Y43" s="0" t="s">
        <v>547</v>
      </c>
      <c r="Z43" s="0" t="s">
        <v>98</v>
      </c>
    </row>
    <row r="44" customFormat="false" ht="15" hidden="false" customHeight="false" outlineLevel="0" collapsed="false">
      <c r="A44" s="0" t="n">
        <v>44</v>
      </c>
      <c r="B44" s="0" t="n">
        <v>100633</v>
      </c>
      <c r="C44" s="0" t="n">
        <v>30878</v>
      </c>
      <c r="D44" s="0" t="n">
        <v>78705</v>
      </c>
      <c r="E44" s="0" t="s">
        <v>61</v>
      </c>
      <c r="F44" s="0" t="n">
        <v>12369</v>
      </c>
      <c r="G44" s="0" t="s">
        <v>548</v>
      </c>
      <c r="H44" s="0" t="s">
        <v>549</v>
      </c>
      <c r="I44" s="0" t="s">
        <v>550</v>
      </c>
      <c r="J44" s="0" t="s">
        <v>61</v>
      </c>
      <c r="K44" s="0" t="s">
        <v>551</v>
      </c>
      <c r="L44" s="0" t="n">
        <v>68876</v>
      </c>
      <c r="M44" s="0" t="s">
        <v>552</v>
      </c>
      <c r="N44" s="0" t="n">
        <v>68753</v>
      </c>
      <c r="O44" s="0" t="n">
        <v>539</v>
      </c>
      <c r="P44" s="0" t="s">
        <v>553</v>
      </c>
      <c r="Q44" s="0" t="s">
        <v>554</v>
      </c>
      <c r="R44" s="0" t="s">
        <v>555</v>
      </c>
      <c r="S44" s="0" t="s">
        <v>61</v>
      </c>
      <c r="T44" s="0" t="s">
        <v>556</v>
      </c>
      <c r="U44" s="0" t="n">
        <v>0</v>
      </c>
      <c r="V44" s="0" t="n">
        <v>0</v>
      </c>
      <c r="W44" s="0" t="n">
        <v>20220331</v>
      </c>
      <c r="X44" s="0" t="n">
        <v>0.175102599179207</v>
      </c>
      <c r="Y44" s="0" t="s">
        <v>557</v>
      </c>
      <c r="Z44" s="0" t="s">
        <v>60</v>
      </c>
    </row>
    <row r="45" customFormat="false" ht="15" hidden="false" customHeight="false" outlineLevel="0" collapsed="false">
      <c r="A45" s="0" t="n">
        <v>45</v>
      </c>
      <c r="B45" s="0" t="n">
        <v>757509</v>
      </c>
      <c r="C45" s="0" t="n">
        <v>33418</v>
      </c>
      <c r="D45" s="0" t="n">
        <v>686918</v>
      </c>
      <c r="E45" s="0" t="s">
        <v>61</v>
      </c>
      <c r="F45" s="0" t="n">
        <v>49895</v>
      </c>
      <c r="G45" s="0" t="s">
        <v>558</v>
      </c>
      <c r="H45" s="0" t="s">
        <v>559</v>
      </c>
      <c r="I45" s="0" t="s">
        <v>560</v>
      </c>
      <c r="J45" s="0" t="s">
        <v>561</v>
      </c>
      <c r="K45" s="0" t="s">
        <v>562</v>
      </c>
      <c r="L45" s="0" t="n">
        <v>358959</v>
      </c>
      <c r="M45" s="0" t="s">
        <v>563</v>
      </c>
      <c r="N45" s="0" t="n">
        <v>303204</v>
      </c>
      <c r="O45" s="0" t="n">
        <v>1659</v>
      </c>
      <c r="P45" s="0" t="s">
        <v>564</v>
      </c>
      <c r="Q45" s="0" t="s">
        <v>565</v>
      </c>
      <c r="R45" s="0" t="s">
        <v>566</v>
      </c>
      <c r="S45" s="0" t="s">
        <v>71</v>
      </c>
      <c r="T45" s="0" t="s">
        <v>567</v>
      </c>
      <c r="U45" s="0" t="n">
        <v>0</v>
      </c>
      <c r="V45" s="0" t="n">
        <v>15.1005735502168</v>
      </c>
      <c r="W45" s="0" t="n">
        <v>20220331</v>
      </c>
      <c r="X45" s="0" t="n">
        <v>1.08763023716891</v>
      </c>
      <c r="Y45" s="0" t="s">
        <v>568</v>
      </c>
      <c r="Z45" s="0" t="s">
        <v>98</v>
      </c>
    </row>
    <row r="46" customFormat="false" ht="15" hidden="false" customHeight="false" outlineLevel="0" collapsed="false">
      <c r="A46" s="0" t="n">
        <v>46</v>
      </c>
      <c r="B46" s="0" t="n">
        <v>5406954</v>
      </c>
      <c r="C46" s="0" t="n">
        <v>4255</v>
      </c>
      <c r="D46" s="0" t="n">
        <v>4617834</v>
      </c>
      <c r="E46" s="0" t="s">
        <v>159</v>
      </c>
      <c r="F46" s="0" t="n">
        <v>494704</v>
      </c>
      <c r="G46" s="0" t="s">
        <v>569</v>
      </c>
      <c r="H46" s="0" t="s">
        <v>570</v>
      </c>
      <c r="I46" s="0" t="s">
        <v>571</v>
      </c>
      <c r="J46" s="0" t="s">
        <v>572</v>
      </c>
      <c r="K46" s="0" t="s">
        <v>573</v>
      </c>
      <c r="L46" s="0" t="n">
        <v>3540923</v>
      </c>
      <c r="M46" s="0" t="s">
        <v>574</v>
      </c>
      <c r="N46" s="0" t="n">
        <v>3145490</v>
      </c>
      <c r="O46" s="0" t="n">
        <v>4452</v>
      </c>
      <c r="P46" s="0" t="s">
        <v>575</v>
      </c>
      <c r="Q46" s="0" t="s">
        <v>576</v>
      </c>
      <c r="R46" s="0" t="s">
        <v>577</v>
      </c>
      <c r="S46" s="0" t="s">
        <v>578</v>
      </c>
      <c r="T46" s="0" t="s">
        <v>579</v>
      </c>
      <c r="U46" s="0" t="n">
        <v>0</v>
      </c>
      <c r="V46" s="0" t="n">
        <v>13.5561410868159</v>
      </c>
      <c r="W46" s="0" t="n">
        <v>20220331</v>
      </c>
      <c r="X46" s="0" t="n">
        <v>1.27683285497104</v>
      </c>
      <c r="Y46" s="0" t="s">
        <v>580</v>
      </c>
      <c r="Z46" s="0" t="s">
        <v>60</v>
      </c>
    </row>
    <row r="47" customFormat="false" ht="15" hidden="false" customHeight="false" outlineLevel="0" collapsed="false">
      <c r="A47" s="0" t="n">
        <v>47</v>
      </c>
      <c r="B47" s="0" t="n">
        <v>2514032</v>
      </c>
      <c r="C47" s="0" t="n">
        <v>4256</v>
      </c>
      <c r="D47" s="0" t="n">
        <v>2159436</v>
      </c>
      <c r="E47" s="0" t="s">
        <v>259</v>
      </c>
      <c r="F47" s="0" t="n">
        <v>204756</v>
      </c>
      <c r="G47" s="0" t="s">
        <v>581</v>
      </c>
      <c r="H47" s="0" t="s">
        <v>582</v>
      </c>
      <c r="I47" s="0" t="s">
        <v>583</v>
      </c>
      <c r="J47" s="0" t="s">
        <v>584</v>
      </c>
      <c r="K47" s="0" t="s">
        <v>585</v>
      </c>
      <c r="L47" s="0" t="n">
        <v>1707748</v>
      </c>
      <c r="M47" s="0" t="s">
        <v>586</v>
      </c>
      <c r="N47" s="0" t="n">
        <v>1367138</v>
      </c>
      <c r="O47" s="0" t="n">
        <v>5049</v>
      </c>
      <c r="P47" s="0" t="s">
        <v>587</v>
      </c>
      <c r="Q47" s="0" t="s">
        <v>588</v>
      </c>
      <c r="R47" s="0" t="s">
        <v>589</v>
      </c>
      <c r="S47" s="0" t="s">
        <v>590</v>
      </c>
      <c r="T47" s="0" t="s">
        <v>591</v>
      </c>
      <c r="U47" s="0" t="n">
        <v>46</v>
      </c>
      <c r="V47" s="0" t="n">
        <v>14.0050565438216</v>
      </c>
      <c r="W47" s="0" t="n">
        <v>20220331</v>
      </c>
      <c r="X47" s="0" t="n">
        <v>1.58060734186442</v>
      </c>
      <c r="Y47" s="0" t="s">
        <v>592</v>
      </c>
      <c r="Z47" s="0" t="s">
        <v>60</v>
      </c>
    </row>
    <row r="48" customFormat="false" ht="15" hidden="false" customHeight="false" outlineLevel="0" collapsed="false">
      <c r="A48" s="0" t="n">
        <v>48</v>
      </c>
      <c r="B48" s="0" t="n">
        <v>702304</v>
      </c>
      <c r="C48" s="0" t="n">
        <v>59086</v>
      </c>
      <c r="D48" s="0" t="n">
        <v>631646</v>
      </c>
      <c r="E48" s="0" t="s">
        <v>593</v>
      </c>
      <c r="F48" s="0" t="n">
        <v>66816</v>
      </c>
      <c r="G48" s="0" t="s">
        <v>594</v>
      </c>
      <c r="H48" s="0" t="s">
        <v>595</v>
      </c>
      <c r="I48" s="0" t="s">
        <v>596</v>
      </c>
      <c r="J48" s="0" t="s">
        <v>597</v>
      </c>
      <c r="K48" s="0" t="s">
        <v>61</v>
      </c>
      <c r="L48" s="0" t="n">
        <v>518583</v>
      </c>
      <c r="M48" s="0" t="s">
        <v>598</v>
      </c>
      <c r="N48" s="0" t="n">
        <v>404171</v>
      </c>
      <c r="O48" s="0" t="n">
        <v>2111</v>
      </c>
      <c r="P48" s="0" t="s">
        <v>599</v>
      </c>
      <c r="Q48" s="0" t="s">
        <v>600</v>
      </c>
      <c r="R48" s="0" t="s">
        <v>601</v>
      </c>
      <c r="S48" s="0" t="s">
        <v>61</v>
      </c>
      <c r="T48" s="0" t="s">
        <v>61</v>
      </c>
      <c r="U48" s="0" t="n">
        <v>341</v>
      </c>
      <c r="V48" s="0" t="n">
        <v>13.608114424605</v>
      </c>
      <c r="W48" s="0" t="n">
        <v>20220331</v>
      </c>
      <c r="X48" s="0" t="n">
        <v>1.1291386821763</v>
      </c>
      <c r="Y48" s="0" t="s">
        <v>602</v>
      </c>
      <c r="Z48" s="0" t="s">
        <v>158</v>
      </c>
    </row>
    <row r="49" customFormat="false" ht="15" hidden="false" customHeight="false" outlineLevel="0" collapsed="false">
      <c r="A49" s="0" t="n">
        <v>49</v>
      </c>
      <c r="B49" s="0" t="n">
        <v>146747</v>
      </c>
      <c r="C49" s="0" t="n">
        <v>59176</v>
      </c>
      <c r="D49" s="0" t="n">
        <v>124821</v>
      </c>
      <c r="E49" s="0" t="s">
        <v>603</v>
      </c>
      <c r="F49" s="0" t="n">
        <v>21476</v>
      </c>
      <c r="G49" s="0" t="s">
        <v>604</v>
      </c>
      <c r="H49" s="0" t="s">
        <v>605</v>
      </c>
      <c r="I49" s="0" t="s">
        <v>606</v>
      </c>
      <c r="J49" s="0" t="s">
        <v>607</v>
      </c>
      <c r="K49" s="0" t="s">
        <v>608</v>
      </c>
      <c r="L49" s="0" t="n">
        <v>112552</v>
      </c>
      <c r="M49" s="0" t="s">
        <v>609</v>
      </c>
      <c r="N49" s="0" t="n">
        <v>97793</v>
      </c>
      <c r="O49" s="0" t="n">
        <v>42</v>
      </c>
      <c r="P49" s="0" t="s">
        <v>610</v>
      </c>
      <c r="Q49" s="0" t="s">
        <v>611</v>
      </c>
      <c r="R49" s="0" t="s">
        <v>612</v>
      </c>
      <c r="S49" s="0" t="s">
        <v>61</v>
      </c>
      <c r="T49" s="0" t="s">
        <v>61</v>
      </c>
      <c r="U49" s="0" t="n">
        <v>0</v>
      </c>
      <c r="V49" s="0" t="n">
        <v>19.8448295690792</v>
      </c>
      <c r="W49" s="0" t="n">
        <v>20220331</v>
      </c>
      <c r="X49" s="0" t="n">
        <v>0.0319579317407631</v>
      </c>
      <c r="Y49" s="0" t="s">
        <v>613</v>
      </c>
      <c r="Z49" s="0" t="s">
        <v>158</v>
      </c>
    </row>
    <row r="50" customFormat="false" ht="15" hidden="false" customHeight="false" outlineLevel="0" collapsed="false">
      <c r="A50" s="0" t="n">
        <v>50</v>
      </c>
      <c r="B50" s="0" t="n">
        <v>1004765</v>
      </c>
      <c r="C50" s="0" t="n">
        <v>6271</v>
      </c>
      <c r="D50" s="0" t="n">
        <v>878431</v>
      </c>
      <c r="E50" s="0" t="s">
        <v>614</v>
      </c>
      <c r="F50" s="0" t="n">
        <v>89733</v>
      </c>
      <c r="G50" s="0" t="s">
        <v>615</v>
      </c>
      <c r="H50" s="0" t="s">
        <v>616</v>
      </c>
      <c r="I50" s="0" t="s">
        <v>617</v>
      </c>
      <c r="J50" s="0" t="s">
        <v>618</v>
      </c>
      <c r="K50" s="0" t="s">
        <v>619</v>
      </c>
      <c r="L50" s="0" t="n">
        <v>696813</v>
      </c>
      <c r="M50" s="0" t="s">
        <v>620</v>
      </c>
      <c r="N50" s="0" t="n">
        <v>523731</v>
      </c>
      <c r="O50" s="0" t="n">
        <v>5415</v>
      </c>
      <c r="P50" s="0" t="s">
        <v>621</v>
      </c>
      <c r="Q50" s="0" t="s">
        <v>622</v>
      </c>
      <c r="R50" s="0" t="s">
        <v>623</v>
      </c>
      <c r="S50" s="0" t="s">
        <v>624</v>
      </c>
      <c r="T50" s="0" t="s">
        <v>625</v>
      </c>
      <c r="U50" s="0" t="n">
        <v>654</v>
      </c>
      <c r="V50" s="0" t="n">
        <v>15.2204500210179</v>
      </c>
      <c r="W50" s="0" t="n">
        <v>20220331</v>
      </c>
      <c r="X50" s="0" t="n">
        <v>1.00825483937611</v>
      </c>
      <c r="Y50" s="0" t="s">
        <v>626</v>
      </c>
      <c r="Z50" s="0" t="s">
        <v>98</v>
      </c>
    </row>
    <row r="51" customFormat="false" ht="15" hidden="false" customHeight="false" outlineLevel="0" collapsed="false">
      <c r="A51" s="0" t="n">
        <v>51</v>
      </c>
      <c r="B51" s="0" t="n">
        <v>531651</v>
      </c>
      <c r="C51" s="0" t="n">
        <v>6275</v>
      </c>
      <c r="D51" s="0" t="n">
        <v>472420</v>
      </c>
      <c r="E51" s="0" t="s">
        <v>61</v>
      </c>
      <c r="F51" s="0" t="n">
        <v>32835</v>
      </c>
      <c r="G51" s="0" t="s">
        <v>627</v>
      </c>
      <c r="H51" s="0" t="s">
        <v>628</v>
      </c>
      <c r="I51" s="0" t="s">
        <v>629</v>
      </c>
      <c r="J51" s="0" t="s">
        <v>630</v>
      </c>
      <c r="K51" s="0" t="s">
        <v>631</v>
      </c>
      <c r="L51" s="0" t="n">
        <v>284192</v>
      </c>
      <c r="M51" s="0" t="s">
        <v>632</v>
      </c>
      <c r="N51" s="0" t="n">
        <v>237696</v>
      </c>
      <c r="O51" s="0" t="n">
        <v>1559</v>
      </c>
      <c r="P51" s="0" t="s">
        <v>633</v>
      </c>
      <c r="Q51" s="0" t="s">
        <v>634</v>
      </c>
      <c r="R51" s="0" t="s">
        <v>635</v>
      </c>
      <c r="S51" s="0" t="s">
        <v>293</v>
      </c>
      <c r="T51" s="0" t="s">
        <v>636</v>
      </c>
      <c r="U51" s="0" t="n">
        <v>242</v>
      </c>
      <c r="V51" s="0" t="n">
        <v>16.2466459160674</v>
      </c>
      <c r="W51" s="0" t="n">
        <v>20220331</v>
      </c>
      <c r="X51" s="0" t="n">
        <v>0.470223643178008</v>
      </c>
      <c r="Y51" s="0" t="s">
        <v>637</v>
      </c>
      <c r="Z51" s="0" t="s">
        <v>98</v>
      </c>
    </row>
    <row r="52" customFormat="false" ht="15" hidden="false" customHeight="false" outlineLevel="0" collapsed="false">
      <c r="A52" s="0" t="n">
        <v>52</v>
      </c>
      <c r="B52" s="0" t="n">
        <v>83998</v>
      </c>
      <c r="C52" s="0" t="n">
        <v>6280</v>
      </c>
      <c r="D52" s="0" t="n">
        <v>75709</v>
      </c>
      <c r="E52" s="0" t="s">
        <v>246</v>
      </c>
      <c r="F52" s="0" t="n">
        <v>8131</v>
      </c>
      <c r="G52" s="0" t="s">
        <v>638</v>
      </c>
      <c r="H52" s="0" t="s">
        <v>639</v>
      </c>
      <c r="I52" s="0" t="s">
        <v>640</v>
      </c>
      <c r="J52" s="0" t="s">
        <v>641</v>
      </c>
      <c r="K52" s="0" t="s">
        <v>642</v>
      </c>
      <c r="L52" s="0" t="n">
        <v>61955</v>
      </c>
      <c r="M52" s="0" t="s">
        <v>643</v>
      </c>
      <c r="N52" s="0" t="n">
        <v>53939</v>
      </c>
      <c r="O52" s="0" t="n">
        <v>836</v>
      </c>
      <c r="P52" s="0" t="s">
        <v>644</v>
      </c>
      <c r="Q52" s="0" t="s">
        <v>645</v>
      </c>
      <c r="R52" s="0" t="s">
        <v>646</v>
      </c>
      <c r="S52" s="0" t="s">
        <v>352</v>
      </c>
      <c r="T52" s="0" t="s">
        <v>647</v>
      </c>
      <c r="U52" s="0" t="n">
        <v>0</v>
      </c>
      <c r="V52" s="0" t="n">
        <v>0</v>
      </c>
      <c r="W52" s="0" t="n">
        <v>20220331</v>
      </c>
      <c r="X52" s="0" t="n">
        <v>1.18573807471095</v>
      </c>
      <c r="Y52" s="0" t="s">
        <v>648</v>
      </c>
      <c r="Z52" s="0" t="s">
        <v>98</v>
      </c>
    </row>
    <row r="53" customFormat="false" ht="15" hidden="false" customHeight="false" outlineLevel="0" collapsed="false">
      <c r="A53" s="0" t="n">
        <v>53</v>
      </c>
      <c r="B53" s="0" t="n">
        <v>3712836</v>
      </c>
      <c r="C53" s="0" t="n">
        <v>11971</v>
      </c>
      <c r="D53" s="0" t="n">
        <v>3085621</v>
      </c>
      <c r="E53" s="0" t="s">
        <v>259</v>
      </c>
      <c r="F53" s="0" t="n">
        <v>448597</v>
      </c>
      <c r="G53" s="0" t="s">
        <v>649</v>
      </c>
      <c r="H53" s="0" t="s">
        <v>650</v>
      </c>
      <c r="I53" s="0" t="s">
        <v>651</v>
      </c>
      <c r="J53" s="0" t="s">
        <v>652</v>
      </c>
      <c r="K53" s="0" t="s">
        <v>653</v>
      </c>
      <c r="L53" s="0" t="n">
        <v>2730813</v>
      </c>
      <c r="M53" s="0" t="s">
        <v>654</v>
      </c>
      <c r="N53" s="0" t="n">
        <v>2376853</v>
      </c>
      <c r="O53" s="0" t="n">
        <v>7878</v>
      </c>
      <c r="P53" s="0" t="s">
        <v>54</v>
      </c>
      <c r="Q53" s="0" t="s">
        <v>655</v>
      </c>
      <c r="R53" s="0" t="s">
        <v>656</v>
      </c>
      <c r="S53" s="0" t="s">
        <v>657</v>
      </c>
      <c r="T53" s="0" t="s">
        <v>658</v>
      </c>
      <c r="U53" s="0" t="n">
        <v>719</v>
      </c>
      <c r="V53" s="0" t="n">
        <v>13.5693025113801</v>
      </c>
      <c r="W53" s="0" t="n">
        <v>20220630</v>
      </c>
      <c r="X53" s="0" t="n">
        <v>1.16360424384539</v>
      </c>
      <c r="Y53" s="0" t="s">
        <v>659</v>
      </c>
      <c r="Z53" s="0" t="s">
        <v>60</v>
      </c>
    </row>
    <row r="54" customFormat="false" ht="15" hidden="false" customHeight="false" outlineLevel="0" collapsed="false">
      <c r="A54" s="0" t="n">
        <v>54</v>
      </c>
      <c r="B54" s="0" t="n">
        <v>964224</v>
      </c>
      <c r="C54" s="0" t="n">
        <v>12874</v>
      </c>
      <c r="D54" s="0" t="n">
        <v>854371</v>
      </c>
      <c r="E54" s="0" t="s">
        <v>61</v>
      </c>
      <c r="F54" s="0" t="n">
        <v>94455</v>
      </c>
      <c r="G54" s="0" t="s">
        <v>660</v>
      </c>
      <c r="H54" s="0" t="s">
        <v>661</v>
      </c>
      <c r="I54" s="0" t="s">
        <v>662</v>
      </c>
      <c r="J54" s="0" t="s">
        <v>663</v>
      </c>
      <c r="K54" s="0" t="s">
        <v>664</v>
      </c>
      <c r="L54" s="0" t="n">
        <v>738684</v>
      </c>
      <c r="M54" s="0" t="s">
        <v>665</v>
      </c>
      <c r="N54" s="0" t="n">
        <v>583137</v>
      </c>
      <c r="O54" s="0" t="n">
        <v>891</v>
      </c>
      <c r="P54" s="0" t="s">
        <v>68</v>
      </c>
      <c r="Q54" s="0" t="s">
        <v>666</v>
      </c>
      <c r="R54" s="0" t="s">
        <v>667</v>
      </c>
      <c r="S54" s="0" t="s">
        <v>668</v>
      </c>
      <c r="T54" s="0" t="s">
        <v>669</v>
      </c>
      <c r="U54" s="0" t="n">
        <v>42</v>
      </c>
      <c r="V54" s="0" t="n">
        <v>15.2920846966426</v>
      </c>
      <c r="W54" s="0" t="n">
        <v>20220630</v>
      </c>
      <c r="X54" s="0" t="n">
        <v>0.905775942828036</v>
      </c>
      <c r="Y54" s="0" t="s">
        <v>670</v>
      </c>
      <c r="Z54" s="0" t="s">
        <v>60</v>
      </c>
    </row>
    <row r="55" customFormat="false" ht="15" hidden="false" customHeight="false" outlineLevel="0" collapsed="false">
      <c r="A55" s="0" t="n">
        <v>55</v>
      </c>
      <c r="B55" s="0" t="n">
        <v>1796670</v>
      </c>
      <c r="C55" s="0" t="n">
        <v>13063</v>
      </c>
      <c r="D55" s="0" t="n">
        <v>1641103</v>
      </c>
      <c r="E55" s="0" t="s">
        <v>61</v>
      </c>
      <c r="F55" s="0" t="n">
        <v>138141</v>
      </c>
      <c r="G55" s="0" t="s">
        <v>671</v>
      </c>
      <c r="H55" s="0" t="s">
        <v>672</v>
      </c>
      <c r="I55" s="0" t="s">
        <v>673</v>
      </c>
      <c r="J55" s="0" t="s">
        <v>674</v>
      </c>
      <c r="K55" s="0" t="s">
        <v>675</v>
      </c>
      <c r="L55" s="0" t="n">
        <v>1263224</v>
      </c>
      <c r="M55" s="0" t="s">
        <v>676</v>
      </c>
      <c r="N55" s="0" t="n">
        <v>1203684</v>
      </c>
      <c r="O55" s="0" t="n">
        <v>499</v>
      </c>
      <c r="P55" s="0" t="s">
        <v>80</v>
      </c>
      <c r="Q55" s="0" t="s">
        <v>677</v>
      </c>
      <c r="R55" s="0" t="s">
        <v>678</v>
      </c>
      <c r="S55" s="0" t="s">
        <v>71</v>
      </c>
      <c r="T55" s="0" t="s">
        <v>256</v>
      </c>
      <c r="U55" s="0" t="n">
        <v>967</v>
      </c>
      <c r="V55" s="0" t="n">
        <v>0</v>
      </c>
      <c r="W55" s="0" t="n">
        <v>20220630</v>
      </c>
      <c r="X55" s="0" t="n">
        <v>0.589885287137242</v>
      </c>
      <c r="Y55" s="0" t="s">
        <v>679</v>
      </c>
      <c r="Z55" s="0" t="s">
        <v>60</v>
      </c>
    </row>
    <row r="56" customFormat="false" ht="15" hidden="false" customHeight="false" outlineLevel="0" collapsed="false">
      <c r="A56" s="0" t="n">
        <v>56</v>
      </c>
      <c r="B56" s="0" t="n">
        <v>842061</v>
      </c>
      <c r="C56" s="0" t="n">
        <v>14134</v>
      </c>
      <c r="D56" s="0" t="n">
        <v>714430</v>
      </c>
      <c r="E56" s="0" t="s">
        <v>85</v>
      </c>
      <c r="F56" s="0" t="n">
        <v>95205</v>
      </c>
      <c r="G56" s="0" t="s">
        <v>680</v>
      </c>
      <c r="H56" s="0" t="s">
        <v>681</v>
      </c>
      <c r="I56" s="0" t="s">
        <v>682</v>
      </c>
      <c r="J56" s="0" t="s">
        <v>683</v>
      </c>
      <c r="K56" s="0" t="s">
        <v>684</v>
      </c>
      <c r="L56" s="0" t="n">
        <v>618484</v>
      </c>
      <c r="M56" s="0" t="s">
        <v>685</v>
      </c>
      <c r="N56" s="0" t="n">
        <v>541392</v>
      </c>
      <c r="O56" s="0" t="n">
        <v>8858</v>
      </c>
      <c r="P56" s="0" t="s">
        <v>92</v>
      </c>
      <c r="Q56" s="0" t="s">
        <v>686</v>
      </c>
      <c r="R56" s="0" t="s">
        <v>687</v>
      </c>
      <c r="S56" s="0" t="s">
        <v>688</v>
      </c>
      <c r="T56" s="0" t="s">
        <v>689</v>
      </c>
      <c r="U56" s="0" t="n">
        <v>0</v>
      </c>
      <c r="V56" s="0" t="n">
        <v>17.3850644480774</v>
      </c>
      <c r="W56" s="0" t="n">
        <v>20220630</v>
      </c>
      <c r="X56" s="0" t="n">
        <v>-0.908691372525263</v>
      </c>
      <c r="Y56" s="0" t="s">
        <v>690</v>
      </c>
      <c r="Z56" s="0" t="s">
        <v>98</v>
      </c>
    </row>
    <row r="57" customFormat="false" ht="15" hidden="false" customHeight="false" outlineLevel="0" collapsed="false">
      <c r="A57" s="0" t="n">
        <v>57</v>
      </c>
      <c r="B57" s="0" t="n">
        <v>222750</v>
      </c>
      <c r="C57" s="0" t="n">
        <v>14136</v>
      </c>
      <c r="D57" s="0" t="n">
        <v>202215</v>
      </c>
      <c r="E57" s="0" t="s">
        <v>271</v>
      </c>
      <c r="F57" s="0" t="n">
        <v>16002</v>
      </c>
      <c r="G57" s="0" t="s">
        <v>691</v>
      </c>
      <c r="H57" s="0" t="s">
        <v>692</v>
      </c>
      <c r="I57" s="0" t="s">
        <v>693</v>
      </c>
      <c r="J57" s="0" t="s">
        <v>694</v>
      </c>
      <c r="K57" s="0" t="s">
        <v>695</v>
      </c>
      <c r="L57" s="0" t="n">
        <v>128959</v>
      </c>
      <c r="M57" s="0" t="s">
        <v>696</v>
      </c>
      <c r="N57" s="0" t="n">
        <v>102631</v>
      </c>
      <c r="O57" s="0" t="n">
        <v>126</v>
      </c>
      <c r="P57" s="0" t="s">
        <v>105</v>
      </c>
      <c r="Q57" s="0" t="s">
        <v>697</v>
      </c>
      <c r="R57" s="0" t="s">
        <v>698</v>
      </c>
      <c r="S57" s="0" t="s">
        <v>489</v>
      </c>
      <c r="T57" s="0" t="s">
        <v>495</v>
      </c>
      <c r="U57" s="0" t="n">
        <v>717</v>
      </c>
      <c r="V57" s="0" t="n">
        <v>16.7839694709842</v>
      </c>
      <c r="W57" s="0" t="n">
        <v>20220630</v>
      </c>
      <c r="X57" s="0" t="n">
        <v>0.311791935041849</v>
      </c>
      <c r="Y57" s="0" t="s">
        <v>699</v>
      </c>
      <c r="Z57" s="0" t="s">
        <v>98</v>
      </c>
    </row>
    <row r="58" customFormat="false" ht="15" hidden="false" customHeight="false" outlineLevel="0" collapsed="false">
      <c r="A58" s="0" t="n">
        <v>58</v>
      </c>
      <c r="B58" s="0" t="n">
        <v>1436600</v>
      </c>
      <c r="C58" s="0" t="n">
        <v>14140</v>
      </c>
      <c r="D58" s="0" t="n">
        <v>1234672</v>
      </c>
      <c r="E58" s="0" t="s">
        <v>61</v>
      </c>
      <c r="F58" s="0" t="n">
        <v>117324</v>
      </c>
      <c r="G58" s="0" t="s">
        <v>700</v>
      </c>
      <c r="H58" s="0" t="s">
        <v>701</v>
      </c>
      <c r="I58" s="0" t="s">
        <v>702</v>
      </c>
      <c r="J58" s="0" t="s">
        <v>703</v>
      </c>
      <c r="K58" s="0" t="s">
        <v>704</v>
      </c>
      <c r="L58" s="0" t="n">
        <v>965914</v>
      </c>
      <c r="M58" s="0" t="s">
        <v>705</v>
      </c>
      <c r="N58" s="0" t="n">
        <v>868077</v>
      </c>
      <c r="O58" s="0" t="n">
        <v>2695</v>
      </c>
      <c r="P58" s="0" t="s">
        <v>117</v>
      </c>
      <c r="Q58" s="0" t="s">
        <v>706</v>
      </c>
      <c r="R58" s="0" t="s">
        <v>707</v>
      </c>
      <c r="S58" s="0" t="s">
        <v>708</v>
      </c>
      <c r="T58" s="0" t="s">
        <v>709</v>
      </c>
      <c r="U58" s="0" t="n">
        <v>0</v>
      </c>
      <c r="V58" s="0" t="n">
        <v>0</v>
      </c>
      <c r="W58" s="0" t="n">
        <v>20220630</v>
      </c>
      <c r="X58" s="0" t="n">
        <v>0.707644826064353</v>
      </c>
      <c r="Y58" s="0" t="s">
        <v>710</v>
      </c>
      <c r="Z58" s="0" t="s">
        <v>98</v>
      </c>
    </row>
    <row r="59" customFormat="false" ht="15" hidden="false" customHeight="false" outlineLevel="0" collapsed="false">
      <c r="A59" s="0" t="n">
        <v>59</v>
      </c>
      <c r="B59" s="0" t="n">
        <v>1191062</v>
      </c>
      <c r="C59" s="0" t="n">
        <v>14158</v>
      </c>
      <c r="D59" s="0" t="n">
        <v>1105727</v>
      </c>
      <c r="E59" s="0" t="s">
        <v>61</v>
      </c>
      <c r="F59" s="0" t="n">
        <v>75600</v>
      </c>
      <c r="G59" s="0" t="s">
        <v>711</v>
      </c>
      <c r="H59" s="0" t="s">
        <v>712</v>
      </c>
      <c r="I59" s="0" t="s">
        <v>713</v>
      </c>
      <c r="J59" s="0" t="s">
        <v>714</v>
      </c>
      <c r="K59" s="0" t="s">
        <v>715</v>
      </c>
      <c r="L59" s="0" t="n">
        <v>822966</v>
      </c>
      <c r="M59" s="0" t="s">
        <v>716</v>
      </c>
      <c r="N59" s="0" t="n">
        <v>751338</v>
      </c>
      <c r="O59" s="0" t="n">
        <v>1416</v>
      </c>
      <c r="P59" s="0" t="s">
        <v>129</v>
      </c>
      <c r="Q59" s="0" t="s">
        <v>717</v>
      </c>
      <c r="R59" s="0" t="s">
        <v>718</v>
      </c>
      <c r="S59" s="0" t="s">
        <v>155</v>
      </c>
      <c r="T59" s="0" t="s">
        <v>719</v>
      </c>
      <c r="U59" s="0" t="n">
        <v>109</v>
      </c>
      <c r="V59" s="0" t="n">
        <v>14.280952720623</v>
      </c>
      <c r="W59" s="0" t="n">
        <v>20220630</v>
      </c>
      <c r="X59" s="0" t="n">
        <v>0.965573503917802</v>
      </c>
      <c r="Y59" s="0" t="s">
        <v>720</v>
      </c>
      <c r="Z59" s="0" t="s">
        <v>98</v>
      </c>
    </row>
    <row r="60" customFormat="false" ht="15" hidden="false" customHeight="false" outlineLevel="0" collapsed="false">
      <c r="A60" s="0" t="n">
        <v>60</v>
      </c>
      <c r="B60" s="0" t="n">
        <v>366581</v>
      </c>
      <c r="C60" s="0" t="n">
        <v>14168</v>
      </c>
      <c r="D60" s="0" t="n">
        <v>329789</v>
      </c>
      <c r="E60" s="0" t="s">
        <v>61</v>
      </c>
      <c r="F60" s="0" t="n">
        <v>32327</v>
      </c>
      <c r="G60" s="0" t="s">
        <v>721</v>
      </c>
      <c r="H60" s="0" t="s">
        <v>722</v>
      </c>
      <c r="I60" s="0" t="s">
        <v>723</v>
      </c>
      <c r="J60" s="0" t="s">
        <v>724</v>
      </c>
      <c r="K60" s="0" t="s">
        <v>725</v>
      </c>
      <c r="L60" s="0" t="n">
        <v>200834</v>
      </c>
      <c r="M60" s="0" t="s">
        <v>726</v>
      </c>
      <c r="N60" s="0" t="n">
        <v>167425</v>
      </c>
      <c r="O60" s="0" t="n">
        <v>1103</v>
      </c>
      <c r="P60" s="0" t="s">
        <v>140</v>
      </c>
      <c r="Q60" s="0" t="s">
        <v>727</v>
      </c>
      <c r="R60" s="0" t="s">
        <v>728</v>
      </c>
      <c r="S60" s="0" t="s">
        <v>294</v>
      </c>
      <c r="T60" s="0" t="s">
        <v>729</v>
      </c>
      <c r="U60" s="0" t="n">
        <v>0</v>
      </c>
      <c r="V60" s="0" t="n">
        <v>18.6461441659596</v>
      </c>
      <c r="W60" s="0" t="n">
        <v>20220630</v>
      </c>
      <c r="X60" s="0" t="n">
        <v>0.313118388950259</v>
      </c>
      <c r="Y60" s="0" t="s">
        <v>730</v>
      </c>
      <c r="Z60" s="0" t="s">
        <v>98</v>
      </c>
    </row>
    <row r="61" customFormat="false" ht="15" hidden="false" customHeight="false" outlineLevel="0" collapsed="false">
      <c r="A61" s="0" t="n">
        <v>61</v>
      </c>
      <c r="B61" s="0" t="n">
        <v>1238699</v>
      </c>
      <c r="C61" s="0" t="n">
        <v>14240</v>
      </c>
      <c r="D61" s="0" t="n">
        <v>1039863</v>
      </c>
      <c r="E61" s="0" t="s">
        <v>246</v>
      </c>
      <c r="F61" s="0" t="n">
        <v>89585</v>
      </c>
      <c r="G61" s="0" t="s">
        <v>731</v>
      </c>
      <c r="H61" s="0" t="s">
        <v>732</v>
      </c>
      <c r="I61" s="0" t="s">
        <v>733</v>
      </c>
      <c r="J61" s="0" t="s">
        <v>734</v>
      </c>
      <c r="K61" s="0" t="s">
        <v>735</v>
      </c>
      <c r="L61" s="0" t="n">
        <v>863984</v>
      </c>
      <c r="M61" s="0" t="s">
        <v>736</v>
      </c>
      <c r="N61" s="0" t="n">
        <v>739584</v>
      </c>
      <c r="O61" s="0" t="n">
        <v>1924</v>
      </c>
      <c r="P61" s="0" t="s">
        <v>152</v>
      </c>
      <c r="Q61" s="0" t="s">
        <v>737</v>
      </c>
      <c r="R61" s="0" t="s">
        <v>738</v>
      </c>
      <c r="S61" s="0" t="s">
        <v>739</v>
      </c>
      <c r="T61" s="0" t="s">
        <v>740</v>
      </c>
      <c r="U61" s="0" t="n">
        <v>0</v>
      </c>
      <c r="V61" s="0" t="n">
        <v>14.5547297139032</v>
      </c>
      <c r="W61" s="0" t="n">
        <v>20220630</v>
      </c>
      <c r="X61" s="0" t="n">
        <v>-0.0461854716711551</v>
      </c>
      <c r="Y61" s="0" t="s">
        <v>741</v>
      </c>
      <c r="Z61" s="0" t="s">
        <v>158</v>
      </c>
    </row>
    <row r="62" customFormat="false" ht="15" hidden="false" customHeight="false" outlineLevel="0" collapsed="false">
      <c r="A62" s="0" t="n">
        <v>62</v>
      </c>
      <c r="B62" s="0" t="n">
        <v>914201</v>
      </c>
      <c r="C62" s="0" t="n">
        <v>17115</v>
      </c>
      <c r="D62" s="0" t="n">
        <v>774623</v>
      </c>
      <c r="E62" s="0" t="s">
        <v>742</v>
      </c>
      <c r="F62" s="0" t="n">
        <v>77851</v>
      </c>
      <c r="G62" s="0" t="s">
        <v>743</v>
      </c>
      <c r="H62" s="0" t="s">
        <v>744</v>
      </c>
      <c r="I62" s="0" t="s">
        <v>745</v>
      </c>
      <c r="J62" s="0" t="s">
        <v>746</v>
      </c>
      <c r="K62" s="0" t="s">
        <v>747</v>
      </c>
      <c r="L62" s="0" t="n">
        <v>737353</v>
      </c>
      <c r="M62" s="0" t="s">
        <v>748</v>
      </c>
      <c r="N62" s="0" t="n">
        <v>687325</v>
      </c>
      <c r="O62" s="0" t="n">
        <v>157</v>
      </c>
      <c r="P62" s="0" t="s">
        <v>166</v>
      </c>
      <c r="Q62" s="0" t="s">
        <v>749</v>
      </c>
      <c r="R62" s="0" t="s">
        <v>750</v>
      </c>
      <c r="S62" s="0" t="s">
        <v>751</v>
      </c>
      <c r="T62" s="0" t="s">
        <v>752</v>
      </c>
      <c r="U62" s="0" t="n">
        <v>0</v>
      </c>
      <c r="V62" s="0" t="n">
        <v>14.6817189734327</v>
      </c>
      <c r="W62" s="0" t="n">
        <v>20220630</v>
      </c>
      <c r="X62" s="0" t="n">
        <v>0.413239234898123</v>
      </c>
      <c r="Y62" s="0" t="s">
        <v>753</v>
      </c>
      <c r="Z62" s="0" t="s">
        <v>60</v>
      </c>
    </row>
    <row r="63" customFormat="false" ht="15" hidden="false" customHeight="false" outlineLevel="0" collapsed="false">
      <c r="A63" s="0" t="n">
        <v>63</v>
      </c>
      <c r="B63" s="0" t="n">
        <v>1369843</v>
      </c>
      <c r="C63" s="0" t="n">
        <v>17180</v>
      </c>
      <c r="D63" s="0" t="n">
        <v>1167333</v>
      </c>
      <c r="E63" s="0" t="s">
        <v>208</v>
      </c>
      <c r="F63" s="0" t="n">
        <v>125334</v>
      </c>
      <c r="G63" s="0" t="s">
        <v>754</v>
      </c>
      <c r="H63" s="0" t="s">
        <v>755</v>
      </c>
      <c r="I63" s="0" t="s">
        <v>756</v>
      </c>
      <c r="J63" s="0" t="s">
        <v>757</v>
      </c>
      <c r="K63" s="0" t="s">
        <v>758</v>
      </c>
      <c r="L63" s="0" t="n">
        <v>1219641</v>
      </c>
      <c r="M63" s="0" t="s">
        <v>759</v>
      </c>
      <c r="N63" s="0" t="n">
        <v>984334</v>
      </c>
      <c r="O63" s="0" t="n">
        <v>5496</v>
      </c>
      <c r="P63" s="0" t="s">
        <v>179</v>
      </c>
      <c r="Q63" s="0" t="s">
        <v>760</v>
      </c>
      <c r="R63" s="0" t="s">
        <v>761</v>
      </c>
      <c r="S63" s="0" t="s">
        <v>762</v>
      </c>
      <c r="T63" s="0" t="s">
        <v>763</v>
      </c>
      <c r="U63" s="0" t="n">
        <v>0</v>
      </c>
      <c r="V63" s="0" t="n">
        <v>14.7385258242796</v>
      </c>
      <c r="W63" s="0" t="n">
        <v>20220630</v>
      </c>
      <c r="X63" s="0" t="n">
        <v>0.751509742960674</v>
      </c>
      <c r="Y63" s="0" t="s">
        <v>764</v>
      </c>
      <c r="Z63" s="0" t="s">
        <v>158</v>
      </c>
    </row>
    <row r="64" customFormat="false" ht="15" hidden="false" customHeight="false" outlineLevel="0" collapsed="false">
      <c r="A64" s="0" t="n">
        <v>64</v>
      </c>
      <c r="B64" s="0" t="n">
        <v>353376</v>
      </c>
      <c r="C64" s="0" t="n">
        <v>17443</v>
      </c>
      <c r="D64" s="0" t="n">
        <v>298828</v>
      </c>
      <c r="E64" s="0" t="s">
        <v>208</v>
      </c>
      <c r="F64" s="0" t="n">
        <v>40397</v>
      </c>
      <c r="G64" s="0" t="s">
        <v>765</v>
      </c>
      <c r="H64" s="0" t="s">
        <v>766</v>
      </c>
      <c r="I64" s="0" t="s">
        <v>767</v>
      </c>
      <c r="J64" s="0" t="s">
        <v>61</v>
      </c>
      <c r="K64" s="0" t="s">
        <v>768</v>
      </c>
      <c r="L64" s="0" t="n">
        <v>190487</v>
      </c>
      <c r="M64" s="0" t="s">
        <v>769</v>
      </c>
      <c r="N64" s="0" t="n">
        <v>188077</v>
      </c>
      <c r="O64" s="0" t="n">
        <v>178</v>
      </c>
      <c r="P64" s="0" t="s">
        <v>190</v>
      </c>
      <c r="Q64" s="0" t="s">
        <v>770</v>
      </c>
      <c r="R64" s="0" t="s">
        <v>771</v>
      </c>
      <c r="S64" s="0" t="s">
        <v>61</v>
      </c>
      <c r="T64" s="0" t="s">
        <v>772</v>
      </c>
      <c r="U64" s="0" t="n">
        <v>0</v>
      </c>
      <c r="V64" s="0" t="n">
        <v>0</v>
      </c>
      <c r="W64" s="0" t="n">
        <v>20220630</v>
      </c>
      <c r="X64" s="0" t="n">
        <v>0.604229033746087</v>
      </c>
      <c r="Y64" s="0" t="s">
        <v>773</v>
      </c>
      <c r="Z64" s="0" t="s">
        <v>158</v>
      </c>
    </row>
    <row r="65" customFormat="false" ht="15" hidden="false" customHeight="false" outlineLevel="0" collapsed="false">
      <c r="A65" s="0" t="n">
        <v>65</v>
      </c>
      <c r="B65" s="0" t="n">
        <v>1739201</v>
      </c>
      <c r="C65" s="0" t="n">
        <v>17658</v>
      </c>
      <c r="D65" s="0" t="n">
        <v>1514378</v>
      </c>
      <c r="E65" s="0" t="s">
        <v>195</v>
      </c>
      <c r="F65" s="0" t="n">
        <v>193833</v>
      </c>
      <c r="G65" s="0" t="s">
        <v>774</v>
      </c>
      <c r="H65" s="0" t="s">
        <v>775</v>
      </c>
      <c r="I65" s="0" t="s">
        <v>776</v>
      </c>
      <c r="J65" s="0" t="s">
        <v>777</v>
      </c>
      <c r="K65" s="0" t="s">
        <v>778</v>
      </c>
      <c r="L65" s="0" t="n">
        <v>1140881</v>
      </c>
      <c r="M65" s="0" t="s">
        <v>779</v>
      </c>
      <c r="N65" s="0" t="n">
        <v>992175</v>
      </c>
      <c r="O65" s="0" t="n">
        <v>519</v>
      </c>
      <c r="P65" s="0" t="s">
        <v>202</v>
      </c>
      <c r="Q65" s="0" t="s">
        <v>780</v>
      </c>
      <c r="R65" s="0" t="s">
        <v>781</v>
      </c>
      <c r="S65" s="0" t="s">
        <v>400</v>
      </c>
      <c r="T65" s="0" t="s">
        <v>782</v>
      </c>
      <c r="U65" s="0" t="n">
        <v>0</v>
      </c>
      <c r="V65" s="0" t="n">
        <v>0</v>
      </c>
      <c r="W65" s="0" t="n">
        <v>20220630</v>
      </c>
      <c r="X65" s="0" t="n">
        <v>-0.126062833693635</v>
      </c>
      <c r="Y65" s="0" t="s">
        <v>783</v>
      </c>
      <c r="Z65" s="0" t="s">
        <v>60</v>
      </c>
    </row>
    <row r="66" customFormat="false" ht="15" hidden="false" customHeight="false" outlineLevel="0" collapsed="false">
      <c r="A66" s="0" t="n">
        <v>66</v>
      </c>
      <c r="B66" s="0" t="n">
        <v>999824</v>
      </c>
      <c r="C66" s="0" t="n">
        <v>17741</v>
      </c>
      <c r="D66" s="0" t="n">
        <v>843050</v>
      </c>
      <c r="E66" s="0" t="s">
        <v>195</v>
      </c>
      <c r="F66" s="0" t="n">
        <v>128637</v>
      </c>
      <c r="G66" s="0" t="s">
        <v>784</v>
      </c>
      <c r="H66" s="0" t="s">
        <v>785</v>
      </c>
      <c r="I66" s="0" t="s">
        <v>786</v>
      </c>
      <c r="J66" s="0" t="s">
        <v>787</v>
      </c>
      <c r="K66" s="0" t="s">
        <v>788</v>
      </c>
      <c r="L66" s="0" t="n">
        <v>799662</v>
      </c>
      <c r="M66" s="0" t="s">
        <v>789</v>
      </c>
      <c r="N66" s="0" t="n">
        <v>750035</v>
      </c>
      <c r="O66" s="0" t="n">
        <v>1947</v>
      </c>
      <c r="P66" s="0" t="s">
        <v>215</v>
      </c>
      <c r="Q66" s="0" t="s">
        <v>790</v>
      </c>
      <c r="R66" s="0" t="s">
        <v>791</v>
      </c>
      <c r="S66" s="0" t="s">
        <v>352</v>
      </c>
      <c r="T66" s="0" t="s">
        <v>792</v>
      </c>
      <c r="U66" s="0" t="n">
        <v>0</v>
      </c>
      <c r="V66" s="0" t="n">
        <v>0</v>
      </c>
      <c r="W66" s="0" t="n">
        <v>20220630</v>
      </c>
      <c r="X66" s="0" t="n">
        <v>0.558922565605422</v>
      </c>
      <c r="Y66" s="0" t="s">
        <v>793</v>
      </c>
      <c r="Z66" s="0" t="s">
        <v>60</v>
      </c>
    </row>
    <row r="67" customFormat="false" ht="15" hidden="false" customHeight="false" outlineLevel="0" collapsed="false">
      <c r="A67" s="0" t="n">
        <v>67</v>
      </c>
      <c r="B67" s="0" t="n">
        <v>1226782</v>
      </c>
      <c r="C67" s="0" t="n">
        <v>17743</v>
      </c>
      <c r="D67" s="0" t="n">
        <v>933270</v>
      </c>
      <c r="E67" s="0" t="s">
        <v>794</v>
      </c>
      <c r="F67" s="0" t="n">
        <v>121930</v>
      </c>
      <c r="G67" s="0" t="s">
        <v>795</v>
      </c>
      <c r="H67" s="0" t="s">
        <v>796</v>
      </c>
      <c r="I67" s="0" t="s">
        <v>797</v>
      </c>
      <c r="J67" s="0" t="s">
        <v>798</v>
      </c>
      <c r="K67" s="0" t="s">
        <v>799</v>
      </c>
      <c r="L67" s="0" t="n">
        <v>942050</v>
      </c>
      <c r="M67" s="0" t="s">
        <v>800</v>
      </c>
      <c r="N67" s="0" t="n">
        <v>912536</v>
      </c>
      <c r="O67" s="0" t="n">
        <v>2944</v>
      </c>
      <c r="P67" s="0" t="s">
        <v>227</v>
      </c>
      <c r="Q67" s="0" t="s">
        <v>801</v>
      </c>
      <c r="R67" s="0" t="s">
        <v>802</v>
      </c>
      <c r="S67" s="0" t="s">
        <v>489</v>
      </c>
      <c r="T67" s="0" t="s">
        <v>803</v>
      </c>
      <c r="U67" s="0" t="n">
        <v>35</v>
      </c>
      <c r="V67" s="0" t="n">
        <v>0</v>
      </c>
      <c r="W67" s="0" t="n">
        <v>20220630</v>
      </c>
      <c r="X67" s="0" t="n">
        <v>0.302379907744483</v>
      </c>
      <c r="Y67" s="0" t="s">
        <v>804</v>
      </c>
      <c r="Z67" s="0" t="s">
        <v>60</v>
      </c>
    </row>
    <row r="68" customFormat="false" ht="15" hidden="false" customHeight="false" outlineLevel="0" collapsed="false">
      <c r="A68" s="0" t="n">
        <v>68</v>
      </c>
      <c r="B68" s="0" t="n">
        <v>1555791</v>
      </c>
      <c r="C68" s="0" t="n">
        <v>17748</v>
      </c>
      <c r="D68" s="0" t="n">
        <v>1381456</v>
      </c>
      <c r="E68" s="0" t="s">
        <v>271</v>
      </c>
      <c r="F68" s="0" t="n">
        <v>113025</v>
      </c>
      <c r="G68" s="0" t="s">
        <v>805</v>
      </c>
      <c r="H68" s="0" t="s">
        <v>806</v>
      </c>
      <c r="I68" s="0" t="s">
        <v>807</v>
      </c>
      <c r="J68" s="0" t="s">
        <v>808</v>
      </c>
      <c r="K68" s="0" t="s">
        <v>809</v>
      </c>
      <c r="L68" s="0" t="n">
        <v>1170439</v>
      </c>
      <c r="M68" s="0" t="s">
        <v>810</v>
      </c>
      <c r="N68" s="0" t="n">
        <v>984164</v>
      </c>
      <c r="O68" s="0" t="n">
        <v>7622</v>
      </c>
      <c r="P68" s="0" t="s">
        <v>240</v>
      </c>
      <c r="Q68" s="0" t="s">
        <v>811</v>
      </c>
      <c r="R68" s="0" t="s">
        <v>812</v>
      </c>
      <c r="S68" s="0" t="s">
        <v>813</v>
      </c>
      <c r="T68" s="0" t="s">
        <v>814</v>
      </c>
      <c r="U68" s="0" t="n">
        <v>0</v>
      </c>
      <c r="V68" s="0" t="n">
        <v>0</v>
      </c>
      <c r="W68" s="0" t="n">
        <v>20220630</v>
      </c>
      <c r="X68" s="0" t="n">
        <v>0.205556396548565</v>
      </c>
      <c r="Y68" s="0" t="s">
        <v>815</v>
      </c>
      <c r="Z68" s="0" t="s">
        <v>60</v>
      </c>
    </row>
    <row r="69" customFormat="false" ht="15" hidden="false" customHeight="false" outlineLevel="0" collapsed="false">
      <c r="A69" s="0" t="n">
        <v>69</v>
      </c>
      <c r="B69" s="0" t="n">
        <v>1233246</v>
      </c>
      <c r="C69" s="0" t="n">
        <v>17749</v>
      </c>
      <c r="D69" s="0" t="n">
        <v>1026366</v>
      </c>
      <c r="E69" s="0" t="s">
        <v>246</v>
      </c>
      <c r="F69" s="0" t="n">
        <v>152379</v>
      </c>
      <c r="G69" s="0" t="s">
        <v>816</v>
      </c>
      <c r="H69" s="0" t="s">
        <v>817</v>
      </c>
      <c r="I69" s="0" t="s">
        <v>818</v>
      </c>
      <c r="J69" s="0" t="s">
        <v>819</v>
      </c>
      <c r="K69" s="0" t="s">
        <v>820</v>
      </c>
      <c r="L69" s="0" t="n">
        <v>692915</v>
      </c>
      <c r="M69" s="0" t="s">
        <v>821</v>
      </c>
      <c r="N69" s="0" t="n">
        <v>619470</v>
      </c>
      <c r="O69" s="0" t="n">
        <v>248</v>
      </c>
      <c r="P69" s="0" t="s">
        <v>253</v>
      </c>
      <c r="Q69" s="0" t="s">
        <v>822</v>
      </c>
      <c r="R69" s="0" t="s">
        <v>823</v>
      </c>
      <c r="S69" s="0" t="s">
        <v>534</v>
      </c>
      <c r="T69" s="0" t="s">
        <v>824</v>
      </c>
      <c r="U69" s="0" t="n">
        <v>29</v>
      </c>
      <c r="V69" s="0" t="n">
        <v>0</v>
      </c>
      <c r="W69" s="0" t="n">
        <v>20220630</v>
      </c>
      <c r="X69" s="0" t="n">
        <v>-0.156467358353033</v>
      </c>
      <c r="Y69" s="0" t="s">
        <v>825</v>
      </c>
      <c r="Z69" s="0" t="s">
        <v>60</v>
      </c>
    </row>
    <row r="70" customFormat="false" ht="15" hidden="false" customHeight="false" outlineLevel="0" collapsed="false">
      <c r="A70" s="0" t="n">
        <v>70</v>
      </c>
      <c r="B70" s="0" t="n">
        <v>1424885</v>
      </c>
      <c r="C70" s="0" t="n">
        <v>17751</v>
      </c>
      <c r="D70" s="0" t="n">
        <v>1261975</v>
      </c>
      <c r="E70" s="0" t="s">
        <v>271</v>
      </c>
      <c r="F70" s="0" t="n">
        <v>126112</v>
      </c>
      <c r="G70" s="0" t="s">
        <v>826</v>
      </c>
      <c r="H70" s="0" t="s">
        <v>827</v>
      </c>
      <c r="I70" s="0" t="s">
        <v>828</v>
      </c>
      <c r="J70" s="0" t="s">
        <v>829</v>
      </c>
      <c r="K70" s="0" t="s">
        <v>830</v>
      </c>
      <c r="L70" s="0" t="n">
        <v>1131318</v>
      </c>
      <c r="M70" s="0" t="s">
        <v>831</v>
      </c>
      <c r="N70" s="0" t="n">
        <v>964858</v>
      </c>
      <c r="O70" s="0" t="n">
        <v>1523</v>
      </c>
      <c r="P70" s="0" t="s">
        <v>266</v>
      </c>
      <c r="Q70" s="0" t="s">
        <v>832</v>
      </c>
      <c r="R70" s="0" t="s">
        <v>833</v>
      </c>
      <c r="S70" s="0" t="s">
        <v>834</v>
      </c>
      <c r="T70" s="0" t="s">
        <v>835</v>
      </c>
      <c r="U70" s="0" t="n">
        <v>0</v>
      </c>
      <c r="V70" s="0" t="n">
        <v>13.4571511662563</v>
      </c>
      <c r="W70" s="0" t="n">
        <v>20220630</v>
      </c>
      <c r="X70" s="0" t="n">
        <v>0.566526729353532</v>
      </c>
      <c r="Y70" s="0" t="s">
        <v>836</v>
      </c>
      <c r="Z70" s="0" t="s">
        <v>60</v>
      </c>
    </row>
    <row r="71" customFormat="false" ht="15" hidden="false" customHeight="false" outlineLevel="0" collapsed="false">
      <c r="A71" s="0" t="n">
        <v>71</v>
      </c>
      <c r="B71" s="0" t="n">
        <v>1531749</v>
      </c>
      <c r="C71" s="0" t="n">
        <v>17897</v>
      </c>
      <c r="D71" s="0" t="n">
        <v>1250686</v>
      </c>
      <c r="E71" s="0" t="s">
        <v>172</v>
      </c>
      <c r="F71" s="0" t="n">
        <v>191374</v>
      </c>
      <c r="G71" s="0" t="s">
        <v>837</v>
      </c>
      <c r="H71" s="0" t="s">
        <v>838</v>
      </c>
      <c r="I71" s="0" t="s">
        <v>839</v>
      </c>
      <c r="J71" s="0" t="s">
        <v>840</v>
      </c>
      <c r="K71" s="0" t="s">
        <v>841</v>
      </c>
      <c r="L71" s="0" t="n">
        <v>1281527</v>
      </c>
      <c r="M71" s="0" t="s">
        <v>842</v>
      </c>
      <c r="N71" s="0" t="n">
        <v>1214666</v>
      </c>
      <c r="O71" s="0" t="n">
        <v>3935</v>
      </c>
      <c r="P71" s="0" t="s">
        <v>278</v>
      </c>
      <c r="Q71" s="0" t="s">
        <v>843</v>
      </c>
      <c r="R71" s="0" t="s">
        <v>844</v>
      </c>
      <c r="S71" s="0" t="s">
        <v>845</v>
      </c>
      <c r="T71" s="0" t="s">
        <v>846</v>
      </c>
      <c r="U71" s="0" t="n">
        <v>0</v>
      </c>
      <c r="V71" s="0" t="n">
        <v>0</v>
      </c>
      <c r="W71" s="0" t="n">
        <v>20220630</v>
      </c>
      <c r="X71" s="0" t="n">
        <v>-0.605378566093227</v>
      </c>
      <c r="Y71" s="0" t="s">
        <v>847</v>
      </c>
      <c r="Z71" s="0" t="s">
        <v>60</v>
      </c>
    </row>
    <row r="72" customFormat="false" ht="15" hidden="false" customHeight="false" outlineLevel="0" collapsed="false">
      <c r="A72" s="0" t="n">
        <v>72</v>
      </c>
      <c r="B72" s="0" t="n">
        <v>724308</v>
      </c>
      <c r="C72" s="0" t="n">
        <v>17951</v>
      </c>
      <c r="D72" s="0" t="n">
        <v>640946</v>
      </c>
      <c r="E72" s="0" t="s">
        <v>246</v>
      </c>
      <c r="F72" s="0" t="n">
        <v>53765</v>
      </c>
      <c r="G72" s="0" t="s">
        <v>848</v>
      </c>
      <c r="H72" s="0" t="s">
        <v>849</v>
      </c>
      <c r="I72" s="0" t="s">
        <v>850</v>
      </c>
      <c r="J72" s="0" t="s">
        <v>851</v>
      </c>
      <c r="K72" s="0" t="s">
        <v>852</v>
      </c>
      <c r="L72" s="0" t="n">
        <v>488769</v>
      </c>
      <c r="M72" s="0" t="s">
        <v>853</v>
      </c>
      <c r="N72" s="0" t="n">
        <v>448742</v>
      </c>
      <c r="O72" s="0" t="n">
        <v>782</v>
      </c>
      <c r="P72" s="0" t="s">
        <v>290</v>
      </c>
      <c r="Q72" s="0" t="s">
        <v>854</v>
      </c>
      <c r="R72" s="0" t="s">
        <v>855</v>
      </c>
      <c r="S72" s="0" t="s">
        <v>478</v>
      </c>
      <c r="T72" s="0" t="s">
        <v>856</v>
      </c>
      <c r="U72" s="0" t="n">
        <v>0</v>
      </c>
      <c r="V72" s="0" t="n">
        <v>15.0065477421255</v>
      </c>
      <c r="W72" s="0" t="n">
        <v>20220630</v>
      </c>
      <c r="X72" s="0" t="n">
        <v>0.944250983121892</v>
      </c>
      <c r="Y72" s="0" t="s">
        <v>857</v>
      </c>
      <c r="Z72" s="0" t="s">
        <v>158</v>
      </c>
    </row>
    <row r="73" customFormat="false" ht="15" hidden="false" customHeight="false" outlineLevel="0" collapsed="false">
      <c r="A73" s="0" t="n">
        <v>73</v>
      </c>
      <c r="B73" s="0" t="n">
        <v>1230052</v>
      </c>
      <c r="C73" s="0" t="n">
        <v>17960</v>
      </c>
      <c r="D73" s="0" t="n">
        <v>1013410</v>
      </c>
      <c r="E73" s="0" t="s">
        <v>858</v>
      </c>
      <c r="F73" s="0" t="n">
        <v>104397</v>
      </c>
      <c r="G73" s="0" t="s">
        <v>859</v>
      </c>
      <c r="H73" s="0" t="s">
        <v>860</v>
      </c>
      <c r="I73" s="0" t="s">
        <v>861</v>
      </c>
      <c r="J73" s="0" t="s">
        <v>862</v>
      </c>
      <c r="K73" s="0" t="s">
        <v>863</v>
      </c>
      <c r="L73" s="0" t="n">
        <v>1010760</v>
      </c>
      <c r="M73" s="0" t="s">
        <v>864</v>
      </c>
      <c r="N73" s="0" t="n">
        <v>739326</v>
      </c>
      <c r="O73" s="0" t="n">
        <v>789</v>
      </c>
      <c r="P73" s="0" t="s">
        <v>302</v>
      </c>
      <c r="Q73" s="0" t="s">
        <v>865</v>
      </c>
      <c r="R73" s="0" t="s">
        <v>866</v>
      </c>
      <c r="S73" s="0" t="s">
        <v>534</v>
      </c>
      <c r="T73" s="0" t="s">
        <v>867</v>
      </c>
      <c r="U73" s="0" t="n">
        <v>31</v>
      </c>
      <c r="V73" s="0" t="n">
        <v>13.5305719072218</v>
      </c>
      <c r="W73" s="0" t="n">
        <v>20220630</v>
      </c>
      <c r="X73" s="0" t="n">
        <v>0.790703185834716</v>
      </c>
      <c r="Y73" s="0" t="s">
        <v>868</v>
      </c>
      <c r="Z73" s="0" t="s">
        <v>158</v>
      </c>
    </row>
    <row r="74" customFormat="false" ht="15" hidden="false" customHeight="false" outlineLevel="0" collapsed="false">
      <c r="A74" s="0" t="n">
        <v>74</v>
      </c>
      <c r="B74" s="0" t="n">
        <v>2374786</v>
      </c>
      <c r="C74" s="0" t="n">
        <v>18012</v>
      </c>
      <c r="D74" s="0" t="n">
        <v>2014310</v>
      </c>
      <c r="E74" s="0" t="s">
        <v>195</v>
      </c>
      <c r="F74" s="0" t="n">
        <v>231360</v>
      </c>
      <c r="G74" s="0" t="s">
        <v>869</v>
      </c>
      <c r="H74" s="0" t="s">
        <v>870</v>
      </c>
      <c r="I74" s="0" t="s">
        <v>871</v>
      </c>
      <c r="J74" s="0" t="s">
        <v>872</v>
      </c>
      <c r="K74" s="0" t="s">
        <v>873</v>
      </c>
      <c r="L74" s="0" t="n">
        <v>1892617</v>
      </c>
      <c r="M74" s="0" t="s">
        <v>874</v>
      </c>
      <c r="N74" s="0" t="n">
        <v>1772602</v>
      </c>
      <c r="O74" s="0" t="n">
        <v>1132</v>
      </c>
      <c r="P74" s="0" t="s">
        <v>312</v>
      </c>
      <c r="Q74" s="0" t="s">
        <v>875</v>
      </c>
      <c r="R74" s="0" t="s">
        <v>876</v>
      </c>
      <c r="S74" s="0" t="s">
        <v>340</v>
      </c>
      <c r="T74" s="0" t="s">
        <v>877</v>
      </c>
      <c r="U74" s="0" t="n">
        <v>0</v>
      </c>
      <c r="V74" s="0" t="n">
        <v>12.6942760049431</v>
      </c>
      <c r="W74" s="0" t="n">
        <v>20220630</v>
      </c>
      <c r="X74" s="0" t="n">
        <v>1.27634753581963</v>
      </c>
      <c r="Y74" s="0" t="s">
        <v>878</v>
      </c>
      <c r="Z74" s="0" t="s">
        <v>158</v>
      </c>
    </row>
    <row r="75" customFormat="false" ht="15" hidden="false" customHeight="false" outlineLevel="0" collapsed="false">
      <c r="A75" s="0" t="n">
        <v>75</v>
      </c>
      <c r="B75" s="0" t="n">
        <v>2601325</v>
      </c>
      <c r="C75" s="0" t="n">
        <v>18013</v>
      </c>
      <c r="D75" s="0" t="n">
        <v>2273331</v>
      </c>
      <c r="E75" s="0" t="s">
        <v>390</v>
      </c>
      <c r="F75" s="0" t="n">
        <v>196477</v>
      </c>
      <c r="G75" s="0" t="s">
        <v>879</v>
      </c>
      <c r="H75" s="0" t="s">
        <v>880</v>
      </c>
      <c r="I75" s="0" t="s">
        <v>881</v>
      </c>
      <c r="J75" s="0" t="s">
        <v>882</v>
      </c>
      <c r="K75" s="0" t="s">
        <v>883</v>
      </c>
      <c r="L75" s="0" t="n">
        <v>2018864</v>
      </c>
      <c r="M75" s="0" t="s">
        <v>884</v>
      </c>
      <c r="N75" s="0" t="n">
        <v>1844412</v>
      </c>
      <c r="O75" s="0" t="n">
        <v>1506</v>
      </c>
      <c r="P75" s="0" t="s">
        <v>324</v>
      </c>
      <c r="Q75" s="0" t="s">
        <v>885</v>
      </c>
      <c r="R75" s="0" t="s">
        <v>886</v>
      </c>
      <c r="S75" s="0" t="s">
        <v>887</v>
      </c>
      <c r="T75" s="0" t="s">
        <v>888</v>
      </c>
      <c r="U75" s="0" t="n">
        <v>781</v>
      </c>
      <c r="V75" s="0" t="n">
        <v>13.7038054450497</v>
      </c>
      <c r="W75" s="0" t="n">
        <v>20220630</v>
      </c>
      <c r="X75" s="0" t="n">
        <v>0.734825584062722</v>
      </c>
      <c r="Y75" s="0" t="s">
        <v>889</v>
      </c>
      <c r="Z75" s="0" t="s">
        <v>158</v>
      </c>
    </row>
    <row r="76" customFormat="false" ht="15" hidden="false" customHeight="false" outlineLevel="0" collapsed="false">
      <c r="A76" s="0" t="n">
        <v>76</v>
      </c>
      <c r="B76" s="0" t="n">
        <v>377551</v>
      </c>
      <c r="C76" s="0" t="n">
        <v>18028</v>
      </c>
      <c r="D76" s="0" t="n">
        <v>335244</v>
      </c>
      <c r="E76" s="0" t="s">
        <v>890</v>
      </c>
      <c r="F76" s="0" t="n">
        <v>38122</v>
      </c>
      <c r="G76" s="0" t="s">
        <v>891</v>
      </c>
      <c r="H76" s="0" t="s">
        <v>892</v>
      </c>
      <c r="I76" s="0" t="s">
        <v>893</v>
      </c>
      <c r="J76" s="0" t="s">
        <v>894</v>
      </c>
      <c r="K76" s="0" t="s">
        <v>895</v>
      </c>
      <c r="L76" s="0" t="n">
        <v>240579</v>
      </c>
      <c r="M76" s="0" t="s">
        <v>896</v>
      </c>
      <c r="N76" s="0" t="n">
        <v>210223</v>
      </c>
      <c r="O76" s="0" t="n">
        <v>1077</v>
      </c>
      <c r="P76" s="0" t="s">
        <v>337</v>
      </c>
      <c r="Q76" s="0" t="s">
        <v>897</v>
      </c>
      <c r="R76" s="0" t="s">
        <v>898</v>
      </c>
      <c r="S76" s="0" t="s">
        <v>899</v>
      </c>
      <c r="T76" s="0" t="s">
        <v>900</v>
      </c>
      <c r="U76" s="0" t="n">
        <v>25</v>
      </c>
      <c r="V76" s="0" t="n">
        <v>0</v>
      </c>
      <c r="W76" s="0" t="n">
        <v>20220630</v>
      </c>
      <c r="X76" s="0" t="n">
        <v>0.703599748815598</v>
      </c>
      <c r="Y76" s="0" t="s">
        <v>901</v>
      </c>
      <c r="Z76" s="0" t="s">
        <v>158</v>
      </c>
    </row>
    <row r="77" customFormat="false" ht="15" hidden="false" customHeight="false" outlineLevel="0" collapsed="false">
      <c r="A77" s="0" t="n">
        <v>77</v>
      </c>
      <c r="B77" s="0" t="n">
        <v>687772</v>
      </c>
      <c r="C77" s="0" t="n">
        <v>18030</v>
      </c>
      <c r="D77" s="0" t="n">
        <v>640669</v>
      </c>
      <c r="E77" s="0" t="s">
        <v>85</v>
      </c>
      <c r="F77" s="0" t="n">
        <v>44729</v>
      </c>
      <c r="G77" s="0" t="s">
        <v>902</v>
      </c>
      <c r="H77" s="0" t="s">
        <v>903</v>
      </c>
      <c r="I77" s="0" t="s">
        <v>904</v>
      </c>
      <c r="J77" s="0" t="s">
        <v>905</v>
      </c>
      <c r="K77" s="0" t="s">
        <v>906</v>
      </c>
      <c r="L77" s="0" t="n">
        <v>511976</v>
      </c>
      <c r="M77" s="0" t="s">
        <v>907</v>
      </c>
      <c r="N77" s="0" t="n">
        <v>399387</v>
      </c>
      <c r="O77" s="0" t="n">
        <v>564</v>
      </c>
      <c r="P77" s="0" t="s">
        <v>349</v>
      </c>
      <c r="Q77" s="0" t="s">
        <v>908</v>
      </c>
      <c r="R77" s="0" t="s">
        <v>909</v>
      </c>
      <c r="S77" s="0" t="s">
        <v>910</v>
      </c>
      <c r="T77" s="0" t="s">
        <v>911</v>
      </c>
      <c r="U77" s="0" t="n">
        <v>0</v>
      </c>
      <c r="V77" s="0" t="n">
        <v>13.6627788194807</v>
      </c>
      <c r="W77" s="0" t="n">
        <v>20220630</v>
      </c>
      <c r="X77" s="0" t="n">
        <v>0.378784896628824</v>
      </c>
      <c r="Y77" s="0" t="s">
        <v>912</v>
      </c>
      <c r="Z77" s="0" t="s">
        <v>158</v>
      </c>
    </row>
    <row r="78" customFormat="false" ht="15" hidden="false" customHeight="false" outlineLevel="0" collapsed="false">
      <c r="A78" s="0" t="n">
        <v>78</v>
      </c>
      <c r="B78" s="0" t="n">
        <v>627001</v>
      </c>
      <c r="C78" s="0" t="n">
        <v>18031</v>
      </c>
      <c r="D78" s="0" t="n">
        <v>558118</v>
      </c>
      <c r="E78" s="0" t="s">
        <v>61</v>
      </c>
      <c r="F78" s="0" t="n">
        <v>39966</v>
      </c>
      <c r="G78" s="0" t="s">
        <v>913</v>
      </c>
      <c r="H78" s="0" t="s">
        <v>914</v>
      </c>
      <c r="I78" s="0" t="s">
        <v>915</v>
      </c>
      <c r="J78" s="0" t="s">
        <v>916</v>
      </c>
      <c r="K78" s="0" t="s">
        <v>917</v>
      </c>
      <c r="L78" s="0" t="n">
        <v>427467</v>
      </c>
      <c r="M78" s="0" t="s">
        <v>918</v>
      </c>
      <c r="N78" s="0" t="n">
        <v>382501</v>
      </c>
      <c r="O78" s="0" t="n">
        <v>527</v>
      </c>
      <c r="P78" s="0" t="s">
        <v>361</v>
      </c>
      <c r="Q78" s="0" t="s">
        <v>919</v>
      </c>
      <c r="R78" s="0" t="s">
        <v>920</v>
      </c>
      <c r="S78" s="0" t="s">
        <v>83</v>
      </c>
      <c r="T78" s="0" t="s">
        <v>921</v>
      </c>
      <c r="U78" s="0" t="n">
        <v>0</v>
      </c>
      <c r="V78" s="0" t="n">
        <v>0</v>
      </c>
      <c r="W78" s="0" t="n">
        <v>20220630</v>
      </c>
      <c r="X78" s="0" t="n">
        <v>0.460576991796965</v>
      </c>
      <c r="Y78" s="0" t="s">
        <v>922</v>
      </c>
      <c r="Z78" s="0" t="s">
        <v>158</v>
      </c>
    </row>
    <row r="79" customFormat="false" ht="15" hidden="false" customHeight="false" outlineLevel="0" collapsed="false">
      <c r="A79" s="0" t="n">
        <v>79</v>
      </c>
      <c r="B79" s="0" t="n">
        <v>488764</v>
      </c>
      <c r="C79" s="0" t="n">
        <v>18038</v>
      </c>
      <c r="D79" s="0" t="n">
        <v>401670</v>
      </c>
      <c r="E79" s="0" t="s">
        <v>923</v>
      </c>
      <c r="F79" s="0" t="n">
        <v>64314</v>
      </c>
      <c r="G79" s="0" t="s">
        <v>924</v>
      </c>
      <c r="H79" s="0" t="s">
        <v>925</v>
      </c>
      <c r="I79" s="0" t="s">
        <v>926</v>
      </c>
      <c r="J79" s="0" t="s">
        <v>927</v>
      </c>
      <c r="K79" s="0" t="s">
        <v>928</v>
      </c>
      <c r="L79" s="0" t="n">
        <v>365235</v>
      </c>
      <c r="M79" s="0" t="s">
        <v>929</v>
      </c>
      <c r="N79" s="0" t="n">
        <v>344078</v>
      </c>
      <c r="O79" s="0" t="n">
        <v>2488</v>
      </c>
      <c r="P79" s="0" t="s">
        <v>372</v>
      </c>
      <c r="Q79" s="0" t="s">
        <v>930</v>
      </c>
      <c r="R79" s="0" t="s">
        <v>931</v>
      </c>
      <c r="S79" s="0" t="s">
        <v>932</v>
      </c>
      <c r="T79" s="0" t="s">
        <v>933</v>
      </c>
      <c r="U79" s="0" t="n">
        <v>0</v>
      </c>
      <c r="V79" s="0" t="n">
        <v>0</v>
      </c>
      <c r="W79" s="0" t="n">
        <v>20220630</v>
      </c>
      <c r="X79" s="0" t="n">
        <v>-1.25076524476901</v>
      </c>
      <c r="Y79" s="0" t="s">
        <v>934</v>
      </c>
      <c r="Z79" s="0" t="s">
        <v>158</v>
      </c>
    </row>
    <row r="80" customFormat="false" ht="15" hidden="false" customHeight="false" outlineLevel="0" collapsed="false">
      <c r="A80" s="0" t="n">
        <v>80</v>
      </c>
      <c r="B80" s="0" t="n">
        <v>7044628</v>
      </c>
      <c r="C80" s="0" t="n">
        <v>18408</v>
      </c>
      <c r="D80" s="0" t="n">
        <v>5698679</v>
      </c>
      <c r="E80" s="0" t="s">
        <v>935</v>
      </c>
      <c r="F80" s="0" t="n">
        <v>400181</v>
      </c>
      <c r="G80" s="0" t="s">
        <v>936</v>
      </c>
      <c r="H80" s="0" t="s">
        <v>937</v>
      </c>
      <c r="I80" s="0" t="s">
        <v>938</v>
      </c>
      <c r="J80" s="0" t="s">
        <v>939</v>
      </c>
      <c r="K80" s="0" t="s">
        <v>940</v>
      </c>
      <c r="L80" s="0" t="n">
        <v>4218417</v>
      </c>
      <c r="M80" s="0" t="s">
        <v>941</v>
      </c>
      <c r="N80" s="0" t="n">
        <v>3811693</v>
      </c>
      <c r="O80" s="0" t="n">
        <v>3286</v>
      </c>
      <c r="P80" s="0" t="s">
        <v>384</v>
      </c>
      <c r="Q80" s="0" t="s">
        <v>942</v>
      </c>
      <c r="R80" s="0" t="s">
        <v>943</v>
      </c>
      <c r="S80" s="0" t="s">
        <v>944</v>
      </c>
      <c r="T80" s="0" t="s">
        <v>945</v>
      </c>
      <c r="U80" s="0" t="n">
        <v>0</v>
      </c>
      <c r="V80" s="0" t="n">
        <v>12.6356673275024</v>
      </c>
      <c r="W80" s="0" t="n">
        <v>20220630</v>
      </c>
      <c r="X80" s="0" t="n">
        <v>0.683736868525769</v>
      </c>
      <c r="Y80" s="0" t="s">
        <v>946</v>
      </c>
      <c r="Z80" s="0" t="s">
        <v>60</v>
      </c>
    </row>
    <row r="81" customFormat="false" ht="15" hidden="false" customHeight="false" outlineLevel="0" collapsed="false">
      <c r="A81" s="0" t="n">
        <v>81</v>
      </c>
      <c r="B81" s="0" t="n">
        <v>2272024</v>
      </c>
      <c r="C81" s="0" t="n">
        <v>19531</v>
      </c>
      <c r="D81" s="0" t="n">
        <v>1925714</v>
      </c>
      <c r="E81" s="0" t="s">
        <v>61</v>
      </c>
      <c r="F81" s="0" t="n">
        <v>222030</v>
      </c>
      <c r="G81" s="0" t="s">
        <v>947</v>
      </c>
      <c r="H81" s="0" t="s">
        <v>948</v>
      </c>
      <c r="I81" s="0" t="s">
        <v>949</v>
      </c>
      <c r="J81" s="0" t="s">
        <v>950</v>
      </c>
      <c r="K81" s="0" t="s">
        <v>951</v>
      </c>
      <c r="L81" s="0" t="n">
        <v>1764676</v>
      </c>
      <c r="M81" s="0" t="s">
        <v>952</v>
      </c>
      <c r="N81" s="0" t="n">
        <v>1421672</v>
      </c>
      <c r="O81" s="0" t="n">
        <v>5750</v>
      </c>
      <c r="P81" s="0" t="s">
        <v>397</v>
      </c>
      <c r="Q81" s="0" t="s">
        <v>953</v>
      </c>
      <c r="R81" s="0" t="s">
        <v>954</v>
      </c>
      <c r="S81" s="0" t="s">
        <v>955</v>
      </c>
      <c r="T81" s="0" t="s">
        <v>956</v>
      </c>
      <c r="U81" s="0" t="n">
        <v>0</v>
      </c>
      <c r="V81" s="0" t="n">
        <v>14.6873232617526</v>
      </c>
      <c r="W81" s="0" t="n">
        <v>20220630</v>
      </c>
      <c r="X81" s="0" t="n">
        <v>0.393415877845515</v>
      </c>
      <c r="Y81" s="0" t="s">
        <v>957</v>
      </c>
      <c r="Z81" s="0" t="s">
        <v>60</v>
      </c>
    </row>
    <row r="82" customFormat="false" ht="15" hidden="false" customHeight="false" outlineLevel="0" collapsed="false">
      <c r="A82" s="0" t="n">
        <v>82</v>
      </c>
      <c r="B82" s="0" t="n">
        <v>754376</v>
      </c>
      <c r="C82" s="0" t="n">
        <v>19532</v>
      </c>
      <c r="D82" s="0" t="n">
        <v>650205</v>
      </c>
      <c r="E82" s="0" t="s">
        <v>390</v>
      </c>
      <c r="F82" s="0" t="n">
        <v>89980</v>
      </c>
      <c r="G82" s="0" t="s">
        <v>958</v>
      </c>
      <c r="H82" s="0" t="s">
        <v>959</v>
      </c>
      <c r="I82" s="0" t="s">
        <v>960</v>
      </c>
      <c r="J82" s="0" t="s">
        <v>961</v>
      </c>
      <c r="K82" s="0" t="s">
        <v>962</v>
      </c>
      <c r="L82" s="0" t="n">
        <v>515185</v>
      </c>
      <c r="M82" s="0" t="s">
        <v>963</v>
      </c>
      <c r="N82" s="0" t="n">
        <v>443130</v>
      </c>
      <c r="O82" s="0" t="n">
        <v>597</v>
      </c>
      <c r="P82" s="0" t="s">
        <v>409</v>
      </c>
      <c r="Q82" s="0" t="s">
        <v>964</v>
      </c>
      <c r="R82" s="0" t="s">
        <v>965</v>
      </c>
      <c r="S82" s="0" t="s">
        <v>155</v>
      </c>
      <c r="T82" s="0" t="s">
        <v>966</v>
      </c>
      <c r="U82" s="0" t="n">
        <v>187</v>
      </c>
      <c r="V82" s="0" t="n">
        <v>21.3539763438792</v>
      </c>
      <c r="W82" s="0" t="n">
        <v>20220630</v>
      </c>
      <c r="X82" s="0" t="n">
        <v>0.477693119700524</v>
      </c>
      <c r="Y82" s="0" t="s">
        <v>967</v>
      </c>
      <c r="Z82" s="0" t="s">
        <v>60</v>
      </c>
    </row>
    <row r="83" customFormat="false" ht="15" hidden="false" customHeight="false" outlineLevel="0" collapsed="false">
      <c r="A83" s="0" t="n">
        <v>83</v>
      </c>
      <c r="B83" s="0" t="n">
        <v>1582759</v>
      </c>
      <c r="C83" s="0" t="n">
        <v>19690</v>
      </c>
      <c r="D83" s="0" t="n">
        <v>1302616</v>
      </c>
      <c r="E83" s="0" t="s">
        <v>968</v>
      </c>
      <c r="F83" s="0" t="n">
        <v>248321</v>
      </c>
      <c r="G83" s="0" t="s">
        <v>969</v>
      </c>
      <c r="H83" s="0" t="s">
        <v>970</v>
      </c>
      <c r="I83" s="0" t="s">
        <v>971</v>
      </c>
      <c r="J83" s="0" t="s">
        <v>972</v>
      </c>
      <c r="K83" s="0" t="s">
        <v>973</v>
      </c>
      <c r="L83" s="0" t="n">
        <v>1304866</v>
      </c>
      <c r="M83" s="0" t="s">
        <v>974</v>
      </c>
      <c r="N83" s="0" t="n">
        <v>951396</v>
      </c>
      <c r="O83" s="0" t="n">
        <v>12946</v>
      </c>
      <c r="P83" s="0" t="s">
        <v>420</v>
      </c>
      <c r="Q83" s="0" t="s">
        <v>975</v>
      </c>
      <c r="R83" s="0" t="s">
        <v>976</v>
      </c>
      <c r="S83" s="0" t="s">
        <v>977</v>
      </c>
      <c r="T83" s="0" t="s">
        <v>978</v>
      </c>
      <c r="U83" s="0" t="n">
        <v>0</v>
      </c>
      <c r="V83" s="0" t="n">
        <v>19.4670764547208</v>
      </c>
      <c r="W83" s="0" t="n">
        <v>20220630</v>
      </c>
      <c r="X83" s="0" t="n">
        <v>2.71865093743965</v>
      </c>
      <c r="Y83" s="0" t="s">
        <v>979</v>
      </c>
      <c r="Z83" s="0" t="s">
        <v>60</v>
      </c>
    </row>
    <row r="84" customFormat="false" ht="15" hidden="false" customHeight="false" outlineLevel="0" collapsed="false">
      <c r="A84" s="0" t="n">
        <v>84</v>
      </c>
      <c r="B84" s="0" t="n">
        <v>565870</v>
      </c>
      <c r="C84" s="0" t="n">
        <v>19836</v>
      </c>
      <c r="D84" s="0" t="n">
        <v>441969</v>
      </c>
      <c r="E84" s="0" t="s">
        <v>794</v>
      </c>
      <c r="F84" s="0" t="n">
        <v>116691</v>
      </c>
      <c r="G84" s="0" t="s">
        <v>980</v>
      </c>
      <c r="H84" s="0" t="s">
        <v>981</v>
      </c>
      <c r="I84" s="0" t="s">
        <v>982</v>
      </c>
      <c r="J84" s="0" t="s">
        <v>983</v>
      </c>
      <c r="K84" s="0" t="s">
        <v>984</v>
      </c>
      <c r="L84" s="0" t="n">
        <v>450911</v>
      </c>
      <c r="M84" s="0" t="s">
        <v>985</v>
      </c>
      <c r="N84" s="0" t="n">
        <v>383579</v>
      </c>
      <c r="O84" s="0" t="n">
        <v>1685</v>
      </c>
      <c r="P84" s="0" t="s">
        <v>290</v>
      </c>
      <c r="Q84" s="0" t="s">
        <v>986</v>
      </c>
      <c r="R84" s="0" t="s">
        <v>987</v>
      </c>
      <c r="S84" s="0" t="s">
        <v>988</v>
      </c>
      <c r="T84" s="0" t="s">
        <v>989</v>
      </c>
      <c r="U84" s="0" t="n">
        <v>0</v>
      </c>
      <c r="V84" s="0" t="n">
        <v>29.3004506448167</v>
      </c>
      <c r="W84" s="0" t="n">
        <v>20220630</v>
      </c>
      <c r="X84" s="0" t="n">
        <v>0.859566913692381</v>
      </c>
      <c r="Y84" s="0" t="s">
        <v>502</v>
      </c>
      <c r="Z84" s="0" t="s">
        <v>60</v>
      </c>
    </row>
    <row r="85" customFormat="false" ht="15" hidden="false" customHeight="false" outlineLevel="0" collapsed="false">
      <c r="A85" s="0" t="n">
        <v>85</v>
      </c>
      <c r="B85" s="0" t="n">
        <v>1234978</v>
      </c>
      <c r="C85" s="0" t="n">
        <v>24540</v>
      </c>
      <c r="D85" s="0" t="n">
        <v>1010154</v>
      </c>
      <c r="E85" s="0" t="s">
        <v>61</v>
      </c>
      <c r="F85" s="0" t="n">
        <v>198951</v>
      </c>
      <c r="G85" s="0" t="s">
        <v>990</v>
      </c>
      <c r="H85" s="0" t="s">
        <v>991</v>
      </c>
      <c r="I85" s="0" t="s">
        <v>992</v>
      </c>
      <c r="J85" s="0" t="s">
        <v>993</v>
      </c>
      <c r="K85" s="0" t="s">
        <v>994</v>
      </c>
      <c r="L85" s="0" t="n">
        <v>1041543</v>
      </c>
      <c r="M85" s="0" t="s">
        <v>995</v>
      </c>
      <c r="N85" s="0" t="n">
        <v>1001399</v>
      </c>
      <c r="O85" s="0" t="n">
        <v>782</v>
      </c>
      <c r="P85" s="0" t="s">
        <v>443</v>
      </c>
      <c r="Q85" s="0" t="s">
        <v>996</v>
      </c>
      <c r="R85" s="0" t="s">
        <v>997</v>
      </c>
      <c r="S85" s="0" t="s">
        <v>998</v>
      </c>
      <c r="T85" s="0" t="s">
        <v>61</v>
      </c>
      <c r="U85" s="0" t="n">
        <v>0</v>
      </c>
      <c r="V85" s="0" t="n">
        <v>0</v>
      </c>
      <c r="W85" s="0" t="n">
        <v>20220630</v>
      </c>
      <c r="X85" s="0" t="n">
        <v>2.15476323542861</v>
      </c>
      <c r="Y85" s="0" t="s">
        <v>999</v>
      </c>
      <c r="Z85" s="0" t="s">
        <v>158</v>
      </c>
    </row>
    <row r="86" customFormat="false" ht="15" hidden="false" customHeight="false" outlineLevel="0" collapsed="false">
      <c r="A86" s="0" t="n">
        <v>86</v>
      </c>
      <c r="B86" s="0" t="n">
        <v>469898</v>
      </c>
      <c r="C86" s="0" t="n">
        <v>27824</v>
      </c>
      <c r="D86" s="0" t="n">
        <v>371733</v>
      </c>
      <c r="E86" s="0" t="s">
        <v>61</v>
      </c>
      <c r="F86" s="0" t="n">
        <v>67598</v>
      </c>
      <c r="G86" s="0" t="s">
        <v>1000</v>
      </c>
      <c r="H86" s="0" t="s">
        <v>1001</v>
      </c>
      <c r="I86" s="0" t="s">
        <v>1002</v>
      </c>
      <c r="J86" s="0" t="s">
        <v>1003</v>
      </c>
      <c r="K86" s="0" t="s">
        <v>1004</v>
      </c>
      <c r="L86" s="0" t="n">
        <v>379937</v>
      </c>
      <c r="M86" s="0" t="s">
        <v>1005</v>
      </c>
      <c r="N86" s="0" t="n">
        <v>328679</v>
      </c>
      <c r="O86" s="0" t="n">
        <v>861</v>
      </c>
      <c r="P86" s="0" t="s">
        <v>453</v>
      </c>
      <c r="Q86" s="0" t="s">
        <v>1006</v>
      </c>
      <c r="R86" s="0" t="s">
        <v>1007</v>
      </c>
      <c r="S86" s="0" t="s">
        <v>61</v>
      </c>
      <c r="T86" s="0" t="s">
        <v>1008</v>
      </c>
      <c r="U86" s="0" t="n">
        <v>0</v>
      </c>
      <c r="V86" s="0" t="n">
        <v>24.6578547583975</v>
      </c>
      <c r="W86" s="0" t="n">
        <v>20220630</v>
      </c>
      <c r="X86" s="0" t="n">
        <v>0.382958283601642</v>
      </c>
      <c r="Y86" s="0" t="s">
        <v>1009</v>
      </c>
      <c r="Z86" s="0" t="s">
        <v>158</v>
      </c>
    </row>
    <row r="87" customFormat="false" ht="15" hidden="false" customHeight="false" outlineLevel="0" collapsed="false">
      <c r="A87" s="0" t="n">
        <v>87</v>
      </c>
      <c r="B87" s="0" t="n">
        <v>299676</v>
      </c>
      <c r="C87" s="0" t="n">
        <v>28155</v>
      </c>
      <c r="D87" s="0" t="n">
        <v>271184</v>
      </c>
      <c r="E87" s="0" t="s">
        <v>208</v>
      </c>
      <c r="F87" s="0" t="n">
        <v>27573</v>
      </c>
      <c r="G87" s="0" t="s">
        <v>1010</v>
      </c>
      <c r="H87" s="0" t="s">
        <v>1011</v>
      </c>
      <c r="I87" s="0" t="s">
        <v>1012</v>
      </c>
      <c r="J87" s="0" t="s">
        <v>1013</v>
      </c>
      <c r="K87" s="0" t="s">
        <v>1014</v>
      </c>
      <c r="L87" s="0" t="n">
        <v>149772</v>
      </c>
      <c r="M87" s="0" t="s">
        <v>1015</v>
      </c>
      <c r="N87" s="0" t="n">
        <v>139442</v>
      </c>
      <c r="O87" s="0" t="n">
        <v>12</v>
      </c>
      <c r="P87" s="0" t="s">
        <v>464</v>
      </c>
      <c r="Q87" s="0" t="s">
        <v>1016</v>
      </c>
      <c r="R87" s="0" t="s">
        <v>1017</v>
      </c>
      <c r="S87" s="0" t="s">
        <v>1018</v>
      </c>
      <c r="T87" s="0" t="s">
        <v>1019</v>
      </c>
      <c r="U87" s="0" t="n">
        <v>0</v>
      </c>
      <c r="V87" s="0" t="n">
        <v>19.0224932090442</v>
      </c>
      <c r="W87" s="0" t="n">
        <v>20220630</v>
      </c>
      <c r="X87" s="0" t="n">
        <v>0.25641055176648</v>
      </c>
      <c r="Y87" s="0" t="s">
        <v>1020</v>
      </c>
      <c r="Z87" s="0" t="s">
        <v>158</v>
      </c>
    </row>
    <row r="88" customFormat="false" ht="15" hidden="false" customHeight="false" outlineLevel="0" collapsed="false">
      <c r="A88" s="0" t="n">
        <v>88</v>
      </c>
      <c r="B88" s="0" t="n">
        <v>98212</v>
      </c>
      <c r="C88" s="0" t="n">
        <v>28288</v>
      </c>
      <c r="D88" s="0" t="n">
        <v>80509</v>
      </c>
      <c r="E88" s="0" t="s">
        <v>47</v>
      </c>
      <c r="F88" s="0" t="n">
        <v>6561</v>
      </c>
      <c r="G88" s="0" t="s">
        <v>1021</v>
      </c>
      <c r="H88" s="0" t="s">
        <v>1022</v>
      </c>
      <c r="I88" s="0" t="s">
        <v>1023</v>
      </c>
      <c r="J88" s="0" t="s">
        <v>1024</v>
      </c>
      <c r="K88" s="0" t="s">
        <v>1025</v>
      </c>
      <c r="L88" s="0" t="n">
        <v>77137</v>
      </c>
      <c r="M88" s="0" t="s">
        <v>1026</v>
      </c>
      <c r="N88" s="0" t="n">
        <v>73486</v>
      </c>
      <c r="O88" s="0" t="n">
        <v>408</v>
      </c>
      <c r="P88" s="0" t="s">
        <v>475</v>
      </c>
      <c r="Q88" s="0" t="s">
        <v>1027</v>
      </c>
      <c r="R88" s="0" t="s">
        <v>1028</v>
      </c>
      <c r="S88" s="0" t="s">
        <v>243</v>
      </c>
      <c r="T88" s="0" t="s">
        <v>1029</v>
      </c>
      <c r="U88" s="0" t="n">
        <v>0</v>
      </c>
      <c r="V88" s="0" t="n">
        <v>13.4365080570448</v>
      </c>
      <c r="W88" s="0" t="n">
        <v>20220630</v>
      </c>
      <c r="X88" s="0" t="n">
        <v>0.0974689847333906</v>
      </c>
      <c r="Y88" s="0" t="s">
        <v>1030</v>
      </c>
      <c r="Z88" s="0" t="s">
        <v>60</v>
      </c>
    </row>
    <row r="89" customFormat="false" ht="15" hidden="false" customHeight="false" outlineLevel="0" collapsed="false">
      <c r="A89" s="0" t="n">
        <v>89</v>
      </c>
      <c r="B89" s="0" t="n">
        <v>87270</v>
      </c>
      <c r="C89" s="0" t="n">
        <v>28369</v>
      </c>
      <c r="D89" s="0" t="n">
        <v>75522</v>
      </c>
      <c r="E89" s="0" t="s">
        <v>259</v>
      </c>
      <c r="F89" s="0" t="n">
        <v>9341</v>
      </c>
      <c r="G89" s="0" t="s">
        <v>1031</v>
      </c>
      <c r="H89" s="0" t="s">
        <v>1032</v>
      </c>
      <c r="I89" s="0" t="s">
        <v>1033</v>
      </c>
      <c r="J89" s="0" t="s">
        <v>1034</v>
      </c>
      <c r="K89" s="0" t="s">
        <v>1035</v>
      </c>
      <c r="L89" s="0" t="n">
        <v>73277</v>
      </c>
      <c r="M89" s="0" t="s">
        <v>1036</v>
      </c>
      <c r="N89" s="0" t="n">
        <v>61748</v>
      </c>
      <c r="O89" s="0" t="n">
        <v>372</v>
      </c>
      <c r="P89" s="0" t="s">
        <v>486</v>
      </c>
      <c r="Q89" s="0" t="s">
        <v>1037</v>
      </c>
      <c r="R89" s="0" t="s">
        <v>1038</v>
      </c>
      <c r="S89" s="0" t="s">
        <v>155</v>
      </c>
      <c r="T89" s="0" t="s">
        <v>1039</v>
      </c>
      <c r="U89" s="0" t="n">
        <v>0</v>
      </c>
      <c r="V89" s="0" t="n">
        <v>0</v>
      </c>
      <c r="W89" s="0" t="n">
        <v>20220630</v>
      </c>
      <c r="X89" s="0" t="n">
        <v>-0.0301446945337621</v>
      </c>
      <c r="Y89" s="0" t="s">
        <v>1040</v>
      </c>
      <c r="Z89" s="0" t="s">
        <v>60</v>
      </c>
    </row>
    <row r="90" customFormat="false" ht="15" hidden="false" customHeight="false" outlineLevel="0" collapsed="false">
      <c r="A90" s="0" t="n">
        <v>90</v>
      </c>
      <c r="B90" s="0" t="n">
        <v>290878</v>
      </c>
      <c r="C90" s="0" t="n">
        <v>28837</v>
      </c>
      <c r="D90" s="0" t="n">
        <v>266261</v>
      </c>
      <c r="E90" s="0" t="s">
        <v>172</v>
      </c>
      <c r="F90" s="0" t="n">
        <v>22419</v>
      </c>
      <c r="G90" s="0" t="s">
        <v>1041</v>
      </c>
      <c r="H90" s="0" t="s">
        <v>1042</v>
      </c>
      <c r="I90" s="0" t="s">
        <v>1043</v>
      </c>
      <c r="J90" s="0" t="s">
        <v>1044</v>
      </c>
      <c r="K90" s="0" t="s">
        <v>1045</v>
      </c>
      <c r="L90" s="0" t="n">
        <v>188647</v>
      </c>
      <c r="M90" s="0" t="s">
        <v>1046</v>
      </c>
      <c r="N90" s="0" t="n">
        <v>179830</v>
      </c>
      <c r="O90" s="0" t="n">
        <v>0</v>
      </c>
      <c r="P90" s="0" t="s">
        <v>497</v>
      </c>
      <c r="Q90" s="0" t="s">
        <v>61</v>
      </c>
      <c r="R90" s="0" t="s">
        <v>1047</v>
      </c>
      <c r="S90" s="0" t="s">
        <v>1048</v>
      </c>
      <c r="T90" s="0" t="s">
        <v>1049</v>
      </c>
      <c r="U90" s="0" t="n">
        <v>0</v>
      </c>
      <c r="V90" s="0" t="n">
        <v>14.7624530597825</v>
      </c>
      <c r="W90" s="0" t="n">
        <v>20220630</v>
      </c>
      <c r="X90" s="0" t="n">
        <v>0.368184561732949</v>
      </c>
      <c r="Y90" s="0" t="s">
        <v>1050</v>
      </c>
      <c r="Z90" s="0" t="s">
        <v>98</v>
      </c>
    </row>
    <row r="91" customFormat="false" ht="15" hidden="false" customHeight="false" outlineLevel="0" collapsed="false">
      <c r="A91" s="0" t="n">
        <v>91</v>
      </c>
      <c r="B91" s="0" t="n">
        <v>182713</v>
      </c>
      <c r="C91" s="0" t="n">
        <v>29636</v>
      </c>
      <c r="D91" s="0" t="n">
        <v>157371</v>
      </c>
      <c r="E91" s="0" t="s">
        <v>208</v>
      </c>
      <c r="F91" s="0" t="n">
        <v>23979</v>
      </c>
      <c r="G91" s="0" t="s">
        <v>1051</v>
      </c>
      <c r="H91" s="0" t="s">
        <v>1052</v>
      </c>
      <c r="I91" s="0" t="s">
        <v>1053</v>
      </c>
      <c r="J91" s="0" t="s">
        <v>1054</v>
      </c>
      <c r="K91" s="0" t="s">
        <v>1055</v>
      </c>
      <c r="L91" s="0" t="n">
        <v>111784</v>
      </c>
      <c r="M91" s="0" t="s">
        <v>1056</v>
      </c>
      <c r="N91" s="0" t="n">
        <v>108292</v>
      </c>
      <c r="O91" s="0" t="n">
        <v>2116</v>
      </c>
      <c r="P91" s="0" t="s">
        <v>509</v>
      </c>
      <c r="Q91" s="0" t="s">
        <v>1057</v>
      </c>
      <c r="R91" s="0" t="s">
        <v>1058</v>
      </c>
      <c r="S91" s="0" t="s">
        <v>293</v>
      </c>
      <c r="T91" s="0" t="s">
        <v>376</v>
      </c>
      <c r="U91" s="0" t="n">
        <v>0</v>
      </c>
      <c r="V91" s="0" t="n">
        <v>30.849232534787</v>
      </c>
      <c r="W91" s="0" t="n">
        <v>20220630</v>
      </c>
      <c r="X91" s="0" t="n">
        <v>0.132689298792343</v>
      </c>
      <c r="Y91" s="0" t="s">
        <v>1059</v>
      </c>
      <c r="Z91" s="0" t="s">
        <v>60</v>
      </c>
    </row>
    <row r="92" customFormat="false" ht="15" hidden="false" customHeight="false" outlineLevel="0" collapsed="false">
      <c r="A92" s="0" t="n">
        <v>92</v>
      </c>
      <c r="B92" s="0" t="n">
        <v>176966</v>
      </c>
      <c r="C92" s="0" t="n">
        <v>29743</v>
      </c>
      <c r="D92" s="0" t="n">
        <v>160168</v>
      </c>
      <c r="E92" s="0" t="s">
        <v>61</v>
      </c>
      <c r="F92" s="0" t="n">
        <v>14544</v>
      </c>
      <c r="G92" s="0" t="s">
        <v>1060</v>
      </c>
      <c r="H92" s="0" t="s">
        <v>1061</v>
      </c>
      <c r="I92" s="0" t="s">
        <v>1062</v>
      </c>
      <c r="J92" s="0" t="s">
        <v>1063</v>
      </c>
      <c r="K92" s="0" t="s">
        <v>1064</v>
      </c>
      <c r="L92" s="0" t="n">
        <v>118848</v>
      </c>
      <c r="M92" s="0" t="s">
        <v>1065</v>
      </c>
      <c r="N92" s="0" t="n">
        <v>78376</v>
      </c>
      <c r="O92" s="0" t="n">
        <v>467</v>
      </c>
      <c r="P92" s="0" t="s">
        <v>520</v>
      </c>
      <c r="Q92" s="0" t="s">
        <v>1066</v>
      </c>
      <c r="R92" s="0" t="s">
        <v>1067</v>
      </c>
      <c r="S92" s="0" t="s">
        <v>1068</v>
      </c>
      <c r="T92" s="0" t="s">
        <v>1069</v>
      </c>
      <c r="U92" s="0" t="n">
        <v>0</v>
      </c>
      <c r="V92" s="0" t="n">
        <v>17.6123658591362</v>
      </c>
      <c r="W92" s="0" t="n">
        <v>20220630</v>
      </c>
      <c r="X92" s="0" t="n">
        <v>0.753273491838588</v>
      </c>
      <c r="Y92" s="0" t="s">
        <v>1070</v>
      </c>
      <c r="Z92" s="0" t="s">
        <v>60</v>
      </c>
    </row>
    <row r="93" customFormat="false" ht="15" hidden="false" customHeight="false" outlineLevel="0" collapsed="false">
      <c r="A93" s="0" t="n">
        <v>93</v>
      </c>
      <c r="B93" s="0" t="n">
        <v>510338</v>
      </c>
      <c r="C93" s="0" t="n">
        <v>29744</v>
      </c>
      <c r="D93" s="0" t="n">
        <v>400169</v>
      </c>
      <c r="E93" s="0" t="s">
        <v>195</v>
      </c>
      <c r="F93" s="0" t="n">
        <v>42675</v>
      </c>
      <c r="G93" s="0" t="s">
        <v>1071</v>
      </c>
      <c r="H93" s="0" t="s">
        <v>1072</v>
      </c>
      <c r="I93" s="0" t="s">
        <v>1073</v>
      </c>
      <c r="J93" s="0" t="s">
        <v>1074</v>
      </c>
      <c r="K93" s="0" t="s">
        <v>1075</v>
      </c>
      <c r="L93" s="0" t="n">
        <v>384539</v>
      </c>
      <c r="M93" s="0" t="s">
        <v>1076</v>
      </c>
      <c r="N93" s="0" t="n">
        <v>352732</v>
      </c>
      <c r="O93" s="0" t="n">
        <v>602</v>
      </c>
      <c r="P93" s="0" t="s">
        <v>531</v>
      </c>
      <c r="Q93" s="0" t="s">
        <v>1077</v>
      </c>
      <c r="R93" s="0" t="s">
        <v>1078</v>
      </c>
      <c r="S93" s="0" t="s">
        <v>108</v>
      </c>
      <c r="T93" s="0" t="s">
        <v>1079</v>
      </c>
      <c r="U93" s="0" t="n">
        <v>0</v>
      </c>
      <c r="V93" s="0" t="n">
        <v>16.7010073613681</v>
      </c>
      <c r="W93" s="0" t="n">
        <v>20220630</v>
      </c>
      <c r="X93" s="0" t="n">
        <v>0.255625872703925</v>
      </c>
      <c r="Y93" s="0" t="s">
        <v>1080</v>
      </c>
      <c r="Z93" s="0" t="s">
        <v>158</v>
      </c>
    </row>
    <row r="94" customFormat="false" ht="15" hidden="false" customHeight="false" outlineLevel="0" collapsed="false">
      <c r="A94" s="0" t="n">
        <v>94</v>
      </c>
      <c r="B94" s="0" t="n">
        <v>543454</v>
      </c>
      <c r="C94" s="0" t="n">
        <v>30350</v>
      </c>
      <c r="D94" s="0" t="n">
        <v>468153</v>
      </c>
      <c r="E94" s="0" t="s">
        <v>61</v>
      </c>
      <c r="F94" s="0" t="n">
        <v>50997</v>
      </c>
      <c r="G94" s="0" t="s">
        <v>1081</v>
      </c>
      <c r="H94" s="0" t="s">
        <v>1082</v>
      </c>
      <c r="I94" s="0" t="s">
        <v>1083</v>
      </c>
      <c r="J94" s="0" t="s">
        <v>1084</v>
      </c>
      <c r="K94" s="0" t="s">
        <v>1085</v>
      </c>
      <c r="L94" s="0" t="n">
        <v>371004</v>
      </c>
      <c r="M94" s="0" t="s">
        <v>1086</v>
      </c>
      <c r="N94" s="0" t="n">
        <v>358181</v>
      </c>
      <c r="O94" s="0" t="n">
        <v>2718</v>
      </c>
      <c r="P94" s="0" t="s">
        <v>543</v>
      </c>
      <c r="Q94" s="0" t="s">
        <v>1087</v>
      </c>
      <c r="R94" s="0" t="s">
        <v>1088</v>
      </c>
      <c r="S94" s="0" t="s">
        <v>1089</v>
      </c>
      <c r="T94" s="0" t="s">
        <v>1090</v>
      </c>
      <c r="U94" s="0" t="n">
        <v>0</v>
      </c>
      <c r="V94" s="0" t="n">
        <v>21.2363870447464</v>
      </c>
      <c r="W94" s="0" t="n">
        <v>20220630</v>
      </c>
      <c r="X94" s="0" t="n">
        <v>0.502798290193913</v>
      </c>
      <c r="Y94" s="0" t="s">
        <v>270</v>
      </c>
      <c r="Z94" s="0" t="s">
        <v>98</v>
      </c>
    </row>
    <row r="95" customFormat="false" ht="15" hidden="false" customHeight="false" outlineLevel="0" collapsed="false">
      <c r="A95" s="0" t="n">
        <v>95</v>
      </c>
      <c r="B95" s="0" t="n">
        <v>100800</v>
      </c>
      <c r="C95" s="0" t="n">
        <v>30878</v>
      </c>
      <c r="D95" s="0" t="n">
        <v>78524</v>
      </c>
      <c r="E95" s="0" t="s">
        <v>271</v>
      </c>
      <c r="F95" s="0" t="n">
        <v>12406</v>
      </c>
      <c r="G95" s="0" t="s">
        <v>1091</v>
      </c>
      <c r="H95" s="0" t="s">
        <v>1092</v>
      </c>
      <c r="I95" s="0" t="s">
        <v>1093</v>
      </c>
      <c r="J95" s="0" t="s">
        <v>61</v>
      </c>
      <c r="K95" s="0" t="s">
        <v>1094</v>
      </c>
      <c r="L95" s="0" t="n">
        <v>72560</v>
      </c>
      <c r="M95" s="0" t="s">
        <v>1095</v>
      </c>
      <c r="N95" s="0" t="n">
        <v>72468</v>
      </c>
      <c r="O95" s="0" t="n">
        <v>466</v>
      </c>
      <c r="P95" s="0" t="s">
        <v>553</v>
      </c>
      <c r="Q95" s="0" t="s">
        <v>1096</v>
      </c>
      <c r="R95" s="0" t="s">
        <v>1097</v>
      </c>
      <c r="S95" s="0" t="s">
        <v>61</v>
      </c>
      <c r="T95" s="0" t="s">
        <v>1098</v>
      </c>
      <c r="U95" s="0" t="n">
        <v>0</v>
      </c>
      <c r="V95" s="0" t="n">
        <v>0</v>
      </c>
      <c r="W95" s="0" t="n">
        <v>20220630</v>
      </c>
      <c r="X95" s="0" t="n">
        <v>0.310113476352191</v>
      </c>
      <c r="Y95" s="0" t="s">
        <v>1099</v>
      </c>
      <c r="Z95" s="0" t="s">
        <v>60</v>
      </c>
    </row>
    <row r="96" customFormat="false" ht="15" hidden="false" customHeight="false" outlineLevel="0" collapsed="false">
      <c r="A96" s="0" t="n">
        <v>96</v>
      </c>
      <c r="B96" s="0" t="n">
        <v>732318</v>
      </c>
      <c r="C96" s="0" t="n">
        <v>33418</v>
      </c>
      <c r="D96" s="0" t="n">
        <v>570903</v>
      </c>
      <c r="E96" s="0" t="s">
        <v>61</v>
      </c>
      <c r="F96" s="0" t="n">
        <v>59389</v>
      </c>
      <c r="G96" s="0" t="s">
        <v>1100</v>
      </c>
      <c r="H96" s="0" t="s">
        <v>1101</v>
      </c>
      <c r="I96" s="0" t="s">
        <v>1102</v>
      </c>
      <c r="J96" s="0" t="s">
        <v>1103</v>
      </c>
      <c r="K96" s="0" t="s">
        <v>1104</v>
      </c>
      <c r="L96" s="0" t="n">
        <v>354978</v>
      </c>
      <c r="M96" s="0" t="s">
        <v>1105</v>
      </c>
      <c r="N96" s="0" t="n">
        <v>301150</v>
      </c>
      <c r="O96" s="0" t="n">
        <v>2652</v>
      </c>
      <c r="P96" s="0" t="s">
        <v>564</v>
      </c>
      <c r="Q96" s="0" t="s">
        <v>1106</v>
      </c>
      <c r="R96" s="0" t="s">
        <v>1107</v>
      </c>
      <c r="S96" s="0" t="s">
        <v>205</v>
      </c>
      <c r="T96" s="0" t="s">
        <v>1108</v>
      </c>
      <c r="U96" s="0" t="n">
        <v>0</v>
      </c>
      <c r="V96" s="0" t="n">
        <v>18.6076360363737</v>
      </c>
      <c r="W96" s="0" t="n">
        <v>20220630</v>
      </c>
      <c r="X96" s="0" t="n">
        <v>1.16569230469518</v>
      </c>
      <c r="Y96" s="0" t="s">
        <v>1109</v>
      </c>
      <c r="Z96" s="0" t="s">
        <v>98</v>
      </c>
    </row>
    <row r="97" customFormat="false" ht="15" hidden="false" customHeight="false" outlineLevel="0" collapsed="false">
      <c r="A97" s="0" t="n">
        <v>97</v>
      </c>
      <c r="B97" s="0" t="n">
        <v>62457</v>
      </c>
      <c r="C97" s="0" t="n">
        <v>35206</v>
      </c>
      <c r="D97" s="0" t="n">
        <v>500</v>
      </c>
      <c r="E97" s="0" t="s">
        <v>61</v>
      </c>
      <c r="F97" s="0" t="n">
        <v>57487</v>
      </c>
      <c r="G97" s="0" t="s">
        <v>1110</v>
      </c>
      <c r="H97" s="0" t="s">
        <v>1111</v>
      </c>
      <c r="I97" s="0" t="s">
        <v>61</v>
      </c>
      <c r="J97" s="0" t="s">
        <v>61</v>
      </c>
      <c r="K97" s="0" t="s">
        <v>61</v>
      </c>
      <c r="L97" s="0" t="n">
        <v>0</v>
      </c>
      <c r="M97" s="0" t="s">
        <v>61</v>
      </c>
      <c r="N97" s="0" t="n">
        <v>0</v>
      </c>
      <c r="O97" s="0" t="n">
        <v>0</v>
      </c>
      <c r="P97" s="0" t="s">
        <v>1112</v>
      </c>
      <c r="Q97" s="0" t="s">
        <v>61</v>
      </c>
      <c r="R97" s="0" t="s">
        <v>1113</v>
      </c>
      <c r="S97" s="0" t="s">
        <v>61</v>
      </c>
      <c r="T97" s="0" t="s">
        <v>61</v>
      </c>
      <c r="U97" s="0" t="n">
        <v>0</v>
      </c>
      <c r="V97" s="0" t="n">
        <v>0</v>
      </c>
      <c r="W97" s="0" t="n">
        <v>20220630</v>
      </c>
      <c r="X97" s="0" t="n">
        <v>2.27731467928075</v>
      </c>
      <c r="Y97" s="0" t="s">
        <v>1114</v>
      </c>
      <c r="Z97" s="0" t="s">
        <v>158</v>
      </c>
    </row>
    <row r="98" customFormat="false" ht="15" hidden="false" customHeight="false" outlineLevel="0" collapsed="false">
      <c r="A98" s="0" t="n">
        <v>98</v>
      </c>
      <c r="B98" s="0" t="n">
        <v>5454674</v>
      </c>
      <c r="C98" s="0" t="n">
        <v>4255</v>
      </c>
      <c r="D98" s="0" t="n">
        <v>4564900</v>
      </c>
      <c r="E98" s="0" t="s">
        <v>246</v>
      </c>
      <c r="F98" s="0" t="n">
        <v>460996</v>
      </c>
      <c r="G98" s="0" t="s">
        <v>1115</v>
      </c>
      <c r="H98" s="0" t="s">
        <v>1116</v>
      </c>
      <c r="I98" s="0" t="s">
        <v>1117</v>
      </c>
      <c r="J98" s="0" t="s">
        <v>1118</v>
      </c>
      <c r="K98" s="0" t="s">
        <v>1119</v>
      </c>
      <c r="L98" s="0" t="n">
        <v>3727567</v>
      </c>
      <c r="M98" s="0" t="s">
        <v>1120</v>
      </c>
      <c r="N98" s="0" t="n">
        <v>3314850</v>
      </c>
      <c r="O98" s="0" t="n">
        <v>3505</v>
      </c>
      <c r="P98" s="0" t="s">
        <v>575</v>
      </c>
      <c r="Q98" s="0" t="s">
        <v>1121</v>
      </c>
      <c r="R98" s="0" t="s">
        <v>1122</v>
      </c>
      <c r="S98" s="0" t="s">
        <v>1123</v>
      </c>
      <c r="T98" s="0" t="s">
        <v>1124</v>
      </c>
      <c r="U98" s="0" t="n">
        <v>0</v>
      </c>
      <c r="V98" s="0" t="n">
        <v>13.2979281956506</v>
      </c>
      <c r="W98" s="0" t="n">
        <v>20220630</v>
      </c>
      <c r="X98" s="0" t="n">
        <v>1.21491549982209</v>
      </c>
      <c r="Y98" s="0" t="s">
        <v>1125</v>
      </c>
      <c r="Z98" s="0" t="s">
        <v>60</v>
      </c>
    </row>
    <row r="99" customFormat="false" ht="15" hidden="false" customHeight="false" outlineLevel="0" collapsed="false">
      <c r="A99" s="0" t="n">
        <v>99</v>
      </c>
      <c r="B99" s="0" t="n">
        <v>2595799</v>
      </c>
      <c r="C99" s="0" t="n">
        <v>4256</v>
      </c>
      <c r="D99" s="0" t="n">
        <v>2252978</v>
      </c>
      <c r="E99" s="0" t="s">
        <v>259</v>
      </c>
      <c r="F99" s="0" t="n">
        <v>198923</v>
      </c>
      <c r="G99" s="0" t="s">
        <v>1126</v>
      </c>
      <c r="H99" s="0" t="s">
        <v>1127</v>
      </c>
      <c r="I99" s="0" t="s">
        <v>1128</v>
      </c>
      <c r="J99" s="0" t="s">
        <v>1129</v>
      </c>
      <c r="K99" s="0" t="s">
        <v>1130</v>
      </c>
      <c r="L99" s="0" t="n">
        <v>1789044</v>
      </c>
      <c r="M99" s="0" t="s">
        <v>1131</v>
      </c>
      <c r="N99" s="0" t="n">
        <v>1445139</v>
      </c>
      <c r="O99" s="0" t="n">
        <v>4812</v>
      </c>
      <c r="P99" s="0" t="s">
        <v>587</v>
      </c>
      <c r="Q99" s="0" t="s">
        <v>1132</v>
      </c>
      <c r="R99" s="0" t="s">
        <v>1133</v>
      </c>
      <c r="S99" s="0" t="s">
        <v>1134</v>
      </c>
      <c r="T99" s="0" t="s">
        <v>1135</v>
      </c>
      <c r="U99" s="0" t="n">
        <v>76</v>
      </c>
      <c r="V99" s="0" t="n">
        <v>13.5641154228502</v>
      </c>
      <c r="W99" s="0" t="n">
        <v>20220630</v>
      </c>
      <c r="X99" s="0" t="n">
        <v>1.58945046854303</v>
      </c>
      <c r="Y99" s="0" t="s">
        <v>1136</v>
      </c>
      <c r="Z99" s="0" t="s">
        <v>60</v>
      </c>
    </row>
    <row r="100" customFormat="false" ht="15" hidden="false" customHeight="false" outlineLevel="0" collapsed="false">
      <c r="A100" s="0" t="n">
        <v>100</v>
      </c>
      <c r="B100" s="0" t="n">
        <v>670113</v>
      </c>
      <c r="C100" s="0" t="n">
        <v>59086</v>
      </c>
      <c r="D100" s="0" t="n">
        <v>597579</v>
      </c>
      <c r="E100" s="0" t="s">
        <v>1137</v>
      </c>
      <c r="F100" s="0" t="n">
        <v>69673</v>
      </c>
      <c r="G100" s="0" t="s">
        <v>1138</v>
      </c>
      <c r="H100" s="0" t="s">
        <v>1139</v>
      </c>
      <c r="I100" s="0" t="s">
        <v>1140</v>
      </c>
      <c r="J100" s="0" t="s">
        <v>1141</v>
      </c>
      <c r="K100" s="0" t="s">
        <v>61</v>
      </c>
      <c r="L100" s="0" t="n">
        <v>534095</v>
      </c>
      <c r="M100" s="0" t="s">
        <v>1142</v>
      </c>
      <c r="N100" s="0" t="n">
        <v>420476</v>
      </c>
      <c r="O100" s="0" t="n">
        <v>2111</v>
      </c>
      <c r="P100" s="0" t="s">
        <v>599</v>
      </c>
      <c r="Q100" s="0" t="s">
        <v>1143</v>
      </c>
      <c r="R100" s="0" t="s">
        <v>1144</v>
      </c>
      <c r="S100" s="0" t="s">
        <v>61</v>
      </c>
      <c r="T100" s="0" t="s">
        <v>61</v>
      </c>
      <c r="U100" s="0" t="n">
        <v>341</v>
      </c>
      <c r="V100" s="0" t="n">
        <v>13.6305606679535</v>
      </c>
      <c r="W100" s="0" t="n">
        <v>20220630</v>
      </c>
      <c r="X100" s="0" t="n">
        <v>1.26067262302423</v>
      </c>
      <c r="Y100" s="0" t="s">
        <v>1145</v>
      </c>
      <c r="Z100" s="0" t="s">
        <v>158</v>
      </c>
    </row>
    <row r="101" customFormat="false" ht="15" hidden="false" customHeight="false" outlineLevel="0" collapsed="false">
      <c r="A101" s="0" t="n">
        <v>101</v>
      </c>
      <c r="B101" s="0" t="n">
        <v>167702</v>
      </c>
      <c r="C101" s="0" t="n">
        <v>59176</v>
      </c>
      <c r="D101" s="0" t="n">
        <v>142565</v>
      </c>
      <c r="E101" s="0" t="s">
        <v>1146</v>
      </c>
      <c r="F101" s="0" t="n">
        <v>21565</v>
      </c>
      <c r="G101" s="0" t="s">
        <v>1147</v>
      </c>
      <c r="H101" s="0" t="s">
        <v>1148</v>
      </c>
      <c r="I101" s="0" t="s">
        <v>1149</v>
      </c>
      <c r="J101" s="0" t="s">
        <v>1150</v>
      </c>
      <c r="K101" s="0" t="s">
        <v>489</v>
      </c>
      <c r="L101" s="0" t="n">
        <v>124324</v>
      </c>
      <c r="M101" s="0" t="s">
        <v>1151</v>
      </c>
      <c r="N101" s="0" t="n">
        <v>106199</v>
      </c>
      <c r="O101" s="0" t="n">
        <v>39</v>
      </c>
      <c r="P101" s="0" t="s">
        <v>610</v>
      </c>
      <c r="Q101" s="0" t="s">
        <v>1152</v>
      </c>
      <c r="R101" s="0" t="s">
        <v>1153</v>
      </c>
      <c r="S101" s="0" t="s">
        <v>61</v>
      </c>
      <c r="T101" s="0" t="s">
        <v>61</v>
      </c>
      <c r="U101" s="0" t="n">
        <v>0</v>
      </c>
      <c r="V101" s="0" t="n">
        <v>18.8872412922766</v>
      </c>
      <c r="W101" s="0" t="n">
        <v>20220630</v>
      </c>
      <c r="X101" s="0" t="n">
        <v>0.166567358214615</v>
      </c>
      <c r="Y101" s="0" t="s">
        <v>1154</v>
      </c>
      <c r="Z101" s="0" t="s">
        <v>158</v>
      </c>
    </row>
    <row r="102" customFormat="false" ht="15" hidden="false" customHeight="false" outlineLevel="0" collapsed="false">
      <c r="A102" s="0" t="n">
        <v>102</v>
      </c>
      <c r="B102" s="0" t="n">
        <v>998962</v>
      </c>
      <c r="C102" s="0" t="n">
        <v>6271</v>
      </c>
      <c r="D102" s="0" t="n">
        <v>873100</v>
      </c>
      <c r="E102" s="0" t="s">
        <v>1155</v>
      </c>
      <c r="F102" s="0" t="n">
        <v>86133</v>
      </c>
      <c r="G102" s="0" t="s">
        <v>1156</v>
      </c>
      <c r="H102" s="0" t="s">
        <v>1157</v>
      </c>
      <c r="I102" s="0" t="s">
        <v>1158</v>
      </c>
      <c r="J102" s="0" t="s">
        <v>1159</v>
      </c>
      <c r="K102" s="0" t="s">
        <v>1160</v>
      </c>
      <c r="L102" s="0" t="n">
        <v>704156</v>
      </c>
      <c r="M102" s="0" t="s">
        <v>1161</v>
      </c>
      <c r="N102" s="0" t="n">
        <v>539059</v>
      </c>
      <c r="O102" s="0" t="n">
        <v>4860</v>
      </c>
      <c r="P102" s="0" t="s">
        <v>621</v>
      </c>
      <c r="Q102" s="0" t="s">
        <v>1162</v>
      </c>
      <c r="R102" s="0" t="s">
        <v>1163</v>
      </c>
      <c r="S102" s="0" t="s">
        <v>1164</v>
      </c>
      <c r="T102" s="0" t="s">
        <v>1165</v>
      </c>
      <c r="U102" s="0" t="n">
        <v>256</v>
      </c>
      <c r="V102" s="0" t="n">
        <v>15.083968855691</v>
      </c>
      <c r="W102" s="0" t="n">
        <v>20220630</v>
      </c>
      <c r="X102" s="0" t="n">
        <v>1.1474856564293</v>
      </c>
      <c r="Y102" s="0" t="s">
        <v>1166</v>
      </c>
      <c r="Z102" s="0" t="s">
        <v>98</v>
      </c>
    </row>
    <row r="103" customFormat="false" ht="15" hidden="false" customHeight="false" outlineLevel="0" collapsed="false">
      <c r="A103" s="0" t="n">
        <v>103</v>
      </c>
      <c r="B103" s="0" t="n">
        <v>532831</v>
      </c>
      <c r="C103" s="0" t="n">
        <v>6275</v>
      </c>
      <c r="D103" s="0" t="n">
        <v>476559</v>
      </c>
      <c r="E103" s="0" t="s">
        <v>330</v>
      </c>
      <c r="F103" s="0" t="n">
        <v>27657</v>
      </c>
      <c r="G103" s="0" t="s">
        <v>1167</v>
      </c>
      <c r="H103" s="0" t="s">
        <v>1168</v>
      </c>
      <c r="I103" s="0" t="s">
        <v>1169</v>
      </c>
      <c r="J103" s="0" t="s">
        <v>1170</v>
      </c>
      <c r="K103" s="0" t="s">
        <v>1171</v>
      </c>
      <c r="L103" s="0" t="n">
        <v>291783</v>
      </c>
      <c r="M103" s="0" t="s">
        <v>1172</v>
      </c>
      <c r="N103" s="0" t="n">
        <v>243597</v>
      </c>
      <c r="O103" s="0" t="n">
        <v>1592</v>
      </c>
      <c r="P103" s="0" t="s">
        <v>633</v>
      </c>
      <c r="Q103" s="0" t="s">
        <v>1173</v>
      </c>
      <c r="R103" s="0" t="s">
        <v>1174</v>
      </c>
      <c r="S103" s="0" t="s">
        <v>352</v>
      </c>
      <c r="T103" s="0" t="s">
        <v>1175</v>
      </c>
      <c r="U103" s="0" t="n">
        <v>0</v>
      </c>
      <c r="V103" s="0" t="n">
        <v>16.2688855607059</v>
      </c>
      <c r="W103" s="0" t="n">
        <v>20220630</v>
      </c>
      <c r="X103" s="0" t="n">
        <v>0.557908413754798</v>
      </c>
      <c r="Y103" s="0" t="s">
        <v>1176</v>
      </c>
      <c r="Z103" s="0" t="s">
        <v>98</v>
      </c>
    </row>
    <row r="104" customFormat="false" ht="15" hidden="false" customHeight="false" outlineLevel="0" collapsed="false">
      <c r="A104" s="0" t="n">
        <v>104</v>
      </c>
      <c r="B104" s="0" t="n">
        <v>86239</v>
      </c>
      <c r="C104" s="0" t="n">
        <v>6280</v>
      </c>
      <c r="D104" s="0" t="n">
        <v>77591</v>
      </c>
      <c r="E104" s="0" t="s">
        <v>208</v>
      </c>
      <c r="F104" s="0" t="n">
        <v>8210</v>
      </c>
      <c r="G104" s="0" t="s">
        <v>1177</v>
      </c>
      <c r="H104" s="0" t="s">
        <v>1178</v>
      </c>
      <c r="I104" s="0" t="s">
        <v>1179</v>
      </c>
      <c r="J104" s="0" t="s">
        <v>1180</v>
      </c>
      <c r="K104" s="0" t="s">
        <v>1181</v>
      </c>
      <c r="L104" s="0" t="n">
        <v>62135</v>
      </c>
      <c r="M104" s="0" t="s">
        <v>1182</v>
      </c>
      <c r="N104" s="0" t="n">
        <v>53194</v>
      </c>
      <c r="O104" s="0" t="n">
        <v>755</v>
      </c>
      <c r="P104" s="0" t="s">
        <v>644</v>
      </c>
      <c r="Q104" s="0" t="s">
        <v>1183</v>
      </c>
      <c r="R104" s="0" t="s">
        <v>1184</v>
      </c>
      <c r="S104" s="0" t="s">
        <v>478</v>
      </c>
      <c r="T104" s="0" t="s">
        <v>1185</v>
      </c>
      <c r="U104" s="0" t="n">
        <v>0</v>
      </c>
      <c r="V104" s="0" t="n">
        <v>0</v>
      </c>
      <c r="W104" s="0" t="n">
        <v>20220630</v>
      </c>
      <c r="X104" s="0" t="n">
        <v>1.36158225247961</v>
      </c>
      <c r="Y104" s="0" t="s">
        <v>1186</v>
      </c>
      <c r="Z104" s="0" t="s">
        <v>98</v>
      </c>
    </row>
    <row r="105" customFormat="false" ht="15" hidden="false" customHeight="false" outlineLevel="0" collapsed="false">
      <c r="A105" s="0" t="n">
        <v>105</v>
      </c>
      <c r="B105" s="0" t="n">
        <v>3837295</v>
      </c>
      <c r="C105" s="0" t="n">
        <v>11971</v>
      </c>
      <c r="D105" s="0" t="n">
        <v>3143267</v>
      </c>
      <c r="E105" s="0" t="s">
        <v>1187</v>
      </c>
      <c r="F105" s="0" t="n">
        <v>434474</v>
      </c>
      <c r="G105" s="0" t="s">
        <v>1188</v>
      </c>
      <c r="H105" s="0" t="s">
        <v>1189</v>
      </c>
      <c r="I105" s="0" t="s">
        <v>1190</v>
      </c>
      <c r="J105" s="0" t="s">
        <v>1191</v>
      </c>
      <c r="K105" s="0" t="s">
        <v>1192</v>
      </c>
      <c r="L105" s="0" t="n">
        <v>2851346</v>
      </c>
      <c r="M105" s="0" t="s">
        <v>1193</v>
      </c>
      <c r="N105" s="0" t="n">
        <v>2481945</v>
      </c>
      <c r="O105" s="0" t="n">
        <v>7772</v>
      </c>
      <c r="P105" s="0" t="s">
        <v>54</v>
      </c>
      <c r="Q105" s="0" t="s">
        <v>1194</v>
      </c>
      <c r="R105" s="0" t="s">
        <v>1195</v>
      </c>
      <c r="S105" s="0" t="s">
        <v>1196</v>
      </c>
      <c r="T105" s="0" t="s">
        <v>1197</v>
      </c>
      <c r="U105" s="0" t="n">
        <v>258</v>
      </c>
      <c r="V105" s="0" t="n">
        <v>13.2170291052592</v>
      </c>
      <c r="W105" s="0" t="n">
        <v>20220930</v>
      </c>
      <c r="X105" s="0" t="n">
        <v>1.23205511199835</v>
      </c>
      <c r="Y105" s="0" t="s">
        <v>1198</v>
      </c>
      <c r="Z105" s="0" t="s">
        <v>60</v>
      </c>
    </row>
    <row r="106" customFormat="false" ht="15" hidden="false" customHeight="false" outlineLevel="0" collapsed="false">
      <c r="A106" s="0" t="n">
        <v>106</v>
      </c>
      <c r="B106" s="0" t="n">
        <v>965147</v>
      </c>
      <c r="C106" s="0" t="n">
        <v>12874</v>
      </c>
      <c r="D106" s="0" t="n">
        <v>851082</v>
      </c>
      <c r="E106" s="0" t="s">
        <v>61</v>
      </c>
      <c r="F106" s="0" t="n">
        <v>93663</v>
      </c>
      <c r="G106" s="0" t="s">
        <v>1199</v>
      </c>
      <c r="H106" s="0" t="s">
        <v>1200</v>
      </c>
      <c r="I106" s="0" t="s">
        <v>1201</v>
      </c>
      <c r="J106" s="0" t="s">
        <v>1202</v>
      </c>
      <c r="K106" s="0" t="s">
        <v>1203</v>
      </c>
      <c r="L106" s="0" t="n">
        <v>734482</v>
      </c>
      <c r="M106" s="0" t="s">
        <v>1204</v>
      </c>
      <c r="N106" s="0" t="n">
        <v>586996</v>
      </c>
      <c r="O106" s="0" t="n">
        <v>577</v>
      </c>
      <c r="P106" s="0" t="s">
        <v>68</v>
      </c>
      <c r="Q106" s="0" t="s">
        <v>1205</v>
      </c>
      <c r="R106" s="0" t="s">
        <v>1206</v>
      </c>
      <c r="S106" s="0" t="s">
        <v>375</v>
      </c>
      <c r="T106" s="0" t="s">
        <v>1207</v>
      </c>
      <c r="U106" s="0" t="n">
        <v>41</v>
      </c>
      <c r="V106" s="0" t="n">
        <v>15.4817930258654</v>
      </c>
      <c r="W106" s="0" t="n">
        <v>20220930</v>
      </c>
      <c r="X106" s="0" t="n">
        <v>0.995017130979604</v>
      </c>
      <c r="Y106" s="0" t="s">
        <v>1208</v>
      </c>
      <c r="Z106" s="0" t="s">
        <v>60</v>
      </c>
    </row>
    <row r="107" customFormat="false" ht="15" hidden="false" customHeight="false" outlineLevel="0" collapsed="false">
      <c r="A107" s="0" t="n">
        <v>107</v>
      </c>
      <c r="B107" s="0" t="n">
        <v>1877331</v>
      </c>
      <c r="C107" s="0" t="n">
        <v>13063</v>
      </c>
      <c r="D107" s="0" t="n">
        <v>1697083</v>
      </c>
      <c r="E107" s="0" t="s">
        <v>330</v>
      </c>
      <c r="F107" s="0" t="n">
        <v>131833</v>
      </c>
      <c r="G107" s="0" t="s">
        <v>1209</v>
      </c>
      <c r="H107" s="0" t="s">
        <v>1210</v>
      </c>
      <c r="I107" s="0" t="s">
        <v>1211</v>
      </c>
      <c r="J107" s="0" t="s">
        <v>1212</v>
      </c>
      <c r="K107" s="0" t="s">
        <v>1213</v>
      </c>
      <c r="L107" s="0" t="n">
        <v>1297056</v>
      </c>
      <c r="M107" s="0" t="s">
        <v>1214</v>
      </c>
      <c r="N107" s="0" t="n">
        <v>1247709</v>
      </c>
      <c r="O107" s="0" t="n">
        <v>354</v>
      </c>
      <c r="P107" s="0" t="s">
        <v>80</v>
      </c>
      <c r="Q107" s="0" t="s">
        <v>1215</v>
      </c>
      <c r="R107" s="0" t="s">
        <v>1216</v>
      </c>
      <c r="S107" s="0" t="s">
        <v>1217</v>
      </c>
      <c r="T107" s="0" t="s">
        <v>899</v>
      </c>
      <c r="U107" s="0" t="n">
        <v>969</v>
      </c>
      <c r="V107" s="0" t="n">
        <v>0</v>
      </c>
      <c r="W107" s="0" t="n">
        <v>20220930</v>
      </c>
      <c r="X107" s="0" t="n">
        <v>0.78572349668144</v>
      </c>
      <c r="Y107" s="0" t="s">
        <v>1218</v>
      </c>
      <c r="Z107" s="0" t="s">
        <v>60</v>
      </c>
    </row>
    <row r="108" customFormat="false" ht="15" hidden="false" customHeight="false" outlineLevel="0" collapsed="false">
      <c r="A108" s="0" t="n">
        <v>108</v>
      </c>
      <c r="B108" s="0" t="n">
        <v>838498</v>
      </c>
      <c r="C108" s="0" t="n">
        <v>14134</v>
      </c>
      <c r="D108" s="0" t="n">
        <v>723891</v>
      </c>
      <c r="E108" s="0" t="s">
        <v>85</v>
      </c>
      <c r="F108" s="0" t="n">
        <v>91539</v>
      </c>
      <c r="G108" s="0" t="s">
        <v>1219</v>
      </c>
      <c r="H108" s="0" t="s">
        <v>1220</v>
      </c>
      <c r="I108" s="0" t="s">
        <v>1221</v>
      </c>
      <c r="J108" s="0" t="s">
        <v>1222</v>
      </c>
      <c r="K108" s="0" t="s">
        <v>1223</v>
      </c>
      <c r="L108" s="0" t="n">
        <v>626781</v>
      </c>
      <c r="M108" s="0" t="s">
        <v>1224</v>
      </c>
      <c r="N108" s="0" t="n">
        <v>548807</v>
      </c>
      <c r="O108" s="0" t="n">
        <v>6193</v>
      </c>
      <c r="P108" s="0" t="s">
        <v>92</v>
      </c>
      <c r="Q108" s="0" t="s">
        <v>1225</v>
      </c>
      <c r="R108" s="0" t="s">
        <v>1226</v>
      </c>
      <c r="S108" s="0" t="s">
        <v>1227</v>
      </c>
      <c r="T108" s="0" t="s">
        <v>1228</v>
      </c>
      <c r="U108" s="0" t="n">
        <v>0</v>
      </c>
      <c r="V108" s="0" t="n">
        <v>17.3760103737375</v>
      </c>
      <c r="W108" s="0" t="n">
        <v>20220930</v>
      </c>
      <c r="X108" s="0" t="n">
        <v>-0.560663297121952</v>
      </c>
      <c r="Y108" s="0" t="s">
        <v>1229</v>
      </c>
      <c r="Z108" s="0" t="s">
        <v>98</v>
      </c>
    </row>
    <row r="109" customFormat="false" ht="15" hidden="false" customHeight="false" outlineLevel="0" collapsed="false">
      <c r="A109" s="0" t="n">
        <v>109</v>
      </c>
      <c r="B109" s="0" t="n">
        <v>225735</v>
      </c>
      <c r="C109" s="0" t="n">
        <v>14136</v>
      </c>
      <c r="D109" s="0" t="n">
        <v>207393</v>
      </c>
      <c r="E109" s="0" t="s">
        <v>208</v>
      </c>
      <c r="F109" s="0" t="n">
        <v>14034</v>
      </c>
      <c r="G109" s="0" t="s">
        <v>1230</v>
      </c>
      <c r="H109" s="0" t="s">
        <v>1231</v>
      </c>
      <c r="I109" s="0" t="s">
        <v>1232</v>
      </c>
      <c r="J109" s="0" t="s">
        <v>1233</v>
      </c>
      <c r="K109" s="0" t="s">
        <v>1234</v>
      </c>
      <c r="L109" s="0" t="n">
        <v>132371</v>
      </c>
      <c r="M109" s="0" t="s">
        <v>1235</v>
      </c>
      <c r="N109" s="0" t="n">
        <v>106837</v>
      </c>
      <c r="O109" s="0" t="n">
        <v>110</v>
      </c>
      <c r="P109" s="0" t="s">
        <v>105</v>
      </c>
      <c r="Q109" s="0" t="s">
        <v>1236</v>
      </c>
      <c r="R109" s="0" t="s">
        <v>1237</v>
      </c>
      <c r="S109" s="0" t="s">
        <v>1039</v>
      </c>
      <c r="T109" s="0" t="s">
        <v>1238</v>
      </c>
      <c r="U109" s="0" t="n">
        <v>709</v>
      </c>
      <c r="V109" s="0" t="n">
        <v>17.115209519978</v>
      </c>
      <c r="W109" s="0" t="n">
        <v>20220930</v>
      </c>
      <c r="X109" s="0" t="n">
        <v>0.393354896764142</v>
      </c>
      <c r="Y109" s="0" t="s">
        <v>1239</v>
      </c>
      <c r="Z109" s="0" t="s">
        <v>98</v>
      </c>
    </row>
    <row r="110" customFormat="false" ht="15" hidden="false" customHeight="false" outlineLevel="0" collapsed="false">
      <c r="A110" s="0" t="n">
        <v>110</v>
      </c>
      <c r="B110" s="0" t="n">
        <v>1443158</v>
      </c>
      <c r="C110" s="0" t="n">
        <v>14140</v>
      </c>
      <c r="D110" s="0" t="n">
        <v>1246266</v>
      </c>
      <c r="E110" s="0" t="s">
        <v>61</v>
      </c>
      <c r="F110" s="0" t="n">
        <v>107668</v>
      </c>
      <c r="G110" s="0" t="s">
        <v>1240</v>
      </c>
      <c r="H110" s="0" t="s">
        <v>1241</v>
      </c>
      <c r="I110" s="0" t="s">
        <v>1242</v>
      </c>
      <c r="J110" s="0" t="s">
        <v>1243</v>
      </c>
      <c r="K110" s="0" t="s">
        <v>1244</v>
      </c>
      <c r="L110" s="0" t="n">
        <v>959732</v>
      </c>
      <c r="M110" s="0" t="s">
        <v>1245</v>
      </c>
      <c r="N110" s="0" t="n">
        <v>868686</v>
      </c>
      <c r="O110" s="0" t="n">
        <v>2457</v>
      </c>
      <c r="P110" s="0" t="s">
        <v>117</v>
      </c>
      <c r="Q110" s="0" t="s">
        <v>1246</v>
      </c>
      <c r="R110" s="0" t="s">
        <v>1247</v>
      </c>
      <c r="S110" s="0" t="s">
        <v>1248</v>
      </c>
      <c r="T110" s="0" t="s">
        <v>144</v>
      </c>
      <c r="U110" s="0" t="n">
        <v>0</v>
      </c>
      <c r="V110" s="0" t="n">
        <v>0</v>
      </c>
      <c r="W110" s="0" t="n">
        <v>20220930</v>
      </c>
      <c r="X110" s="0" t="n">
        <v>0.69874825034993</v>
      </c>
      <c r="Y110" s="0" t="s">
        <v>1249</v>
      </c>
      <c r="Z110" s="0" t="s">
        <v>98</v>
      </c>
    </row>
    <row r="111" customFormat="false" ht="15" hidden="false" customHeight="false" outlineLevel="0" collapsed="false">
      <c r="A111" s="0" t="n">
        <v>111</v>
      </c>
      <c r="B111" s="0" t="n">
        <v>1299582</v>
      </c>
      <c r="C111" s="0" t="n">
        <v>14158</v>
      </c>
      <c r="D111" s="0" t="n">
        <v>1199225</v>
      </c>
      <c r="E111" s="0" t="s">
        <v>61</v>
      </c>
      <c r="F111" s="0" t="n">
        <v>65471</v>
      </c>
      <c r="G111" s="0" t="s">
        <v>1250</v>
      </c>
      <c r="H111" s="0" t="s">
        <v>1251</v>
      </c>
      <c r="I111" s="0" t="s">
        <v>1252</v>
      </c>
      <c r="J111" s="0" t="s">
        <v>1253</v>
      </c>
      <c r="K111" s="0" t="s">
        <v>1254</v>
      </c>
      <c r="L111" s="0" t="n">
        <v>942495</v>
      </c>
      <c r="M111" s="0" t="s">
        <v>1255</v>
      </c>
      <c r="N111" s="0" t="n">
        <v>802531</v>
      </c>
      <c r="O111" s="0" t="n">
        <v>1381</v>
      </c>
      <c r="P111" s="0" t="s">
        <v>129</v>
      </c>
      <c r="Q111" s="0" t="s">
        <v>1256</v>
      </c>
      <c r="R111" s="0" t="s">
        <v>1257</v>
      </c>
      <c r="S111" s="0" t="s">
        <v>155</v>
      </c>
      <c r="T111" s="0" t="s">
        <v>1258</v>
      </c>
      <c r="U111" s="0" t="n">
        <v>308</v>
      </c>
      <c r="V111" s="0" t="n">
        <v>13.6509765861944</v>
      </c>
      <c r="W111" s="0" t="n">
        <v>20220930</v>
      </c>
      <c r="X111" s="0" t="n">
        <v>1.06363308286789</v>
      </c>
      <c r="Y111" s="0" t="s">
        <v>1259</v>
      </c>
      <c r="Z111" s="0" t="s">
        <v>98</v>
      </c>
    </row>
    <row r="112" customFormat="false" ht="15" hidden="false" customHeight="false" outlineLevel="0" collapsed="false">
      <c r="A112" s="0" t="n">
        <v>112</v>
      </c>
      <c r="B112" s="0" t="n">
        <v>365479</v>
      </c>
      <c r="C112" s="0" t="n">
        <v>14168</v>
      </c>
      <c r="D112" s="0" t="n">
        <v>330944</v>
      </c>
      <c r="E112" s="0" t="s">
        <v>61</v>
      </c>
      <c r="F112" s="0" t="n">
        <v>29862</v>
      </c>
      <c r="G112" s="0" t="s">
        <v>1260</v>
      </c>
      <c r="H112" s="0" t="s">
        <v>1261</v>
      </c>
      <c r="I112" s="0" t="s">
        <v>1262</v>
      </c>
      <c r="J112" s="0" t="s">
        <v>1263</v>
      </c>
      <c r="K112" s="0" t="s">
        <v>1264</v>
      </c>
      <c r="L112" s="0" t="n">
        <v>198184</v>
      </c>
      <c r="M112" s="0" t="s">
        <v>1265</v>
      </c>
      <c r="N112" s="0" t="n">
        <v>164935</v>
      </c>
      <c r="O112" s="0" t="n">
        <v>1286</v>
      </c>
      <c r="P112" s="0" t="s">
        <v>140</v>
      </c>
      <c r="Q112" s="0" t="s">
        <v>1266</v>
      </c>
      <c r="R112" s="0" t="s">
        <v>1267</v>
      </c>
      <c r="S112" s="0" t="s">
        <v>1268</v>
      </c>
      <c r="T112" s="0" t="s">
        <v>1269</v>
      </c>
      <c r="U112" s="0" t="n">
        <v>0</v>
      </c>
      <c r="V112" s="0" t="n">
        <v>18.8524471995963</v>
      </c>
      <c r="W112" s="0" t="n">
        <v>20220930</v>
      </c>
      <c r="X112" s="0" t="n">
        <v>0.453583932259783</v>
      </c>
      <c r="Y112" s="0" t="s">
        <v>1270</v>
      </c>
      <c r="Z112" s="0" t="s">
        <v>98</v>
      </c>
    </row>
    <row r="113" customFormat="false" ht="15" hidden="false" customHeight="false" outlineLevel="0" collapsed="false">
      <c r="A113" s="0" t="n">
        <v>113</v>
      </c>
      <c r="B113" s="0" t="n">
        <v>1313807</v>
      </c>
      <c r="C113" s="0" t="n">
        <v>14240</v>
      </c>
      <c r="D113" s="0" t="n">
        <v>1060386</v>
      </c>
      <c r="E113" s="0" t="s">
        <v>858</v>
      </c>
      <c r="F113" s="0" t="n">
        <v>76133</v>
      </c>
      <c r="G113" s="0" t="s">
        <v>1271</v>
      </c>
      <c r="H113" s="0" t="s">
        <v>1272</v>
      </c>
      <c r="I113" s="0" t="s">
        <v>1273</v>
      </c>
      <c r="J113" s="0" t="s">
        <v>1274</v>
      </c>
      <c r="K113" s="0" t="s">
        <v>1275</v>
      </c>
      <c r="L113" s="0" t="n">
        <v>932422</v>
      </c>
      <c r="M113" s="0" t="s">
        <v>1276</v>
      </c>
      <c r="N113" s="0" t="n">
        <v>792363</v>
      </c>
      <c r="O113" s="0" t="n">
        <v>1987</v>
      </c>
      <c r="P113" s="0" t="s">
        <v>152</v>
      </c>
      <c r="Q113" s="0" t="s">
        <v>1277</v>
      </c>
      <c r="R113" s="0" t="s">
        <v>1278</v>
      </c>
      <c r="S113" s="0" t="s">
        <v>1279</v>
      </c>
      <c r="T113" s="0" t="s">
        <v>1280</v>
      </c>
      <c r="U113" s="0" t="n">
        <v>0</v>
      </c>
      <c r="V113" s="0" t="n">
        <v>13.811186570616</v>
      </c>
      <c r="W113" s="0" t="n">
        <v>20220930</v>
      </c>
      <c r="X113" s="0" t="n">
        <v>0.00574117421909108</v>
      </c>
      <c r="Y113" s="0" t="s">
        <v>259</v>
      </c>
      <c r="Z113" s="0" t="s">
        <v>158</v>
      </c>
    </row>
    <row r="114" customFormat="false" ht="15" hidden="false" customHeight="false" outlineLevel="0" collapsed="false">
      <c r="A114" s="0" t="n">
        <v>114</v>
      </c>
      <c r="B114" s="0" t="n">
        <v>978552</v>
      </c>
      <c r="C114" s="0" t="n">
        <v>17115</v>
      </c>
      <c r="D114" s="0" t="n">
        <v>820800</v>
      </c>
      <c r="E114" s="0" t="s">
        <v>1281</v>
      </c>
      <c r="F114" s="0" t="n">
        <v>74649</v>
      </c>
      <c r="G114" s="0" t="s">
        <v>1282</v>
      </c>
      <c r="H114" s="0" t="s">
        <v>1283</v>
      </c>
      <c r="I114" s="0" t="s">
        <v>1284</v>
      </c>
      <c r="J114" s="0" t="s">
        <v>1285</v>
      </c>
      <c r="K114" s="0" t="s">
        <v>1286</v>
      </c>
      <c r="L114" s="0" t="n">
        <v>804440</v>
      </c>
      <c r="M114" s="0" t="s">
        <v>1287</v>
      </c>
      <c r="N114" s="0" t="n">
        <v>756417</v>
      </c>
      <c r="O114" s="0" t="n">
        <v>150</v>
      </c>
      <c r="P114" s="0" t="s">
        <v>166</v>
      </c>
      <c r="Q114" s="0" t="s">
        <v>1288</v>
      </c>
      <c r="R114" s="0" t="s">
        <v>1289</v>
      </c>
      <c r="S114" s="0" t="s">
        <v>1089</v>
      </c>
      <c r="T114" s="0" t="s">
        <v>1290</v>
      </c>
      <c r="U114" s="0" t="n">
        <v>0</v>
      </c>
      <c r="V114" s="0" t="n">
        <v>13.9033302635097</v>
      </c>
      <c r="W114" s="0" t="n">
        <v>20220930</v>
      </c>
      <c r="X114" s="0" t="n">
        <v>0.298933215145743</v>
      </c>
      <c r="Y114" s="0" t="s">
        <v>1291</v>
      </c>
      <c r="Z114" s="0" t="s">
        <v>60</v>
      </c>
    </row>
    <row r="115" customFormat="false" ht="15" hidden="false" customHeight="false" outlineLevel="0" collapsed="false">
      <c r="A115" s="0" t="n">
        <v>115</v>
      </c>
      <c r="B115" s="0" t="n">
        <v>1483609</v>
      </c>
      <c r="C115" s="0" t="n">
        <v>17180</v>
      </c>
      <c r="D115" s="0" t="n">
        <v>1205127</v>
      </c>
      <c r="E115" s="0" t="s">
        <v>47</v>
      </c>
      <c r="F115" s="0" t="n">
        <v>123922</v>
      </c>
      <c r="G115" s="0" t="s">
        <v>1292</v>
      </c>
      <c r="H115" s="0" t="s">
        <v>1293</v>
      </c>
      <c r="I115" s="0" t="s">
        <v>1294</v>
      </c>
      <c r="J115" s="0" t="s">
        <v>1295</v>
      </c>
      <c r="K115" s="0" t="s">
        <v>1296</v>
      </c>
      <c r="L115" s="0" t="n">
        <v>1328039</v>
      </c>
      <c r="M115" s="0" t="s">
        <v>1297</v>
      </c>
      <c r="N115" s="0" t="n">
        <v>1064900</v>
      </c>
      <c r="O115" s="0" t="n">
        <v>3999</v>
      </c>
      <c r="P115" s="0" t="s">
        <v>179</v>
      </c>
      <c r="Q115" s="0" t="s">
        <v>1298</v>
      </c>
      <c r="R115" s="0" t="s">
        <v>1299</v>
      </c>
      <c r="S115" s="0" t="s">
        <v>762</v>
      </c>
      <c r="T115" s="0" t="s">
        <v>1300</v>
      </c>
      <c r="U115" s="0" t="n">
        <v>337</v>
      </c>
      <c r="V115" s="0" t="n">
        <v>13.9724383504197</v>
      </c>
      <c r="W115" s="0" t="n">
        <v>20220930</v>
      </c>
      <c r="X115" s="0" t="n">
        <v>0.744248263217769</v>
      </c>
      <c r="Y115" s="0" t="s">
        <v>1301</v>
      </c>
      <c r="Z115" s="0" t="s">
        <v>158</v>
      </c>
    </row>
    <row r="116" customFormat="false" ht="15" hidden="false" customHeight="false" outlineLevel="0" collapsed="false">
      <c r="A116" s="0" t="n">
        <v>116</v>
      </c>
      <c r="B116" s="0" t="n">
        <v>357184</v>
      </c>
      <c r="C116" s="0" t="n">
        <v>17443</v>
      </c>
      <c r="D116" s="0" t="n">
        <v>318685</v>
      </c>
      <c r="E116" s="0" t="s">
        <v>172</v>
      </c>
      <c r="F116" s="0" t="n">
        <v>37316</v>
      </c>
      <c r="G116" s="0" t="s">
        <v>1302</v>
      </c>
      <c r="H116" s="0" t="s">
        <v>1303</v>
      </c>
      <c r="I116" s="0" t="s">
        <v>1304</v>
      </c>
      <c r="J116" s="0" t="s">
        <v>61</v>
      </c>
      <c r="K116" s="0" t="s">
        <v>1305</v>
      </c>
      <c r="L116" s="0" t="n">
        <v>201839</v>
      </c>
      <c r="M116" s="0" t="s">
        <v>1306</v>
      </c>
      <c r="N116" s="0" t="n">
        <v>199865</v>
      </c>
      <c r="O116" s="0" t="n">
        <v>390</v>
      </c>
      <c r="P116" s="0" t="s">
        <v>190</v>
      </c>
      <c r="Q116" s="0" t="s">
        <v>1307</v>
      </c>
      <c r="R116" s="0" t="s">
        <v>1308</v>
      </c>
      <c r="S116" s="0" t="s">
        <v>61</v>
      </c>
      <c r="T116" s="0" t="s">
        <v>1309</v>
      </c>
      <c r="U116" s="0" t="n">
        <v>0</v>
      </c>
      <c r="V116" s="0" t="n">
        <v>0</v>
      </c>
      <c r="W116" s="0" t="n">
        <v>20220930</v>
      </c>
      <c r="X116" s="0" t="n">
        <v>0.548533001407754</v>
      </c>
      <c r="Y116" s="0" t="s">
        <v>1310</v>
      </c>
      <c r="Z116" s="0" t="s">
        <v>158</v>
      </c>
    </row>
    <row r="117" customFormat="false" ht="15" hidden="false" customHeight="false" outlineLevel="0" collapsed="false">
      <c r="A117" s="0" t="n">
        <v>117</v>
      </c>
      <c r="B117" s="0" t="n">
        <v>1739896</v>
      </c>
      <c r="C117" s="0" t="n">
        <v>17658</v>
      </c>
      <c r="D117" s="0" t="n">
        <v>1532921</v>
      </c>
      <c r="E117" s="0" t="s">
        <v>890</v>
      </c>
      <c r="F117" s="0" t="n">
        <v>175487</v>
      </c>
      <c r="G117" s="0" t="s">
        <v>1311</v>
      </c>
      <c r="H117" s="0" t="s">
        <v>1312</v>
      </c>
      <c r="I117" s="0" t="s">
        <v>1313</v>
      </c>
      <c r="J117" s="0" t="s">
        <v>1314</v>
      </c>
      <c r="K117" s="0" t="s">
        <v>1315</v>
      </c>
      <c r="L117" s="0" t="n">
        <v>1170228</v>
      </c>
      <c r="M117" s="0" t="s">
        <v>1316</v>
      </c>
      <c r="N117" s="0" t="n">
        <v>1008787</v>
      </c>
      <c r="O117" s="0" t="n">
        <v>395</v>
      </c>
      <c r="P117" s="0" t="s">
        <v>202</v>
      </c>
      <c r="Q117" s="0" t="s">
        <v>1317</v>
      </c>
      <c r="R117" s="0" t="s">
        <v>1318</v>
      </c>
      <c r="S117" s="0" t="s">
        <v>182</v>
      </c>
      <c r="T117" s="0" t="s">
        <v>1319</v>
      </c>
      <c r="U117" s="0" t="n">
        <v>9</v>
      </c>
      <c r="V117" s="0" t="n">
        <v>0</v>
      </c>
      <c r="W117" s="0" t="n">
        <v>20220930</v>
      </c>
      <c r="X117" s="0" t="n">
        <v>-0.0199909380414696</v>
      </c>
      <c r="Y117" s="0" t="s">
        <v>1320</v>
      </c>
      <c r="Z117" s="0" t="s">
        <v>60</v>
      </c>
    </row>
    <row r="118" customFormat="false" ht="15" hidden="false" customHeight="false" outlineLevel="0" collapsed="false">
      <c r="A118" s="0" t="n">
        <v>118</v>
      </c>
      <c r="B118" s="0" t="n">
        <v>1011112</v>
      </c>
      <c r="C118" s="0" t="n">
        <v>17741</v>
      </c>
      <c r="D118" s="0" t="n">
        <v>854564</v>
      </c>
      <c r="E118" s="0" t="s">
        <v>195</v>
      </c>
      <c r="F118" s="0" t="n">
        <v>127616</v>
      </c>
      <c r="G118" s="0" t="s">
        <v>1321</v>
      </c>
      <c r="H118" s="0" t="s">
        <v>1322</v>
      </c>
      <c r="I118" s="0" t="s">
        <v>1323</v>
      </c>
      <c r="J118" s="0" t="s">
        <v>1324</v>
      </c>
      <c r="K118" s="0" t="s">
        <v>1325</v>
      </c>
      <c r="L118" s="0" t="n">
        <v>833425</v>
      </c>
      <c r="M118" s="0" t="s">
        <v>1326</v>
      </c>
      <c r="N118" s="0" t="n">
        <v>783810</v>
      </c>
      <c r="O118" s="0" t="n">
        <v>1945</v>
      </c>
      <c r="P118" s="0" t="s">
        <v>215</v>
      </c>
      <c r="Q118" s="0" t="s">
        <v>1327</v>
      </c>
      <c r="R118" s="0" t="s">
        <v>1328</v>
      </c>
      <c r="S118" s="0" t="s">
        <v>1329</v>
      </c>
      <c r="T118" s="0" t="s">
        <v>1330</v>
      </c>
      <c r="U118" s="0" t="n">
        <v>0</v>
      </c>
      <c r="V118" s="0" t="n">
        <v>0</v>
      </c>
      <c r="W118" s="0" t="n">
        <v>20220930</v>
      </c>
      <c r="X118" s="0" t="n">
        <v>0.759114908984002</v>
      </c>
      <c r="Y118" s="0" t="s">
        <v>1331</v>
      </c>
      <c r="Z118" s="0" t="s">
        <v>60</v>
      </c>
    </row>
    <row r="119" customFormat="false" ht="15" hidden="false" customHeight="false" outlineLevel="0" collapsed="false">
      <c r="A119" s="0" t="n">
        <v>119</v>
      </c>
      <c r="B119" s="0" t="n">
        <v>1249583</v>
      </c>
      <c r="C119" s="0" t="n">
        <v>17743</v>
      </c>
      <c r="D119" s="0" t="n">
        <v>1015664</v>
      </c>
      <c r="E119" s="0" t="s">
        <v>1281</v>
      </c>
      <c r="F119" s="0" t="n">
        <v>114993</v>
      </c>
      <c r="G119" s="0" t="s">
        <v>1332</v>
      </c>
      <c r="H119" s="0" t="s">
        <v>1333</v>
      </c>
      <c r="I119" s="0" t="s">
        <v>1334</v>
      </c>
      <c r="J119" s="0" t="s">
        <v>1335</v>
      </c>
      <c r="K119" s="0" t="s">
        <v>1336</v>
      </c>
      <c r="L119" s="0" t="n">
        <v>953891</v>
      </c>
      <c r="M119" s="0" t="s">
        <v>1337</v>
      </c>
      <c r="N119" s="0" t="n">
        <v>922540</v>
      </c>
      <c r="O119" s="0" t="n">
        <v>2125</v>
      </c>
      <c r="P119" s="0" t="s">
        <v>227</v>
      </c>
      <c r="Q119" s="0" t="s">
        <v>1338</v>
      </c>
      <c r="R119" s="0" t="s">
        <v>1339</v>
      </c>
      <c r="S119" s="0" t="s">
        <v>1340</v>
      </c>
      <c r="T119" s="0" t="s">
        <v>1341</v>
      </c>
      <c r="U119" s="0" t="n">
        <v>0</v>
      </c>
      <c r="V119" s="0" t="n">
        <v>0</v>
      </c>
      <c r="W119" s="0" t="n">
        <v>20220930</v>
      </c>
      <c r="X119" s="0" t="n">
        <v>0.359517686061837</v>
      </c>
      <c r="Y119" s="0" t="s">
        <v>1342</v>
      </c>
      <c r="Z119" s="0" t="s">
        <v>60</v>
      </c>
    </row>
    <row r="120" customFormat="false" ht="15" hidden="false" customHeight="false" outlineLevel="0" collapsed="false">
      <c r="A120" s="0" t="n">
        <v>120</v>
      </c>
      <c r="B120" s="0" t="n">
        <v>1552351</v>
      </c>
      <c r="C120" s="0" t="n">
        <v>17748</v>
      </c>
      <c r="D120" s="0" t="n">
        <v>1377805</v>
      </c>
      <c r="E120" s="0" t="s">
        <v>208</v>
      </c>
      <c r="F120" s="0" t="n">
        <v>102427</v>
      </c>
      <c r="G120" s="0" t="s">
        <v>1343</v>
      </c>
      <c r="H120" s="0" t="s">
        <v>1344</v>
      </c>
      <c r="I120" s="0" t="s">
        <v>1345</v>
      </c>
      <c r="J120" s="0" t="s">
        <v>1346</v>
      </c>
      <c r="K120" s="0" t="s">
        <v>1347</v>
      </c>
      <c r="L120" s="0" t="n">
        <v>1181676</v>
      </c>
      <c r="M120" s="0" t="s">
        <v>1348</v>
      </c>
      <c r="N120" s="0" t="n">
        <v>1007459</v>
      </c>
      <c r="O120" s="0" t="n">
        <v>6350</v>
      </c>
      <c r="P120" s="0" t="s">
        <v>240</v>
      </c>
      <c r="Q120" s="0" t="s">
        <v>1349</v>
      </c>
      <c r="R120" s="0" t="s">
        <v>1350</v>
      </c>
      <c r="S120" s="0" t="s">
        <v>751</v>
      </c>
      <c r="T120" s="0" t="s">
        <v>1351</v>
      </c>
      <c r="U120" s="0" t="n">
        <v>0</v>
      </c>
      <c r="V120" s="0" t="n">
        <v>0</v>
      </c>
      <c r="W120" s="0" t="n">
        <v>20220930</v>
      </c>
      <c r="X120" s="0" t="n">
        <v>0.368036496430469</v>
      </c>
      <c r="Y120" s="0" t="s">
        <v>1352</v>
      </c>
      <c r="Z120" s="0" t="s">
        <v>60</v>
      </c>
    </row>
    <row r="121" customFormat="false" ht="15" hidden="false" customHeight="false" outlineLevel="0" collapsed="false">
      <c r="A121" s="0" t="n">
        <v>121</v>
      </c>
      <c r="B121" s="0" t="n">
        <v>1262862</v>
      </c>
      <c r="C121" s="0" t="n">
        <v>17749</v>
      </c>
      <c r="D121" s="0" t="n">
        <v>1042319</v>
      </c>
      <c r="E121" s="0" t="s">
        <v>246</v>
      </c>
      <c r="F121" s="0" t="n">
        <v>143149</v>
      </c>
      <c r="G121" s="0" t="s">
        <v>1353</v>
      </c>
      <c r="H121" s="0" t="s">
        <v>1354</v>
      </c>
      <c r="I121" s="0" t="s">
        <v>1355</v>
      </c>
      <c r="J121" s="0" t="s">
        <v>1356</v>
      </c>
      <c r="K121" s="0" t="s">
        <v>1357</v>
      </c>
      <c r="L121" s="0" t="n">
        <v>707269</v>
      </c>
      <c r="M121" s="0" t="s">
        <v>1358</v>
      </c>
      <c r="N121" s="0" t="n">
        <v>639367</v>
      </c>
      <c r="O121" s="0" t="n">
        <v>237</v>
      </c>
      <c r="P121" s="0" t="s">
        <v>253</v>
      </c>
      <c r="Q121" s="0" t="s">
        <v>1359</v>
      </c>
      <c r="R121" s="0" t="s">
        <v>1360</v>
      </c>
      <c r="S121" s="0" t="s">
        <v>489</v>
      </c>
      <c r="T121" s="0" t="s">
        <v>1361</v>
      </c>
      <c r="U121" s="0" t="n">
        <v>13</v>
      </c>
      <c r="V121" s="0" t="n">
        <v>0</v>
      </c>
      <c r="W121" s="0" t="n">
        <v>20220930</v>
      </c>
      <c r="X121" s="0" t="n">
        <v>0.127474265793327</v>
      </c>
      <c r="Y121" s="0" t="s">
        <v>1362</v>
      </c>
      <c r="Z121" s="0" t="s">
        <v>60</v>
      </c>
    </row>
    <row r="122" customFormat="false" ht="15" hidden="false" customHeight="false" outlineLevel="0" collapsed="false">
      <c r="A122" s="0" t="n">
        <v>122</v>
      </c>
      <c r="B122" s="0" t="n">
        <v>1446107</v>
      </c>
      <c r="C122" s="0" t="n">
        <v>17751</v>
      </c>
      <c r="D122" s="0" t="n">
        <v>1280720</v>
      </c>
      <c r="E122" s="0" t="s">
        <v>208</v>
      </c>
      <c r="F122" s="0" t="n">
        <v>122617</v>
      </c>
      <c r="G122" s="0" t="s">
        <v>1363</v>
      </c>
      <c r="H122" s="0" t="s">
        <v>1364</v>
      </c>
      <c r="I122" s="0" t="s">
        <v>1365</v>
      </c>
      <c r="J122" s="0" t="s">
        <v>1366</v>
      </c>
      <c r="K122" s="0" t="s">
        <v>1367</v>
      </c>
      <c r="L122" s="0" t="n">
        <v>1185974</v>
      </c>
      <c r="M122" s="0" t="s">
        <v>1368</v>
      </c>
      <c r="N122" s="0" t="n">
        <v>1020660</v>
      </c>
      <c r="O122" s="0" t="n">
        <v>1170</v>
      </c>
      <c r="P122" s="0" t="s">
        <v>266</v>
      </c>
      <c r="Q122" s="0" t="s">
        <v>1369</v>
      </c>
      <c r="R122" s="0" t="s">
        <v>1370</v>
      </c>
      <c r="S122" s="0" t="s">
        <v>1371</v>
      </c>
      <c r="T122" s="0" t="s">
        <v>1372</v>
      </c>
      <c r="U122" s="0" t="n">
        <v>0</v>
      </c>
      <c r="V122" s="0" t="n">
        <v>13.4544785128385</v>
      </c>
      <c r="W122" s="0" t="n">
        <v>20220930</v>
      </c>
      <c r="X122" s="0" t="n">
        <v>0.656017372218693</v>
      </c>
      <c r="Y122" s="0" t="s">
        <v>1373</v>
      </c>
      <c r="Z122" s="0" t="s">
        <v>60</v>
      </c>
    </row>
    <row r="123" customFormat="false" ht="15" hidden="false" customHeight="false" outlineLevel="0" collapsed="false">
      <c r="A123" s="0" t="n">
        <v>123</v>
      </c>
      <c r="B123" s="0" t="n">
        <v>1589541</v>
      </c>
      <c r="C123" s="0" t="n">
        <v>17897</v>
      </c>
      <c r="D123" s="0" t="n">
        <v>1347109</v>
      </c>
      <c r="E123" s="0" t="s">
        <v>47</v>
      </c>
      <c r="F123" s="0" t="n">
        <v>185467</v>
      </c>
      <c r="G123" s="0" t="s">
        <v>1374</v>
      </c>
      <c r="H123" s="0" t="s">
        <v>1375</v>
      </c>
      <c r="I123" s="0" t="s">
        <v>1376</v>
      </c>
      <c r="J123" s="0" t="s">
        <v>1377</v>
      </c>
      <c r="K123" s="0" t="s">
        <v>1378</v>
      </c>
      <c r="L123" s="0" t="n">
        <v>1342538</v>
      </c>
      <c r="M123" s="0" t="s">
        <v>1379</v>
      </c>
      <c r="N123" s="0" t="n">
        <v>1265598</v>
      </c>
      <c r="O123" s="0" t="n">
        <v>3303</v>
      </c>
      <c r="P123" s="0" t="s">
        <v>278</v>
      </c>
      <c r="Q123" s="0" t="s">
        <v>1380</v>
      </c>
      <c r="R123" s="0" t="s">
        <v>1381</v>
      </c>
      <c r="S123" s="0" t="s">
        <v>1382</v>
      </c>
      <c r="T123" s="0" t="s">
        <v>506</v>
      </c>
      <c r="U123" s="0" t="n">
        <v>0</v>
      </c>
      <c r="V123" s="0" t="n">
        <v>0</v>
      </c>
      <c r="W123" s="0" t="n">
        <v>20220930</v>
      </c>
      <c r="X123" s="0" t="n">
        <v>-0.372021148911137</v>
      </c>
      <c r="Y123" s="0" t="s">
        <v>1383</v>
      </c>
      <c r="Z123" s="0" t="s">
        <v>60</v>
      </c>
    </row>
    <row r="124" customFormat="false" ht="15" hidden="false" customHeight="false" outlineLevel="0" collapsed="false">
      <c r="A124" s="0" t="n">
        <v>124</v>
      </c>
      <c r="B124" s="0" t="n">
        <v>741759</v>
      </c>
      <c r="C124" s="0" t="n">
        <v>17951</v>
      </c>
      <c r="D124" s="0" t="n">
        <v>644557</v>
      </c>
      <c r="E124" s="0" t="s">
        <v>858</v>
      </c>
      <c r="F124" s="0" t="n">
        <v>52288</v>
      </c>
      <c r="G124" s="0" t="s">
        <v>1384</v>
      </c>
      <c r="H124" s="0" t="s">
        <v>1385</v>
      </c>
      <c r="I124" s="0" t="s">
        <v>1386</v>
      </c>
      <c r="J124" s="0" t="s">
        <v>1387</v>
      </c>
      <c r="K124" s="0" t="s">
        <v>1388</v>
      </c>
      <c r="L124" s="0" t="n">
        <v>517803</v>
      </c>
      <c r="M124" s="0" t="s">
        <v>1389</v>
      </c>
      <c r="N124" s="0" t="n">
        <v>482723</v>
      </c>
      <c r="O124" s="0" t="n">
        <v>393</v>
      </c>
      <c r="P124" s="0" t="s">
        <v>290</v>
      </c>
      <c r="Q124" s="0" t="s">
        <v>1390</v>
      </c>
      <c r="R124" s="0" t="s">
        <v>1391</v>
      </c>
      <c r="S124" s="0" t="s">
        <v>256</v>
      </c>
      <c r="T124" s="0" t="s">
        <v>61</v>
      </c>
      <c r="U124" s="0" t="n">
        <v>0</v>
      </c>
      <c r="V124" s="0" t="n">
        <v>14.4940601944432</v>
      </c>
      <c r="W124" s="0" t="n">
        <v>20220930</v>
      </c>
      <c r="X124" s="0" t="n">
        <v>1.02520929643113</v>
      </c>
      <c r="Y124" s="0" t="s">
        <v>1392</v>
      </c>
      <c r="Z124" s="0" t="s">
        <v>158</v>
      </c>
    </row>
    <row r="125" customFormat="false" ht="15" hidden="false" customHeight="false" outlineLevel="0" collapsed="false">
      <c r="A125" s="0" t="n">
        <v>125</v>
      </c>
      <c r="B125" s="0" t="n">
        <v>1278487</v>
      </c>
      <c r="C125" s="0" t="n">
        <v>17960</v>
      </c>
      <c r="D125" s="0" t="n">
        <v>1016704</v>
      </c>
      <c r="E125" s="0" t="s">
        <v>1393</v>
      </c>
      <c r="F125" s="0" t="n">
        <v>101209</v>
      </c>
      <c r="G125" s="0" t="s">
        <v>1394</v>
      </c>
      <c r="H125" s="0" t="s">
        <v>1395</v>
      </c>
      <c r="I125" s="0" t="s">
        <v>1396</v>
      </c>
      <c r="J125" s="0" t="s">
        <v>1397</v>
      </c>
      <c r="K125" s="0" t="s">
        <v>1398</v>
      </c>
      <c r="L125" s="0" t="n">
        <v>1082576</v>
      </c>
      <c r="M125" s="0" t="s">
        <v>1399</v>
      </c>
      <c r="N125" s="0" t="n">
        <v>781834</v>
      </c>
      <c r="O125" s="0" t="n">
        <v>699</v>
      </c>
      <c r="P125" s="0" t="s">
        <v>302</v>
      </c>
      <c r="Q125" s="0" t="s">
        <v>1400</v>
      </c>
      <c r="R125" s="0" t="s">
        <v>1401</v>
      </c>
      <c r="S125" s="0" t="s">
        <v>489</v>
      </c>
      <c r="T125" s="0" t="s">
        <v>1402</v>
      </c>
      <c r="U125" s="0" t="n">
        <v>73</v>
      </c>
      <c r="V125" s="0" t="n">
        <v>12.9291645449843</v>
      </c>
      <c r="W125" s="0" t="n">
        <v>20220930</v>
      </c>
      <c r="X125" s="0" t="n">
        <v>0.811990055001869</v>
      </c>
      <c r="Y125" s="0" t="s">
        <v>1403</v>
      </c>
      <c r="Z125" s="0" t="s">
        <v>158</v>
      </c>
    </row>
    <row r="126" customFormat="false" ht="15" hidden="false" customHeight="false" outlineLevel="0" collapsed="false">
      <c r="A126" s="0" t="n">
        <v>126</v>
      </c>
      <c r="B126" s="0" t="n">
        <v>2400019</v>
      </c>
      <c r="C126" s="0" t="n">
        <v>18012</v>
      </c>
      <c r="D126" s="0" t="n">
        <v>2088751</v>
      </c>
      <c r="E126" s="0" t="s">
        <v>390</v>
      </c>
      <c r="F126" s="0" t="n">
        <v>230722</v>
      </c>
      <c r="G126" s="0" t="s">
        <v>1404</v>
      </c>
      <c r="H126" s="0" t="s">
        <v>1405</v>
      </c>
      <c r="I126" s="0" t="s">
        <v>1406</v>
      </c>
      <c r="J126" s="0" t="s">
        <v>1407</v>
      </c>
      <c r="K126" s="0" t="s">
        <v>1408</v>
      </c>
      <c r="L126" s="0" t="n">
        <v>1923861</v>
      </c>
      <c r="M126" s="0" t="s">
        <v>1409</v>
      </c>
      <c r="N126" s="0" t="n">
        <v>1803269</v>
      </c>
      <c r="O126" s="0" t="n">
        <v>1056</v>
      </c>
      <c r="P126" s="0" t="s">
        <v>312</v>
      </c>
      <c r="Q126" s="0" t="s">
        <v>1410</v>
      </c>
      <c r="R126" s="0" t="s">
        <v>1411</v>
      </c>
      <c r="S126" s="0" t="s">
        <v>1029</v>
      </c>
      <c r="T126" s="0" t="s">
        <v>1412</v>
      </c>
      <c r="U126" s="0" t="n">
        <v>0</v>
      </c>
      <c r="V126" s="0" t="n">
        <v>12.8729126561258</v>
      </c>
      <c r="W126" s="0" t="n">
        <v>20220930</v>
      </c>
      <c r="X126" s="0" t="n">
        <v>1.21697575065678</v>
      </c>
      <c r="Y126" s="0" t="s">
        <v>1413</v>
      </c>
      <c r="Z126" s="0" t="s">
        <v>158</v>
      </c>
    </row>
    <row r="127" customFormat="false" ht="15" hidden="false" customHeight="false" outlineLevel="0" collapsed="false">
      <c r="A127" s="0" t="n">
        <v>127</v>
      </c>
      <c r="B127" s="0" t="n">
        <v>2685566</v>
      </c>
      <c r="C127" s="0" t="n">
        <v>18013</v>
      </c>
      <c r="D127" s="0" t="n">
        <v>2352806</v>
      </c>
      <c r="E127" s="0" t="s">
        <v>246</v>
      </c>
      <c r="F127" s="0" t="n">
        <v>195855</v>
      </c>
      <c r="G127" s="0" t="s">
        <v>1414</v>
      </c>
      <c r="H127" s="0" t="s">
        <v>1415</v>
      </c>
      <c r="I127" s="0" t="s">
        <v>1416</v>
      </c>
      <c r="J127" s="0" t="s">
        <v>1417</v>
      </c>
      <c r="K127" s="0" t="s">
        <v>1418</v>
      </c>
      <c r="L127" s="0" t="n">
        <v>2114991</v>
      </c>
      <c r="M127" s="0" t="s">
        <v>1419</v>
      </c>
      <c r="N127" s="0" t="n">
        <v>1943255</v>
      </c>
      <c r="O127" s="0" t="n">
        <v>1930</v>
      </c>
      <c r="P127" s="0" t="s">
        <v>324</v>
      </c>
      <c r="Q127" s="0" t="s">
        <v>1420</v>
      </c>
      <c r="R127" s="0" t="s">
        <v>1421</v>
      </c>
      <c r="S127" s="0" t="s">
        <v>1422</v>
      </c>
      <c r="T127" s="0" t="s">
        <v>1423</v>
      </c>
      <c r="U127" s="0" t="n">
        <v>223</v>
      </c>
      <c r="V127" s="0" t="n">
        <v>13.448711877325</v>
      </c>
      <c r="W127" s="0" t="n">
        <v>20220930</v>
      </c>
      <c r="X127" s="0" t="n">
        <v>0.676604753783732</v>
      </c>
      <c r="Y127" s="0" t="s">
        <v>1424</v>
      </c>
      <c r="Z127" s="0" t="s">
        <v>158</v>
      </c>
    </row>
    <row r="128" customFormat="false" ht="15" hidden="false" customHeight="false" outlineLevel="0" collapsed="false">
      <c r="A128" s="0" t="n">
        <v>128</v>
      </c>
      <c r="B128" s="0" t="n">
        <v>379383</v>
      </c>
      <c r="C128" s="0" t="n">
        <v>18028</v>
      </c>
      <c r="D128" s="0" t="n">
        <v>337295</v>
      </c>
      <c r="E128" s="0" t="s">
        <v>271</v>
      </c>
      <c r="F128" s="0" t="n">
        <v>34470</v>
      </c>
      <c r="G128" s="0" t="s">
        <v>1425</v>
      </c>
      <c r="H128" s="0" t="s">
        <v>1426</v>
      </c>
      <c r="I128" s="0" t="s">
        <v>1427</v>
      </c>
      <c r="J128" s="0" t="s">
        <v>1428</v>
      </c>
      <c r="K128" s="0" t="s">
        <v>1429</v>
      </c>
      <c r="L128" s="0" t="n">
        <v>245095</v>
      </c>
      <c r="M128" s="0" t="s">
        <v>1430</v>
      </c>
      <c r="N128" s="0" t="n">
        <v>213616</v>
      </c>
      <c r="O128" s="0" t="n">
        <v>1067</v>
      </c>
      <c r="P128" s="0" t="s">
        <v>337</v>
      </c>
      <c r="Q128" s="0" t="s">
        <v>1431</v>
      </c>
      <c r="R128" s="0" t="s">
        <v>1432</v>
      </c>
      <c r="S128" s="0" t="s">
        <v>1433</v>
      </c>
      <c r="T128" s="0" t="s">
        <v>1434</v>
      </c>
      <c r="U128" s="0" t="n">
        <v>294</v>
      </c>
      <c r="V128" s="0" t="n">
        <v>0</v>
      </c>
      <c r="W128" s="0" t="n">
        <v>20220930</v>
      </c>
      <c r="X128" s="0" t="n">
        <v>0.711360152316906</v>
      </c>
      <c r="Y128" s="0" t="s">
        <v>1435</v>
      </c>
      <c r="Z128" s="0" t="s">
        <v>158</v>
      </c>
    </row>
    <row r="129" customFormat="false" ht="15" hidden="false" customHeight="false" outlineLevel="0" collapsed="false">
      <c r="A129" s="0" t="n">
        <v>129</v>
      </c>
      <c r="B129" s="0" t="n">
        <v>703383</v>
      </c>
      <c r="C129" s="0" t="n">
        <v>18030</v>
      </c>
      <c r="D129" s="0" t="n">
        <v>659450</v>
      </c>
      <c r="E129" s="0" t="s">
        <v>1436</v>
      </c>
      <c r="F129" s="0" t="n">
        <v>40935</v>
      </c>
      <c r="G129" s="0" t="s">
        <v>1437</v>
      </c>
      <c r="H129" s="0" t="s">
        <v>1438</v>
      </c>
      <c r="I129" s="0" t="s">
        <v>1439</v>
      </c>
      <c r="J129" s="0" t="s">
        <v>1440</v>
      </c>
      <c r="K129" s="0" t="s">
        <v>1441</v>
      </c>
      <c r="L129" s="0" t="n">
        <v>544604</v>
      </c>
      <c r="M129" s="0" t="s">
        <v>1442</v>
      </c>
      <c r="N129" s="0" t="n">
        <v>424875</v>
      </c>
      <c r="O129" s="0" t="n">
        <v>929</v>
      </c>
      <c r="P129" s="0" t="s">
        <v>349</v>
      </c>
      <c r="Q129" s="0" t="s">
        <v>1443</v>
      </c>
      <c r="R129" s="0" t="s">
        <v>1444</v>
      </c>
      <c r="S129" s="0" t="s">
        <v>910</v>
      </c>
      <c r="T129" s="0" t="s">
        <v>95</v>
      </c>
      <c r="U129" s="0" t="n">
        <v>130</v>
      </c>
      <c r="V129" s="0" t="n">
        <v>13.0208288999923</v>
      </c>
      <c r="W129" s="0" t="n">
        <v>20220930</v>
      </c>
      <c r="X129" s="0" t="n">
        <v>0.410955323209553</v>
      </c>
      <c r="Y129" s="0" t="s">
        <v>1445</v>
      </c>
      <c r="Z129" s="0" t="s">
        <v>158</v>
      </c>
    </row>
    <row r="130" customFormat="false" ht="15" hidden="false" customHeight="false" outlineLevel="0" collapsed="false">
      <c r="A130" s="0" t="n">
        <v>130</v>
      </c>
      <c r="B130" s="0" t="n">
        <v>641019</v>
      </c>
      <c r="C130" s="0" t="n">
        <v>18031</v>
      </c>
      <c r="D130" s="0" t="n">
        <v>568656</v>
      </c>
      <c r="E130" s="0" t="s">
        <v>61</v>
      </c>
      <c r="F130" s="0" t="n">
        <v>33282</v>
      </c>
      <c r="G130" s="0" t="s">
        <v>1446</v>
      </c>
      <c r="H130" s="0" t="s">
        <v>1447</v>
      </c>
      <c r="I130" s="0" t="s">
        <v>1448</v>
      </c>
      <c r="J130" s="0" t="s">
        <v>1449</v>
      </c>
      <c r="K130" s="0" t="s">
        <v>1450</v>
      </c>
      <c r="L130" s="0" t="n">
        <v>453544</v>
      </c>
      <c r="M130" s="0" t="s">
        <v>1451</v>
      </c>
      <c r="N130" s="0" t="n">
        <v>411232</v>
      </c>
      <c r="O130" s="0" t="n">
        <v>638</v>
      </c>
      <c r="P130" s="0" t="s">
        <v>361</v>
      </c>
      <c r="Q130" s="0" t="s">
        <v>1452</v>
      </c>
      <c r="R130" s="0" t="s">
        <v>1453</v>
      </c>
      <c r="S130" s="0" t="s">
        <v>83</v>
      </c>
      <c r="T130" s="0" t="s">
        <v>1454</v>
      </c>
      <c r="U130" s="0" t="n">
        <v>0</v>
      </c>
      <c r="V130" s="0" t="n">
        <v>16.4504734644745</v>
      </c>
      <c r="W130" s="0" t="n">
        <v>20220930</v>
      </c>
      <c r="X130" s="0" t="n">
        <v>0.528270442861807</v>
      </c>
      <c r="Y130" s="0" t="s">
        <v>1455</v>
      </c>
      <c r="Z130" s="0" t="s">
        <v>158</v>
      </c>
    </row>
    <row r="131" customFormat="false" ht="15" hidden="false" customHeight="false" outlineLevel="0" collapsed="false">
      <c r="A131" s="0" t="n">
        <v>131</v>
      </c>
      <c r="B131" s="0" t="n">
        <v>492676</v>
      </c>
      <c r="C131" s="0" t="n">
        <v>18038</v>
      </c>
      <c r="D131" s="0" t="n">
        <v>386477</v>
      </c>
      <c r="E131" s="0" t="s">
        <v>1456</v>
      </c>
      <c r="F131" s="0" t="n">
        <v>61616</v>
      </c>
      <c r="G131" s="0" t="s">
        <v>1457</v>
      </c>
      <c r="H131" s="0" t="s">
        <v>1458</v>
      </c>
      <c r="I131" s="0" t="s">
        <v>1459</v>
      </c>
      <c r="J131" s="0" t="s">
        <v>1460</v>
      </c>
      <c r="K131" s="0" t="s">
        <v>1461</v>
      </c>
      <c r="L131" s="0" t="n">
        <v>385931</v>
      </c>
      <c r="M131" s="0" t="s">
        <v>1462</v>
      </c>
      <c r="N131" s="0" t="n">
        <v>364802</v>
      </c>
      <c r="O131" s="0" t="n">
        <v>2589</v>
      </c>
      <c r="P131" s="0" t="s">
        <v>372</v>
      </c>
      <c r="Q131" s="0" t="s">
        <v>1463</v>
      </c>
      <c r="R131" s="0" t="s">
        <v>1464</v>
      </c>
      <c r="S131" s="0" t="s">
        <v>1465</v>
      </c>
      <c r="T131" s="0" t="s">
        <v>1466</v>
      </c>
      <c r="U131" s="0" t="n">
        <v>0</v>
      </c>
      <c r="V131" s="0" t="n">
        <v>0</v>
      </c>
      <c r="W131" s="0" t="n">
        <v>20220930</v>
      </c>
      <c r="X131" s="0" t="n">
        <v>-1.0692244589165</v>
      </c>
      <c r="Y131" s="0" t="s">
        <v>1467</v>
      </c>
      <c r="Z131" s="0" t="s">
        <v>158</v>
      </c>
    </row>
    <row r="132" customFormat="false" ht="15" hidden="false" customHeight="false" outlineLevel="0" collapsed="false">
      <c r="A132" s="0" t="n">
        <v>132</v>
      </c>
      <c r="B132" s="0" t="n">
        <v>7207176</v>
      </c>
      <c r="C132" s="0" t="n">
        <v>18408</v>
      </c>
      <c r="D132" s="0" t="n">
        <v>5866760</v>
      </c>
      <c r="E132" s="0" t="s">
        <v>1468</v>
      </c>
      <c r="F132" s="0" t="n">
        <v>323363</v>
      </c>
      <c r="G132" s="0" t="s">
        <v>1469</v>
      </c>
      <c r="H132" s="0" t="s">
        <v>1470</v>
      </c>
      <c r="I132" s="0" t="s">
        <v>1471</v>
      </c>
      <c r="J132" s="0" t="s">
        <v>1472</v>
      </c>
      <c r="K132" s="0" t="s">
        <v>1473</v>
      </c>
      <c r="L132" s="0" t="n">
        <v>4500880</v>
      </c>
      <c r="M132" s="0" t="s">
        <v>1474</v>
      </c>
      <c r="N132" s="0" t="n">
        <v>4105596</v>
      </c>
      <c r="O132" s="0" t="n">
        <v>2950</v>
      </c>
      <c r="P132" s="0" t="s">
        <v>384</v>
      </c>
      <c r="Q132" s="0" t="s">
        <v>1475</v>
      </c>
      <c r="R132" s="0" t="s">
        <v>1476</v>
      </c>
      <c r="S132" s="0" t="s">
        <v>1477</v>
      </c>
      <c r="T132" s="0" t="s">
        <v>1478</v>
      </c>
      <c r="U132" s="0" t="n">
        <v>0</v>
      </c>
      <c r="V132" s="0" t="n">
        <v>11.9805434765398</v>
      </c>
      <c r="W132" s="0" t="n">
        <v>20220930</v>
      </c>
      <c r="X132" s="0" t="n">
        <v>0.777109309868285</v>
      </c>
      <c r="Y132" s="0" t="s">
        <v>1479</v>
      </c>
      <c r="Z132" s="0" t="s">
        <v>60</v>
      </c>
    </row>
    <row r="133" customFormat="false" ht="15" hidden="false" customHeight="false" outlineLevel="0" collapsed="false">
      <c r="A133" s="0" t="n">
        <v>133</v>
      </c>
      <c r="B133" s="0" t="n">
        <v>2290994</v>
      </c>
      <c r="C133" s="0" t="n">
        <v>19531</v>
      </c>
      <c r="D133" s="0" t="n">
        <v>1937924</v>
      </c>
      <c r="E133" s="0" t="s">
        <v>61</v>
      </c>
      <c r="F133" s="0" t="n">
        <v>213958</v>
      </c>
      <c r="G133" s="0" t="s">
        <v>1480</v>
      </c>
      <c r="H133" s="0" t="s">
        <v>1481</v>
      </c>
      <c r="I133" s="0" t="s">
        <v>1482</v>
      </c>
      <c r="J133" s="0" t="s">
        <v>1483</v>
      </c>
      <c r="K133" s="0" t="s">
        <v>1484</v>
      </c>
      <c r="L133" s="0" t="n">
        <v>1815032</v>
      </c>
      <c r="M133" s="0" t="s">
        <v>1485</v>
      </c>
      <c r="N133" s="0" t="n">
        <v>1463937</v>
      </c>
      <c r="O133" s="0" t="n">
        <v>5667</v>
      </c>
      <c r="P133" s="0" t="s">
        <v>397</v>
      </c>
      <c r="Q133" s="0" t="s">
        <v>1486</v>
      </c>
      <c r="R133" s="0" t="s">
        <v>1487</v>
      </c>
      <c r="S133" s="0" t="s">
        <v>1488</v>
      </c>
      <c r="T133" s="0" t="s">
        <v>1489</v>
      </c>
      <c r="U133" s="0" t="n">
        <v>39</v>
      </c>
      <c r="V133" s="0" t="n">
        <v>14.5589856040453</v>
      </c>
      <c r="W133" s="0" t="n">
        <v>20220930</v>
      </c>
      <c r="X133" s="0" t="n">
        <v>0.571809349197939</v>
      </c>
      <c r="Y133" s="0" t="s">
        <v>1490</v>
      </c>
      <c r="Z133" s="0" t="s">
        <v>60</v>
      </c>
    </row>
    <row r="134" customFormat="false" ht="15" hidden="false" customHeight="false" outlineLevel="0" collapsed="false">
      <c r="A134" s="0" t="n">
        <v>134</v>
      </c>
      <c r="B134" s="0" t="n">
        <v>779214</v>
      </c>
      <c r="C134" s="0" t="n">
        <v>19532</v>
      </c>
      <c r="D134" s="0" t="n">
        <v>683500</v>
      </c>
      <c r="E134" s="0" t="s">
        <v>390</v>
      </c>
      <c r="F134" s="0" t="n">
        <v>83123</v>
      </c>
      <c r="G134" s="0" t="s">
        <v>1491</v>
      </c>
      <c r="H134" s="0" t="s">
        <v>1492</v>
      </c>
      <c r="I134" s="0" t="s">
        <v>1493</v>
      </c>
      <c r="J134" s="0" t="s">
        <v>1494</v>
      </c>
      <c r="K134" s="0" t="s">
        <v>1495</v>
      </c>
      <c r="L134" s="0" t="n">
        <v>529131</v>
      </c>
      <c r="M134" s="0" t="s">
        <v>1496</v>
      </c>
      <c r="N134" s="0" t="n">
        <v>452724</v>
      </c>
      <c r="O134" s="0" t="n">
        <v>598</v>
      </c>
      <c r="P134" s="0" t="s">
        <v>409</v>
      </c>
      <c r="Q134" s="0" t="s">
        <v>1497</v>
      </c>
      <c r="R134" s="0" t="s">
        <v>1498</v>
      </c>
      <c r="S134" s="0" t="s">
        <v>1499</v>
      </c>
      <c r="T134" s="0" t="s">
        <v>966</v>
      </c>
      <c r="U134" s="0" t="n">
        <v>0</v>
      </c>
      <c r="V134" s="0" t="n">
        <v>20.851880261962</v>
      </c>
      <c r="W134" s="0" t="n">
        <v>20220930</v>
      </c>
      <c r="X134" s="0" t="n">
        <v>0.438029053439951</v>
      </c>
      <c r="Y134" s="0" t="s">
        <v>699</v>
      </c>
      <c r="Z134" s="0" t="s">
        <v>60</v>
      </c>
    </row>
    <row r="135" customFormat="false" ht="15" hidden="false" customHeight="false" outlineLevel="0" collapsed="false">
      <c r="A135" s="0" t="n">
        <v>135</v>
      </c>
      <c r="B135" s="0" t="n">
        <v>1742943</v>
      </c>
      <c r="C135" s="0" t="n">
        <v>19690</v>
      </c>
      <c r="D135" s="0" t="n">
        <v>1344811</v>
      </c>
      <c r="E135" s="0" t="s">
        <v>1500</v>
      </c>
      <c r="F135" s="0" t="n">
        <v>252162</v>
      </c>
      <c r="G135" s="0" t="s">
        <v>1501</v>
      </c>
      <c r="H135" s="0" t="s">
        <v>1502</v>
      </c>
      <c r="I135" s="0" t="s">
        <v>1503</v>
      </c>
      <c r="J135" s="0" t="s">
        <v>1504</v>
      </c>
      <c r="K135" s="0" t="s">
        <v>1505</v>
      </c>
      <c r="L135" s="0" t="n">
        <v>1464220</v>
      </c>
      <c r="M135" s="0" t="s">
        <v>1506</v>
      </c>
      <c r="N135" s="0" t="n">
        <v>1069457</v>
      </c>
      <c r="O135" s="0" t="n">
        <v>13597</v>
      </c>
      <c r="P135" s="0" t="s">
        <v>420</v>
      </c>
      <c r="Q135" s="0" t="s">
        <v>1507</v>
      </c>
      <c r="R135" s="0" t="s">
        <v>1508</v>
      </c>
      <c r="S135" s="0" t="s">
        <v>1509</v>
      </c>
      <c r="T135" s="0" t="s">
        <v>1510</v>
      </c>
      <c r="U135" s="0" t="n">
        <v>0</v>
      </c>
      <c r="V135" s="0" t="n">
        <v>17.7660683765957</v>
      </c>
      <c r="W135" s="0" t="n">
        <v>20220930</v>
      </c>
      <c r="X135" s="0" t="n">
        <v>2.44922864844194</v>
      </c>
      <c r="Y135" s="0" t="s">
        <v>1511</v>
      </c>
      <c r="Z135" s="0" t="s">
        <v>60</v>
      </c>
    </row>
    <row r="136" customFormat="false" ht="15" hidden="false" customHeight="false" outlineLevel="0" collapsed="false">
      <c r="A136" s="0" t="n">
        <v>136</v>
      </c>
      <c r="B136" s="0" t="n">
        <v>579332</v>
      </c>
      <c r="C136" s="0" t="n">
        <v>19836</v>
      </c>
      <c r="D136" s="0" t="n">
        <v>456854</v>
      </c>
      <c r="E136" s="0" t="s">
        <v>61</v>
      </c>
      <c r="F136" s="0" t="n">
        <v>115337</v>
      </c>
      <c r="G136" s="0" t="s">
        <v>1512</v>
      </c>
      <c r="H136" s="0" t="s">
        <v>1513</v>
      </c>
      <c r="I136" s="0" t="s">
        <v>1514</v>
      </c>
      <c r="J136" s="0" t="s">
        <v>1515</v>
      </c>
      <c r="K136" s="0" t="s">
        <v>1516</v>
      </c>
      <c r="L136" s="0" t="n">
        <v>471806</v>
      </c>
      <c r="M136" s="0" t="s">
        <v>1517</v>
      </c>
      <c r="N136" s="0" t="n">
        <v>401514</v>
      </c>
      <c r="O136" s="0" t="n">
        <v>1439</v>
      </c>
      <c r="P136" s="0" t="s">
        <v>290</v>
      </c>
      <c r="Q136" s="0" t="s">
        <v>1518</v>
      </c>
      <c r="R136" s="0" t="s">
        <v>1519</v>
      </c>
      <c r="S136" s="0" t="s">
        <v>998</v>
      </c>
      <c r="T136" s="0" t="s">
        <v>282</v>
      </c>
      <c r="U136" s="0" t="n">
        <v>141</v>
      </c>
      <c r="V136" s="0" t="n">
        <v>28.3528259517265</v>
      </c>
      <c r="W136" s="0" t="n">
        <v>20220930</v>
      </c>
      <c r="X136" s="0" t="n">
        <v>0.933083820950688</v>
      </c>
      <c r="Y136" s="0" t="s">
        <v>1520</v>
      </c>
      <c r="Z136" s="0" t="s">
        <v>60</v>
      </c>
    </row>
    <row r="137" customFormat="false" ht="15" hidden="false" customHeight="false" outlineLevel="0" collapsed="false">
      <c r="A137" s="0" t="n">
        <v>137</v>
      </c>
      <c r="B137" s="0" t="n">
        <v>1199727</v>
      </c>
      <c r="C137" s="0" t="n">
        <v>24540</v>
      </c>
      <c r="D137" s="0" t="n">
        <v>965688</v>
      </c>
      <c r="E137" s="0" t="s">
        <v>246</v>
      </c>
      <c r="F137" s="0" t="n">
        <v>206211</v>
      </c>
      <c r="G137" s="0" t="s">
        <v>1521</v>
      </c>
      <c r="H137" s="0" t="s">
        <v>1522</v>
      </c>
      <c r="I137" s="0" t="s">
        <v>1523</v>
      </c>
      <c r="J137" s="0" t="s">
        <v>1524</v>
      </c>
      <c r="K137" s="0" t="s">
        <v>1525</v>
      </c>
      <c r="L137" s="0" t="n">
        <v>1090983</v>
      </c>
      <c r="M137" s="0" t="s">
        <v>1526</v>
      </c>
      <c r="N137" s="0" t="n">
        <v>1048616</v>
      </c>
      <c r="O137" s="0" t="n">
        <v>693</v>
      </c>
      <c r="P137" s="0" t="s">
        <v>443</v>
      </c>
      <c r="Q137" s="0" t="s">
        <v>1527</v>
      </c>
      <c r="R137" s="0" t="s">
        <v>1528</v>
      </c>
      <c r="S137" s="0" t="s">
        <v>998</v>
      </c>
      <c r="T137" s="0" t="s">
        <v>61</v>
      </c>
      <c r="U137" s="0" t="n">
        <v>0</v>
      </c>
      <c r="V137" s="0" t="n">
        <v>0</v>
      </c>
      <c r="W137" s="0" t="n">
        <v>20220930</v>
      </c>
      <c r="X137" s="0" t="n">
        <v>2.27932571681005</v>
      </c>
      <c r="Y137" s="0" t="s">
        <v>1529</v>
      </c>
      <c r="Z137" s="0" t="s">
        <v>158</v>
      </c>
    </row>
    <row r="138" customFormat="false" ht="15" hidden="false" customHeight="false" outlineLevel="0" collapsed="false">
      <c r="A138" s="0" t="n">
        <v>138</v>
      </c>
      <c r="B138" s="0" t="n">
        <v>478442</v>
      </c>
      <c r="C138" s="0" t="n">
        <v>27824</v>
      </c>
      <c r="D138" s="0" t="n">
        <v>398401</v>
      </c>
      <c r="E138" s="0" t="s">
        <v>208</v>
      </c>
      <c r="F138" s="0" t="n">
        <v>66369</v>
      </c>
      <c r="G138" s="0" t="s">
        <v>1530</v>
      </c>
      <c r="H138" s="0" t="s">
        <v>1531</v>
      </c>
      <c r="I138" s="0" t="s">
        <v>1532</v>
      </c>
      <c r="J138" s="0" t="s">
        <v>1533</v>
      </c>
      <c r="K138" s="0" t="s">
        <v>1534</v>
      </c>
      <c r="L138" s="0" t="n">
        <v>389229</v>
      </c>
      <c r="M138" s="0" t="s">
        <v>1535</v>
      </c>
      <c r="N138" s="0" t="n">
        <v>332914</v>
      </c>
      <c r="O138" s="0" t="n">
        <v>1040</v>
      </c>
      <c r="P138" s="0" t="s">
        <v>453</v>
      </c>
      <c r="Q138" s="0" t="s">
        <v>1536</v>
      </c>
      <c r="R138" s="0" t="s">
        <v>1537</v>
      </c>
      <c r="S138" s="0" t="s">
        <v>61</v>
      </c>
      <c r="T138" s="0" t="s">
        <v>1538</v>
      </c>
      <c r="U138" s="0" t="n">
        <v>0</v>
      </c>
      <c r="V138" s="0" t="n">
        <v>24.0539268875851</v>
      </c>
      <c r="W138" s="0" t="n">
        <v>20220930</v>
      </c>
      <c r="X138" s="0" t="n">
        <v>0.316684318660046</v>
      </c>
      <c r="Y138" s="0" t="s">
        <v>110</v>
      </c>
      <c r="Z138" s="0" t="s">
        <v>158</v>
      </c>
    </row>
    <row r="139" customFormat="false" ht="15" hidden="false" customHeight="false" outlineLevel="0" collapsed="false">
      <c r="A139" s="0" t="n">
        <v>139</v>
      </c>
      <c r="B139" s="0" t="n">
        <v>306788</v>
      </c>
      <c r="C139" s="0" t="n">
        <v>28155</v>
      </c>
      <c r="D139" s="0" t="n">
        <v>278328</v>
      </c>
      <c r="E139" s="0" t="s">
        <v>271</v>
      </c>
      <c r="F139" s="0" t="n">
        <v>27419</v>
      </c>
      <c r="G139" s="0" t="s">
        <v>1539</v>
      </c>
      <c r="H139" s="0" t="s">
        <v>1540</v>
      </c>
      <c r="I139" s="0" t="s">
        <v>1541</v>
      </c>
      <c r="J139" s="0" t="s">
        <v>1542</v>
      </c>
      <c r="K139" s="0" t="s">
        <v>1543</v>
      </c>
      <c r="L139" s="0" t="n">
        <v>155257</v>
      </c>
      <c r="M139" s="0" t="s">
        <v>1544</v>
      </c>
      <c r="N139" s="0" t="n">
        <v>143872</v>
      </c>
      <c r="O139" s="0" t="n">
        <v>222</v>
      </c>
      <c r="P139" s="0" t="s">
        <v>464</v>
      </c>
      <c r="Q139" s="0" t="s">
        <v>1545</v>
      </c>
      <c r="R139" s="0" t="s">
        <v>1546</v>
      </c>
      <c r="S139" s="0" t="s">
        <v>1018</v>
      </c>
      <c r="T139" s="0" t="s">
        <v>1547</v>
      </c>
      <c r="U139" s="0" t="n">
        <v>0</v>
      </c>
      <c r="V139" s="0" t="n">
        <v>18.3948124270968</v>
      </c>
      <c r="W139" s="0" t="n">
        <v>20220930</v>
      </c>
      <c r="X139" s="0" t="n">
        <v>0.211071666580137</v>
      </c>
      <c r="Y139" s="0" t="s">
        <v>1548</v>
      </c>
      <c r="Z139" s="0" t="s">
        <v>158</v>
      </c>
    </row>
    <row r="140" customFormat="false" ht="15" hidden="false" customHeight="false" outlineLevel="0" collapsed="false">
      <c r="A140" s="0" t="n">
        <v>140</v>
      </c>
      <c r="B140" s="0" t="n">
        <v>98792</v>
      </c>
      <c r="C140" s="0" t="n">
        <v>28288</v>
      </c>
      <c r="D140" s="0" t="n">
        <v>81542</v>
      </c>
      <c r="E140" s="0" t="s">
        <v>172</v>
      </c>
      <c r="F140" s="0" t="n">
        <v>5736</v>
      </c>
      <c r="G140" s="0" t="s">
        <v>1549</v>
      </c>
      <c r="H140" s="0" t="s">
        <v>1550</v>
      </c>
      <c r="I140" s="0" t="s">
        <v>1551</v>
      </c>
      <c r="J140" s="0" t="s">
        <v>1378</v>
      </c>
      <c r="K140" s="0" t="s">
        <v>1552</v>
      </c>
      <c r="L140" s="0" t="n">
        <v>78082</v>
      </c>
      <c r="M140" s="0" t="s">
        <v>1553</v>
      </c>
      <c r="N140" s="0" t="n">
        <v>74509</v>
      </c>
      <c r="O140" s="0" t="n">
        <v>387</v>
      </c>
      <c r="P140" s="0" t="s">
        <v>475</v>
      </c>
      <c r="Q140" s="0" t="s">
        <v>1554</v>
      </c>
      <c r="R140" s="0" t="s">
        <v>1555</v>
      </c>
      <c r="S140" s="0" t="s">
        <v>1556</v>
      </c>
      <c r="T140" s="0" t="s">
        <v>1557</v>
      </c>
      <c r="U140" s="0" t="n">
        <v>0</v>
      </c>
      <c r="V140" s="0" t="n">
        <v>13.8047190555651</v>
      </c>
      <c r="W140" s="0" t="n">
        <v>20220930</v>
      </c>
      <c r="X140" s="0" t="n">
        <v>0.100531837186714</v>
      </c>
      <c r="Y140" s="0" t="s">
        <v>557</v>
      </c>
      <c r="Z140" s="0" t="s">
        <v>60</v>
      </c>
    </row>
    <row r="141" customFormat="false" ht="15" hidden="false" customHeight="false" outlineLevel="0" collapsed="false">
      <c r="A141" s="0" t="n">
        <v>141</v>
      </c>
      <c r="B141" s="0" t="n">
        <v>89339</v>
      </c>
      <c r="C141" s="0" t="n">
        <v>28369</v>
      </c>
      <c r="D141" s="0" t="n">
        <v>79460</v>
      </c>
      <c r="E141" s="0" t="s">
        <v>1500</v>
      </c>
      <c r="F141" s="0" t="n">
        <v>9472</v>
      </c>
      <c r="G141" s="0" t="s">
        <v>1558</v>
      </c>
      <c r="H141" s="0" t="s">
        <v>1559</v>
      </c>
      <c r="I141" s="0" t="s">
        <v>1560</v>
      </c>
      <c r="J141" s="0" t="s">
        <v>1561</v>
      </c>
      <c r="K141" s="0" t="s">
        <v>1562</v>
      </c>
      <c r="L141" s="0" t="n">
        <v>73290</v>
      </c>
      <c r="M141" s="0" t="s">
        <v>1563</v>
      </c>
      <c r="N141" s="0" t="n">
        <v>61961</v>
      </c>
      <c r="O141" s="0" t="n">
        <v>377</v>
      </c>
      <c r="P141" s="0" t="s">
        <v>486</v>
      </c>
      <c r="Q141" s="0" t="s">
        <v>1564</v>
      </c>
      <c r="R141" s="0" t="s">
        <v>1565</v>
      </c>
      <c r="S141" s="0" t="s">
        <v>230</v>
      </c>
      <c r="T141" s="0" t="s">
        <v>1566</v>
      </c>
      <c r="U141" s="0" t="n">
        <v>0</v>
      </c>
      <c r="V141" s="0" t="n">
        <v>0</v>
      </c>
      <c r="W141" s="0" t="n">
        <v>20220930</v>
      </c>
      <c r="X141" s="0" t="n">
        <v>0.180791114967063</v>
      </c>
      <c r="Y141" s="0" t="s">
        <v>1567</v>
      </c>
      <c r="Z141" s="0" t="s">
        <v>60</v>
      </c>
    </row>
    <row r="142" customFormat="false" ht="15" hidden="false" customHeight="false" outlineLevel="0" collapsed="false">
      <c r="A142" s="0" t="n">
        <v>142</v>
      </c>
      <c r="B142" s="0" t="n">
        <v>308029</v>
      </c>
      <c r="C142" s="0" t="n">
        <v>28837</v>
      </c>
      <c r="D142" s="0" t="n">
        <v>282630</v>
      </c>
      <c r="E142" s="0" t="s">
        <v>172</v>
      </c>
      <c r="F142" s="0" t="n">
        <v>22847</v>
      </c>
      <c r="G142" s="0" t="s">
        <v>1568</v>
      </c>
      <c r="H142" s="0" t="s">
        <v>1569</v>
      </c>
      <c r="I142" s="0" t="s">
        <v>1570</v>
      </c>
      <c r="J142" s="0" t="s">
        <v>1571</v>
      </c>
      <c r="K142" s="0" t="s">
        <v>792</v>
      </c>
      <c r="L142" s="0" t="n">
        <v>189990</v>
      </c>
      <c r="M142" s="0" t="s">
        <v>1572</v>
      </c>
      <c r="N142" s="0" t="n">
        <v>180618</v>
      </c>
      <c r="O142" s="0" t="n">
        <v>240</v>
      </c>
      <c r="P142" s="0" t="s">
        <v>497</v>
      </c>
      <c r="Q142" s="0" t="s">
        <v>1573</v>
      </c>
      <c r="R142" s="0" t="s">
        <v>1574</v>
      </c>
      <c r="S142" s="0" t="s">
        <v>1575</v>
      </c>
      <c r="T142" s="0" t="s">
        <v>1576</v>
      </c>
      <c r="U142" s="0" t="n">
        <v>0</v>
      </c>
      <c r="V142" s="0" t="n">
        <v>15.1026996647475</v>
      </c>
      <c r="W142" s="0" t="n">
        <v>20220930</v>
      </c>
      <c r="X142" s="0" t="n">
        <v>0.481132029976162</v>
      </c>
      <c r="Y142" s="0" t="s">
        <v>1577</v>
      </c>
      <c r="Z142" s="0" t="s">
        <v>98</v>
      </c>
    </row>
    <row r="143" customFormat="false" ht="15" hidden="false" customHeight="false" outlineLevel="0" collapsed="false">
      <c r="A143" s="0" t="n">
        <v>143</v>
      </c>
      <c r="B143" s="0" t="n">
        <v>180105</v>
      </c>
      <c r="C143" s="0" t="n">
        <v>29636</v>
      </c>
      <c r="D143" s="0" t="n">
        <v>155107</v>
      </c>
      <c r="E143" s="0" t="s">
        <v>246</v>
      </c>
      <c r="F143" s="0" t="n">
        <v>23599</v>
      </c>
      <c r="G143" s="0" t="s">
        <v>1578</v>
      </c>
      <c r="H143" s="0" t="s">
        <v>1579</v>
      </c>
      <c r="I143" s="0" t="s">
        <v>1580</v>
      </c>
      <c r="J143" s="0" t="s">
        <v>1581</v>
      </c>
      <c r="K143" s="0" t="s">
        <v>1582</v>
      </c>
      <c r="L143" s="0" t="n">
        <v>116795</v>
      </c>
      <c r="M143" s="0" t="s">
        <v>1583</v>
      </c>
      <c r="N143" s="0" t="n">
        <v>113497</v>
      </c>
      <c r="O143" s="0" t="n">
        <v>2099</v>
      </c>
      <c r="P143" s="0" t="s">
        <v>509</v>
      </c>
      <c r="Q143" s="0" t="s">
        <v>1584</v>
      </c>
      <c r="R143" s="0" t="s">
        <v>1585</v>
      </c>
      <c r="S143" s="0" t="s">
        <v>155</v>
      </c>
      <c r="T143" s="0" t="s">
        <v>642</v>
      </c>
      <c r="U143" s="0" t="n">
        <v>0</v>
      </c>
      <c r="V143" s="0" t="n">
        <v>31.34737779275</v>
      </c>
      <c r="W143" s="0" t="n">
        <v>20220930</v>
      </c>
      <c r="X143" s="0" t="n">
        <v>0.276723128820604</v>
      </c>
      <c r="Y143" s="0" t="s">
        <v>1586</v>
      </c>
      <c r="Z143" s="0" t="s">
        <v>60</v>
      </c>
    </row>
    <row r="144" customFormat="false" ht="15" hidden="false" customHeight="false" outlineLevel="0" collapsed="false">
      <c r="A144" s="0" t="n">
        <v>144</v>
      </c>
      <c r="B144" s="0" t="n">
        <v>179520</v>
      </c>
      <c r="C144" s="0" t="n">
        <v>29743</v>
      </c>
      <c r="D144" s="0" t="n">
        <v>163392</v>
      </c>
      <c r="E144" s="0" t="s">
        <v>61</v>
      </c>
      <c r="F144" s="0" t="n">
        <v>13788</v>
      </c>
      <c r="G144" s="0" t="s">
        <v>1587</v>
      </c>
      <c r="H144" s="0" t="s">
        <v>1588</v>
      </c>
      <c r="I144" s="0" t="s">
        <v>1589</v>
      </c>
      <c r="J144" s="0" t="s">
        <v>1590</v>
      </c>
      <c r="K144" s="0" t="s">
        <v>1591</v>
      </c>
      <c r="L144" s="0" t="n">
        <v>122316</v>
      </c>
      <c r="M144" s="0" t="s">
        <v>1592</v>
      </c>
      <c r="N144" s="0" t="n">
        <v>80448</v>
      </c>
      <c r="O144" s="0" t="n">
        <v>502</v>
      </c>
      <c r="P144" s="0" t="s">
        <v>520</v>
      </c>
      <c r="Q144" s="0" t="s">
        <v>1593</v>
      </c>
      <c r="R144" s="0" t="s">
        <v>1594</v>
      </c>
      <c r="S144" s="0" t="s">
        <v>500</v>
      </c>
      <c r="T144" s="0" t="s">
        <v>1595</v>
      </c>
      <c r="U144" s="0" t="n">
        <v>0</v>
      </c>
      <c r="V144" s="0" t="n">
        <v>17.5319100223227</v>
      </c>
      <c r="W144" s="0" t="n">
        <v>20220930</v>
      </c>
      <c r="X144" s="0" t="n">
        <v>0.779559617122413</v>
      </c>
      <c r="Y144" s="0" t="s">
        <v>889</v>
      </c>
      <c r="Z144" s="0" t="s">
        <v>60</v>
      </c>
    </row>
    <row r="145" customFormat="false" ht="15" hidden="false" customHeight="false" outlineLevel="0" collapsed="false">
      <c r="A145" s="0" t="n">
        <v>145</v>
      </c>
      <c r="B145" s="0" t="n">
        <v>523655</v>
      </c>
      <c r="C145" s="0" t="n">
        <v>29744</v>
      </c>
      <c r="D145" s="0" t="n">
        <v>398937</v>
      </c>
      <c r="E145" s="0" t="s">
        <v>61</v>
      </c>
      <c r="F145" s="0" t="n">
        <v>38532</v>
      </c>
      <c r="G145" s="0" t="s">
        <v>1596</v>
      </c>
      <c r="H145" s="0" t="s">
        <v>1597</v>
      </c>
      <c r="I145" s="0" t="s">
        <v>1598</v>
      </c>
      <c r="J145" s="0" t="s">
        <v>1599</v>
      </c>
      <c r="K145" s="0" t="s">
        <v>1600</v>
      </c>
      <c r="L145" s="0" t="n">
        <v>395319</v>
      </c>
      <c r="M145" s="0" t="s">
        <v>1601</v>
      </c>
      <c r="N145" s="0" t="n">
        <v>362877</v>
      </c>
      <c r="O145" s="0" t="n">
        <v>5</v>
      </c>
      <c r="P145" s="0" t="s">
        <v>531</v>
      </c>
      <c r="Q145" s="0" t="s">
        <v>1602</v>
      </c>
      <c r="R145" s="0" t="s">
        <v>1603</v>
      </c>
      <c r="S145" s="0" t="s">
        <v>1604</v>
      </c>
      <c r="T145" s="0" t="s">
        <v>1605</v>
      </c>
      <c r="U145" s="0" t="n">
        <v>0</v>
      </c>
      <c r="V145" s="0" t="n">
        <v>16.3715315758086</v>
      </c>
      <c r="W145" s="0" t="n">
        <v>20220930</v>
      </c>
      <c r="X145" s="0" t="n">
        <v>0.291575019444318</v>
      </c>
      <c r="Y145" s="0" t="s">
        <v>1606</v>
      </c>
      <c r="Z145" s="0" t="s">
        <v>158</v>
      </c>
    </row>
    <row r="146" customFormat="false" ht="15" hidden="false" customHeight="false" outlineLevel="0" collapsed="false">
      <c r="A146" s="0" t="n">
        <v>146</v>
      </c>
      <c r="B146" s="0" t="n">
        <v>541685</v>
      </c>
      <c r="C146" s="0" t="n">
        <v>30350</v>
      </c>
      <c r="D146" s="0" t="n">
        <v>473333</v>
      </c>
      <c r="E146" s="0" t="s">
        <v>61</v>
      </c>
      <c r="F146" s="0" t="n">
        <v>49256</v>
      </c>
      <c r="G146" s="0" t="s">
        <v>1607</v>
      </c>
      <c r="H146" s="0" t="s">
        <v>1608</v>
      </c>
      <c r="I146" s="0" t="s">
        <v>1609</v>
      </c>
      <c r="J146" s="0" t="s">
        <v>1610</v>
      </c>
      <c r="K146" s="0" t="s">
        <v>1611</v>
      </c>
      <c r="L146" s="0" t="n">
        <v>378298</v>
      </c>
      <c r="M146" s="0" t="s">
        <v>1612</v>
      </c>
      <c r="N146" s="0" t="n">
        <v>363012</v>
      </c>
      <c r="O146" s="0" t="n">
        <v>1989</v>
      </c>
      <c r="P146" s="0" t="s">
        <v>543</v>
      </c>
      <c r="Q146" s="0" t="s">
        <v>1613</v>
      </c>
      <c r="R146" s="0" t="s">
        <v>1614</v>
      </c>
      <c r="S146" s="0" t="s">
        <v>1615</v>
      </c>
      <c r="T146" s="0" t="s">
        <v>1616</v>
      </c>
      <c r="U146" s="0" t="n">
        <v>0</v>
      </c>
      <c r="V146" s="0" t="n">
        <v>21.2709183090001</v>
      </c>
      <c r="W146" s="0" t="n">
        <v>20220930</v>
      </c>
      <c r="X146" s="0" t="n">
        <v>0.649181741581514</v>
      </c>
      <c r="Y146" s="0" t="s">
        <v>1617</v>
      </c>
      <c r="Z146" s="0" t="s">
        <v>98</v>
      </c>
    </row>
    <row r="147" customFormat="false" ht="15" hidden="false" customHeight="false" outlineLevel="0" collapsed="false">
      <c r="A147" s="0" t="n">
        <v>147</v>
      </c>
      <c r="B147" s="0" t="n">
        <v>100514</v>
      </c>
      <c r="C147" s="0" t="n">
        <v>30878</v>
      </c>
      <c r="D147" s="0" t="n">
        <v>76264</v>
      </c>
      <c r="E147" s="0" t="s">
        <v>47</v>
      </c>
      <c r="F147" s="0" t="n">
        <v>12319</v>
      </c>
      <c r="G147" s="0" t="s">
        <v>1618</v>
      </c>
      <c r="H147" s="0" t="s">
        <v>1619</v>
      </c>
      <c r="I147" s="0" t="s">
        <v>1620</v>
      </c>
      <c r="J147" s="0" t="s">
        <v>61</v>
      </c>
      <c r="K147" s="0" t="s">
        <v>1621</v>
      </c>
      <c r="L147" s="0" t="n">
        <v>77064</v>
      </c>
      <c r="M147" s="0" t="s">
        <v>1622</v>
      </c>
      <c r="N147" s="0" t="n">
        <v>76961</v>
      </c>
      <c r="O147" s="0" t="n">
        <v>589</v>
      </c>
      <c r="P147" s="0" t="s">
        <v>553</v>
      </c>
      <c r="Q147" s="0" t="s">
        <v>1623</v>
      </c>
      <c r="R147" s="0" t="s">
        <v>1624</v>
      </c>
      <c r="S147" s="0" t="s">
        <v>61</v>
      </c>
      <c r="T147" s="0" t="s">
        <v>1625</v>
      </c>
      <c r="U147" s="0" t="n">
        <v>0</v>
      </c>
      <c r="V147" s="0" t="n">
        <v>0</v>
      </c>
      <c r="W147" s="0" t="n">
        <v>20220930</v>
      </c>
      <c r="X147" s="0" t="n">
        <v>0.295597394237198</v>
      </c>
      <c r="Y147" s="0" t="s">
        <v>1626</v>
      </c>
      <c r="Z147" s="0" t="s">
        <v>60</v>
      </c>
    </row>
    <row r="148" customFormat="false" ht="15" hidden="false" customHeight="false" outlineLevel="0" collapsed="false">
      <c r="A148" s="0" t="n">
        <v>148</v>
      </c>
      <c r="B148" s="0" t="n">
        <v>728017</v>
      </c>
      <c r="C148" s="0" t="n">
        <v>33418</v>
      </c>
      <c r="D148" s="0" t="n">
        <v>571364</v>
      </c>
      <c r="E148" s="0" t="s">
        <v>923</v>
      </c>
      <c r="F148" s="0" t="n">
        <v>59731</v>
      </c>
      <c r="G148" s="0" t="s">
        <v>1627</v>
      </c>
      <c r="H148" s="0" t="s">
        <v>1628</v>
      </c>
      <c r="I148" s="0" t="s">
        <v>1629</v>
      </c>
      <c r="J148" s="0" t="s">
        <v>1630</v>
      </c>
      <c r="K148" s="0" t="s">
        <v>1631</v>
      </c>
      <c r="L148" s="0" t="n">
        <v>353551</v>
      </c>
      <c r="M148" s="0" t="s">
        <v>1632</v>
      </c>
      <c r="N148" s="0" t="n">
        <v>302851</v>
      </c>
      <c r="O148" s="0" t="n">
        <v>3182</v>
      </c>
      <c r="P148" s="0" t="s">
        <v>564</v>
      </c>
      <c r="Q148" s="0" t="s">
        <v>1633</v>
      </c>
      <c r="R148" s="0" t="s">
        <v>1634</v>
      </c>
      <c r="S148" s="0" t="s">
        <v>352</v>
      </c>
      <c r="T148" s="0" t="s">
        <v>1635</v>
      </c>
      <c r="U148" s="0" t="n">
        <v>0</v>
      </c>
      <c r="V148" s="0" t="n">
        <v>18.9996701825354</v>
      </c>
      <c r="W148" s="0" t="n">
        <v>20220930</v>
      </c>
      <c r="X148" s="0" t="n">
        <v>1.19732263126932</v>
      </c>
      <c r="Y148" s="0" t="s">
        <v>1636</v>
      </c>
      <c r="Z148" s="0" t="s">
        <v>98</v>
      </c>
    </row>
    <row r="149" customFormat="false" ht="15" hidden="false" customHeight="false" outlineLevel="0" collapsed="false">
      <c r="A149" s="0" t="n">
        <v>149</v>
      </c>
      <c r="B149" s="0" t="n">
        <v>60178</v>
      </c>
      <c r="C149" s="0" t="n">
        <v>35206</v>
      </c>
      <c r="D149" s="0" t="n">
        <v>500</v>
      </c>
      <c r="E149" s="0" t="s">
        <v>61</v>
      </c>
      <c r="F149" s="0" t="n">
        <v>57817</v>
      </c>
      <c r="G149" s="0" t="s">
        <v>1637</v>
      </c>
      <c r="H149" s="0" t="s">
        <v>1638</v>
      </c>
      <c r="I149" s="0" t="s">
        <v>61</v>
      </c>
      <c r="J149" s="0" t="s">
        <v>61</v>
      </c>
      <c r="K149" s="0" t="s">
        <v>61</v>
      </c>
      <c r="L149" s="0" t="n">
        <v>0</v>
      </c>
      <c r="M149" s="0" t="s">
        <v>61</v>
      </c>
      <c r="N149" s="0" t="n">
        <v>0</v>
      </c>
      <c r="O149" s="0" t="n">
        <v>0</v>
      </c>
      <c r="P149" s="0" t="s">
        <v>1112</v>
      </c>
      <c r="Q149" s="0" t="s">
        <v>61</v>
      </c>
      <c r="R149" s="0" t="s">
        <v>1639</v>
      </c>
      <c r="S149" s="0" t="s">
        <v>61</v>
      </c>
      <c r="T149" s="0" t="s">
        <v>61</v>
      </c>
      <c r="U149" s="0" t="n">
        <v>0</v>
      </c>
      <c r="V149" s="0" t="n">
        <v>0</v>
      </c>
      <c r="W149" s="0" t="n">
        <v>20220930</v>
      </c>
      <c r="X149" s="0" t="n">
        <v>2.23680494034471</v>
      </c>
      <c r="Y149" s="0" t="s">
        <v>1640</v>
      </c>
      <c r="Z149" s="0" t="s">
        <v>158</v>
      </c>
    </row>
    <row r="150" customFormat="false" ht="15" hidden="false" customHeight="false" outlineLevel="0" collapsed="false">
      <c r="A150" s="0" t="n">
        <v>150</v>
      </c>
      <c r="B150" s="0" t="n">
        <v>5539983</v>
      </c>
      <c r="C150" s="0" t="n">
        <v>4255</v>
      </c>
      <c r="D150" s="0" t="n">
        <v>4604972</v>
      </c>
      <c r="E150" s="0" t="s">
        <v>85</v>
      </c>
      <c r="F150" s="0" t="n">
        <v>444488</v>
      </c>
      <c r="G150" s="0" t="s">
        <v>1641</v>
      </c>
      <c r="H150" s="0" t="s">
        <v>1642</v>
      </c>
      <c r="I150" s="0" t="s">
        <v>1643</v>
      </c>
      <c r="J150" s="0" t="s">
        <v>1644</v>
      </c>
      <c r="K150" s="0" t="s">
        <v>1645</v>
      </c>
      <c r="L150" s="0" t="n">
        <v>3865309</v>
      </c>
      <c r="M150" s="0" t="s">
        <v>1646</v>
      </c>
      <c r="N150" s="0" t="n">
        <v>3453052</v>
      </c>
      <c r="O150" s="0" t="n">
        <v>2765</v>
      </c>
      <c r="P150" s="0" t="s">
        <v>575</v>
      </c>
      <c r="Q150" s="0" t="s">
        <v>1647</v>
      </c>
      <c r="R150" s="0" t="s">
        <v>1648</v>
      </c>
      <c r="S150" s="0" t="s">
        <v>1649</v>
      </c>
      <c r="T150" s="0" t="s">
        <v>1650</v>
      </c>
      <c r="U150" s="0" t="n">
        <v>0</v>
      </c>
      <c r="V150" s="0" t="n">
        <v>13.0703989197068</v>
      </c>
      <c r="W150" s="0" t="n">
        <v>20220930</v>
      </c>
      <c r="X150" s="0" t="n">
        <v>1.16771643069494</v>
      </c>
      <c r="Y150" s="0" t="s">
        <v>1651</v>
      </c>
      <c r="Z150" s="0" t="s">
        <v>60</v>
      </c>
    </row>
    <row r="151" customFormat="false" ht="15" hidden="false" customHeight="false" outlineLevel="0" collapsed="false">
      <c r="A151" s="0" t="n">
        <v>151</v>
      </c>
      <c r="B151" s="0" t="n">
        <v>2699877</v>
      </c>
      <c r="C151" s="0" t="n">
        <v>4256</v>
      </c>
      <c r="D151" s="0" t="n">
        <v>2370865</v>
      </c>
      <c r="E151" s="0" t="s">
        <v>259</v>
      </c>
      <c r="F151" s="0" t="n">
        <v>191219</v>
      </c>
      <c r="G151" s="0" t="s">
        <v>1652</v>
      </c>
      <c r="H151" s="0" t="s">
        <v>1653</v>
      </c>
      <c r="I151" s="0" t="s">
        <v>1654</v>
      </c>
      <c r="J151" s="0" t="s">
        <v>1655</v>
      </c>
      <c r="K151" s="0" t="s">
        <v>1656</v>
      </c>
      <c r="L151" s="0" t="n">
        <v>1857975</v>
      </c>
      <c r="M151" s="0" t="s">
        <v>1657</v>
      </c>
      <c r="N151" s="0" t="n">
        <v>1478344</v>
      </c>
      <c r="O151" s="0" t="n">
        <v>1860</v>
      </c>
      <c r="P151" s="0" t="s">
        <v>587</v>
      </c>
      <c r="Q151" s="0" t="s">
        <v>1658</v>
      </c>
      <c r="R151" s="0" t="s">
        <v>1659</v>
      </c>
      <c r="S151" s="0" t="s">
        <v>1660</v>
      </c>
      <c r="T151" s="0" t="s">
        <v>1661</v>
      </c>
      <c r="U151" s="0" t="n">
        <v>0</v>
      </c>
      <c r="V151" s="0" t="n">
        <v>13.5242415345785</v>
      </c>
      <c r="W151" s="0" t="n">
        <v>20220930</v>
      </c>
      <c r="X151" s="0" t="n">
        <v>1.5759119347341</v>
      </c>
      <c r="Y151" s="0" t="s">
        <v>1662</v>
      </c>
      <c r="Z151" s="0" t="s">
        <v>60</v>
      </c>
    </row>
    <row r="152" customFormat="false" ht="15" hidden="false" customHeight="false" outlineLevel="0" collapsed="false">
      <c r="A152" s="0" t="n">
        <v>152</v>
      </c>
      <c r="B152" s="0" t="n">
        <v>686995</v>
      </c>
      <c r="C152" s="0" t="n">
        <v>59086</v>
      </c>
      <c r="D152" s="0" t="n">
        <v>610836</v>
      </c>
      <c r="E152" s="0" t="s">
        <v>1137</v>
      </c>
      <c r="F152" s="0" t="n">
        <v>72795</v>
      </c>
      <c r="G152" s="0" t="s">
        <v>1663</v>
      </c>
      <c r="H152" s="0" t="s">
        <v>1664</v>
      </c>
      <c r="I152" s="0" t="s">
        <v>1665</v>
      </c>
      <c r="J152" s="0" t="s">
        <v>1666</v>
      </c>
      <c r="K152" s="0" t="s">
        <v>61</v>
      </c>
      <c r="L152" s="0" t="n">
        <v>552647</v>
      </c>
      <c r="M152" s="0" t="s">
        <v>1667</v>
      </c>
      <c r="N152" s="0" t="n">
        <v>433350</v>
      </c>
      <c r="O152" s="0" t="n">
        <v>2111</v>
      </c>
      <c r="P152" s="0" t="s">
        <v>599</v>
      </c>
      <c r="Q152" s="0" t="s">
        <v>1668</v>
      </c>
      <c r="R152" s="0" t="s">
        <v>1669</v>
      </c>
      <c r="S152" s="0" t="s">
        <v>61</v>
      </c>
      <c r="T152" s="0" t="s">
        <v>61</v>
      </c>
      <c r="U152" s="0" t="n">
        <v>341</v>
      </c>
      <c r="V152" s="0" t="n">
        <v>13.7494495435112</v>
      </c>
      <c r="W152" s="0" t="n">
        <v>20220930</v>
      </c>
      <c r="X152" s="0" t="n">
        <v>1.41290663287171</v>
      </c>
      <c r="Y152" s="0" t="s">
        <v>1670</v>
      </c>
      <c r="Z152" s="0" t="s">
        <v>158</v>
      </c>
    </row>
    <row r="153" customFormat="false" ht="15" hidden="false" customHeight="false" outlineLevel="0" collapsed="false">
      <c r="A153" s="0" t="n">
        <v>153</v>
      </c>
      <c r="B153" s="0" t="n">
        <v>182612</v>
      </c>
      <c r="C153" s="0" t="n">
        <v>59176</v>
      </c>
      <c r="D153" s="0" t="n">
        <v>160518</v>
      </c>
      <c r="E153" s="0" t="s">
        <v>1671</v>
      </c>
      <c r="F153" s="0" t="n">
        <v>21662</v>
      </c>
      <c r="G153" s="0" t="s">
        <v>1672</v>
      </c>
      <c r="H153" s="0" t="s">
        <v>1673</v>
      </c>
      <c r="I153" s="0" t="s">
        <v>1674</v>
      </c>
      <c r="J153" s="0" t="s">
        <v>1675</v>
      </c>
      <c r="K153" s="0" t="s">
        <v>281</v>
      </c>
      <c r="L153" s="0" t="n">
        <v>124839</v>
      </c>
      <c r="M153" s="0" t="s">
        <v>1676</v>
      </c>
      <c r="N153" s="0" t="n">
        <v>107791</v>
      </c>
      <c r="O153" s="0" t="n">
        <v>0</v>
      </c>
      <c r="P153" s="0" t="s">
        <v>610</v>
      </c>
      <c r="Q153" s="0" t="s">
        <v>61</v>
      </c>
      <c r="R153" s="0" t="s">
        <v>1677</v>
      </c>
      <c r="S153" s="0" t="s">
        <v>61</v>
      </c>
      <c r="T153" s="0" t="s">
        <v>61</v>
      </c>
      <c r="U153" s="0" t="n">
        <v>0</v>
      </c>
      <c r="V153" s="0" t="n">
        <v>18.6279642747151</v>
      </c>
      <c r="W153" s="0" t="n">
        <v>20220930</v>
      </c>
      <c r="X153" s="0" t="n">
        <v>0.224178584443066</v>
      </c>
      <c r="Y153" s="0" t="s">
        <v>457</v>
      </c>
      <c r="Z153" s="0" t="s">
        <v>158</v>
      </c>
    </row>
    <row r="154" customFormat="false" ht="15" hidden="false" customHeight="false" outlineLevel="0" collapsed="false">
      <c r="A154" s="0" t="n">
        <v>154</v>
      </c>
      <c r="B154" s="0" t="n">
        <v>38217</v>
      </c>
      <c r="C154" s="0" t="n">
        <v>59298</v>
      </c>
      <c r="D154" s="0" t="n">
        <v>6690</v>
      </c>
      <c r="E154" s="0" t="s">
        <v>1678</v>
      </c>
      <c r="F154" s="0" t="n">
        <v>30598</v>
      </c>
      <c r="G154" s="0" t="s">
        <v>1679</v>
      </c>
      <c r="H154" s="0" t="s">
        <v>1680</v>
      </c>
      <c r="I154" s="0" t="s">
        <v>1681</v>
      </c>
      <c r="J154" s="0" t="s">
        <v>1682</v>
      </c>
      <c r="K154" s="0" t="s">
        <v>61</v>
      </c>
      <c r="L154" s="0" t="n">
        <v>7648</v>
      </c>
      <c r="M154" s="0" t="s">
        <v>1683</v>
      </c>
      <c r="N154" s="0" t="n">
        <v>4565</v>
      </c>
      <c r="O154" s="0" t="n">
        <v>0</v>
      </c>
      <c r="P154" s="0" t="s">
        <v>1684</v>
      </c>
      <c r="Q154" s="0" t="s">
        <v>61</v>
      </c>
      <c r="R154" s="0" t="s">
        <v>1685</v>
      </c>
      <c r="S154" s="0" t="s">
        <v>61</v>
      </c>
      <c r="T154" s="0" t="s">
        <v>61</v>
      </c>
      <c r="U154" s="0" t="n">
        <v>0</v>
      </c>
      <c r="V154" s="0" t="n">
        <v>0</v>
      </c>
      <c r="W154" s="0" t="n">
        <v>20220930</v>
      </c>
      <c r="X154" s="0" t="n">
        <v>-1.79322343459717</v>
      </c>
      <c r="Y154" s="0" t="s">
        <v>1686</v>
      </c>
      <c r="Z154" s="0" t="s">
        <v>98</v>
      </c>
    </row>
    <row r="155" customFormat="false" ht="15" hidden="false" customHeight="false" outlineLevel="0" collapsed="false">
      <c r="A155" s="0" t="n">
        <v>155</v>
      </c>
      <c r="B155" s="0" t="n">
        <v>1026347</v>
      </c>
      <c r="C155" s="0" t="n">
        <v>6271</v>
      </c>
      <c r="D155" s="0" t="n">
        <v>904130</v>
      </c>
      <c r="E155" s="0" t="s">
        <v>1687</v>
      </c>
      <c r="F155" s="0" t="n">
        <v>81739</v>
      </c>
      <c r="G155" s="0" t="s">
        <v>1688</v>
      </c>
      <c r="H155" s="0" t="s">
        <v>1689</v>
      </c>
      <c r="I155" s="0" t="s">
        <v>1690</v>
      </c>
      <c r="J155" s="0" t="s">
        <v>1691</v>
      </c>
      <c r="K155" s="0" t="s">
        <v>1692</v>
      </c>
      <c r="L155" s="0" t="n">
        <v>724791</v>
      </c>
      <c r="M155" s="0" t="s">
        <v>1693</v>
      </c>
      <c r="N155" s="0" t="n">
        <v>551311</v>
      </c>
      <c r="O155" s="0" t="n">
        <v>8603</v>
      </c>
      <c r="P155" s="0" t="s">
        <v>621</v>
      </c>
      <c r="Q155" s="0" t="s">
        <v>1694</v>
      </c>
      <c r="R155" s="0" t="s">
        <v>1695</v>
      </c>
      <c r="S155" s="0" t="s">
        <v>1696</v>
      </c>
      <c r="T155" s="0" t="s">
        <v>1697</v>
      </c>
      <c r="U155" s="0" t="n">
        <v>744</v>
      </c>
      <c r="V155" s="0" t="n">
        <v>15.053195210868</v>
      </c>
      <c r="W155" s="0" t="n">
        <v>20220930</v>
      </c>
      <c r="X155" s="0" t="n">
        <v>1.26525953247623</v>
      </c>
      <c r="Y155" s="0" t="s">
        <v>1698</v>
      </c>
      <c r="Z155" s="0" t="s">
        <v>98</v>
      </c>
    </row>
    <row r="156" customFormat="false" ht="15" hidden="false" customHeight="false" outlineLevel="0" collapsed="false">
      <c r="A156" s="0" t="n">
        <v>156</v>
      </c>
      <c r="B156" s="0" t="n">
        <v>538969</v>
      </c>
      <c r="C156" s="0" t="n">
        <v>6275</v>
      </c>
      <c r="D156" s="0" t="n">
        <v>499382</v>
      </c>
      <c r="E156" s="0" t="s">
        <v>159</v>
      </c>
      <c r="F156" s="0" t="n">
        <v>21431</v>
      </c>
      <c r="G156" s="0" t="s">
        <v>1699</v>
      </c>
      <c r="H156" s="0" t="s">
        <v>1700</v>
      </c>
      <c r="I156" s="0" t="s">
        <v>1701</v>
      </c>
      <c r="J156" s="0" t="s">
        <v>1702</v>
      </c>
      <c r="K156" s="0" t="s">
        <v>1703</v>
      </c>
      <c r="L156" s="0" t="n">
        <v>302728</v>
      </c>
      <c r="M156" s="0" t="s">
        <v>1704</v>
      </c>
      <c r="N156" s="0" t="n">
        <v>249546</v>
      </c>
      <c r="O156" s="0" t="n">
        <v>1530</v>
      </c>
      <c r="P156" s="0" t="s">
        <v>633</v>
      </c>
      <c r="Q156" s="0" t="s">
        <v>1705</v>
      </c>
      <c r="R156" s="0" t="s">
        <v>1706</v>
      </c>
      <c r="S156" s="0" t="s">
        <v>61</v>
      </c>
      <c r="T156" s="0" t="s">
        <v>1556</v>
      </c>
      <c r="U156" s="0" t="n">
        <v>23</v>
      </c>
      <c r="V156" s="0" t="n">
        <v>15.7909585316112</v>
      </c>
      <c r="W156" s="0" t="n">
        <v>20220930</v>
      </c>
      <c r="X156" s="0" t="n">
        <v>0.612337281502061</v>
      </c>
      <c r="Y156" s="0" t="s">
        <v>1707</v>
      </c>
      <c r="Z156" s="0" t="s">
        <v>98</v>
      </c>
    </row>
    <row r="157" customFormat="false" ht="15" hidden="false" customHeight="false" outlineLevel="0" collapsed="false">
      <c r="A157" s="0" t="n">
        <v>157</v>
      </c>
      <c r="B157" s="0" t="n">
        <v>87700</v>
      </c>
      <c r="C157" s="0" t="n">
        <v>6280</v>
      </c>
      <c r="D157" s="0" t="n">
        <v>78966</v>
      </c>
      <c r="E157" s="0" t="s">
        <v>1708</v>
      </c>
      <c r="F157" s="0" t="n">
        <v>8505</v>
      </c>
      <c r="G157" s="0" t="s">
        <v>1709</v>
      </c>
      <c r="H157" s="0" t="s">
        <v>1710</v>
      </c>
      <c r="I157" s="0" t="s">
        <v>1711</v>
      </c>
      <c r="J157" s="0" t="s">
        <v>1712</v>
      </c>
      <c r="K157" s="0" t="s">
        <v>1582</v>
      </c>
      <c r="L157" s="0" t="n">
        <v>62691</v>
      </c>
      <c r="M157" s="0" t="s">
        <v>1713</v>
      </c>
      <c r="N157" s="0" t="n">
        <v>53838</v>
      </c>
      <c r="O157" s="0" t="n">
        <v>667</v>
      </c>
      <c r="P157" s="0" t="s">
        <v>644</v>
      </c>
      <c r="Q157" s="0" t="s">
        <v>1714</v>
      </c>
      <c r="R157" s="0" t="s">
        <v>1715</v>
      </c>
      <c r="S157" s="0" t="s">
        <v>1716</v>
      </c>
      <c r="T157" s="0" t="s">
        <v>1717</v>
      </c>
      <c r="U157" s="0" t="n">
        <v>0</v>
      </c>
      <c r="V157" s="0" t="n">
        <v>0</v>
      </c>
      <c r="W157" s="0" t="n">
        <v>20220930</v>
      </c>
      <c r="X157" s="0" t="n">
        <v>1.35938068951454</v>
      </c>
      <c r="Y157" s="0" t="s">
        <v>1718</v>
      </c>
      <c r="Z157" s="0" t="s">
        <v>98</v>
      </c>
    </row>
    <row r="158" customFormat="false" ht="15" hidden="false" customHeight="false" outlineLevel="0" collapsed="false">
      <c r="A158" s="0" t="n">
        <v>158</v>
      </c>
      <c r="B158" s="0" t="n">
        <v>3906943</v>
      </c>
      <c r="C158" s="0" t="n">
        <v>11971</v>
      </c>
      <c r="D158" s="0" t="n">
        <v>3050819</v>
      </c>
      <c r="E158" s="0" t="s">
        <v>1393</v>
      </c>
      <c r="F158" s="0" t="n">
        <v>447316</v>
      </c>
      <c r="G158" s="0" t="s">
        <v>1719</v>
      </c>
      <c r="H158" s="0" t="s">
        <v>1720</v>
      </c>
      <c r="I158" s="0" t="s">
        <v>1721</v>
      </c>
      <c r="J158" s="0" t="s">
        <v>1722</v>
      </c>
      <c r="K158" s="0" t="s">
        <v>1723</v>
      </c>
      <c r="L158" s="0" t="n">
        <v>2902690</v>
      </c>
      <c r="M158" s="0" t="s">
        <v>1724</v>
      </c>
      <c r="N158" s="0" t="n">
        <v>2554897</v>
      </c>
      <c r="O158" s="0" t="n">
        <v>6548</v>
      </c>
      <c r="P158" s="0" t="s">
        <v>54</v>
      </c>
      <c r="Q158" s="0" t="s">
        <v>1725</v>
      </c>
      <c r="R158" s="0" t="s">
        <v>1726</v>
      </c>
      <c r="S158" s="0" t="s">
        <v>1340</v>
      </c>
      <c r="T158" s="0" t="s">
        <v>1727</v>
      </c>
      <c r="U158" s="0" t="n">
        <v>216</v>
      </c>
      <c r="V158" s="0" t="n">
        <v>13.2911679611455</v>
      </c>
      <c r="W158" s="0" t="n">
        <v>20221231</v>
      </c>
      <c r="X158" s="0" t="n">
        <v>1.30045350644</v>
      </c>
      <c r="Y158" s="0" t="s">
        <v>1728</v>
      </c>
      <c r="Z158" s="0" t="s">
        <v>60</v>
      </c>
    </row>
    <row r="159" customFormat="false" ht="15" hidden="false" customHeight="false" outlineLevel="0" collapsed="false">
      <c r="A159" s="0" t="n">
        <v>159</v>
      </c>
      <c r="B159" s="0" t="n">
        <v>981838</v>
      </c>
      <c r="C159" s="0" t="n">
        <v>12874</v>
      </c>
      <c r="D159" s="0" t="n">
        <v>861068</v>
      </c>
      <c r="E159" s="0" t="s">
        <v>1729</v>
      </c>
      <c r="F159" s="0" t="n">
        <v>97187</v>
      </c>
      <c r="G159" s="0" t="s">
        <v>1730</v>
      </c>
      <c r="H159" s="0" t="s">
        <v>1731</v>
      </c>
      <c r="I159" s="0" t="s">
        <v>1732</v>
      </c>
      <c r="J159" s="0" t="s">
        <v>1733</v>
      </c>
      <c r="K159" s="0" t="s">
        <v>1734</v>
      </c>
      <c r="L159" s="0" t="n">
        <v>749622</v>
      </c>
      <c r="M159" s="0" t="s">
        <v>1735</v>
      </c>
      <c r="N159" s="0" t="n">
        <v>599821</v>
      </c>
      <c r="O159" s="0" t="n">
        <v>505</v>
      </c>
      <c r="P159" s="0" t="s">
        <v>68</v>
      </c>
      <c r="Q159" s="0" t="s">
        <v>1736</v>
      </c>
      <c r="R159" s="0" t="s">
        <v>1737</v>
      </c>
      <c r="S159" s="0" t="s">
        <v>1738</v>
      </c>
      <c r="T159" s="0" t="s">
        <v>1739</v>
      </c>
      <c r="U159" s="0" t="n">
        <v>0</v>
      </c>
      <c r="V159" s="0" t="n">
        <v>15.4509262729079</v>
      </c>
      <c r="W159" s="0" t="n">
        <v>20221231</v>
      </c>
      <c r="X159" s="0" t="n">
        <v>1.09464857855594</v>
      </c>
      <c r="Y159" s="0" t="s">
        <v>1740</v>
      </c>
      <c r="Z159" s="0" t="s">
        <v>60</v>
      </c>
    </row>
    <row r="160" customFormat="false" ht="15" hidden="false" customHeight="false" outlineLevel="0" collapsed="false">
      <c r="A160" s="0" t="n">
        <v>160</v>
      </c>
      <c r="B160" s="0" t="n">
        <v>1843469</v>
      </c>
      <c r="C160" s="0" t="n">
        <v>13063</v>
      </c>
      <c r="D160" s="0" t="n">
        <v>1640586</v>
      </c>
      <c r="E160" s="0" t="s">
        <v>159</v>
      </c>
      <c r="F160" s="0" t="n">
        <v>136120</v>
      </c>
      <c r="G160" s="0" t="s">
        <v>1741</v>
      </c>
      <c r="H160" s="0" t="s">
        <v>1742</v>
      </c>
      <c r="I160" s="0" t="s">
        <v>1743</v>
      </c>
      <c r="J160" s="0" t="s">
        <v>1744</v>
      </c>
      <c r="K160" s="0" t="s">
        <v>1745</v>
      </c>
      <c r="L160" s="0" t="n">
        <v>1335612</v>
      </c>
      <c r="M160" s="0" t="s">
        <v>1746</v>
      </c>
      <c r="N160" s="0" t="n">
        <v>1281066</v>
      </c>
      <c r="O160" s="0" t="n">
        <v>528</v>
      </c>
      <c r="P160" s="0" t="s">
        <v>80</v>
      </c>
      <c r="Q160" s="0" t="s">
        <v>1747</v>
      </c>
      <c r="R160" s="0" t="s">
        <v>1748</v>
      </c>
      <c r="S160" s="0" t="s">
        <v>1749</v>
      </c>
      <c r="T160" s="0" t="s">
        <v>1750</v>
      </c>
      <c r="U160" s="0" t="n">
        <v>746</v>
      </c>
      <c r="V160" s="0" t="n">
        <v>0</v>
      </c>
      <c r="W160" s="0" t="n">
        <v>20221231</v>
      </c>
      <c r="X160" s="0" t="n">
        <v>0.74485484313953</v>
      </c>
      <c r="Y160" s="0" t="s">
        <v>1751</v>
      </c>
      <c r="Z160" s="0" t="s">
        <v>60</v>
      </c>
    </row>
    <row r="161" customFormat="false" ht="15" hidden="false" customHeight="false" outlineLevel="0" collapsed="false">
      <c r="A161" s="0" t="n">
        <v>161</v>
      </c>
      <c r="B161" s="0" t="n">
        <v>838127</v>
      </c>
      <c r="C161" s="0" t="n">
        <v>14134</v>
      </c>
      <c r="D161" s="0" t="n">
        <v>719419</v>
      </c>
      <c r="E161" s="0" t="s">
        <v>330</v>
      </c>
      <c r="F161" s="0" t="n">
        <v>97584</v>
      </c>
      <c r="G161" s="0" t="s">
        <v>1752</v>
      </c>
      <c r="H161" s="0" t="s">
        <v>1753</v>
      </c>
      <c r="I161" s="0" t="s">
        <v>1754</v>
      </c>
      <c r="J161" s="0" t="s">
        <v>1755</v>
      </c>
      <c r="K161" s="0" t="s">
        <v>1756</v>
      </c>
      <c r="L161" s="0" t="n">
        <v>618146</v>
      </c>
      <c r="M161" s="0" t="s">
        <v>1757</v>
      </c>
      <c r="N161" s="0" t="n">
        <v>543525</v>
      </c>
      <c r="O161" s="0" t="n">
        <v>12984</v>
      </c>
      <c r="P161" s="0" t="s">
        <v>92</v>
      </c>
      <c r="Q161" s="0" t="s">
        <v>1758</v>
      </c>
      <c r="R161" s="0" t="s">
        <v>1759</v>
      </c>
      <c r="S161" s="0" t="s">
        <v>729</v>
      </c>
      <c r="T161" s="0" t="s">
        <v>1760</v>
      </c>
      <c r="U161" s="0" t="n">
        <v>0</v>
      </c>
      <c r="V161" s="0" t="n">
        <v>18.0562778373292</v>
      </c>
      <c r="W161" s="0" t="n">
        <v>20221231</v>
      </c>
      <c r="X161" s="0" t="n">
        <v>0.221752918751043</v>
      </c>
      <c r="Y161" s="0" t="s">
        <v>1761</v>
      </c>
      <c r="Z161" s="0" t="s">
        <v>98</v>
      </c>
    </row>
    <row r="162" customFormat="false" ht="15" hidden="false" customHeight="false" outlineLevel="0" collapsed="false">
      <c r="A162" s="0" t="n">
        <v>162</v>
      </c>
      <c r="B162" s="0" t="n">
        <v>228201</v>
      </c>
      <c r="C162" s="0" t="n">
        <v>14136</v>
      </c>
      <c r="D162" s="0" t="n">
        <v>209378</v>
      </c>
      <c r="E162" s="0" t="s">
        <v>208</v>
      </c>
      <c r="F162" s="0" t="n">
        <v>14622</v>
      </c>
      <c r="G162" s="0" t="s">
        <v>1762</v>
      </c>
      <c r="H162" s="0" t="s">
        <v>1763</v>
      </c>
      <c r="I162" s="0" t="s">
        <v>1764</v>
      </c>
      <c r="J162" s="0" t="s">
        <v>1765</v>
      </c>
      <c r="K162" s="0" t="s">
        <v>1766</v>
      </c>
      <c r="L162" s="0" t="n">
        <v>139954</v>
      </c>
      <c r="M162" s="0" t="s">
        <v>1767</v>
      </c>
      <c r="N162" s="0" t="n">
        <v>113932</v>
      </c>
      <c r="O162" s="0" t="n">
        <v>107</v>
      </c>
      <c r="P162" s="0" t="s">
        <v>105</v>
      </c>
      <c r="Q162" s="0" t="s">
        <v>1768</v>
      </c>
      <c r="R162" s="0" t="s">
        <v>1769</v>
      </c>
      <c r="S162" s="0" t="s">
        <v>1770</v>
      </c>
      <c r="T162" s="0" t="s">
        <v>1771</v>
      </c>
      <c r="U162" s="0" t="n">
        <v>670</v>
      </c>
      <c r="V162" s="0" t="n">
        <v>17.6671209321242</v>
      </c>
      <c r="W162" s="0" t="n">
        <v>20221231</v>
      </c>
      <c r="X162" s="0" t="n">
        <v>0.464923878187269</v>
      </c>
      <c r="Y162" s="0" t="s">
        <v>1772</v>
      </c>
      <c r="Z162" s="0" t="s">
        <v>98</v>
      </c>
    </row>
    <row r="163" customFormat="false" ht="15" hidden="false" customHeight="false" outlineLevel="0" collapsed="false">
      <c r="A163" s="0" t="n">
        <v>163</v>
      </c>
      <c r="B163" s="0" t="n">
        <v>1414255</v>
      </c>
      <c r="C163" s="0" t="n">
        <v>14140</v>
      </c>
      <c r="D163" s="0" t="n">
        <v>1185491</v>
      </c>
      <c r="E163" s="0" t="s">
        <v>61</v>
      </c>
      <c r="F163" s="0" t="n">
        <v>113940</v>
      </c>
      <c r="G163" s="0" t="s">
        <v>1773</v>
      </c>
      <c r="H163" s="0" t="s">
        <v>1774</v>
      </c>
      <c r="I163" s="0" t="s">
        <v>1775</v>
      </c>
      <c r="J163" s="0" t="s">
        <v>1776</v>
      </c>
      <c r="K163" s="0" t="s">
        <v>1777</v>
      </c>
      <c r="L163" s="0" t="n">
        <v>973789</v>
      </c>
      <c r="M163" s="0" t="s">
        <v>1778</v>
      </c>
      <c r="N163" s="0" t="n">
        <v>878159</v>
      </c>
      <c r="O163" s="0" t="n">
        <v>2462</v>
      </c>
      <c r="P163" s="0" t="s">
        <v>117</v>
      </c>
      <c r="Q163" s="0" t="s">
        <v>1779</v>
      </c>
      <c r="R163" s="0" t="s">
        <v>1780</v>
      </c>
      <c r="S163" s="0" t="s">
        <v>1781</v>
      </c>
      <c r="T163" s="0" t="s">
        <v>1782</v>
      </c>
      <c r="U163" s="0" t="n">
        <v>0</v>
      </c>
      <c r="V163" s="0" t="n">
        <v>0</v>
      </c>
      <c r="W163" s="0" t="n">
        <v>20221231</v>
      </c>
      <c r="X163" s="0" t="n">
        <v>0.706430614112242</v>
      </c>
      <c r="Y163" s="0" t="s">
        <v>1783</v>
      </c>
      <c r="Z163" s="0" t="s">
        <v>98</v>
      </c>
    </row>
    <row r="164" customFormat="false" ht="15" hidden="false" customHeight="false" outlineLevel="0" collapsed="false">
      <c r="A164" s="0" t="n">
        <v>164</v>
      </c>
      <c r="B164" s="0" t="n">
        <v>1335789</v>
      </c>
      <c r="C164" s="0" t="n">
        <v>14158</v>
      </c>
      <c r="D164" s="0" t="n">
        <v>1204403</v>
      </c>
      <c r="E164" s="0" t="s">
        <v>61</v>
      </c>
      <c r="F164" s="0" t="n">
        <v>71084</v>
      </c>
      <c r="G164" s="0" t="s">
        <v>1784</v>
      </c>
      <c r="H164" s="0" t="s">
        <v>1785</v>
      </c>
      <c r="I164" s="0" t="s">
        <v>1786</v>
      </c>
      <c r="J164" s="0" t="s">
        <v>1787</v>
      </c>
      <c r="K164" s="0" t="s">
        <v>1788</v>
      </c>
      <c r="L164" s="0" t="n">
        <v>960671</v>
      </c>
      <c r="M164" s="0" t="s">
        <v>1789</v>
      </c>
      <c r="N164" s="0" t="n">
        <v>824447</v>
      </c>
      <c r="O164" s="0" t="n">
        <v>2211</v>
      </c>
      <c r="P164" s="0" t="s">
        <v>129</v>
      </c>
      <c r="Q164" s="0" t="s">
        <v>1790</v>
      </c>
      <c r="R164" s="0" t="s">
        <v>1791</v>
      </c>
      <c r="S164" s="0" t="s">
        <v>293</v>
      </c>
      <c r="T164" s="0" t="s">
        <v>1792</v>
      </c>
      <c r="U164" s="0" t="n">
        <v>186</v>
      </c>
      <c r="V164" s="0" t="n">
        <v>13.9528938577954</v>
      </c>
      <c r="W164" s="0" t="n">
        <v>20221231</v>
      </c>
      <c r="X164" s="0" t="n">
        <v>1.07564545512455</v>
      </c>
      <c r="Y164" s="0" t="s">
        <v>1793</v>
      </c>
      <c r="Z164" s="0" t="s">
        <v>98</v>
      </c>
    </row>
    <row r="165" customFormat="false" ht="15" hidden="false" customHeight="false" outlineLevel="0" collapsed="false">
      <c r="A165" s="0" t="n">
        <v>165</v>
      </c>
      <c r="B165" s="0" t="n">
        <v>368796</v>
      </c>
      <c r="C165" s="0" t="n">
        <v>14168</v>
      </c>
      <c r="D165" s="0" t="n">
        <v>332153</v>
      </c>
      <c r="E165" s="0" t="s">
        <v>195</v>
      </c>
      <c r="F165" s="0" t="n">
        <v>31831</v>
      </c>
      <c r="G165" s="0" t="s">
        <v>1794</v>
      </c>
      <c r="H165" s="0" t="s">
        <v>1795</v>
      </c>
      <c r="I165" s="0" t="s">
        <v>1796</v>
      </c>
      <c r="J165" s="0" t="s">
        <v>1797</v>
      </c>
      <c r="K165" s="0" t="s">
        <v>1798</v>
      </c>
      <c r="L165" s="0" t="n">
        <v>208925</v>
      </c>
      <c r="M165" s="0" t="s">
        <v>1799</v>
      </c>
      <c r="N165" s="0" t="n">
        <v>173273</v>
      </c>
      <c r="O165" s="0" t="n">
        <v>1146</v>
      </c>
      <c r="P165" s="0" t="s">
        <v>140</v>
      </c>
      <c r="Q165" s="0" t="s">
        <v>1800</v>
      </c>
      <c r="R165" s="0" t="s">
        <v>1801</v>
      </c>
      <c r="S165" s="0" t="s">
        <v>1248</v>
      </c>
      <c r="T165" s="0" t="s">
        <v>1802</v>
      </c>
      <c r="U165" s="0" t="n">
        <v>0</v>
      </c>
      <c r="V165" s="0" t="n">
        <v>18.3394750971745</v>
      </c>
      <c r="W165" s="0" t="n">
        <v>20221231</v>
      </c>
      <c r="X165" s="0" t="n">
        <v>0.554974035143356</v>
      </c>
      <c r="Y165" s="0" t="s">
        <v>1803</v>
      </c>
      <c r="Z165" s="0" t="s">
        <v>98</v>
      </c>
    </row>
    <row r="166" customFormat="false" ht="15" hidden="false" customHeight="false" outlineLevel="0" collapsed="false">
      <c r="A166" s="0" t="n">
        <v>166</v>
      </c>
      <c r="B166" s="0" t="n">
        <v>1297773</v>
      </c>
      <c r="C166" s="0" t="n">
        <v>14240</v>
      </c>
      <c r="D166" s="0" t="n">
        <v>1070008</v>
      </c>
      <c r="E166" s="0" t="s">
        <v>1708</v>
      </c>
      <c r="F166" s="0" t="n">
        <v>81085</v>
      </c>
      <c r="G166" s="0" t="s">
        <v>1804</v>
      </c>
      <c r="H166" s="0" t="s">
        <v>1805</v>
      </c>
      <c r="I166" s="0" t="s">
        <v>1806</v>
      </c>
      <c r="J166" s="0" t="s">
        <v>1807</v>
      </c>
      <c r="K166" s="0" t="s">
        <v>1808</v>
      </c>
      <c r="L166" s="0" t="n">
        <v>930014</v>
      </c>
      <c r="M166" s="0" t="s">
        <v>1809</v>
      </c>
      <c r="N166" s="0" t="n">
        <v>824710</v>
      </c>
      <c r="O166" s="0" t="n">
        <v>2163</v>
      </c>
      <c r="P166" s="0" t="s">
        <v>152</v>
      </c>
      <c r="Q166" s="0" t="s">
        <v>1810</v>
      </c>
      <c r="R166" s="0" t="s">
        <v>1811</v>
      </c>
      <c r="S166" s="0" t="s">
        <v>1812</v>
      </c>
      <c r="T166" s="0" t="s">
        <v>1813</v>
      </c>
      <c r="U166" s="0" t="n">
        <v>0</v>
      </c>
      <c r="V166" s="0" t="n">
        <v>14.7172199109766</v>
      </c>
      <c r="W166" s="0" t="n">
        <v>20221231</v>
      </c>
      <c r="X166" s="0" t="n">
        <v>0.31097349194486</v>
      </c>
      <c r="Y166" s="0" t="s">
        <v>1814</v>
      </c>
      <c r="Z166" s="0" t="s">
        <v>158</v>
      </c>
    </row>
    <row r="167" customFormat="false" ht="15" hidden="false" customHeight="false" outlineLevel="0" collapsed="false">
      <c r="A167" s="0" t="n">
        <v>167</v>
      </c>
      <c r="B167" s="0" t="n">
        <v>1004795</v>
      </c>
      <c r="C167" s="0" t="n">
        <v>17115</v>
      </c>
      <c r="D167" s="0" t="n">
        <v>856846</v>
      </c>
      <c r="E167" s="0" t="s">
        <v>61</v>
      </c>
      <c r="F167" s="0" t="n">
        <v>78632</v>
      </c>
      <c r="G167" s="0" t="s">
        <v>1815</v>
      </c>
      <c r="H167" s="0" t="s">
        <v>1816</v>
      </c>
      <c r="I167" s="0" t="s">
        <v>1817</v>
      </c>
      <c r="J167" s="0" t="s">
        <v>1818</v>
      </c>
      <c r="K167" s="0" t="s">
        <v>1819</v>
      </c>
      <c r="L167" s="0" t="n">
        <v>833453</v>
      </c>
      <c r="M167" s="0" t="s">
        <v>1820</v>
      </c>
      <c r="N167" s="0" t="n">
        <v>786913</v>
      </c>
      <c r="O167" s="0" t="n">
        <v>265</v>
      </c>
      <c r="P167" s="0" t="s">
        <v>166</v>
      </c>
      <c r="Q167" s="0" t="s">
        <v>1821</v>
      </c>
      <c r="R167" s="0" t="s">
        <v>1822</v>
      </c>
      <c r="S167" s="0" t="s">
        <v>1823</v>
      </c>
      <c r="T167" s="0" t="s">
        <v>1824</v>
      </c>
      <c r="U167" s="0" t="n">
        <v>0</v>
      </c>
      <c r="V167" s="0" t="n">
        <v>13.9518994818667</v>
      </c>
      <c r="W167" s="0" t="n">
        <v>20221231</v>
      </c>
      <c r="X167" s="0" t="n">
        <v>0.643393077444468</v>
      </c>
      <c r="Y167" s="0" t="s">
        <v>1825</v>
      </c>
      <c r="Z167" s="0" t="s">
        <v>60</v>
      </c>
    </row>
    <row r="168" customFormat="false" ht="15" hidden="false" customHeight="false" outlineLevel="0" collapsed="false">
      <c r="A168" s="0" t="n">
        <v>168</v>
      </c>
      <c r="B168" s="0" t="n">
        <v>1552881</v>
      </c>
      <c r="C168" s="0" t="n">
        <v>17180</v>
      </c>
      <c r="D168" s="0" t="n">
        <v>1174035</v>
      </c>
      <c r="E168" s="0" t="s">
        <v>593</v>
      </c>
      <c r="F168" s="0" t="n">
        <v>127894</v>
      </c>
      <c r="G168" s="0" t="s">
        <v>1826</v>
      </c>
      <c r="H168" s="0" t="s">
        <v>1827</v>
      </c>
      <c r="I168" s="0" t="s">
        <v>1828</v>
      </c>
      <c r="J168" s="0" t="s">
        <v>1829</v>
      </c>
      <c r="K168" s="0" t="s">
        <v>1830</v>
      </c>
      <c r="L168" s="0" t="n">
        <v>1390042</v>
      </c>
      <c r="M168" s="0" t="s">
        <v>1831</v>
      </c>
      <c r="N168" s="0" t="n">
        <v>1118314</v>
      </c>
      <c r="O168" s="0" t="n">
        <v>4104</v>
      </c>
      <c r="P168" s="0" t="s">
        <v>179</v>
      </c>
      <c r="Q168" s="0" t="s">
        <v>1832</v>
      </c>
      <c r="R168" s="0" t="s">
        <v>1833</v>
      </c>
      <c r="S168" s="0" t="s">
        <v>1834</v>
      </c>
      <c r="T168" s="0" t="s">
        <v>1835</v>
      </c>
      <c r="U168" s="0" t="n">
        <v>1</v>
      </c>
      <c r="V168" s="0" t="n">
        <v>13.6744035365497</v>
      </c>
      <c r="W168" s="0" t="n">
        <v>20221231</v>
      </c>
      <c r="X168" s="0" t="n">
        <v>0.772403237007327</v>
      </c>
      <c r="Y168" s="0" t="s">
        <v>1836</v>
      </c>
      <c r="Z168" s="0" t="s">
        <v>158</v>
      </c>
    </row>
    <row r="169" customFormat="false" ht="15" hidden="false" customHeight="false" outlineLevel="0" collapsed="false">
      <c r="A169" s="0" t="n">
        <v>169</v>
      </c>
      <c r="B169" s="0" t="n">
        <v>380965</v>
      </c>
      <c r="C169" s="0" t="n">
        <v>17443</v>
      </c>
      <c r="D169" s="0" t="n">
        <v>341206</v>
      </c>
      <c r="E169" s="0" t="s">
        <v>246</v>
      </c>
      <c r="F169" s="0" t="n">
        <v>38509</v>
      </c>
      <c r="G169" s="0" t="s">
        <v>1837</v>
      </c>
      <c r="H169" s="0" t="s">
        <v>1838</v>
      </c>
      <c r="I169" s="0" t="s">
        <v>1839</v>
      </c>
      <c r="J169" s="0" t="s">
        <v>61</v>
      </c>
      <c r="K169" s="0" t="s">
        <v>1840</v>
      </c>
      <c r="L169" s="0" t="n">
        <v>206549</v>
      </c>
      <c r="M169" s="0" t="s">
        <v>1841</v>
      </c>
      <c r="N169" s="0" t="n">
        <v>204563</v>
      </c>
      <c r="O169" s="0" t="n">
        <v>286</v>
      </c>
      <c r="P169" s="0" t="s">
        <v>190</v>
      </c>
      <c r="Q169" s="0" t="s">
        <v>1842</v>
      </c>
      <c r="R169" s="0" t="s">
        <v>1843</v>
      </c>
      <c r="S169" s="0" t="s">
        <v>61</v>
      </c>
      <c r="T169" s="0" t="s">
        <v>1844</v>
      </c>
      <c r="U169" s="0" t="n">
        <v>0</v>
      </c>
      <c r="V169" s="0" t="n">
        <v>0</v>
      </c>
      <c r="W169" s="0" t="n">
        <v>20221231</v>
      </c>
      <c r="X169" s="0" t="n">
        <v>0.432265478536582</v>
      </c>
      <c r="Y169" s="0" t="s">
        <v>1845</v>
      </c>
      <c r="Z169" s="0" t="s">
        <v>158</v>
      </c>
    </row>
    <row r="170" customFormat="false" ht="15" hidden="false" customHeight="false" outlineLevel="0" collapsed="false">
      <c r="A170" s="0" t="n">
        <v>170</v>
      </c>
      <c r="B170" s="0" t="n">
        <v>1795136</v>
      </c>
      <c r="C170" s="0" t="n">
        <v>17658</v>
      </c>
      <c r="D170" s="0" t="n">
        <v>1531543</v>
      </c>
      <c r="E170" s="0" t="s">
        <v>794</v>
      </c>
      <c r="F170" s="0" t="n">
        <v>187871</v>
      </c>
      <c r="G170" s="0" t="s">
        <v>1846</v>
      </c>
      <c r="H170" s="0" t="s">
        <v>1847</v>
      </c>
      <c r="I170" s="0" t="s">
        <v>1848</v>
      </c>
      <c r="J170" s="0" t="s">
        <v>1849</v>
      </c>
      <c r="K170" s="0" t="s">
        <v>1850</v>
      </c>
      <c r="L170" s="0" t="n">
        <v>1215074</v>
      </c>
      <c r="M170" s="0" t="s">
        <v>1851</v>
      </c>
      <c r="N170" s="0" t="n">
        <v>1049471</v>
      </c>
      <c r="O170" s="0" t="n">
        <v>677</v>
      </c>
      <c r="P170" s="0" t="s">
        <v>202</v>
      </c>
      <c r="Q170" s="0" t="s">
        <v>1852</v>
      </c>
      <c r="R170" s="0" t="s">
        <v>1853</v>
      </c>
      <c r="S170" s="0" t="s">
        <v>1854</v>
      </c>
      <c r="T170" s="0" t="s">
        <v>1855</v>
      </c>
      <c r="U170" s="0" t="n">
        <v>197</v>
      </c>
      <c r="V170" s="0" t="n">
        <v>0</v>
      </c>
      <c r="W170" s="0" t="n">
        <v>20221231</v>
      </c>
      <c r="X170" s="0" t="n">
        <v>0.528128430999244</v>
      </c>
      <c r="Y170" s="0" t="s">
        <v>1856</v>
      </c>
      <c r="Z170" s="0" t="s">
        <v>60</v>
      </c>
    </row>
    <row r="171" customFormat="false" ht="15" hidden="false" customHeight="false" outlineLevel="0" collapsed="false">
      <c r="A171" s="0" t="n">
        <v>171</v>
      </c>
      <c r="B171" s="0" t="n">
        <v>1004289</v>
      </c>
      <c r="C171" s="0" t="n">
        <v>17741</v>
      </c>
      <c r="D171" s="0" t="n">
        <v>828427</v>
      </c>
      <c r="E171" s="0" t="s">
        <v>195</v>
      </c>
      <c r="F171" s="0" t="n">
        <v>130201</v>
      </c>
      <c r="G171" s="0" t="s">
        <v>1857</v>
      </c>
      <c r="H171" s="0" t="s">
        <v>1858</v>
      </c>
      <c r="I171" s="0" t="s">
        <v>1859</v>
      </c>
      <c r="J171" s="0" t="s">
        <v>1860</v>
      </c>
      <c r="K171" s="0" t="s">
        <v>1861</v>
      </c>
      <c r="L171" s="0" t="n">
        <v>848425</v>
      </c>
      <c r="M171" s="0" t="s">
        <v>1862</v>
      </c>
      <c r="N171" s="0" t="n">
        <v>795357</v>
      </c>
      <c r="O171" s="0" t="n">
        <v>1820</v>
      </c>
      <c r="P171" s="0" t="s">
        <v>215</v>
      </c>
      <c r="Q171" s="0" t="s">
        <v>1863</v>
      </c>
      <c r="R171" s="0" t="s">
        <v>1864</v>
      </c>
      <c r="S171" s="0" t="s">
        <v>1865</v>
      </c>
      <c r="T171" s="0" t="s">
        <v>1866</v>
      </c>
      <c r="U171" s="0" t="n">
        <v>0</v>
      </c>
      <c r="V171" s="0" t="n">
        <v>0</v>
      </c>
      <c r="W171" s="0" t="n">
        <v>20221231</v>
      </c>
      <c r="X171" s="0" t="n">
        <v>0.824176914710342</v>
      </c>
      <c r="Y171" s="0" t="s">
        <v>1867</v>
      </c>
      <c r="Z171" s="0" t="s">
        <v>60</v>
      </c>
    </row>
    <row r="172" customFormat="false" ht="15" hidden="false" customHeight="false" outlineLevel="0" collapsed="false">
      <c r="A172" s="0" t="n">
        <v>172</v>
      </c>
      <c r="B172" s="0" t="n">
        <v>1276362</v>
      </c>
      <c r="C172" s="0" t="n">
        <v>17743</v>
      </c>
      <c r="D172" s="0" t="n">
        <v>1007618</v>
      </c>
      <c r="E172" s="0" t="s">
        <v>1500</v>
      </c>
      <c r="F172" s="0" t="n">
        <v>120023</v>
      </c>
      <c r="G172" s="0" t="s">
        <v>1868</v>
      </c>
      <c r="H172" s="0" t="s">
        <v>1869</v>
      </c>
      <c r="I172" s="0" t="s">
        <v>1870</v>
      </c>
      <c r="J172" s="0" t="s">
        <v>1871</v>
      </c>
      <c r="K172" s="0" t="s">
        <v>1872</v>
      </c>
      <c r="L172" s="0" t="n">
        <v>984104</v>
      </c>
      <c r="M172" s="0" t="s">
        <v>1873</v>
      </c>
      <c r="N172" s="0" t="n">
        <v>953202</v>
      </c>
      <c r="O172" s="0" t="n">
        <v>2426</v>
      </c>
      <c r="P172" s="0" t="s">
        <v>227</v>
      </c>
      <c r="Q172" s="0" t="s">
        <v>1874</v>
      </c>
      <c r="R172" s="0" t="s">
        <v>1875</v>
      </c>
      <c r="S172" s="0" t="s">
        <v>1876</v>
      </c>
      <c r="T172" s="0" t="s">
        <v>1877</v>
      </c>
      <c r="U172" s="0" t="n">
        <v>0</v>
      </c>
      <c r="V172" s="0" t="n">
        <v>0</v>
      </c>
      <c r="W172" s="0" t="n">
        <v>20221231</v>
      </c>
      <c r="X172" s="0" t="n">
        <v>0.417446254000801</v>
      </c>
      <c r="Y172" s="0" t="s">
        <v>1878</v>
      </c>
      <c r="Z172" s="0" t="s">
        <v>60</v>
      </c>
    </row>
    <row r="173" customFormat="false" ht="15" hidden="false" customHeight="false" outlineLevel="0" collapsed="false">
      <c r="A173" s="0" t="n">
        <v>173</v>
      </c>
      <c r="B173" s="0" t="n">
        <v>1607984</v>
      </c>
      <c r="C173" s="0" t="n">
        <v>17748</v>
      </c>
      <c r="D173" s="0" t="n">
        <v>1349761</v>
      </c>
      <c r="E173" s="0" t="s">
        <v>172</v>
      </c>
      <c r="F173" s="0" t="n">
        <v>106514</v>
      </c>
      <c r="G173" s="0" t="s">
        <v>1879</v>
      </c>
      <c r="H173" s="0" t="s">
        <v>1880</v>
      </c>
      <c r="I173" s="0" t="s">
        <v>1881</v>
      </c>
      <c r="J173" s="0" t="s">
        <v>1882</v>
      </c>
      <c r="K173" s="0" t="s">
        <v>1367</v>
      </c>
      <c r="L173" s="0" t="n">
        <v>1241205</v>
      </c>
      <c r="M173" s="0" t="s">
        <v>1883</v>
      </c>
      <c r="N173" s="0" t="n">
        <v>1039935</v>
      </c>
      <c r="O173" s="0" t="n">
        <v>6143</v>
      </c>
      <c r="P173" s="0" t="s">
        <v>240</v>
      </c>
      <c r="Q173" s="0" t="s">
        <v>1884</v>
      </c>
      <c r="R173" s="0" t="s">
        <v>1885</v>
      </c>
      <c r="S173" s="0" t="s">
        <v>669</v>
      </c>
      <c r="T173" s="0" t="s">
        <v>1886</v>
      </c>
      <c r="U173" s="0" t="n">
        <v>0</v>
      </c>
      <c r="V173" s="0" t="n">
        <v>0</v>
      </c>
      <c r="W173" s="0" t="n">
        <v>20221231</v>
      </c>
      <c r="X173" s="0" t="n">
        <v>0.399009983706452</v>
      </c>
      <c r="Y173" s="0" t="s">
        <v>1887</v>
      </c>
      <c r="Z173" s="0" t="s">
        <v>60</v>
      </c>
    </row>
    <row r="174" customFormat="false" ht="15" hidden="false" customHeight="false" outlineLevel="0" collapsed="false">
      <c r="A174" s="0" t="n">
        <v>174</v>
      </c>
      <c r="B174" s="0" t="n">
        <v>1276951</v>
      </c>
      <c r="C174" s="0" t="n">
        <v>17749</v>
      </c>
      <c r="D174" s="0" t="n">
        <v>1055695</v>
      </c>
      <c r="E174" s="0" t="s">
        <v>246</v>
      </c>
      <c r="F174" s="0" t="n">
        <v>150442</v>
      </c>
      <c r="G174" s="0" t="s">
        <v>1888</v>
      </c>
      <c r="H174" s="0" t="s">
        <v>1889</v>
      </c>
      <c r="I174" s="0" t="s">
        <v>1890</v>
      </c>
      <c r="J174" s="0" t="s">
        <v>1891</v>
      </c>
      <c r="K174" s="0" t="s">
        <v>1892</v>
      </c>
      <c r="L174" s="0" t="n">
        <v>724813</v>
      </c>
      <c r="M174" s="0" t="s">
        <v>1893</v>
      </c>
      <c r="N174" s="0" t="n">
        <v>655371</v>
      </c>
      <c r="O174" s="0" t="n">
        <v>204</v>
      </c>
      <c r="P174" s="0" t="s">
        <v>253</v>
      </c>
      <c r="Q174" s="0" t="s">
        <v>1894</v>
      </c>
      <c r="R174" s="0" t="s">
        <v>1895</v>
      </c>
      <c r="S174" s="0" t="s">
        <v>441</v>
      </c>
      <c r="T174" s="0" t="s">
        <v>1896</v>
      </c>
      <c r="U174" s="0" t="n">
        <v>0</v>
      </c>
      <c r="V174" s="0" t="n">
        <v>0</v>
      </c>
      <c r="W174" s="0" t="n">
        <v>20221231</v>
      </c>
      <c r="X174" s="0" t="n">
        <v>0.633133792451287</v>
      </c>
      <c r="Y174" s="0" t="s">
        <v>1050</v>
      </c>
      <c r="Z174" s="0" t="s">
        <v>60</v>
      </c>
    </row>
    <row r="175" customFormat="false" ht="15" hidden="false" customHeight="false" outlineLevel="0" collapsed="false">
      <c r="A175" s="0" t="n">
        <v>175</v>
      </c>
      <c r="B175" s="0" t="n">
        <v>1450036</v>
      </c>
      <c r="C175" s="0" t="n">
        <v>17751</v>
      </c>
      <c r="D175" s="0" t="n">
        <v>1265376</v>
      </c>
      <c r="E175" s="0" t="s">
        <v>613</v>
      </c>
      <c r="F175" s="0" t="n">
        <v>125470</v>
      </c>
      <c r="G175" s="0" t="s">
        <v>1897</v>
      </c>
      <c r="H175" s="0" t="s">
        <v>1898</v>
      </c>
      <c r="I175" s="0" t="s">
        <v>1899</v>
      </c>
      <c r="J175" s="0" t="s">
        <v>1900</v>
      </c>
      <c r="K175" s="0" t="s">
        <v>1901</v>
      </c>
      <c r="L175" s="0" t="n">
        <v>1210320</v>
      </c>
      <c r="M175" s="0" t="s">
        <v>1902</v>
      </c>
      <c r="N175" s="0" t="n">
        <v>1045931</v>
      </c>
      <c r="O175" s="0" t="n">
        <v>6987</v>
      </c>
      <c r="P175" s="0" t="s">
        <v>266</v>
      </c>
      <c r="Q175" s="0" t="s">
        <v>1903</v>
      </c>
      <c r="R175" s="0" t="s">
        <v>1904</v>
      </c>
      <c r="S175" s="0" t="s">
        <v>1905</v>
      </c>
      <c r="T175" s="0" t="s">
        <v>1906</v>
      </c>
      <c r="U175" s="0" t="n">
        <v>0</v>
      </c>
      <c r="V175" s="0" t="n">
        <v>13.1251359750373</v>
      </c>
      <c r="W175" s="0" t="n">
        <v>20221231</v>
      </c>
      <c r="X175" s="0" t="n">
        <v>0.57883178006515</v>
      </c>
      <c r="Y175" s="0" t="s">
        <v>1867</v>
      </c>
      <c r="Z175" s="0" t="s">
        <v>60</v>
      </c>
    </row>
    <row r="176" customFormat="false" ht="15" hidden="false" customHeight="false" outlineLevel="0" collapsed="false">
      <c r="A176" s="0" t="n">
        <v>176</v>
      </c>
      <c r="B176" s="0" t="n">
        <v>1640422</v>
      </c>
      <c r="C176" s="0" t="n">
        <v>17897</v>
      </c>
      <c r="D176" s="0" t="n">
        <v>1346856</v>
      </c>
      <c r="E176" s="0" t="s">
        <v>1187</v>
      </c>
      <c r="F176" s="0" t="n">
        <v>195954</v>
      </c>
      <c r="G176" s="0" t="s">
        <v>1907</v>
      </c>
      <c r="H176" s="0" t="s">
        <v>1908</v>
      </c>
      <c r="I176" s="0" t="s">
        <v>1909</v>
      </c>
      <c r="J176" s="0" t="s">
        <v>1910</v>
      </c>
      <c r="K176" s="0" t="s">
        <v>1911</v>
      </c>
      <c r="L176" s="0" t="n">
        <v>1382026</v>
      </c>
      <c r="M176" s="0" t="s">
        <v>1912</v>
      </c>
      <c r="N176" s="0" t="n">
        <v>1298561</v>
      </c>
      <c r="O176" s="0" t="n">
        <v>3315</v>
      </c>
      <c r="P176" s="0" t="s">
        <v>278</v>
      </c>
      <c r="Q176" s="0" t="s">
        <v>1913</v>
      </c>
      <c r="R176" s="0" t="s">
        <v>1914</v>
      </c>
      <c r="S176" s="0" t="s">
        <v>1812</v>
      </c>
      <c r="T176" s="0" t="s">
        <v>1915</v>
      </c>
      <c r="U176" s="0" t="n">
        <v>0</v>
      </c>
      <c r="V176" s="0" t="n">
        <v>0</v>
      </c>
      <c r="W176" s="0" t="n">
        <v>20221231</v>
      </c>
      <c r="X176" s="0" t="n">
        <v>0.289515552655698</v>
      </c>
      <c r="Y176" s="0" t="s">
        <v>1916</v>
      </c>
      <c r="Z176" s="0" t="s">
        <v>60</v>
      </c>
    </row>
    <row r="177" customFormat="false" ht="15" hidden="false" customHeight="false" outlineLevel="0" collapsed="false">
      <c r="A177" s="0" t="n">
        <v>177</v>
      </c>
      <c r="B177" s="0" t="n">
        <v>761892</v>
      </c>
      <c r="C177" s="0" t="n">
        <v>17951</v>
      </c>
      <c r="D177" s="0" t="n">
        <v>670773</v>
      </c>
      <c r="E177" s="0" t="s">
        <v>1393</v>
      </c>
      <c r="F177" s="0" t="n">
        <v>55088</v>
      </c>
      <c r="G177" s="0" t="s">
        <v>1917</v>
      </c>
      <c r="H177" s="0" t="s">
        <v>1918</v>
      </c>
      <c r="I177" s="0" t="s">
        <v>1919</v>
      </c>
      <c r="J177" s="0" t="s">
        <v>1920</v>
      </c>
      <c r="K177" s="0" t="s">
        <v>1921</v>
      </c>
      <c r="L177" s="0" t="n">
        <v>532569</v>
      </c>
      <c r="M177" s="0" t="s">
        <v>1922</v>
      </c>
      <c r="N177" s="0" t="n">
        <v>498217</v>
      </c>
      <c r="O177" s="0" t="n">
        <v>69</v>
      </c>
      <c r="P177" s="0" t="s">
        <v>290</v>
      </c>
      <c r="Q177" s="0" t="s">
        <v>1923</v>
      </c>
      <c r="R177" s="0" t="s">
        <v>1924</v>
      </c>
      <c r="S177" s="0" t="s">
        <v>1925</v>
      </c>
      <c r="T177" s="0" t="s">
        <v>994</v>
      </c>
      <c r="U177" s="0" t="n">
        <v>0</v>
      </c>
      <c r="V177" s="0" t="n">
        <v>14.5594363369594</v>
      </c>
      <c r="W177" s="0" t="n">
        <v>20221231</v>
      </c>
      <c r="X177" s="0" t="n">
        <v>0.957897026346038</v>
      </c>
      <c r="Y177" s="0" t="s">
        <v>1926</v>
      </c>
      <c r="Z177" s="0" t="s">
        <v>158</v>
      </c>
    </row>
    <row r="178" customFormat="false" ht="15" hidden="false" customHeight="false" outlineLevel="0" collapsed="false">
      <c r="A178" s="0" t="n">
        <v>178</v>
      </c>
      <c r="B178" s="0" t="n">
        <v>1317746</v>
      </c>
      <c r="C178" s="0" t="n">
        <v>17960</v>
      </c>
      <c r="D178" s="0" t="n">
        <v>1042080</v>
      </c>
      <c r="E178" s="0" t="s">
        <v>1393</v>
      </c>
      <c r="F178" s="0" t="n">
        <v>104375</v>
      </c>
      <c r="G178" s="0" t="s">
        <v>1927</v>
      </c>
      <c r="H178" s="0" t="s">
        <v>1928</v>
      </c>
      <c r="I178" s="0" t="s">
        <v>1929</v>
      </c>
      <c r="J178" s="0" t="s">
        <v>1930</v>
      </c>
      <c r="K178" s="0" t="s">
        <v>1931</v>
      </c>
      <c r="L178" s="0" t="n">
        <v>1117900</v>
      </c>
      <c r="M178" s="0" t="s">
        <v>1932</v>
      </c>
      <c r="N178" s="0" t="n">
        <v>810216</v>
      </c>
      <c r="O178" s="0" t="n">
        <v>789</v>
      </c>
      <c r="P178" s="0" t="s">
        <v>302</v>
      </c>
      <c r="Q178" s="0" t="s">
        <v>1933</v>
      </c>
      <c r="R178" s="0" t="s">
        <v>1934</v>
      </c>
      <c r="S178" s="0" t="s">
        <v>1248</v>
      </c>
      <c r="T178" s="0" t="s">
        <v>1935</v>
      </c>
      <c r="U178" s="0" t="n">
        <v>901</v>
      </c>
      <c r="V178" s="0" t="n">
        <v>12.7428677725826</v>
      </c>
      <c r="W178" s="0" t="n">
        <v>20221231</v>
      </c>
      <c r="X178" s="0" t="n">
        <v>0.767586875249667</v>
      </c>
      <c r="Y178" s="0" t="s">
        <v>1936</v>
      </c>
      <c r="Z178" s="0" t="s">
        <v>158</v>
      </c>
    </row>
    <row r="179" customFormat="false" ht="15" hidden="false" customHeight="false" outlineLevel="0" collapsed="false">
      <c r="A179" s="0" t="n">
        <v>179</v>
      </c>
      <c r="B179" s="0" t="n">
        <v>2432022</v>
      </c>
      <c r="C179" s="0" t="n">
        <v>18012</v>
      </c>
      <c r="D179" s="0" t="n">
        <v>2055299</v>
      </c>
      <c r="E179" s="0" t="s">
        <v>390</v>
      </c>
      <c r="F179" s="0" t="n">
        <v>239523</v>
      </c>
      <c r="G179" s="0" t="s">
        <v>1937</v>
      </c>
      <c r="H179" s="0" t="s">
        <v>1938</v>
      </c>
      <c r="I179" s="0" t="s">
        <v>1939</v>
      </c>
      <c r="J179" s="0" t="s">
        <v>1940</v>
      </c>
      <c r="K179" s="0" t="s">
        <v>1941</v>
      </c>
      <c r="L179" s="0" t="n">
        <v>1963339</v>
      </c>
      <c r="M179" s="0" t="s">
        <v>1942</v>
      </c>
      <c r="N179" s="0" t="n">
        <v>1858029</v>
      </c>
      <c r="O179" s="0" t="n">
        <v>1509</v>
      </c>
      <c r="P179" s="0" t="s">
        <v>312</v>
      </c>
      <c r="Q179" s="0" t="s">
        <v>1943</v>
      </c>
      <c r="R179" s="0" t="s">
        <v>1944</v>
      </c>
      <c r="S179" s="0" t="s">
        <v>1945</v>
      </c>
      <c r="T179" s="0" t="s">
        <v>1946</v>
      </c>
      <c r="U179" s="0" t="n">
        <v>0</v>
      </c>
      <c r="V179" s="0" t="n">
        <v>12.9616102023348</v>
      </c>
      <c r="W179" s="0" t="n">
        <v>20221231</v>
      </c>
      <c r="X179" s="0" t="n">
        <v>1.14794471486809</v>
      </c>
      <c r="Y179" s="0" t="s">
        <v>1947</v>
      </c>
      <c r="Z179" s="0" t="s">
        <v>158</v>
      </c>
    </row>
    <row r="180" customFormat="false" ht="15" hidden="false" customHeight="false" outlineLevel="0" collapsed="false">
      <c r="A180" s="0" t="n">
        <v>180</v>
      </c>
      <c r="B180" s="0" t="n">
        <v>2733504</v>
      </c>
      <c r="C180" s="0" t="n">
        <v>18013</v>
      </c>
      <c r="D180" s="0" t="n">
        <v>2369151</v>
      </c>
      <c r="E180" s="0" t="s">
        <v>390</v>
      </c>
      <c r="F180" s="0" t="n">
        <v>202913</v>
      </c>
      <c r="G180" s="0" t="s">
        <v>1948</v>
      </c>
      <c r="H180" s="0" t="s">
        <v>1949</v>
      </c>
      <c r="I180" s="0" t="s">
        <v>1950</v>
      </c>
      <c r="J180" s="0" t="s">
        <v>1951</v>
      </c>
      <c r="K180" s="0" t="s">
        <v>1952</v>
      </c>
      <c r="L180" s="0" t="n">
        <v>2169489</v>
      </c>
      <c r="M180" s="0" t="s">
        <v>1953</v>
      </c>
      <c r="N180" s="0" t="n">
        <v>1987119</v>
      </c>
      <c r="O180" s="0" t="n">
        <v>1584</v>
      </c>
      <c r="P180" s="0" t="s">
        <v>324</v>
      </c>
      <c r="Q180" s="0" t="s">
        <v>1954</v>
      </c>
      <c r="R180" s="0" t="s">
        <v>1955</v>
      </c>
      <c r="S180" s="0" t="s">
        <v>1956</v>
      </c>
      <c r="T180" s="0" t="s">
        <v>1957</v>
      </c>
      <c r="U180" s="0" t="n">
        <v>62</v>
      </c>
      <c r="V180" s="0" t="n">
        <v>13.2949257471121</v>
      </c>
      <c r="W180" s="0" t="n">
        <v>20221231</v>
      </c>
      <c r="X180" s="0" t="n">
        <v>0.710358869365882</v>
      </c>
      <c r="Y180" s="0" t="s">
        <v>1958</v>
      </c>
      <c r="Z180" s="0" t="s">
        <v>158</v>
      </c>
    </row>
    <row r="181" customFormat="false" ht="15" hidden="false" customHeight="false" outlineLevel="0" collapsed="false">
      <c r="A181" s="0" t="n">
        <v>181</v>
      </c>
      <c r="B181" s="0" t="n">
        <v>382131</v>
      </c>
      <c r="C181" s="0" t="n">
        <v>18028</v>
      </c>
      <c r="D181" s="0" t="n">
        <v>329968</v>
      </c>
      <c r="E181" s="0" t="s">
        <v>85</v>
      </c>
      <c r="F181" s="0" t="n">
        <v>35637</v>
      </c>
      <c r="G181" s="0" t="s">
        <v>1959</v>
      </c>
      <c r="H181" s="0" t="s">
        <v>1960</v>
      </c>
      <c r="I181" s="0" t="s">
        <v>1961</v>
      </c>
      <c r="J181" s="0" t="s">
        <v>1962</v>
      </c>
      <c r="K181" s="0" t="s">
        <v>1963</v>
      </c>
      <c r="L181" s="0" t="n">
        <v>252236</v>
      </c>
      <c r="M181" s="0" t="s">
        <v>1964</v>
      </c>
      <c r="N181" s="0" t="n">
        <v>218425</v>
      </c>
      <c r="O181" s="0" t="n">
        <v>1059</v>
      </c>
      <c r="P181" s="0" t="s">
        <v>337</v>
      </c>
      <c r="Q181" s="0" t="s">
        <v>1965</v>
      </c>
      <c r="R181" s="0" t="s">
        <v>1966</v>
      </c>
      <c r="S181" s="0" t="s">
        <v>1134</v>
      </c>
      <c r="T181" s="0" t="s">
        <v>1967</v>
      </c>
      <c r="U181" s="0" t="n">
        <v>456</v>
      </c>
      <c r="V181" s="0" t="n">
        <v>0</v>
      </c>
      <c r="W181" s="0" t="n">
        <v>20221231</v>
      </c>
      <c r="X181" s="0" t="n">
        <v>0.675459452597504</v>
      </c>
      <c r="Y181" s="0" t="s">
        <v>1577</v>
      </c>
      <c r="Z181" s="0" t="s">
        <v>158</v>
      </c>
    </row>
    <row r="182" customFormat="false" ht="15" hidden="false" customHeight="false" outlineLevel="0" collapsed="false">
      <c r="A182" s="0" t="n">
        <v>182</v>
      </c>
      <c r="B182" s="0" t="n">
        <v>702716</v>
      </c>
      <c r="C182" s="0" t="n">
        <v>18030</v>
      </c>
      <c r="D182" s="0" t="n">
        <v>654989</v>
      </c>
      <c r="E182" s="0" t="s">
        <v>1968</v>
      </c>
      <c r="F182" s="0" t="n">
        <v>42204</v>
      </c>
      <c r="G182" s="0" t="s">
        <v>1969</v>
      </c>
      <c r="H182" s="0" t="s">
        <v>1970</v>
      </c>
      <c r="I182" s="0" t="s">
        <v>1971</v>
      </c>
      <c r="J182" s="0" t="s">
        <v>1972</v>
      </c>
      <c r="K182" s="0" t="s">
        <v>1973</v>
      </c>
      <c r="L182" s="0" t="n">
        <v>551441</v>
      </c>
      <c r="M182" s="0" t="s">
        <v>1974</v>
      </c>
      <c r="N182" s="0" t="n">
        <v>430473</v>
      </c>
      <c r="O182" s="0" t="n">
        <v>822</v>
      </c>
      <c r="P182" s="0" t="s">
        <v>349</v>
      </c>
      <c r="Q182" s="0" t="s">
        <v>1975</v>
      </c>
      <c r="R182" s="0" t="s">
        <v>1976</v>
      </c>
      <c r="S182" s="0" t="s">
        <v>1977</v>
      </c>
      <c r="T182" s="0" t="s">
        <v>1978</v>
      </c>
      <c r="U182" s="0" t="n">
        <v>0</v>
      </c>
      <c r="V182" s="0" t="n">
        <v>12.9663643069234</v>
      </c>
      <c r="W182" s="0" t="n">
        <v>20221231</v>
      </c>
      <c r="X182" s="0" t="n">
        <v>0.385791360891023</v>
      </c>
      <c r="Y182" s="0" t="s">
        <v>1979</v>
      </c>
      <c r="Z182" s="0" t="s">
        <v>158</v>
      </c>
    </row>
    <row r="183" customFormat="false" ht="15" hidden="false" customHeight="false" outlineLevel="0" collapsed="false">
      <c r="A183" s="0" t="n">
        <v>183</v>
      </c>
      <c r="B183" s="0" t="n">
        <v>648071</v>
      </c>
      <c r="C183" s="0" t="n">
        <v>18031</v>
      </c>
      <c r="D183" s="0" t="n">
        <v>582524</v>
      </c>
      <c r="E183" s="0" t="s">
        <v>1980</v>
      </c>
      <c r="F183" s="0" t="n">
        <v>35327</v>
      </c>
      <c r="G183" s="0" t="s">
        <v>1981</v>
      </c>
      <c r="H183" s="0" t="s">
        <v>1982</v>
      </c>
      <c r="I183" s="0" t="s">
        <v>1983</v>
      </c>
      <c r="J183" s="0" t="s">
        <v>1984</v>
      </c>
      <c r="K183" s="0" t="s">
        <v>1985</v>
      </c>
      <c r="L183" s="0" t="n">
        <v>463179</v>
      </c>
      <c r="M183" s="0" t="s">
        <v>1986</v>
      </c>
      <c r="N183" s="0" t="n">
        <v>421449</v>
      </c>
      <c r="O183" s="0" t="n">
        <v>630</v>
      </c>
      <c r="P183" s="0" t="s">
        <v>361</v>
      </c>
      <c r="Q183" s="0" t="s">
        <v>1987</v>
      </c>
      <c r="R183" s="0" t="s">
        <v>1988</v>
      </c>
      <c r="S183" s="0" t="s">
        <v>1604</v>
      </c>
      <c r="T183" s="0" t="s">
        <v>1989</v>
      </c>
      <c r="U183" s="0" t="n">
        <v>0</v>
      </c>
      <c r="V183" s="0" t="n">
        <v>16.3655120252505</v>
      </c>
      <c r="W183" s="0" t="n">
        <v>20221231</v>
      </c>
      <c r="X183" s="0" t="n">
        <v>0.634198912846815</v>
      </c>
      <c r="Y183" s="0" t="s">
        <v>1990</v>
      </c>
      <c r="Z183" s="0" t="s">
        <v>158</v>
      </c>
    </row>
    <row r="184" customFormat="false" ht="15" hidden="false" customHeight="false" outlineLevel="0" collapsed="false">
      <c r="A184" s="0" t="n">
        <v>184</v>
      </c>
      <c r="B184" s="0" t="n">
        <v>530980</v>
      </c>
      <c r="C184" s="0" t="n">
        <v>18038</v>
      </c>
      <c r="D184" s="0" t="n">
        <v>432649</v>
      </c>
      <c r="E184" s="0" t="s">
        <v>1281</v>
      </c>
      <c r="F184" s="0" t="n">
        <v>63947</v>
      </c>
      <c r="G184" s="0" t="s">
        <v>1991</v>
      </c>
      <c r="H184" s="0" t="s">
        <v>1992</v>
      </c>
      <c r="I184" s="0" t="s">
        <v>1993</v>
      </c>
      <c r="J184" s="0" t="s">
        <v>1994</v>
      </c>
      <c r="K184" s="0" t="s">
        <v>1995</v>
      </c>
      <c r="L184" s="0" t="n">
        <v>405123</v>
      </c>
      <c r="M184" s="0" t="s">
        <v>1996</v>
      </c>
      <c r="N184" s="0" t="n">
        <v>384424</v>
      </c>
      <c r="O184" s="0" t="n">
        <v>2186</v>
      </c>
      <c r="P184" s="0" t="s">
        <v>372</v>
      </c>
      <c r="Q184" s="0" t="s">
        <v>1997</v>
      </c>
      <c r="R184" s="0" t="s">
        <v>1998</v>
      </c>
      <c r="S184" s="0" t="s">
        <v>1999</v>
      </c>
      <c r="T184" s="0" t="s">
        <v>2000</v>
      </c>
      <c r="U184" s="0" t="n">
        <v>0</v>
      </c>
      <c r="V184" s="0" t="n">
        <v>0</v>
      </c>
      <c r="W184" s="0" t="n">
        <v>20221231</v>
      </c>
      <c r="X184" s="0" t="n">
        <v>-0.282240555796787</v>
      </c>
      <c r="Y184" s="0" t="s">
        <v>2001</v>
      </c>
      <c r="Z184" s="0" t="s">
        <v>158</v>
      </c>
    </row>
    <row r="185" customFormat="false" ht="15" hidden="false" customHeight="false" outlineLevel="0" collapsed="false">
      <c r="A185" s="0" t="n">
        <v>185</v>
      </c>
      <c r="B185" s="0" t="n">
        <v>7377141</v>
      </c>
      <c r="C185" s="0" t="n">
        <v>18408</v>
      </c>
      <c r="D185" s="0" t="n">
        <v>5909658</v>
      </c>
      <c r="E185" s="0" t="s">
        <v>2002</v>
      </c>
      <c r="F185" s="0" t="n">
        <v>349062</v>
      </c>
      <c r="G185" s="0" t="s">
        <v>2003</v>
      </c>
      <c r="H185" s="0" t="s">
        <v>2004</v>
      </c>
      <c r="I185" s="0" t="s">
        <v>2005</v>
      </c>
      <c r="J185" s="0" t="s">
        <v>2006</v>
      </c>
      <c r="K185" s="0" t="s">
        <v>2007</v>
      </c>
      <c r="L185" s="0" t="n">
        <v>4697324</v>
      </c>
      <c r="M185" s="0" t="s">
        <v>2008</v>
      </c>
      <c r="N185" s="0" t="n">
        <v>4276244</v>
      </c>
      <c r="O185" s="0" t="n">
        <v>5657</v>
      </c>
      <c r="P185" s="0" t="s">
        <v>384</v>
      </c>
      <c r="Q185" s="0" t="s">
        <v>2009</v>
      </c>
      <c r="R185" s="0" t="s">
        <v>2010</v>
      </c>
      <c r="S185" s="0" t="s">
        <v>2011</v>
      </c>
      <c r="T185" s="0" t="s">
        <v>2012</v>
      </c>
      <c r="U185" s="0" t="n">
        <v>0</v>
      </c>
      <c r="V185" s="0" t="n">
        <v>11.766441688643</v>
      </c>
      <c r="W185" s="0" t="n">
        <v>20221231</v>
      </c>
      <c r="X185" s="0" t="n">
        <v>0.719697481409942</v>
      </c>
      <c r="Y185" s="0" t="s">
        <v>2013</v>
      </c>
      <c r="Z185" s="0" t="s">
        <v>60</v>
      </c>
    </row>
    <row r="186" customFormat="false" ht="15" hidden="false" customHeight="false" outlineLevel="0" collapsed="false">
      <c r="A186" s="0" t="n">
        <v>186</v>
      </c>
      <c r="B186" s="0" t="n">
        <v>2360784</v>
      </c>
      <c r="C186" s="0" t="n">
        <v>19531</v>
      </c>
      <c r="D186" s="0" t="n">
        <v>1966979</v>
      </c>
      <c r="E186" s="0" t="s">
        <v>61</v>
      </c>
      <c r="F186" s="0" t="n">
        <v>223250</v>
      </c>
      <c r="G186" s="0" t="s">
        <v>2014</v>
      </c>
      <c r="H186" s="0" t="s">
        <v>2015</v>
      </c>
      <c r="I186" s="0" t="s">
        <v>2016</v>
      </c>
      <c r="J186" s="0" t="s">
        <v>2017</v>
      </c>
      <c r="K186" s="0" t="s">
        <v>2018</v>
      </c>
      <c r="L186" s="0" t="n">
        <v>1885573</v>
      </c>
      <c r="M186" s="0" t="s">
        <v>2019</v>
      </c>
      <c r="N186" s="0" t="n">
        <v>1530116</v>
      </c>
      <c r="O186" s="0" t="n">
        <v>8354</v>
      </c>
      <c r="P186" s="0" t="s">
        <v>397</v>
      </c>
      <c r="Q186" s="0" t="s">
        <v>2020</v>
      </c>
      <c r="R186" s="0" t="s">
        <v>2021</v>
      </c>
      <c r="S186" s="0" t="s">
        <v>2022</v>
      </c>
      <c r="T186" s="0" t="s">
        <v>2023</v>
      </c>
      <c r="U186" s="0" t="n">
        <v>0</v>
      </c>
      <c r="V186" s="0" t="n">
        <v>14.3614098222374</v>
      </c>
      <c r="W186" s="0" t="n">
        <v>20221231</v>
      </c>
      <c r="X186" s="0" t="n">
        <v>0.703967262708858</v>
      </c>
      <c r="Y186" s="0" t="s">
        <v>2024</v>
      </c>
      <c r="Z186" s="0" t="s">
        <v>60</v>
      </c>
    </row>
    <row r="187" customFormat="false" ht="15" hidden="false" customHeight="false" outlineLevel="0" collapsed="false">
      <c r="A187" s="0" t="n">
        <v>187</v>
      </c>
      <c r="B187" s="0" t="n">
        <v>774373</v>
      </c>
      <c r="C187" s="0" t="n">
        <v>19532</v>
      </c>
      <c r="D187" s="0" t="n">
        <v>673912</v>
      </c>
      <c r="E187" s="0" t="s">
        <v>61</v>
      </c>
      <c r="F187" s="0" t="n">
        <v>87739</v>
      </c>
      <c r="G187" s="0" t="s">
        <v>2025</v>
      </c>
      <c r="H187" s="0" t="s">
        <v>2026</v>
      </c>
      <c r="I187" s="0" t="s">
        <v>2027</v>
      </c>
      <c r="J187" s="0" t="s">
        <v>2028</v>
      </c>
      <c r="K187" s="0" t="s">
        <v>2029</v>
      </c>
      <c r="L187" s="0" t="n">
        <v>544282</v>
      </c>
      <c r="M187" s="0" t="s">
        <v>2030</v>
      </c>
      <c r="N187" s="0" t="n">
        <v>460817</v>
      </c>
      <c r="O187" s="0" t="n">
        <v>797</v>
      </c>
      <c r="P187" s="0" t="s">
        <v>409</v>
      </c>
      <c r="Q187" s="0" t="s">
        <v>2031</v>
      </c>
      <c r="R187" s="0" t="s">
        <v>2032</v>
      </c>
      <c r="S187" s="0" t="s">
        <v>2033</v>
      </c>
      <c r="T187" s="0" t="s">
        <v>2034</v>
      </c>
      <c r="U187" s="0" t="n">
        <v>0</v>
      </c>
      <c r="V187" s="0" t="n">
        <v>20.8845928529584</v>
      </c>
      <c r="W187" s="0" t="n">
        <v>20221231</v>
      </c>
      <c r="X187" s="0" t="n">
        <v>0.722576685653743</v>
      </c>
      <c r="Y187" s="0" t="s">
        <v>1772</v>
      </c>
      <c r="Z187" s="0" t="s">
        <v>60</v>
      </c>
    </row>
    <row r="188" customFormat="false" ht="15" hidden="false" customHeight="false" outlineLevel="0" collapsed="false">
      <c r="A188" s="0" t="n">
        <v>188</v>
      </c>
      <c r="B188" s="0" t="n">
        <v>2809418</v>
      </c>
      <c r="C188" s="0" t="n">
        <v>19690</v>
      </c>
      <c r="D188" s="0" t="n">
        <v>2251472</v>
      </c>
      <c r="E188" s="0" t="s">
        <v>61</v>
      </c>
      <c r="F188" s="0" t="n">
        <v>263427</v>
      </c>
      <c r="G188" s="0" t="s">
        <v>2035</v>
      </c>
      <c r="H188" s="0" t="s">
        <v>2036</v>
      </c>
      <c r="I188" s="0" t="s">
        <v>2037</v>
      </c>
      <c r="J188" s="0" t="s">
        <v>2038</v>
      </c>
      <c r="K188" s="0" t="s">
        <v>2039</v>
      </c>
      <c r="L188" s="0" t="n">
        <v>2504757</v>
      </c>
      <c r="M188" s="0" t="s">
        <v>2040</v>
      </c>
      <c r="N188" s="0" t="n">
        <v>2024933</v>
      </c>
      <c r="O188" s="0" t="n">
        <v>12899</v>
      </c>
      <c r="P188" s="0" t="s">
        <v>420</v>
      </c>
      <c r="Q188" s="0" t="s">
        <v>2041</v>
      </c>
      <c r="R188" s="0" t="s">
        <v>2042</v>
      </c>
      <c r="S188" s="0" t="s">
        <v>2043</v>
      </c>
      <c r="T188" s="0" t="s">
        <v>2044</v>
      </c>
      <c r="U188" s="0" t="n">
        <v>0</v>
      </c>
      <c r="V188" s="0" t="n">
        <v>11.1047375715636</v>
      </c>
      <c r="W188" s="0" t="n">
        <v>20221231</v>
      </c>
      <c r="X188" s="0" t="n">
        <v>2.20866479041863</v>
      </c>
      <c r="Y188" s="0" t="s">
        <v>2045</v>
      </c>
      <c r="Z188" s="0" t="s">
        <v>60</v>
      </c>
    </row>
    <row r="189" customFormat="false" ht="15" hidden="false" customHeight="false" outlineLevel="0" collapsed="false">
      <c r="A189" s="0" t="n">
        <v>189</v>
      </c>
      <c r="B189" s="0" t="n">
        <v>578817</v>
      </c>
      <c r="C189" s="0" t="n">
        <v>19836</v>
      </c>
      <c r="D189" s="0" t="n">
        <v>445845</v>
      </c>
      <c r="E189" s="0" t="s">
        <v>1187</v>
      </c>
      <c r="F189" s="0" t="n">
        <v>116585</v>
      </c>
      <c r="G189" s="0" t="s">
        <v>2046</v>
      </c>
      <c r="H189" s="0" t="s">
        <v>2047</v>
      </c>
      <c r="I189" s="0" t="s">
        <v>2048</v>
      </c>
      <c r="J189" s="0" t="s">
        <v>2049</v>
      </c>
      <c r="K189" s="0" t="s">
        <v>2050</v>
      </c>
      <c r="L189" s="0" t="n">
        <v>483136</v>
      </c>
      <c r="M189" s="0" t="s">
        <v>2051</v>
      </c>
      <c r="N189" s="0" t="n">
        <v>416786</v>
      </c>
      <c r="O189" s="0" t="n">
        <v>1681</v>
      </c>
      <c r="P189" s="0" t="s">
        <v>290</v>
      </c>
      <c r="Q189" s="0" t="s">
        <v>2052</v>
      </c>
      <c r="R189" s="0" t="s">
        <v>2053</v>
      </c>
      <c r="S189" s="0" t="s">
        <v>2054</v>
      </c>
      <c r="T189" s="0" t="s">
        <v>2055</v>
      </c>
      <c r="U189" s="0" t="n">
        <v>106</v>
      </c>
      <c r="V189" s="0" t="n">
        <v>28.2794278089045</v>
      </c>
      <c r="W189" s="0" t="n">
        <v>20221231</v>
      </c>
      <c r="X189" s="0" t="n">
        <v>0.83577055943012</v>
      </c>
      <c r="Y189" s="0" t="s">
        <v>2056</v>
      </c>
      <c r="Z189" s="0" t="s">
        <v>60</v>
      </c>
    </row>
    <row r="190" customFormat="false" ht="15" hidden="false" customHeight="false" outlineLevel="0" collapsed="false">
      <c r="A190" s="0" t="n">
        <v>190</v>
      </c>
      <c r="B190" s="0" t="n">
        <v>1260196</v>
      </c>
      <c r="C190" s="0" t="n">
        <v>24540</v>
      </c>
      <c r="D190" s="0" t="n">
        <v>1017970</v>
      </c>
      <c r="E190" s="0" t="s">
        <v>246</v>
      </c>
      <c r="F190" s="0" t="n">
        <v>214985</v>
      </c>
      <c r="G190" s="0" t="s">
        <v>2057</v>
      </c>
      <c r="H190" s="0" t="s">
        <v>2058</v>
      </c>
      <c r="I190" s="0" t="s">
        <v>2059</v>
      </c>
      <c r="J190" s="0" t="s">
        <v>2060</v>
      </c>
      <c r="K190" s="0" t="s">
        <v>2061</v>
      </c>
      <c r="L190" s="0" t="n">
        <v>1087189</v>
      </c>
      <c r="M190" s="0" t="s">
        <v>2062</v>
      </c>
      <c r="N190" s="0" t="n">
        <v>1047480</v>
      </c>
      <c r="O190" s="0" t="n">
        <v>372</v>
      </c>
      <c r="P190" s="0" t="s">
        <v>443</v>
      </c>
      <c r="Q190" s="0" t="s">
        <v>2063</v>
      </c>
      <c r="R190" s="0" t="s">
        <v>2064</v>
      </c>
      <c r="S190" s="0" t="s">
        <v>998</v>
      </c>
      <c r="T190" s="0" t="s">
        <v>2065</v>
      </c>
      <c r="U190" s="0" t="n">
        <v>0</v>
      </c>
      <c r="V190" s="0" t="n">
        <v>0</v>
      </c>
      <c r="W190" s="0" t="n">
        <v>20221231</v>
      </c>
      <c r="X190" s="0" t="n">
        <v>2.4490506964624</v>
      </c>
      <c r="Y190" s="0" t="s">
        <v>2066</v>
      </c>
      <c r="Z190" s="0" t="s">
        <v>158</v>
      </c>
    </row>
    <row r="191" customFormat="false" ht="15" hidden="false" customHeight="false" outlineLevel="0" collapsed="false">
      <c r="A191" s="0" t="n">
        <v>191</v>
      </c>
      <c r="B191" s="0" t="n">
        <v>487232</v>
      </c>
      <c r="C191" s="0" t="n">
        <v>27824</v>
      </c>
      <c r="D191" s="0" t="n">
        <v>385881</v>
      </c>
      <c r="E191" s="0" t="s">
        <v>195</v>
      </c>
      <c r="F191" s="0" t="n">
        <v>66059</v>
      </c>
      <c r="G191" s="0" t="s">
        <v>2067</v>
      </c>
      <c r="H191" s="0" t="s">
        <v>2068</v>
      </c>
      <c r="I191" s="0" t="s">
        <v>2069</v>
      </c>
      <c r="J191" s="0" t="s">
        <v>2070</v>
      </c>
      <c r="K191" s="0" t="s">
        <v>2071</v>
      </c>
      <c r="L191" s="0" t="n">
        <v>403625</v>
      </c>
      <c r="M191" s="0" t="s">
        <v>2072</v>
      </c>
      <c r="N191" s="0" t="n">
        <v>342567</v>
      </c>
      <c r="O191" s="0" t="n">
        <v>881</v>
      </c>
      <c r="P191" s="0" t="s">
        <v>453</v>
      </c>
      <c r="Q191" s="0" t="s">
        <v>2073</v>
      </c>
      <c r="R191" s="0" t="s">
        <v>2074</v>
      </c>
      <c r="S191" s="0" t="s">
        <v>1248</v>
      </c>
      <c r="T191" s="0" t="s">
        <v>2075</v>
      </c>
      <c r="U191" s="0" t="n">
        <v>0</v>
      </c>
      <c r="V191" s="0" t="n">
        <v>23.0970442865222</v>
      </c>
      <c r="W191" s="0" t="n">
        <v>20221231</v>
      </c>
      <c r="X191" s="0" t="n">
        <v>0.24575653263604</v>
      </c>
      <c r="Y191" s="0" t="s">
        <v>2076</v>
      </c>
      <c r="Z191" s="0" t="s">
        <v>158</v>
      </c>
    </row>
    <row r="192" customFormat="false" ht="15" hidden="false" customHeight="false" outlineLevel="0" collapsed="false">
      <c r="A192" s="0" t="n">
        <v>192</v>
      </c>
      <c r="B192" s="0" t="n">
        <v>297675</v>
      </c>
      <c r="C192" s="0" t="n">
        <v>28155</v>
      </c>
      <c r="D192" s="0" t="n">
        <v>258019</v>
      </c>
      <c r="E192" s="0" t="s">
        <v>208</v>
      </c>
      <c r="F192" s="0" t="n">
        <v>27626</v>
      </c>
      <c r="G192" s="0" t="s">
        <v>2077</v>
      </c>
      <c r="H192" s="0" t="s">
        <v>2078</v>
      </c>
      <c r="I192" s="0" t="s">
        <v>2079</v>
      </c>
      <c r="J192" s="0" t="s">
        <v>2080</v>
      </c>
      <c r="K192" s="0" t="s">
        <v>2081</v>
      </c>
      <c r="L192" s="0" t="n">
        <v>158085</v>
      </c>
      <c r="M192" s="0" t="s">
        <v>2082</v>
      </c>
      <c r="N192" s="0" t="n">
        <v>146082</v>
      </c>
      <c r="O192" s="0" t="n">
        <v>67</v>
      </c>
      <c r="P192" s="0" t="s">
        <v>464</v>
      </c>
      <c r="Q192" s="0" t="s">
        <v>2083</v>
      </c>
      <c r="R192" s="0" t="s">
        <v>2084</v>
      </c>
      <c r="S192" s="0" t="s">
        <v>1018</v>
      </c>
      <c r="T192" s="0" t="s">
        <v>2085</v>
      </c>
      <c r="U192" s="0" t="n">
        <v>0</v>
      </c>
      <c r="V192" s="0" t="n">
        <v>18.1932924630364</v>
      </c>
      <c r="W192" s="0" t="n">
        <v>20221231</v>
      </c>
      <c r="X192" s="0" t="n">
        <v>0.129023320625668</v>
      </c>
      <c r="Y192" s="0" t="s">
        <v>2086</v>
      </c>
      <c r="Z192" s="0" t="s">
        <v>158</v>
      </c>
    </row>
    <row r="193" customFormat="false" ht="15" hidden="false" customHeight="false" outlineLevel="0" collapsed="false">
      <c r="A193" s="0" t="n">
        <v>193</v>
      </c>
      <c r="B193" s="0" t="n">
        <v>101567</v>
      </c>
      <c r="C193" s="0" t="n">
        <v>28288</v>
      </c>
      <c r="D193" s="0" t="n">
        <v>81268</v>
      </c>
      <c r="E193" s="0" t="s">
        <v>271</v>
      </c>
      <c r="F193" s="0" t="n">
        <v>5901</v>
      </c>
      <c r="G193" s="0" t="s">
        <v>2087</v>
      </c>
      <c r="H193" s="0" t="s">
        <v>2088</v>
      </c>
      <c r="I193" s="0" t="s">
        <v>2089</v>
      </c>
      <c r="J193" s="0" t="s">
        <v>2090</v>
      </c>
      <c r="K193" s="0" t="s">
        <v>2091</v>
      </c>
      <c r="L193" s="0" t="n">
        <v>78728</v>
      </c>
      <c r="M193" s="0" t="s">
        <v>2092</v>
      </c>
      <c r="N193" s="0" t="n">
        <v>74650</v>
      </c>
      <c r="O193" s="0" t="n">
        <v>364</v>
      </c>
      <c r="P193" s="0" t="s">
        <v>475</v>
      </c>
      <c r="Q193" s="0" t="s">
        <v>2093</v>
      </c>
      <c r="R193" s="0" t="s">
        <v>2094</v>
      </c>
      <c r="S193" s="0" t="s">
        <v>2033</v>
      </c>
      <c r="T193" s="0" t="s">
        <v>2095</v>
      </c>
      <c r="U193" s="0" t="n">
        <v>0</v>
      </c>
      <c r="V193" s="0" t="n">
        <v>13.6622857582046</v>
      </c>
      <c r="W193" s="0" t="n">
        <v>20221231</v>
      </c>
      <c r="X193" s="0" t="n">
        <v>0.0982367028867114</v>
      </c>
      <c r="Y193" s="0" t="s">
        <v>2096</v>
      </c>
      <c r="Z193" s="0" t="s">
        <v>60</v>
      </c>
    </row>
    <row r="194" customFormat="false" ht="15" hidden="false" customHeight="false" outlineLevel="0" collapsed="false">
      <c r="A194" s="0" t="n">
        <v>194</v>
      </c>
      <c r="B194" s="0" t="n">
        <v>86156</v>
      </c>
      <c r="C194" s="0" t="n">
        <v>28369</v>
      </c>
      <c r="D194" s="0" t="n">
        <v>76209</v>
      </c>
      <c r="E194" s="0" t="s">
        <v>794</v>
      </c>
      <c r="F194" s="0" t="n">
        <v>9537</v>
      </c>
      <c r="G194" s="0" t="s">
        <v>2097</v>
      </c>
      <c r="H194" s="0" t="s">
        <v>2098</v>
      </c>
      <c r="I194" s="0" t="s">
        <v>2099</v>
      </c>
      <c r="J194" s="0" t="s">
        <v>2100</v>
      </c>
      <c r="K194" s="0" t="s">
        <v>2101</v>
      </c>
      <c r="L194" s="0" t="n">
        <v>73364</v>
      </c>
      <c r="M194" s="0" t="s">
        <v>2102</v>
      </c>
      <c r="N194" s="0" t="n">
        <v>62199</v>
      </c>
      <c r="O194" s="0" t="n">
        <v>243</v>
      </c>
      <c r="P194" s="0" t="s">
        <v>486</v>
      </c>
      <c r="Q194" s="0" t="s">
        <v>2103</v>
      </c>
      <c r="R194" s="0" t="s">
        <v>2104</v>
      </c>
      <c r="S194" s="0" t="s">
        <v>1865</v>
      </c>
      <c r="T194" s="0" t="s">
        <v>2105</v>
      </c>
      <c r="U194" s="0" t="n">
        <v>0</v>
      </c>
      <c r="V194" s="0" t="n">
        <v>0</v>
      </c>
      <c r="W194" s="0" t="n">
        <v>20221231</v>
      </c>
      <c r="X194" s="0" t="n">
        <v>0.120898935398517</v>
      </c>
      <c r="Y194" s="0" t="s">
        <v>2106</v>
      </c>
      <c r="Z194" s="0" t="s">
        <v>60</v>
      </c>
    </row>
    <row r="195" customFormat="false" ht="15" hidden="false" customHeight="false" outlineLevel="0" collapsed="false">
      <c r="A195" s="0" t="n">
        <v>195</v>
      </c>
      <c r="B195" s="0" t="n">
        <v>309393</v>
      </c>
      <c r="C195" s="0" t="n">
        <v>28837</v>
      </c>
      <c r="D195" s="0" t="n">
        <v>282476</v>
      </c>
      <c r="E195" s="0" t="s">
        <v>271</v>
      </c>
      <c r="F195" s="0" t="n">
        <v>23557</v>
      </c>
      <c r="G195" s="0" t="s">
        <v>2107</v>
      </c>
      <c r="H195" s="0" t="s">
        <v>2108</v>
      </c>
      <c r="I195" s="0" t="s">
        <v>2109</v>
      </c>
      <c r="J195" s="0" t="s">
        <v>2110</v>
      </c>
      <c r="K195" s="0" t="s">
        <v>2111</v>
      </c>
      <c r="L195" s="0" t="n">
        <v>188508</v>
      </c>
      <c r="M195" s="0" t="s">
        <v>2112</v>
      </c>
      <c r="N195" s="0" t="n">
        <v>179883</v>
      </c>
      <c r="O195" s="0" t="n">
        <v>19</v>
      </c>
      <c r="P195" s="0" t="s">
        <v>497</v>
      </c>
      <c r="Q195" s="0" t="s">
        <v>2113</v>
      </c>
      <c r="R195" s="0" t="s">
        <v>2114</v>
      </c>
      <c r="S195" s="0" t="s">
        <v>2115</v>
      </c>
      <c r="T195" s="0" t="s">
        <v>2116</v>
      </c>
      <c r="U195" s="0" t="n">
        <v>0</v>
      </c>
      <c r="V195" s="0" t="n">
        <v>15.4061497879384</v>
      </c>
      <c r="W195" s="0" t="n">
        <v>20221231</v>
      </c>
      <c r="X195" s="0" t="n">
        <v>0.587269738016854</v>
      </c>
      <c r="Y195" s="0" t="s">
        <v>2117</v>
      </c>
      <c r="Z195" s="0" t="s">
        <v>98</v>
      </c>
    </row>
    <row r="196" customFormat="false" ht="15" hidden="false" customHeight="false" outlineLevel="0" collapsed="false">
      <c r="A196" s="0" t="n">
        <v>196</v>
      </c>
      <c r="B196" s="0" t="n">
        <v>181529</v>
      </c>
      <c r="C196" s="0" t="n">
        <v>29636</v>
      </c>
      <c r="D196" s="0" t="n">
        <v>149099</v>
      </c>
      <c r="E196" s="0" t="s">
        <v>246</v>
      </c>
      <c r="F196" s="0" t="n">
        <v>24331</v>
      </c>
      <c r="G196" s="0" t="s">
        <v>2118</v>
      </c>
      <c r="H196" s="0" t="s">
        <v>2119</v>
      </c>
      <c r="I196" s="0" t="s">
        <v>2120</v>
      </c>
      <c r="J196" s="0" t="s">
        <v>1921</v>
      </c>
      <c r="K196" s="0" t="s">
        <v>2121</v>
      </c>
      <c r="L196" s="0" t="n">
        <v>125359</v>
      </c>
      <c r="M196" s="0" t="s">
        <v>2122</v>
      </c>
      <c r="N196" s="0" t="n">
        <v>121892</v>
      </c>
      <c r="O196" s="0" t="n">
        <v>2260</v>
      </c>
      <c r="P196" s="0" t="s">
        <v>509</v>
      </c>
      <c r="Q196" s="0" t="s">
        <v>2123</v>
      </c>
      <c r="R196" s="0" t="s">
        <v>2124</v>
      </c>
      <c r="S196" s="0" t="s">
        <v>2125</v>
      </c>
      <c r="T196" s="0" t="s">
        <v>2126</v>
      </c>
      <c r="U196" s="0" t="n">
        <v>0</v>
      </c>
      <c r="V196" s="0" t="n">
        <v>27.508772658375</v>
      </c>
      <c r="W196" s="0" t="n">
        <v>20221231</v>
      </c>
      <c r="X196" s="0" t="n">
        <v>0.361070715672017</v>
      </c>
      <c r="Y196" s="0" t="s">
        <v>2127</v>
      </c>
      <c r="Z196" s="0" t="s">
        <v>60</v>
      </c>
    </row>
    <row r="197" customFormat="false" ht="15" hidden="false" customHeight="false" outlineLevel="0" collapsed="false">
      <c r="A197" s="0" t="n">
        <v>197</v>
      </c>
      <c r="B197" s="0" t="n">
        <v>185569</v>
      </c>
      <c r="C197" s="0" t="n">
        <v>29743</v>
      </c>
      <c r="D197" s="0" t="n">
        <v>165554</v>
      </c>
      <c r="E197" s="0" t="s">
        <v>61</v>
      </c>
      <c r="F197" s="0" t="n">
        <v>15292</v>
      </c>
      <c r="G197" s="0" t="s">
        <v>2128</v>
      </c>
      <c r="H197" s="0" t="s">
        <v>2129</v>
      </c>
      <c r="I197" s="0" t="s">
        <v>2130</v>
      </c>
      <c r="J197" s="0" t="s">
        <v>2131</v>
      </c>
      <c r="K197" s="0" t="s">
        <v>2132</v>
      </c>
      <c r="L197" s="0" t="n">
        <v>123871</v>
      </c>
      <c r="M197" s="0" t="s">
        <v>2133</v>
      </c>
      <c r="N197" s="0" t="n">
        <v>81025</v>
      </c>
      <c r="O197" s="0" t="n">
        <v>643</v>
      </c>
      <c r="P197" s="0" t="s">
        <v>520</v>
      </c>
      <c r="Q197" s="0" t="s">
        <v>2134</v>
      </c>
      <c r="R197" s="0" t="s">
        <v>2135</v>
      </c>
      <c r="S197" s="0" t="s">
        <v>500</v>
      </c>
      <c r="T197" s="0" t="s">
        <v>2136</v>
      </c>
      <c r="U197" s="0" t="n">
        <v>0</v>
      </c>
      <c r="V197" s="0" t="n">
        <v>17.815004611099</v>
      </c>
      <c r="W197" s="0" t="n">
        <v>20221231</v>
      </c>
      <c r="X197" s="0" t="n">
        <v>0.780066196271609</v>
      </c>
      <c r="Y197" s="0" t="s">
        <v>2137</v>
      </c>
      <c r="Z197" s="0" t="s">
        <v>60</v>
      </c>
    </row>
    <row r="198" customFormat="false" ht="15" hidden="false" customHeight="false" outlineLevel="0" collapsed="false">
      <c r="A198" s="0" t="n">
        <v>198</v>
      </c>
      <c r="B198" s="0" t="n">
        <v>537395</v>
      </c>
      <c r="C198" s="0" t="n">
        <v>29744</v>
      </c>
      <c r="D198" s="0" t="n">
        <v>393417</v>
      </c>
      <c r="E198" s="0" t="s">
        <v>61</v>
      </c>
      <c r="F198" s="0" t="n">
        <v>39950</v>
      </c>
      <c r="G198" s="0" t="s">
        <v>2138</v>
      </c>
      <c r="H198" s="0" t="s">
        <v>2139</v>
      </c>
      <c r="I198" s="0" t="s">
        <v>2140</v>
      </c>
      <c r="J198" s="0" t="s">
        <v>2141</v>
      </c>
      <c r="K198" s="0" t="s">
        <v>2142</v>
      </c>
      <c r="L198" s="0" t="n">
        <v>402003</v>
      </c>
      <c r="M198" s="0" t="s">
        <v>2143</v>
      </c>
      <c r="N198" s="0" t="n">
        <v>369776</v>
      </c>
      <c r="O198" s="0" t="n">
        <v>89</v>
      </c>
      <c r="P198" s="0" t="s">
        <v>531</v>
      </c>
      <c r="Q198" s="0" t="s">
        <v>2144</v>
      </c>
      <c r="R198" s="0" t="s">
        <v>2145</v>
      </c>
      <c r="S198" s="0" t="s">
        <v>1079</v>
      </c>
      <c r="T198" s="0" t="s">
        <v>489</v>
      </c>
      <c r="U198" s="0" t="n">
        <v>0</v>
      </c>
      <c r="V198" s="0" t="n">
        <v>15.5322247414503</v>
      </c>
      <c r="W198" s="0" t="n">
        <v>20221231</v>
      </c>
      <c r="X198" s="0" t="n">
        <v>-0.0975161331550553</v>
      </c>
      <c r="Y198" s="0" t="s">
        <v>2146</v>
      </c>
      <c r="Z198" s="0" t="s">
        <v>158</v>
      </c>
    </row>
    <row r="199" customFormat="false" ht="15" hidden="false" customHeight="false" outlineLevel="0" collapsed="false">
      <c r="A199" s="0" t="n">
        <v>199</v>
      </c>
      <c r="B199" s="0" t="n">
        <v>551789</v>
      </c>
      <c r="C199" s="0" t="n">
        <v>30350</v>
      </c>
      <c r="D199" s="0" t="n">
        <v>463644</v>
      </c>
      <c r="E199" s="0" t="s">
        <v>61</v>
      </c>
      <c r="F199" s="0" t="n">
        <v>51142</v>
      </c>
      <c r="G199" s="0" t="s">
        <v>2147</v>
      </c>
      <c r="H199" s="0" t="s">
        <v>2148</v>
      </c>
      <c r="I199" s="0" t="s">
        <v>2149</v>
      </c>
      <c r="J199" s="0" t="s">
        <v>2150</v>
      </c>
      <c r="K199" s="0" t="s">
        <v>2151</v>
      </c>
      <c r="L199" s="0" t="n">
        <v>392714</v>
      </c>
      <c r="M199" s="0" t="s">
        <v>2152</v>
      </c>
      <c r="N199" s="0" t="n">
        <v>373732</v>
      </c>
      <c r="O199" s="0" t="n">
        <v>1476</v>
      </c>
      <c r="P199" s="0" t="s">
        <v>543</v>
      </c>
      <c r="Q199" s="0" t="s">
        <v>2153</v>
      </c>
      <c r="R199" s="0" t="s">
        <v>2154</v>
      </c>
      <c r="S199" s="0" t="s">
        <v>2155</v>
      </c>
      <c r="T199" s="0" t="s">
        <v>2156</v>
      </c>
      <c r="U199" s="0" t="n">
        <v>0</v>
      </c>
      <c r="V199" s="0" t="n">
        <v>20.9587789111335</v>
      </c>
      <c r="W199" s="0" t="n">
        <v>20221231</v>
      </c>
      <c r="X199" s="0" t="n">
        <v>0.726111639299295</v>
      </c>
      <c r="Y199" s="0" t="s">
        <v>2157</v>
      </c>
      <c r="Z199" s="0" t="s">
        <v>98</v>
      </c>
    </row>
    <row r="200" customFormat="false" ht="15" hidden="false" customHeight="false" outlineLevel="0" collapsed="false">
      <c r="A200" s="0" t="n">
        <v>200</v>
      </c>
      <c r="B200" s="0" t="n">
        <v>101068</v>
      </c>
      <c r="C200" s="0" t="n">
        <v>30878</v>
      </c>
      <c r="D200" s="0" t="n">
        <v>73524</v>
      </c>
      <c r="E200" s="0" t="s">
        <v>47</v>
      </c>
      <c r="F200" s="0" t="n">
        <v>12458</v>
      </c>
      <c r="G200" s="0" t="s">
        <v>2158</v>
      </c>
      <c r="H200" s="0" t="s">
        <v>2159</v>
      </c>
      <c r="I200" s="0" t="s">
        <v>2160</v>
      </c>
      <c r="J200" s="0" t="s">
        <v>61</v>
      </c>
      <c r="K200" s="0" t="s">
        <v>1433</v>
      </c>
      <c r="L200" s="0" t="n">
        <v>81665</v>
      </c>
      <c r="M200" s="0" t="s">
        <v>2161</v>
      </c>
      <c r="N200" s="0" t="n">
        <v>81554</v>
      </c>
      <c r="O200" s="0" t="n">
        <v>710</v>
      </c>
      <c r="P200" s="0" t="s">
        <v>553</v>
      </c>
      <c r="Q200" s="0" t="s">
        <v>2162</v>
      </c>
      <c r="R200" s="0" t="s">
        <v>2163</v>
      </c>
      <c r="S200" s="0" t="s">
        <v>61</v>
      </c>
      <c r="T200" s="0" t="s">
        <v>61</v>
      </c>
      <c r="U200" s="0" t="n">
        <v>0</v>
      </c>
      <c r="V200" s="0" t="n">
        <v>0</v>
      </c>
      <c r="W200" s="0" t="n">
        <v>20221231</v>
      </c>
      <c r="X200" s="0" t="n">
        <v>0.311874884536767</v>
      </c>
      <c r="Y200" s="0" t="s">
        <v>1009</v>
      </c>
      <c r="Z200" s="0" t="s">
        <v>60</v>
      </c>
    </row>
    <row r="201" customFormat="false" ht="15" hidden="false" customHeight="false" outlineLevel="0" collapsed="false">
      <c r="A201" s="0" t="n">
        <v>201</v>
      </c>
      <c r="B201" s="0" t="n">
        <v>742176</v>
      </c>
      <c r="C201" s="0" t="n">
        <v>33418</v>
      </c>
      <c r="D201" s="0" t="n">
        <v>574586</v>
      </c>
      <c r="E201" s="0" t="s">
        <v>2164</v>
      </c>
      <c r="F201" s="0" t="n">
        <v>65423</v>
      </c>
      <c r="G201" s="0" t="s">
        <v>2165</v>
      </c>
      <c r="H201" s="0" t="s">
        <v>2166</v>
      </c>
      <c r="I201" s="0" t="s">
        <v>2167</v>
      </c>
      <c r="J201" s="0" t="s">
        <v>2168</v>
      </c>
      <c r="K201" s="0" t="s">
        <v>2169</v>
      </c>
      <c r="L201" s="0" t="n">
        <v>362057</v>
      </c>
      <c r="M201" s="0" t="s">
        <v>2170</v>
      </c>
      <c r="N201" s="0" t="n">
        <v>308351</v>
      </c>
      <c r="O201" s="0" t="n">
        <v>1487</v>
      </c>
      <c r="P201" s="0" t="s">
        <v>564</v>
      </c>
      <c r="Q201" s="0" t="s">
        <v>2171</v>
      </c>
      <c r="R201" s="0" t="s">
        <v>2172</v>
      </c>
      <c r="S201" s="0" t="s">
        <v>2173</v>
      </c>
      <c r="T201" s="0" t="s">
        <v>2174</v>
      </c>
      <c r="U201" s="0" t="n">
        <v>0</v>
      </c>
      <c r="V201" s="0" t="n">
        <v>18.7624877592514</v>
      </c>
      <c r="W201" s="0" t="n">
        <v>20221231</v>
      </c>
      <c r="X201" s="0" t="n">
        <v>1.03439074331582</v>
      </c>
      <c r="Y201" s="0" t="s">
        <v>2175</v>
      </c>
      <c r="Z201" s="0" t="s">
        <v>98</v>
      </c>
    </row>
    <row r="202" customFormat="false" ht="15" hidden="false" customHeight="false" outlineLevel="0" collapsed="false">
      <c r="A202" s="0" t="n">
        <v>202</v>
      </c>
      <c r="B202" s="0" t="n">
        <v>65008</v>
      </c>
      <c r="C202" s="0" t="n">
        <v>35206</v>
      </c>
      <c r="D202" s="0" t="n">
        <v>500</v>
      </c>
      <c r="E202" s="0" t="s">
        <v>61</v>
      </c>
      <c r="F202" s="0" t="n">
        <v>60620</v>
      </c>
      <c r="G202" s="0" t="s">
        <v>2176</v>
      </c>
      <c r="H202" s="0" t="s">
        <v>2177</v>
      </c>
      <c r="I202" s="0" t="s">
        <v>61</v>
      </c>
      <c r="J202" s="0" t="s">
        <v>61</v>
      </c>
      <c r="K202" s="0" t="s">
        <v>61</v>
      </c>
      <c r="L202" s="0" t="n">
        <v>0</v>
      </c>
      <c r="M202" s="0" t="s">
        <v>61</v>
      </c>
      <c r="N202" s="0" t="n">
        <v>0</v>
      </c>
      <c r="O202" s="0" t="n">
        <v>0</v>
      </c>
      <c r="P202" s="0" t="s">
        <v>1112</v>
      </c>
      <c r="Q202" s="0" t="s">
        <v>61</v>
      </c>
      <c r="R202" s="0" t="s">
        <v>2178</v>
      </c>
      <c r="S202" s="0" t="s">
        <v>61</v>
      </c>
      <c r="T202" s="0" t="s">
        <v>61</v>
      </c>
      <c r="U202" s="0" t="n">
        <v>0</v>
      </c>
      <c r="V202" s="0" t="n">
        <v>0</v>
      </c>
      <c r="W202" s="0" t="n">
        <v>20221231</v>
      </c>
      <c r="X202" s="0" t="n">
        <v>6.0520993219523</v>
      </c>
      <c r="Y202" s="0" t="s">
        <v>2179</v>
      </c>
      <c r="Z202" s="0" t="s">
        <v>158</v>
      </c>
    </row>
    <row r="203" customFormat="false" ht="15" hidden="false" customHeight="false" outlineLevel="0" collapsed="false">
      <c r="A203" s="0" t="n">
        <v>203</v>
      </c>
      <c r="B203" s="0" t="n">
        <v>5662457</v>
      </c>
      <c r="C203" s="0" t="n">
        <v>4255</v>
      </c>
      <c r="D203" s="0" t="n">
        <v>4867005</v>
      </c>
      <c r="E203" s="0" t="s">
        <v>47</v>
      </c>
      <c r="F203" s="0" t="n">
        <v>460754</v>
      </c>
      <c r="G203" s="0" t="s">
        <v>2180</v>
      </c>
      <c r="H203" s="0" t="s">
        <v>2181</v>
      </c>
      <c r="I203" s="0" t="s">
        <v>2182</v>
      </c>
      <c r="J203" s="0" t="s">
        <v>2183</v>
      </c>
      <c r="K203" s="0" t="s">
        <v>2184</v>
      </c>
      <c r="L203" s="0" t="n">
        <v>4015550</v>
      </c>
      <c r="M203" s="0" t="s">
        <v>2185</v>
      </c>
      <c r="N203" s="0" t="n">
        <v>3596765</v>
      </c>
      <c r="O203" s="0" t="n">
        <v>2991</v>
      </c>
      <c r="P203" s="0" t="s">
        <v>575</v>
      </c>
      <c r="Q203" s="0" t="s">
        <v>2186</v>
      </c>
      <c r="R203" s="0" t="s">
        <v>2187</v>
      </c>
      <c r="S203" s="0" t="s">
        <v>2188</v>
      </c>
      <c r="T203" s="0" t="s">
        <v>2189</v>
      </c>
      <c r="U203" s="0" t="n">
        <v>0</v>
      </c>
      <c r="V203" s="0" t="n">
        <v>13.0289267440629</v>
      </c>
      <c r="W203" s="0" t="n">
        <v>20221231</v>
      </c>
      <c r="X203" s="0" t="n">
        <v>1.15861850141068</v>
      </c>
      <c r="Y203" s="0" t="s">
        <v>2190</v>
      </c>
      <c r="Z203" s="0" t="s">
        <v>60</v>
      </c>
    </row>
    <row r="204" customFormat="false" ht="15" hidden="false" customHeight="false" outlineLevel="0" collapsed="false">
      <c r="A204" s="0" t="n">
        <v>204</v>
      </c>
      <c r="B204" s="0" t="n">
        <v>2704047</v>
      </c>
      <c r="C204" s="0" t="n">
        <v>4256</v>
      </c>
      <c r="D204" s="0" t="n">
        <v>2379757</v>
      </c>
      <c r="E204" s="0" t="s">
        <v>259</v>
      </c>
      <c r="F204" s="0" t="n">
        <v>200180</v>
      </c>
      <c r="G204" s="0" t="s">
        <v>2191</v>
      </c>
      <c r="H204" s="0" t="s">
        <v>2192</v>
      </c>
      <c r="I204" s="0" t="s">
        <v>2193</v>
      </c>
      <c r="J204" s="0" t="s">
        <v>2194</v>
      </c>
      <c r="K204" s="0" t="s">
        <v>2195</v>
      </c>
      <c r="L204" s="0" t="n">
        <v>1914949</v>
      </c>
      <c r="M204" s="0" t="s">
        <v>2196</v>
      </c>
      <c r="N204" s="0" t="n">
        <v>1533908</v>
      </c>
      <c r="O204" s="0" t="n">
        <v>1755</v>
      </c>
      <c r="P204" s="0" t="s">
        <v>587</v>
      </c>
      <c r="Q204" s="0" t="s">
        <v>2197</v>
      </c>
      <c r="R204" s="0" t="s">
        <v>2198</v>
      </c>
      <c r="S204" s="0" t="s">
        <v>2199</v>
      </c>
      <c r="T204" s="0" t="s">
        <v>1025</v>
      </c>
      <c r="U204" s="0" t="n">
        <v>242</v>
      </c>
      <c r="V204" s="0" t="n">
        <v>13.5201318899043</v>
      </c>
      <c r="W204" s="0" t="n">
        <v>20221231</v>
      </c>
      <c r="X204" s="0" t="n">
        <v>1.53167395198859</v>
      </c>
      <c r="Y204" s="0" t="s">
        <v>2200</v>
      </c>
      <c r="Z204" s="0" t="s">
        <v>60</v>
      </c>
    </row>
    <row r="205" customFormat="false" ht="15" hidden="false" customHeight="false" outlineLevel="0" collapsed="false">
      <c r="A205" s="0" t="n">
        <v>205</v>
      </c>
      <c r="B205" s="0" t="n">
        <v>654191</v>
      </c>
      <c r="C205" s="0" t="n">
        <v>59086</v>
      </c>
      <c r="D205" s="0" t="n">
        <v>564578</v>
      </c>
      <c r="E205" s="0" t="s">
        <v>2201</v>
      </c>
      <c r="F205" s="0" t="n">
        <v>76313</v>
      </c>
      <c r="G205" s="0" t="s">
        <v>2202</v>
      </c>
      <c r="H205" s="0" t="s">
        <v>2203</v>
      </c>
      <c r="I205" s="0" t="s">
        <v>2204</v>
      </c>
      <c r="J205" s="0" t="s">
        <v>2205</v>
      </c>
      <c r="K205" s="0" t="s">
        <v>61</v>
      </c>
      <c r="L205" s="0" t="n">
        <v>575471</v>
      </c>
      <c r="M205" s="0" t="s">
        <v>2206</v>
      </c>
      <c r="N205" s="0" t="n">
        <v>455851</v>
      </c>
      <c r="O205" s="0" t="n">
        <v>2111</v>
      </c>
      <c r="P205" s="0" t="s">
        <v>599</v>
      </c>
      <c r="Q205" s="0" t="s">
        <v>2207</v>
      </c>
      <c r="R205" s="0" t="s">
        <v>2208</v>
      </c>
      <c r="S205" s="0" t="s">
        <v>61</v>
      </c>
      <c r="T205" s="0" t="s">
        <v>61</v>
      </c>
      <c r="U205" s="0" t="n">
        <v>341</v>
      </c>
      <c r="V205" s="0" t="n">
        <v>13.9312588297769</v>
      </c>
      <c r="W205" s="0" t="n">
        <v>20221231</v>
      </c>
      <c r="X205" s="0" t="n">
        <v>1.57591595036138</v>
      </c>
      <c r="Y205" s="0" t="s">
        <v>2209</v>
      </c>
      <c r="Z205" s="0" t="s">
        <v>158</v>
      </c>
    </row>
    <row r="206" customFormat="false" ht="15" hidden="false" customHeight="false" outlineLevel="0" collapsed="false">
      <c r="A206" s="0" t="n">
        <v>206</v>
      </c>
      <c r="B206" s="0" t="n">
        <v>176672</v>
      </c>
      <c r="C206" s="0" t="n">
        <v>59176</v>
      </c>
      <c r="D206" s="0" t="n">
        <v>151831</v>
      </c>
      <c r="E206" s="0" t="s">
        <v>2210</v>
      </c>
      <c r="F206" s="0" t="n">
        <v>23234</v>
      </c>
      <c r="G206" s="0" t="s">
        <v>2211</v>
      </c>
      <c r="H206" s="0" t="s">
        <v>2212</v>
      </c>
      <c r="I206" s="0" t="s">
        <v>2213</v>
      </c>
      <c r="J206" s="0" t="s">
        <v>2214</v>
      </c>
      <c r="K206" s="0" t="s">
        <v>120</v>
      </c>
      <c r="L206" s="0" t="n">
        <v>134845</v>
      </c>
      <c r="M206" s="0" t="s">
        <v>2215</v>
      </c>
      <c r="N206" s="0" t="n">
        <v>116593</v>
      </c>
      <c r="O206" s="0" t="n">
        <v>0</v>
      </c>
      <c r="P206" s="0" t="s">
        <v>610</v>
      </c>
      <c r="Q206" s="0" t="s">
        <v>61</v>
      </c>
      <c r="R206" s="0" t="s">
        <v>2216</v>
      </c>
      <c r="S206" s="0" t="s">
        <v>61</v>
      </c>
      <c r="T206" s="0" t="s">
        <v>61</v>
      </c>
      <c r="U206" s="0" t="n">
        <v>0</v>
      </c>
      <c r="V206" s="0" t="n">
        <v>18.312919218431</v>
      </c>
      <c r="W206" s="0" t="n">
        <v>20221231</v>
      </c>
      <c r="X206" s="0" t="n">
        <v>0.876801587341154</v>
      </c>
      <c r="Y206" s="0" t="s">
        <v>2217</v>
      </c>
      <c r="Z206" s="0" t="s">
        <v>158</v>
      </c>
    </row>
    <row r="207" customFormat="false" ht="15" hidden="false" customHeight="false" outlineLevel="0" collapsed="false">
      <c r="A207" s="0" t="n">
        <v>207</v>
      </c>
      <c r="B207" s="0" t="n">
        <v>22693</v>
      </c>
      <c r="C207" s="0" t="n">
        <v>59289</v>
      </c>
      <c r="D207" s="0" t="n">
        <v>525</v>
      </c>
      <c r="E207" s="0" t="s">
        <v>2218</v>
      </c>
      <c r="F207" s="0" t="n">
        <v>21542</v>
      </c>
      <c r="G207" s="0" t="s">
        <v>2219</v>
      </c>
      <c r="H207" s="0" t="s">
        <v>2220</v>
      </c>
      <c r="I207" s="0" t="s">
        <v>2221</v>
      </c>
      <c r="J207" s="0" t="s">
        <v>231</v>
      </c>
      <c r="K207" s="0" t="s">
        <v>61</v>
      </c>
      <c r="L207" s="0" t="n">
        <v>4726</v>
      </c>
      <c r="M207" s="0" t="s">
        <v>2222</v>
      </c>
      <c r="N207" s="0" t="n">
        <v>2961</v>
      </c>
      <c r="O207" s="0" t="n">
        <v>0</v>
      </c>
      <c r="P207" s="0" t="s">
        <v>2223</v>
      </c>
      <c r="Q207" s="0" t="s">
        <v>61</v>
      </c>
      <c r="R207" s="0" t="s">
        <v>2224</v>
      </c>
      <c r="S207" s="0" t="s">
        <v>61</v>
      </c>
      <c r="T207" s="0" t="s">
        <v>61</v>
      </c>
      <c r="U207" s="0" t="n">
        <v>0</v>
      </c>
      <c r="V207" s="0" t="n">
        <v>0</v>
      </c>
      <c r="W207" s="0" t="n">
        <v>20221231</v>
      </c>
      <c r="X207" s="0" t="n">
        <v>-12.4840259110739</v>
      </c>
      <c r="Y207" s="0" t="s">
        <v>2225</v>
      </c>
      <c r="Z207" s="0" t="s">
        <v>158</v>
      </c>
    </row>
    <row r="208" customFormat="false" ht="15" hidden="false" customHeight="false" outlineLevel="0" collapsed="false">
      <c r="A208" s="0" t="n">
        <v>208</v>
      </c>
      <c r="B208" s="0" t="n">
        <v>87230</v>
      </c>
      <c r="C208" s="0" t="n">
        <v>59298</v>
      </c>
      <c r="D208" s="0" t="n">
        <v>56740</v>
      </c>
      <c r="E208" s="0" t="s">
        <v>2226</v>
      </c>
      <c r="F208" s="0" t="n">
        <v>29627</v>
      </c>
      <c r="G208" s="0" t="s">
        <v>2227</v>
      </c>
      <c r="H208" s="0" t="s">
        <v>2228</v>
      </c>
      <c r="I208" s="0" t="s">
        <v>2229</v>
      </c>
      <c r="J208" s="0" t="s">
        <v>2230</v>
      </c>
      <c r="K208" s="0" t="s">
        <v>61</v>
      </c>
      <c r="L208" s="0" t="n">
        <v>22351</v>
      </c>
      <c r="M208" s="0" t="s">
        <v>2231</v>
      </c>
      <c r="N208" s="0" t="n">
        <v>15722</v>
      </c>
      <c r="O208" s="0" t="n">
        <v>0</v>
      </c>
      <c r="P208" s="0" t="s">
        <v>1684</v>
      </c>
      <c r="Q208" s="0" t="s">
        <v>61</v>
      </c>
      <c r="R208" s="0" t="s">
        <v>2232</v>
      </c>
      <c r="S208" s="0" t="s">
        <v>61</v>
      </c>
      <c r="T208" s="0" t="s">
        <v>61</v>
      </c>
      <c r="U208" s="0" t="n">
        <v>0</v>
      </c>
      <c r="V208" s="0" t="n">
        <v>0</v>
      </c>
      <c r="W208" s="0" t="n">
        <v>20221231</v>
      </c>
      <c r="X208" s="0" t="n">
        <v>-2.33883632131498</v>
      </c>
      <c r="Y208" s="0" t="s">
        <v>377</v>
      </c>
      <c r="Z208" s="0" t="s">
        <v>98</v>
      </c>
    </row>
    <row r="209" customFormat="false" ht="15" hidden="false" customHeight="false" outlineLevel="0" collapsed="false">
      <c r="A209" s="0" t="n">
        <v>209</v>
      </c>
      <c r="B209" s="0" t="n">
        <v>1055421</v>
      </c>
      <c r="C209" s="0" t="n">
        <v>6271</v>
      </c>
      <c r="D209" s="0" t="n">
        <v>924344</v>
      </c>
      <c r="E209" s="0" t="s">
        <v>85</v>
      </c>
      <c r="F209" s="0" t="n">
        <v>87018</v>
      </c>
      <c r="G209" s="0" t="s">
        <v>2233</v>
      </c>
      <c r="H209" s="0" t="s">
        <v>2234</v>
      </c>
      <c r="I209" s="0" t="s">
        <v>2235</v>
      </c>
      <c r="J209" s="0" t="s">
        <v>2236</v>
      </c>
      <c r="K209" s="0" t="s">
        <v>2237</v>
      </c>
      <c r="L209" s="0" t="n">
        <v>749042</v>
      </c>
      <c r="M209" s="0" t="s">
        <v>2238</v>
      </c>
      <c r="N209" s="0" t="n">
        <v>589916</v>
      </c>
      <c r="O209" s="0" t="n">
        <v>7890</v>
      </c>
      <c r="P209" s="0" t="s">
        <v>621</v>
      </c>
      <c r="Q209" s="0" t="s">
        <v>2239</v>
      </c>
      <c r="R209" s="0" t="s">
        <v>2240</v>
      </c>
      <c r="S209" s="0" t="s">
        <v>2241</v>
      </c>
      <c r="T209" s="0" t="s">
        <v>2242</v>
      </c>
      <c r="U209" s="0" t="n">
        <v>573</v>
      </c>
      <c r="V209" s="0" t="n">
        <v>14.8923999335706</v>
      </c>
      <c r="W209" s="0" t="n">
        <v>20221231</v>
      </c>
      <c r="X209" s="0" t="n">
        <v>1.42847962432808</v>
      </c>
      <c r="Y209" s="0" t="s">
        <v>2243</v>
      </c>
      <c r="Z209" s="0" t="s">
        <v>98</v>
      </c>
    </row>
    <row r="210" customFormat="false" ht="15" hidden="false" customHeight="false" outlineLevel="0" collapsed="false">
      <c r="A210" s="0" t="n">
        <v>210</v>
      </c>
      <c r="B210" s="0" t="n">
        <v>534246</v>
      </c>
      <c r="C210" s="0" t="n">
        <v>6275</v>
      </c>
      <c r="D210" s="0" t="n">
        <v>499882</v>
      </c>
      <c r="E210" s="0" t="s">
        <v>233</v>
      </c>
      <c r="F210" s="0" t="n">
        <v>24487</v>
      </c>
      <c r="G210" s="0" t="s">
        <v>2244</v>
      </c>
      <c r="H210" s="0" t="s">
        <v>2245</v>
      </c>
      <c r="I210" s="0" t="s">
        <v>2246</v>
      </c>
      <c r="J210" s="0" t="s">
        <v>2247</v>
      </c>
      <c r="K210" s="0" t="s">
        <v>2248</v>
      </c>
      <c r="L210" s="0" t="n">
        <v>310667</v>
      </c>
      <c r="M210" s="0" t="s">
        <v>2249</v>
      </c>
      <c r="N210" s="0" t="n">
        <v>252290</v>
      </c>
      <c r="O210" s="0" t="n">
        <v>1436</v>
      </c>
      <c r="P210" s="0" t="s">
        <v>633</v>
      </c>
      <c r="Q210" s="0" t="s">
        <v>2250</v>
      </c>
      <c r="R210" s="0" t="s">
        <v>2251</v>
      </c>
      <c r="S210" s="0" t="s">
        <v>205</v>
      </c>
      <c r="T210" s="0" t="s">
        <v>2252</v>
      </c>
      <c r="U210" s="0" t="n">
        <v>0</v>
      </c>
      <c r="V210" s="0" t="n">
        <v>15.6864385509914</v>
      </c>
      <c r="W210" s="0" t="n">
        <v>20221231</v>
      </c>
      <c r="X210" s="0" t="n">
        <v>0.583126084404197</v>
      </c>
      <c r="Y210" s="0" t="s">
        <v>2253</v>
      </c>
      <c r="Z210" s="0" t="s">
        <v>98</v>
      </c>
    </row>
    <row r="211" customFormat="false" ht="15" hidden="false" customHeight="false" outlineLevel="0" collapsed="false">
      <c r="A211" s="0" t="n">
        <v>211</v>
      </c>
      <c r="B211" s="0" t="n">
        <v>84636</v>
      </c>
      <c r="C211" s="0" t="n">
        <v>6280</v>
      </c>
      <c r="D211" s="0" t="n">
        <v>75635</v>
      </c>
      <c r="E211" s="0" t="s">
        <v>858</v>
      </c>
      <c r="F211" s="0" t="n">
        <v>8605</v>
      </c>
      <c r="G211" s="0" t="s">
        <v>2254</v>
      </c>
      <c r="H211" s="0" t="s">
        <v>2255</v>
      </c>
      <c r="I211" s="0" t="s">
        <v>2256</v>
      </c>
      <c r="J211" s="0" t="s">
        <v>2257</v>
      </c>
      <c r="K211" s="0" t="s">
        <v>2258</v>
      </c>
      <c r="L211" s="0" t="n">
        <v>63400</v>
      </c>
      <c r="M211" s="0" t="s">
        <v>2259</v>
      </c>
      <c r="N211" s="0" t="n">
        <v>54882</v>
      </c>
      <c r="O211" s="0" t="n">
        <v>622</v>
      </c>
      <c r="P211" s="0" t="s">
        <v>644</v>
      </c>
      <c r="Q211" s="0" t="s">
        <v>2260</v>
      </c>
      <c r="R211" s="0" t="s">
        <v>2261</v>
      </c>
      <c r="S211" s="0" t="s">
        <v>1716</v>
      </c>
      <c r="T211" s="0" t="s">
        <v>2262</v>
      </c>
      <c r="U211" s="0" t="n">
        <v>0</v>
      </c>
      <c r="V211" s="0" t="n">
        <v>0</v>
      </c>
      <c r="W211" s="0" t="n">
        <v>20221231</v>
      </c>
      <c r="X211" s="0" t="n">
        <v>1.43133896209814</v>
      </c>
      <c r="Y211" s="0" t="s">
        <v>2263</v>
      </c>
      <c r="Z211" s="0" t="s">
        <v>98</v>
      </c>
    </row>
    <row r="212" customFormat="false" ht="15" hidden="false" customHeight="false" outlineLevel="0" collapsed="false">
      <c r="A212" s="0" t="n">
        <v>212</v>
      </c>
      <c r="B212" s="0" t="n">
        <v>3925512</v>
      </c>
      <c r="C212" s="0" t="n">
        <v>11971</v>
      </c>
      <c r="D212" s="0" t="n">
        <v>3061414</v>
      </c>
      <c r="E212" s="0" t="s">
        <v>172</v>
      </c>
      <c r="F212" s="0" t="n">
        <v>461427</v>
      </c>
      <c r="G212" s="0" t="s">
        <v>2264</v>
      </c>
      <c r="H212" s="0" t="s">
        <v>2265</v>
      </c>
      <c r="I212" s="0" t="s">
        <v>2266</v>
      </c>
      <c r="J212" s="0" t="s">
        <v>2267</v>
      </c>
      <c r="K212" s="0" t="s">
        <v>2268</v>
      </c>
      <c r="L212" s="0" t="n">
        <v>2944469</v>
      </c>
      <c r="M212" s="0" t="s">
        <v>2269</v>
      </c>
      <c r="N212" s="0" t="n">
        <v>2595296</v>
      </c>
      <c r="O212" s="0" t="n">
        <v>7795</v>
      </c>
      <c r="P212" s="0" t="s">
        <v>54</v>
      </c>
      <c r="Q212" s="0" t="s">
        <v>2270</v>
      </c>
      <c r="R212" s="0" t="s">
        <v>2271</v>
      </c>
      <c r="S212" s="0" t="s">
        <v>1945</v>
      </c>
      <c r="T212" s="0" t="s">
        <v>2272</v>
      </c>
      <c r="U212" s="0" t="n">
        <v>138</v>
      </c>
      <c r="V212" s="0" t="n">
        <v>13.4222908894178</v>
      </c>
      <c r="W212" s="0" t="n">
        <v>20230331</v>
      </c>
      <c r="X212" s="0" t="n">
        <v>1.46140641727275</v>
      </c>
      <c r="Y212" s="0" t="s">
        <v>878</v>
      </c>
      <c r="Z212" s="0" t="s">
        <v>60</v>
      </c>
    </row>
    <row r="213" customFormat="false" ht="15" hidden="false" customHeight="false" outlineLevel="0" collapsed="false">
      <c r="A213" s="0" t="n">
        <v>213</v>
      </c>
      <c r="B213" s="0" t="n">
        <v>980710</v>
      </c>
      <c r="C213" s="0" t="n">
        <v>12874</v>
      </c>
      <c r="D213" s="0" t="n">
        <v>858980</v>
      </c>
      <c r="E213" s="0" t="s">
        <v>794</v>
      </c>
      <c r="F213" s="0" t="n">
        <v>100647</v>
      </c>
      <c r="G213" s="0" t="s">
        <v>2273</v>
      </c>
      <c r="H213" s="0" t="s">
        <v>2274</v>
      </c>
      <c r="I213" s="0" t="s">
        <v>2275</v>
      </c>
      <c r="J213" s="0" t="s">
        <v>2276</v>
      </c>
      <c r="K213" s="0" t="s">
        <v>2277</v>
      </c>
      <c r="L213" s="0" t="n">
        <v>760973</v>
      </c>
      <c r="M213" s="0" t="s">
        <v>2278</v>
      </c>
      <c r="N213" s="0" t="n">
        <v>608741</v>
      </c>
      <c r="O213" s="0" t="n">
        <v>468</v>
      </c>
      <c r="P213" s="0" t="s">
        <v>68</v>
      </c>
      <c r="Q213" s="0" t="s">
        <v>2279</v>
      </c>
      <c r="R213" s="0" t="s">
        <v>2280</v>
      </c>
      <c r="S213" s="0" t="s">
        <v>478</v>
      </c>
      <c r="T213" s="0" t="s">
        <v>2281</v>
      </c>
      <c r="U213" s="0" t="n">
        <v>6</v>
      </c>
      <c r="V213" s="0" t="n">
        <v>15.7448301196799</v>
      </c>
      <c r="W213" s="0" t="n">
        <v>20230331</v>
      </c>
      <c r="X213" s="0" t="n">
        <v>1.11202375687117</v>
      </c>
      <c r="Y213" s="0" t="s">
        <v>2282</v>
      </c>
      <c r="Z213" s="0" t="s">
        <v>60</v>
      </c>
    </row>
    <row r="214" customFormat="false" ht="15" hidden="false" customHeight="false" outlineLevel="0" collapsed="false">
      <c r="A214" s="0" t="n">
        <v>214</v>
      </c>
      <c r="B214" s="0" t="n">
        <v>1853851</v>
      </c>
      <c r="C214" s="0" t="n">
        <v>13063</v>
      </c>
      <c r="D214" s="0" t="n">
        <v>1620191</v>
      </c>
      <c r="E214" s="0" t="s">
        <v>1708</v>
      </c>
      <c r="F214" s="0" t="n">
        <v>141179</v>
      </c>
      <c r="G214" s="0" t="s">
        <v>2283</v>
      </c>
      <c r="H214" s="0" t="s">
        <v>2284</v>
      </c>
      <c r="I214" s="0" t="s">
        <v>2285</v>
      </c>
      <c r="J214" s="0" t="s">
        <v>2286</v>
      </c>
      <c r="K214" s="0" t="s">
        <v>2287</v>
      </c>
      <c r="L214" s="0" t="n">
        <v>1379139</v>
      </c>
      <c r="M214" s="0" t="s">
        <v>2288</v>
      </c>
      <c r="N214" s="0" t="n">
        <v>1316711</v>
      </c>
      <c r="O214" s="0" t="n">
        <v>519</v>
      </c>
      <c r="P214" s="0" t="s">
        <v>80</v>
      </c>
      <c r="Q214" s="0" t="s">
        <v>2289</v>
      </c>
      <c r="R214" s="0" t="s">
        <v>2290</v>
      </c>
      <c r="S214" s="0" t="s">
        <v>2291</v>
      </c>
      <c r="T214" s="0" t="s">
        <v>2292</v>
      </c>
      <c r="U214" s="0" t="n">
        <v>892</v>
      </c>
      <c r="V214" s="0" t="n">
        <v>0</v>
      </c>
      <c r="W214" s="0" t="n">
        <v>20230331</v>
      </c>
      <c r="X214" s="0" t="n">
        <v>0.432313134919347</v>
      </c>
      <c r="Y214" s="0" t="s">
        <v>2293</v>
      </c>
      <c r="Z214" s="0" t="s">
        <v>60</v>
      </c>
    </row>
    <row r="215" customFormat="false" ht="15" hidden="false" customHeight="false" outlineLevel="0" collapsed="false">
      <c r="A215" s="0" t="n">
        <v>215</v>
      </c>
      <c r="B215" s="0" t="n">
        <v>835568</v>
      </c>
      <c r="C215" s="0" t="n">
        <v>14134</v>
      </c>
      <c r="D215" s="0" t="n">
        <v>701903</v>
      </c>
      <c r="E215" s="0" t="s">
        <v>858</v>
      </c>
      <c r="F215" s="0" t="n">
        <v>99761</v>
      </c>
      <c r="G215" s="0" t="s">
        <v>2294</v>
      </c>
      <c r="H215" s="0" t="s">
        <v>2295</v>
      </c>
      <c r="I215" s="0" t="s">
        <v>2296</v>
      </c>
      <c r="J215" s="0" t="s">
        <v>2297</v>
      </c>
      <c r="K215" s="0" t="s">
        <v>2298</v>
      </c>
      <c r="L215" s="0" t="n">
        <v>632893</v>
      </c>
      <c r="M215" s="0" t="s">
        <v>2299</v>
      </c>
      <c r="N215" s="0" t="n">
        <v>551797</v>
      </c>
      <c r="O215" s="0" t="n">
        <v>12896</v>
      </c>
      <c r="P215" s="0" t="s">
        <v>92</v>
      </c>
      <c r="Q215" s="0" t="s">
        <v>2300</v>
      </c>
      <c r="R215" s="0" t="s">
        <v>2301</v>
      </c>
      <c r="S215" s="0" t="s">
        <v>2302</v>
      </c>
      <c r="T215" s="0" t="s">
        <v>2303</v>
      </c>
      <c r="U215" s="0" t="n">
        <v>0</v>
      </c>
      <c r="V215" s="0" t="n">
        <v>17.7441561803976</v>
      </c>
      <c r="W215" s="0" t="n">
        <v>20230331</v>
      </c>
      <c r="X215" s="0" t="n">
        <v>0.694511246075301</v>
      </c>
      <c r="Y215" s="0" t="s">
        <v>2304</v>
      </c>
      <c r="Z215" s="0" t="s">
        <v>98</v>
      </c>
    </row>
    <row r="216" customFormat="false" ht="15" hidden="false" customHeight="false" outlineLevel="0" collapsed="false">
      <c r="A216" s="0" t="n">
        <v>216</v>
      </c>
      <c r="B216" s="0" t="n">
        <v>223596</v>
      </c>
      <c r="C216" s="0" t="n">
        <v>14136</v>
      </c>
      <c r="D216" s="0" t="n">
        <v>203232</v>
      </c>
      <c r="E216" s="0" t="s">
        <v>246</v>
      </c>
      <c r="F216" s="0" t="n">
        <v>15756</v>
      </c>
      <c r="G216" s="0" t="s">
        <v>2305</v>
      </c>
      <c r="H216" s="0" t="s">
        <v>2306</v>
      </c>
      <c r="I216" s="0" t="s">
        <v>2307</v>
      </c>
      <c r="J216" s="0" t="s">
        <v>2308</v>
      </c>
      <c r="K216" s="0" t="s">
        <v>2309</v>
      </c>
      <c r="L216" s="0" t="n">
        <v>144100</v>
      </c>
      <c r="M216" s="0" t="s">
        <v>2310</v>
      </c>
      <c r="N216" s="0" t="n">
        <v>115852</v>
      </c>
      <c r="O216" s="0" t="n">
        <v>73</v>
      </c>
      <c r="P216" s="0" t="s">
        <v>105</v>
      </c>
      <c r="Q216" s="0" t="s">
        <v>2311</v>
      </c>
      <c r="R216" s="0" t="s">
        <v>2312</v>
      </c>
      <c r="S216" s="0" t="s">
        <v>1604</v>
      </c>
      <c r="T216" s="0" t="s">
        <v>2313</v>
      </c>
      <c r="U216" s="0" t="n">
        <v>256</v>
      </c>
      <c r="V216" s="0" t="n">
        <v>17.6630149084257</v>
      </c>
      <c r="W216" s="0" t="n">
        <v>20230331</v>
      </c>
      <c r="X216" s="0" t="n">
        <v>0.561314041483233</v>
      </c>
      <c r="Y216" s="0" t="s">
        <v>2314</v>
      </c>
      <c r="Z216" s="0" t="s">
        <v>98</v>
      </c>
    </row>
    <row r="217" customFormat="false" ht="15" hidden="false" customHeight="false" outlineLevel="0" collapsed="false">
      <c r="A217" s="0" t="n">
        <v>217</v>
      </c>
      <c r="B217" s="0" t="n">
        <v>1413583</v>
      </c>
      <c r="C217" s="0" t="n">
        <v>14140</v>
      </c>
      <c r="D217" s="0" t="n">
        <v>1126353</v>
      </c>
      <c r="E217" s="0" t="s">
        <v>271</v>
      </c>
      <c r="F217" s="0" t="n">
        <v>121200</v>
      </c>
      <c r="G217" s="0" t="s">
        <v>2315</v>
      </c>
      <c r="H217" s="0" t="s">
        <v>2316</v>
      </c>
      <c r="I217" s="0" t="s">
        <v>2317</v>
      </c>
      <c r="J217" s="0" t="s">
        <v>2318</v>
      </c>
      <c r="K217" s="0" t="s">
        <v>2319</v>
      </c>
      <c r="L217" s="0" t="n">
        <v>993363</v>
      </c>
      <c r="M217" s="0" t="s">
        <v>2320</v>
      </c>
      <c r="N217" s="0" t="n">
        <v>890367</v>
      </c>
      <c r="O217" s="0" t="n">
        <v>2395</v>
      </c>
      <c r="P217" s="0" t="s">
        <v>117</v>
      </c>
      <c r="Q217" s="0" t="s">
        <v>2321</v>
      </c>
      <c r="R217" s="0" t="s">
        <v>2322</v>
      </c>
      <c r="S217" s="0" t="s">
        <v>1499</v>
      </c>
      <c r="T217" s="0" t="s">
        <v>341</v>
      </c>
      <c r="U217" s="0" t="n">
        <v>0</v>
      </c>
      <c r="V217" s="0" t="n">
        <v>0</v>
      </c>
      <c r="W217" s="0" t="n">
        <v>20230331</v>
      </c>
      <c r="X217" s="0" t="n">
        <v>0.454340029379335</v>
      </c>
      <c r="Y217" s="0" t="s">
        <v>2323</v>
      </c>
      <c r="Z217" s="0" t="s">
        <v>98</v>
      </c>
    </row>
    <row r="218" customFormat="false" ht="15" hidden="false" customHeight="false" outlineLevel="0" collapsed="false">
      <c r="A218" s="0" t="n">
        <v>218</v>
      </c>
      <c r="B218" s="0" t="n">
        <v>1361586</v>
      </c>
      <c r="C218" s="0" t="n">
        <v>14158</v>
      </c>
      <c r="D218" s="0" t="n">
        <v>1229192</v>
      </c>
      <c r="E218" s="0" t="s">
        <v>195</v>
      </c>
      <c r="F218" s="0" t="n">
        <v>76684</v>
      </c>
      <c r="G218" s="0" t="s">
        <v>2324</v>
      </c>
      <c r="H218" s="0" t="s">
        <v>2325</v>
      </c>
      <c r="I218" s="0" t="s">
        <v>2326</v>
      </c>
      <c r="J218" s="0" t="s">
        <v>2327</v>
      </c>
      <c r="K218" s="0" t="s">
        <v>2328</v>
      </c>
      <c r="L218" s="0" t="n">
        <v>976616</v>
      </c>
      <c r="M218" s="0" t="s">
        <v>2329</v>
      </c>
      <c r="N218" s="0" t="n">
        <v>836877</v>
      </c>
      <c r="O218" s="0" t="n">
        <v>2174</v>
      </c>
      <c r="P218" s="0" t="s">
        <v>129</v>
      </c>
      <c r="Q218" s="0" t="s">
        <v>2330</v>
      </c>
      <c r="R218" s="0" t="s">
        <v>2331</v>
      </c>
      <c r="S218" s="0" t="s">
        <v>61</v>
      </c>
      <c r="T218" s="0" t="s">
        <v>2332</v>
      </c>
      <c r="U218" s="0" t="n">
        <v>175</v>
      </c>
      <c r="V218" s="0" t="n">
        <v>13.6817856840481</v>
      </c>
      <c r="W218" s="0" t="n">
        <v>20230331</v>
      </c>
      <c r="X218" s="0" t="n">
        <v>0.950553779137124</v>
      </c>
      <c r="Y218" s="0" t="s">
        <v>2333</v>
      </c>
      <c r="Z218" s="0" t="s">
        <v>98</v>
      </c>
    </row>
    <row r="219" customFormat="false" ht="15" hidden="false" customHeight="false" outlineLevel="0" collapsed="false">
      <c r="A219" s="0" t="n">
        <v>219</v>
      </c>
      <c r="B219" s="0" t="n">
        <v>356091</v>
      </c>
      <c r="C219" s="0" t="n">
        <v>14168</v>
      </c>
      <c r="D219" s="0" t="n">
        <v>318086</v>
      </c>
      <c r="E219" s="0" t="s">
        <v>47</v>
      </c>
      <c r="F219" s="0" t="n">
        <v>33166</v>
      </c>
      <c r="G219" s="0" t="s">
        <v>2334</v>
      </c>
      <c r="H219" s="0" t="s">
        <v>2335</v>
      </c>
      <c r="I219" s="0" t="s">
        <v>2336</v>
      </c>
      <c r="J219" s="0" t="s">
        <v>2337</v>
      </c>
      <c r="K219" s="0" t="s">
        <v>2338</v>
      </c>
      <c r="L219" s="0" t="n">
        <v>213563</v>
      </c>
      <c r="M219" s="0" t="s">
        <v>2339</v>
      </c>
      <c r="N219" s="0" t="n">
        <v>178006</v>
      </c>
      <c r="O219" s="0" t="n">
        <v>977</v>
      </c>
      <c r="P219" s="0" t="s">
        <v>140</v>
      </c>
      <c r="Q219" s="0" t="s">
        <v>2340</v>
      </c>
      <c r="R219" s="0" t="s">
        <v>2341</v>
      </c>
      <c r="S219" s="0" t="s">
        <v>256</v>
      </c>
      <c r="T219" s="0" t="s">
        <v>2342</v>
      </c>
      <c r="U219" s="0" t="n">
        <v>0</v>
      </c>
      <c r="V219" s="0" t="n">
        <v>17.5009100837277</v>
      </c>
      <c r="W219" s="0" t="n">
        <v>20230331</v>
      </c>
      <c r="X219" s="0" t="n">
        <v>0.78798488592015</v>
      </c>
      <c r="Y219" s="0" t="s">
        <v>2343</v>
      </c>
      <c r="Z219" s="0" t="s">
        <v>98</v>
      </c>
    </row>
    <row r="220" customFormat="false" ht="15" hidden="false" customHeight="false" outlineLevel="0" collapsed="false">
      <c r="A220" s="0" t="n">
        <v>220</v>
      </c>
      <c r="B220" s="0" t="n">
        <v>1364518</v>
      </c>
      <c r="C220" s="0" t="n">
        <v>14240</v>
      </c>
      <c r="D220" s="0" t="n">
        <v>1019790</v>
      </c>
      <c r="E220" s="0" t="s">
        <v>61</v>
      </c>
      <c r="F220" s="0" t="n">
        <v>86202</v>
      </c>
      <c r="G220" s="0" t="s">
        <v>2344</v>
      </c>
      <c r="H220" s="0" t="s">
        <v>2345</v>
      </c>
      <c r="I220" s="0" t="s">
        <v>2346</v>
      </c>
      <c r="J220" s="0" t="s">
        <v>2347</v>
      </c>
      <c r="K220" s="0" t="s">
        <v>2348</v>
      </c>
      <c r="L220" s="0" t="n">
        <v>950254</v>
      </c>
      <c r="M220" s="0" t="s">
        <v>2349</v>
      </c>
      <c r="N220" s="0" t="n">
        <v>832225</v>
      </c>
      <c r="O220" s="0" t="n">
        <v>2251</v>
      </c>
      <c r="P220" s="0" t="s">
        <v>152</v>
      </c>
      <c r="Q220" s="0" t="s">
        <v>2350</v>
      </c>
      <c r="R220" s="0" t="s">
        <v>2351</v>
      </c>
      <c r="S220" s="0" t="s">
        <v>708</v>
      </c>
      <c r="T220" s="0" t="s">
        <v>2352</v>
      </c>
      <c r="U220" s="0" t="n">
        <v>0</v>
      </c>
      <c r="V220" s="0" t="n">
        <v>14.7648949355952</v>
      </c>
      <c r="W220" s="0" t="n">
        <v>20230331</v>
      </c>
      <c r="X220" s="0" t="n">
        <v>0.441424322134583</v>
      </c>
      <c r="Y220" s="0" t="s">
        <v>2353</v>
      </c>
      <c r="Z220" s="0" t="s">
        <v>158</v>
      </c>
    </row>
    <row r="221" customFormat="false" ht="15" hidden="false" customHeight="false" outlineLevel="0" collapsed="false">
      <c r="A221" s="0" t="n">
        <v>221</v>
      </c>
      <c r="B221" s="0" t="n">
        <v>1044604</v>
      </c>
      <c r="C221" s="0" t="n">
        <v>17115</v>
      </c>
      <c r="D221" s="0" t="n">
        <v>888210</v>
      </c>
      <c r="E221" s="0" t="s">
        <v>208</v>
      </c>
      <c r="F221" s="0" t="n">
        <v>82605</v>
      </c>
      <c r="G221" s="0" t="s">
        <v>2354</v>
      </c>
      <c r="H221" s="0" t="s">
        <v>2355</v>
      </c>
      <c r="I221" s="0" t="s">
        <v>2356</v>
      </c>
      <c r="J221" s="0" t="s">
        <v>2357</v>
      </c>
      <c r="K221" s="0" t="s">
        <v>2358</v>
      </c>
      <c r="L221" s="0" t="n">
        <v>860779</v>
      </c>
      <c r="M221" s="0" t="s">
        <v>2359</v>
      </c>
      <c r="N221" s="0" t="n">
        <v>814065</v>
      </c>
      <c r="O221" s="0" t="n">
        <v>259</v>
      </c>
      <c r="P221" s="0" t="s">
        <v>166</v>
      </c>
      <c r="Q221" s="0" t="s">
        <v>2360</v>
      </c>
      <c r="R221" s="0" t="s">
        <v>2361</v>
      </c>
      <c r="S221" s="0" t="s">
        <v>108</v>
      </c>
      <c r="T221" s="0" t="s">
        <v>2362</v>
      </c>
      <c r="U221" s="0" t="n">
        <v>0</v>
      </c>
      <c r="V221" s="0" t="n">
        <v>13.626834654189</v>
      </c>
      <c r="W221" s="0" t="n">
        <v>20230331</v>
      </c>
      <c r="X221" s="0" t="n">
        <v>0.694447494119008</v>
      </c>
      <c r="Y221" s="0" t="s">
        <v>2363</v>
      </c>
      <c r="Z221" s="0" t="s">
        <v>60</v>
      </c>
    </row>
    <row r="222" customFormat="false" ht="15" hidden="false" customHeight="false" outlineLevel="0" collapsed="false">
      <c r="A222" s="0" t="n">
        <v>222</v>
      </c>
      <c r="B222" s="0" t="n">
        <v>1570158</v>
      </c>
      <c r="C222" s="0" t="n">
        <v>17180</v>
      </c>
      <c r="D222" s="0" t="n">
        <v>1147694</v>
      </c>
      <c r="E222" s="0" t="s">
        <v>858</v>
      </c>
      <c r="F222" s="0" t="n">
        <v>131076</v>
      </c>
      <c r="G222" s="0" t="s">
        <v>2364</v>
      </c>
      <c r="H222" s="0" t="s">
        <v>2365</v>
      </c>
      <c r="I222" s="0" t="s">
        <v>2366</v>
      </c>
      <c r="J222" s="0" t="s">
        <v>2367</v>
      </c>
      <c r="K222" s="0" t="s">
        <v>2368</v>
      </c>
      <c r="L222" s="0" t="n">
        <v>1410571</v>
      </c>
      <c r="M222" s="0" t="s">
        <v>2369</v>
      </c>
      <c r="N222" s="0" t="n">
        <v>1135680</v>
      </c>
      <c r="O222" s="0" t="n">
        <v>4701</v>
      </c>
      <c r="P222" s="0" t="s">
        <v>179</v>
      </c>
      <c r="Q222" s="0" t="s">
        <v>2370</v>
      </c>
      <c r="R222" s="0" t="s">
        <v>2371</v>
      </c>
      <c r="S222" s="0" t="s">
        <v>2372</v>
      </c>
      <c r="T222" s="0" t="s">
        <v>2373</v>
      </c>
      <c r="U222" s="0" t="n">
        <v>0</v>
      </c>
      <c r="V222" s="0" t="n">
        <v>13.7737837295927</v>
      </c>
      <c r="W222" s="0" t="n">
        <v>20230331</v>
      </c>
      <c r="X222" s="0" t="n">
        <v>0.508991402284762</v>
      </c>
      <c r="Y222" s="0" t="s">
        <v>2374</v>
      </c>
      <c r="Z222" s="0" t="s">
        <v>158</v>
      </c>
    </row>
    <row r="223" customFormat="false" ht="15" hidden="false" customHeight="false" outlineLevel="0" collapsed="false">
      <c r="A223" s="0" t="n">
        <v>223</v>
      </c>
      <c r="B223" s="0" t="n">
        <v>371402</v>
      </c>
      <c r="C223" s="0" t="n">
        <v>17443</v>
      </c>
      <c r="D223" s="0" t="n">
        <v>330910</v>
      </c>
      <c r="E223" s="0" t="s">
        <v>271</v>
      </c>
      <c r="F223" s="0" t="n">
        <v>39228</v>
      </c>
      <c r="G223" s="0" t="s">
        <v>2375</v>
      </c>
      <c r="H223" s="0" t="s">
        <v>2376</v>
      </c>
      <c r="I223" s="0" t="s">
        <v>2377</v>
      </c>
      <c r="J223" s="0" t="s">
        <v>61</v>
      </c>
      <c r="K223" s="0" t="s">
        <v>2378</v>
      </c>
      <c r="L223" s="0" t="n">
        <v>208618</v>
      </c>
      <c r="M223" s="0" t="s">
        <v>2379</v>
      </c>
      <c r="N223" s="0" t="n">
        <v>206692</v>
      </c>
      <c r="O223" s="0" t="n">
        <v>250</v>
      </c>
      <c r="P223" s="0" t="s">
        <v>190</v>
      </c>
      <c r="Q223" s="0" t="s">
        <v>2380</v>
      </c>
      <c r="R223" s="0" t="s">
        <v>2381</v>
      </c>
      <c r="S223" s="0" t="s">
        <v>61</v>
      </c>
      <c r="T223" s="0" t="s">
        <v>2382</v>
      </c>
      <c r="U223" s="0" t="n">
        <v>0</v>
      </c>
      <c r="V223" s="0" t="n">
        <v>0</v>
      </c>
      <c r="W223" s="0" t="n">
        <v>20230331</v>
      </c>
      <c r="X223" s="0" t="n">
        <v>0.103141153187208</v>
      </c>
      <c r="Y223" s="0" t="s">
        <v>256</v>
      </c>
      <c r="Z223" s="0" t="s">
        <v>158</v>
      </c>
    </row>
    <row r="224" customFormat="false" ht="15" hidden="false" customHeight="false" outlineLevel="0" collapsed="false">
      <c r="A224" s="0" t="n">
        <v>224</v>
      </c>
      <c r="B224" s="0" t="n">
        <v>1830565</v>
      </c>
      <c r="C224" s="0" t="n">
        <v>17658</v>
      </c>
      <c r="D224" s="0" t="n">
        <v>1563995</v>
      </c>
      <c r="E224" s="0" t="s">
        <v>195</v>
      </c>
      <c r="F224" s="0" t="n">
        <v>199630</v>
      </c>
      <c r="G224" s="0" t="s">
        <v>2383</v>
      </c>
      <c r="H224" s="0" t="s">
        <v>2384</v>
      </c>
      <c r="I224" s="0" t="s">
        <v>2385</v>
      </c>
      <c r="J224" s="0" t="s">
        <v>2386</v>
      </c>
      <c r="K224" s="0" t="s">
        <v>2387</v>
      </c>
      <c r="L224" s="0" t="n">
        <v>1233738</v>
      </c>
      <c r="M224" s="0" t="s">
        <v>2388</v>
      </c>
      <c r="N224" s="0" t="n">
        <v>1063253</v>
      </c>
      <c r="O224" s="0" t="n">
        <v>672</v>
      </c>
      <c r="P224" s="0" t="s">
        <v>202</v>
      </c>
      <c r="Q224" s="0" t="s">
        <v>2389</v>
      </c>
      <c r="R224" s="0" t="s">
        <v>2390</v>
      </c>
      <c r="S224" s="0" t="s">
        <v>230</v>
      </c>
      <c r="T224" s="0" t="s">
        <v>2391</v>
      </c>
      <c r="U224" s="0" t="n">
        <v>0</v>
      </c>
      <c r="V224" s="0" t="n">
        <v>0</v>
      </c>
      <c r="W224" s="0" t="n">
        <v>20230331</v>
      </c>
      <c r="X224" s="0" t="n">
        <v>1.0847005861763</v>
      </c>
      <c r="Y224" s="0" t="s">
        <v>2392</v>
      </c>
      <c r="Z224" s="0" t="s">
        <v>60</v>
      </c>
    </row>
    <row r="225" customFormat="false" ht="15" hidden="false" customHeight="false" outlineLevel="0" collapsed="false">
      <c r="A225" s="0" t="n">
        <v>225</v>
      </c>
      <c r="B225" s="0" t="n">
        <v>1010266</v>
      </c>
      <c r="C225" s="0" t="n">
        <v>17741</v>
      </c>
      <c r="D225" s="0" t="n">
        <v>833199</v>
      </c>
      <c r="E225" s="0" t="s">
        <v>271</v>
      </c>
      <c r="F225" s="0" t="n">
        <v>132521</v>
      </c>
      <c r="G225" s="0" t="s">
        <v>2393</v>
      </c>
      <c r="H225" s="0" t="s">
        <v>2394</v>
      </c>
      <c r="I225" s="0" t="s">
        <v>2395</v>
      </c>
      <c r="J225" s="0" t="s">
        <v>2396</v>
      </c>
      <c r="K225" s="0" t="s">
        <v>2397</v>
      </c>
      <c r="L225" s="0" t="n">
        <v>842535</v>
      </c>
      <c r="M225" s="0" t="s">
        <v>2398</v>
      </c>
      <c r="N225" s="0" t="n">
        <v>791960</v>
      </c>
      <c r="O225" s="0" t="n">
        <v>1676</v>
      </c>
      <c r="P225" s="0" t="s">
        <v>215</v>
      </c>
      <c r="Q225" s="0" t="s">
        <v>2399</v>
      </c>
      <c r="R225" s="0" t="s">
        <v>2400</v>
      </c>
      <c r="S225" s="0" t="s">
        <v>478</v>
      </c>
      <c r="T225" s="0" t="s">
        <v>2401</v>
      </c>
      <c r="U225" s="0" t="n">
        <v>0</v>
      </c>
      <c r="V225" s="0" t="n">
        <v>0</v>
      </c>
      <c r="W225" s="0" t="n">
        <v>20230331</v>
      </c>
      <c r="X225" s="0" t="n">
        <v>0.783895202662623</v>
      </c>
      <c r="Y225" s="0" t="s">
        <v>2402</v>
      </c>
      <c r="Z225" s="0" t="s">
        <v>60</v>
      </c>
    </row>
    <row r="226" customFormat="false" ht="15" hidden="false" customHeight="false" outlineLevel="0" collapsed="false">
      <c r="A226" s="0" t="n">
        <v>226</v>
      </c>
      <c r="B226" s="0" t="n">
        <v>1303794</v>
      </c>
      <c r="C226" s="0" t="n">
        <v>17743</v>
      </c>
      <c r="D226" s="0" t="n">
        <v>997602</v>
      </c>
      <c r="E226" s="0" t="s">
        <v>61</v>
      </c>
      <c r="F226" s="0" t="n">
        <v>122164</v>
      </c>
      <c r="G226" s="0" t="s">
        <v>2403</v>
      </c>
      <c r="H226" s="0" t="s">
        <v>2404</v>
      </c>
      <c r="I226" s="0" t="s">
        <v>2405</v>
      </c>
      <c r="J226" s="0" t="s">
        <v>2406</v>
      </c>
      <c r="K226" s="0" t="s">
        <v>2407</v>
      </c>
      <c r="L226" s="0" t="n">
        <v>1009203</v>
      </c>
      <c r="M226" s="0" t="s">
        <v>2408</v>
      </c>
      <c r="N226" s="0" t="n">
        <v>979266</v>
      </c>
      <c r="O226" s="0" t="n">
        <v>2506</v>
      </c>
      <c r="P226" s="0" t="s">
        <v>227</v>
      </c>
      <c r="Q226" s="0" t="s">
        <v>2409</v>
      </c>
      <c r="R226" s="0" t="s">
        <v>2410</v>
      </c>
      <c r="S226" s="0" t="s">
        <v>668</v>
      </c>
      <c r="T226" s="0" t="s">
        <v>2411</v>
      </c>
      <c r="U226" s="0" t="n">
        <v>0</v>
      </c>
      <c r="V226" s="0" t="n">
        <v>0</v>
      </c>
      <c r="W226" s="0" t="n">
        <v>20230331</v>
      </c>
      <c r="X226" s="0" t="n">
        <v>0.0852661622010452</v>
      </c>
      <c r="Y226" s="0" t="s">
        <v>2412</v>
      </c>
      <c r="Z226" s="0" t="s">
        <v>60</v>
      </c>
    </row>
    <row r="227" customFormat="false" ht="15" hidden="false" customHeight="false" outlineLevel="0" collapsed="false">
      <c r="A227" s="0" t="n">
        <v>227</v>
      </c>
      <c r="B227" s="0" t="n">
        <v>1649776</v>
      </c>
      <c r="C227" s="0" t="n">
        <v>17748</v>
      </c>
      <c r="D227" s="0" t="n">
        <v>1413359</v>
      </c>
      <c r="E227" s="0" t="s">
        <v>2413</v>
      </c>
      <c r="F227" s="0" t="n">
        <v>110285</v>
      </c>
      <c r="G227" s="0" t="s">
        <v>2414</v>
      </c>
      <c r="H227" s="0" t="s">
        <v>2415</v>
      </c>
      <c r="I227" s="0" t="s">
        <v>2416</v>
      </c>
      <c r="J227" s="0" t="s">
        <v>2417</v>
      </c>
      <c r="K227" s="0" t="s">
        <v>2418</v>
      </c>
      <c r="L227" s="0" t="n">
        <v>1247367</v>
      </c>
      <c r="M227" s="0" t="s">
        <v>2419</v>
      </c>
      <c r="N227" s="0" t="n">
        <v>1051242</v>
      </c>
      <c r="O227" s="0" t="n">
        <v>6401</v>
      </c>
      <c r="P227" s="0" t="s">
        <v>240</v>
      </c>
      <c r="Q227" s="0" t="s">
        <v>2420</v>
      </c>
      <c r="R227" s="0" t="s">
        <v>2421</v>
      </c>
      <c r="S227" s="0" t="s">
        <v>2422</v>
      </c>
      <c r="T227" s="0" t="s">
        <v>2423</v>
      </c>
      <c r="U227" s="0" t="n">
        <v>0</v>
      </c>
      <c r="V227" s="0" t="n">
        <v>0</v>
      </c>
      <c r="W227" s="0" t="n">
        <v>20230331</v>
      </c>
      <c r="X227" s="0" t="n">
        <v>0.111242080447915</v>
      </c>
      <c r="Y227" s="0" t="s">
        <v>2424</v>
      </c>
      <c r="Z227" s="0" t="s">
        <v>60</v>
      </c>
    </row>
    <row r="228" customFormat="false" ht="15" hidden="false" customHeight="false" outlineLevel="0" collapsed="false">
      <c r="A228" s="0" t="n">
        <v>228</v>
      </c>
      <c r="B228" s="0" t="n">
        <v>1286254</v>
      </c>
      <c r="C228" s="0" t="n">
        <v>17749</v>
      </c>
      <c r="D228" s="0" t="n">
        <v>1024638</v>
      </c>
      <c r="E228" s="0" t="s">
        <v>246</v>
      </c>
      <c r="F228" s="0" t="n">
        <v>162250</v>
      </c>
      <c r="G228" s="0" t="s">
        <v>2425</v>
      </c>
      <c r="H228" s="0" t="s">
        <v>2426</v>
      </c>
      <c r="I228" s="0" t="s">
        <v>2427</v>
      </c>
      <c r="J228" s="0" t="s">
        <v>2428</v>
      </c>
      <c r="K228" s="0" t="s">
        <v>2429</v>
      </c>
      <c r="L228" s="0" t="n">
        <v>748128</v>
      </c>
      <c r="M228" s="0" t="s">
        <v>2430</v>
      </c>
      <c r="N228" s="0" t="n">
        <v>677598</v>
      </c>
      <c r="O228" s="0" t="n">
        <v>210</v>
      </c>
      <c r="P228" s="0" t="s">
        <v>253</v>
      </c>
      <c r="Q228" s="0" t="s">
        <v>2431</v>
      </c>
      <c r="R228" s="0" t="s">
        <v>2432</v>
      </c>
      <c r="S228" s="0" t="s">
        <v>108</v>
      </c>
      <c r="T228" s="0" t="s">
        <v>2433</v>
      </c>
      <c r="U228" s="0" t="n">
        <v>0</v>
      </c>
      <c r="V228" s="0" t="n">
        <v>0</v>
      </c>
      <c r="W228" s="0" t="n">
        <v>20230331</v>
      </c>
      <c r="X228" s="0" t="n">
        <v>1.31710105122298</v>
      </c>
      <c r="Y228" s="0" t="s">
        <v>2434</v>
      </c>
      <c r="Z228" s="0" t="s">
        <v>60</v>
      </c>
    </row>
    <row r="229" customFormat="false" ht="15" hidden="false" customHeight="false" outlineLevel="0" collapsed="false">
      <c r="A229" s="0" t="n">
        <v>229</v>
      </c>
      <c r="B229" s="0" t="n">
        <v>1498353</v>
      </c>
      <c r="C229" s="0" t="n">
        <v>17751</v>
      </c>
      <c r="D229" s="0" t="n">
        <v>1191607</v>
      </c>
      <c r="E229" s="0" t="s">
        <v>47</v>
      </c>
      <c r="F229" s="0" t="n">
        <v>129181</v>
      </c>
      <c r="G229" s="0" t="s">
        <v>2435</v>
      </c>
      <c r="H229" s="0" t="s">
        <v>2436</v>
      </c>
      <c r="I229" s="0" t="s">
        <v>2437</v>
      </c>
      <c r="J229" s="0" t="s">
        <v>2438</v>
      </c>
      <c r="K229" s="0" t="s">
        <v>2439</v>
      </c>
      <c r="L229" s="0" t="n">
        <v>1213041</v>
      </c>
      <c r="M229" s="0" t="s">
        <v>2440</v>
      </c>
      <c r="N229" s="0" t="n">
        <v>1050455</v>
      </c>
      <c r="O229" s="0" t="n">
        <v>2844</v>
      </c>
      <c r="P229" s="0" t="s">
        <v>266</v>
      </c>
      <c r="Q229" s="0" t="s">
        <v>2441</v>
      </c>
      <c r="R229" s="0" t="s">
        <v>2442</v>
      </c>
      <c r="S229" s="0" t="s">
        <v>2443</v>
      </c>
      <c r="T229" s="0" t="s">
        <v>2444</v>
      </c>
      <c r="U229" s="0" t="n">
        <v>0</v>
      </c>
      <c r="V229" s="0" t="n">
        <v>13.1459416871701</v>
      </c>
      <c r="W229" s="0" t="n">
        <v>20230331</v>
      </c>
      <c r="X229" s="0" t="n">
        <v>0.577400064916807</v>
      </c>
      <c r="Y229" s="0" t="s">
        <v>2179</v>
      </c>
      <c r="Z229" s="0" t="s">
        <v>60</v>
      </c>
    </row>
    <row r="230" customFormat="false" ht="15" hidden="false" customHeight="false" outlineLevel="0" collapsed="false">
      <c r="A230" s="0" t="n">
        <v>230</v>
      </c>
      <c r="B230" s="0" t="n">
        <v>1665050</v>
      </c>
      <c r="C230" s="0" t="n">
        <v>17897</v>
      </c>
      <c r="D230" s="0" t="n">
        <v>1329955</v>
      </c>
      <c r="E230" s="0" t="s">
        <v>1729</v>
      </c>
      <c r="F230" s="0" t="n">
        <v>200040</v>
      </c>
      <c r="G230" s="0" t="s">
        <v>2445</v>
      </c>
      <c r="H230" s="0" t="s">
        <v>2446</v>
      </c>
      <c r="I230" s="0" t="s">
        <v>2447</v>
      </c>
      <c r="J230" s="0" t="s">
        <v>2448</v>
      </c>
      <c r="K230" s="0" t="s">
        <v>782</v>
      </c>
      <c r="L230" s="0" t="n">
        <v>1405330</v>
      </c>
      <c r="M230" s="0" t="s">
        <v>2449</v>
      </c>
      <c r="N230" s="0" t="n">
        <v>1322849</v>
      </c>
      <c r="O230" s="0" t="n">
        <v>3806</v>
      </c>
      <c r="P230" s="0" t="s">
        <v>278</v>
      </c>
      <c r="Q230" s="0" t="s">
        <v>2450</v>
      </c>
      <c r="R230" s="0" t="s">
        <v>2451</v>
      </c>
      <c r="S230" s="0" t="s">
        <v>2452</v>
      </c>
      <c r="T230" s="0" t="s">
        <v>305</v>
      </c>
      <c r="U230" s="0" t="n">
        <v>16</v>
      </c>
      <c r="V230" s="0" t="n">
        <v>0</v>
      </c>
      <c r="W230" s="0" t="n">
        <v>20230331</v>
      </c>
      <c r="X230" s="0" t="n">
        <v>0.65685021685254</v>
      </c>
      <c r="Y230" s="0" t="s">
        <v>2453</v>
      </c>
      <c r="Z230" s="0" t="s">
        <v>60</v>
      </c>
    </row>
    <row r="231" customFormat="false" ht="15" hidden="false" customHeight="false" outlineLevel="0" collapsed="false">
      <c r="A231" s="0" t="n">
        <v>231</v>
      </c>
      <c r="B231" s="0" t="n">
        <v>753464</v>
      </c>
      <c r="C231" s="0" t="n">
        <v>17951</v>
      </c>
      <c r="D231" s="0" t="n">
        <v>678863</v>
      </c>
      <c r="E231" s="0" t="s">
        <v>1393</v>
      </c>
      <c r="F231" s="0" t="n">
        <v>57390</v>
      </c>
      <c r="G231" s="0" t="s">
        <v>2454</v>
      </c>
      <c r="H231" s="0" t="s">
        <v>2455</v>
      </c>
      <c r="I231" s="0" t="s">
        <v>2456</v>
      </c>
      <c r="J231" s="0" t="s">
        <v>2457</v>
      </c>
      <c r="K231" s="0" t="s">
        <v>2458</v>
      </c>
      <c r="L231" s="0" t="n">
        <v>536149</v>
      </c>
      <c r="M231" s="0" t="s">
        <v>2459</v>
      </c>
      <c r="N231" s="0" t="n">
        <v>498891</v>
      </c>
      <c r="O231" s="0" t="n">
        <v>68</v>
      </c>
      <c r="P231" s="0" t="s">
        <v>290</v>
      </c>
      <c r="Q231" s="0" t="s">
        <v>2460</v>
      </c>
      <c r="R231" s="0" t="s">
        <v>2461</v>
      </c>
      <c r="S231" s="0" t="s">
        <v>2462</v>
      </c>
      <c r="T231" s="0" t="s">
        <v>2463</v>
      </c>
      <c r="U231" s="0" t="n">
        <v>0</v>
      </c>
      <c r="V231" s="0" t="n">
        <v>14.6626029628837</v>
      </c>
      <c r="W231" s="0" t="n">
        <v>20230331</v>
      </c>
      <c r="X231" s="0" t="n">
        <v>0.569635122043929</v>
      </c>
      <c r="Y231" s="0" t="s">
        <v>2464</v>
      </c>
      <c r="Z231" s="0" t="s">
        <v>158</v>
      </c>
    </row>
    <row r="232" customFormat="false" ht="15" hidden="false" customHeight="false" outlineLevel="0" collapsed="false">
      <c r="A232" s="0" t="n">
        <v>232</v>
      </c>
      <c r="B232" s="0" t="n">
        <v>1332758</v>
      </c>
      <c r="C232" s="0" t="n">
        <v>17960</v>
      </c>
      <c r="D232" s="0" t="n">
        <v>1015763</v>
      </c>
      <c r="E232" s="0" t="s">
        <v>246</v>
      </c>
      <c r="F232" s="0" t="n">
        <v>107964</v>
      </c>
      <c r="G232" s="0" t="s">
        <v>2465</v>
      </c>
      <c r="H232" s="0" t="s">
        <v>2466</v>
      </c>
      <c r="I232" s="0" t="s">
        <v>2467</v>
      </c>
      <c r="J232" s="0" t="s">
        <v>2468</v>
      </c>
      <c r="K232" s="0" t="s">
        <v>2469</v>
      </c>
      <c r="L232" s="0" t="n">
        <v>1141207</v>
      </c>
      <c r="M232" s="0" t="s">
        <v>2470</v>
      </c>
      <c r="N232" s="0" t="n">
        <v>821435</v>
      </c>
      <c r="O232" s="0" t="n">
        <v>821</v>
      </c>
      <c r="P232" s="0" t="s">
        <v>302</v>
      </c>
      <c r="Q232" s="0" t="s">
        <v>2471</v>
      </c>
      <c r="R232" s="0" t="s">
        <v>2472</v>
      </c>
      <c r="S232" s="0" t="s">
        <v>1499</v>
      </c>
      <c r="T232" s="0" t="s">
        <v>2473</v>
      </c>
      <c r="U232" s="0" t="n">
        <v>0</v>
      </c>
      <c r="V232" s="0" t="n">
        <v>12.874141309121</v>
      </c>
      <c r="W232" s="0" t="n">
        <v>20230331</v>
      </c>
      <c r="X232" s="0" t="n">
        <v>0.555969732548979</v>
      </c>
      <c r="Y232" s="0" t="s">
        <v>2474</v>
      </c>
      <c r="Z232" s="0" t="s">
        <v>158</v>
      </c>
    </row>
    <row r="233" customFormat="false" ht="15" hidden="false" customHeight="false" outlineLevel="0" collapsed="false">
      <c r="A233" s="0" t="n">
        <v>233</v>
      </c>
      <c r="B233" s="0" t="n">
        <v>2429028</v>
      </c>
      <c r="C233" s="0" t="n">
        <v>18012</v>
      </c>
      <c r="D233" s="0" t="n">
        <v>2050411</v>
      </c>
      <c r="E233" s="0" t="s">
        <v>172</v>
      </c>
      <c r="F233" s="0" t="n">
        <v>248764</v>
      </c>
      <c r="G233" s="0" t="s">
        <v>2475</v>
      </c>
      <c r="H233" s="0" t="s">
        <v>2476</v>
      </c>
      <c r="I233" s="0" t="s">
        <v>2477</v>
      </c>
      <c r="J233" s="0" t="s">
        <v>2478</v>
      </c>
      <c r="K233" s="0" t="s">
        <v>2479</v>
      </c>
      <c r="L233" s="0" t="n">
        <v>1975493</v>
      </c>
      <c r="M233" s="0" t="s">
        <v>2480</v>
      </c>
      <c r="N233" s="0" t="n">
        <v>1870355</v>
      </c>
      <c r="O233" s="0" t="n">
        <v>1410</v>
      </c>
      <c r="P233" s="0" t="s">
        <v>312</v>
      </c>
      <c r="Q233" s="0" t="s">
        <v>2481</v>
      </c>
      <c r="R233" s="0" t="s">
        <v>2482</v>
      </c>
      <c r="S233" s="0" t="s">
        <v>1556</v>
      </c>
      <c r="T233" s="0" t="s">
        <v>2483</v>
      </c>
      <c r="U233" s="0" t="n">
        <v>0</v>
      </c>
      <c r="V233" s="0" t="n">
        <v>13.3370750765378</v>
      </c>
      <c r="W233" s="0" t="n">
        <v>20230331</v>
      </c>
      <c r="X233" s="0" t="n">
        <v>0.993530204379712</v>
      </c>
      <c r="Y233" s="0" t="s">
        <v>2484</v>
      </c>
      <c r="Z233" s="0" t="s">
        <v>158</v>
      </c>
    </row>
    <row r="234" customFormat="false" ht="15" hidden="false" customHeight="false" outlineLevel="0" collapsed="false">
      <c r="A234" s="0" t="n">
        <v>234</v>
      </c>
      <c r="B234" s="0" t="n">
        <v>2733301</v>
      </c>
      <c r="C234" s="0" t="n">
        <v>18013</v>
      </c>
      <c r="D234" s="0" t="n">
        <v>2369188</v>
      </c>
      <c r="E234" s="0" t="s">
        <v>271</v>
      </c>
      <c r="F234" s="0" t="n">
        <v>210055</v>
      </c>
      <c r="G234" s="0" t="s">
        <v>2485</v>
      </c>
      <c r="H234" s="0" t="s">
        <v>2486</v>
      </c>
      <c r="I234" s="0" t="s">
        <v>2487</v>
      </c>
      <c r="J234" s="0" t="s">
        <v>2488</v>
      </c>
      <c r="K234" s="0" t="s">
        <v>2489</v>
      </c>
      <c r="L234" s="0" t="n">
        <v>2203643</v>
      </c>
      <c r="M234" s="0" t="s">
        <v>2490</v>
      </c>
      <c r="N234" s="0" t="n">
        <v>2017963</v>
      </c>
      <c r="O234" s="0" t="n">
        <v>1023</v>
      </c>
      <c r="P234" s="0" t="s">
        <v>324</v>
      </c>
      <c r="Q234" s="0" t="s">
        <v>2491</v>
      </c>
      <c r="R234" s="0" t="s">
        <v>2492</v>
      </c>
      <c r="S234" s="0" t="s">
        <v>120</v>
      </c>
      <c r="T234" s="0" t="s">
        <v>2493</v>
      </c>
      <c r="U234" s="0" t="n">
        <v>0</v>
      </c>
      <c r="V234" s="0" t="n">
        <v>13.3103871528666</v>
      </c>
      <c r="W234" s="0" t="n">
        <v>20230331</v>
      </c>
      <c r="X234" s="0" t="n">
        <v>0.443403413877027</v>
      </c>
      <c r="Y234" s="0" t="s">
        <v>2494</v>
      </c>
      <c r="Z234" s="0" t="s">
        <v>158</v>
      </c>
    </row>
    <row r="235" customFormat="false" ht="15" hidden="false" customHeight="false" outlineLevel="0" collapsed="false">
      <c r="A235" s="0" t="n">
        <v>235</v>
      </c>
      <c r="B235" s="0" t="n">
        <v>384151</v>
      </c>
      <c r="C235" s="0" t="n">
        <v>18028</v>
      </c>
      <c r="D235" s="0" t="n">
        <v>321675</v>
      </c>
      <c r="E235" s="0" t="s">
        <v>593</v>
      </c>
      <c r="F235" s="0" t="n">
        <v>38054</v>
      </c>
      <c r="G235" s="0" t="s">
        <v>2495</v>
      </c>
      <c r="H235" s="0" t="s">
        <v>2496</v>
      </c>
      <c r="I235" s="0" t="s">
        <v>2497</v>
      </c>
      <c r="J235" s="0" t="s">
        <v>2498</v>
      </c>
      <c r="K235" s="0" t="s">
        <v>2499</v>
      </c>
      <c r="L235" s="0" t="n">
        <v>253368</v>
      </c>
      <c r="M235" s="0" t="s">
        <v>2500</v>
      </c>
      <c r="N235" s="0" t="n">
        <v>222649</v>
      </c>
      <c r="O235" s="0" t="n">
        <v>1519</v>
      </c>
      <c r="P235" s="0" t="s">
        <v>337</v>
      </c>
      <c r="Q235" s="0" t="s">
        <v>2501</v>
      </c>
      <c r="R235" s="0" t="s">
        <v>2502</v>
      </c>
      <c r="S235" s="0" t="s">
        <v>2503</v>
      </c>
      <c r="T235" s="0" t="s">
        <v>2504</v>
      </c>
      <c r="U235" s="0" t="n">
        <v>163</v>
      </c>
      <c r="V235" s="0" t="n">
        <v>0</v>
      </c>
      <c r="W235" s="0" t="n">
        <v>20230331</v>
      </c>
      <c r="X235" s="0" t="n">
        <v>0.60865321121989</v>
      </c>
      <c r="Y235" s="0" t="s">
        <v>2505</v>
      </c>
      <c r="Z235" s="0" t="s">
        <v>158</v>
      </c>
    </row>
    <row r="236" customFormat="false" ht="15" hidden="false" customHeight="false" outlineLevel="0" collapsed="false">
      <c r="A236" s="0" t="n">
        <v>236</v>
      </c>
      <c r="B236" s="0" t="n">
        <v>704016</v>
      </c>
      <c r="C236" s="0" t="n">
        <v>18030</v>
      </c>
      <c r="D236" s="0" t="n">
        <v>652422</v>
      </c>
      <c r="E236" s="0" t="s">
        <v>858</v>
      </c>
      <c r="F236" s="0" t="n">
        <v>44712</v>
      </c>
      <c r="G236" s="0" t="s">
        <v>2506</v>
      </c>
      <c r="H236" s="0" t="s">
        <v>2507</v>
      </c>
      <c r="I236" s="0" t="s">
        <v>2508</v>
      </c>
      <c r="J236" s="0" t="s">
        <v>2509</v>
      </c>
      <c r="K236" s="0" t="s">
        <v>2510</v>
      </c>
      <c r="L236" s="0" t="n">
        <v>558490</v>
      </c>
      <c r="M236" s="0" t="s">
        <v>2511</v>
      </c>
      <c r="N236" s="0" t="n">
        <v>437108</v>
      </c>
      <c r="O236" s="0" t="n">
        <v>501</v>
      </c>
      <c r="P236" s="0" t="s">
        <v>349</v>
      </c>
      <c r="Q236" s="0" t="s">
        <v>2512</v>
      </c>
      <c r="R236" s="0" t="s">
        <v>2513</v>
      </c>
      <c r="S236" s="0" t="s">
        <v>2514</v>
      </c>
      <c r="T236" s="0" t="s">
        <v>2515</v>
      </c>
      <c r="U236" s="0" t="n">
        <v>0</v>
      </c>
      <c r="V236" s="0" t="n">
        <v>12.9898118719735</v>
      </c>
      <c r="W236" s="0" t="n">
        <v>20230331</v>
      </c>
      <c r="X236" s="0" t="n">
        <v>0.626132056425815</v>
      </c>
      <c r="Y236" s="0" t="s">
        <v>2516</v>
      </c>
      <c r="Z236" s="0" t="s">
        <v>158</v>
      </c>
    </row>
    <row r="237" customFormat="false" ht="15" hidden="false" customHeight="false" outlineLevel="0" collapsed="false">
      <c r="A237" s="0" t="n">
        <v>237</v>
      </c>
      <c r="B237" s="0" t="n">
        <v>653889</v>
      </c>
      <c r="C237" s="0" t="n">
        <v>18031</v>
      </c>
      <c r="D237" s="0" t="n">
        <v>579895</v>
      </c>
      <c r="E237" s="0" t="s">
        <v>172</v>
      </c>
      <c r="F237" s="0" t="n">
        <v>37639</v>
      </c>
      <c r="G237" s="0" t="s">
        <v>2517</v>
      </c>
      <c r="H237" s="0" t="s">
        <v>2518</v>
      </c>
      <c r="I237" s="0" t="s">
        <v>2519</v>
      </c>
      <c r="J237" s="0" t="s">
        <v>2520</v>
      </c>
      <c r="K237" s="0" t="s">
        <v>2521</v>
      </c>
      <c r="L237" s="0" t="n">
        <v>467587</v>
      </c>
      <c r="M237" s="0" t="s">
        <v>2522</v>
      </c>
      <c r="N237" s="0" t="n">
        <v>424817</v>
      </c>
      <c r="O237" s="0" t="n">
        <v>861</v>
      </c>
      <c r="P237" s="0" t="s">
        <v>361</v>
      </c>
      <c r="Q237" s="0" t="s">
        <v>2523</v>
      </c>
      <c r="R237" s="0" t="s">
        <v>2524</v>
      </c>
      <c r="S237" s="0" t="s">
        <v>83</v>
      </c>
      <c r="T237" s="0" t="s">
        <v>1197</v>
      </c>
      <c r="U237" s="0" t="n">
        <v>0</v>
      </c>
      <c r="V237" s="0" t="n">
        <v>16.3983634751584</v>
      </c>
      <c r="W237" s="0" t="n">
        <v>20230331</v>
      </c>
      <c r="X237" s="0" t="n">
        <v>0.311530308150788</v>
      </c>
      <c r="Y237" s="0" t="s">
        <v>84</v>
      </c>
      <c r="Z237" s="0" t="s">
        <v>158</v>
      </c>
    </row>
    <row r="238" customFormat="false" ht="15" hidden="false" customHeight="false" outlineLevel="0" collapsed="false">
      <c r="A238" s="0" t="n">
        <v>238</v>
      </c>
      <c r="B238" s="0" t="n">
        <v>548592</v>
      </c>
      <c r="C238" s="0" t="n">
        <v>18038</v>
      </c>
      <c r="D238" s="0" t="n">
        <v>453467</v>
      </c>
      <c r="E238" s="0" t="s">
        <v>1393</v>
      </c>
      <c r="F238" s="0" t="n">
        <v>65334</v>
      </c>
      <c r="G238" s="0" t="s">
        <v>2525</v>
      </c>
      <c r="H238" s="0" t="s">
        <v>2526</v>
      </c>
      <c r="I238" s="0" t="s">
        <v>2527</v>
      </c>
      <c r="J238" s="0" t="s">
        <v>2528</v>
      </c>
      <c r="K238" s="0" t="s">
        <v>2529</v>
      </c>
      <c r="L238" s="0" t="n">
        <v>418300</v>
      </c>
      <c r="M238" s="0" t="s">
        <v>2530</v>
      </c>
      <c r="N238" s="0" t="n">
        <v>397248</v>
      </c>
      <c r="O238" s="0" t="n">
        <v>2269</v>
      </c>
      <c r="P238" s="0" t="s">
        <v>372</v>
      </c>
      <c r="Q238" s="0" t="s">
        <v>2531</v>
      </c>
      <c r="R238" s="0" t="s">
        <v>2532</v>
      </c>
      <c r="S238" s="0" t="s">
        <v>61</v>
      </c>
      <c r="T238" s="0" t="s">
        <v>2533</v>
      </c>
      <c r="U238" s="0" t="n">
        <v>0</v>
      </c>
      <c r="V238" s="0" t="n">
        <v>0</v>
      </c>
      <c r="W238" s="0" t="n">
        <v>20230331</v>
      </c>
      <c r="X238" s="0" t="n">
        <v>0.0703982689436184</v>
      </c>
      <c r="Y238" s="0" t="s">
        <v>2534</v>
      </c>
      <c r="Z238" s="0" t="s">
        <v>158</v>
      </c>
    </row>
    <row r="239" customFormat="false" ht="15" hidden="false" customHeight="false" outlineLevel="0" collapsed="false">
      <c r="A239" s="0" t="n">
        <v>239</v>
      </c>
      <c r="B239" s="0" t="n">
        <v>7408655</v>
      </c>
      <c r="C239" s="0" t="n">
        <v>18408</v>
      </c>
      <c r="D239" s="0" t="n">
        <v>5909216</v>
      </c>
      <c r="E239" s="0" t="s">
        <v>61</v>
      </c>
      <c r="F239" s="0" t="n">
        <v>379605</v>
      </c>
      <c r="G239" s="0" t="s">
        <v>2535</v>
      </c>
      <c r="H239" s="0" t="s">
        <v>2536</v>
      </c>
      <c r="I239" s="0" t="s">
        <v>2537</v>
      </c>
      <c r="J239" s="0" t="s">
        <v>2538</v>
      </c>
      <c r="K239" s="0" t="s">
        <v>2539</v>
      </c>
      <c r="L239" s="0" t="n">
        <v>4709677</v>
      </c>
      <c r="M239" s="0" t="s">
        <v>2540</v>
      </c>
      <c r="N239" s="0" t="n">
        <v>4284764</v>
      </c>
      <c r="O239" s="0" t="n">
        <v>2650</v>
      </c>
      <c r="P239" s="0" t="s">
        <v>384</v>
      </c>
      <c r="Q239" s="0" t="s">
        <v>2541</v>
      </c>
      <c r="R239" s="0" t="s">
        <v>2542</v>
      </c>
      <c r="S239" s="0" t="s">
        <v>2543</v>
      </c>
      <c r="T239" s="0" t="s">
        <v>2544</v>
      </c>
      <c r="U239" s="0" t="n">
        <v>0</v>
      </c>
      <c r="V239" s="0" t="n">
        <v>11.786074914701</v>
      </c>
      <c r="W239" s="0" t="n">
        <v>20230331</v>
      </c>
      <c r="X239" s="0" t="n">
        <v>0.0727725446773376</v>
      </c>
      <c r="Y239" s="0" t="s">
        <v>2545</v>
      </c>
      <c r="Z239" s="0" t="s">
        <v>60</v>
      </c>
    </row>
    <row r="240" customFormat="false" ht="15" hidden="false" customHeight="false" outlineLevel="0" collapsed="false">
      <c r="A240" s="0" t="n">
        <v>240</v>
      </c>
      <c r="B240" s="0" t="n">
        <v>2391401</v>
      </c>
      <c r="C240" s="0" t="n">
        <v>19531</v>
      </c>
      <c r="D240" s="0" t="n">
        <v>1997122</v>
      </c>
      <c r="E240" s="0" t="s">
        <v>61</v>
      </c>
      <c r="F240" s="0" t="n">
        <v>231126</v>
      </c>
      <c r="G240" s="0" t="s">
        <v>2546</v>
      </c>
      <c r="H240" s="0" t="s">
        <v>2547</v>
      </c>
      <c r="I240" s="0" t="s">
        <v>2548</v>
      </c>
      <c r="J240" s="0" t="s">
        <v>2549</v>
      </c>
      <c r="K240" s="0" t="s">
        <v>2550</v>
      </c>
      <c r="L240" s="0" t="n">
        <v>1912462</v>
      </c>
      <c r="M240" s="0" t="s">
        <v>2551</v>
      </c>
      <c r="N240" s="0" t="n">
        <v>1564296</v>
      </c>
      <c r="O240" s="0" t="n">
        <v>14969</v>
      </c>
      <c r="P240" s="0" t="s">
        <v>397</v>
      </c>
      <c r="Q240" s="0" t="s">
        <v>2552</v>
      </c>
      <c r="R240" s="0" t="s">
        <v>2553</v>
      </c>
      <c r="S240" s="0" t="s">
        <v>400</v>
      </c>
      <c r="T240" s="0" t="s">
        <v>2554</v>
      </c>
      <c r="U240" s="0" t="n">
        <v>0</v>
      </c>
      <c r="V240" s="0" t="n">
        <v>14.2370552569306</v>
      </c>
      <c r="W240" s="0" t="n">
        <v>20230331</v>
      </c>
      <c r="X240" s="0" t="n">
        <v>0.598798237021496</v>
      </c>
      <c r="Y240" s="0" t="s">
        <v>901</v>
      </c>
      <c r="Z240" s="0" t="s">
        <v>60</v>
      </c>
    </row>
    <row r="241" customFormat="false" ht="15" hidden="false" customHeight="false" outlineLevel="0" collapsed="false">
      <c r="A241" s="0" t="n">
        <v>241</v>
      </c>
      <c r="B241" s="0" t="n">
        <v>781513</v>
      </c>
      <c r="C241" s="0" t="n">
        <v>19532</v>
      </c>
      <c r="D241" s="0" t="n">
        <v>676028</v>
      </c>
      <c r="E241" s="0" t="s">
        <v>61</v>
      </c>
      <c r="F241" s="0" t="n">
        <v>91464</v>
      </c>
      <c r="G241" s="0" t="s">
        <v>2555</v>
      </c>
      <c r="H241" s="0" t="s">
        <v>2556</v>
      </c>
      <c r="I241" s="0" t="s">
        <v>2557</v>
      </c>
      <c r="J241" s="0" t="s">
        <v>2558</v>
      </c>
      <c r="K241" s="0" t="s">
        <v>2559</v>
      </c>
      <c r="L241" s="0" t="n">
        <v>558105</v>
      </c>
      <c r="M241" s="0" t="s">
        <v>2560</v>
      </c>
      <c r="N241" s="0" t="n">
        <v>465968</v>
      </c>
      <c r="O241" s="0" t="n">
        <v>712</v>
      </c>
      <c r="P241" s="0" t="s">
        <v>409</v>
      </c>
      <c r="Q241" s="0" t="s">
        <v>2561</v>
      </c>
      <c r="R241" s="0" t="s">
        <v>2562</v>
      </c>
      <c r="S241" s="0" t="s">
        <v>2563</v>
      </c>
      <c r="T241" s="0" t="s">
        <v>2564</v>
      </c>
      <c r="U241" s="0" t="n">
        <v>0</v>
      </c>
      <c r="V241" s="0" t="n">
        <v>21.6495094755333</v>
      </c>
      <c r="W241" s="0" t="n">
        <v>20230331</v>
      </c>
      <c r="X241" s="0" t="n">
        <v>0.829366675964692</v>
      </c>
      <c r="Y241" s="0" t="s">
        <v>2565</v>
      </c>
      <c r="Z241" s="0" t="s">
        <v>60</v>
      </c>
    </row>
    <row r="242" customFormat="false" ht="15" hidden="false" customHeight="false" outlineLevel="0" collapsed="false">
      <c r="A242" s="0" t="n">
        <v>242</v>
      </c>
      <c r="B242" s="0" t="n">
        <v>2866479</v>
      </c>
      <c r="C242" s="0" t="n">
        <v>19690</v>
      </c>
      <c r="D242" s="0" t="n">
        <v>2150204</v>
      </c>
      <c r="E242" s="0" t="s">
        <v>85</v>
      </c>
      <c r="F242" s="0" t="n">
        <v>283869</v>
      </c>
      <c r="G242" s="0" t="s">
        <v>2566</v>
      </c>
      <c r="H242" s="0" t="s">
        <v>2567</v>
      </c>
      <c r="I242" s="0" t="s">
        <v>2568</v>
      </c>
      <c r="J242" s="0" t="s">
        <v>2569</v>
      </c>
      <c r="K242" s="0" t="s">
        <v>2570</v>
      </c>
      <c r="L242" s="0" t="n">
        <v>2509795</v>
      </c>
      <c r="M242" s="0" t="s">
        <v>2571</v>
      </c>
      <c r="N242" s="0" t="n">
        <v>2010351</v>
      </c>
      <c r="O242" s="0" t="n">
        <v>14522</v>
      </c>
      <c r="P242" s="0" t="s">
        <v>420</v>
      </c>
      <c r="Q242" s="0" t="s">
        <v>2572</v>
      </c>
      <c r="R242" s="0" t="s">
        <v>2573</v>
      </c>
      <c r="S242" s="0" t="s">
        <v>71</v>
      </c>
      <c r="T242" s="0" t="s">
        <v>2574</v>
      </c>
      <c r="U242" s="0" t="n">
        <v>0</v>
      </c>
      <c r="V242" s="0" t="n">
        <v>11.8894271150854</v>
      </c>
      <c r="W242" s="0" t="n">
        <v>20230331</v>
      </c>
      <c r="X242" s="0" t="n">
        <v>1.76423215572799</v>
      </c>
      <c r="Y242" s="0" t="s">
        <v>2575</v>
      </c>
      <c r="Z242" s="0" t="s">
        <v>60</v>
      </c>
    </row>
    <row r="243" customFormat="false" ht="15" hidden="false" customHeight="false" outlineLevel="0" collapsed="false">
      <c r="A243" s="0" t="n">
        <v>243</v>
      </c>
      <c r="B243" s="0" t="n">
        <v>600233</v>
      </c>
      <c r="C243" s="0" t="n">
        <v>19836</v>
      </c>
      <c r="D243" s="0" t="n">
        <v>442530</v>
      </c>
      <c r="E243" s="0" t="s">
        <v>390</v>
      </c>
      <c r="F243" s="0" t="n">
        <v>118387</v>
      </c>
      <c r="G243" s="0" t="s">
        <v>2576</v>
      </c>
      <c r="H243" s="0" t="s">
        <v>2577</v>
      </c>
      <c r="I243" s="0" t="s">
        <v>2578</v>
      </c>
      <c r="J243" s="0" t="s">
        <v>2579</v>
      </c>
      <c r="K243" s="0" t="s">
        <v>2580</v>
      </c>
      <c r="L243" s="0" t="n">
        <v>497024</v>
      </c>
      <c r="M243" s="0" t="s">
        <v>2581</v>
      </c>
      <c r="N243" s="0" t="n">
        <v>430517</v>
      </c>
      <c r="O243" s="0" t="n">
        <v>2423</v>
      </c>
      <c r="P243" s="0" t="s">
        <v>290</v>
      </c>
      <c r="Q243" s="0" t="s">
        <v>2582</v>
      </c>
      <c r="R243" s="0" t="s">
        <v>2583</v>
      </c>
      <c r="S243" s="0" t="s">
        <v>608</v>
      </c>
      <c r="T243" s="0" t="s">
        <v>1181</v>
      </c>
      <c r="U243" s="0" t="n">
        <v>40</v>
      </c>
      <c r="V243" s="0" t="n">
        <v>27.6259114445736</v>
      </c>
      <c r="W243" s="0" t="n">
        <v>20230331</v>
      </c>
      <c r="X243" s="0" t="n">
        <v>0.661549552605912</v>
      </c>
      <c r="Y243" s="0" t="s">
        <v>1291</v>
      </c>
      <c r="Z243" s="0" t="s">
        <v>60</v>
      </c>
    </row>
    <row r="244" customFormat="false" ht="15" hidden="false" customHeight="false" outlineLevel="0" collapsed="false">
      <c r="A244" s="0" t="n">
        <v>244</v>
      </c>
      <c r="B244" s="0" t="n">
        <v>1306028</v>
      </c>
      <c r="C244" s="0" t="n">
        <v>24540</v>
      </c>
      <c r="D244" s="0" t="n">
        <v>1050825</v>
      </c>
      <c r="E244" s="0" t="s">
        <v>2584</v>
      </c>
      <c r="F244" s="0" t="n">
        <v>223212</v>
      </c>
      <c r="G244" s="0" t="s">
        <v>2585</v>
      </c>
      <c r="H244" s="0" t="s">
        <v>2586</v>
      </c>
      <c r="I244" s="0" t="s">
        <v>2587</v>
      </c>
      <c r="J244" s="0" t="s">
        <v>2588</v>
      </c>
      <c r="K244" s="0" t="s">
        <v>1069</v>
      </c>
      <c r="L244" s="0" t="n">
        <v>1134464</v>
      </c>
      <c r="M244" s="0" t="s">
        <v>2589</v>
      </c>
      <c r="N244" s="0" t="n">
        <v>1099219</v>
      </c>
      <c r="O244" s="0" t="n">
        <v>358</v>
      </c>
      <c r="P244" s="0" t="s">
        <v>443</v>
      </c>
      <c r="Q244" s="0" t="s">
        <v>2590</v>
      </c>
      <c r="R244" s="0" t="s">
        <v>2591</v>
      </c>
      <c r="S244" s="0" t="s">
        <v>61</v>
      </c>
      <c r="T244" s="0" t="s">
        <v>61</v>
      </c>
      <c r="U244" s="0" t="n">
        <v>0</v>
      </c>
      <c r="V244" s="0" t="n">
        <v>0</v>
      </c>
      <c r="W244" s="0" t="n">
        <v>20230331</v>
      </c>
      <c r="X244" s="0" t="n">
        <v>2.21929184669772</v>
      </c>
      <c r="Y244" s="0" t="s">
        <v>489</v>
      </c>
      <c r="Z244" s="0" t="s">
        <v>158</v>
      </c>
    </row>
    <row r="245" customFormat="false" ht="15" hidden="false" customHeight="false" outlineLevel="0" collapsed="false">
      <c r="A245" s="0" t="n">
        <v>245</v>
      </c>
      <c r="B245" s="0" t="n">
        <v>495672</v>
      </c>
      <c r="C245" s="0" t="n">
        <v>27824</v>
      </c>
      <c r="D245" s="0" t="n">
        <v>388458</v>
      </c>
      <c r="E245" s="0" t="s">
        <v>61</v>
      </c>
      <c r="F245" s="0" t="n">
        <v>66508</v>
      </c>
      <c r="G245" s="0" t="s">
        <v>2592</v>
      </c>
      <c r="H245" s="0" t="s">
        <v>2593</v>
      </c>
      <c r="I245" s="0" t="s">
        <v>2594</v>
      </c>
      <c r="J245" s="0" t="s">
        <v>2595</v>
      </c>
      <c r="K245" s="0" t="s">
        <v>2596</v>
      </c>
      <c r="L245" s="0" t="n">
        <v>409171</v>
      </c>
      <c r="M245" s="0" t="s">
        <v>2597</v>
      </c>
      <c r="N245" s="0" t="n">
        <v>347963</v>
      </c>
      <c r="O245" s="0" t="n">
        <v>1218</v>
      </c>
      <c r="P245" s="0" t="s">
        <v>453</v>
      </c>
      <c r="Q245" s="0" t="s">
        <v>2598</v>
      </c>
      <c r="R245" s="0" t="s">
        <v>2599</v>
      </c>
      <c r="S245" s="0" t="s">
        <v>2600</v>
      </c>
      <c r="T245" s="0" t="s">
        <v>484</v>
      </c>
      <c r="U245" s="0" t="n">
        <v>0</v>
      </c>
      <c r="V245" s="0" t="n">
        <v>23.0543893100379</v>
      </c>
      <c r="W245" s="0" t="n">
        <v>20230331</v>
      </c>
      <c r="X245" s="0" t="n">
        <v>-0.20429258605113</v>
      </c>
      <c r="Y245" s="0" t="s">
        <v>2601</v>
      </c>
      <c r="Z245" s="0" t="s">
        <v>158</v>
      </c>
    </row>
    <row r="246" customFormat="false" ht="15" hidden="false" customHeight="false" outlineLevel="0" collapsed="false">
      <c r="A246" s="0" t="n">
        <v>246</v>
      </c>
      <c r="B246" s="0" t="n">
        <v>300236</v>
      </c>
      <c r="C246" s="0" t="n">
        <v>28155</v>
      </c>
      <c r="D246" s="0" t="n">
        <v>253151</v>
      </c>
      <c r="E246" s="0" t="s">
        <v>61</v>
      </c>
      <c r="F246" s="0" t="n">
        <v>27786</v>
      </c>
      <c r="G246" s="0" t="s">
        <v>2602</v>
      </c>
      <c r="H246" s="0" t="s">
        <v>2603</v>
      </c>
      <c r="I246" s="0" t="s">
        <v>2604</v>
      </c>
      <c r="J246" s="0" t="s">
        <v>2605</v>
      </c>
      <c r="K246" s="0" t="s">
        <v>2606</v>
      </c>
      <c r="L246" s="0" t="n">
        <v>160817</v>
      </c>
      <c r="M246" s="0" t="s">
        <v>2607</v>
      </c>
      <c r="N246" s="0" t="n">
        <v>148519</v>
      </c>
      <c r="O246" s="0" t="n">
        <v>52</v>
      </c>
      <c r="P246" s="0" t="s">
        <v>464</v>
      </c>
      <c r="Q246" s="0" t="s">
        <v>2608</v>
      </c>
      <c r="R246" s="0" t="s">
        <v>2609</v>
      </c>
      <c r="S246" s="0" t="s">
        <v>61</v>
      </c>
      <c r="T246" s="0" t="s">
        <v>2610</v>
      </c>
      <c r="U246" s="0" t="n">
        <v>0</v>
      </c>
      <c r="V246" s="0" t="n">
        <v>17.8546426332098</v>
      </c>
      <c r="W246" s="0" t="n">
        <v>20230331</v>
      </c>
      <c r="X246" s="0" t="n">
        <v>0.092321432453994</v>
      </c>
      <c r="Y246" s="0" t="s">
        <v>256</v>
      </c>
      <c r="Z246" s="0" t="s">
        <v>158</v>
      </c>
    </row>
    <row r="247" customFormat="false" ht="15" hidden="false" customHeight="false" outlineLevel="0" collapsed="false">
      <c r="A247" s="0" t="n">
        <v>247</v>
      </c>
      <c r="B247" s="0" t="n">
        <v>101744</v>
      </c>
      <c r="C247" s="0" t="n">
        <v>28288</v>
      </c>
      <c r="D247" s="0" t="n">
        <v>79637</v>
      </c>
      <c r="E247" s="0" t="s">
        <v>61</v>
      </c>
      <c r="F247" s="0" t="n">
        <v>6128</v>
      </c>
      <c r="G247" s="0" t="s">
        <v>2611</v>
      </c>
      <c r="H247" s="0" t="s">
        <v>2612</v>
      </c>
      <c r="I247" s="0" t="s">
        <v>2613</v>
      </c>
      <c r="J247" s="0" t="s">
        <v>2614</v>
      </c>
      <c r="K247" s="0" t="s">
        <v>2615</v>
      </c>
      <c r="L247" s="0" t="n">
        <v>79160</v>
      </c>
      <c r="M247" s="0" t="s">
        <v>2616</v>
      </c>
      <c r="N247" s="0" t="n">
        <v>75313</v>
      </c>
      <c r="O247" s="0" t="n">
        <v>270</v>
      </c>
      <c r="P247" s="0" t="s">
        <v>475</v>
      </c>
      <c r="Q247" s="0" t="s">
        <v>2617</v>
      </c>
      <c r="R247" s="0" t="s">
        <v>2618</v>
      </c>
      <c r="S247" s="0" t="s">
        <v>352</v>
      </c>
      <c r="T247" s="0" t="s">
        <v>2619</v>
      </c>
      <c r="U247" s="0" t="n">
        <v>0</v>
      </c>
      <c r="V247" s="0" t="n">
        <v>13.7641491928002</v>
      </c>
      <c r="W247" s="0" t="n">
        <v>20230331</v>
      </c>
      <c r="X247" s="0" t="n">
        <v>0.0747623099586348</v>
      </c>
      <c r="Y247" s="0" t="s">
        <v>2620</v>
      </c>
      <c r="Z247" s="0" t="s">
        <v>60</v>
      </c>
    </row>
    <row r="248" customFormat="false" ht="15" hidden="false" customHeight="false" outlineLevel="0" collapsed="false">
      <c r="A248" s="0" t="n">
        <v>248</v>
      </c>
      <c r="B248" s="0" t="n">
        <v>87275</v>
      </c>
      <c r="C248" s="0" t="n">
        <v>28369</v>
      </c>
      <c r="D248" s="0" t="n">
        <v>77349</v>
      </c>
      <c r="E248" s="0" t="s">
        <v>271</v>
      </c>
      <c r="F248" s="0" t="n">
        <v>9500</v>
      </c>
      <c r="G248" s="0" t="s">
        <v>2621</v>
      </c>
      <c r="H248" s="0" t="s">
        <v>2622</v>
      </c>
      <c r="I248" s="0" t="s">
        <v>2623</v>
      </c>
      <c r="J248" s="0" t="s">
        <v>2624</v>
      </c>
      <c r="K248" s="0" t="s">
        <v>2625</v>
      </c>
      <c r="L248" s="0" t="n">
        <v>73207</v>
      </c>
      <c r="M248" s="0" t="s">
        <v>2626</v>
      </c>
      <c r="N248" s="0" t="n">
        <v>61622</v>
      </c>
      <c r="O248" s="0" t="n">
        <v>326</v>
      </c>
      <c r="P248" s="0" t="s">
        <v>486</v>
      </c>
      <c r="Q248" s="0" t="s">
        <v>2627</v>
      </c>
      <c r="R248" s="0" t="s">
        <v>2628</v>
      </c>
      <c r="S248" s="0" t="s">
        <v>256</v>
      </c>
      <c r="T248" s="0" t="s">
        <v>2629</v>
      </c>
      <c r="U248" s="0" t="n">
        <v>0</v>
      </c>
      <c r="V248" s="0" t="n">
        <v>0</v>
      </c>
      <c r="W248" s="0" t="n">
        <v>20230331</v>
      </c>
      <c r="X248" s="0" t="n">
        <v>-0.0922557097635371</v>
      </c>
      <c r="Y248" s="0" t="s">
        <v>2630</v>
      </c>
      <c r="Z248" s="0" t="s">
        <v>60</v>
      </c>
    </row>
    <row r="249" customFormat="false" ht="15" hidden="false" customHeight="false" outlineLevel="0" collapsed="false">
      <c r="A249" s="0" t="n">
        <v>249</v>
      </c>
      <c r="B249" s="0" t="n">
        <v>288419</v>
      </c>
      <c r="C249" s="0" t="n">
        <v>28837</v>
      </c>
      <c r="D249" s="0" t="n">
        <v>260987</v>
      </c>
      <c r="E249" s="0" t="s">
        <v>390</v>
      </c>
      <c r="F249" s="0" t="n">
        <v>24341</v>
      </c>
      <c r="G249" s="0" t="s">
        <v>2631</v>
      </c>
      <c r="H249" s="0" t="s">
        <v>2632</v>
      </c>
      <c r="I249" s="0" t="s">
        <v>2633</v>
      </c>
      <c r="J249" s="0" t="s">
        <v>2634</v>
      </c>
      <c r="K249" s="0" t="s">
        <v>2635</v>
      </c>
      <c r="L249" s="0" t="n">
        <v>188100</v>
      </c>
      <c r="M249" s="0" t="s">
        <v>2636</v>
      </c>
      <c r="N249" s="0" t="n">
        <v>179697</v>
      </c>
      <c r="O249" s="0" t="n">
        <v>19</v>
      </c>
      <c r="P249" s="0" t="s">
        <v>497</v>
      </c>
      <c r="Q249" s="0" t="s">
        <v>2637</v>
      </c>
      <c r="R249" s="0" t="s">
        <v>2638</v>
      </c>
      <c r="S249" s="0" t="s">
        <v>478</v>
      </c>
      <c r="T249" s="0" t="s">
        <v>2639</v>
      </c>
      <c r="U249" s="0" t="n">
        <v>0</v>
      </c>
      <c r="V249" s="0" t="n">
        <v>16.3411097226028</v>
      </c>
      <c r="W249" s="0" t="n">
        <v>20230331</v>
      </c>
      <c r="X249" s="0" t="n">
        <v>0.859132971569657</v>
      </c>
      <c r="Y249" s="0" t="s">
        <v>2640</v>
      </c>
      <c r="Z249" s="0" t="s">
        <v>98</v>
      </c>
    </row>
    <row r="250" customFormat="false" ht="15" hidden="false" customHeight="false" outlineLevel="0" collapsed="false">
      <c r="A250" s="0" t="n">
        <v>250</v>
      </c>
      <c r="B250" s="0" t="n">
        <v>185057</v>
      </c>
      <c r="C250" s="0" t="n">
        <v>29636</v>
      </c>
      <c r="D250" s="0" t="n">
        <v>147344</v>
      </c>
      <c r="E250" s="0" t="s">
        <v>259</v>
      </c>
      <c r="F250" s="0" t="n">
        <v>24743</v>
      </c>
      <c r="G250" s="0" t="s">
        <v>2641</v>
      </c>
      <c r="H250" s="0" t="s">
        <v>2642</v>
      </c>
      <c r="I250" s="0" t="s">
        <v>2643</v>
      </c>
      <c r="J250" s="0" t="s">
        <v>2644</v>
      </c>
      <c r="K250" s="0" t="s">
        <v>2645</v>
      </c>
      <c r="L250" s="0" t="n">
        <v>127987</v>
      </c>
      <c r="M250" s="0" t="s">
        <v>2646</v>
      </c>
      <c r="N250" s="0" t="n">
        <v>124654</v>
      </c>
      <c r="O250" s="0" t="n">
        <v>2472</v>
      </c>
      <c r="P250" s="0" t="s">
        <v>509</v>
      </c>
      <c r="Q250" s="0" t="s">
        <v>2647</v>
      </c>
      <c r="R250" s="0" t="s">
        <v>2648</v>
      </c>
      <c r="S250" s="0" t="s">
        <v>83</v>
      </c>
      <c r="T250" s="0" t="s">
        <v>2649</v>
      </c>
      <c r="U250" s="0" t="n">
        <v>0</v>
      </c>
      <c r="V250" s="0" t="n">
        <v>26.4550684388018</v>
      </c>
      <c r="W250" s="0" t="n">
        <v>20230331</v>
      </c>
      <c r="X250" s="0" t="n">
        <v>0.327344743116213</v>
      </c>
      <c r="Y250" s="0" t="s">
        <v>2650</v>
      </c>
      <c r="Z250" s="0" t="s">
        <v>60</v>
      </c>
    </row>
    <row r="251" customFormat="false" ht="15" hidden="false" customHeight="false" outlineLevel="0" collapsed="false">
      <c r="A251" s="0" t="n">
        <v>251</v>
      </c>
      <c r="B251" s="0" t="n">
        <v>189487</v>
      </c>
      <c r="C251" s="0" t="n">
        <v>29743</v>
      </c>
      <c r="D251" s="0" t="n">
        <v>163950</v>
      </c>
      <c r="E251" s="0" t="s">
        <v>1500</v>
      </c>
      <c r="F251" s="0" t="n">
        <v>16226</v>
      </c>
      <c r="G251" s="0" t="s">
        <v>2651</v>
      </c>
      <c r="H251" s="0" t="s">
        <v>2652</v>
      </c>
      <c r="I251" s="0" t="s">
        <v>2653</v>
      </c>
      <c r="J251" s="0" t="s">
        <v>2654</v>
      </c>
      <c r="K251" s="0" t="s">
        <v>2655</v>
      </c>
      <c r="L251" s="0" t="n">
        <v>126279</v>
      </c>
      <c r="M251" s="0" t="s">
        <v>2656</v>
      </c>
      <c r="N251" s="0" t="n">
        <v>80937</v>
      </c>
      <c r="O251" s="0" t="n">
        <v>203</v>
      </c>
      <c r="P251" s="0" t="s">
        <v>520</v>
      </c>
      <c r="Q251" s="0" t="s">
        <v>2657</v>
      </c>
      <c r="R251" s="0" t="s">
        <v>2658</v>
      </c>
      <c r="S251" s="0" t="s">
        <v>61</v>
      </c>
      <c r="T251" s="0" t="s">
        <v>2659</v>
      </c>
      <c r="U251" s="0" t="n">
        <v>0</v>
      </c>
      <c r="V251" s="0" t="n">
        <v>17.9095834111713</v>
      </c>
      <c r="W251" s="0" t="n">
        <v>20230331</v>
      </c>
      <c r="X251" s="0" t="n">
        <v>0.71029392943987</v>
      </c>
      <c r="Y251" s="0" t="s">
        <v>2660</v>
      </c>
      <c r="Z251" s="0" t="s">
        <v>60</v>
      </c>
    </row>
    <row r="252" customFormat="false" ht="15" hidden="false" customHeight="false" outlineLevel="0" collapsed="false">
      <c r="A252" s="0" t="n">
        <v>252</v>
      </c>
      <c r="B252" s="0" t="n">
        <v>548387</v>
      </c>
      <c r="C252" s="0" t="n">
        <v>29744</v>
      </c>
      <c r="D252" s="0" t="n">
        <v>438333</v>
      </c>
      <c r="E252" s="0" t="s">
        <v>61</v>
      </c>
      <c r="F252" s="0" t="n">
        <v>54173</v>
      </c>
      <c r="G252" s="0" t="s">
        <v>2661</v>
      </c>
      <c r="H252" s="0" t="s">
        <v>2662</v>
      </c>
      <c r="I252" s="0" t="s">
        <v>2663</v>
      </c>
      <c r="J252" s="0" t="s">
        <v>2664</v>
      </c>
      <c r="K252" s="0" t="s">
        <v>2665</v>
      </c>
      <c r="L252" s="0" t="n">
        <v>405809</v>
      </c>
      <c r="M252" s="0" t="s">
        <v>2666</v>
      </c>
      <c r="N252" s="0" t="n">
        <v>372826</v>
      </c>
      <c r="O252" s="0" t="n">
        <v>88</v>
      </c>
      <c r="P252" s="0" t="s">
        <v>531</v>
      </c>
      <c r="Q252" s="0" t="s">
        <v>2667</v>
      </c>
      <c r="R252" s="0" t="s">
        <v>2668</v>
      </c>
      <c r="S252" s="0" t="s">
        <v>352</v>
      </c>
      <c r="T252" s="0" t="s">
        <v>169</v>
      </c>
      <c r="U252" s="0" t="n">
        <v>0</v>
      </c>
      <c r="V252" s="0" t="n">
        <v>19.7611282318518</v>
      </c>
      <c r="W252" s="0" t="n">
        <v>20230331</v>
      </c>
      <c r="X252" s="0" t="n">
        <v>0.341873414737028</v>
      </c>
      <c r="Y252" s="0" t="s">
        <v>2669</v>
      </c>
      <c r="Z252" s="0" t="s">
        <v>158</v>
      </c>
    </row>
    <row r="253" customFormat="false" ht="15" hidden="false" customHeight="false" outlineLevel="0" collapsed="false">
      <c r="A253" s="0" t="n">
        <v>253</v>
      </c>
      <c r="B253" s="0" t="n">
        <v>554362</v>
      </c>
      <c r="C253" s="0" t="n">
        <v>30350</v>
      </c>
      <c r="D253" s="0" t="n">
        <v>454335</v>
      </c>
      <c r="E253" s="0" t="s">
        <v>61</v>
      </c>
      <c r="F253" s="0" t="n">
        <v>53124</v>
      </c>
      <c r="G253" s="0" t="s">
        <v>2670</v>
      </c>
      <c r="H253" s="0" t="s">
        <v>2671</v>
      </c>
      <c r="I253" s="0" t="s">
        <v>2672</v>
      </c>
      <c r="J253" s="0" t="s">
        <v>2673</v>
      </c>
      <c r="K253" s="0" t="s">
        <v>2674</v>
      </c>
      <c r="L253" s="0" t="n">
        <v>393124</v>
      </c>
      <c r="M253" s="0" t="s">
        <v>2675</v>
      </c>
      <c r="N253" s="0" t="n">
        <v>373761</v>
      </c>
      <c r="O253" s="0" t="n">
        <v>1313</v>
      </c>
      <c r="P253" s="0" t="s">
        <v>543</v>
      </c>
      <c r="Q253" s="0" t="s">
        <v>2676</v>
      </c>
      <c r="R253" s="0" t="s">
        <v>2677</v>
      </c>
      <c r="S253" s="0" t="s">
        <v>2678</v>
      </c>
      <c r="T253" s="0" t="s">
        <v>2679</v>
      </c>
      <c r="U253" s="0" t="n">
        <v>0</v>
      </c>
      <c r="V253" s="0" t="n">
        <v>21.4867285184799</v>
      </c>
      <c r="W253" s="0" t="n">
        <v>20230331</v>
      </c>
      <c r="X253" s="0" t="n">
        <v>0.821587649425802</v>
      </c>
      <c r="Y253" s="0" t="s">
        <v>2680</v>
      </c>
      <c r="Z253" s="0" t="s">
        <v>98</v>
      </c>
    </row>
    <row r="254" customFormat="false" ht="15" hidden="false" customHeight="false" outlineLevel="0" collapsed="false">
      <c r="A254" s="0" t="n">
        <v>254</v>
      </c>
      <c r="B254" s="0" t="n">
        <v>104047</v>
      </c>
      <c r="C254" s="0" t="n">
        <v>30878</v>
      </c>
      <c r="D254" s="0" t="n">
        <v>76408</v>
      </c>
      <c r="E254" s="0" t="s">
        <v>614</v>
      </c>
      <c r="F254" s="0" t="n">
        <v>12490</v>
      </c>
      <c r="G254" s="0" t="s">
        <v>2681</v>
      </c>
      <c r="H254" s="0" t="s">
        <v>2682</v>
      </c>
      <c r="I254" s="0" t="s">
        <v>2683</v>
      </c>
      <c r="J254" s="0" t="s">
        <v>61</v>
      </c>
      <c r="K254" s="0" t="s">
        <v>2684</v>
      </c>
      <c r="L254" s="0" t="n">
        <v>83118</v>
      </c>
      <c r="M254" s="0" t="s">
        <v>2685</v>
      </c>
      <c r="N254" s="0" t="n">
        <v>83020</v>
      </c>
      <c r="O254" s="0" t="n">
        <v>710</v>
      </c>
      <c r="P254" s="0" t="s">
        <v>553</v>
      </c>
      <c r="Q254" s="0" t="s">
        <v>2686</v>
      </c>
      <c r="R254" s="0" t="s">
        <v>2687</v>
      </c>
      <c r="S254" s="0" t="s">
        <v>61</v>
      </c>
      <c r="T254" s="0" t="s">
        <v>2688</v>
      </c>
      <c r="U254" s="0" t="n">
        <v>0</v>
      </c>
      <c r="V254" s="0" t="n">
        <v>0</v>
      </c>
      <c r="W254" s="0" t="n">
        <v>20230331</v>
      </c>
      <c r="X254" s="0" t="n">
        <v>-0.300319333057066</v>
      </c>
      <c r="Y254" s="0" t="s">
        <v>2689</v>
      </c>
      <c r="Z254" s="0" t="s">
        <v>60</v>
      </c>
    </row>
    <row r="255" customFormat="false" ht="15" hidden="false" customHeight="false" outlineLevel="0" collapsed="false">
      <c r="A255" s="0" t="n">
        <v>255</v>
      </c>
      <c r="B255" s="0" t="n">
        <v>745394</v>
      </c>
      <c r="C255" s="0" t="n">
        <v>33418</v>
      </c>
      <c r="D255" s="0" t="n">
        <v>529254</v>
      </c>
      <c r="E255" s="0" t="s">
        <v>390</v>
      </c>
      <c r="F255" s="0" t="n">
        <v>67356</v>
      </c>
      <c r="G255" s="0" t="s">
        <v>2690</v>
      </c>
      <c r="H255" s="0" t="s">
        <v>2691</v>
      </c>
      <c r="I255" s="0" t="s">
        <v>2692</v>
      </c>
      <c r="J255" s="0" t="s">
        <v>2693</v>
      </c>
      <c r="K255" s="0" t="s">
        <v>2694</v>
      </c>
      <c r="L255" s="0" t="n">
        <v>363499</v>
      </c>
      <c r="M255" s="0" t="s">
        <v>2695</v>
      </c>
      <c r="N255" s="0" t="n">
        <v>305729</v>
      </c>
      <c r="O255" s="0" t="n">
        <v>1287</v>
      </c>
      <c r="P255" s="0" t="s">
        <v>564</v>
      </c>
      <c r="Q255" s="0" t="s">
        <v>2696</v>
      </c>
      <c r="R255" s="0" t="s">
        <v>2697</v>
      </c>
      <c r="S255" s="0" t="s">
        <v>205</v>
      </c>
      <c r="T255" s="0" t="s">
        <v>2252</v>
      </c>
      <c r="U255" s="0" t="n">
        <v>0</v>
      </c>
      <c r="V255" s="0" t="n">
        <v>18.9057850876711</v>
      </c>
      <c r="W255" s="0" t="n">
        <v>20230331</v>
      </c>
      <c r="X255" s="0" t="n">
        <v>0.931989755103962</v>
      </c>
      <c r="Y255" s="0" t="s">
        <v>2698</v>
      </c>
      <c r="Z255" s="0" t="s">
        <v>98</v>
      </c>
    </row>
    <row r="256" customFormat="false" ht="15" hidden="false" customHeight="false" outlineLevel="0" collapsed="false">
      <c r="A256" s="0" t="n">
        <v>256</v>
      </c>
      <c r="B256" s="0" t="n">
        <v>66610</v>
      </c>
      <c r="C256" s="0" t="n">
        <v>35206</v>
      </c>
      <c r="D256" s="0" t="n">
        <v>500</v>
      </c>
      <c r="E256" s="0" t="s">
        <v>61</v>
      </c>
      <c r="F256" s="0" t="n">
        <v>64048</v>
      </c>
      <c r="G256" s="0" t="s">
        <v>2699</v>
      </c>
      <c r="H256" s="0" t="s">
        <v>2700</v>
      </c>
      <c r="I256" s="0" t="s">
        <v>61</v>
      </c>
      <c r="J256" s="0" t="s">
        <v>61</v>
      </c>
      <c r="K256" s="0" t="s">
        <v>61</v>
      </c>
      <c r="L256" s="0" t="n">
        <v>0</v>
      </c>
      <c r="M256" s="0" t="s">
        <v>61</v>
      </c>
      <c r="N256" s="0" t="n">
        <v>0</v>
      </c>
      <c r="O256" s="0" t="n">
        <v>0</v>
      </c>
      <c r="P256" s="0" t="s">
        <v>1112</v>
      </c>
      <c r="Q256" s="0" t="s">
        <v>61</v>
      </c>
      <c r="R256" s="0" t="s">
        <v>2701</v>
      </c>
      <c r="S256" s="0" t="s">
        <v>61</v>
      </c>
      <c r="T256" s="0" t="s">
        <v>61</v>
      </c>
      <c r="U256" s="0" t="n">
        <v>0</v>
      </c>
      <c r="V256" s="0" t="n">
        <v>0</v>
      </c>
      <c r="W256" s="0" t="n">
        <v>20230331</v>
      </c>
      <c r="X256" s="0" t="n">
        <v>20.8360558586212</v>
      </c>
      <c r="Y256" s="0" t="s">
        <v>340</v>
      </c>
      <c r="Z256" s="0" t="s">
        <v>158</v>
      </c>
    </row>
    <row r="257" customFormat="false" ht="15" hidden="false" customHeight="false" outlineLevel="0" collapsed="false">
      <c r="A257" s="0" t="n">
        <v>257</v>
      </c>
      <c r="B257" s="0" t="n">
        <v>5707400</v>
      </c>
      <c r="C257" s="0" t="n">
        <v>4255</v>
      </c>
      <c r="D257" s="0" t="n">
        <v>4682533</v>
      </c>
      <c r="E257" s="0" t="s">
        <v>390</v>
      </c>
      <c r="F257" s="0" t="n">
        <v>475108</v>
      </c>
      <c r="G257" s="0" t="s">
        <v>2702</v>
      </c>
      <c r="H257" s="0" t="s">
        <v>2703</v>
      </c>
      <c r="I257" s="0" t="s">
        <v>2704</v>
      </c>
      <c r="J257" s="0" t="s">
        <v>2705</v>
      </c>
      <c r="K257" s="0" t="s">
        <v>2706</v>
      </c>
      <c r="L257" s="0" t="n">
        <v>4077670</v>
      </c>
      <c r="M257" s="0" t="s">
        <v>2707</v>
      </c>
      <c r="N257" s="0" t="n">
        <v>3668834</v>
      </c>
      <c r="O257" s="0" t="n">
        <v>2958</v>
      </c>
      <c r="P257" s="0" t="s">
        <v>575</v>
      </c>
      <c r="Q257" s="0" t="s">
        <v>2708</v>
      </c>
      <c r="R257" s="0" t="s">
        <v>2709</v>
      </c>
      <c r="S257" s="0" t="s">
        <v>2710</v>
      </c>
      <c r="T257" s="0" t="s">
        <v>2711</v>
      </c>
      <c r="U257" s="0" t="n">
        <v>0</v>
      </c>
      <c r="V257" s="0" t="n">
        <v>13.1782412567421</v>
      </c>
      <c r="W257" s="0" t="n">
        <v>20230331</v>
      </c>
      <c r="X257" s="0" t="n">
        <v>0.937848206885979</v>
      </c>
      <c r="Y257" s="0" t="s">
        <v>2712</v>
      </c>
      <c r="Z257" s="0" t="s">
        <v>60</v>
      </c>
    </row>
    <row r="258" customFormat="false" ht="15" hidden="false" customHeight="false" outlineLevel="0" collapsed="false">
      <c r="A258" s="0" t="n">
        <v>258</v>
      </c>
      <c r="B258" s="0" t="n">
        <v>2776791</v>
      </c>
      <c r="C258" s="0" t="n">
        <v>4256</v>
      </c>
      <c r="D258" s="0" t="n">
        <v>2467296</v>
      </c>
      <c r="E258" s="0" t="s">
        <v>47</v>
      </c>
      <c r="F258" s="0" t="n">
        <v>199927</v>
      </c>
      <c r="G258" s="0" t="s">
        <v>2713</v>
      </c>
      <c r="H258" s="0" t="s">
        <v>2714</v>
      </c>
      <c r="I258" s="0" t="s">
        <v>2715</v>
      </c>
      <c r="J258" s="0" t="s">
        <v>2716</v>
      </c>
      <c r="K258" s="0" t="s">
        <v>2717</v>
      </c>
      <c r="L258" s="0" t="n">
        <v>1982847</v>
      </c>
      <c r="M258" s="0" t="s">
        <v>2718</v>
      </c>
      <c r="N258" s="0" t="n">
        <v>1576558</v>
      </c>
      <c r="O258" s="0" t="n">
        <v>1800</v>
      </c>
      <c r="P258" s="0" t="s">
        <v>587</v>
      </c>
      <c r="Q258" s="0" t="s">
        <v>2719</v>
      </c>
      <c r="R258" s="0" t="s">
        <v>2720</v>
      </c>
      <c r="S258" s="0" t="s">
        <v>2688</v>
      </c>
      <c r="T258" s="0" t="s">
        <v>2721</v>
      </c>
      <c r="U258" s="0" t="n">
        <v>208</v>
      </c>
      <c r="V258" s="0" t="n">
        <v>13.6350384316431</v>
      </c>
      <c r="W258" s="0" t="n">
        <v>20230331</v>
      </c>
      <c r="X258" s="0" t="n">
        <v>1.19339414885096</v>
      </c>
      <c r="Y258" s="0" t="s">
        <v>2722</v>
      </c>
      <c r="Z258" s="0" t="s">
        <v>60</v>
      </c>
    </row>
    <row r="259" customFormat="false" ht="15" hidden="false" customHeight="false" outlineLevel="0" collapsed="false">
      <c r="A259" s="0" t="n">
        <v>259</v>
      </c>
      <c r="B259" s="0" t="n">
        <v>693867</v>
      </c>
      <c r="C259" s="0" t="n">
        <v>59086</v>
      </c>
      <c r="D259" s="0" t="n">
        <v>607363</v>
      </c>
      <c r="E259" s="0" t="s">
        <v>742</v>
      </c>
      <c r="F259" s="0" t="n">
        <v>80605</v>
      </c>
      <c r="G259" s="0" t="s">
        <v>2723</v>
      </c>
      <c r="H259" s="0" t="s">
        <v>2724</v>
      </c>
      <c r="I259" s="0" t="s">
        <v>2725</v>
      </c>
      <c r="J259" s="0" t="s">
        <v>2726</v>
      </c>
      <c r="K259" s="0" t="s">
        <v>61</v>
      </c>
      <c r="L259" s="0" t="n">
        <v>581159</v>
      </c>
      <c r="M259" s="0" t="s">
        <v>2727</v>
      </c>
      <c r="N259" s="0" t="n">
        <v>463062</v>
      </c>
      <c r="O259" s="0" t="n">
        <v>4263</v>
      </c>
      <c r="P259" s="0" t="s">
        <v>599</v>
      </c>
      <c r="Q259" s="0" t="s">
        <v>2728</v>
      </c>
      <c r="R259" s="0" t="s">
        <v>2729</v>
      </c>
      <c r="S259" s="0" t="s">
        <v>61</v>
      </c>
      <c r="T259" s="0" t="s">
        <v>2730</v>
      </c>
      <c r="U259" s="0" t="n">
        <v>0</v>
      </c>
      <c r="V259" s="0" t="n">
        <v>14.3503452916795</v>
      </c>
      <c r="W259" s="0" t="n">
        <v>20230331</v>
      </c>
      <c r="X259" s="0" t="n">
        <v>1.65037409369627</v>
      </c>
      <c r="Y259" s="0" t="s">
        <v>2731</v>
      </c>
      <c r="Z259" s="0" t="s">
        <v>158</v>
      </c>
    </row>
    <row r="260" customFormat="false" ht="15" hidden="false" customHeight="false" outlineLevel="0" collapsed="false">
      <c r="A260" s="0" t="n">
        <v>260</v>
      </c>
      <c r="B260" s="0" t="n">
        <v>191655</v>
      </c>
      <c r="C260" s="0" t="n">
        <v>59176</v>
      </c>
      <c r="D260" s="0" t="n">
        <v>161440</v>
      </c>
      <c r="E260" s="0" t="s">
        <v>2413</v>
      </c>
      <c r="F260" s="0" t="n">
        <v>23472</v>
      </c>
      <c r="G260" s="0" t="s">
        <v>2732</v>
      </c>
      <c r="H260" s="0" t="s">
        <v>2733</v>
      </c>
      <c r="I260" s="0" t="s">
        <v>2734</v>
      </c>
      <c r="J260" s="0" t="s">
        <v>2735</v>
      </c>
      <c r="K260" s="0" t="s">
        <v>534</v>
      </c>
      <c r="L260" s="0" t="n">
        <v>138506</v>
      </c>
      <c r="M260" s="0" t="s">
        <v>2736</v>
      </c>
      <c r="N260" s="0" t="n">
        <v>119629</v>
      </c>
      <c r="O260" s="0" t="n">
        <v>0</v>
      </c>
      <c r="P260" s="0" t="s">
        <v>610</v>
      </c>
      <c r="Q260" s="0" t="s">
        <v>61</v>
      </c>
      <c r="R260" s="0" t="s">
        <v>2737</v>
      </c>
      <c r="S260" s="0" t="s">
        <v>61</v>
      </c>
      <c r="T260" s="0" t="s">
        <v>61</v>
      </c>
      <c r="U260" s="0" t="n">
        <v>0</v>
      </c>
      <c r="V260" s="0" t="n">
        <v>18.2380826024283</v>
      </c>
      <c r="W260" s="0" t="n">
        <v>20230331</v>
      </c>
      <c r="X260" s="0" t="n">
        <v>0.210682355624214</v>
      </c>
      <c r="Y260" s="0" t="s">
        <v>2738</v>
      </c>
      <c r="Z260" s="0" t="s">
        <v>158</v>
      </c>
    </row>
    <row r="261" customFormat="false" ht="15" hidden="false" customHeight="false" outlineLevel="0" collapsed="false">
      <c r="A261" s="0" t="n">
        <v>261</v>
      </c>
      <c r="B261" s="0" t="n">
        <v>44619</v>
      </c>
      <c r="C261" s="0" t="n">
        <v>59289</v>
      </c>
      <c r="D261" s="0" t="n">
        <v>22939</v>
      </c>
      <c r="E261" s="0" t="s">
        <v>2739</v>
      </c>
      <c r="F261" s="0" t="n">
        <v>20800</v>
      </c>
      <c r="G261" s="0" t="s">
        <v>2740</v>
      </c>
      <c r="H261" s="0" t="s">
        <v>2741</v>
      </c>
      <c r="I261" s="0" t="s">
        <v>2742</v>
      </c>
      <c r="J261" s="0" t="s">
        <v>2743</v>
      </c>
      <c r="K261" s="0" t="s">
        <v>61</v>
      </c>
      <c r="L261" s="0" t="n">
        <v>11029</v>
      </c>
      <c r="M261" s="0" t="s">
        <v>2744</v>
      </c>
      <c r="N261" s="0" t="n">
        <v>4676</v>
      </c>
      <c r="O261" s="0" t="n">
        <v>0</v>
      </c>
      <c r="P261" s="0" t="s">
        <v>2223</v>
      </c>
      <c r="Q261" s="0" t="s">
        <v>61</v>
      </c>
      <c r="R261" s="0" t="s">
        <v>2745</v>
      </c>
      <c r="S261" s="0" t="s">
        <v>61</v>
      </c>
      <c r="T261" s="0" t="s">
        <v>61</v>
      </c>
      <c r="U261" s="0" t="n">
        <v>0</v>
      </c>
      <c r="V261" s="0" t="n">
        <v>0</v>
      </c>
      <c r="W261" s="0" t="n">
        <v>20230331</v>
      </c>
      <c r="X261" s="0" t="n">
        <v>-8.18873306394105</v>
      </c>
      <c r="Y261" s="0" t="s">
        <v>2746</v>
      </c>
      <c r="Z261" s="0" t="s">
        <v>158</v>
      </c>
    </row>
    <row r="262" customFormat="false" ht="15" hidden="false" customHeight="false" outlineLevel="0" collapsed="false">
      <c r="A262" s="0" t="n">
        <v>262</v>
      </c>
      <c r="B262" s="0" t="n">
        <v>115337</v>
      </c>
      <c r="C262" s="0" t="n">
        <v>59298</v>
      </c>
      <c r="D262" s="0" t="n">
        <v>85635</v>
      </c>
      <c r="E262" s="0" t="s">
        <v>2747</v>
      </c>
      <c r="F262" s="0" t="n">
        <v>28720</v>
      </c>
      <c r="G262" s="0" t="s">
        <v>2748</v>
      </c>
      <c r="H262" s="0" t="s">
        <v>2749</v>
      </c>
      <c r="I262" s="0" t="s">
        <v>2750</v>
      </c>
      <c r="J262" s="0" t="s">
        <v>2751</v>
      </c>
      <c r="K262" s="0" t="s">
        <v>61</v>
      </c>
      <c r="L262" s="0" t="n">
        <v>37121</v>
      </c>
      <c r="M262" s="0" t="s">
        <v>2752</v>
      </c>
      <c r="N262" s="0" t="n">
        <v>28863</v>
      </c>
      <c r="O262" s="0" t="n">
        <v>0</v>
      </c>
      <c r="P262" s="0" t="s">
        <v>1684</v>
      </c>
      <c r="Q262" s="0" t="s">
        <v>61</v>
      </c>
      <c r="R262" s="0" t="s">
        <v>2753</v>
      </c>
      <c r="S262" s="0" t="s">
        <v>61</v>
      </c>
      <c r="T262" s="0" t="s">
        <v>61</v>
      </c>
      <c r="U262" s="0" t="n">
        <v>0</v>
      </c>
      <c r="V262" s="0" t="n">
        <v>0</v>
      </c>
      <c r="W262" s="0" t="n">
        <v>20230331</v>
      </c>
      <c r="X262" s="0" t="n">
        <v>-3.58202471281107</v>
      </c>
      <c r="Y262" s="0" t="s">
        <v>2754</v>
      </c>
      <c r="Z262" s="0" t="s">
        <v>98</v>
      </c>
    </row>
    <row r="263" customFormat="false" ht="15" hidden="false" customHeight="false" outlineLevel="0" collapsed="false">
      <c r="A263" s="0" t="n">
        <v>263</v>
      </c>
      <c r="B263" s="0" t="n">
        <v>1030080</v>
      </c>
      <c r="C263" s="0" t="n">
        <v>6271</v>
      </c>
      <c r="D263" s="0" t="n">
        <v>889655</v>
      </c>
      <c r="E263" s="0" t="s">
        <v>858</v>
      </c>
      <c r="F263" s="0" t="n">
        <v>91934</v>
      </c>
      <c r="G263" s="0" t="s">
        <v>2755</v>
      </c>
      <c r="H263" s="0" t="s">
        <v>2756</v>
      </c>
      <c r="I263" s="0" t="s">
        <v>2757</v>
      </c>
      <c r="J263" s="0" t="s">
        <v>2758</v>
      </c>
      <c r="K263" s="0" t="s">
        <v>2759</v>
      </c>
      <c r="L263" s="0" t="n">
        <v>759096</v>
      </c>
      <c r="M263" s="0" t="s">
        <v>2760</v>
      </c>
      <c r="N263" s="0" t="n">
        <v>593607</v>
      </c>
      <c r="O263" s="0" t="n">
        <v>8482</v>
      </c>
      <c r="P263" s="0" t="s">
        <v>621</v>
      </c>
      <c r="Q263" s="0" t="s">
        <v>2761</v>
      </c>
      <c r="R263" s="0" t="s">
        <v>2762</v>
      </c>
      <c r="S263" s="0" t="s">
        <v>2763</v>
      </c>
      <c r="T263" s="0" t="s">
        <v>2764</v>
      </c>
      <c r="U263" s="0" t="n">
        <v>176</v>
      </c>
      <c r="V263" s="0" t="n">
        <v>15.0686740437823</v>
      </c>
      <c r="W263" s="0" t="n">
        <v>20230331</v>
      </c>
      <c r="X263" s="0" t="n">
        <v>1.38518274505742</v>
      </c>
      <c r="Y263" s="0" t="s">
        <v>2765</v>
      </c>
      <c r="Z263" s="0" t="s">
        <v>98</v>
      </c>
    </row>
    <row r="264" customFormat="false" ht="15" hidden="false" customHeight="false" outlineLevel="0" collapsed="false">
      <c r="A264" s="0" t="n">
        <v>264</v>
      </c>
      <c r="B264" s="0" t="n">
        <v>537695</v>
      </c>
      <c r="C264" s="0" t="n">
        <v>6275</v>
      </c>
      <c r="D264" s="0" t="n">
        <v>478571</v>
      </c>
      <c r="E264" s="0" t="s">
        <v>61</v>
      </c>
      <c r="F264" s="0" t="n">
        <v>28866</v>
      </c>
      <c r="G264" s="0" t="s">
        <v>2766</v>
      </c>
      <c r="H264" s="0" t="s">
        <v>2767</v>
      </c>
      <c r="I264" s="0" t="s">
        <v>2768</v>
      </c>
      <c r="J264" s="0" t="s">
        <v>2769</v>
      </c>
      <c r="K264" s="0" t="s">
        <v>2770</v>
      </c>
      <c r="L264" s="0" t="n">
        <v>316204</v>
      </c>
      <c r="M264" s="0" t="s">
        <v>2771</v>
      </c>
      <c r="N264" s="0" t="n">
        <v>257983</v>
      </c>
      <c r="O264" s="0" t="n">
        <v>1344</v>
      </c>
      <c r="P264" s="0" t="s">
        <v>633</v>
      </c>
      <c r="Q264" s="0" t="s">
        <v>2772</v>
      </c>
      <c r="R264" s="0" t="s">
        <v>2773</v>
      </c>
      <c r="S264" s="0" t="s">
        <v>352</v>
      </c>
      <c r="T264" s="0" t="s">
        <v>1069</v>
      </c>
      <c r="U264" s="0" t="n">
        <v>0</v>
      </c>
      <c r="V264" s="0" t="n">
        <v>15.478889436504</v>
      </c>
      <c r="W264" s="0" t="n">
        <v>20230331</v>
      </c>
      <c r="X264" s="0" t="n">
        <v>0.598540404742425</v>
      </c>
      <c r="Y264" s="0" t="s">
        <v>2774</v>
      </c>
      <c r="Z264" s="0" t="s">
        <v>98</v>
      </c>
    </row>
    <row r="265" customFormat="false" ht="15" hidden="false" customHeight="false" outlineLevel="0" collapsed="false">
      <c r="A265" s="0" t="n">
        <v>265</v>
      </c>
      <c r="B265" s="0" t="n">
        <v>83956</v>
      </c>
      <c r="C265" s="0" t="n">
        <v>6280</v>
      </c>
      <c r="D265" s="0" t="n">
        <v>74763</v>
      </c>
      <c r="E265" s="0" t="s">
        <v>61</v>
      </c>
      <c r="F265" s="0" t="n">
        <v>9018</v>
      </c>
      <c r="G265" s="0" t="s">
        <v>2775</v>
      </c>
      <c r="H265" s="0" t="s">
        <v>2776</v>
      </c>
      <c r="I265" s="0" t="s">
        <v>2777</v>
      </c>
      <c r="J265" s="0" t="s">
        <v>2778</v>
      </c>
      <c r="K265" s="0" t="s">
        <v>2779</v>
      </c>
      <c r="L265" s="0" t="n">
        <v>63645</v>
      </c>
      <c r="M265" s="0" t="s">
        <v>2780</v>
      </c>
      <c r="N265" s="0" t="n">
        <v>55677</v>
      </c>
      <c r="O265" s="0" t="n">
        <v>597</v>
      </c>
      <c r="P265" s="0" t="s">
        <v>644</v>
      </c>
      <c r="Q265" s="0" t="s">
        <v>2781</v>
      </c>
      <c r="R265" s="0" t="s">
        <v>2782</v>
      </c>
      <c r="S265" s="0" t="s">
        <v>61</v>
      </c>
      <c r="T265" s="0" t="s">
        <v>2783</v>
      </c>
      <c r="U265" s="0" t="n">
        <v>0</v>
      </c>
      <c r="V265" s="0" t="n">
        <v>0</v>
      </c>
      <c r="W265" s="0" t="n">
        <v>20230331</v>
      </c>
      <c r="X265" s="0" t="n">
        <v>1.95501565910601</v>
      </c>
      <c r="Y265" s="0" t="s">
        <v>2784</v>
      </c>
      <c r="Z265" s="0" t="s">
        <v>98</v>
      </c>
    </row>
    <row r="266" customFormat="false" ht="15" hidden="false" customHeight="false" outlineLevel="0" collapsed="false">
      <c r="A266" s="0" t="n">
        <v>266</v>
      </c>
      <c r="B266" s="0" t="n">
        <v>4024714</v>
      </c>
      <c r="C266" s="0" t="n">
        <v>11971</v>
      </c>
      <c r="D266" s="0" t="n">
        <v>3097302</v>
      </c>
      <c r="E266" s="0" t="s">
        <v>259</v>
      </c>
      <c r="F266" s="0" t="n">
        <v>463527</v>
      </c>
      <c r="G266" s="0" t="s">
        <v>2785</v>
      </c>
      <c r="H266" s="0" t="s">
        <v>2786</v>
      </c>
      <c r="I266" s="0" t="s">
        <v>2787</v>
      </c>
      <c r="J266" s="0" t="s">
        <v>2788</v>
      </c>
      <c r="K266" s="0" t="s">
        <v>2789</v>
      </c>
      <c r="L266" s="0" t="n">
        <v>3011149</v>
      </c>
      <c r="M266" s="0" t="s">
        <v>2790</v>
      </c>
      <c r="N266" s="0" t="n">
        <v>2647016</v>
      </c>
      <c r="O266" s="0" t="n">
        <v>6704</v>
      </c>
      <c r="P266" s="0" t="s">
        <v>54</v>
      </c>
      <c r="Q266" s="0" t="s">
        <v>2791</v>
      </c>
      <c r="R266" s="0" t="s">
        <v>2792</v>
      </c>
      <c r="S266" s="0" t="s">
        <v>1556</v>
      </c>
      <c r="T266" s="0" t="s">
        <v>2793</v>
      </c>
      <c r="U266" s="0" t="n">
        <v>568</v>
      </c>
      <c r="V266" s="0" t="n">
        <v>13.2942278137619</v>
      </c>
      <c r="W266" s="0" t="n">
        <v>20230630</v>
      </c>
      <c r="X266" s="0" t="n">
        <v>1.34667895852712</v>
      </c>
      <c r="Y266" s="0" t="s">
        <v>133</v>
      </c>
      <c r="Z266" s="0" t="s">
        <v>60</v>
      </c>
    </row>
    <row r="267" customFormat="false" ht="15" hidden="false" customHeight="false" outlineLevel="0" collapsed="false">
      <c r="A267" s="0" t="n">
        <v>267</v>
      </c>
      <c r="B267" s="0" t="n">
        <v>1000625</v>
      </c>
      <c r="C267" s="0" t="n">
        <v>12874</v>
      </c>
      <c r="D267" s="0" t="n">
        <v>879800</v>
      </c>
      <c r="E267" s="0" t="s">
        <v>890</v>
      </c>
      <c r="F267" s="0" t="n">
        <v>101151</v>
      </c>
      <c r="G267" s="0" t="s">
        <v>2794</v>
      </c>
      <c r="H267" s="0" t="s">
        <v>2795</v>
      </c>
      <c r="I267" s="0" t="s">
        <v>2796</v>
      </c>
      <c r="J267" s="0" t="s">
        <v>2797</v>
      </c>
      <c r="K267" s="0" t="s">
        <v>2798</v>
      </c>
      <c r="L267" s="0" t="n">
        <v>781131</v>
      </c>
      <c r="M267" s="0" t="s">
        <v>2799</v>
      </c>
      <c r="N267" s="0" t="n">
        <v>615778</v>
      </c>
      <c r="O267" s="0" t="n">
        <v>420</v>
      </c>
      <c r="P267" s="0" t="s">
        <v>68</v>
      </c>
      <c r="Q267" s="0" t="s">
        <v>2800</v>
      </c>
      <c r="R267" s="0" t="s">
        <v>2801</v>
      </c>
      <c r="S267" s="0" t="s">
        <v>2061</v>
      </c>
      <c r="T267" s="0" t="s">
        <v>2802</v>
      </c>
      <c r="U267" s="0" t="n">
        <v>0</v>
      </c>
      <c r="V267" s="0" t="n">
        <v>15.460188076053</v>
      </c>
      <c r="W267" s="0" t="n">
        <v>20230630</v>
      </c>
      <c r="X267" s="0" t="n">
        <v>1.1001045163411</v>
      </c>
      <c r="Y267" s="0" t="s">
        <v>2803</v>
      </c>
      <c r="Z267" s="0" t="s">
        <v>60</v>
      </c>
    </row>
    <row r="268" customFormat="false" ht="15" hidden="false" customHeight="false" outlineLevel="0" collapsed="false">
      <c r="A268" s="0" t="n">
        <v>268</v>
      </c>
      <c r="B268" s="0" t="n">
        <v>1812064</v>
      </c>
      <c r="C268" s="0" t="n">
        <v>13063</v>
      </c>
      <c r="D268" s="0" t="n">
        <v>1600851</v>
      </c>
      <c r="E268" s="0" t="s">
        <v>1708</v>
      </c>
      <c r="F268" s="0" t="n">
        <v>137010</v>
      </c>
      <c r="G268" s="0" t="s">
        <v>2804</v>
      </c>
      <c r="H268" s="0" t="s">
        <v>2805</v>
      </c>
      <c r="I268" s="0" t="s">
        <v>2806</v>
      </c>
      <c r="J268" s="0" t="s">
        <v>2807</v>
      </c>
      <c r="K268" s="0" t="s">
        <v>2808</v>
      </c>
      <c r="L268" s="0" t="n">
        <v>1384852</v>
      </c>
      <c r="M268" s="0" t="s">
        <v>2809</v>
      </c>
      <c r="N268" s="0" t="n">
        <v>1322359</v>
      </c>
      <c r="O268" s="0" t="n">
        <v>501</v>
      </c>
      <c r="P268" s="0" t="s">
        <v>80</v>
      </c>
      <c r="Q268" s="0" t="s">
        <v>2810</v>
      </c>
      <c r="R268" s="0" t="s">
        <v>2811</v>
      </c>
      <c r="S268" s="0" t="s">
        <v>2812</v>
      </c>
      <c r="T268" s="0" t="s">
        <v>61</v>
      </c>
      <c r="U268" s="0" t="n">
        <v>711</v>
      </c>
      <c r="V268" s="0" t="n">
        <v>0</v>
      </c>
      <c r="W268" s="0" t="n">
        <v>20230630</v>
      </c>
      <c r="X268" s="0" t="n">
        <v>0.106400279958703</v>
      </c>
      <c r="Y268" s="0" t="s">
        <v>557</v>
      </c>
      <c r="Z268" s="0" t="s">
        <v>60</v>
      </c>
    </row>
    <row r="269" customFormat="false" ht="15" hidden="false" customHeight="false" outlineLevel="0" collapsed="false">
      <c r="A269" s="0" t="n">
        <v>269</v>
      </c>
      <c r="B269" s="0" t="n">
        <v>847137</v>
      </c>
      <c r="C269" s="0" t="n">
        <v>14134</v>
      </c>
      <c r="D269" s="0" t="n">
        <v>678698</v>
      </c>
      <c r="E269" s="0" t="s">
        <v>858</v>
      </c>
      <c r="F269" s="0" t="n">
        <v>100453</v>
      </c>
      <c r="G269" s="0" t="s">
        <v>2813</v>
      </c>
      <c r="H269" s="0" t="s">
        <v>2814</v>
      </c>
      <c r="I269" s="0" t="s">
        <v>2815</v>
      </c>
      <c r="J269" s="0" t="s">
        <v>2816</v>
      </c>
      <c r="K269" s="0" t="s">
        <v>2817</v>
      </c>
      <c r="L269" s="0" t="n">
        <v>646015</v>
      </c>
      <c r="M269" s="0" t="s">
        <v>2818</v>
      </c>
      <c r="N269" s="0" t="n">
        <v>571141</v>
      </c>
      <c r="O269" s="0" t="n">
        <v>12099</v>
      </c>
      <c r="P269" s="0" t="s">
        <v>92</v>
      </c>
      <c r="Q269" s="0" t="s">
        <v>2819</v>
      </c>
      <c r="R269" s="0" t="s">
        <v>2820</v>
      </c>
      <c r="S269" s="0" t="s">
        <v>2821</v>
      </c>
      <c r="T269" s="0" t="s">
        <v>2822</v>
      </c>
      <c r="U269" s="0" t="n">
        <v>0</v>
      </c>
      <c r="V269" s="0" t="n">
        <v>18.0862145256514</v>
      </c>
      <c r="W269" s="0" t="n">
        <v>20230630</v>
      </c>
      <c r="X269" s="0" t="n">
        <v>0.701673098405606</v>
      </c>
      <c r="Y269" s="0" t="s">
        <v>2823</v>
      </c>
      <c r="Z269" s="0" t="s">
        <v>98</v>
      </c>
    </row>
    <row r="270" customFormat="false" ht="15" hidden="false" customHeight="false" outlineLevel="0" collapsed="false">
      <c r="A270" s="0" t="n">
        <v>270</v>
      </c>
      <c r="B270" s="0" t="n">
        <v>231428</v>
      </c>
      <c r="C270" s="0" t="n">
        <v>14136</v>
      </c>
      <c r="D270" s="0" t="n">
        <v>199035</v>
      </c>
      <c r="E270" s="0" t="s">
        <v>172</v>
      </c>
      <c r="F270" s="0" t="n">
        <v>15826</v>
      </c>
      <c r="G270" s="0" t="s">
        <v>2824</v>
      </c>
      <c r="H270" s="0" t="s">
        <v>2825</v>
      </c>
      <c r="I270" s="0" t="s">
        <v>2826</v>
      </c>
      <c r="J270" s="0" t="s">
        <v>2827</v>
      </c>
      <c r="K270" s="0" t="s">
        <v>2828</v>
      </c>
      <c r="L270" s="0" t="n">
        <v>146930</v>
      </c>
      <c r="M270" s="0" t="s">
        <v>2829</v>
      </c>
      <c r="N270" s="0" t="n">
        <v>118077</v>
      </c>
      <c r="O270" s="0" t="n">
        <v>71</v>
      </c>
      <c r="P270" s="0" t="s">
        <v>105</v>
      </c>
      <c r="Q270" s="0" t="s">
        <v>2830</v>
      </c>
      <c r="R270" s="0" t="s">
        <v>2831</v>
      </c>
      <c r="S270" s="0" t="s">
        <v>2832</v>
      </c>
      <c r="T270" s="0" t="s">
        <v>2258</v>
      </c>
      <c r="U270" s="0" t="n">
        <v>660</v>
      </c>
      <c r="V270" s="0" t="n">
        <v>17.4186390532544</v>
      </c>
      <c r="W270" s="0" t="n">
        <v>20230630</v>
      </c>
      <c r="X270" s="0" t="n">
        <v>0.65864100406162</v>
      </c>
      <c r="Y270" s="0" t="s">
        <v>2833</v>
      </c>
      <c r="Z270" s="0" t="s">
        <v>98</v>
      </c>
    </row>
    <row r="271" customFormat="false" ht="15" hidden="false" customHeight="false" outlineLevel="0" collapsed="false">
      <c r="A271" s="0" t="n">
        <v>271</v>
      </c>
      <c r="B271" s="0" t="n">
        <v>1455126</v>
      </c>
      <c r="C271" s="0" t="n">
        <v>14140</v>
      </c>
      <c r="D271" s="0" t="n">
        <v>1135506</v>
      </c>
      <c r="E271" s="0" t="s">
        <v>271</v>
      </c>
      <c r="F271" s="0" t="n">
        <v>119184</v>
      </c>
      <c r="G271" s="0" t="s">
        <v>2834</v>
      </c>
      <c r="H271" s="0" t="s">
        <v>2835</v>
      </c>
      <c r="I271" s="0" t="s">
        <v>2836</v>
      </c>
      <c r="J271" s="0" t="s">
        <v>2837</v>
      </c>
      <c r="K271" s="0" t="s">
        <v>2838</v>
      </c>
      <c r="L271" s="0" t="n">
        <v>1012877</v>
      </c>
      <c r="M271" s="0" t="s">
        <v>2839</v>
      </c>
      <c r="N271" s="0" t="n">
        <v>902092</v>
      </c>
      <c r="O271" s="0" t="n">
        <v>4474</v>
      </c>
      <c r="P271" s="0" t="s">
        <v>117</v>
      </c>
      <c r="Q271" s="0" t="s">
        <v>2840</v>
      </c>
      <c r="R271" s="0" t="s">
        <v>2841</v>
      </c>
      <c r="S271" s="0" t="s">
        <v>2842</v>
      </c>
      <c r="T271" s="0" t="s">
        <v>2843</v>
      </c>
      <c r="U271" s="0" t="n">
        <v>0</v>
      </c>
      <c r="V271" s="0" t="n">
        <v>0</v>
      </c>
      <c r="W271" s="0" t="n">
        <v>20230630</v>
      </c>
      <c r="X271" s="0" t="n">
        <v>0.339718008369905</v>
      </c>
      <c r="Y271" s="0" t="s">
        <v>1878</v>
      </c>
      <c r="Z271" s="0" t="s">
        <v>98</v>
      </c>
    </row>
    <row r="272" customFormat="false" ht="15" hidden="false" customHeight="false" outlineLevel="0" collapsed="false">
      <c r="A272" s="0" t="n">
        <v>272</v>
      </c>
      <c r="B272" s="0" t="n">
        <v>1334466</v>
      </c>
      <c r="C272" s="0" t="n">
        <v>14158</v>
      </c>
      <c r="D272" s="0" t="n">
        <v>1127096</v>
      </c>
      <c r="E272" s="0" t="s">
        <v>61</v>
      </c>
      <c r="F272" s="0" t="n">
        <v>75241</v>
      </c>
      <c r="G272" s="0" t="s">
        <v>2844</v>
      </c>
      <c r="H272" s="0" t="s">
        <v>2845</v>
      </c>
      <c r="I272" s="0" t="s">
        <v>2846</v>
      </c>
      <c r="J272" s="0" t="s">
        <v>2847</v>
      </c>
      <c r="K272" s="0" t="s">
        <v>2848</v>
      </c>
      <c r="L272" s="0" t="n">
        <v>940237</v>
      </c>
      <c r="M272" s="0" t="s">
        <v>2849</v>
      </c>
      <c r="N272" s="0" t="n">
        <v>869255</v>
      </c>
      <c r="O272" s="0" t="n">
        <v>1957</v>
      </c>
      <c r="P272" s="0" t="s">
        <v>129</v>
      </c>
      <c r="Q272" s="0" t="s">
        <v>2850</v>
      </c>
      <c r="R272" s="0" t="s">
        <v>2851</v>
      </c>
      <c r="S272" s="0" t="s">
        <v>83</v>
      </c>
      <c r="T272" s="0" t="s">
        <v>2852</v>
      </c>
      <c r="U272" s="0" t="n">
        <v>64</v>
      </c>
      <c r="V272" s="0" t="n">
        <v>13.4736798668519</v>
      </c>
      <c r="W272" s="0" t="n">
        <v>20230630</v>
      </c>
      <c r="X272" s="0" t="n">
        <v>0.914619400913875</v>
      </c>
      <c r="Y272" s="0" t="s">
        <v>2853</v>
      </c>
      <c r="Z272" s="0" t="s">
        <v>98</v>
      </c>
    </row>
    <row r="273" customFormat="false" ht="15" hidden="false" customHeight="false" outlineLevel="0" collapsed="false">
      <c r="A273" s="0" t="n">
        <v>273</v>
      </c>
      <c r="B273" s="0" t="n">
        <v>354017</v>
      </c>
      <c r="C273" s="0" t="n">
        <v>14168</v>
      </c>
      <c r="D273" s="0" t="n">
        <v>316211</v>
      </c>
      <c r="E273" s="0" t="s">
        <v>2854</v>
      </c>
      <c r="F273" s="0" t="n">
        <v>33013</v>
      </c>
      <c r="G273" s="0" t="s">
        <v>2855</v>
      </c>
      <c r="H273" s="0" t="s">
        <v>2856</v>
      </c>
      <c r="I273" s="0" t="s">
        <v>2857</v>
      </c>
      <c r="J273" s="0" t="s">
        <v>2858</v>
      </c>
      <c r="K273" s="0" t="s">
        <v>2859</v>
      </c>
      <c r="L273" s="0" t="n">
        <v>221896</v>
      </c>
      <c r="M273" s="0" t="s">
        <v>2860</v>
      </c>
      <c r="N273" s="0" t="n">
        <v>185047</v>
      </c>
      <c r="O273" s="0" t="n">
        <v>1000</v>
      </c>
      <c r="P273" s="0" t="s">
        <v>140</v>
      </c>
      <c r="Q273" s="0" t="s">
        <v>2861</v>
      </c>
      <c r="R273" s="0" t="s">
        <v>2862</v>
      </c>
      <c r="S273" s="0" t="s">
        <v>1329</v>
      </c>
      <c r="T273" s="0" t="s">
        <v>2863</v>
      </c>
      <c r="U273" s="0" t="n">
        <v>0</v>
      </c>
      <c r="V273" s="0" t="n">
        <v>17.1814956205516</v>
      </c>
      <c r="W273" s="0" t="n">
        <v>20230630</v>
      </c>
      <c r="X273" s="0" t="n">
        <v>0.771338321111053</v>
      </c>
      <c r="Y273" s="0" t="s">
        <v>2864</v>
      </c>
      <c r="Z273" s="0" t="s">
        <v>98</v>
      </c>
    </row>
    <row r="274" customFormat="false" ht="15" hidden="false" customHeight="false" outlineLevel="0" collapsed="false">
      <c r="A274" s="0" t="n">
        <v>274</v>
      </c>
      <c r="B274" s="0" t="n">
        <v>1364156</v>
      </c>
      <c r="C274" s="0" t="n">
        <v>14240</v>
      </c>
      <c r="D274" s="0" t="n">
        <v>1068855</v>
      </c>
      <c r="E274" s="0" t="s">
        <v>61</v>
      </c>
      <c r="F274" s="0" t="n">
        <v>84062</v>
      </c>
      <c r="G274" s="0" t="s">
        <v>2865</v>
      </c>
      <c r="H274" s="0" t="s">
        <v>2866</v>
      </c>
      <c r="I274" s="0" t="s">
        <v>2867</v>
      </c>
      <c r="J274" s="0" t="s">
        <v>2868</v>
      </c>
      <c r="K274" s="0" t="s">
        <v>2869</v>
      </c>
      <c r="L274" s="0" t="n">
        <v>961383</v>
      </c>
      <c r="M274" s="0" t="s">
        <v>2870</v>
      </c>
      <c r="N274" s="0" t="n">
        <v>840679</v>
      </c>
      <c r="O274" s="0" t="n">
        <v>2407</v>
      </c>
      <c r="P274" s="0" t="s">
        <v>152</v>
      </c>
      <c r="Q274" s="0" t="s">
        <v>2871</v>
      </c>
      <c r="R274" s="0" t="s">
        <v>2872</v>
      </c>
      <c r="S274" s="0" t="s">
        <v>2873</v>
      </c>
      <c r="T274" s="0" t="s">
        <v>2874</v>
      </c>
      <c r="U274" s="0" t="n">
        <v>0</v>
      </c>
      <c r="V274" s="0" t="n">
        <v>14.8382290668257</v>
      </c>
      <c r="W274" s="0" t="n">
        <v>20230630</v>
      </c>
      <c r="X274" s="0" t="n">
        <v>0.488172326619474</v>
      </c>
      <c r="Y274" s="0" t="s">
        <v>2875</v>
      </c>
      <c r="Z274" s="0" t="s">
        <v>158</v>
      </c>
    </row>
    <row r="275" customFormat="false" ht="15" hidden="false" customHeight="false" outlineLevel="0" collapsed="false">
      <c r="A275" s="0" t="n">
        <v>275</v>
      </c>
      <c r="B275" s="0" t="n">
        <v>1072006</v>
      </c>
      <c r="C275" s="0" t="n">
        <v>17115</v>
      </c>
      <c r="D275" s="0" t="n">
        <v>821428</v>
      </c>
      <c r="E275" s="0" t="s">
        <v>1187</v>
      </c>
      <c r="F275" s="0" t="n">
        <v>81921</v>
      </c>
      <c r="G275" s="0" t="s">
        <v>2876</v>
      </c>
      <c r="H275" s="0" t="s">
        <v>2877</v>
      </c>
      <c r="I275" s="0" t="s">
        <v>2878</v>
      </c>
      <c r="J275" s="0" t="s">
        <v>2879</v>
      </c>
      <c r="K275" s="0" t="s">
        <v>2880</v>
      </c>
      <c r="L275" s="0" t="n">
        <v>882529</v>
      </c>
      <c r="M275" s="0" t="s">
        <v>2881</v>
      </c>
      <c r="N275" s="0" t="n">
        <v>832338</v>
      </c>
      <c r="O275" s="0" t="n">
        <v>254</v>
      </c>
      <c r="P275" s="0" t="s">
        <v>166</v>
      </c>
      <c r="Q275" s="0" t="s">
        <v>2882</v>
      </c>
      <c r="R275" s="0" t="s">
        <v>2883</v>
      </c>
      <c r="S275" s="0" t="s">
        <v>845</v>
      </c>
      <c r="T275" s="0" t="s">
        <v>182</v>
      </c>
      <c r="U275" s="0" t="n">
        <v>0</v>
      </c>
      <c r="V275" s="0" t="n">
        <v>13.5922802319822</v>
      </c>
      <c r="W275" s="0" t="n">
        <v>20230630</v>
      </c>
      <c r="X275" s="0" t="n">
        <v>0.58243002750364</v>
      </c>
      <c r="Y275" s="0" t="s">
        <v>2884</v>
      </c>
      <c r="Z275" s="0" t="s">
        <v>60</v>
      </c>
    </row>
    <row r="276" customFormat="false" ht="15" hidden="false" customHeight="false" outlineLevel="0" collapsed="false">
      <c r="A276" s="0" t="n">
        <v>276</v>
      </c>
      <c r="B276" s="0" t="n">
        <v>1616649</v>
      </c>
      <c r="C276" s="0" t="n">
        <v>17180</v>
      </c>
      <c r="D276" s="0" t="n">
        <v>1185191</v>
      </c>
      <c r="E276" s="0" t="s">
        <v>1393</v>
      </c>
      <c r="F276" s="0" t="n">
        <v>131745</v>
      </c>
      <c r="G276" s="0" t="s">
        <v>2885</v>
      </c>
      <c r="H276" s="0" t="s">
        <v>2886</v>
      </c>
      <c r="I276" s="0" t="s">
        <v>2887</v>
      </c>
      <c r="J276" s="0" t="s">
        <v>2888</v>
      </c>
      <c r="K276" s="0" t="s">
        <v>2889</v>
      </c>
      <c r="L276" s="0" t="n">
        <v>1450822</v>
      </c>
      <c r="M276" s="0" t="s">
        <v>2890</v>
      </c>
      <c r="N276" s="0" t="n">
        <v>1177241</v>
      </c>
      <c r="O276" s="0" t="n">
        <v>5043</v>
      </c>
      <c r="P276" s="0" t="s">
        <v>179</v>
      </c>
      <c r="Q276" s="0" t="s">
        <v>2891</v>
      </c>
      <c r="R276" s="0" t="s">
        <v>2892</v>
      </c>
      <c r="S276" s="0" t="s">
        <v>2893</v>
      </c>
      <c r="T276" s="0" t="s">
        <v>2894</v>
      </c>
      <c r="U276" s="0" t="n">
        <v>1345</v>
      </c>
      <c r="V276" s="0" t="n">
        <v>13.6752678572979</v>
      </c>
      <c r="W276" s="0" t="n">
        <v>20230630</v>
      </c>
      <c r="X276" s="0" t="n">
        <v>0.391164988075164</v>
      </c>
      <c r="Y276" s="0" t="s">
        <v>2895</v>
      </c>
      <c r="Z276" s="0" t="s">
        <v>158</v>
      </c>
    </row>
    <row r="277" customFormat="false" ht="15" hidden="false" customHeight="false" outlineLevel="0" collapsed="false">
      <c r="A277" s="0" t="n">
        <v>277</v>
      </c>
      <c r="B277" s="0" t="n">
        <v>360577</v>
      </c>
      <c r="C277" s="0" t="n">
        <v>17443</v>
      </c>
      <c r="D277" s="0" t="n">
        <v>321273</v>
      </c>
      <c r="E277" s="0" t="s">
        <v>208</v>
      </c>
      <c r="F277" s="0" t="n">
        <v>38058</v>
      </c>
      <c r="G277" s="0" t="s">
        <v>2896</v>
      </c>
      <c r="H277" s="0" t="s">
        <v>2897</v>
      </c>
      <c r="I277" s="0" t="s">
        <v>2898</v>
      </c>
      <c r="J277" s="0" t="s">
        <v>61</v>
      </c>
      <c r="K277" s="0" t="s">
        <v>2899</v>
      </c>
      <c r="L277" s="0" t="n">
        <v>212528</v>
      </c>
      <c r="M277" s="0" t="s">
        <v>2900</v>
      </c>
      <c r="N277" s="0" t="n">
        <v>210812</v>
      </c>
      <c r="O277" s="0" t="n">
        <v>109</v>
      </c>
      <c r="P277" s="0" t="s">
        <v>190</v>
      </c>
      <c r="Q277" s="0" t="s">
        <v>2901</v>
      </c>
      <c r="R277" s="0" t="s">
        <v>2902</v>
      </c>
      <c r="S277" s="0" t="s">
        <v>61</v>
      </c>
      <c r="T277" s="0" t="s">
        <v>2903</v>
      </c>
      <c r="U277" s="0" t="n">
        <v>0</v>
      </c>
      <c r="V277" s="0" t="n">
        <v>0</v>
      </c>
      <c r="W277" s="0" t="n">
        <v>20230630</v>
      </c>
      <c r="X277" s="0" t="n">
        <v>0.0986572549921649</v>
      </c>
      <c r="Y277" s="0" t="s">
        <v>2904</v>
      </c>
      <c r="Z277" s="0" t="s">
        <v>158</v>
      </c>
    </row>
    <row r="278" customFormat="false" ht="15" hidden="false" customHeight="false" outlineLevel="0" collapsed="false">
      <c r="A278" s="0" t="n">
        <v>278</v>
      </c>
      <c r="B278" s="0" t="n">
        <v>1826350</v>
      </c>
      <c r="C278" s="0" t="n">
        <v>17658</v>
      </c>
      <c r="D278" s="0" t="n">
        <v>1452649</v>
      </c>
      <c r="E278" s="0" t="s">
        <v>61</v>
      </c>
      <c r="F278" s="0" t="n">
        <v>198387</v>
      </c>
      <c r="G278" s="0" t="s">
        <v>2905</v>
      </c>
      <c r="H278" s="0" t="s">
        <v>2906</v>
      </c>
      <c r="I278" s="0" t="s">
        <v>2907</v>
      </c>
      <c r="J278" s="0" t="s">
        <v>2908</v>
      </c>
      <c r="K278" s="0" t="s">
        <v>2909</v>
      </c>
      <c r="L278" s="0" t="n">
        <v>1269717</v>
      </c>
      <c r="M278" s="0" t="s">
        <v>2910</v>
      </c>
      <c r="N278" s="0" t="n">
        <v>1085469</v>
      </c>
      <c r="O278" s="0" t="n">
        <v>1369</v>
      </c>
      <c r="P278" s="0" t="s">
        <v>202</v>
      </c>
      <c r="Q278" s="0" t="s">
        <v>2911</v>
      </c>
      <c r="R278" s="0" t="s">
        <v>2912</v>
      </c>
      <c r="S278" s="0" t="s">
        <v>2913</v>
      </c>
      <c r="T278" s="0" t="s">
        <v>2914</v>
      </c>
      <c r="U278" s="0" t="n">
        <v>0</v>
      </c>
      <c r="V278" s="0" t="n">
        <v>0</v>
      </c>
      <c r="W278" s="0" t="n">
        <v>20230630</v>
      </c>
      <c r="X278" s="0" t="n">
        <v>0.930695622619818</v>
      </c>
      <c r="Y278" s="0" t="s">
        <v>2915</v>
      </c>
      <c r="Z278" s="0" t="s">
        <v>60</v>
      </c>
    </row>
    <row r="279" customFormat="false" ht="15" hidden="false" customHeight="false" outlineLevel="0" collapsed="false">
      <c r="A279" s="0" t="n">
        <v>279</v>
      </c>
      <c r="B279" s="0" t="n">
        <v>1036036</v>
      </c>
      <c r="C279" s="0" t="n">
        <v>17741</v>
      </c>
      <c r="D279" s="0" t="n">
        <v>800487</v>
      </c>
      <c r="E279" s="0" t="s">
        <v>208</v>
      </c>
      <c r="F279" s="0" t="n">
        <v>133406</v>
      </c>
      <c r="G279" s="0" t="s">
        <v>2916</v>
      </c>
      <c r="H279" s="0" t="s">
        <v>2917</v>
      </c>
      <c r="I279" s="0" t="s">
        <v>2918</v>
      </c>
      <c r="J279" s="0" t="s">
        <v>2919</v>
      </c>
      <c r="K279" s="0" t="s">
        <v>2920</v>
      </c>
      <c r="L279" s="0" t="n">
        <v>877735</v>
      </c>
      <c r="M279" s="0" t="s">
        <v>2921</v>
      </c>
      <c r="N279" s="0" t="n">
        <v>820189</v>
      </c>
      <c r="O279" s="0" t="n">
        <v>1987</v>
      </c>
      <c r="P279" s="0" t="s">
        <v>215</v>
      </c>
      <c r="Q279" s="0" t="s">
        <v>2922</v>
      </c>
      <c r="R279" s="0" t="s">
        <v>2923</v>
      </c>
      <c r="S279" s="0" t="s">
        <v>293</v>
      </c>
      <c r="T279" s="0" t="s">
        <v>2189</v>
      </c>
      <c r="U279" s="0" t="n">
        <v>0</v>
      </c>
      <c r="V279" s="0" t="n">
        <v>0</v>
      </c>
      <c r="W279" s="0" t="n">
        <v>20230630</v>
      </c>
      <c r="X279" s="0" t="n">
        <v>0.691931497863857</v>
      </c>
      <c r="Y279" s="0" t="s">
        <v>2924</v>
      </c>
      <c r="Z279" s="0" t="s">
        <v>60</v>
      </c>
    </row>
    <row r="280" customFormat="false" ht="15" hidden="false" customHeight="false" outlineLevel="0" collapsed="false">
      <c r="A280" s="0" t="n">
        <v>280</v>
      </c>
      <c r="B280" s="0" t="n">
        <v>1333208</v>
      </c>
      <c r="C280" s="0" t="n">
        <v>17743</v>
      </c>
      <c r="D280" s="0" t="n">
        <v>950623</v>
      </c>
      <c r="E280" s="0" t="s">
        <v>61</v>
      </c>
      <c r="F280" s="0" t="n">
        <v>121236</v>
      </c>
      <c r="G280" s="0" t="s">
        <v>2925</v>
      </c>
      <c r="H280" s="0" t="s">
        <v>2926</v>
      </c>
      <c r="I280" s="0" t="s">
        <v>2927</v>
      </c>
      <c r="J280" s="0" t="s">
        <v>2928</v>
      </c>
      <c r="K280" s="0" t="s">
        <v>2929</v>
      </c>
      <c r="L280" s="0" t="n">
        <v>1037097</v>
      </c>
      <c r="M280" s="0" t="s">
        <v>2930</v>
      </c>
      <c r="N280" s="0" t="n">
        <v>1005554</v>
      </c>
      <c r="O280" s="0" t="n">
        <v>4416</v>
      </c>
      <c r="P280" s="0" t="s">
        <v>227</v>
      </c>
      <c r="Q280" s="0" t="s">
        <v>2931</v>
      </c>
      <c r="R280" s="0" t="s">
        <v>2932</v>
      </c>
      <c r="S280" s="0" t="s">
        <v>2678</v>
      </c>
      <c r="T280" s="0" t="s">
        <v>2933</v>
      </c>
      <c r="U280" s="0" t="n">
        <v>0</v>
      </c>
      <c r="V280" s="0" t="n">
        <v>0</v>
      </c>
      <c r="W280" s="0" t="n">
        <v>20230630</v>
      </c>
      <c r="X280" s="0" t="n">
        <v>0.0965920880347445</v>
      </c>
      <c r="Y280" s="0" t="s">
        <v>2934</v>
      </c>
      <c r="Z280" s="0" t="s">
        <v>60</v>
      </c>
    </row>
    <row r="281" customFormat="false" ht="15" hidden="false" customHeight="false" outlineLevel="0" collapsed="false">
      <c r="A281" s="0" t="n">
        <v>281</v>
      </c>
      <c r="B281" s="0" t="n">
        <v>1638948</v>
      </c>
      <c r="C281" s="0" t="n">
        <v>17748</v>
      </c>
      <c r="D281" s="0" t="n">
        <v>1352478</v>
      </c>
      <c r="E281" s="0" t="s">
        <v>85</v>
      </c>
      <c r="F281" s="0" t="n">
        <v>107830</v>
      </c>
      <c r="G281" s="0" t="s">
        <v>2935</v>
      </c>
      <c r="H281" s="0" t="s">
        <v>2936</v>
      </c>
      <c r="I281" s="0" t="s">
        <v>2937</v>
      </c>
      <c r="J281" s="0" t="s">
        <v>2938</v>
      </c>
      <c r="K281" s="0" t="s">
        <v>2939</v>
      </c>
      <c r="L281" s="0" t="n">
        <v>1266653</v>
      </c>
      <c r="M281" s="0" t="s">
        <v>2940</v>
      </c>
      <c r="N281" s="0" t="n">
        <v>1048029</v>
      </c>
      <c r="O281" s="0" t="n">
        <v>6702</v>
      </c>
      <c r="P281" s="0" t="s">
        <v>240</v>
      </c>
      <c r="Q281" s="0" t="s">
        <v>2941</v>
      </c>
      <c r="R281" s="0" t="s">
        <v>2942</v>
      </c>
      <c r="S281" s="0" t="s">
        <v>2943</v>
      </c>
      <c r="T281" s="0" t="s">
        <v>2944</v>
      </c>
      <c r="U281" s="0" t="n">
        <v>0</v>
      </c>
      <c r="V281" s="0" t="n">
        <v>0</v>
      </c>
      <c r="W281" s="0" t="n">
        <v>20230630</v>
      </c>
      <c r="X281" s="0" t="n">
        <v>0.18612504564291</v>
      </c>
      <c r="Y281" s="0" t="s">
        <v>804</v>
      </c>
      <c r="Z281" s="0" t="s">
        <v>60</v>
      </c>
    </row>
    <row r="282" customFormat="false" ht="15" hidden="false" customHeight="false" outlineLevel="0" collapsed="false">
      <c r="A282" s="0" t="n">
        <v>282</v>
      </c>
      <c r="B282" s="0" t="n">
        <v>1316293</v>
      </c>
      <c r="C282" s="0" t="n">
        <v>17749</v>
      </c>
      <c r="D282" s="0" t="n">
        <v>1027633</v>
      </c>
      <c r="E282" s="0" t="s">
        <v>246</v>
      </c>
      <c r="F282" s="0" t="n">
        <v>161414</v>
      </c>
      <c r="G282" s="0" t="s">
        <v>2945</v>
      </c>
      <c r="H282" s="0" t="s">
        <v>2946</v>
      </c>
      <c r="I282" s="0" t="s">
        <v>2947</v>
      </c>
      <c r="J282" s="0" t="s">
        <v>2948</v>
      </c>
      <c r="K282" s="0" t="s">
        <v>2949</v>
      </c>
      <c r="L282" s="0" t="n">
        <v>776535</v>
      </c>
      <c r="M282" s="0" t="s">
        <v>2950</v>
      </c>
      <c r="N282" s="0" t="n">
        <v>702580</v>
      </c>
      <c r="O282" s="0" t="n">
        <v>293</v>
      </c>
      <c r="P282" s="0" t="s">
        <v>253</v>
      </c>
      <c r="Q282" s="0" t="s">
        <v>2951</v>
      </c>
      <c r="R282" s="0" t="s">
        <v>2952</v>
      </c>
      <c r="S282" s="0" t="s">
        <v>845</v>
      </c>
      <c r="T282" s="0" t="s">
        <v>1605</v>
      </c>
      <c r="U282" s="0" t="n">
        <v>0</v>
      </c>
      <c r="V282" s="0" t="n">
        <v>0</v>
      </c>
      <c r="W282" s="0" t="n">
        <v>20230630</v>
      </c>
      <c r="X282" s="0" t="n">
        <v>1.33285285879771</v>
      </c>
      <c r="Y282" s="0" t="s">
        <v>2953</v>
      </c>
      <c r="Z282" s="0" t="s">
        <v>60</v>
      </c>
    </row>
    <row r="283" customFormat="false" ht="15" hidden="false" customHeight="false" outlineLevel="0" collapsed="false">
      <c r="A283" s="0" t="n">
        <v>283</v>
      </c>
      <c r="B283" s="0" t="n">
        <v>1539209</v>
      </c>
      <c r="C283" s="0" t="n">
        <v>17751</v>
      </c>
      <c r="D283" s="0" t="n">
        <v>1218035</v>
      </c>
      <c r="E283" s="0" t="s">
        <v>47</v>
      </c>
      <c r="F283" s="0" t="n">
        <v>129936</v>
      </c>
      <c r="G283" s="0" t="s">
        <v>2954</v>
      </c>
      <c r="H283" s="0" t="s">
        <v>2955</v>
      </c>
      <c r="I283" s="0" t="s">
        <v>2956</v>
      </c>
      <c r="J283" s="0" t="s">
        <v>2957</v>
      </c>
      <c r="K283" s="0" t="s">
        <v>2958</v>
      </c>
      <c r="L283" s="0" t="n">
        <v>1255714</v>
      </c>
      <c r="M283" s="0" t="s">
        <v>2959</v>
      </c>
      <c r="N283" s="0" t="n">
        <v>1072258</v>
      </c>
      <c r="O283" s="0" t="n">
        <v>2725</v>
      </c>
      <c r="P283" s="0" t="s">
        <v>266</v>
      </c>
      <c r="Q283" s="0" t="s">
        <v>2960</v>
      </c>
      <c r="R283" s="0" t="s">
        <v>2961</v>
      </c>
      <c r="S283" s="0" t="s">
        <v>2962</v>
      </c>
      <c r="T283" s="0" t="s">
        <v>2963</v>
      </c>
      <c r="U283" s="0" t="n">
        <v>0</v>
      </c>
      <c r="V283" s="0" t="n">
        <v>12.7403512952889</v>
      </c>
      <c r="W283" s="0" t="n">
        <v>20230630</v>
      </c>
      <c r="X283" s="0" t="n">
        <v>0.57224377049816</v>
      </c>
      <c r="Y283" s="0" t="s">
        <v>2964</v>
      </c>
      <c r="Z283" s="0" t="s">
        <v>60</v>
      </c>
    </row>
    <row r="284" customFormat="false" ht="15" hidden="false" customHeight="false" outlineLevel="0" collapsed="false">
      <c r="A284" s="0" t="n">
        <v>284</v>
      </c>
      <c r="B284" s="0" t="n">
        <v>1670135</v>
      </c>
      <c r="C284" s="0" t="n">
        <v>17897</v>
      </c>
      <c r="D284" s="0" t="n">
        <v>1316659</v>
      </c>
      <c r="E284" s="0" t="s">
        <v>1729</v>
      </c>
      <c r="F284" s="0" t="n">
        <v>202487</v>
      </c>
      <c r="G284" s="0" t="s">
        <v>2965</v>
      </c>
      <c r="H284" s="0" t="s">
        <v>2966</v>
      </c>
      <c r="I284" s="0" t="s">
        <v>2967</v>
      </c>
      <c r="J284" s="0" t="s">
        <v>2968</v>
      </c>
      <c r="K284" s="0" t="s">
        <v>2969</v>
      </c>
      <c r="L284" s="0" t="n">
        <v>1413161</v>
      </c>
      <c r="M284" s="0" t="s">
        <v>2970</v>
      </c>
      <c r="N284" s="0" t="n">
        <v>1329657</v>
      </c>
      <c r="O284" s="0" t="n">
        <v>3724</v>
      </c>
      <c r="P284" s="0" t="s">
        <v>278</v>
      </c>
      <c r="Q284" s="0" t="s">
        <v>2971</v>
      </c>
      <c r="R284" s="0" t="s">
        <v>2972</v>
      </c>
      <c r="S284" s="0" t="s">
        <v>2973</v>
      </c>
      <c r="T284" s="0" t="s">
        <v>2974</v>
      </c>
      <c r="U284" s="0" t="n">
        <v>0</v>
      </c>
      <c r="V284" s="0" t="n">
        <v>17.1387717890176</v>
      </c>
      <c r="W284" s="0" t="n">
        <v>20230630</v>
      </c>
      <c r="X284" s="0" t="n">
        <v>0.7142445132825</v>
      </c>
      <c r="Y284" s="0" t="s">
        <v>2823</v>
      </c>
      <c r="Z284" s="0" t="s">
        <v>60</v>
      </c>
    </row>
    <row r="285" customFormat="false" ht="15" hidden="false" customHeight="false" outlineLevel="0" collapsed="false">
      <c r="A285" s="0" t="n">
        <v>285</v>
      </c>
      <c r="B285" s="0" t="n">
        <v>785855</v>
      </c>
      <c r="C285" s="0" t="n">
        <v>17951</v>
      </c>
      <c r="D285" s="0" t="n">
        <v>698423</v>
      </c>
      <c r="E285" s="0" t="s">
        <v>1393</v>
      </c>
      <c r="F285" s="0" t="n">
        <v>56939</v>
      </c>
      <c r="G285" s="0" t="s">
        <v>2975</v>
      </c>
      <c r="H285" s="0" t="s">
        <v>2976</v>
      </c>
      <c r="I285" s="0" t="s">
        <v>2977</v>
      </c>
      <c r="J285" s="0" t="s">
        <v>2978</v>
      </c>
      <c r="K285" s="0" t="s">
        <v>2979</v>
      </c>
      <c r="L285" s="0" t="n">
        <v>553850</v>
      </c>
      <c r="M285" s="0" t="s">
        <v>2980</v>
      </c>
      <c r="N285" s="0" t="n">
        <v>515478</v>
      </c>
      <c r="O285" s="0" t="n">
        <v>67</v>
      </c>
      <c r="P285" s="0" t="s">
        <v>290</v>
      </c>
      <c r="Q285" s="0" t="s">
        <v>2981</v>
      </c>
      <c r="R285" s="0" t="s">
        <v>2982</v>
      </c>
      <c r="S285" s="0" t="s">
        <v>2983</v>
      </c>
      <c r="T285" s="0" t="s">
        <v>2984</v>
      </c>
      <c r="U285" s="0" t="n">
        <v>0</v>
      </c>
      <c r="V285" s="0" t="n">
        <v>14.4439118904905</v>
      </c>
      <c r="W285" s="0" t="n">
        <v>20230630</v>
      </c>
      <c r="X285" s="0" t="n">
        <v>0.577782741347925</v>
      </c>
      <c r="Y285" s="0" t="s">
        <v>2985</v>
      </c>
      <c r="Z285" s="0" t="s">
        <v>158</v>
      </c>
    </row>
    <row r="286" customFormat="false" ht="15" hidden="false" customHeight="false" outlineLevel="0" collapsed="false">
      <c r="A286" s="0" t="n">
        <v>286</v>
      </c>
      <c r="B286" s="0" t="n">
        <v>1355202</v>
      </c>
      <c r="C286" s="0" t="n">
        <v>17960</v>
      </c>
      <c r="D286" s="0" t="n">
        <v>1044918</v>
      </c>
      <c r="E286" s="0" t="s">
        <v>172</v>
      </c>
      <c r="F286" s="0" t="n">
        <v>108306</v>
      </c>
      <c r="G286" s="0" t="s">
        <v>2986</v>
      </c>
      <c r="H286" s="0" t="s">
        <v>2987</v>
      </c>
      <c r="I286" s="0" t="s">
        <v>2988</v>
      </c>
      <c r="J286" s="0" t="s">
        <v>2989</v>
      </c>
      <c r="K286" s="0" t="s">
        <v>2990</v>
      </c>
      <c r="L286" s="0" t="n">
        <v>1162537</v>
      </c>
      <c r="M286" s="0" t="s">
        <v>2991</v>
      </c>
      <c r="N286" s="0" t="n">
        <v>827985</v>
      </c>
      <c r="O286" s="0" t="n">
        <v>8464</v>
      </c>
      <c r="P286" s="0" t="s">
        <v>302</v>
      </c>
      <c r="Q286" s="0" t="s">
        <v>2992</v>
      </c>
      <c r="R286" s="0" t="s">
        <v>2993</v>
      </c>
      <c r="S286" s="0" t="s">
        <v>2994</v>
      </c>
      <c r="T286" s="0" t="s">
        <v>2995</v>
      </c>
      <c r="U286" s="0" t="n">
        <v>0</v>
      </c>
      <c r="V286" s="0" t="n">
        <v>12.7361396545319</v>
      </c>
      <c r="W286" s="0" t="n">
        <v>20230630</v>
      </c>
      <c r="X286" s="0" t="n">
        <v>0.47751881940412</v>
      </c>
      <c r="Y286" s="0" t="s">
        <v>2996</v>
      </c>
      <c r="Z286" s="0" t="s">
        <v>158</v>
      </c>
    </row>
    <row r="287" customFormat="false" ht="15" hidden="false" customHeight="false" outlineLevel="0" collapsed="false">
      <c r="A287" s="0" t="n">
        <v>287</v>
      </c>
      <c r="B287" s="0" t="n">
        <v>2459524</v>
      </c>
      <c r="C287" s="0" t="n">
        <v>18012</v>
      </c>
      <c r="D287" s="0" t="n">
        <v>2061672</v>
      </c>
      <c r="E287" s="0" t="s">
        <v>172</v>
      </c>
      <c r="F287" s="0" t="n">
        <v>250653</v>
      </c>
      <c r="G287" s="0" t="s">
        <v>2997</v>
      </c>
      <c r="H287" s="0" t="s">
        <v>2998</v>
      </c>
      <c r="I287" s="0" t="s">
        <v>2999</v>
      </c>
      <c r="J287" s="0" t="s">
        <v>3000</v>
      </c>
      <c r="K287" s="0" t="s">
        <v>3001</v>
      </c>
      <c r="L287" s="0" t="n">
        <v>2005386</v>
      </c>
      <c r="M287" s="0" t="s">
        <v>3002</v>
      </c>
      <c r="N287" s="0" t="n">
        <v>1892192</v>
      </c>
      <c r="O287" s="0" t="n">
        <v>1011</v>
      </c>
      <c r="P287" s="0" t="s">
        <v>312</v>
      </c>
      <c r="Q287" s="0" t="s">
        <v>3003</v>
      </c>
      <c r="R287" s="0" t="s">
        <v>3004</v>
      </c>
      <c r="S287" s="0" t="s">
        <v>3005</v>
      </c>
      <c r="T287" s="0" t="s">
        <v>3006</v>
      </c>
      <c r="U287" s="0" t="n">
        <v>0</v>
      </c>
      <c r="V287" s="0" t="n">
        <v>13.5220936775833</v>
      </c>
      <c r="W287" s="0" t="n">
        <v>20230630</v>
      </c>
      <c r="X287" s="0" t="n">
        <v>0.853047862093874</v>
      </c>
      <c r="Y287" s="0" t="s">
        <v>2660</v>
      </c>
      <c r="Z287" s="0" t="s">
        <v>158</v>
      </c>
    </row>
    <row r="288" customFormat="false" ht="15" hidden="false" customHeight="false" outlineLevel="0" collapsed="false">
      <c r="A288" s="0" t="n">
        <v>288</v>
      </c>
      <c r="B288" s="0" t="n">
        <v>2835749</v>
      </c>
      <c r="C288" s="0" t="n">
        <v>18013</v>
      </c>
      <c r="D288" s="0" t="n">
        <v>2403310</v>
      </c>
      <c r="E288" s="0" t="s">
        <v>195</v>
      </c>
      <c r="F288" s="0" t="n">
        <v>211459</v>
      </c>
      <c r="G288" s="0" t="s">
        <v>3007</v>
      </c>
      <c r="H288" s="0" t="s">
        <v>3008</v>
      </c>
      <c r="I288" s="0" t="s">
        <v>3009</v>
      </c>
      <c r="J288" s="0" t="s">
        <v>3010</v>
      </c>
      <c r="K288" s="0" t="s">
        <v>3011</v>
      </c>
      <c r="L288" s="0" t="n">
        <v>2261511</v>
      </c>
      <c r="M288" s="0" t="s">
        <v>3012</v>
      </c>
      <c r="N288" s="0" t="n">
        <v>2073740</v>
      </c>
      <c r="O288" s="0" t="n">
        <v>1133</v>
      </c>
      <c r="P288" s="0" t="s">
        <v>324</v>
      </c>
      <c r="Q288" s="0" t="s">
        <v>3013</v>
      </c>
      <c r="R288" s="0" t="s">
        <v>3014</v>
      </c>
      <c r="S288" s="0" t="s">
        <v>1488</v>
      </c>
      <c r="T288" s="0" t="s">
        <v>3015</v>
      </c>
      <c r="U288" s="0" t="n">
        <v>19</v>
      </c>
      <c r="V288" s="0" t="n">
        <v>13.0579757124412</v>
      </c>
      <c r="W288" s="0" t="n">
        <v>20230630</v>
      </c>
      <c r="X288" s="0" t="n">
        <v>0.458533603033476</v>
      </c>
      <c r="Y288" s="0" t="s">
        <v>3016</v>
      </c>
      <c r="Z288" s="0" t="s">
        <v>158</v>
      </c>
    </row>
    <row r="289" customFormat="false" ht="15" hidden="false" customHeight="false" outlineLevel="0" collapsed="false">
      <c r="A289" s="0" t="n">
        <v>289</v>
      </c>
      <c r="B289" s="0" t="n">
        <v>385140</v>
      </c>
      <c r="C289" s="0" t="n">
        <v>18028</v>
      </c>
      <c r="D289" s="0" t="n">
        <v>318025</v>
      </c>
      <c r="E289" s="0" t="s">
        <v>1436</v>
      </c>
      <c r="F289" s="0" t="n">
        <v>37896</v>
      </c>
      <c r="G289" s="0" t="s">
        <v>3017</v>
      </c>
      <c r="H289" s="0" t="s">
        <v>3018</v>
      </c>
      <c r="I289" s="0" t="s">
        <v>3019</v>
      </c>
      <c r="J289" s="0" t="s">
        <v>3020</v>
      </c>
      <c r="K289" s="0" t="s">
        <v>3021</v>
      </c>
      <c r="L289" s="0" t="n">
        <v>257736</v>
      </c>
      <c r="M289" s="0" t="s">
        <v>3022</v>
      </c>
      <c r="N289" s="0" t="n">
        <v>228527</v>
      </c>
      <c r="O289" s="0" t="n">
        <v>855</v>
      </c>
      <c r="P289" s="0" t="s">
        <v>337</v>
      </c>
      <c r="Q289" s="0" t="s">
        <v>3023</v>
      </c>
      <c r="R289" s="0" t="s">
        <v>3024</v>
      </c>
      <c r="S289" s="0" t="s">
        <v>3025</v>
      </c>
      <c r="T289" s="0" t="s">
        <v>3026</v>
      </c>
      <c r="U289" s="0" t="n">
        <v>20</v>
      </c>
      <c r="V289" s="0" t="n">
        <v>0</v>
      </c>
      <c r="W289" s="0" t="n">
        <v>20230630</v>
      </c>
      <c r="X289" s="0" t="n">
        <v>0.575288643086549</v>
      </c>
      <c r="Y289" s="0" t="s">
        <v>2823</v>
      </c>
      <c r="Z289" s="0" t="s">
        <v>158</v>
      </c>
    </row>
    <row r="290" customFormat="false" ht="15" hidden="false" customHeight="false" outlineLevel="0" collapsed="false">
      <c r="A290" s="0" t="n">
        <v>290</v>
      </c>
      <c r="B290" s="0" t="n">
        <v>736677</v>
      </c>
      <c r="C290" s="0" t="n">
        <v>18030</v>
      </c>
      <c r="D290" s="0" t="n">
        <v>664243</v>
      </c>
      <c r="E290" s="0" t="s">
        <v>1436</v>
      </c>
      <c r="F290" s="0" t="n">
        <v>44564</v>
      </c>
      <c r="G290" s="0" t="s">
        <v>3027</v>
      </c>
      <c r="H290" s="0" t="s">
        <v>3028</v>
      </c>
      <c r="I290" s="0" t="s">
        <v>3029</v>
      </c>
      <c r="J290" s="0" t="s">
        <v>3030</v>
      </c>
      <c r="K290" s="0" t="s">
        <v>3031</v>
      </c>
      <c r="L290" s="0" t="n">
        <v>586930</v>
      </c>
      <c r="M290" s="0" t="s">
        <v>3032</v>
      </c>
      <c r="N290" s="0" t="n">
        <v>449340</v>
      </c>
      <c r="O290" s="0" t="n">
        <v>490</v>
      </c>
      <c r="P290" s="0" t="s">
        <v>349</v>
      </c>
      <c r="Q290" s="0" t="s">
        <v>3033</v>
      </c>
      <c r="R290" s="0" t="s">
        <v>3034</v>
      </c>
      <c r="S290" s="0" t="s">
        <v>155</v>
      </c>
      <c r="T290" s="0" t="s">
        <v>3035</v>
      </c>
      <c r="U290" s="0" t="n">
        <v>0</v>
      </c>
      <c r="V290" s="0" t="n">
        <v>12.5009957508155</v>
      </c>
      <c r="W290" s="0" t="n">
        <v>20230630</v>
      </c>
      <c r="X290" s="0" t="n">
        <v>0.584769402386572</v>
      </c>
      <c r="Y290" s="0" t="s">
        <v>3036</v>
      </c>
      <c r="Z290" s="0" t="s">
        <v>158</v>
      </c>
    </row>
    <row r="291" customFormat="false" ht="15" hidden="false" customHeight="false" outlineLevel="0" collapsed="false">
      <c r="A291" s="0" t="n">
        <v>291</v>
      </c>
      <c r="B291" s="0" t="n">
        <v>686908</v>
      </c>
      <c r="C291" s="0" t="n">
        <v>18031</v>
      </c>
      <c r="D291" s="0" t="n">
        <v>578969</v>
      </c>
      <c r="E291" s="0" t="s">
        <v>390</v>
      </c>
      <c r="F291" s="0" t="n">
        <v>36036</v>
      </c>
      <c r="G291" s="0" t="s">
        <v>3037</v>
      </c>
      <c r="H291" s="0" t="s">
        <v>3038</v>
      </c>
      <c r="I291" s="0" t="s">
        <v>3039</v>
      </c>
      <c r="J291" s="0" t="s">
        <v>3040</v>
      </c>
      <c r="K291" s="0" t="s">
        <v>3041</v>
      </c>
      <c r="L291" s="0" t="n">
        <v>480187</v>
      </c>
      <c r="M291" s="0" t="s">
        <v>3042</v>
      </c>
      <c r="N291" s="0" t="n">
        <v>433545</v>
      </c>
      <c r="O291" s="0" t="n">
        <v>1022</v>
      </c>
      <c r="P291" s="0" t="s">
        <v>361</v>
      </c>
      <c r="Q291" s="0" t="s">
        <v>3043</v>
      </c>
      <c r="R291" s="0" t="s">
        <v>3044</v>
      </c>
      <c r="S291" s="0" t="s">
        <v>352</v>
      </c>
      <c r="T291" s="0" t="s">
        <v>3045</v>
      </c>
      <c r="U291" s="0" t="n">
        <v>0</v>
      </c>
      <c r="V291" s="0" t="n">
        <v>16.120512261208</v>
      </c>
      <c r="W291" s="0" t="n">
        <v>20230630</v>
      </c>
      <c r="X291" s="0" t="n">
        <v>0.289913659428378</v>
      </c>
      <c r="Y291" s="0" t="s">
        <v>912</v>
      </c>
      <c r="Z291" s="0" t="s">
        <v>158</v>
      </c>
    </row>
    <row r="292" customFormat="false" ht="15" hidden="false" customHeight="false" outlineLevel="0" collapsed="false">
      <c r="A292" s="0" t="n">
        <v>292</v>
      </c>
      <c r="B292" s="0" t="n">
        <v>548920</v>
      </c>
      <c r="C292" s="0" t="n">
        <v>18038</v>
      </c>
      <c r="D292" s="0" t="n">
        <v>429568</v>
      </c>
      <c r="E292" s="0" t="s">
        <v>172</v>
      </c>
      <c r="F292" s="0" t="n">
        <v>65364</v>
      </c>
      <c r="G292" s="0" t="s">
        <v>3046</v>
      </c>
      <c r="H292" s="0" t="s">
        <v>3047</v>
      </c>
      <c r="I292" s="0" t="s">
        <v>3048</v>
      </c>
      <c r="J292" s="0" t="s">
        <v>3049</v>
      </c>
      <c r="K292" s="0" t="s">
        <v>3050</v>
      </c>
      <c r="L292" s="0" t="n">
        <v>420009</v>
      </c>
      <c r="M292" s="0" t="s">
        <v>3051</v>
      </c>
      <c r="N292" s="0" t="n">
        <v>399161</v>
      </c>
      <c r="O292" s="0" t="n">
        <v>2268</v>
      </c>
      <c r="P292" s="0" t="s">
        <v>372</v>
      </c>
      <c r="Q292" s="0" t="s">
        <v>3052</v>
      </c>
      <c r="R292" s="0" t="s">
        <v>3053</v>
      </c>
      <c r="S292" s="0" t="s">
        <v>1865</v>
      </c>
      <c r="T292" s="0" t="s">
        <v>3054</v>
      </c>
      <c r="U292" s="0" t="n">
        <v>0</v>
      </c>
      <c r="V292" s="0" t="n">
        <v>0</v>
      </c>
      <c r="W292" s="0" t="n">
        <v>20230630</v>
      </c>
      <c r="X292" s="0" t="n">
        <v>0.388703168329964</v>
      </c>
      <c r="Y292" s="0" t="s">
        <v>536</v>
      </c>
      <c r="Z292" s="0" t="s">
        <v>158</v>
      </c>
    </row>
    <row r="293" customFormat="false" ht="15" hidden="false" customHeight="false" outlineLevel="0" collapsed="false">
      <c r="A293" s="0" t="n">
        <v>293</v>
      </c>
      <c r="B293" s="0" t="n">
        <v>7459345</v>
      </c>
      <c r="C293" s="0" t="n">
        <v>18408</v>
      </c>
      <c r="D293" s="0" t="n">
        <v>5594077</v>
      </c>
      <c r="E293" s="0" t="s">
        <v>259</v>
      </c>
      <c r="F293" s="0" t="n">
        <v>367424</v>
      </c>
      <c r="G293" s="0" t="s">
        <v>3055</v>
      </c>
      <c r="H293" s="0" t="s">
        <v>3056</v>
      </c>
      <c r="I293" s="0" t="s">
        <v>3057</v>
      </c>
      <c r="J293" s="0" t="s">
        <v>3058</v>
      </c>
      <c r="K293" s="0" t="s">
        <v>3059</v>
      </c>
      <c r="L293" s="0" t="n">
        <v>4774928</v>
      </c>
      <c r="M293" s="0" t="s">
        <v>3060</v>
      </c>
      <c r="N293" s="0" t="n">
        <v>4349363</v>
      </c>
      <c r="O293" s="0" t="n">
        <v>3474</v>
      </c>
      <c r="P293" s="0" t="s">
        <v>384</v>
      </c>
      <c r="Q293" s="0" t="s">
        <v>3061</v>
      </c>
      <c r="R293" s="0" t="s">
        <v>3062</v>
      </c>
      <c r="S293" s="0" t="s">
        <v>3063</v>
      </c>
      <c r="T293" s="0" t="s">
        <v>3064</v>
      </c>
      <c r="U293" s="0" t="n">
        <v>0</v>
      </c>
      <c r="V293" s="0" t="n">
        <v>11.6689079054605</v>
      </c>
      <c r="W293" s="0" t="n">
        <v>20230630</v>
      </c>
      <c r="X293" s="0" t="n">
        <v>0.0746320286304322</v>
      </c>
      <c r="Y293" s="0" t="s">
        <v>3065</v>
      </c>
      <c r="Z293" s="0" t="s">
        <v>60</v>
      </c>
    </row>
    <row r="294" customFormat="false" ht="15" hidden="false" customHeight="false" outlineLevel="0" collapsed="false">
      <c r="A294" s="0" t="n">
        <v>294</v>
      </c>
      <c r="B294" s="0" t="n">
        <v>2396062</v>
      </c>
      <c r="C294" s="0" t="n">
        <v>19531</v>
      </c>
      <c r="D294" s="0" t="n">
        <v>1963859</v>
      </c>
      <c r="E294" s="0" t="s">
        <v>61</v>
      </c>
      <c r="F294" s="0" t="n">
        <v>235363</v>
      </c>
      <c r="G294" s="0" t="s">
        <v>3066</v>
      </c>
      <c r="H294" s="0" t="s">
        <v>3067</v>
      </c>
      <c r="I294" s="0" t="s">
        <v>3068</v>
      </c>
      <c r="J294" s="0" t="s">
        <v>3069</v>
      </c>
      <c r="K294" s="0" t="s">
        <v>3070</v>
      </c>
      <c r="L294" s="0" t="n">
        <v>1948994</v>
      </c>
      <c r="M294" s="0" t="s">
        <v>3071</v>
      </c>
      <c r="N294" s="0" t="n">
        <v>1592985</v>
      </c>
      <c r="O294" s="0" t="n">
        <v>11853</v>
      </c>
      <c r="P294" s="0" t="s">
        <v>397</v>
      </c>
      <c r="Q294" s="0" t="s">
        <v>3072</v>
      </c>
      <c r="R294" s="0" t="s">
        <v>3073</v>
      </c>
      <c r="S294" s="0" t="s">
        <v>3074</v>
      </c>
      <c r="T294" s="0" t="s">
        <v>3075</v>
      </c>
      <c r="U294" s="0" t="n">
        <v>65</v>
      </c>
      <c r="V294" s="0" t="n">
        <v>14.3314513958643</v>
      </c>
      <c r="W294" s="0" t="n">
        <v>20230630</v>
      </c>
      <c r="X294" s="0" t="n">
        <v>0.462742823520228</v>
      </c>
      <c r="Y294" s="0" t="s">
        <v>1352</v>
      </c>
      <c r="Z294" s="0" t="s">
        <v>60</v>
      </c>
    </row>
    <row r="295" customFormat="false" ht="15" hidden="false" customHeight="false" outlineLevel="0" collapsed="false">
      <c r="A295" s="0" t="n">
        <v>295</v>
      </c>
      <c r="B295" s="0" t="n">
        <v>792753</v>
      </c>
      <c r="C295" s="0" t="n">
        <v>19532</v>
      </c>
      <c r="D295" s="0" t="n">
        <v>647966</v>
      </c>
      <c r="E295" s="0" t="s">
        <v>61</v>
      </c>
      <c r="F295" s="0" t="n">
        <v>91641</v>
      </c>
      <c r="G295" s="0" t="s">
        <v>3076</v>
      </c>
      <c r="H295" s="0" t="s">
        <v>3077</v>
      </c>
      <c r="I295" s="0" t="s">
        <v>3078</v>
      </c>
      <c r="J295" s="0" t="s">
        <v>3079</v>
      </c>
      <c r="K295" s="0" t="s">
        <v>3080</v>
      </c>
      <c r="L295" s="0" t="n">
        <v>564676</v>
      </c>
      <c r="M295" s="0" t="s">
        <v>3081</v>
      </c>
      <c r="N295" s="0" t="n">
        <v>466819</v>
      </c>
      <c r="O295" s="0" t="n">
        <v>876</v>
      </c>
      <c r="P295" s="0" t="s">
        <v>409</v>
      </c>
      <c r="Q295" s="0" t="s">
        <v>3082</v>
      </c>
      <c r="R295" s="0" t="s">
        <v>3083</v>
      </c>
      <c r="S295" s="0" t="s">
        <v>315</v>
      </c>
      <c r="T295" s="0" t="s">
        <v>3084</v>
      </c>
      <c r="U295" s="0" t="n">
        <v>14</v>
      </c>
      <c r="V295" s="0" t="n">
        <v>20.7353954790339</v>
      </c>
      <c r="W295" s="0" t="n">
        <v>20230630</v>
      </c>
      <c r="X295" s="0" t="n">
        <v>0.820049398822041</v>
      </c>
      <c r="Y295" s="0" t="s">
        <v>3085</v>
      </c>
      <c r="Z295" s="0" t="s">
        <v>60</v>
      </c>
    </row>
    <row r="296" customFormat="false" ht="15" hidden="false" customHeight="false" outlineLevel="0" collapsed="false">
      <c r="A296" s="0" t="n">
        <v>296</v>
      </c>
      <c r="B296" s="0" t="n">
        <v>2869938</v>
      </c>
      <c r="C296" s="0" t="n">
        <v>19690</v>
      </c>
      <c r="D296" s="0" t="n">
        <v>1960331</v>
      </c>
      <c r="E296" s="0" t="s">
        <v>47</v>
      </c>
      <c r="F296" s="0" t="n">
        <v>296663</v>
      </c>
      <c r="G296" s="0" t="s">
        <v>3086</v>
      </c>
      <c r="H296" s="0" t="s">
        <v>3087</v>
      </c>
      <c r="I296" s="0" t="s">
        <v>3088</v>
      </c>
      <c r="J296" s="0" t="s">
        <v>3089</v>
      </c>
      <c r="K296" s="0" t="s">
        <v>3090</v>
      </c>
      <c r="L296" s="0" t="n">
        <v>2520360</v>
      </c>
      <c r="M296" s="0" t="s">
        <v>3091</v>
      </c>
      <c r="N296" s="0" t="n">
        <v>2020060</v>
      </c>
      <c r="O296" s="0" t="n">
        <v>15683</v>
      </c>
      <c r="P296" s="0" t="s">
        <v>420</v>
      </c>
      <c r="Q296" s="0" t="s">
        <v>3092</v>
      </c>
      <c r="R296" s="0" t="s">
        <v>3093</v>
      </c>
      <c r="S296" s="0" t="s">
        <v>3025</v>
      </c>
      <c r="T296" s="0" t="s">
        <v>3094</v>
      </c>
      <c r="U296" s="0" t="n">
        <v>0</v>
      </c>
      <c r="V296" s="0" t="n">
        <v>12.2983890529339</v>
      </c>
      <c r="W296" s="0" t="n">
        <v>20230630</v>
      </c>
      <c r="X296" s="0" t="n">
        <v>1.72729756659238</v>
      </c>
      <c r="Y296" s="0" t="s">
        <v>3095</v>
      </c>
      <c r="Z296" s="0" t="s">
        <v>60</v>
      </c>
    </row>
    <row r="297" customFormat="false" ht="15" hidden="false" customHeight="false" outlineLevel="0" collapsed="false">
      <c r="A297" s="0" t="n">
        <v>297</v>
      </c>
      <c r="B297" s="0" t="n">
        <v>608950</v>
      </c>
      <c r="C297" s="0" t="n">
        <v>19836</v>
      </c>
      <c r="D297" s="0" t="n">
        <v>446012</v>
      </c>
      <c r="E297" s="0" t="s">
        <v>208</v>
      </c>
      <c r="F297" s="0" t="n">
        <v>119294</v>
      </c>
      <c r="G297" s="0" t="s">
        <v>3096</v>
      </c>
      <c r="H297" s="0" t="s">
        <v>3097</v>
      </c>
      <c r="I297" s="0" t="s">
        <v>3098</v>
      </c>
      <c r="J297" s="0" t="s">
        <v>3099</v>
      </c>
      <c r="K297" s="0" t="s">
        <v>3100</v>
      </c>
      <c r="L297" s="0" t="n">
        <v>506806</v>
      </c>
      <c r="M297" s="0" t="s">
        <v>3101</v>
      </c>
      <c r="N297" s="0" t="n">
        <v>437325</v>
      </c>
      <c r="O297" s="0" t="n">
        <v>3354</v>
      </c>
      <c r="P297" s="0" t="s">
        <v>290</v>
      </c>
      <c r="Q297" s="0" t="s">
        <v>3102</v>
      </c>
      <c r="R297" s="0" t="s">
        <v>3103</v>
      </c>
      <c r="S297" s="0" t="s">
        <v>3104</v>
      </c>
      <c r="T297" s="0" t="s">
        <v>3105</v>
      </c>
      <c r="U297" s="0" t="n">
        <v>320</v>
      </c>
      <c r="V297" s="0" t="n">
        <v>27.2365493944138</v>
      </c>
      <c r="W297" s="0" t="n">
        <v>20230630</v>
      </c>
      <c r="X297" s="0" t="n">
        <v>0.835906040268456</v>
      </c>
      <c r="Y297" s="0" t="s">
        <v>1814</v>
      </c>
      <c r="Z297" s="0" t="s">
        <v>60</v>
      </c>
    </row>
    <row r="298" customFormat="false" ht="15" hidden="false" customHeight="false" outlineLevel="0" collapsed="false">
      <c r="A298" s="0" t="n">
        <v>298</v>
      </c>
      <c r="B298" s="0" t="n">
        <v>1353335</v>
      </c>
      <c r="C298" s="0" t="n">
        <v>24540</v>
      </c>
      <c r="D298" s="0" t="n">
        <v>1091222</v>
      </c>
      <c r="E298" s="0" t="s">
        <v>1137</v>
      </c>
      <c r="F298" s="0" t="n">
        <v>232110</v>
      </c>
      <c r="G298" s="0" t="s">
        <v>3106</v>
      </c>
      <c r="H298" s="0" t="s">
        <v>3107</v>
      </c>
      <c r="I298" s="0" t="s">
        <v>3108</v>
      </c>
      <c r="J298" s="0" t="s">
        <v>3109</v>
      </c>
      <c r="K298" s="0" t="s">
        <v>1048</v>
      </c>
      <c r="L298" s="0" t="n">
        <v>1145876</v>
      </c>
      <c r="M298" s="0" t="s">
        <v>3110</v>
      </c>
      <c r="N298" s="0" t="n">
        <v>1109265</v>
      </c>
      <c r="O298" s="0" t="n">
        <v>342</v>
      </c>
      <c r="P298" s="0" t="s">
        <v>443</v>
      </c>
      <c r="Q298" s="0" t="s">
        <v>3111</v>
      </c>
      <c r="R298" s="0" t="s">
        <v>3112</v>
      </c>
      <c r="S298" s="0" t="s">
        <v>61</v>
      </c>
      <c r="T298" s="0" t="s">
        <v>3113</v>
      </c>
      <c r="U298" s="0" t="n">
        <v>0</v>
      </c>
      <c r="V298" s="0" t="n">
        <v>0</v>
      </c>
      <c r="W298" s="0" t="n">
        <v>20230630</v>
      </c>
      <c r="X298" s="0" t="n">
        <v>2.53176441533346</v>
      </c>
      <c r="Y298" s="0" t="s">
        <v>3114</v>
      </c>
      <c r="Z298" s="0" t="s">
        <v>158</v>
      </c>
    </row>
    <row r="299" customFormat="false" ht="15" hidden="false" customHeight="false" outlineLevel="0" collapsed="false">
      <c r="A299" s="0" t="n">
        <v>299</v>
      </c>
      <c r="B299" s="0" t="n">
        <v>511371</v>
      </c>
      <c r="C299" s="0" t="n">
        <v>27824</v>
      </c>
      <c r="D299" s="0" t="n">
        <v>380476</v>
      </c>
      <c r="E299" s="0" t="s">
        <v>61</v>
      </c>
      <c r="F299" s="0" t="n">
        <v>65899</v>
      </c>
      <c r="G299" s="0" t="s">
        <v>3115</v>
      </c>
      <c r="H299" s="0" t="s">
        <v>3116</v>
      </c>
      <c r="I299" s="0" t="s">
        <v>3117</v>
      </c>
      <c r="J299" s="0" t="s">
        <v>3118</v>
      </c>
      <c r="K299" s="0" t="s">
        <v>3119</v>
      </c>
      <c r="L299" s="0" t="n">
        <v>425994</v>
      </c>
      <c r="M299" s="0" t="s">
        <v>3120</v>
      </c>
      <c r="N299" s="0" t="n">
        <v>362683</v>
      </c>
      <c r="O299" s="0" t="n">
        <v>1230</v>
      </c>
      <c r="P299" s="0" t="s">
        <v>453</v>
      </c>
      <c r="Q299" s="0" t="s">
        <v>3121</v>
      </c>
      <c r="R299" s="0" t="s">
        <v>3122</v>
      </c>
      <c r="S299" s="0" t="s">
        <v>1329</v>
      </c>
      <c r="T299" s="0" t="s">
        <v>3123</v>
      </c>
      <c r="U299" s="0" t="n">
        <v>0</v>
      </c>
      <c r="V299" s="0" t="n">
        <v>21.8651868052185</v>
      </c>
      <c r="W299" s="0" t="n">
        <v>20230630</v>
      </c>
      <c r="X299" s="0" t="n">
        <v>-0.179485034548527</v>
      </c>
      <c r="Y299" s="0" t="s">
        <v>3124</v>
      </c>
      <c r="Z299" s="0" t="s">
        <v>158</v>
      </c>
    </row>
    <row r="300" customFormat="false" ht="15" hidden="false" customHeight="false" outlineLevel="0" collapsed="false">
      <c r="A300" s="0" t="n">
        <v>300</v>
      </c>
      <c r="B300" s="0" t="n">
        <v>297569</v>
      </c>
      <c r="C300" s="0" t="n">
        <v>28155</v>
      </c>
      <c r="D300" s="0" t="n">
        <v>264006</v>
      </c>
      <c r="E300" s="0" t="s">
        <v>742</v>
      </c>
      <c r="F300" s="0" t="n">
        <v>27564</v>
      </c>
      <c r="G300" s="0" t="s">
        <v>3125</v>
      </c>
      <c r="H300" s="0" t="s">
        <v>3126</v>
      </c>
      <c r="I300" s="0" t="s">
        <v>3127</v>
      </c>
      <c r="J300" s="0" t="s">
        <v>3128</v>
      </c>
      <c r="K300" s="0" t="s">
        <v>3129</v>
      </c>
      <c r="L300" s="0" t="n">
        <v>159158</v>
      </c>
      <c r="M300" s="0" t="s">
        <v>3130</v>
      </c>
      <c r="N300" s="0" t="n">
        <v>147112</v>
      </c>
      <c r="O300" s="0" t="n">
        <v>52</v>
      </c>
      <c r="P300" s="0" t="s">
        <v>464</v>
      </c>
      <c r="Q300" s="0" t="s">
        <v>3131</v>
      </c>
      <c r="R300" s="0" t="s">
        <v>3132</v>
      </c>
      <c r="S300" s="0" t="s">
        <v>61</v>
      </c>
      <c r="T300" s="0" t="s">
        <v>3133</v>
      </c>
      <c r="U300" s="0" t="n">
        <v>0</v>
      </c>
      <c r="V300" s="0" t="n">
        <v>17.8379338650592</v>
      </c>
      <c r="W300" s="0" t="n">
        <v>20230630</v>
      </c>
      <c r="X300" s="0" t="n">
        <v>0.0381918077455666</v>
      </c>
      <c r="Y300" s="0" t="s">
        <v>3134</v>
      </c>
      <c r="Z300" s="0" t="s">
        <v>158</v>
      </c>
    </row>
    <row r="301" customFormat="false" ht="15" hidden="false" customHeight="false" outlineLevel="0" collapsed="false">
      <c r="A301" s="0" t="n">
        <v>301</v>
      </c>
      <c r="B301" s="0" t="n">
        <v>103989</v>
      </c>
      <c r="C301" s="0" t="n">
        <v>28288</v>
      </c>
      <c r="D301" s="0" t="n">
        <v>78624</v>
      </c>
      <c r="E301" s="0" t="s">
        <v>61</v>
      </c>
      <c r="F301" s="0" t="n">
        <v>5937</v>
      </c>
      <c r="G301" s="0" t="s">
        <v>3135</v>
      </c>
      <c r="H301" s="0" t="s">
        <v>3136</v>
      </c>
      <c r="I301" s="0" t="s">
        <v>3137</v>
      </c>
      <c r="J301" s="0" t="s">
        <v>3138</v>
      </c>
      <c r="K301" s="0" t="s">
        <v>3139</v>
      </c>
      <c r="L301" s="0" t="n">
        <v>81091</v>
      </c>
      <c r="M301" s="0" t="s">
        <v>3140</v>
      </c>
      <c r="N301" s="0" t="n">
        <v>75531</v>
      </c>
      <c r="O301" s="0" t="n">
        <v>266</v>
      </c>
      <c r="P301" s="0" t="s">
        <v>475</v>
      </c>
      <c r="Q301" s="0" t="s">
        <v>3141</v>
      </c>
      <c r="R301" s="0" t="s">
        <v>3142</v>
      </c>
      <c r="S301" s="0" t="s">
        <v>2173</v>
      </c>
      <c r="T301" s="0" t="s">
        <v>3143</v>
      </c>
      <c r="U301" s="0" t="n">
        <v>0</v>
      </c>
      <c r="V301" s="0" t="n">
        <v>13.4329035086393</v>
      </c>
      <c r="W301" s="0" t="n">
        <v>20230630</v>
      </c>
      <c r="X301" s="0" t="n">
        <v>-0.0292873413602343</v>
      </c>
      <c r="Y301" s="0" t="s">
        <v>3144</v>
      </c>
      <c r="Z301" s="0" t="s">
        <v>60</v>
      </c>
    </row>
    <row r="302" customFormat="false" ht="15" hidden="false" customHeight="false" outlineLevel="0" collapsed="false">
      <c r="A302" s="0" t="n">
        <v>302</v>
      </c>
      <c r="B302" s="0" t="n">
        <v>87702</v>
      </c>
      <c r="C302" s="0" t="n">
        <v>28369</v>
      </c>
      <c r="D302" s="0" t="n">
        <v>77819</v>
      </c>
      <c r="E302" s="0" t="s">
        <v>208</v>
      </c>
      <c r="F302" s="0" t="n">
        <v>9428</v>
      </c>
      <c r="G302" s="0" t="s">
        <v>3145</v>
      </c>
      <c r="H302" s="0" t="s">
        <v>3146</v>
      </c>
      <c r="I302" s="0" t="s">
        <v>3147</v>
      </c>
      <c r="J302" s="0" t="s">
        <v>3148</v>
      </c>
      <c r="K302" s="0" t="s">
        <v>3149</v>
      </c>
      <c r="L302" s="0" t="n">
        <v>75333</v>
      </c>
      <c r="M302" s="0" t="s">
        <v>3150</v>
      </c>
      <c r="N302" s="0" t="n">
        <v>63212</v>
      </c>
      <c r="O302" s="0" t="n">
        <v>231</v>
      </c>
      <c r="P302" s="0" t="s">
        <v>486</v>
      </c>
      <c r="Q302" s="0" t="s">
        <v>3151</v>
      </c>
      <c r="R302" s="0" t="s">
        <v>3152</v>
      </c>
      <c r="S302" s="0" t="s">
        <v>352</v>
      </c>
      <c r="T302" s="0" t="s">
        <v>1781</v>
      </c>
      <c r="U302" s="0" t="n">
        <v>0</v>
      </c>
      <c r="V302" s="0" t="n">
        <v>0</v>
      </c>
      <c r="W302" s="0" t="n">
        <v>20230630</v>
      </c>
      <c r="X302" s="0" t="n">
        <v>-0.21138653483091</v>
      </c>
      <c r="Y302" s="0" t="s">
        <v>3153</v>
      </c>
      <c r="Z302" s="0" t="s">
        <v>60</v>
      </c>
    </row>
    <row r="303" customFormat="false" ht="15" hidden="false" customHeight="false" outlineLevel="0" collapsed="false">
      <c r="A303" s="0" t="n">
        <v>303</v>
      </c>
      <c r="B303" s="0" t="n">
        <v>285195</v>
      </c>
      <c r="C303" s="0" t="n">
        <v>28837</v>
      </c>
      <c r="D303" s="0" t="n">
        <v>256863</v>
      </c>
      <c r="E303" s="0" t="s">
        <v>61</v>
      </c>
      <c r="F303" s="0" t="n">
        <v>24942</v>
      </c>
      <c r="G303" s="0" t="s">
        <v>3154</v>
      </c>
      <c r="H303" s="0" t="s">
        <v>3155</v>
      </c>
      <c r="I303" s="0" t="s">
        <v>3156</v>
      </c>
      <c r="J303" s="0" t="s">
        <v>3157</v>
      </c>
      <c r="K303" s="0" t="s">
        <v>3158</v>
      </c>
      <c r="L303" s="0" t="n">
        <v>193010</v>
      </c>
      <c r="M303" s="0" t="s">
        <v>3159</v>
      </c>
      <c r="N303" s="0" t="n">
        <v>183990</v>
      </c>
      <c r="O303" s="0" t="n">
        <v>38</v>
      </c>
      <c r="P303" s="0" t="s">
        <v>497</v>
      </c>
      <c r="Q303" s="0" t="s">
        <v>3160</v>
      </c>
      <c r="R303" s="0" t="s">
        <v>3161</v>
      </c>
      <c r="S303" s="0" t="s">
        <v>155</v>
      </c>
      <c r="T303" s="0" t="s">
        <v>3162</v>
      </c>
      <c r="U303" s="0" t="n">
        <v>0</v>
      </c>
      <c r="V303" s="0" t="n">
        <v>16.3569852514226</v>
      </c>
      <c r="W303" s="0" t="n">
        <v>20230630</v>
      </c>
      <c r="X303" s="0" t="n">
        <v>0.998180082377603</v>
      </c>
      <c r="Y303" s="0" t="s">
        <v>3163</v>
      </c>
      <c r="Z303" s="0" t="s">
        <v>98</v>
      </c>
    </row>
    <row r="304" customFormat="false" ht="15" hidden="false" customHeight="false" outlineLevel="0" collapsed="false">
      <c r="A304" s="0" t="n">
        <v>304</v>
      </c>
      <c r="B304" s="0" t="n">
        <v>182034</v>
      </c>
      <c r="C304" s="0" t="n">
        <v>29636</v>
      </c>
      <c r="D304" s="0" t="n">
        <v>145903</v>
      </c>
      <c r="E304" s="0" t="s">
        <v>259</v>
      </c>
      <c r="F304" s="0" t="n">
        <v>24760</v>
      </c>
      <c r="G304" s="0" t="s">
        <v>3164</v>
      </c>
      <c r="H304" s="0" t="s">
        <v>3165</v>
      </c>
      <c r="I304" s="0" t="s">
        <v>3166</v>
      </c>
      <c r="J304" s="0" t="s">
        <v>3167</v>
      </c>
      <c r="K304" s="0" t="s">
        <v>3168</v>
      </c>
      <c r="L304" s="0" t="n">
        <v>130004</v>
      </c>
      <c r="M304" s="0" t="s">
        <v>3169</v>
      </c>
      <c r="N304" s="0" t="n">
        <v>126522</v>
      </c>
      <c r="O304" s="0" t="n">
        <v>2061</v>
      </c>
      <c r="P304" s="0" t="s">
        <v>509</v>
      </c>
      <c r="Q304" s="0" t="s">
        <v>3170</v>
      </c>
      <c r="R304" s="0" t="s">
        <v>3171</v>
      </c>
      <c r="S304" s="0" t="s">
        <v>71</v>
      </c>
      <c r="T304" s="0" t="s">
        <v>3172</v>
      </c>
      <c r="U304" s="0" t="n">
        <v>0</v>
      </c>
      <c r="V304" s="0" t="n">
        <v>26.711621347846</v>
      </c>
      <c r="W304" s="0" t="n">
        <v>20230630</v>
      </c>
      <c r="X304" s="0" t="n">
        <v>0.410119937297218</v>
      </c>
      <c r="Y304" s="0" t="s">
        <v>3173</v>
      </c>
      <c r="Z304" s="0" t="s">
        <v>60</v>
      </c>
    </row>
    <row r="305" customFormat="false" ht="15" hidden="false" customHeight="false" outlineLevel="0" collapsed="false">
      <c r="A305" s="0" t="n">
        <v>305</v>
      </c>
      <c r="B305" s="0" t="n">
        <v>185445</v>
      </c>
      <c r="C305" s="0" t="n">
        <v>29743</v>
      </c>
      <c r="D305" s="0" t="n">
        <v>165388</v>
      </c>
      <c r="E305" s="0" t="s">
        <v>794</v>
      </c>
      <c r="F305" s="0" t="n">
        <v>15742</v>
      </c>
      <c r="G305" s="0" t="s">
        <v>3174</v>
      </c>
      <c r="H305" s="0" t="s">
        <v>3175</v>
      </c>
      <c r="I305" s="0" t="s">
        <v>3176</v>
      </c>
      <c r="J305" s="0" t="s">
        <v>3177</v>
      </c>
      <c r="K305" s="0" t="s">
        <v>3178</v>
      </c>
      <c r="L305" s="0" t="n">
        <v>130074</v>
      </c>
      <c r="M305" s="0" t="s">
        <v>3179</v>
      </c>
      <c r="N305" s="0" t="n">
        <v>81523</v>
      </c>
      <c r="O305" s="0" t="n">
        <v>624</v>
      </c>
      <c r="P305" s="0" t="s">
        <v>520</v>
      </c>
      <c r="Q305" s="0" t="s">
        <v>3180</v>
      </c>
      <c r="R305" s="0" t="s">
        <v>3181</v>
      </c>
      <c r="S305" s="0" t="s">
        <v>534</v>
      </c>
      <c r="T305" s="0" t="s">
        <v>3182</v>
      </c>
      <c r="U305" s="0" t="n">
        <v>0</v>
      </c>
      <c r="V305" s="0" t="n">
        <v>17.6543434711346</v>
      </c>
      <c r="W305" s="0" t="n">
        <v>20230630</v>
      </c>
      <c r="X305" s="0" t="n">
        <v>0.593040868794168</v>
      </c>
      <c r="Y305" s="0" t="s">
        <v>2353</v>
      </c>
      <c r="Z305" s="0" t="s">
        <v>60</v>
      </c>
    </row>
    <row r="306" customFormat="false" ht="15" hidden="false" customHeight="false" outlineLevel="0" collapsed="false">
      <c r="A306" s="0" t="n">
        <v>306</v>
      </c>
      <c r="B306" s="0" t="n">
        <v>552677</v>
      </c>
      <c r="C306" s="0" t="n">
        <v>29744</v>
      </c>
      <c r="D306" s="0" t="n">
        <v>410619</v>
      </c>
      <c r="E306" s="0" t="s">
        <v>390</v>
      </c>
      <c r="F306" s="0" t="n">
        <v>52781</v>
      </c>
      <c r="G306" s="0" t="s">
        <v>3183</v>
      </c>
      <c r="H306" s="0" t="s">
        <v>3184</v>
      </c>
      <c r="I306" s="0" t="s">
        <v>3185</v>
      </c>
      <c r="J306" s="0" t="s">
        <v>3186</v>
      </c>
      <c r="K306" s="0" t="s">
        <v>3187</v>
      </c>
      <c r="L306" s="0" t="n">
        <v>417149</v>
      </c>
      <c r="M306" s="0" t="s">
        <v>3188</v>
      </c>
      <c r="N306" s="0" t="n">
        <v>384059</v>
      </c>
      <c r="O306" s="0" t="n">
        <v>3</v>
      </c>
      <c r="P306" s="0" t="s">
        <v>531</v>
      </c>
      <c r="Q306" s="0" t="s">
        <v>3189</v>
      </c>
      <c r="R306" s="0" t="s">
        <v>3190</v>
      </c>
      <c r="S306" s="0" t="s">
        <v>205</v>
      </c>
      <c r="T306" s="0" t="s">
        <v>61</v>
      </c>
      <c r="U306" s="0" t="n">
        <v>0</v>
      </c>
      <c r="V306" s="0" t="n">
        <v>18.6877368552432</v>
      </c>
      <c r="W306" s="0" t="n">
        <v>20230630</v>
      </c>
      <c r="X306" s="0" t="n">
        <v>-0.0278310290339887</v>
      </c>
      <c r="Y306" s="0" t="s">
        <v>3191</v>
      </c>
      <c r="Z306" s="0" t="s">
        <v>158</v>
      </c>
    </row>
    <row r="307" customFormat="false" ht="15" hidden="false" customHeight="false" outlineLevel="0" collapsed="false">
      <c r="A307" s="0" t="n">
        <v>307</v>
      </c>
      <c r="B307" s="0" t="n">
        <v>551849</v>
      </c>
      <c r="C307" s="0" t="n">
        <v>30350</v>
      </c>
      <c r="D307" s="0" t="n">
        <v>438525</v>
      </c>
      <c r="E307" s="0" t="s">
        <v>61</v>
      </c>
      <c r="F307" s="0" t="n">
        <v>53168</v>
      </c>
      <c r="G307" s="0" t="s">
        <v>3192</v>
      </c>
      <c r="H307" s="0" t="s">
        <v>3193</v>
      </c>
      <c r="I307" s="0" t="s">
        <v>3194</v>
      </c>
      <c r="J307" s="0" t="s">
        <v>3195</v>
      </c>
      <c r="K307" s="0" t="s">
        <v>3196</v>
      </c>
      <c r="L307" s="0" t="n">
        <v>396729</v>
      </c>
      <c r="M307" s="0" t="s">
        <v>3197</v>
      </c>
      <c r="N307" s="0" t="n">
        <v>376669</v>
      </c>
      <c r="O307" s="0" t="n">
        <v>1166</v>
      </c>
      <c r="P307" s="0" t="s">
        <v>543</v>
      </c>
      <c r="Q307" s="0" t="s">
        <v>3198</v>
      </c>
      <c r="R307" s="0" t="s">
        <v>3199</v>
      </c>
      <c r="S307" s="0" t="s">
        <v>3200</v>
      </c>
      <c r="T307" s="0" t="s">
        <v>3201</v>
      </c>
      <c r="U307" s="0" t="n">
        <v>0</v>
      </c>
      <c r="V307" s="0" t="n">
        <v>21.5000066539798</v>
      </c>
      <c r="W307" s="0" t="n">
        <v>20230630</v>
      </c>
      <c r="X307" s="0" t="n">
        <v>0.679975874547648</v>
      </c>
      <c r="Y307" s="0" t="s">
        <v>3202</v>
      </c>
      <c r="Z307" s="0" t="s">
        <v>98</v>
      </c>
    </row>
    <row r="308" customFormat="false" ht="15" hidden="false" customHeight="false" outlineLevel="0" collapsed="false">
      <c r="A308" s="0" t="n">
        <v>308</v>
      </c>
      <c r="B308" s="0" t="n">
        <v>102023</v>
      </c>
      <c r="C308" s="0" t="n">
        <v>30878</v>
      </c>
      <c r="D308" s="0" t="n">
        <v>73248</v>
      </c>
      <c r="E308" s="0" t="s">
        <v>1980</v>
      </c>
      <c r="F308" s="0" t="n">
        <v>12549</v>
      </c>
      <c r="G308" s="0" t="s">
        <v>3203</v>
      </c>
      <c r="H308" s="0" t="s">
        <v>3204</v>
      </c>
      <c r="I308" s="0" t="s">
        <v>3205</v>
      </c>
      <c r="J308" s="0" t="s">
        <v>61</v>
      </c>
      <c r="K308" s="0" t="s">
        <v>3206</v>
      </c>
      <c r="L308" s="0" t="n">
        <v>84437</v>
      </c>
      <c r="M308" s="0" t="s">
        <v>3207</v>
      </c>
      <c r="N308" s="0" t="n">
        <v>84259</v>
      </c>
      <c r="O308" s="0" t="n">
        <v>704</v>
      </c>
      <c r="P308" s="0" t="s">
        <v>553</v>
      </c>
      <c r="Q308" s="0" t="s">
        <v>3208</v>
      </c>
      <c r="R308" s="0" t="s">
        <v>3209</v>
      </c>
      <c r="S308" s="0" t="s">
        <v>61</v>
      </c>
      <c r="T308" s="0" t="s">
        <v>3210</v>
      </c>
      <c r="U308" s="0" t="n">
        <v>0</v>
      </c>
      <c r="V308" s="0" t="n">
        <v>0</v>
      </c>
      <c r="W308" s="0" t="n">
        <v>20230630</v>
      </c>
      <c r="X308" s="0" t="n">
        <v>0.0957224439828351</v>
      </c>
      <c r="Y308" s="0" t="s">
        <v>3211</v>
      </c>
      <c r="Z308" s="0" t="s">
        <v>60</v>
      </c>
    </row>
    <row r="309" customFormat="false" ht="15" hidden="false" customHeight="false" outlineLevel="0" collapsed="false">
      <c r="A309" s="0" t="n">
        <v>309</v>
      </c>
      <c r="B309" s="0" t="n">
        <v>749197</v>
      </c>
      <c r="C309" s="0" t="n">
        <v>33418</v>
      </c>
      <c r="D309" s="0" t="n">
        <v>565840</v>
      </c>
      <c r="E309" s="0" t="s">
        <v>259</v>
      </c>
      <c r="F309" s="0" t="n">
        <v>68367</v>
      </c>
      <c r="G309" s="0" t="s">
        <v>3212</v>
      </c>
      <c r="H309" s="0" t="s">
        <v>3213</v>
      </c>
      <c r="I309" s="0" t="s">
        <v>3214</v>
      </c>
      <c r="J309" s="0" t="s">
        <v>3215</v>
      </c>
      <c r="K309" s="0" t="s">
        <v>3216</v>
      </c>
      <c r="L309" s="0" t="n">
        <v>371810</v>
      </c>
      <c r="M309" s="0" t="s">
        <v>3217</v>
      </c>
      <c r="N309" s="0" t="n">
        <v>314793</v>
      </c>
      <c r="O309" s="0" t="n">
        <v>1120</v>
      </c>
      <c r="P309" s="0" t="s">
        <v>564</v>
      </c>
      <c r="Q309" s="0" t="s">
        <v>3218</v>
      </c>
      <c r="R309" s="0" t="s">
        <v>3219</v>
      </c>
      <c r="S309" s="0" t="s">
        <v>3220</v>
      </c>
      <c r="T309" s="0" t="s">
        <v>1248</v>
      </c>
      <c r="U309" s="0" t="n">
        <v>0</v>
      </c>
      <c r="V309" s="0" t="n">
        <v>18.5404060518078</v>
      </c>
      <c r="W309" s="0" t="n">
        <v>20230630</v>
      </c>
      <c r="X309" s="0" t="n">
        <v>0.729624498215505</v>
      </c>
      <c r="Y309" s="0" t="s">
        <v>184</v>
      </c>
      <c r="Z309" s="0" t="s">
        <v>98</v>
      </c>
    </row>
    <row r="310" customFormat="false" ht="15" hidden="false" customHeight="false" outlineLevel="0" collapsed="false">
      <c r="A310" s="0" t="n">
        <v>310</v>
      </c>
      <c r="B310" s="0" t="n">
        <v>69697</v>
      </c>
      <c r="C310" s="0" t="n">
        <v>35206</v>
      </c>
      <c r="D310" s="0" t="n">
        <v>500</v>
      </c>
      <c r="E310" s="0" t="s">
        <v>61</v>
      </c>
      <c r="F310" s="0" t="n">
        <v>67177</v>
      </c>
      <c r="G310" s="0" t="s">
        <v>3221</v>
      </c>
      <c r="H310" s="0" t="s">
        <v>3222</v>
      </c>
      <c r="I310" s="0" t="s">
        <v>61</v>
      </c>
      <c r="J310" s="0" t="s">
        <v>61</v>
      </c>
      <c r="K310" s="0" t="s">
        <v>61</v>
      </c>
      <c r="L310" s="0" t="n">
        <v>0</v>
      </c>
      <c r="M310" s="0" t="s">
        <v>61</v>
      </c>
      <c r="N310" s="0" t="n">
        <v>0</v>
      </c>
      <c r="O310" s="0" t="n">
        <v>0</v>
      </c>
      <c r="P310" s="0" t="s">
        <v>1112</v>
      </c>
      <c r="Q310" s="0" t="s">
        <v>61</v>
      </c>
      <c r="R310" s="0" t="s">
        <v>3223</v>
      </c>
      <c r="S310" s="0" t="s">
        <v>61</v>
      </c>
      <c r="T310" s="0" t="s">
        <v>61</v>
      </c>
      <c r="U310" s="0" t="n">
        <v>0</v>
      </c>
      <c r="V310" s="0" t="n">
        <v>0</v>
      </c>
      <c r="W310" s="0" t="n">
        <v>20230630</v>
      </c>
      <c r="X310" s="0" t="n">
        <v>19.5425080098353</v>
      </c>
      <c r="Y310" s="0" t="s">
        <v>3224</v>
      </c>
      <c r="Z310" s="0" t="s">
        <v>158</v>
      </c>
    </row>
    <row r="311" customFormat="false" ht="15" hidden="false" customHeight="false" outlineLevel="0" collapsed="false">
      <c r="A311" s="0" t="n">
        <v>311</v>
      </c>
      <c r="B311" s="0" t="n">
        <v>5734437</v>
      </c>
      <c r="C311" s="0" t="n">
        <v>4255</v>
      </c>
      <c r="D311" s="0" t="n">
        <v>4731600</v>
      </c>
      <c r="E311" s="0" t="s">
        <v>390</v>
      </c>
      <c r="F311" s="0" t="n">
        <v>478695</v>
      </c>
      <c r="G311" s="0" t="s">
        <v>3225</v>
      </c>
      <c r="H311" s="0" t="s">
        <v>3226</v>
      </c>
      <c r="I311" s="0" t="s">
        <v>3227</v>
      </c>
      <c r="J311" s="0" t="s">
        <v>3228</v>
      </c>
      <c r="K311" s="0" t="s">
        <v>3229</v>
      </c>
      <c r="L311" s="0" t="n">
        <v>4112167</v>
      </c>
      <c r="M311" s="0" t="s">
        <v>3230</v>
      </c>
      <c r="N311" s="0" t="n">
        <v>3708024</v>
      </c>
      <c r="O311" s="0" t="n">
        <v>3048</v>
      </c>
      <c r="P311" s="0" t="s">
        <v>575</v>
      </c>
      <c r="Q311" s="0" t="s">
        <v>3231</v>
      </c>
      <c r="R311" s="0" t="s">
        <v>3232</v>
      </c>
      <c r="S311" s="0" t="s">
        <v>3233</v>
      </c>
      <c r="T311" s="0" t="s">
        <v>3234</v>
      </c>
      <c r="U311" s="0" t="n">
        <v>0</v>
      </c>
      <c r="V311" s="0" t="n">
        <v>13.2297972957237</v>
      </c>
      <c r="W311" s="0" t="n">
        <v>20230630</v>
      </c>
      <c r="X311" s="0" t="n">
        <v>0.927240843731989</v>
      </c>
      <c r="Y311" s="0" t="s">
        <v>3235</v>
      </c>
      <c r="Z311" s="0" t="s">
        <v>60</v>
      </c>
    </row>
    <row r="312" customFormat="false" ht="15" hidden="false" customHeight="false" outlineLevel="0" collapsed="false">
      <c r="A312" s="0" t="n">
        <v>312</v>
      </c>
      <c r="B312" s="0" t="n">
        <v>2844637</v>
      </c>
      <c r="C312" s="0" t="n">
        <v>4256</v>
      </c>
      <c r="D312" s="0" t="n">
        <v>2500556</v>
      </c>
      <c r="E312" s="0" t="s">
        <v>246</v>
      </c>
      <c r="F312" s="0" t="n">
        <v>203536</v>
      </c>
      <c r="G312" s="0" t="s">
        <v>3236</v>
      </c>
      <c r="H312" s="0" t="s">
        <v>3237</v>
      </c>
      <c r="I312" s="0" t="s">
        <v>3238</v>
      </c>
      <c r="J312" s="0" t="s">
        <v>3239</v>
      </c>
      <c r="K312" s="0" t="s">
        <v>3240</v>
      </c>
      <c r="L312" s="0" t="n">
        <v>2060953</v>
      </c>
      <c r="M312" s="0" t="s">
        <v>3241</v>
      </c>
      <c r="N312" s="0" t="n">
        <v>1630531</v>
      </c>
      <c r="O312" s="0" t="n">
        <v>1676</v>
      </c>
      <c r="P312" s="0" t="s">
        <v>587</v>
      </c>
      <c r="Q312" s="0" t="s">
        <v>3242</v>
      </c>
      <c r="R312" s="0" t="s">
        <v>3243</v>
      </c>
      <c r="S312" s="0" t="s">
        <v>3244</v>
      </c>
      <c r="T312" s="0" t="s">
        <v>3245</v>
      </c>
      <c r="U312" s="0" t="n">
        <v>318</v>
      </c>
      <c r="V312" s="0" t="n">
        <v>13.625326178735</v>
      </c>
      <c r="W312" s="0" t="n">
        <v>20230630</v>
      </c>
      <c r="X312" s="0" t="n">
        <v>1.14263750716926</v>
      </c>
      <c r="Y312" s="0" t="s">
        <v>1511</v>
      </c>
      <c r="Z312" s="0" t="s">
        <v>60</v>
      </c>
    </row>
    <row r="313" customFormat="false" ht="15" hidden="false" customHeight="false" outlineLevel="0" collapsed="false">
      <c r="A313" s="0" t="n">
        <v>313</v>
      </c>
      <c r="B313" s="0" t="n">
        <v>695227</v>
      </c>
      <c r="C313" s="0" t="n">
        <v>59086</v>
      </c>
      <c r="D313" s="0" t="n">
        <v>607749</v>
      </c>
      <c r="E313" s="0" t="s">
        <v>1729</v>
      </c>
      <c r="F313" s="0" t="n">
        <v>83914</v>
      </c>
      <c r="G313" s="0" t="s">
        <v>3246</v>
      </c>
      <c r="H313" s="0" t="s">
        <v>3247</v>
      </c>
      <c r="I313" s="0" t="s">
        <v>3248</v>
      </c>
      <c r="J313" s="0" t="s">
        <v>3249</v>
      </c>
      <c r="K313" s="0" t="s">
        <v>61</v>
      </c>
      <c r="L313" s="0" t="n">
        <v>582250</v>
      </c>
      <c r="M313" s="0" t="s">
        <v>3250</v>
      </c>
      <c r="N313" s="0" t="n">
        <v>466335</v>
      </c>
      <c r="O313" s="0" t="n">
        <v>4947</v>
      </c>
      <c r="P313" s="0" t="s">
        <v>599</v>
      </c>
      <c r="Q313" s="0" t="s">
        <v>3251</v>
      </c>
      <c r="R313" s="0" t="s">
        <v>3252</v>
      </c>
      <c r="S313" s="0" t="s">
        <v>3253</v>
      </c>
      <c r="T313" s="0" t="s">
        <v>3254</v>
      </c>
      <c r="U313" s="0" t="n">
        <v>45</v>
      </c>
      <c r="V313" s="0" t="n">
        <v>14.706791359989</v>
      </c>
      <c r="W313" s="0" t="n">
        <v>20230630</v>
      </c>
      <c r="X313" s="0" t="n">
        <v>1.69256858441187</v>
      </c>
      <c r="Y313" s="0" t="s">
        <v>1529</v>
      </c>
      <c r="Z313" s="0" t="s">
        <v>158</v>
      </c>
    </row>
    <row r="314" customFormat="false" ht="15" hidden="false" customHeight="false" outlineLevel="0" collapsed="false">
      <c r="A314" s="0" t="n">
        <v>314</v>
      </c>
      <c r="B314" s="0" t="n">
        <v>202708</v>
      </c>
      <c r="C314" s="0" t="n">
        <v>59176</v>
      </c>
      <c r="D314" s="0" t="n">
        <v>173553</v>
      </c>
      <c r="E314" s="0" t="s">
        <v>2413</v>
      </c>
      <c r="F314" s="0" t="n">
        <v>23273</v>
      </c>
      <c r="G314" s="0" t="s">
        <v>3255</v>
      </c>
      <c r="H314" s="0" t="s">
        <v>3256</v>
      </c>
      <c r="I314" s="0" t="s">
        <v>3257</v>
      </c>
      <c r="J314" s="0" t="s">
        <v>3258</v>
      </c>
      <c r="K314" s="0" t="s">
        <v>1604</v>
      </c>
      <c r="L314" s="0" t="n">
        <v>137040</v>
      </c>
      <c r="M314" s="0" t="s">
        <v>3259</v>
      </c>
      <c r="N314" s="0" t="n">
        <v>117163</v>
      </c>
      <c r="O314" s="0" t="n">
        <v>0</v>
      </c>
      <c r="P314" s="0" t="s">
        <v>610</v>
      </c>
      <c r="Q314" s="0" t="s">
        <v>61</v>
      </c>
      <c r="R314" s="0" t="s">
        <v>3260</v>
      </c>
      <c r="S314" s="0" t="s">
        <v>143</v>
      </c>
      <c r="T314" s="0" t="s">
        <v>61</v>
      </c>
      <c r="U314" s="0" t="n">
        <v>0</v>
      </c>
      <c r="V314" s="0" t="n">
        <v>18.4854420018709</v>
      </c>
      <c r="W314" s="0" t="n">
        <v>20230630</v>
      </c>
      <c r="X314" s="0" t="n">
        <v>-0.113478158081379</v>
      </c>
      <c r="Y314" s="0" t="s">
        <v>3261</v>
      </c>
      <c r="Z314" s="0" t="s">
        <v>158</v>
      </c>
    </row>
    <row r="315" customFormat="false" ht="15" hidden="false" customHeight="false" outlineLevel="0" collapsed="false">
      <c r="A315" s="0" t="n">
        <v>315</v>
      </c>
      <c r="B315" s="0" t="n">
        <v>50390</v>
      </c>
      <c r="C315" s="0" t="n">
        <v>59289</v>
      </c>
      <c r="D315" s="0" t="n">
        <v>29218</v>
      </c>
      <c r="E315" s="0" t="s">
        <v>157</v>
      </c>
      <c r="F315" s="0" t="n">
        <v>20357</v>
      </c>
      <c r="G315" s="0" t="s">
        <v>3262</v>
      </c>
      <c r="H315" s="0" t="s">
        <v>3263</v>
      </c>
      <c r="I315" s="0" t="s">
        <v>3264</v>
      </c>
      <c r="J315" s="0" t="s">
        <v>3265</v>
      </c>
      <c r="K315" s="0" t="s">
        <v>61</v>
      </c>
      <c r="L315" s="0" t="n">
        <v>17374</v>
      </c>
      <c r="M315" s="0" t="s">
        <v>3266</v>
      </c>
      <c r="N315" s="0" t="n">
        <v>7760</v>
      </c>
      <c r="O315" s="0" t="n">
        <v>0</v>
      </c>
      <c r="P315" s="0" t="s">
        <v>2223</v>
      </c>
      <c r="Q315" s="0" t="s">
        <v>61</v>
      </c>
      <c r="R315" s="0" t="s">
        <v>3267</v>
      </c>
      <c r="S315" s="0" t="s">
        <v>61</v>
      </c>
      <c r="T315" s="0" t="s">
        <v>61</v>
      </c>
      <c r="U315" s="0" t="n">
        <v>0</v>
      </c>
      <c r="V315" s="0" t="n">
        <v>0</v>
      </c>
      <c r="W315" s="0" t="n">
        <v>20230630</v>
      </c>
      <c r="X315" s="0" t="n">
        <v>-5.7705051740837</v>
      </c>
      <c r="Y315" s="0" t="s">
        <v>3268</v>
      </c>
      <c r="Z315" s="0" t="s">
        <v>158</v>
      </c>
    </row>
    <row r="316" customFormat="false" ht="15" hidden="false" customHeight="false" outlineLevel="0" collapsed="false">
      <c r="A316" s="0" t="n">
        <v>316</v>
      </c>
      <c r="B316" s="0" t="n">
        <v>125919</v>
      </c>
      <c r="C316" s="0" t="n">
        <v>59298</v>
      </c>
      <c r="D316" s="0" t="n">
        <v>96751</v>
      </c>
      <c r="E316" s="0" t="s">
        <v>1155</v>
      </c>
      <c r="F316" s="0" t="n">
        <v>28131</v>
      </c>
      <c r="G316" s="0" t="s">
        <v>3269</v>
      </c>
      <c r="H316" s="0" t="s">
        <v>3270</v>
      </c>
      <c r="I316" s="0" t="s">
        <v>3271</v>
      </c>
      <c r="J316" s="0" t="s">
        <v>3272</v>
      </c>
      <c r="K316" s="0" t="s">
        <v>61</v>
      </c>
      <c r="L316" s="0" t="n">
        <v>45897</v>
      </c>
      <c r="M316" s="0" t="s">
        <v>3273</v>
      </c>
      <c r="N316" s="0" t="n">
        <v>35680</v>
      </c>
      <c r="O316" s="0" t="n">
        <v>0</v>
      </c>
      <c r="P316" s="0" t="s">
        <v>1684</v>
      </c>
      <c r="Q316" s="0" t="s">
        <v>61</v>
      </c>
      <c r="R316" s="0" t="s">
        <v>3274</v>
      </c>
      <c r="S316" s="0" t="s">
        <v>61</v>
      </c>
      <c r="T316" s="0" t="s">
        <v>61</v>
      </c>
      <c r="U316" s="0" t="n">
        <v>0</v>
      </c>
      <c r="V316" s="0" t="n">
        <v>0</v>
      </c>
      <c r="W316" s="0" t="n">
        <v>20230630</v>
      </c>
      <c r="X316" s="0" t="n">
        <v>-2.72523029900818</v>
      </c>
      <c r="Y316" s="0" t="s">
        <v>3275</v>
      </c>
      <c r="Z316" s="0" t="s">
        <v>98</v>
      </c>
    </row>
    <row r="317" customFormat="false" ht="15" hidden="false" customHeight="false" outlineLevel="0" collapsed="false">
      <c r="A317" s="0" t="n">
        <v>317</v>
      </c>
      <c r="B317" s="0" t="n">
        <v>1031317</v>
      </c>
      <c r="C317" s="0" t="n">
        <v>6271</v>
      </c>
      <c r="D317" s="0" t="n">
        <v>852686</v>
      </c>
      <c r="E317" s="0" t="s">
        <v>858</v>
      </c>
      <c r="F317" s="0" t="n">
        <v>92265</v>
      </c>
      <c r="G317" s="0" t="s">
        <v>3276</v>
      </c>
      <c r="H317" s="0" t="s">
        <v>3277</v>
      </c>
      <c r="I317" s="0" t="s">
        <v>3278</v>
      </c>
      <c r="J317" s="0" t="s">
        <v>3279</v>
      </c>
      <c r="K317" s="0" t="s">
        <v>3280</v>
      </c>
      <c r="L317" s="0" t="n">
        <v>782411</v>
      </c>
      <c r="M317" s="0" t="s">
        <v>3281</v>
      </c>
      <c r="N317" s="0" t="n">
        <v>618469</v>
      </c>
      <c r="O317" s="0" t="n">
        <v>7745</v>
      </c>
      <c r="P317" s="0" t="s">
        <v>621</v>
      </c>
      <c r="Q317" s="0" t="s">
        <v>3282</v>
      </c>
      <c r="R317" s="0" t="s">
        <v>3283</v>
      </c>
      <c r="S317" s="0" t="s">
        <v>3284</v>
      </c>
      <c r="T317" s="0" t="s">
        <v>3285</v>
      </c>
      <c r="U317" s="0" t="n">
        <v>351</v>
      </c>
      <c r="V317" s="0" t="n">
        <v>14.8339396306876</v>
      </c>
      <c r="W317" s="0" t="n">
        <v>20230630</v>
      </c>
      <c r="X317" s="0" t="n">
        <v>1.36947361058618</v>
      </c>
      <c r="Y317" s="0" t="s">
        <v>3286</v>
      </c>
      <c r="Z317" s="0" t="s">
        <v>98</v>
      </c>
    </row>
    <row r="318" customFormat="false" ht="15" hidden="false" customHeight="false" outlineLevel="0" collapsed="false">
      <c r="A318" s="0" t="n">
        <v>318</v>
      </c>
      <c r="B318" s="0" t="n">
        <v>549189</v>
      </c>
      <c r="C318" s="0" t="n">
        <v>6275</v>
      </c>
      <c r="D318" s="0" t="n">
        <v>469803</v>
      </c>
      <c r="E318" s="0" t="s">
        <v>61</v>
      </c>
      <c r="F318" s="0" t="n">
        <v>27287</v>
      </c>
      <c r="G318" s="0" t="s">
        <v>3287</v>
      </c>
      <c r="H318" s="0" t="s">
        <v>3288</v>
      </c>
      <c r="I318" s="0" t="s">
        <v>3289</v>
      </c>
      <c r="J318" s="0" t="s">
        <v>3290</v>
      </c>
      <c r="K318" s="0" t="s">
        <v>3291</v>
      </c>
      <c r="L318" s="0" t="n">
        <v>328932</v>
      </c>
      <c r="M318" s="0" t="s">
        <v>3292</v>
      </c>
      <c r="N318" s="0" t="n">
        <v>269836</v>
      </c>
      <c r="O318" s="0" t="n">
        <v>1335</v>
      </c>
      <c r="P318" s="0" t="s">
        <v>633</v>
      </c>
      <c r="Q318" s="0" t="s">
        <v>3293</v>
      </c>
      <c r="R318" s="0" t="s">
        <v>3294</v>
      </c>
      <c r="S318" s="0" t="s">
        <v>61</v>
      </c>
      <c r="T318" s="0" t="s">
        <v>2011</v>
      </c>
      <c r="U318" s="0" t="n">
        <v>152</v>
      </c>
      <c r="V318" s="0" t="n">
        <v>15.0712824477511</v>
      </c>
      <c r="W318" s="0" t="n">
        <v>20230630</v>
      </c>
      <c r="X318" s="0" t="n">
        <v>0.480035530771746</v>
      </c>
      <c r="Y318" s="0" t="s">
        <v>3295</v>
      </c>
      <c r="Z318" s="0" t="s">
        <v>98</v>
      </c>
    </row>
    <row r="319" customFormat="false" ht="15" hidden="false" customHeight="false" outlineLevel="0" collapsed="false">
      <c r="A319" s="0" t="n">
        <v>319</v>
      </c>
      <c r="B319" s="0" t="n">
        <v>83293</v>
      </c>
      <c r="C319" s="0" t="n">
        <v>6280</v>
      </c>
      <c r="D319" s="0" t="n">
        <v>73688</v>
      </c>
      <c r="E319" s="0" t="s">
        <v>172</v>
      </c>
      <c r="F319" s="0" t="n">
        <v>9047</v>
      </c>
      <c r="G319" s="0" t="s">
        <v>3296</v>
      </c>
      <c r="H319" s="0" t="s">
        <v>3297</v>
      </c>
      <c r="I319" s="0" t="s">
        <v>3298</v>
      </c>
      <c r="J319" s="0" t="s">
        <v>3299</v>
      </c>
      <c r="K319" s="0" t="s">
        <v>2645</v>
      </c>
      <c r="L319" s="0" t="n">
        <v>65402</v>
      </c>
      <c r="M319" s="0" t="s">
        <v>3300</v>
      </c>
      <c r="N319" s="0" t="n">
        <v>57427</v>
      </c>
      <c r="O319" s="0" t="n">
        <v>711</v>
      </c>
      <c r="P319" s="0" t="s">
        <v>644</v>
      </c>
      <c r="Q319" s="0" t="s">
        <v>3301</v>
      </c>
      <c r="R319" s="0" t="s">
        <v>3302</v>
      </c>
      <c r="S319" s="0" t="s">
        <v>120</v>
      </c>
      <c r="T319" s="0" t="s">
        <v>3303</v>
      </c>
      <c r="U319" s="0" t="n">
        <v>0</v>
      </c>
      <c r="V319" s="0" t="n">
        <v>0</v>
      </c>
      <c r="W319" s="0" t="n">
        <v>20230630</v>
      </c>
      <c r="X319" s="0" t="n">
        <v>1.943744168966</v>
      </c>
      <c r="Y319" s="0" t="s">
        <v>3304</v>
      </c>
      <c r="Z319" s="0" t="s">
        <v>98</v>
      </c>
    </row>
    <row r="320" customFormat="false" ht="15" hidden="false" customHeight="false" outlineLevel="0" collapsed="false">
      <c r="A320" s="0" t="n">
        <v>320</v>
      </c>
      <c r="B320" s="0" t="n">
        <v>3980815</v>
      </c>
      <c r="C320" s="0" t="n">
        <v>11971</v>
      </c>
      <c r="D320" s="0" t="n">
        <v>3148381</v>
      </c>
      <c r="E320" s="0" t="s">
        <v>259</v>
      </c>
      <c r="F320" s="0" t="n">
        <v>456209</v>
      </c>
      <c r="G320" s="0" t="s">
        <v>3305</v>
      </c>
      <c r="H320" s="0" t="s">
        <v>3306</v>
      </c>
      <c r="I320" s="0" t="s">
        <v>3307</v>
      </c>
      <c r="J320" s="0" t="s">
        <v>3308</v>
      </c>
      <c r="K320" s="0" t="s">
        <v>3309</v>
      </c>
      <c r="L320" s="0" t="n">
        <v>2994807</v>
      </c>
      <c r="M320" s="0" t="s">
        <v>3310</v>
      </c>
      <c r="N320" s="0" t="n">
        <v>2636437</v>
      </c>
      <c r="O320" s="0" t="n">
        <v>6769</v>
      </c>
      <c r="P320" s="0" t="s">
        <v>54</v>
      </c>
      <c r="Q320" s="0" t="s">
        <v>3311</v>
      </c>
      <c r="R320" s="0" t="s">
        <v>3312</v>
      </c>
      <c r="S320" s="0" t="s">
        <v>3313</v>
      </c>
      <c r="T320" s="0" t="s">
        <v>3314</v>
      </c>
      <c r="U320" s="0" t="n">
        <v>959</v>
      </c>
      <c r="V320" s="0" t="n">
        <v>13.601622045909</v>
      </c>
      <c r="W320" s="0" t="n">
        <v>20230930</v>
      </c>
      <c r="X320" s="0" t="n">
        <v>1.3228625688724</v>
      </c>
      <c r="Y320" s="0" t="s">
        <v>3315</v>
      </c>
      <c r="Z320" s="0" t="s">
        <v>60</v>
      </c>
    </row>
    <row r="321" customFormat="false" ht="15" hidden="false" customHeight="false" outlineLevel="0" collapsed="false">
      <c r="A321" s="0" t="n">
        <v>321</v>
      </c>
      <c r="B321" s="0" t="n">
        <v>1015573</v>
      </c>
      <c r="C321" s="0" t="n">
        <v>12874</v>
      </c>
      <c r="D321" s="0" t="n">
        <v>892145</v>
      </c>
      <c r="E321" s="0" t="s">
        <v>1500</v>
      </c>
      <c r="F321" s="0" t="n">
        <v>100287</v>
      </c>
      <c r="G321" s="0" t="s">
        <v>3316</v>
      </c>
      <c r="H321" s="0" t="s">
        <v>3317</v>
      </c>
      <c r="I321" s="0" t="s">
        <v>3318</v>
      </c>
      <c r="J321" s="0" t="s">
        <v>3319</v>
      </c>
      <c r="K321" s="0" t="s">
        <v>3320</v>
      </c>
      <c r="L321" s="0" t="n">
        <v>791811</v>
      </c>
      <c r="M321" s="0" t="s">
        <v>3321</v>
      </c>
      <c r="N321" s="0" t="n">
        <v>624999</v>
      </c>
      <c r="O321" s="0" t="n">
        <v>415</v>
      </c>
      <c r="P321" s="0" t="s">
        <v>68</v>
      </c>
      <c r="Q321" s="0" t="s">
        <v>3322</v>
      </c>
      <c r="R321" s="0" t="s">
        <v>3323</v>
      </c>
      <c r="S321" s="0" t="s">
        <v>143</v>
      </c>
      <c r="T321" s="0" t="s">
        <v>3324</v>
      </c>
      <c r="U321" s="0" t="n">
        <v>0</v>
      </c>
      <c r="V321" s="0" t="n">
        <v>15.5130608673916</v>
      </c>
      <c r="W321" s="0" t="n">
        <v>20230930</v>
      </c>
      <c r="X321" s="0" t="n">
        <v>1.10517821444244</v>
      </c>
      <c r="Y321" s="0" t="s">
        <v>3325</v>
      </c>
      <c r="Z321" s="0" t="s">
        <v>60</v>
      </c>
    </row>
    <row r="322" customFormat="false" ht="15" hidden="false" customHeight="false" outlineLevel="0" collapsed="false">
      <c r="A322" s="0" t="n">
        <v>322</v>
      </c>
      <c r="B322" s="0" t="n">
        <v>1813189</v>
      </c>
      <c r="C322" s="0" t="n">
        <v>13063</v>
      </c>
      <c r="D322" s="0" t="n">
        <v>1662459</v>
      </c>
      <c r="E322" s="0" t="s">
        <v>1708</v>
      </c>
      <c r="F322" s="0" t="n">
        <v>130802</v>
      </c>
      <c r="G322" s="0" t="s">
        <v>3326</v>
      </c>
      <c r="H322" s="0" t="s">
        <v>3327</v>
      </c>
      <c r="I322" s="0" t="s">
        <v>3328</v>
      </c>
      <c r="J322" s="0" t="s">
        <v>3329</v>
      </c>
      <c r="K322" s="0" t="s">
        <v>675</v>
      </c>
      <c r="L322" s="0" t="n">
        <v>1407387</v>
      </c>
      <c r="M322" s="0" t="s">
        <v>3330</v>
      </c>
      <c r="N322" s="0" t="n">
        <v>1342676</v>
      </c>
      <c r="O322" s="0" t="n">
        <v>592</v>
      </c>
      <c r="P322" s="0" t="s">
        <v>80</v>
      </c>
      <c r="Q322" s="0" t="s">
        <v>3331</v>
      </c>
      <c r="R322" s="0" t="s">
        <v>3332</v>
      </c>
      <c r="S322" s="0" t="s">
        <v>3333</v>
      </c>
      <c r="T322" s="0" t="s">
        <v>3334</v>
      </c>
      <c r="U322" s="0" t="n">
        <v>700</v>
      </c>
      <c r="V322" s="0" t="n">
        <v>0</v>
      </c>
      <c r="W322" s="0" t="n">
        <v>20230930</v>
      </c>
      <c r="X322" s="0" t="n">
        <v>0.205095820826914</v>
      </c>
      <c r="Y322" s="0" t="s">
        <v>3335</v>
      </c>
      <c r="Z322" s="0" t="s">
        <v>60</v>
      </c>
    </row>
    <row r="323" customFormat="false" ht="15" hidden="false" customHeight="false" outlineLevel="0" collapsed="false">
      <c r="A323" s="0" t="n">
        <v>323</v>
      </c>
      <c r="B323" s="0" t="n">
        <v>862974</v>
      </c>
      <c r="C323" s="0" t="n">
        <v>14134</v>
      </c>
      <c r="D323" s="0" t="n">
        <v>683848</v>
      </c>
      <c r="E323" s="0" t="s">
        <v>858</v>
      </c>
      <c r="F323" s="0" t="n">
        <v>97790</v>
      </c>
      <c r="G323" s="0" t="s">
        <v>3336</v>
      </c>
      <c r="H323" s="0" t="s">
        <v>3337</v>
      </c>
      <c r="I323" s="0" t="s">
        <v>3338</v>
      </c>
      <c r="J323" s="0" t="s">
        <v>3339</v>
      </c>
      <c r="K323" s="0" t="s">
        <v>3340</v>
      </c>
      <c r="L323" s="0" t="n">
        <v>659466</v>
      </c>
      <c r="M323" s="0" t="s">
        <v>3341</v>
      </c>
      <c r="N323" s="0" t="n">
        <v>579506</v>
      </c>
      <c r="O323" s="0" t="n">
        <v>12208</v>
      </c>
      <c r="P323" s="0" t="s">
        <v>92</v>
      </c>
      <c r="Q323" s="0" t="s">
        <v>3342</v>
      </c>
      <c r="R323" s="0" t="s">
        <v>3343</v>
      </c>
      <c r="S323" s="0" t="s">
        <v>3344</v>
      </c>
      <c r="T323" s="0" t="s">
        <v>3345</v>
      </c>
      <c r="U323" s="0" t="n">
        <v>0</v>
      </c>
      <c r="V323" s="0" t="n">
        <v>19.4095803936131</v>
      </c>
      <c r="W323" s="0" t="n">
        <v>20230930</v>
      </c>
      <c r="X323" s="0" t="n">
        <v>0.466681754214042</v>
      </c>
      <c r="Y323" s="0" t="s">
        <v>3346</v>
      </c>
      <c r="Z323" s="0" t="s">
        <v>98</v>
      </c>
    </row>
    <row r="324" customFormat="false" ht="15" hidden="false" customHeight="false" outlineLevel="0" collapsed="false">
      <c r="A324" s="0" t="n">
        <v>324</v>
      </c>
      <c r="B324" s="0" t="n">
        <v>226042</v>
      </c>
      <c r="C324" s="0" t="n">
        <v>14136</v>
      </c>
      <c r="D324" s="0" t="n">
        <v>193047</v>
      </c>
      <c r="E324" s="0" t="s">
        <v>246</v>
      </c>
      <c r="F324" s="0" t="n">
        <v>14702</v>
      </c>
      <c r="G324" s="0" t="s">
        <v>3347</v>
      </c>
      <c r="H324" s="0" t="s">
        <v>3348</v>
      </c>
      <c r="I324" s="0" t="s">
        <v>3349</v>
      </c>
      <c r="J324" s="0" t="s">
        <v>3350</v>
      </c>
      <c r="K324" s="0" t="s">
        <v>3351</v>
      </c>
      <c r="L324" s="0" t="n">
        <v>146706</v>
      </c>
      <c r="M324" s="0" t="s">
        <v>3352</v>
      </c>
      <c r="N324" s="0" t="n">
        <v>117617</v>
      </c>
      <c r="O324" s="0" t="n">
        <v>83</v>
      </c>
      <c r="P324" s="0" t="s">
        <v>105</v>
      </c>
      <c r="Q324" s="0" t="s">
        <v>3353</v>
      </c>
      <c r="R324" s="0" t="s">
        <v>3354</v>
      </c>
      <c r="S324" s="0" t="s">
        <v>3005</v>
      </c>
      <c r="T324" s="0" t="s">
        <v>3355</v>
      </c>
      <c r="U324" s="0" t="n">
        <v>734</v>
      </c>
      <c r="V324" s="0" t="n">
        <v>17.6797625377766</v>
      </c>
      <c r="W324" s="0" t="n">
        <v>20230930</v>
      </c>
      <c r="X324" s="0" t="n">
        <v>0.657509532403573</v>
      </c>
      <c r="Y324" s="0" t="s">
        <v>3356</v>
      </c>
      <c r="Z324" s="0" t="s">
        <v>98</v>
      </c>
    </row>
    <row r="325" customFormat="false" ht="15" hidden="false" customHeight="false" outlineLevel="0" collapsed="false">
      <c r="A325" s="0" t="n">
        <v>325</v>
      </c>
      <c r="B325" s="0" t="n">
        <v>1446742</v>
      </c>
      <c r="C325" s="0" t="n">
        <v>14140</v>
      </c>
      <c r="D325" s="0" t="n">
        <v>1144937</v>
      </c>
      <c r="E325" s="0" t="s">
        <v>271</v>
      </c>
      <c r="F325" s="0" t="n">
        <v>114596</v>
      </c>
      <c r="G325" s="0" t="s">
        <v>3357</v>
      </c>
      <c r="H325" s="0" t="s">
        <v>3358</v>
      </c>
      <c r="I325" s="0" t="s">
        <v>3359</v>
      </c>
      <c r="J325" s="0" t="s">
        <v>3360</v>
      </c>
      <c r="K325" s="0" t="s">
        <v>3361</v>
      </c>
      <c r="L325" s="0" t="n">
        <v>1027888</v>
      </c>
      <c r="M325" s="0" t="s">
        <v>3362</v>
      </c>
      <c r="N325" s="0" t="n">
        <v>915552</v>
      </c>
      <c r="O325" s="0" t="n">
        <v>4596</v>
      </c>
      <c r="P325" s="0" t="s">
        <v>117</v>
      </c>
      <c r="Q325" s="0" t="s">
        <v>3363</v>
      </c>
      <c r="R325" s="0" t="s">
        <v>3364</v>
      </c>
      <c r="S325" s="0" t="s">
        <v>1029</v>
      </c>
      <c r="T325" s="0" t="s">
        <v>3365</v>
      </c>
      <c r="U325" s="0" t="n">
        <v>0</v>
      </c>
      <c r="V325" s="0" t="n">
        <v>0</v>
      </c>
      <c r="W325" s="0" t="n">
        <v>20230930</v>
      </c>
      <c r="X325" s="0" t="n">
        <v>0.282590331859959</v>
      </c>
      <c r="Y325" s="0" t="s">
        <v>3366</v>
      </c>
      <c r="Z325" s="0" t="s">
        <v>98</v>
      </c>
    </row>
    <row r="326" customFormat="false" ht="15" hidden="false" customHeight="false" outlineLevel="0" collapsed="false">
      <c r="A326" s="0" t="n">
        <v>326</v>
      </c>
      <c r="B326" s="0" t="n">
        <v>1395141</v>
      </c>
      <c r="C326" s="0" t="n">
        <v>14158</v>
      </c>
      <c r="D326" s="0" t="n">
        <v>1225741</v>
      </c>
      <c r="E326" s="0" t="s">
        <v>890</v>
      </c>
      <c r="F326" s="0" t="n">
        <v>65297</v>
      </c>
      <c r="G326" s="0" t="s">
        <v>3367</v>
      </c>
      <c r="H326" s="0" t="s">
        <v>3368</v>
      </c>
      <c r="I326" s="0" t="s">
        <v>3369</v>
      </c>
      <c r="J326" s="0" t="s">
        <v>3370</v>
      </c>
      <c r="K326" s="0" t="s">
        <v>3371</v>
      </c>
      <c r="L326" s="0" t="n">
        <v>1029735</v>
      </c>
      <c r="M326" s="0" t="s">
        <v>3372</v>
      </c>
      <c r="N326" s="0" t="n">
        <v>900510</v>
      </c>
      <c r="O326" s="0" t="n">
        <v>1882</v>
      </c>
      <c r="P326" s="0" t="s">
        <v>129</v>
      </c>
      <c r="Q326" s="0" t="s">
        <v>3373</v>
      </c>
      <c r="R326" s="0" t="s">
        <v>3374</v>
      </c>
      <c r="S326" s="0" t="s">
        <v>218</v>
      </c>
      <c r="T326" s="0" t="s">
        <v>3375</v>
      </c>
      <c r="U326" s="0" t="n">
        <v>245</v>
      </c>
      <c r="V326" s="0" t="n">
        <v>13.1807756858742</v>
      </c>
      <c r="W326" s="0" t="n">
        <v>20230930</v>
      </c>
      <c r="X326" s="0" t="n">
        <v>0.872949562021764</v>
      </c>
      <c r="Y326" s="0" t="s">
        <v>3376</v>
      </c>
      <c r="Z326" s="0" t="s">
        <v>98</v>
      </c>
    </row>
    <row r="327" customFormat="false" ht="15" hidden="false" customHeight="false" outlineLevel="0" collapsed="false">
      <c r="A327" s="0" t="n">
        <v>327</v>
      </c>
      <c r="B327" s="0" t="n">
        <v>359023</v>
      </c>
      <c r="C327" s="0" t="n">
        <v>14168</v>
      </c>
      <c r="D327" s="0" t="n">
        <v>322770</v>
      </c>
      <c r="E327" s="0" t="s">
        <v>2854</v>
      </c>
      <c r="F327" s="0" t="n">
        <v>31301</v>
      </c>
      <c r="G327" s="0" t="s">
        <v>3377</v>
      </c>
      <c r="H327" s="0" t="s">
        <v>3378</v>
      </c>
      <c r="I327" s="0" t="s">
        <v>3379</v>
      </c>
      <c r="J327" s="0" t="s">
        <v>3380</v>
      </c>
      <c r="K327" s="0" t="s">
        <v>3381</v>
      </c>
      <c r="L327" s="0" t="n">
        <v>229069</v>
      </c>
      <c r="M327" s="0" t="s">
        <v>3382</v>
      </c>
      <c r="N327" s="0" t="n">
        <v>191581</v>
      </c>
      <c r="O327" s="0" t="n">
        <v>1133</v>
      </c>
      <c r="P327" s="0" t="s">
        <v>140</v>
      </c>
      <c r="Q327" s="0" t="s">
        <v>3383</v>
      </c>
      <c r="R327" s="0" t="s">
        <v>3384</v>
      </c>
      <c r="S327" s="0" t="s">
        <v>3385</v>
      </c>
      <c r="T327" s="0" t="s">
        <v>3386</v>
      </c>
      <c r="U327" s="0" t="n">
        <v>0</v>
      </c>
      <c r="V327" s="0" t="n">
        <v>16.9790621609938</v>
      </c>
      <c r="W327" s="0" t="n">
        <v>20230930</v>
      </c>
      <c r="X327" s="0" t="n">
        <v>0.847124283777967</v>
      </c>
      <c r="Y327" s="0" t="s">
        <v>3387</v>
      </c>
      <c r="Z327" s="0" t="s">
        <v>98</v>
      </c>
    </row>
    <row r="328" customFormat="false" ht="15" hidden="false" customHeight="false" outlineLevel="0" collapsed="false">
      <c r="A328" s="0" t="n">
        <v>328</v>
      </c>
      <c r="B328" s="0" t="n">
        <v>1352605</v>
      </c>
      <c r="C328" s="0" t="n">
        <v>14240</v>
      </c>
      <c r="D328" s="0" t="n">
        <v>1054870</v>
      </c>
      <c r="E328" s="0" t="s">
        <v>61</v>
      </c>
      <c r="F328" s="0" t="n">
        <v>75740</v>
      </c>
      <c r="G328" s="0" t="s">
        <v>3388</v>
      </c>
      <c r="H328" s="0" t="s">
        <v>3389</v>
      </c>
      <c r="I328" s="0" t="s">
        <v>3390</v>
      </c>
      <c r="J328" s="0" t="s">
        <v>3391</v>
      </c>
      <c r="K328" s="0" t="s">
        <v>3392</v>
      </c>
      <c r="L328" s="0" t="n">
        <v>967238</v>
      </c>
      <c r="M328" s="0" t="s">
        <v>3393</v>
      </c>
      <c r="N328" s="0" t="n">
        <v>823267</v>
      </c>
      <c r="O328" s="0" t="n">
        <v>2967</v>
      </c>
      <c r="P328" s="0" t="s">
        <v>152</v>
      </c>
      <c r="Q328" s="0" t="s">
        <v>3394</v>
      </c>
      <c r="R328" s="0" t="s">
        <v>3395</v>
      </c>
      <c r="S328" s="0" t="s">
        <v>155</v>
      </c>
      <c r="T328" s="0" t="s">
        <v>3396</v>
      </c>
      <c r="U328" s="0" t="n">
        <v>0</v>
      </c>
      <c r="V328" s="0" t="n">
        <v>15.1569679287591</v>
      </c>
      <c r="W328" s="0" t="n">
        <v>20230930</v>
      </c>
      <c r="X328" s="0" t="n">
        <v>0.527762579725944</v>
      </c>
      <c r="Y328" s="0" t="s">
        <v>3397</v>
      </c>
      <c r="Z328" s="0" t="s">
        <v>158</v>
      </c>
    </row>
    <row r="329" customFormat="false" ht="15" hidden="false" customHeight="false" outlineLevel="0" collapsed="false">
      <c r="A329" s="0" t="n">
        <v>329</v>
      </c>
      <c r="B329" s="0" t="n">
        <v>1080866</v>
      </c>
      <c r="C329" s="0" t="n">
        <v>17115</v>
      </c>
      <c r="D329" s="0" t="n">
        <v>797533</v>
      </c>
      <c r="E329" s="0" t="s">
        <v>172</v>
      </c>
      <c r="F329" s="0" t="n">
        <v>79915</v>
      </c>
      <c r="G329" s="0" t="s">
        <v>3398</v>
      </c>
      <c r="H329" s="0" t="s">
        <v>3399</v>
      </c>
      <c r="I329" s="0" t="s">
        <v>3400</v>
      </c>
      <c r="J329" s="0" t="s">
        <v>3401</v>
      </c>
      <c r="K329" s="0" t="s">
        <v>3402</v>
      </c>
      <c r="L329" s="0" t="n">
        <v>885313</v>
      </c>
      <c r="M329" s="0" t="s">
        <v>3403</v>
      </c>
      <c r="N329" s="0" t="n">
        <v>833728</v>
      </c>
      <c r="O329" s="0" t="n">
        <v>244</v>
      </c>
      <c r="P329" s="0" t="s">
        <v>166</v>
      </c>
      <c r="Q329" s="0" t="s">
        <v>3404</v>
      </c>
      <c r="R329" s="0" t="s">
        <v>3405</v>
      </c>
      <c r="S329" s="0" t="s">
        <v>3406</v>
      </c>
      <c r="T329" s="0" t="s">
        <v>3407</v>
      </c>
      <c r="U329" s="0" t="n">
        <v>0</v>
      </c>
      <c r="V329" s="0" t="n">
        <v>13.5669711163055</v>
      </c>
      <c r="W329" s="0" t="n">
        <v>20230930</v>
      </c>
      <c r="X329" s="0" t="n">
        <v>0.498638540922278</v>
      </c>
      <c r="Y329" s="0" t="s">
        <v>3408</v>
      </c>
      <c r="Z329" s="0" t="s">
        <v>60</v>
      </c>
    </row>
    <row r="330" customFormat="false" ht="15" hidden="false" customHeight="false" outlineLevel="0" collapsed="false">
      <c r="A330" s="0" t="n">
        <v>330</v>
      </c>
      <c r="B330" s="0" t="n">
        <v>1618725</v>
      </c>
      <c r="C330" s="0" t="n">
        <v>17180</v>
      </c>
      <c r="D330" s="0" t="n">
        <v>1198681</v>
      </c>
      <c r="E330" s="0" t="s">
        <v>1393</v>
      </c>
      <c r="F330" s="0" t="n">
        <v>130715</v>
      </c>
      <c r="G330" s="0" t="s">
        <v>3409</v>
      </c>
      <c r="H330" s="0" t="s">
        <v>3410</v>
      </c>
      <c r="I330" s="0" t="s">
        <v>3411</v>
      </c>
      <c r="J330" s="0" t="s">
        <v>3412</v>
      </c>
      <c r="K330" s="0" t="s">
        <v>3413</v>
      </c>
      <c r="L330" s="0" t="n">
        <v>1465429</v>
      </c>
      <c r="M330" s="0" t="s">
        <v>3414</v>
      </c>
      <c r="N330" s="0" t="n">
        <v>1192665</v>
      </c>
      <c r="O330" s="0" t="n">
        <v>5236</v>
      </c>
      <c r="P330" s="0" t="s">
        <v>179</v>
      </c>
      <c r="Q330" s="0" t="s">
        <v>3415</v>
      </c>
      <c r="R330" s="0" t="s">
        <v>3416</v>
      </c>
      <c r="S330" s="0" t="s">
        <v>3025</v>
      </c>
      <c r="T330" s="0" t="s">
        <v>3417</v>
      </c>
      <c r="U330" s="0" t="n">
        <v>0</v>
      </c>
      <c r="V330" s="0" t="n">
        <v>13.815531195592</v>
      </c>
      <c r="W330" s="0" t="n">
        <v>20230930</v>
      </c>
      <c r="X330" s="0" t="n">
        <v>0.396147648792238</v>
      </c>
      <c r="Y330" s="0" t="s">
        <v>3418</v>
      </c>
      <c r="Z330" s="0" t="s">
        <v>158</v>
      </c>
    </row>
    <row r="331" customFormat="false" ht="15" hidden="false" customHeight="false" outlineLevel="0" collapsed="false">
      <c r="A331" s="0" t="n">
        <v>331</v>
      </c>
      <c r="B331" s="0" t="n">
        <v>359919</v>
      </c>
      <c r="C331" s="0" t="n">
        <v>17443</v>
      </c>
      <c r="D331" s="0" t="n">
        <v>321726</v>
      </c>
      <c r="E331" s="0" t="s">
        <v>195</v>
      </c>
      <c r="F331" s="0" t="n">
        <v>36888</v>
      </c>
      <c r="G331" s="0" t="s">
        <v>3419</v>
      </c>
      <c r="H331" s="0" t="s">
        <v>3420</v>
      </c>
      <c r="I331" s="0" t="s">
        <v>3421</v>
      </c>
      <c r="J331" s="0" t="s">
        <v>61</v>
      </c>
      <c r="K331" s="0" t="s">
        <v>3422</v>
      </c>
      <c r="L331" s="0" t="n">
        <v>207388</v>
      </c>
      <c r="M331" s="0" t="s">
        <v>3423</v>
      </c>
      <c r="N331" s="0" t="n">
        <v>205626</v>
      </c>
      <c r="O331" s="0" t="n">
        <v>109</v>
      </c>
      <c r="P331" s="0" t="s">
        <v>190</v>
      </c>
      <c r="Q331" s="0" t="s">
        <v>3424</v>
      </c>
      <c r="R331" s="0" t="s">
        <v>3425</v>
      </c>
      <c r="S331" s="0" t="s">
        <v>61</v>
      </c>
      <c r="T331" s="0" t="s">
        <v>3426</v>
      </c>
      <c r="U331" s="0" t="n">
        <v>897</v>
      </c>
      <c r="V331" s="0" t="n">
        <v>0</v>
      </c>
      <c r="W331" s="0" t="n">
        <v>20230930</v>
      </c>
      <c r="X331" s="0" t="n">
        <v>0.0680743287053854</v>
      </c>
      <c r="Y331" s="0" t="s">
        <v>3427</v>
      </c>
      <c r="Z331" s="0" t="s">
        <v>158</v>
      </c>
    </row>
    <row r="332" customFormat="false" ht="15" hidden="false" customHeight="false" outlineLevel="0" collapsed="false">
      <c r="A332" s="0" t="n">
        <v>332</v>
      </c>
      <c r="B332" s="0" t="n">
        <v>1854542</v>
      </c>
      <c r="C332" s="0" t="n">
        <v>17658</v>
      </c>
      <c r="D332" s="0" t="n">
        <v>1539926</v>
      </c>
      <c r="E332" s="0" t="s">
        <v>172</v>
      </c>
      <c r="F332" s="0" t="n">
        <v>184915</v>
      </c>
      <c r="G332" s="0" t="s">
        <v>3428</v>
      </c>
      <c r="H332" s="0" t="s">
        <v>3429</v>
      </c>
      <c r="I332" s="0" t="s">
        <v>3430</v>
      </c>
      <c r="J332" s="0" t="s">
        <v>3431</v>
      </c>
      <c r="K332" s="0" t="s">
        <v>3432</v>
      </c>
      <c r="L332" s="0" t="n">
        <v>1292291</v>
      </c>
      <c r="M332" s="0" t="s">
        <v>3433</v>
      </c>
      <c r="N332" s="0" t="n">
        <v>1103288</v>
      </c>
      <c r="O332" s="0" t="n">
        <v>1361</v>
      </c>
      <c r="P332" s="0" t="s">
        <v>202</v>
      </c>
      <c r="Q332" s="0" t="s">
        <v>3434</v>
      </c>
      <c r="R332" s="0" t="s">
        <v>3435</v>
      </c>
      <c r="S332" s="0" t="s">
        <v>1738</v>
      </c>
      <c r="T332" s="0" t="s">
        <v>3436</v>
      </c>
      <c r="U332" s="0" t="n">
        <v>0</v>
      </c>
      <c r="V332" s="0" t="n">
        <v>0</v>
      </c>
      <c r="W332" s="0" t="n">
        <v>20230930</v>
      </c>
      <c r="X332" s="0" t="n">
        <v>0.655756640612116</v>
      </c>
      <c r="Y332" s="0" t="s">
        <v>3437</v>
      </c>
      <c r="Z332" s="0" t="s">
        <v>60</v>
      </c>
    </row>
    <row r="333" customFormat="false" ht="15" hidden="false" customHeight="false" outlineLevel="0" collapsed="false">
      <c r="A333" s="0" t="n">
        <v>333</v>
      </c>
      <c r="B333" s="0" t="n">
        <v>1063414</v>
      </c>
      <c r="C333" s="0" t="n">
        <v>17741</v>
      </c>
      <c r="D333" s="0" t="n">
        <v>803860</v>
      </c>
      <c r="E333" s="0" t="s">
        <v>208</v>
      </c>
      <c r="F333" s="0" t="n">
        <v>132027</v>
      </c>
      <c r="G333" s="0" t="s">
        <v>3438</v>
      </c>
      <c r="H333" s="0" t="s">
        <v>3439</v>
      </c>
      <c r="I333" s="0" t="s">
        <v>3440</v>
      </c>
      <c r="J333" s="0" t="s">
        <v>3441</v>
      </c>
      <c r="K333" s="0" t="s">
        <v>3442</v>
      </c>
      <c r="L333" s="0" t="n">
        <v>905841</v>
      </c>
      <c r="M333" s="0" t="s">
        <v>3443</v>
      </c>
      <c r="N333" s="0" t="n">
        <v>844883</v>
      </c>
      <c r="O333" s="0" t="n">
        <v>2371</v>
      </c>
      <c r="P333" s="0" t="s">
        <v>215</v>
      </c>
      <c r="Q333" s="0" t="s">
        <v>3444</v>
      </c>
      <c r="R333" s="0" t="s">
        <v>3445</v>
      </c>
      <c r="S333" s="0" t="s">
        <v>3446</v>
      </c>
      <c r="T333" s="0" t="s">
        <v>3447</v>
      </c>
      <c r="U333" s="0" t="n">
        <v>0</v>
      </c>
      <c r="V333" s="0" t="n">
        <v>0</v>
      </c>
      <c r="W333" s="0" t="n">
        <v>20230930</v>
      </c>
      <c r="X333" s="0" t="n">
        <v>0.584654904405804</v>
      </c>
      <c r="Y333" s="0" t="s">
        <v>3448</v>
      </c>
      <c r="Z333" s="0" t="s">
        <v>60</v>
      </c>
    </row>
    <row r="334" customFormat="false" ht="15" hidden="false" customHeight="false" outlineLevel="0" collapsed="false">
      <c r="A334" s="0" t="n">
        <v>334</v>
      </c>
      <c r="B334" s="0" t="n">
        <v>1343923</v>
      </c>
      <c r="C334" s="0" t="n">
        <v>17743</v>
      </c>
      <c r="D334" s="0" t="n">
        <v>962463</v>
      </c>
      <c r="E334" s="0" t="s">
        <v>61</v>
      </c>
      <c r="F334" s="0" t="n">
        <v>114040</v>
      </c>
      <c r="G334" s="0" t="s">
        <v>3449</v>
      </c>
      <c r="H334" s="0" t="s">
        <v>3450</v>
      </c>
      <c r="I334" s="0" t="s">
        <v>3451</v>
      </c>
      <c r="J334" s="0" t="s">
        <v>3452</v>
      </c>
      <c r="K334" s="0" t="s">
        <v>3453</v>
      </c>
      <c r="L334" s="0" t="n">
        <v>1053953</v>
      </c>
      <c r="M334" s="0" t="s">
        <v>3454</v>
      </c>
      <c r="N334" s="0" t="n">
        <v>1018679</v>
      </c>
      <c r="O334" s="0" t="n">
        <v>4816</v>
      </c>
      <c r="P334" s="0" t="s">
        <v>227</v>
      </c>
      <c r="Q334" s="0" t="s">
        <v>3455</v>
      </c>
      <c r="R334" s="0" t="s">
        <v>3456</v>
      </c>
      <c r="S334" s="0" t="s">
        <v>2563</v>
      </c>
      <c r="T334" s="0" t="s">
        <v>3457</v>
      </c>
      <c r="U334" s="0" t="n">
        <v>50</v>
      </c>
      <c r="V334" s="0" t="n">
        <v>0</v>
      </c>
      <c r="W334" s="0" t="n">
        <v>20230930</v>
      </c>
      <c r="X334" s="0" t="n">
        <v>0.0416934666112008</v>
      </c>
      <c r="Y334" s="0" t="s">
        <v>3458</v>
      </c>
      <c r="Z334" s="0" t="s">
        <v>60</v>
      </c>
    </row>
    <row r="335" customFormat="false" ht="15" hidden="false" customHeight="false" outlineLevel="0" collapsed="false">
      <c r="A335" s="0" t="n">
        <v>335</v>
      </c>
      <c r="B335" s="0" t="n">
        <v>1637222</v>
      </c>
      <c r="C335" s="0" t="n">
        <v>17748</v>
      </c>
      <c r="D335" s="0" t="n">
        <v>1377757</v>
      </c>
      <c r="E335" s="0" t="s">
        <v>208</v>
      </c>
      <c r="F335" s="0" t="n">
        <v>100984</v>
      </c>
      <c r="G335" s="0" t="s">
        <v>3459</v>
      </c>
      <c r="H335" s="0" t="s">
        <v>3460</v>
      </c>
      <c r="I335" s="0" t="s">
        <v>3461</v>
      </c>
      <c r="J335" s="0" t="s">
        <v>3462</v>
      </c>
      <c r="K335" s="0" t="s">
        <v>3463</v>
      </c>
      <c r="L335" s="0" t="n">
        <v>1276766</v>
      </c>
      <c r="M335" s="0" t="s">
        <v>3464</v>
      </c>
      <c r="N335" s="0" t="n">
        <v>1059712</v>
      </c>
      <c r="O335" s="0" t="n">
        <v>6912</v>
      </c>
      <c r="P335" s="0" t="s">
        <v>240</v>
      </c>
      <c r="Q335" s="0" t="s">
        <v>3465</v>
      </c>
      <c r="R335" s="0" t="s">
        <v>3466</v>
      </c>
      <c r="S335" s="0" t="s">
        <v>3467</v>
      </c>
      <c r="T335" s="0" t="s">
        <v>3468</v>
      </c>
      <c r="U335" s="0" t="n">
        <v>0</v>
      </c>
      <c r="V335" s="0" t="n">
        <v>0</v>
      </c>
      <c r="W335" s="0" t="n">
        <v>20230930</v>
      </c>
      <c r="X335" s="0" t="n">
        <v>0.256949701022203</v>
      </c>
      <c r="Y335" s="0" t="s">
        <v>2669</v>
      </c>
      <c r="Z335" s="0" t="s">
        <v>60</v>
      </c>
    </row>
    <row r="336" customFormat="false" ht="15" hidden="false" customHeight="false" outlineLevel="0" collapsed="false">
      <c r="A336" s="0" t="n">
        <v>336</v>
      </c>
      <c r="B336" s="0" t="n">
        <v>1286435</v>
      </c>
      <c r="C336" s="0" t="n">
        <v>17749</v>
      </c>
      <c r="D336" s="0" t="n">
        <v>1014838</v>
      </c>
      <c r="E336" s="0" t="s">
        <v>246</v>
      </c>
      <c r="F336" s="0" t="n">
        <v>152647</v>
      </c>
      <c r="G336" s="0" t="s">
        <v>3469</v>
      </c>
      <c r="H336" s="0" t="s">
        <v>3470</v>
      </c>
      <c r="I336" s="0" t="s">
        <v>3471</v>
      </c>
      <c r="J336" s="0" t="s">
        <v>3472</v>
      </c>
      <c r="K336" s="0" t="s">
        <v>3473</v>
      </c>
      <c r="L336" s="0" t="n">
        <v>779799</v>
      </c>
      <c r="M336" s="0" t="s">
        <v>3474</v>
      </c>
      <c r="N336" s="0" t="n">
        <v>708062</v>
      </c>
      <c r="O336" s="0" t="n">
        <v>34</v>
      </c>
      <c r="P336" s="0" t="s">
        <v>253</v>
      </c>
      <c r="Q336" s="0" t="s">
        <v>3475</v>
      </c>
      <c r="R336" s="0" t="s">
        <v>3476</v>
      </c>
      <c r="S336" s="0" t="s">
        <v>120</v>
      </c>
      <c r="T336" s="0" t="s">
        <v>3477</v>
      </c>
      <c r="U336" s="0" t="n">
        <v>0</v>
      </c>
      <c r="V336" s="0" t="n">
        <v>0</v>
      </c>
      <c r="W336" s="0" t="n">
        <v>20230930</v>
      </c>
      <c r="X336" s="0" t="n">
        <v>0.980966388840118</v>
      </c>
      <c r="Y336" s="0" t="s">
        <v>3478</v>
      </c>
      <c r="Z336" s="0" t="s">
        <v>60</v>
      </c>
    </row>
    <row r="337" customFormat="false" ht="15" hidden="false" customHeight="false" outlineLevel="0" collapsed="false">
      <c r="A337" s="0" t="n">
        <v>337</v>
      </c>
      <c r="B337" s="0" t="n">
        <v>1580361</v>
      </c>
      <c r="C337" s="0" t="n">
        <v>17751</v>
      </c>
      <c r="D337" s="0" t="n">
        <v>1300135</v>
      </c>
      <c r="E337" s="0" t="s">
        <v>47</v>
      </c>
      <c r="F337" s="0" t="n">
        <v>128888</v>
      </c>
      <c r="G337" s="0" t="s">
        <v>3479</v>
      </c>
      <c r="H337" s="0" t="s">
        <v>3480</v>
      </c>
      <c r="I337" s="0" t="s">
        <v>3481</v>
      </c>
      <c r="J337" s="0" t="s">
        <v>3482</v>
      </c>
      <c r="K337" s="0" t="s">
        <v>3483</v>
      </c>
      <c r="L337" s="0" t="n">
        <v>1284182</v>
      </c>
      <c r="M337" s="0" t="s">
        <v>3484</v>
      </c>
      <c r="N337" s="0" t="n">
        <v>1091898</v>
      </c>
      <c r="O337" s="0" t="n">
        <v>2621</v>
      </c>
      <c r="P337" s="0" t="s">
        <v>266</v>
      </c>
      <c r="Q337" s="0" t="s">
        <v>3485</v>
      </c>
      <c r="R337" s="0" t="s">
        <v>3486</v>
      </c>
      <c r="S337" s="0" t="s">
        <v>3487</v>
      </c>
      <c r="T337" s="0" t="s">
        <v>3488</v>
      </c>
      <c r="U337" s="0" t="n">
        <v>0</v>
      </c>
      <c r="V337" s="0" t="n">
        <v>12.6039990480709</v>
      </c>
      <c r="W337" s="0" t="n">
        <v>20230930</v>
      </c>
      <c r="X337" s="0" t="n">
        <v>0.591331773995177</v>
      </c>
      <c r="Y337" s="0" t="s">
        <v>3489</v>
      </c>
      <c r="Z337" s="0" t="s">
        <v>60</v>
      </c>
    </row>
    <row r="338" customFormat="false" ht="15" hidden="false" customHeight="false" outlineLevel="0" collapsed="false">
      <c r="A338" s="0" t="n">
        <v>338</v>
      </c>
      <c r="B338" s="0" t="n">
        <v>1672541</v>
      </c>
      <c r="C338" s="0" t="n">
        <v>17897</v>
      </c>
      <c r="D338" s="0" t="n">
        <v>1315387</v>
      </c>
      <c r="E338" s="0" t="s">
        <v>1500</v>
      </c>
      <c r="F338" s="0" t="n">
        <v>196829</v>
      </c>
      <c r="G338" s="0" t="s">
        <v>3490</v>
      </c>
      <c r="H338" s="0" t="s">
        <v>3491</v>
      </c>
      <c r="I338" s="0" t="s">
        <v>3492</v>
      </c>
      <c r="J338" s="0" t="s">
        <v>3493</v>
      </c>
      <c r="K338" s="0" t="s">
        <v>3494</v>
      </c>
      <c r="L338" s="0" t="n">
        <v>1427049</v>
      </c>
      <c r="M338" s="0" t="s">
        <v>3495</v>
      </c>
      <c r="N338" s="0" t="n">
        <v>1342461</v>
      </c>
      <c r="O338" s="0" t="n">
        <v>2834</v>
      </c>
      <c r="P338" s="0" t="s">
        <v>278</v>
      </c>
      <c r="Q338" s="0" t="s">
        <v>3496</v>
      </c>
      <c r="R338" s="0" t="s">
        <v>3497</v>
      </c>
      <c r="S338" s="0" t="s">
        <v>3498</v>
      </c>
      <c r="T338" s="0" t="s">
        <v>3499</v>
      </c>
      <c r="U338" s="0" t="n">
        <v>0</v>
      </c>
      <c r="V338" s="0" t="n">
        <v>16.1017927907317</v>
      </c>
      <c r="W338" s="0" t="n">
        <v>20230930</v>
      </c>
      <c r="X338" s="0" t="n">
        <v>0.380808315338347</v>
      </c>
      <c r="Y338" s="0" t="s">
        <v>3500</v>
      </c>
      <c r="Z338" s="0" t="s">
        <v>60</v>
      </c>
    </row>
    <row r="339" customFormat="false" ht="15" hidden="false" customHeight="false" outlineLevel="0" collapsed="false">
      <c r="A339" s="0" t="n">
        <v>339</v>
      </c>
      <c r="B339" s="0" t="n">
        <v>774390</v>
      </c>
      <c r="C339" s="0" t="n">
        <v>17951</v>
      </c>
      <c r="D339" s="0" t="n">
        <v>686785</v>
      </c>
      <c r="E339" s="0" t="s">
        <v>1393</v>
      </c>
      <c r="F339" s="0" t="n">
        <v>56538</v>
      </c>
      <c r="G339" s="0" t="s">
        <v>3501</v>
      </c>
      <c r="H339" s="0" t="s">
        <v>3502</v>
      </c>
      <c r="I339" s="0" t="s">
        <v>3503</v>
      </c>
      <c r="J339" s="0" t="s">
        <v>3504</v>
      </c>
      <c r="K339" s="0" t="s">
        <v>3505</v>
      </c>
      <c r="L339" s="0" t="n">
        <v>564607</v>
      </c>
      <c r="M339" s="0" t="s">
        <v>3506</v>
      </c>
      <c r="N339" s="0" t="n">
        <v>525776</v>
      </c>
      <c r="O339" s="0" t="n">
        <v>179</v>
      </c>
      <c r="P339" s="0" t="s">
        <v>290</v>
      </c>
      <c r="Q339" s="0" t="s">
        <v>3507</v>
      </c>
      <c r="R339" s="0" t="s">
        <v>3508</v>
      </c>
      <c r="S339" s="0" t="s">
        <v>3509</v>
      </c>
      <c r="T339" s="0" t="s">
        <v>3510</v>
      </c>
      <c r="U339" s="0" t="n">
        <v>0</v>
      </c>
      <c r="V339" s="0" t="n">
        <v>14.6359562064762</v>
      </c>
      <c r="W339" s="0" t="n">
        <v>20230930</v>
      </c>
      <c r="X339" s="0" t="n">
        <v>0.594947433038291</v>
      </c>
      <c r="Y339" s="0" t="s">
        <v>3511</v>
      </c>
      <c r="Z339" s="0" t="s">
        <v>158</v>
      </c>
    </row>
    <row r="340" customFormat="false" ht="15" hidden="false" customHeight="false" outlineLevel="0" collapsed="false">
      <c r="A340" s="0" t="n">
        <v>340</v>
      </c>
      <c r="B340" s="0" t="n">
        <v>1360683</v>
      </c>
      <c r="C340" s="0" t="n">
        <v>17960</v>
      </c>
      <c r="D340" s="0" t="n">
        <v>1035461</v>
      </c>
      <c r="E340" s="0" t="s">
        <v>172</v>
      </c>
      <c r="F340" s="0" t="n">
        <v>105758</v>
      </c>
      <c r="G340" s="0" t="s">
        <v>3512</v>
      </c>
      <c r="H340" s="0" t="s">
        <v>3513</v>
      </c>
      <c r="I340" s="0" t="s">
        <v>3514</v>
      </c>
      <c r="J340" s="0" t="s">
        <v>3515</v>
      </c>
      <c r="K340" s="0" t="s">
        <v>3516</v>
      </c>
      <c r="L340" s="0" t="n">
        <v>1168694</v>
      </c>
      <c r="M340" s="0" t="s">
        <v>3517</v>
      </c>
      <c r="N340" s="0" t="n">
        <v>830148</v>
      </c>
      <c r="O340" s="0" t="n">
        <v>8539</v>
      </c>
      <c r="P340" s="0" t="s">
        <v>302</v>
      </c>
      <c r="Q340" s="0" t="s">
        <v>3518</v>
      </c>
      <c r="R340" s="0" t="s">
        <v>3519</v>
      </c>
      <c r="S340" s="0" t="s">
        <v>1575</v>
      </c>
      <c r="T340" s="0" t="s">
        <v>3520</v>
      </c>
      <c r="U340" s="0" t="n">
        <v>0</v>
      </c>
      <c r="V340" s="0" t="n">
        <v>12.8543313948285</v>
      </c>
      <c r="W340" s="0" t="n">
        <v>20230930</v>
      </c>
      <c r="X340" s="0" t="n">
        <v>0.41501730865951</v>
      </c>
      <c r="Y340" s="0" t="s">
        <v>3521</v>
      </c>
      <c r="Z340" s="0" t="s">
        <v>158</v>
      </c>
    </row>
    <row r="341" customFormat="false" ht="15" hidden="false" customHeight="false" outlineLevel="0" collapsed="false">
      <c r="A341" s="0" t="n">
        <v>341</v>
      </c>
      <c r="B341" s="0" t="n">
        <v>2450354</v>
      </c>
      <c r="C341" s="0" t="n">
        <v>18012</v>
      </c>
      <c r="D341" s="0" t="n">
        <v>2087557</v>
      </c>
      <c r="E341" s="0" t="s">
        <v>390</v>
      </c>
      <c r="F341" s="0" t="n">
        <v>251689</v>
      </c>
      <c r="G341" s="0" t="s">
        <v>3522</v>
      </c>
      <c r="H341" s="0" t="s">
        <v>3523</v>
      </c>
      <c r="I341" s="0" t="s">
        <v>3524</v>
      </c>
      <c r="J341" s="0" t="s">
        <v>3525</v>
      </c>
      <c r="K341" s="0" t="s">
        <v>3526</v>
      </c>
      <c r="L341" s="0" t="n">
        <v>1996300</v>
      </c>
      <c r="M341" s="0" t="s">
        <v>3527</v>
      </c>
      <c r="N341" s="0" t="n">
        <v>1885157</v>
      </c>
      <c r="O341" s="0" t="n">
        <v>742</v>
      </c>
      <c r="P341" s="0" t="s">
        <v>312</v>
      </c>
      <c r="Q341" s="0" t="s">
        <v>3528</v>
      </c>
      <c r="R341" s="0" t="s">
        <v>3529</v>
      </c>
      <c r="S341" s="0" t="s">
        <v>3530</v>
      </c>
      <c r="T341" s="0" t="s">
        <v>3531</v>
      </c>
      <c r="U341" s="0" t="n">
        <v>0</v>
      </c>
      <c r="V341" s="0" t="n">
        <v>13.7963240873137</v>
      </c>
      <c r="W341" s="0" t="n">
        <v>20230930</v>
      </c>
      <c r="X341" s="0" t="n">
        <v>0.871079377516649</v>
      </c>
      <c r="Y341" s="0" t="s">
        <v>3532</v>
      </c>
      <c r="Z341" s="0" t="s">
        <v>158</v>
      </c>
    </row>
    <row r="342" customFormat="false" ht="15" hidden="false" customHeight="false" outlineLevel="0" collapsed="false">
      <c r="A342" s="0" t="n">
        <v>342</v>
      </c>
      <c r="B342" s="0" t="n">
        <v>2857828</v>
      </c>
      <c r="C342" s="0" t="n">
        <v>18013</v>
      </c>
      <c r="D342" s="0" t="n">
        <v>2426366</v>
      </c>
      <c r="E342" s="0" t="s">
        <v>390</v>
      </c>
      <c r="F342" s="0" t="n">
        <v>208913</v>
      </c>
      <c r="G342" s="0" t="s">
        <v>3533</v>
      </c>
      <c r="H342" s="0" t="s">
        <v>3534</v>
      </c>
      <c r="I342" s="0" t="s">
        <v>3535</v>
      </c>
      <c r="J342" s="0" t="s">
        <v>3536</v>
      </c>
      <c r="K342" s="0" t="s">
        <v>3537</v>
      </c>
      <c r="L342" s="0" t="n">
        <v>2341074</v>
      </c>
      <c r="M342" s="0" t="s">
        <v>3538</v>
      </c>
      <c r="N342" s="0" t="n">
        <v>2134736</v>
      </c>
      <c r="O342" s="0" t="n">
        <v>1061</v>
      </c>
      <c r="P342" s="0" t="s">
        <v>324</v>
      </c>
      <c r="Q342" s="0" t="s">
        <v>3539</v>
      </c>
      <c r="R342" s="0" t="s">
        <v>3540</v>
      </c>
      <c r="S342" s="0" t="s">
        <v>3541</v>
      </c>
      <c r="T342" s="0" t="s">
        <v>3542</v>
      </c>
      <c r="U342" s="0" t="n">
        <v>17</v>
      </c>
      <c r="V342" s="0" t="n">
        <v>12.718417791956</v>
      </c>
      <c r="W342" s="0" t="n">
        <v>20230930</v>
      </c>
      <c r="X342" s="0" t="n">
        <v>0.455600254543259</v>
      </c>
      <c r="Y342" s="0" t="s">
        <v>3016</v>
      </c>
      <c r="Z342" s="0" t="s">
        <v>158</v>
      </c>
    </row>
    <row r="343" customFormat="false" ht="15" hidden="false" customHeight="false" outlineLevel="0" collapsed="false">
      <c r="A343" s="0" t="n">
        <v>343</v>
      </c>
      <c r="B343" s="0" t="n">
        <v>381526</v>
      </c>
      <c r="C343" s="0" t="n">
        <v>18028</v>
      </c>
      <c r="D343" s="0" t="n">
        <v>312777</v>
      </c>
      <c r="E343" s="0" t="s">
        <v>1187</v>
      </c>
      <c r="F343" s="0" t="n">
        <v>35629</v>
      </c>
      <c r="G343" s="0" t="s">
        <v>3543</v>
      </c>
      <c r="H343" s="0" t="s">
        <v>3544</v>
      </c>
      <c r="I343" s="0" t="s">
        <v>3545</v>
      </c>
      <c r="J343" s="0" t="s">
        <v>3546</v>
      </c>
      <c r="K343" s="0" t="s">
        <v>3547</v>
      </c>
      <c r="L343" s="0" t="n">
        <v>261805</v>
      </c>
      <c r="M343" s="0" t="s">
        <v>3548</v>
      </c>
      <c r="N343" s="0" t="n">
        <v>235366</v>
      </c>
      <c r="O343" s="0" t="n">
        <v>831</v>
      </c>
      <c r="P343" s="0" t="s">
        <v>337</v>
      </c>
      <c r="Q343" s="0" t="s">
        <v>3549</v>
      </c>
      <c r="R343" s="0" t="s">
        <v>3550</v>
      </c>
      <c r="S343" s="0" t="s">
        <v>3551</v>
      </c>
      <c r="T343" s="0" t="s">
        <v>3552</v>
      </c>
      <c r="U343" s="0" t="n">
        <v>233</v>
      </c>
      <c r="V343" s="0" t="n">
        <v>0</v>
      </c>
      <c r="W343" s="0" t="n">
        <v>20230930</v>
      </c>
      <c r="X343" s="0" t="n">
        <v>0.57647828889173</v>
      </c>
      <c r="Y343" s="0" t="s">
        <v>1604</v>
      </c>
      <c r="Z343" s="0" t="s">
        <v>158</v>
      </c>
    </row>
    <row r="344" customFormat="false" ht="15" hidden="false" customHeight="false" outlineLevel="0" collapsed="false">
      <c r="A344" s="0" t="n">
        <v>344</v>
      </c>
      <c r="B344" s="0" t="n">
        <v>734470</v>
      </c>
      <c r="C344" s="0" t="n">
        <v>18030</v>
      </c>
      <c r="D344" s="0" t="n">
        <v>660381</v>
      </c>
      <c r="E344" s="0" t="s">
        <v>1436</v>
      </c>
      <c r="F344" s="0" t="n">
        <v>43119</v>
      </c>
      <c r="G344" s="0" t="s">
        <v>3553</v>
      </c>
      <c r="H344" s="0" t="s">
        <v>3554</v>
      </c>
      <c r="I344" s="0" t="s">
        <v>3555</v>
      </c>
      <c r="J344" s="0" t="s">
        <v>3556</v>
      </c>
      <c r="K344" s="0" t="s">
        <v>3557</v>
      </c>
      <c r="L344" s="0" t="n">
        <v>591923</v>
      </c>
      <c r="M344" s="0" t="s">
        <v>3558</v>
      </c>
      <c r="N344" s="0" t="n">
        <v>453550</v>
      </c>
      <c r="O344" s="0" t="n">
        <v>457</v>
      </c>
      <c r="P344" s="0" t="s">
        <v>349</v>
      </c>
      <c r="Q344" s="0" t="s">
        <v>3559</v>
      </c>
      <c r="R344" s="0" t="s">
        <v>3560</v>
      </c>
      <c r="S344" s="0" t="s">
        <v>1079</v>
      </c>
      <c r="T344" s="0" t="s">
        <v>3561</v>
      </c>
      <c r="U344" s="0" t="n">
        <v>134</v>
      </c>
      <c r="V344" s="0" t="n">
        <v>12.6144232067429</v>
      </c>
      <c r="W344" s="0" t="n">
        <v>20230930</v>
      </c>
      <c r="X344" s="0" t="n">
        <v>0.565402270213584</v>
      </c>
      <c r="Y344" s="0" t="s">
        <v>3562</v>
      </c>
      <c r="Z344" s="0" t="s">
        <v>158</v>
      </c>
    </row>
    <row r="345" customFormat="false" ht="15" hidden="false" customHeight="false" outlineLevel="0" collapsed="false">
      <c r="A345" s="0" t="n">
        <v>345</v>
      </c>
      <c r="B345" s="0" t="n">
        <v>671966</v>
      </c>
      <c r="C345" s="0" t="n">
        <v>18031</v>
      </c>
      <c r="D345" s="0" t="n">
        <v>568415</v>
      </c>
      <c r="E345" s="0" t="s">
        <v>794</v>
      </c>
      <c r="F345" s="0" t="n">
        <v>31180</v>
      </c>
      <c r="G345" s="0" t="s">
        <v>3563</v>
      </c>
      <c r="H345" s="0" t="s">
        <v>3564</v>
      </c>
      <c r="I345" s="0" t="s">
        <v>3565</v>
      </c>
      <c r="J345" s="0" t="s">
        <v>3566</v>
      </c>
      <c r="K345" s="0" t="s">
        <v>3567</v>
      </c>
      <c r="L345" s="0" t="n">
        <v>480849</v>
      </c>
      <c r="M345" s="0" t="s">
        <v>3568</v>
      </c>
      <c r="N345" s="0" t="n">
        <v>434791</v>
      </c>
      <c r="O345" s="0" t="n">
        <v>790</v>
      </c>
      <c r="P345" s="0" t="s">
        <v>361</v>
      </c>
      <c r="Q345" s="0" t="s">
        <v>3569</v>
      </c>
      <c r="R345" s="0" t="s">
        <v>3570</v>
      </c>
      <c r="S345" s="0" t="s">
        <v>108</v>
      </c>
      <c r="T345" s="0" t="s">
        <v>3571</v>
      </c>
      <c r="U345" s="0" t="n">
        <v>0</v>
      </c>
      <c r="V345" s="0" t="n">
        <v>16.1364216823375</v>
      </c>
      <c r="W345" s="0" t="n">
        <v>20230930</v>
      </c>
      <c r="X345" s="0" t="n">
        <v>0.288423659649569</v>
      </c>
      <c r="Y345" s="0" t="s">
        <v>3572</v>
      </c>
      <c r="Z345" s="0" t="s">
        <v>158</v>
      </c>
    </row>
    <row r="346" customFormat="false" ht="15" hidden="false" customHeight="false" outlineLevel="0" collapsed="false">
      <c r="A346" s="0" t="n">
        <v>346</v>
      </c>
      <c r="B346" s="0" t="n">
        <v>555533</v>
      </c>
      <c r="C346" s="0" t="n">
        <v>18038</v>
      </c>
      <c r="D346" s="0" t="n">
        <v>444746</v>
      </c>
      <c r="E346" s="0" t="s">
        <v>271</v>
      </c>
      <c r="F346" s="0" t="n">
        <v>62652</v>
      </c>
      <c r="G346" s="0" t="s">
        <v>3573</v>
      </c>
      <c r="H346" s="0" t="s">
        <v>3574</v>
      </c>
      <c r="I346" s="0" t="s">
        <v>3575</v>
      </c>
      <c r="J346" s="0" t="s">
        <v>3576</v>
      </c>
      <c r="K346" s="0" t="s">
        <v>3577</v>
      </c>
      <c r="L346" s="0" t="n">
        <v>415810</v>
      </c>
      <c r="M346" s="0" t="s">
        <v>3578</v>
      </c>
      <c r="N346" s="0" t="n">
        <v>395105</v>
      </c>
      <c r="O346" s="0" t="n">
        <v>2136</v>
      </c>
      <c r="P346" s="0" t="s">
        <v>372</v>
      </c>
      <c r="Q346" s="0" t="s">
        <v>3579</v>
      </c>
      <c r="R346" s="0" t="s">
        <v>3580</v>
      </c>
      <c r="S346" s="0" t="s">
        <v>3581</v>
      </c>
      <c r="T346" s="0" t="s">
        <v>3582</v>
      </c>
      <c r="U346" s="0" t="n">
        <v>10</v>
      </c>
      <c r="V346" s="0" t="n">
        <v>0</v>
      </c>
      <c r="W346" s="0" t="n">
        <v>20230930</v>
      </c>
      <c r="X346" s="0" t="n">
        <v>-0.0175817767653759</v>
      </c>
      <c r="Y346" s="0" t="s">
        <v>968</v>
      </c>
      <c r="Z346" s="0" t="s">
        <v>158</v>
      </c>
    </row>
    <row r="347" customFormat="false" ht="15" hidden="false" customHeight="false" outlineLevel="0" collapsed="false">
      <c r="A347" s="0" t="n">
        <v>347</v>
      </c>
      <c r="B347" s="0" t="n">
        <v>7253561</v>
      </c>
      <c r="C347" s="0" t="n">
        <v>18408</v>
      </c>
      <c r="D347" s="0" t="n">
        <v>5526161</v>
      </c>
      <c r="E347" s="0" t="s">
        <v>233</v>
      </c>
      <c r="F347" s="0" t="n">
        <v>339914</v>
      </c>
      <c r="G347" s="0" t="s">
        <v>3583</v>
      </c>
      <c r="H347" s="0" t="s">
        <v>3584</v>
      </c>
      <c r="I347" s="0" t="s">
        <v>3585</v>
      </c>
      <c r="J347" s="0" t="s">
        <v>3586</v>
      </c>
      <c r="K347" s="0" t="s">
        <v>3587</v>
      </c>
      <c r="L347" s="0" t="n">
        <v>4807986</v>
      </c>
      <c r="M347" s="0" t="s">
        <v>3588</v>
      </c>
      <c r="N347" s="0" t="n">
        <v>4382847</v>
      </c>
      <c r="O347" s="0" t="n">
        <v>3957</v>
      </c>
      <c r="P347" s="0" t="s">
        <v>384</v>
      </c>
      <c r="Q347" s="0" t="s">
        <v>3589</v>
      </c>
      <c r="R347" s="0" t="s">
        <v>3590</v>
      </c>
      <c r="S347" s="0" t="s">
        <v>3591</v>
      </c>
      <c r="T347" s="0" t="s">
        <v>3592</v>
      </c>
      <c r="U347" s="0" t="n">
        <v>0</v>
      </c>
      <c r="V347" s="0" t="n">
        <v>11.6647820410089</v>
      </c>
      <c r="W347" s="0" t="n">
        <v>20230930</v>
      </c>
      <c r="X347" s="0" t="n">
        <v>0.192762984622171</v>
      </c>
      <c r="Y347" s="0" t="s">
        <v>3593</v>
      </c>
      <c r="Z347" s="0" t="s">
        <v>60</v>
      </c>
    </row>
    <row r="348" customFormat="false" ht="15" hidden="false" customHeight="false" outlineLevel="0" collapsed="false">
      <c r="A348" s="0" t="n">
        <v>348</v>
      </c>
      <c r="B348" s="0" t="n">
        <v>2461701</v>
      </c>
      <c r="C348" s="0" t="n">
        <v>19531</v>
      </c>
      <c r="D348" s="0" t="n">
        <v>2036756</v>
      </c>
      <c r="E348" s="0" t="s">
        <v>61</v>
      </c>
      <c r="F348" s="0" t="n">
        <v>225877</v>
      </c>
      <c r="G348" s="0" t="s">
        <v>3594</v>
      </c>
      <c r="H348" s="0" t="s">
        <v>3595</v>
      </c>
      <c r="I348" s="0" t="s">
        <v>3596</v>
      </c>
      <c r="J348" s="0" t="s">
        <v>3597</v>
      </c>
      <c r="K348" s="0" t="s">
        <v>3598</v>
      </c>
      <c r="L348" s="0" t="n">
        <v>1986315</v>
      </c>
      <c r="M348" s="0" t="s">
        <v>3599</v>
      </c>
      <c r="N348" s="0" t="n">
        <v>1627608</v>
      </c>
      <c r="O348" s="0" t="n">
        <v>9780</v>
      </c>
      <c r="P348" s="0" t="s">
        <v>397</v>
      </c>
      <c r="Q348" s="0" t="s">
        <v>3600</v>
      </c>
      <c r="R348" s="0" t="s">
        <v>3601</v>
      </c>
      <c r="S348" s="0" t="s">
        <v>1045</v>
      </c>
      <c r="T348" s="0" t="s">
        <v>3602</v>
      </c>
      <c r="U348" s="0" t="n">
        <v>0</v>
      </c>
      <c r="V348" s="0" t="n">
        <v>14.2913702341625</v>
      </c>
      <c r="W348" s="0" t="n">
        <v>20230930</v>
      </c>
      <c r="X348" s="0" t="n">
        <v>0.447969025430731</v>
      </c>
      <c r="Y348" s="0" t="s">
        <v>3603</v>
      </c>
      <c r="Z348" s="0" t="s">
        <v>60</v>
      </c>
    </row>
    <row r="349" customFormat="false" ht="15" hidden="false" customHeight="false" outlineLevel="0" collapsed="false">
      <c r="A349" s="0" t="n">
        <v>349</v>
      </c>
      <c r="B349" s="0" t="n">
        <v>816575</v>
      </c>
      <c r="C349" s="0" t="n">
        <v>19532</v>
      </c>
      <c r="D349" s="0" t="n">
        <v>712795</v>
      </c>
      <c r="E349" s="0" t="s">
        <v>390</v>
      </c>
      <c r="F349" s="0" t="n">
        <v>89758</v>
      </c>
      <c r="G349" s="0" t="s">
        <v>3604</v>
      </c>
      <c r="H349" s="0" t="s">
        <v>3605</v>
      </c>
      <c r="I349" s="0" t="s">
        <v>3606</v>
      </c>
      <c r="J349" s="0" t="s">
        <v>3607</v>
      </c>
      <c r="K349" s="0" t="s">
        <v>3608</v>
      </c>
      <c r="L349" s="0" t="n">
        <v>583009</v>
      </c>
      <c r="M349" s="0" t="s">
        <v>3609</v>
      </c>
      <c r="N349" s="0" t="n">
        <v>480800</v>
      </c>
      <c r="O349" s="0" t="n">
        <v>1137</v>
      </c>
      <c r="P349" s="0" t="s">
        <v>409</v>
      </c>
      <c r="Q349" s="0" t="s">
        <v>3610</v>
      </c>
      <c r="R349" s="0" t="s">
        <v>3611</v>
      </c>
      <c r="S349" s="0" t="s">
        <v>3612</v>
      </c>
      <c r="T349" s="0" t="s">
        <v>3613</v>
      </c>
      <c r="U349" s="0" t="n">
        <v>0</v>
      </c>
      <c r="V349" s="0" t="n">
        <v>21.3660838090436</v>
      </c>
      <c r="W349" s="0" t="n">
        <v>20230930</v>
      </c>
      <c r="X349" s="0" t="n">
        <v>0.688130053765717</v>
      </c>
      <c r="Y349" s="0" t="s">
        <v>836</v>
      </c>
      <c r="Z349" s="0" t="s">
        <v>60</v>
      </c>
    </row>
    <row r="350" customFormat="false" ht="15" hidden="false" customHeight="false" outlineLevel="0" collapsed="false">
      <c r="A350" s="0" t="n">
        <v>350</v>
      </c>
      <c r="B350" s="0" t="n">
        <v>2876461</v>
      </c>
      <c r="C350" s="0" t="n">
        <v>19690</v>
      </c>
      <c r="D350" s="0" t="n">
        <v>1996495</v>
      </c>
      <c r="E350" s="0" t="s">
        <v>172</v>
      </c>
      <c r="F350" s="0" t="n">
        <v>311569</v>
      </c>
      <c r="G350" s="0" t="s">
        <v>3614</v>
      </c>
      <c r="H350" s="0" t="s">
        <v>3615</v>
      </c>
      <c r="I350" s="0" t="s">
        <v>3616</v>
      </c>
      <c r="J350" s="0" t="s">
        <v>3617</v>
      </c>
      <c r="K350" s="0" t="s">
        <v>3618</v>
      </c>
      <c r="L350" s="0" t="n">
        <v>2528210</v>
      </c>
      <c r="M350" s="0" t="s">
        <v>3619</v>
      </c>
      <c r="N350" s="0" t="n">
        <v>2043563</v>
      </c>
      <c r="O350" s="0" t="n">
        <v>17448</v>
      </c>
      <c r="P350" s="0" t="s">
        <v>420</v>
      </c>
      <c r="Q350" s="0" t="s">
        <v>3620</v>
      </c>
      <c r="R350" s="0" t="s">
        <v>3621</v>
      </c>
      <c r="S350" s="0" t="s">
        <v>3622</v>
      </c>
      <c r="T350" s="0" t="s">
        <v>3623</v>
      </c>
      <c r="U350" s="0" t="n">
        <v>0</v>
      </c>
      <c r="V350" s="0" t="n">
        <v>13.4609825320188</v>
      </c>
      <c r="W350" s="0" t="n">
        <v>20230930</v>
      </c>
      <c r="X350" s="0" t="n">
        <v>1.85718670922203</v>
      </c>
      <c r="Y350" s="0" t="s">
        <v>3304</v>
      </c>
      <c r="Z350" s="0" t="s">
        <v>60</v>
      </c>
    </row>
    <row r="351" customFormat="false" ht="15" hidden="false" customHeight="false" outlineLevel="0" collapsed="false">
      <c r="A351" s="0" t="n">
        <v>351</v>
      </c>
      <c r="B351" s="0" t="n">
        <v>636045</v>
      </c>
      <c r="C351" s="0" t="n">
        <v>19836</v>
      </c>
      <c r="D351" s="0" t="n">
        <v>487132</v>
      </c>
      <c r="E351" s="0" t="s">
        <v>390</v>
      </c>
      <c r="F351" s="0" t="n">
        <v>119013</v>
      </c>
      <c r="G351" s="0" t="s">
        <v>3624</v>
      </c>
      <c r="H351" s="0" t="s">
        <v>3625</v>
      </c>
      <c r="I351" s="0" t="s">
        <v>3626</v>
      </c>
      <c r="J351" s="0" t="s">
        <v>3627</v>
      </c>
      <c r="K351" s="0" t="s">
        <v>3628</v>
      </c>
      <c r="L351" s="0" t="n">
        <v>524765</v>
      </c>
      <c r="M351" s="0" t="s">
        <v>3629</v>
      </c>
      <c r="N351" s="0" t="n">
        <v>456725</v>
      </c>
      <c r="O351" s="0" t="n">
        <v>3230</v>
      </c>
      <c r="P351" s="0" t="s">
        <v>290</v>
      </c>
      <c r="Q351" s="0" t="s">
        <v>3630</v>
      </c>
      <c r="R351" s="0" t="s">
        <v>3631</v>
      </c>
      <c r="S351" s="0" t="s">
        <v>3632</v>
      </c>
      <c r="T351" s="0" t="s">
        <v>3633</v>
      </c>
      <c r="U351" s="0" t="n">
        <v>72</v>
      </c>
      <c r="V351" s="0" t="n">
        <v>26.4663895951883</v>
      </c>
      <c r="W351" s="0" t="n">
        <v>20230930</v>
      </c>
      <c r="X351" s="0" t="n">
        <v>0.906671171533532</v>
      </c>
      <c r="Y351" s="0" t="s">
        <v>3634</v>
      </c>
      <c r="Z351" s="0" t="s">
        <v>60</v>
      </c>
    </row>
    <row r="352" customFormat="false" ht="15" hidden="false" customHeight="false" outlineLevel="0" collapsed="false">
      <c r="A352" s="0" t="n">
        <v>352</v>
      </c>
      <c r="B352" s="0" t="n">
        <v>1388131</v>
      </c>
      <c r="C352" s="0" t="n">
        <v>24540</v>
      </c>
      <c r="D352" s="0" t="n">
        <v>1118585</v>
      </c>
      <c r="E352" s="0" t="s">
        <v>3635</v>
      </c>
      <c r="F352" s="0" t="n">
        <v>238721</v>
      </c>
      <c r="G352" s="0" t="s">
        <v>3636</v>
      </c>
      <c r="H352" s="0" t="s">
        <v>3637</v>
      </c>
      <c r="I352" s="0" t="s">
        <v>3638</v>
      </c>
      <c r="J352" s="0" t="s">
        <v>3639</v>
      </c>
      <c r="K352" s="0" t="s">
        <v>1069</v>
      </c>
      <c r="L352" s="0" t="n">
        <v>1197387</v>
      </c>
      <c r="M352" s="0" t="s">
        <v>3640</v>
      </c>
      <c r="N352" s="0" t="n">
        <v>1160736</v>
      </c>
      <c r="O352" s="0" t="n">
        <v>445</v>
      </c>
      <c r="P352" s="0" t="s">
        <v>443</v>
      </c>
      <c r="Q352" s="0" t="s">
        <v>3641</v>
      </c>
      <c r="R352" s="0" t="s">
        <v>3642</v>
      </c>
      <c r="S352" s="0" t="s">
        <v>61</v>
      </c>
      <c r="T352" s="0" t="s">
        <v>61</v>
      </c>
      <c r="U352" s="0" t="n">
        <v>0</v>
      </c>
      <c r="V352" s="0" t="n">
        <v>18.7852347950974</v>
      </c>
      <c r="W352" s="0" t="n">
        <v>20230930</v>
      </c>
      <c r="X352" s="0" t="n">
        <v>2.37998404579016</v>
      </c>
      <c r="Y352" s="0" t="s">
        <v>3643</v>
      </c>
      <c r="Z352" s="0" t="s">
        <v>158</v>
      </c>
    </row>
    <row r="353" customFormat="false" ht="15" hidden="false" customHeight="false" outlineLevel="0" collapsed="false">
      <c r="A353" s="0" t="n">
        <v>353</v>
      </c>
      <c r="B353" s="0" t="n">
        <v>525416</v>
      </c>
      <c r="C353" s="0" t="n">
        <v>27824</v>
      </c>
      <c r="D353" s="0" t="n">
        <v>391764</v>
      </c>
      <c r="E353" s="0" t="s">
        <v>794</v>
      </c>
      <c r="F353" s="0" t="n">
        <v>64487</v>
      </c>
      <c r="G353" s="0" t="s">
        <v>3644</v>
      </c>
      <c r="H353" s="0" t="s">
        <v>3645</v>
      </c>
      <c r="I353" s="0" t="s">
        <v>3646</v>
      </c>
      <c r="J353" s="0" t="s">
        <v>3647</v>
      </c>
      <c r="K353" s="0" t="s">
        <v>3648</v>
      </c>
      <c r="L353" s="0" t="n">
        <v>442476</v>
      </c>
      <c r="M353" s="0" t="s">
        <v>3649</v>
      </c>
      <c r="N353" s="0" t="n">
        <v>376428</v>
      </c>
      <c r="O353" s="0" t="n">
        <v>1101</v>
      </c>
      <c r="P353" s="0" t="s">
        <v>453</v>
      </c>
      <c r="Q353" s="0" t="s">
        <v>3650</v>
      </c>
      <c r="R353" s="0" t="s">
        <v>3651</v>
      </c>
      <c r="S353" s="0" t="s">
        <v>3652</v>
      </c>
      <c r="T353" s="0" t="s">
        <v>3467</v>
      </c>
      <c r="U353" s="0" t="n">
        <v>0</v>
      </c>
      <c r="V353" s="0" t="n">
        <v>21.0095810176617</v>
      </c>
      <c r="W353" s="0" t="n">
        <v>20230930</v>
      </c>
      <c r="X353" s="0" t="n">
        <v>-0.199629507682116</v>
      </c>
      <c r="Y353" s="0" t="s">
        <v>3653</v>
      </c>
      <c r="Z353" s="0" t="s">
        <v>158</v>
      </c>
    </row>
    <row r="354" customFormat="false" ht="15" hidden="false" customHeight="false" outlineLevel="0" collapsed="false">
      <c r="A354" s="0" t="n">
        <v>354</v>
      </c>
      <c r="B354" s="0" t="n">
        <v>298875</v>
      </c>
      <c r="C354" s="0" t="n">
        <v>28155</v>
      </c>
      <c r="D354" s="0" t="n">
        <v>265401</v>
      </c>
      <c r="E354" s="0" t="s">
        <v>1281</v>
      </c>
      <c r="F354" s="0" t="n">
        <v>27404</v>
      </c>
      <c r="G354" s="0" t="s">
        <v>3654</v>
      </c>
      <c r="H354" s="0" t="s">
        <v>3655</v>
      </c>
      <c r="I354" s="0" t="s">
        <v>3656</v>
      </c>
      <c r="J354" s="0" t="s">
        <v>3657</v>
      </c>
      <c r="K354" s="0" t="s">
        <v>3658</v>
      </c>
      <c r="L354" s="0" t="n">
        <v>164361</v>
      </c>
      <c r="M354" s="0" t="s">
        <v>3659</v>
      </c>
      <c r="N354" s="0" t="n">
        <v>146698</v>
      </c>
      <c r="O354" s="0" t="n">
        <v>23</v>
      </c>
      <c r="P354" s="0" t="s">
        <v>464</v>
      </c>
      <c r="Q354" s="0" t="s">
        <v>3660</v>
      </c>
      <c r="R354" s="0" t="s">
        <v>3661</v>
      </c>
      <c r="S354" s="0" t="s">
        <v>1018</v>
      </c>
      <c r="T354" s="0" t="s">
        <v>3662</v>
      </c>
      <c r="U354" s="0" t="n">
        <v>0</v>
      </c>
      <c r="V354" s="0" t="n">
        <v>18.1839172272631</v>
      </c>
      <c r="W354" s="0" t="n">
        <v>20230930</v>
      </c>
      <c r="X354" s="0" t="n">
        <v>0.0370623139686274</v>
      </c>
      <c r="Y354" s="0" t="s">
        <v>3663</v>
      </c>
      <c r="Z354" s="0" t="s">
        <v>158</v>
      </c>
    </row>
    <row r="355" customFormat="false" ht="15" hidden="false" customHeight="false" outlineLevel="0" collapsed="false">
      <c r="A355" s="0" t="n">
        <v>355</v>
      </c>
      <c r="B355" s="0" t="n">
        <v>101273</v>
      </c>
      <c r="C355" s="0" t="n">
        <v>28288</v>
      </c>
      <c r="D355" s="0" t="n">
        <v>77424</v>
      </c>
      <c r="E355" s="0" t="s">
        <v>61</v>
      </c>
      <c r="F355" s="0" t="n">
        <v>5334</v>
      </c>
      <c r="G355" s="0" t="s">
        <v>3664</v>
      </c>
      <c r="H355" s="0" t="s">
        <v>3665</v>
      </c>
      <c r="I355" s="0" t="s">
        <v>3666</v>
      </c>
      <c r="J355" s="0" t="s">
        <v>3667</v>
      </c>
      <c r="K355" s="0" t="s">
        <v>3668</v>
      </c>
      <c r="L355" s="0" t="n">
        <v>81191</v>
      </c>
      <c r="M355" s="0" t="s">
        <v>3669</v>
      </c>
      <c r="N355" s="0" t="n">
        <v>76188</v>
      </c>
      <c r="O355" s="0" t="n">
        <v>264</v>
      </c>
      <c r="P355" s="0" t="s">
        <v>475</v>
      </c>
      <c r="Q355" s="0" t="s">
        <v>3670</v>
      </c>
      <c r="R355" s="0" t="s">
        <v>3671</v>
      </c>
      <c r="S355" s="0" t="s">
        <v>2173</v>
      </c>
      <c r="T355" s="0" t="s">
        <v>2362</v>
      </c>
      <c r="U355" s="0" t="n">
        <v>0</v>
      </c>
      <c r="V355" s="0" t="n">
        <v>13.2681105302465</v>
      </c>
      <c r="W355" s="0" t="n">
        <v>20230930</v>
      </c>
      <c r="X355" s="0" t="n">
        <v>-0.0352437385730335</v>
      </c>
      <c r="Y355" s="0" t="s">
        <v>3672</v>
      </c>
      <c r="Z355" s="0" t="s">
        <v>60</v>
      </c>
    </row>
    <row r="356" customFormat="false" ht="15" hidden="false" customHeight="false" outlineLevel="0" collapsed="false">
      <c r="A356" s="0" t="n">
        <v>356</v>
      </c>
      <c r="B356" s="0" t="n">
        <v>89908</v>
      </c>
      <c r="C356" s="0" t="n">
        <v>28369</v>
      </c>
      <c r="D356" s="0" t="n">
        <v>79937</v>
      </c>
      <c r="E356" s="0" t="s">
        <v>271</v>
      </c>
      <c r="F356" s="0" t="n">
        <v>9426</v>
      </c>
      <c r="G356" s="0" t="s">
        <v>3673</v>
      </c>
      <c r="H356" s="0" t="s">
        <v>3674</v>
      </c>
      <c r="I356" s="0" t="s">
        <v>3675</v>
      </c>
      <c r="J356" s="0" t="s">
        <v>3676</v>
      </c>
      <c r="K356" s="0" t="s">
        <v>3677</v>
      </c>
      <c r="L356" s="0" t="n">
        <v>77845</v>
      </c>
      <c r="M356" s="0" t="s">
        <v>3678</v>
      </c>
      <c r="N356" s="0" t="n">
        <v>65337</v>
      </c>
      <c r="O356" s="0" t="n">
        <v>225</v>
      </c>
      <c r="P356" s="0" t="s">
        <v>486</v>
      </c>
      <c r="Q356" s="0" t="s">
        <v>3679</v>
      </c>
      <c r="R356" s="0" t="s">
        <v>3680</v>
      </c>
      <c r="S356" s="0" t="s">
        <v>352</v>
      </c>
      <c r="T356" s="0" t="s">
        <v>3681</v>
      </c>
      <c r="U356" s="0" t="n">
        <v>0</v>
      </c>
      <c r="V356" s="0" t="n">
        <v>0</v>
      </c>
      <c r="W356" s="0" t="n">
        <v>20230930</v>
      </c>
      <c r="X356" s="0" t="n">
        <v>-0.142809757264821</v>
      </c>
      <c r="Y356" s="0" t="s">
        <v>3682</v>
      </c>
      <c r="Z356" s="0" t="s">
        <v>60</v>
      </c>
    </row>
    <row r="357" customFormat="false" ht="15" hidden="false" customHeight="false" outlineLevel="0" collapsed="false">
      <c r="A357" s="0" t="n">
        <v>357</v>
      </c>
      <c r="B357" s="0" t="n">
        <v>282885</v>
      </c>
      <c r="C357" s="0" t="n">
        <v>28837</v>
      </c>
      <c r="D357" s="0" t="n">
        <v>253635</v>
      </c>
      <c r="E357" s="0" t="s">
        <v>208</v>
      </c>
      <c r="F357" s="0" t="n">
        <v>25486</v>
      </c>
      <c r="G357" s="0" t="s">
        <v>3683</v>
      </c>
      <c r="H357" s="0" t="s">
        <v>3684</v>
      </c>
      <c r="I357" s="0" t="s">
        <v>3685</v>
      </c>
      <c r="J357" s="0" t="s">
        <v>3686</v>
      </c>
      <c r="K357" s="0" t="s">
        <v>3687</v>
      </c>
      <c r="L357" s="0" t="n">
        <v>194257</v>
      </c>
      <c r="M357" s="0" t="s">
        <v>3688</v>
      </c>
      <c r="N357" s="0" t="n">
        <v>185306</v>
      </c>
      <c r="O357" s="0" t="n">
        <v>52</v>
      </c>
      <c r="P357" s="0" t="s">
        <v>497</v>
      </c>
      <c r="Q357" s="0" t="s">
        <v>3689</v>
      </c>
      <c r="R357" s="0" t="s">
        <v>3690</v>
      </c>
      <c r="S357" s="0" t="s">
        <v>2600</v>
      </c>
      <c r="T357" s="0" t="s">
        <v>3375</v>
      </c>
      <c r="U357" s="0" t="n">
        <v>0</v>
      </c>
      <c r="V357" s="0" t="n">
        <v>16.4920250160645</v>
      </c>
      <c r="W357" s="0" t="n">
        <v>20230930</v>
      </c>
      <c r="X357" s="0" t="n">
        <v>0.916700071704755</v>
      </c>
      <c r="Y357" s="0" t="s">
        <v>3691</v>
      </c>
      <c r="Z357" s="0" t="s">
        <v>98</v>
      </c>
    </row>
    <row r="358" customFormat="false" ht="15" hidden="false" customHeight="false" outlineLevel="0" collapsed="false">
      <c r="A358" s="0" t="n">
        <v>358</v>
      </c>
      <c r="B358" s="0" t="n">
        <v>180600</v>
      </c>
      <c r="C358" s="0" t="n">
        <v>29636</v>
      </c>
      <c r="D358" s="0" t="n">
        <v>148201</v>
      </c>
      <c r="E358" s="0" t="s">
        <v>246</v>
      </c>
      <c r="F358" s="0" t="n">
        <v>24993</v>
      </c>
      <c r="G358" s="0" t="s">
        <v>3692</v>
      </c>
      <c r="H358" s="0" t="s">
        <v>3693</v>
      </c>
      <c r="I358" s="0" t="s">
        <v>3694</v>
      </c>
      <c r="J358" s="0" t="s">
        <v>3695</v>
      </c>
      <c r="K358" s="0" t="s">
        <v>3696</v>
      </c>
      <c r="L358" s="0" t="n">
        <v>132430</v>
      </c>
      <c r="M358" s="0" t="s">
        <v>3697</v>
      </c>
      <c r="N358" s="0" t="n">
        <v>129022</v>
      </c>
      <c r="O358" s="0" t="n">
        <v>1460</v>
      </c>
      <c r="P358" s="0" t="s">
        <v>509</v>
      </c>
      <c r="Q358" s="0" t="s">
        <v>3698</v>
      </c>
      <c r="R358" s="0" t="s">
        <v>3699</v>
      </c>
      <c r="S358" s="0" t="s">
        <v>230</v>
      </c>
      <c r="T358" s="0" t="s">
        <v>3700</v>
      </c>
      <c r="U358" s="0" t="n">
        <v>0</v>
      </c>
      <c r="V358" s="0" t="n">
        <v>26.9099099993054</v>
      </c>
      <c r="W358" s="0" t="n">
        <v>20230930</v>
      </c>
      <c r="X358" s="0" t="n">
        <v>0.435888648144593</v>
      </c>
      <c r="Y358" s="0" t="s">
        <v>3701</v>
      </c>
      <c r="Z358" s="0" t="s">
        <v>60</v>
      </c>
    </row>
    <row r="359" customFormat="false" ht="15" hidden="false" customHeight="false" outlineLevel="0" collapsed="false">
      <c r="A359" s="0" t="n">
        <v>359</v>
      </c>
      <c r="B359" s="0" t="n">
        <v>181231</v>
      </c>
      <c r="C359" s="0" t="n">
        <v>29743</v>
      </c>
      <c r="D359" s="0" t="n">
        <v>161163</v>
      </c>
      <c r="E359" s="0" t="s">
        <v>794</v>
      </c>
      <c r="F359" s="0" t="n">
        <v>15641</v>
      </c>
      <c r="G359" s="0" t="s">
        <v>3702</v>
      </c>
      <c r="H359" s="0" t="s">
        <v>3703</v>
      </c>
      <c r="I359" s="0" t="s">
        <v>3704</v>
      </c>
      <c r="J359" s="0" t="s">
        <v>3705</v>
      </c>
      <c r="K359" s="0" t="s">
        <v>3706</v>
      </c>
      <c r="L359" s="0" t="n">
        <v>132637</v>
      </c>
      <c r="M359" s="0" t="s">
        <v>3707</v>
      </c>
      <c r="N359" s="0" t="n">
        <v>83811</v>
      </c>
      <c r="O359" s="0" t="n">
        <v>267</v>
      </c>
      <c r="P359" s="0" t="s">
        <v>520</v>
      </c>
      <c r="Q359" s="0" t="s">
        <v>3708</v>
      </c>
      <c r="R359" s="0" t="s">
        <v>3709</v>
      </c>
      <c r="S359" s="0" t="s">
        <v>120</v>
      </c>
      <c r="T359" s="0" t="s">
        <v>3710</v>
      </c>
      <c r="U359" s="0" t="n">
        <v>0</v>
      </c>
      <c r="V359" s="0" t="n">
        <v>17.9771689497717</v>
      </c>
      <c r="W359" s="0" t="n">
        <v>20230930</v>
      </c>
      <c r="X359" s="0" t="n">
        <v>0.609728796923956</v>
      </c>
      <c r="Y359" s="0" t="s">
        <v>3711</v>
      </c>
      <c r="Z359" s="0" t="s">
        <v>60</v>
      </c>
    </row>
    <row r="360" customFormat="false" ht="15" hidden="false" customHeight="false" outlineLevel="0" collapsed="false">
      <c r="A360" s="0" t="n">
        <v>360</v>
      </c>
      <c r="B360" s="0" t="n">
        <v>556748</v>
      </c>
      <c r="C360" s="0" t="n">
        <v>29744</v>
      </c>
      <c r="D360" s="0" t="n">
        <v>435499</v>
      </c>
      <c r="E360" s="0" t="s">
        <v>390</v>
      </c>
      <c r="F360" s="0" t="n">
        <v>47207</v>
      </c>
      <c r="G360" s="0" t="s">
        <v>3712</v>
      </c>
      <c r="H360" s="0" t="s">
        <v>3713</v>
      </c>
      <c r="I360" s="0" t="s">
        <v>3714</v>
      </c>
      <c r="J360" s="0" t="s">
        <v>3715</v>
      </c>
      <c r="K360" s="0" t="s">
        <v>3716</v>
      </c>
      <c r="L360" s="0" t="n">
        <v>427991</v>
      </c>
      <c r="M360" s="0" t="s">
        <v>3717</v>
      </c>
      <c r="N360" s="0" t="n">
        <v>393303</v>
      </c>
      <c r="O360" s="0" t="n">
        <v>0</v>
      </c>
      <c r="P360" s="0" t="s">
        <v>531</v>
      </c>
      <c r="Q360" s="0" t="s">
        <v>61</v>
      </c>
      <c r="R360" s="0" t="s">
        <v>3718</v>
      </c>
      <c r="S360" s="0" t="s">
        <v>205</v>
      </c>
      <c r="T360" s="0" t="s">
        <v>61</v>
      </c>
      <c r="U360" s="0" t="n">
        <v>0</v>
      </c>
      <c r="V360" s="0" t="n">
        <v>17.9248565206076</v>
      </c>
      <c r="W360" s="0" t="n">
        <v>20230930</v>
      </c>
      <c r="X360" s="0" t="n">
        <v>-0.23978915883559</v>
      </c>
      <c r="Y360" s="0" t="s">
        <v>3719</v>
      </c>
      <c r="Z360" s="0" t="s">
        <v>158</v>
      </c>
    </row>
    <row r="361" customFormat="false" ht="15" hidden="false" customHeight="false" outlineLevel="0" collapsed="false">
      <c r="A361" s="0" t="n">
        <v>361</v>
      </c>
      <c r="B361" s="0" t="n">
        <v>558317</v>
      </c>
      <c r="C361" s="0" t="n">
        <v>30350</v>
      </c>
      <c r="D361" s="0" t="n">
        <v>447436</v>
      </c>
      <c r="E361" s="0" t="s">
        <v>61</v>
      </c>
      <c r="F361" s="0" t="n">
        <v>53432</v>
      </c>
      <c r="G361" s="0" t="s">
        <v>3720</v>
      </c>
      <c r="H361" s="0" t="s">
        <v>3721</v>
      </c>
      <c r="I361" s="0" t="s">
        <v>3722</v>
      </c>
      <c r="J361" s="0" t="s">
        <v>3723</v>
      </c>
      <c r="K361" s="0" t="s">
        <v>3724</v>
      </c>
      <c r="L361" s="0" t="n">
        <v>405415</v>
      </c>
      <c r="M361" s="0" t="s">
        <v>3725</v>
      </c>
      <c r="N361" s="0" t="n">
        <v>383676</v>
      </c>
      <c r="O361" s="0" t="n">
        <v>1501</v>
      </c>
      <c r="P361" s="0" t="s">
        <v>543</v>
      </c>
      <c r="Q361" s="0" t="s">
        <v>3726</v>
      </c>
      <c r="R361" s="0" t="s">
        <v>3727</v>
      </c>
      <c r="S361" s="0" t="s">
        <v>327</v>
      </c>
      <c r="T361" s="0" t="s">
        <v>3728</v>
      </c>
      <c r="U361" s="0" t="n">
        <v>0</v>
      </c>
      <c r="V361" s="0" t="n">
        <v>20.0620932556609</v>
      </c>
      <c r="W361" s="0" t="n">
        <v>20230930</v>
      </c>
      <c r="X361" s="0" t="n">
        <v>0.68917419304188</v>
      </c>
      <c r="Y361" s="0" t="s">
        <v>3729</v>
      </c>
      <c r="Z361" s="0" t="s">
        <v>98</v>
      </c>
    </row>
    <row r="362" customFormat="false" ht="15" hidden="false" customHeight="false" outlineLevel="0" collapsed="false">
      <c r="A362" s="0" t="n">
        <v>362</v>
      </c>
      <c r="B362" s="0" t="n">
        <v>103998</v>
      </c>
      <c r="C362" s="0" t="n">
        <v>30878</v>
      </c>
      <c r="D362" s="0" t="n">
        <v>73816</v>
      </c>
      <c r="E362" s="0" t="s">
        <v>233</v>
      </c>
      <c r="F362" s="0" t="n">
        <v>12376</v>
      </c>
      <c r="G362" s="0" t="s">
        <v>3730</v>
      </c>
      <c r="H362" s="0" t="s">
        <v>3731</v>
      </c>
      <c r="I362" s="0" t="s">
        <v>3732</v>
      </c>
      <c r="J362" s="0" t="s">
        <v>61</v>
      </c>
      <c r="K362" s="0" t="s">
        <v>751</v>
      </c>
      <c r="L362" s="0" t="n">
        <v>86316</v>
      </c>
      <c r="M362" s="0" t="s">
        <v>3733</v>
      </c>
      <c r="N362" s="0" t="n">
        <v>86120</v>
      </c>
      <c r="O362" s="0" t="n">
        <v>700</v>
      </c>
      <c r="P362" s="0" t="s">
        <v>553</v>
      </c>
      <c r="Q362" s="0" t="s">
        <v>3734</v>
      </c>
      <c r="R362" s="0" t="s">
        <v>3735</v>
      </c>
      <c r="S362" s="0" t="s">
        <v>61</v>
      </c>
      <c r="T362" s="0" t="s">
        <v>3736</v>
      </c>
      <c r="U362" s="0" t="n">
        <v>0</v>
      </c>
      <c r="V362" s="0" t="n">
        <v>0</v>
      </c>
      <c r="W362" s="0" t="n">
        <v>20230930</v>
      </c>
      <c r="X362" s="0" t="n">
        <v>-0.189389204545455</v>
      </c>
      <c r="Y362" s="0" t="s">
        <v>3737</v>
      </c>
      <c r="Z362" s="0" t="s">
        <v>60</v>
      </c>
    </row>
    <row r="363" customFormat="false" ht="15" hidden="false" customHeight="false" outlineLevel="0" collapsed="false">
      <c r="A363" s="0" t="n">
        <v>363</v>
      </c>
      <c r="B363" s="0" t="n">
        <v>798886</v>
      </c>
      <c r="C363" s="0" t="n">
        <v>33418</v>
      </c>
      <c r="D363" s="0" t="n">
        <v>597610</v>
      </c>
      <c r="E363" s="0" t="s">
        <v>794</v>
      </c>
      <c r="F363" s="0" t="n">
        <v>66192</v>
      </c>
      <c r="G363" s="0" t="s">
        <v>3738</v>
      </c>
      <c r="H363" s="0" t="s">
        <v>3739</v>
      </c>
      <c r="I363" s="0" t="s">
        <v>3740</v>
      </c>
      <c r="J363" s="0" t="s">
        <v>3741</v>
      </c>
      <c r="K363" s="0" t="s">
        <v>3742</v>
      </c>
      <c r="L363" s="0" t="n">
        <v>384973</v>
      </c>
      <c r="M363" s="0" t="s">
        <v>3743</v>
      </c>
      <c r="N363" s="0" t="n">
        <v>329540</v>
      </c>
      <c r="O363" s="0" t="n">
        <v>1080</v>
      </c>
      <c r="P363" s="0" t="s">
        <v>564</v>
      </c>
      <c r="Q363" s="0" t="s">
        <v>3744</v>
      </c>
      <c r="R363" s="0" t="s">
        <v>3745</v>
      </c>
      <c r="S363" s="0" t="s">
        <v>3746</v>
      </c>
      <c r="T363" s="0" t="s">
        <v>3747</v>
      </c>
      <c r="U363" s="0" t="n">
        <v>0</v>
      </c>
      <c r="V363" s="0" t="n">
        <v>17.5388397485744</v>
      </c>
      <c r="W363" s="0" t="n">
        <v>20230930</v>
      </c>
      <c r="X363" s="0" t="n">
        <v>0.6651450346927</v>
      </c>
      <c r="Y363" s="0" t="s">
        <v>3748</v>
      </c>
      <c r="Z363" s="0" t="s">
        <v>98</v>
      </c>
    </row>
    <row r="364" customFormat="false" ht="15" hidden="false" customHeight="false" outlineLevel="0" collapsed="false">
      <c r="A364" s="0" t="n">
        <v>364</v>
      </c>
      <c r="B364" s="0" t="n">
        <v>71615</v>
      </c>
      <c r="C364" s="0" t="n">
        <v>35206</v>
      </c>
      <c r="D364" s="0" t="n">
        <v>500</v>
      </c>
      <c r="E364" s="0" t="s">
        <v>61</v>
      </c>
      <c r="F364" s="0" t="n">
        <v>69069</v>
      </c>
      <c r="G364" s="0" t="s">
        <v>3749</v>
      </c>
      <c r="H364" s="0" t="s">
        <v>3750</v>
      </c>
      <c r="I364" s="0" t="s">
        <v>61</v>
      </c>
      <c r="J364" s="0" t="s">
        <v>61</v>
      </c>
      <c r="K364" s="0" t="s">
        <v>61</v>
      </c>
      <c r="L364" s="0" t="n">
        <v>0</v>
      </c>
      <c r="M364" s="0" t="s">
        <v>61</v>
      </c>
      <c r="N364" s="0" t="n">
        <v>0</v>
      </c>
      <c r="O364" s="0" t="n">
        <v>0</v>
      </c>
      <c r="P364" s="0" t="s">
        <v>1112</v>
      </c>
      <c r="Q364" s="0" t="s">
        <v>61</v>
      </c>
      <c r="R364" s="0" t="s">
        <v>3751</v>
      </c>
      <c r="S364" s="0" t="s">
        <v>61</v>
      </c>
      <c r="T364" s="0" t="s">
        <v>61</v>
      </c>
      <c r="U364" s="0" t="n">
        <v>0</v>
      </c>
      <c r="V364" s="0" t="n">
        <v>0</v>
      </c>
      <c r="W364" s="0" t="n">
        <v>20230930</v>
      </c>
      <c r="X364" s="0" t="n">
        <v>16.5098035393691</v>
      </c>
      <c r="Y364" s="0" t="s">
        <v>3752</v>
      </c>
      <c r="Z364" s="0" t="s">
        <v>158</v>
      </c>
    </row>
    <row r="365" customFormat="false" ht="15" hidden="false" customHeight="false" outlineLevel="0" collapsed="false">
      <c r="A365" s="0" t="n">
        <v>365</v>
      </c>
      <c r="B365" s="0" t="n">
        <v>5769551</v>
      </c>
      <c r="C365" s="0" t="n">
        <v>4255</v>
      </c>
      <c r="D365" s="0" t="n">
        <v>4715626</v>
      </c>
      <c r="E365" s="0" t="s">
        <v>794</v>
      </c>
      <c r="F365" s="0" t="n">
        <v>473807</v>
      </c>
      <c r="G365" s="0" t="s">
        <v>3753</v>
      </c>
      <c r="H365" s="0" t="s">
        <v>3754</v>
      </c>
      <c r="I365" s="0" t="s">
        <v>3755</v>
      </c>
      <c r="J365" s="0" t="s">
        <v>3756</v>
      </c>
      <c r="K365" s="0" t="s">
        <v>3757</v>
      </c>
      <c r="L365" s="0" t="n">
        <v>4069600</v>
      </c>
      <c r="M365" s="0" t="s">
        <v>3758</v>
      </c>
      <c r="N365" s="0" t="n">
        <v>3692040</v>
      </c>
      <c r="O365" s="0" t="n">
        <v>4624</v>
      </c>
      <c r="P365" s="0" t="s">
        <v>575</v>
      </c>
      <c r="Q365" s="0" t="s">
        <v>3759</v>
      </c>
      <c r="R365" s="0" t="s">
        <v>3760</v>
      </c>
      <c r="S365" s="0" t="s">
        <v>109</v>
      </c>
      <c r="T365" s="0" t="s">
        <v>3761</v>
      </c>
      <c r="U365" s="0" t="n">
        <v>0</v>
      </c>
      <c r="V365" s="0" t="n">
        <v>13.4798604676514</v>
      </c>
      <c r="W365" s="0" t="n">
        <v>20230930</v>
      </c>
      <c r="X365" s="0" t="n">
        <v>0.858437912821391</v>
      </c>
      <c r="Y365" s="0" t="s">
        <v>3762</v>
      </c>
      <c r="Z365" s="0" t="s">
        <v>60</v>
      </c>
    </row>
    <row r="366" customFormat="false" ht="15" hidden="false" customHeight="false" outlineLevel="0" collapsed="false">
      <c r="A366" s="0" t="n">
        <v>366</v>
      </c>
      <c r="B366" s="0" t="n">
        <v>2908137</v>
      </c>
      <c r="C366" s="0" t="n">
        <v>4256</v>
      </c>
      <c r="D366" s="0" t="n">
        <v>2600576</v>
      </c>
      <c r="E366" s="0" t="s">
        <v>195</v>
      </c>
      <c r="F366" s="0" t="n">
        <v>198185</v>
      </c>
      <c r="G366" s="0" t="s">
        <v>3763</v>
      </c>
      <c r="H366" s="0" t="s">
        <v>3764</v>
      </c>
      <c r="I366" s="0" t="s">
        <v>3765</v>
      </c>
      <c r="J366" s="0" t="s">
        <v>3766</v>
      </c>
      <c r="K366" s="0" t="s">
        <v>3767</v>
      </c>
      <c r="L366" s="0" t="n">
        <v>2080128</v>
      </c>
      <c r="M366" s="0" t="s">
        <v>3768</v>
      </c>
      <c r="N366" s="0" t="n">
        <v>1651715</v>
      </c>
      <c r="O366" s="0" t="n">
        <v>2553</v>
      </c>
      <c r="P366" s="0" t="s">
        <v>587</v>
      </c>
      <c r="Q366" s="0" t="s">
        <v>3769</v>
      </c>
      <c r="R366" s="0" t="s">
        <v>3770</v>
      </c>
      <c r="S366" s="0" t="s">
        <v>315</v>
      </c>
      <c r="T366" s="0" t="s">
        <v>1085</v>
      </c>
      <c r="U366" s="0" t="n">
        <v>11</v>
      </c>
      <c r="V366" s="0" t="n">
        <v>13.7220466873877</v>
      </c>
      <c r="W366" s="0" t="n">
        <v>20230930</v>
      </c>
      <c r="X366" s="0" t="n">
        <v>1.11780782530143</v>
      </c>
      <c r="Y366" s="0" t="s">
        <v>3771</v>
      </c>
      <c r="Z366" s="0" t="s">
        <v>60</v>
      </c>
    </row>
    <row r="367" customFormat="false" ht="15" hidden="false" customHeight="false" outlineLevel="0" collapsed="false">
      <c r="A367" s="0" t="n">
        <v>367</v>
      </c>
      <c r="B367" s="0" t="n">
        <v>697563</v>
      </c>
      <c r="C367" s="0" t="n">
        <v>59086</v>
      </c>
      <c r="D367" s="0" t="n">
        <v>607269</v>
      </c>
      <c r="E367" s="0" t="s">
        <v>259</v>
      </c>
      <c r="F367" s="0" t="n">
        <v>86533</v>
      </c>
      <c r="G367" s="0" t="s">
        <v>3772</v>
      </c>
      <c r="H367" s="0" t="s">
        <v>3773</v>
      </c>
      <c r="I367" s="0" t="s">
        <v>3774</v>
      </c>
      <c r="J367" s="0" t="s">
        <v>3775</v>
      </c>
      <c r="K367" s="0" t="s">
        <v>61</v>
      </c>
      <c r="L367" s="0" t="n">
        <v>579195</v>
      </c>
      <c r="M367" s="0" t="s">
        <v>3776</v>
      </c>
      <c r="N367" s="0" t="n">
        <v>463924</v>
      </c>
      <c r="O367" s="0" t="n">
        <v>6396</v>
      </c>
      <c r="P367" s="0" t="s">
        <v>599</v>
      </c>
      <c r="Q367" s="0" t="s">
        <v>3777</v>
      </c>
      <c r="R367" s="0" t="s">
        <v>3778</v>
      </c>
      <c r="S367" s="0" t="s">
        <v>3779</v>
      </c>
      <c r="T367" s="0" t="s">
        <v>2649</v>
      </c>
      <c r="U367" s="0" t="n">
        <v>1232</v>
      </c>
      <c r="V367" s="0" t="n">
        <v>15.287885221135</v>
      </c>
      <c r="W367" s="0" t="n">
        <v>20230930</v>
      </c>
      <c r="X367" s="0" t="n">
        <v>1.59440584811708</v>
      </c>
      <c r="Y367" s="0" t="s">
        <v>3780</v>
      </c>
      <c r="Z367" s="0" t="s">
        <v>158</v>
      </c>
    </row>
    <row r="368" customFormat="false" ht="15" hidden="false" customHeight="false" outlineLevel="0" collapsed="false">
      <c r="A368" s="0" t="n">
        <v>368</v>
      </c>
      <c r="B368" s="0" t="n">
        <v>219071</v>
      </c>
      <c r="C368" s="0" t="n">
        <v>59176</v>
      </c>
      <c r="D368" s="0" t="n">
        <v>188051</v>
      </c>
      <c r="E368" s="0" t="s">
        <v>2413</v>
      </c>
      <c r="F368" s="0" t="n">
        <v>23030</v>
      </c>
      <c r="G368" s="0" t="s">
        <v>3781</v>
      </c>
      <c r="H368" s="0" t="s">
        <v>3782</v>
      </c>
      <c r="I368" s="0" t="s">
        <v>3783</v>
      </c>
      <c r="J368" s="0" t="s">
        <v>3784</v>
      </c>
      <c r="K368" s="0" t="s">
        <v>1018</v>
      </c>
      <c r="L368" s="0" t="n">
        <v>145767</v>
      </c>
      <c r="M368" s="0" t="s">
        <v>3785</v>
      </c>
      <c r="N368" s="0" t="n">
        <v>124886</v>
      </c>
      <c r="O368" s="0" t="n">
        <v>0</v>
      </c>
      <c r="P368" s="0" t="s">
        <v>610</v>
      </c>
      <c r="Q368" s="0" t="s">
        <v>61</v>
      </c>
      <c r="R368" s="0" t="s">
        <v>3786</v>
      </c>
      <c r="S368" s="0" t="s">
        <v>143</v>
      </c>
      <c r="T368" s="0" t="s">
        <v>61</v>
      </c>
      <c r="U368" s="0" t="n">
        <v>0</v>
      </c>
      <c r="V368" s="0" t="n">
        <v>17.3183973610061</v>
      </c>
      <c r="W368" s="0" t="n">
        <v>20230930</v>
      </c>
      <c r="X368" s="0" t="n">
        <v>-0.224099348694985</v>
      </c>
      <c r="Y368" s="0" t="s">
        <v>3787</v>
      </c>
      <c r="Z368" s="0" t="s">
        <v>158</v>
      </c>
    </row>
    <row r="369" customFormat="false" ht="15" hidden="false" customHeight="false" outlineLevel="0" collapsed="false">
      <c r="A369" s="0" t="n">
        <v>369</v>
      </c>
      <c r="B369" s="0" t="n">
        <v>61993</v>
      </c>
      <c r="C369" s="0" t="n">
        <v>59289</v>
      </c>
      <c r="D369" s="0" t="n">
        <v>41455</v>
      </c>
      <c r="E369" s="0" t="s">
        <v>3788</v>
      </c>
      <c r="F369" s="0" t="n">
        <v>19641</v>
      </c>
      <c r="G369" s="0" t="s">
        <v>3789</v>
      </c>
      <c r="H369" s="0" t="s">
        <v>3790</v>
      </c>
      <c r="I369" s="0" t="s">
        <v>3791</v>
      </c>
      <c r="J369" s="0" t="s">
        <v>3792</v>
      </c>
      <c r="K369" s="0" t="s">
        <v>61</v>
      </c>
      <c r="L369" s="0" t="n">
        <v>30270</v>
      </c>
      <c r="M369" s="0" t="s">
        <v>3793</v>
      </c>
      <c r="N369" s="0" t="n">
        <v>13029</v>
      </c>
      <c r="O369" s="0" t="n">
        <v>0</v>
      </c>
      <c r="P369" s="0" t="s">
        <v>2223</v>
      </c>
      <c r="Q369" s="0" t="s">
        <v>61</v>
      </c>
      <c r="R369" s="0" t="s">
        <v>3794</v>
      </c>
      <c r="S369" s="0" t="s">
        <v>61</v>
      </c>
      <c r="T369" s="0" t="s">
        <v>61</v>
      </c>
      <c r="U369" s="0" t="n">
        <v>0</v>
      </c>
      <c r="V369" s="0" t="n">
        <v>0</v>
      </c>
      <c r="W369" s="0" t="n">
        <v>20230930</v>
      </c>
      <c r="X369" s="0" t="n">
        <v>-5.48471220679485</v>
      </c>
      <c r="Y369" s="0" t="s">
        <v>3795</v>
      </c>
      <c r="Z369" s="0" t="s">
        <v>158</v>
      </c>
    </row>
    <row r="370" customFormat="false" ht="15" hidden="false" customHeight="false" outlineLevel="0" collapsed="false">
      <c r="A370" s="0" t="n">
        <v>370</v>
      </c>
      <c r="B370" s="0" t="n">
        <v>134128</v>
      </c>
      <c r="C370" s="0" t="n">
        <v>59298</v>
      </c>
      <c r="D370" s="0" t="n">
        <v>105729</v>
      </c>
      <c r="E370" s="0" t="s">
        <v>613</v>
      </c>
      <c r="F370" s="0" t="n">
        <v>27342</v>
      </c>
      <c r="G370" s="0" t="s">
        <v>3796</v>
      </c>
      <c r="H370" s="0" t="s">
        <v>3797</v>
      </c>
      <c r="I370" s="0" t="s">
        <v>3798</v>
      </c>
      <c r="J370" s="0" t="s">
        <v>3799</v>
      </c>
      <c r="K370" s="0" t="s">
        <v>61</v>
      </c>
      <c r="L370" s="0" t="n">
        <v>53456</v>
      </c>
      <c r="M370" s="0" t="s">
        <v>3800</v>
      </c>
      <c r="N370" s="0" t="n">
        <v>38015</v>
      </c>
      <c r="O370" s="0" t="n">
        <v>0</v>
      </c>
      <c r="P370" s="0" t="s">
        <v>1684</v>
      </c>
      <c r="Q370" s="0" t="s">
        <v>61</v>
      </c>
      <c r="R370" s="0" t="s">
        <v>3801</v>
      </c>
      <c r="S370" s="0" t="s">
        <v>61</v>
      </c>
      <c r="T370" s="0" t="s">
        <v>61</v>
      </c>
      <c r="U370" s="0" t="n">
        <v>0</v>
      </c>
      <c r="V370" s="0" t="n">
        <v>0</v>
      </c>
      <c r="W370" s="0" t="n">
        <v>20230930</v>
      </c>
      <c r="X370" s="0" t="n">
        <v>-2.33450133372531</v>
      </c>
      <c r="Y370" s="0" t="s">
        <v>3802</v>
      </c>
      <c r="Z370" s="0" t="s">
        <v>98</v>
      </c>
    </row>
    <row r="371" customFormat="false" ht="15" hidden="false" customHeight="false" outlineLevel="0" collapsed="false">
      <c r="A371" s="0" t="n">
        <v>371</v>
      </c>
      <c r="B371" s="0" t="n">
        <v>1082666</v>
      </c>
      <c r="C371" s="0" t="n">
        <v>6271</v>
      </c>
      <c r="D371" s="0" t="n">
        <v>902628</v>
      </c>
      <c r="E371" s="0" t="s">
        <v>85</v>
      </c>
      <c r="F371" s="0" t="n">
        <v>90587</v>
      </c>
      <c r="G371" s="0" t="s">
        <v>3803</v>
      </c>
      <c r="H371" s="0" t="s">
        <v>3804</v>
      </c>
      <c r="I371" s="0" t="s">
        <v>3805</v>
      </c>
      <c r="J371" s="0" t="s">
        <v>3806</v>
      </c>
      <c r="K371" s="0" t="s">
        <v>3807</v>
      </c>
      <c r="L371" s="0" t="n">
        <v>839179</v>
      </c>
      <c r="M371" s="0" t="s">
        <v>3808</v>
      </c>
      <c r="N371" s="0" t="n">
        <v>644820</v>
      </c>
      <c r="O371" s="0" t="n">
        <v>7215</v>
      </c>
      <c r="P371" s="0" t="s">
        <v>621</v>
      </c>
      <c r="Q371" s="0" t="s">
        <v>3809</v>
      </c>
      <c r="R371" s="0" t="s">
        <v>3810</v>
      </c>
      <c r="S371" s="0" t="s">
        <v>3811</v>
      </c>
      <c r="T371" s="0" t="s">
        <v>3812</v>
      </c>
      <c r="U371" s="0" t="n">
        <v>999</v>
      </c>
      <c r="V371" s="0" t="n">
        <v>14.6491413757327</v>
      </c>
      <c r="W371" s="0" t="n">
        <v>20230930</v>
      </c>
      <c r="X371" s="0" t="n">
        <v>1.3701658298972</v>
      </c>
      <c r="Y371" s="0" t="s">
        <v>3813</v>
      </c>
      <c r="Z371" s="0" t="s">
        <v>98</v>
      </c>
    </row>
    <row r="372" customFormat="false" ht="15" hidden="false" customHeight="false" outlineLevel="0" collapsed="false">
      <c r="A372" s="0" t="n">
        <v>372</v>
      </c>
      <c r="B372" s="0" t="n">
        <v>554170</v>
      </c>
      <c r="C372" s="0" t="n">
        <v>6275</v>
      </c>
      <c r="D372" s="0" t="n">
        <v>479167</v>
      </c>
      <c r="E372" s="0" t="s">
        <v>390</v>
      </c>
      <c r="F372" s="0" t="n">
        <v>22855</v>
      </c>
      <c r="G372" s="0" t="s">
        <v>3814</v>
      </c>
      <c r="H372" s="0" t="s">
        <v>3815</v>
      </c>
      <c r="I372" s="0" t="s">
        <v>3816</v>
      </c>
      <c r="J372" s="0" t="s">
        <v>3817</v>
      </c>
      <c r="K372" s="0" t="s">
        <v>3818</v>
      </c>
      <c r="L372" s="0" t="n">
        <v>333822</v>
      </c>
      <c r="M372" s="0" t="s">
        <v>3819</v>
      </c>
      <c r="N372" s="0" t="n">
        <v>274189</v>
      </c>
      <c r="O372" s="0" t="n">
        <v>1262</v>
      </c>
      <c r="P372" s="0" t="s">
        <v>633</v>
      </c>
      <c r="Q372" s="0" t="s">
        <v>3820</v>
      </c>
      <c r="R372" s="0" t="s">
        <v>3821</v>
      </c>
      <c r="S372" s="0" t="s">
        <v>61</v>
      </c>
      <c r="T372" s="0" t="s">
        <v>3822</v>
      </c>
      <c r="U372" s="0" t="n">
        <v>0</v>
      </c>
      <c r="V372" s="0" t="n">
        <v>14.7986092970606</v>
      </c>
      <c r="W372" s="0" t="n">
        <v>20230930</v>
      </c>
      <c r="X372" s="0" t="n">
        <v>0.428313354479842</v>
      </c>
      <c r="Y372" s="0" t="s">
        <v>120</v>
      </c>
      <c r="Z372" s="0" t="s">
        <v>98</v>
      </c>
    </row>
    <row r="373" customFormat="false" ht="15" hidden="false" customHeight="false" outlineLevel="0" collapsed="false">
      <c r="A373" s="0" t="n">
        <v>373</v>
      </c>
      <c r="B373" s="0" t="n">
        <v>81114</v>
      </c>
      <c r="C373" s="0" t="n">
        <v>6280</v>
      </c>
      <c r="D373" s="0" t="n">
        <v>71481</v>
      </c>
      <c r="E373" s="0" t="s">
        <v>259</v>
      </c>
      <c r="F373" s="0" t="n">
        <v>9381</v>
      </c>
      <c r="G373" s="0" t="s">
        <v>3823</v>
      </c>
      <c r="H373" s="0" t="s">
        <v>3824</v>
      </c>
      <c r="I373" s="0" t="s">
        <v>3825</v>
      </c>
      <c r="J373" s="0" t="s">
        <v>3826</v>
      </c>
      <c r="K373" s="0" t="s">
        <v>3827</v>
      </c>
      <c r="L373" s="0" t="n">
        <v>66663</v>
      </c>
      <c r="M373" s="0" t="s">
        <v>3828</v>
      </c>
      <c r="N373" s="0" t="n">
        <v>59127</v>
      </c>
      <c r="O373" s="0" t="n">
        <v>952</v>
      </c>
      <c r="P373" s="0" t="s">
        <v>644</v>
      </c>
      <c r="Q373" s="0" t="s">
        <v>3829</v>
      </c>
      <c r="R373" s="0" t="s">
        <v>3830</v>
      </c>
      <c r="S373" s="0" t="s">
        <v>120</v>
      </c>
      <c r="T373" s="0" t="s">
        <v>3831</v>
      </c>
      <c r="U373" s="0" t="n">
        <v>0</v>
      </c>
      <c r="V373" s="0" t="n">
        <v>0</v>
      </c>
      <c r="W373" s="0" t="n">
        <v>20230930</v>
      </c>
      <c r="X373" s="0" t="n">
        <v>1.84180132673071</v>
      </c>
      <c r="Y373" s="0" t="s">
        <v>3832</v>
      </c>
      <c r="Z373" s="0" t="s">
        <v>98</v>
      </c>
    </row>
    <row r="374" customFormat="false" ht="15" hidden="false" customHeight="false" outlineLevel="0" collapsed="false">
      <c r="A374" s="0" t="n">
        <v>374</v>
      </c>
      <c r="B374" s="0" t="n">
        <v>3967808</v>
      </c>
      <c r="C374" s="0" t="n">
        <v>11971</v>
      </c>
      <c r="D374" s="0" t="n">
        <v>3149026</v>
      </c>
      <c r="E374" s="0" t="s">
        <v>259</v>
      </c>
      <c r="F374" s="0" t="n">
        <v>483954</v>
      </c>
      <c r="G374" s="0" t="s">
        <v>3833</v>
      </c>
      <c r="H374" s="0" t="s">
        <v>3834</v>
      </c>
      <c r="I374" s="0" t="s">
        <v>3835</v>
      </c>
      <c r="J374" s="0" t="s">
        <v>3836</v>
      </c>
      <c r="K374" s="0" t="s">
        <v>3837</v>
      </c>
      <c r="L374" s="0" t="n">
        <v>3001238</v>
      </c>
      <c r="M374" s="0" t="s">
        <v>3838</v>
      </c>
      <c r="N374" s="0" t="n">
        <v>2638835</v>
      </c>
      <c r="O374" s="0" t="n">
        <v>5529</v>
      </c>
      <c r="P374" s="0" t="s">
        <v>54</v>
      </c>
      <c r="Q374" s="0" t="s">
        <v>3839</v>
      </c>
      <c r="R374" s="0" t="s">
        <v>3840</v>
      </c>
      <c r="S374" s="0" t="s">
        <v>3841</v>
      </c>
      <c r="T374" s="0" t="s">
        <v>3842</v>
      </c>
      <c r="U374" s="0" t="n">
        <v>141</v>
      </c>
      <c r="V374" s="0" t="n">
        <v>13.9732003897365</v>
      </c>
      <c r="W374" s="0" t="n">
        <v>20231231</v>
      </c>
      <c r="X374" s="0" t="n">
        <v>1.29383869122729</v>
      </c>
      <c r="Y374" s="0" t="s">
        <v>3843</v>
      </c>
      <c r="Z374" s="0" t="s">
        <v>60</v>
      </c>
    </row>
    <row r="375" customFormat="false" ht="15" hidden="false" customHeight="false" outlineLevel="0" collapsed="false">
      <c r="A375" s="0" t="n">
        <v>375</v>
      </c>
      <c r="B375" s="0" t="n">
        <v>1032673</v>
      </c>
      <c r="C375" s="0" t="n">
        <v>12874</v>
      </c>
      <c r="D375" s="0" t="n">
        <v>895094</v>
      </c>
      <c r="E375" s="0" t="s">
        <v>390</v>
      </c>
      <c r="F375" s="0" t="n">
        <v>106976</v>
      </c>
      <c r="G375" s="0" t="s">
        <v>3844</v>
      </c>
      <c r="H375" s="0" t="s">
        <v>3845</v>
      </c>
      <c r="I375" s="0" t="s">
        <v>3846</v>
      </c>
      <c r="J375" s="0" t="s">
        <v>3847</v>
      </c>
      <c r="K375" s="0" t="s">
        <v>3848</v>
      </c>
      <c r="L375" s="0" t="n">
        <v>799093</v>
      </c>
      <c r="M375" s="0" t="s">
        <v>3849</v>
      </c>
      <c r="N375" s="0" t="n">
        <v>632740</v>
      </c>
      <c r="O375" s="0" t="n">
        <v>670</v>
      </c>
      <c r="P375" s="0" t="s">
        <v>68</v>
      </c>
      <c r="Q375" s="0" t="s">
        <v>3850</v>
      </c>
      <c r="R375" s="0" t="s">
        <v>3851</v>
      </c>
      <c r="S375" s="0" t="s">
        <v>143</v>
      </c>
      <c r="T375" s="0" t="s">
        <v>3852</v>
      </c>
      <c r="U375" s="0" t="n">
        <v>0</v>
      </c>
      <c r="V375" s="0" t="n">
        <v>15.8859869558655</v>
      </c>
      <c r="W375" s="0" t="n">
        <v>20231231</v>
      </c>
      <c r="X375" s="0" t="n">
        <v>1.07594276192033</v>
      </c>
      <c r="Y375" s="0" t="s">
        <v>295</v>
      </c>
      <c r="Z375" s="0" t="s">
        <v>60</v>
      </c>
    </row>
    <row r="376" customFormat="false" ht="15" hidden="false" customHeight="false" outlineLevel="0" collapsed="false">
      <c r="A376" s="0" t="n">
        <v>376</v>
      </c>
      <c r="B376" s="0" t="n">
        <v>1825832</v>
      </c>
      <c r="C376" s="0" t="n">
        <v>13063</v>
      </c>
      <c r="D376" s="0" t="n">
        <v>1598543</v>
      </c>
      <c r="E376" s="0" t="s">
        <v>858</v>
      </c>
      <c r="F376" s="0" t="n">
        <v>144898</v>
      </c>
      <c r="G376" s="0" t="s">
        <v>3853</v>
      </c>
      <c r="H376" s="0" t="s">
        <v>3854</v>
      </c>
      <c r="I376" s="0" t="s">
        <v>3855</v>
      </c>
      <c r="J376" s="0" t="s">
        <v>3856</v>
      </c>
      <c r="K376" s="0" t="s">
        <v>3857</v>
      </c>
      <c r="L376" s="0" t="n">
        <v>1419984</v>
      </c>
      <c r="M376" s="0" t="s">
        <v>3858</v>
      </c>
      <c r="N376" s="0" t="n">
        <v>1355009</v>
      </c>
      <c r="O376" s="0" t="n">
        <v>809</v>
      </c>
      <c r="P376" s="0" t="s">
        <v>80</v>
      </c>
      <c r="Q376" s="0" t="s">
        <v>3859</v>
      </c>
      <c r="R376" s="0" t="s">
        <v>3860</v>
      </c>
      <c r="S376" s="0" t="s">
        <v>1945</v>
      </c>
      <c r="T376" s="0" t="s">
        <v>3861</v>
      </c>
      <c r="U376" s="0" t="n">
        <v>260</v>
      </c>
      <c r="V376" s="0" t="n">
        <v>0</v>
      </c>
      <c r="W376" s="0" t="n">
        <v>20231231</v>
      </c>
      <c r="X376" s="0" t="n">
        <v>0.21976508473335</v>
      </c>
      <c r="Y376" s="0" t="s">
        <v>3862</v>
      </c>
      <c r="Z376" s="0" t="s">
        <v>60</v>
      </c>
    </row>
    <row r="377" customFormat="false" ht="15" hidden="false" customHeight="false" outlineLevel="0" collapsed="false">
      <c r="A377" s="0" t="n">
        <v>377</v>
      </c>
      <c r="B377" s="0" t="n">
        <v>854743</v>
      </c>
      <c r="C377" s="0" t="n">
        <v>14134</v>
      </c>
      <c r="D377" s="0" t="n">
        <v>681633</v>
      </c>
      <c r="E377" s="0" t="s">
        <v>47</v>
      </c>
      <c r="F377" s="0" t="n">
        <v>105791</v>
      </c>
      <c r="G377" s="0" t="s">
        <v>3863</v>
      </c>
      <c r="H377" s="0" t="s">
        <v>3864</v>
      </c>
      <c r="I377" s="0" t="s">
        <v>3865</v>
      </c>
      <c r="J377" s="0" t="s">
        <v>3866</v>
      </c>
      <c r="K377" s="0" t="s">
        <v>3867</v>
      </c>
      <c r="L377" s="0" t="n">
        <v>640918</v>
      </c>
      <c r="M377" s="0" t="s">
        <v>3868</v>
      </c>
      <c r="N377" s="0" t="n">
        <v>566020</v>
      </c>
      <c r="O377" s="0" t="n">
        <v>10339</v>
      </c>
      <c r="P377" s="0" t="s">
        <v>92</v>
      </c>
      <c r="Q377" s="0" t="s">
        <v>3869</v>
      </c>
      <c r="R377" s="0" t="s">
        <v>3870</v>
      </c>
      <c r="S377" s="0" t="s">
        <v>3871</v>
      </c>
      <c r="T377" s="0" t="s">
        <v>2418</v>
      </c>
      <c r="U377" s="0" t="n">
        <v>0</v>
      </c>
      <c r="V377" s="0" t="n">
        <v>19.2684553429436</v>
      </c>
      <c r="W377" s="0" t="n">
        <v>20231231</v>
      </c>
      <c r="X377" s="0" t="n">
        <v>0.845572388097908</v>
      </c>
      <c r="Y377" s="0" t="s">
        <v>3872</v>
      </c>
      <c r="Z377" s="0" t="s">
        <v>98</v>
      </c>
    </row>
    <row r="378" customFormat="false" ht="15" hidden="false" customHeight="false" outlineLevel="0" collapsed="false">
      <c r="A378" s="0" t="n">
        <v>378</v>
      </c>
      <c r="B378" s="0" t="n">
        <v>233858</v>
      </c>
      <c r="C378" s="0" t="n">
        <v>14136</v>
      </c>
      <c r="D378" s="0" t="n">
        <v>193772</v>
      </c>
      <c r="E378" s="0" t="s">
        <v>172</v>
      </c>
      <c r="F378" s="0" t="n">
        <v>17016</v>
      </c>
      <c r="G378" s="0" t="s">
        <v>3873</v>
      </c>
      <c r="H378" s="0" t="s">
        <v>3874</v>
      </c>
      <c r="I378" s="0" t="s">
        <v>3875</v>
      </c>
      <c r="J378" s="0" t="s">
        <v>3876</v>
      </c>
      <c r="K378" s="0" t="s">
        <v>3877</v>
      </c>
      <c r="L378" s="0" t="n">
        <v>152988</v>
      </c>
      <c r="M378" s="0" t="s">
        <v>3878</v>
      </c>
      <c r="N378" s="0" t="n">
        <v>123494</v>
      </c>
      <c r="O378" s="0" t="n">
        <v>6</v>
      </c>
      <c r="P378" s="0" t="s">
        <v>105</v>
      </c>
      <c r="Q378" s="0" t="s">
        <v>3879</v>
      </c>
      <c r="R378" s="0" t="s">
        <v>3880</v>
      </c>
      <c r="S378" s="0" t="s">
        <v>1488</v>
      </c>
      <c r="T378" s="0" t="s">
        <v>1771</v>
      </c>
      <c r="U378" s="0" t="n">
        <v>507</v>
      </c>
      <c r="V378" s="0" t="n">
        <v>17.5667789596541</v>
      </c>
      <c r="W378" s="0" t="n">
        <v>20231231</v>
      </c>
      <c r="X378" s="0" t="n">
        <v>0.594423182066703</v>
      </c>
      <c r="Y378" s="0" t="s">
        <v>2680</v>
      </c>
      <c r="Z378" s="0" t="s">
        <v>98</v>
      </c>
    </row>
    <row r="379" customFormat="false" ht="15" hidden="false" customHeight="false" outlineLevel="0" collapsed="false">
      <c r="A379" s="0" t="n">
        <v>379</v>
      </c>
      <c r="B379" s="0" t="n">
        <v>1504702</v>
      </c>
      <c r="C379" s="0" t="n">
        <v>14140</v>
      </c>
      <c r="D379" s="0" t="n">
        <v>1190702</v>
      </c>
      <c r="E379" s="0" t="s">
        <v>208</v>
      </c>
      <c r="F379" s="0" t="n">
        <v>126249</v>
      </c>
      <c r="G379" s="0" t="s">
        <v>3881</v>
      </c>
      <c r="H379" s="0" t="s">
        <v>3882</v>
      </c>
      <c r="I379" s="0" t="s">
        <v>3883</v>
      </c>
      <c r="J379" s="0" t="s">
        <v>3884</v>
      </c>
      <c r="K379" s="0" t="s">
        <v>3885</v>
      </c>
      <c r="L379" s="0" t="n">
        <v>1039672</v>
      </c>
      <c r="M379" s="0" t="s">
        <v>3886</v>
      </c>
      <c r="N379" s="0" t="n">
        <v>927729</v>
      </c>
      <c r="O379" s="0" t="n">
        <v>4671</v>
      </c>
      <c r="P379" s="0" t="s">
        <v>117</v>
      </c>
      <c r="Q379" s="0" t="s">
        <v>3887</v>
      </c>
      <c r="R379" s="0" t="s">
        <v>3888</v>
      </c>
      <c r="S379" s="0" t="s">
        <v>3889</v>
      </c>
      <c r="T379" s="0" t="s">
        <v>3890</v>
      </c>
      <c r="U379" s="0" t="n">
        <v>0</v>
      </c>
      <c r="V379" s="0" t="n">
        <v>0</v>
      </c>
      <c r="W379" s="0" t="n">
        <v>20231231</v>
      </c>
      <c r="X379" s="0" t="n">
        <v>0.220681498748757</v>
      </c>
      <c r="Y379" s="0" t="s">
        <v>3891</v>
      </c>
      <c r="Z379" s="0" t="s">
        <v>98</v>
      </c>
    </row>
    <row r="380" customFormat="false" ht="15" hidden="false" customHeight="false" outlineLevel="0" collapsed="false">
      <c r="A380" s="0" t="n">
        <v>380</v>
      </c>
      <c r="B380" s="0" t="n">
        <v>1468468</v>
      </c>
      <c r="C380" s="0" t="n">
        <v>14158</v>
      </c>
      <c r="D380" s="0" t="n">
        <v>1308218</v>
      </c>
      <c r="E380" s="0" t="s">
        <v>1281</v>
      </c>
      <c r="F380" s="0" t="n">
        <v>82122</v>
      </c>
      <c r="G380" s="0" t="s">
        <v>3892</v>
      </c>
      <c r="H380" s="0" t="s">
        <v>3893</v>
      </c>
      <c r="I380" s="0" t="s">
        <v>3894</v>
      </c>
      <c r="J380" s="0" t="s">
        <v>3895</v>
      </c>
      <c r="K380" s="0" t="s">
        <v>3896</v>
      </c>
      <c r="L380" s="0" t="n">
        <v>1033092</v>
      </c>
      <c r="M380" s="0" t="s">
        <v>3897</v>
      </c>
      <c r="N380" s="0" t="n">
        <v>908227</v>
      </c>
      <c r="O380" s="0" t="n">
        <v>1858</v>
      </c>
      <c r="P380" s="0" t="s">
        <v>129</v>
      </c>
      <c r="Q380" s="0" t="s">
        <v>3898</v>
      </c>
      <c r="R380" s="0" t="s">
        <v>3899</v>
      </c>
      <c r="S380" s="0" t="s">
        <v>218</v>
      </c>
      <c r="T380" s="0" t="s">
        <v>3900</v>
      </c>
      <c r="U380" s="0" t="n">
        <v>162</v>
      </c>
      <c r="V380" s="0" t="n">
        <v>13.3530640668524</v>
      </c>
      <c r="W380" s="0" t="n">
        <v>20231231</v>
      </c>
      <c r="X380" s="0" t="n">
        <v>0.879855556925219</v>
      </c>
      <c r="Y380" s="0" t="s">
        <v>3901</v>
      </c>
      <c r="Z380" s="0" t="s">
        <v>98</v>
      </c>
    </row>
    <row r="381" customFormat="false" ht="15" hidden="false" customHeight="false" outlineLevel="0" collapsed="false">
      <c r="A381" s="0" t="n">
        <v>381</v>
      </c>
      <c r="B381" s="0" t="n">
        <v>357709</v>
      </c>
      <c r="C381" s="0" t="n">
        <v>14168</v>
      </c>
      <c r="D381" s="0" t="n">
        <v>317592</v>
      </c>
      <c r="E381" s="0" t="s">
        <v>2218</v>
      </c>
      <c r="F381" s="0" t="n">
        <v>35301</v>
      </c>
      <c r="G381" s="0" t="s">
        <v>3902</v>
      </c>
      <c r="H381" s="0" t="s">
        <v>3903</v>
      </c>
      <c r="I381" s="0" t="s">
        <v>3904</v>
      </c>
      <c r="J381" s="0" t="s">
        <v>3905</v>
      </c>
      <c r="K381" s="0" t="s">
        <v>3906</v>
      </c>
      <c r="L381" s="0" t="n">
        <v>239389</v>
      </c>
      <c r="M381" s="0" t="s">
        <v>3907</v>
      </c>
      <c r="N381" s="0" t="n">
        <v>202849</v>
      </c>
      <c r="O381" s="0" t="n">
        <v>1115</v>
      </c>
      <c r="P381" s="0" t="s">
        <v>140</v>
      </c>
      <c r="Q381" s="0" t="s">
        <v>3908</v>
      </c>
      <c r="R381" s="0" t="s">
        <v>3909</v>
      </c>
      <c r="S381" s="0" t="s">
        <v>3910</v>
      </c>
      <c r="T381" s="0" t="s">
        <v>3779</v>
      </c>
      <c r="U381" s="0" t="n">
        <v>0</v>
      </c>
      <c r="V381" s="0" t="n">
        <v>16.7449070853622</v>
      </c>
      <c r="W381" s="0" t="n">
        <v>20231231</v>
      </c>
      <c r="X381" s="0" t="n">
        <v>0.791084607348037</v>
      </c>
      <c r="Y381" s="0" t="s">
        <v>3911</v>
      </c>
      <c r="Z381" s="0" t="s">
        <v>98</v>
      </c>
    </row>
    <row r="382" customFormat="false" ht="15" hidden="false" customHeight="false" outlineLevel="0" collapsed="false">
      <c r="A382" s="0" t="n">
        <v>382</v>
      </c>
      <c r="B382" s="0" t="n">
        <v>1284888</v>
      </c>
      <c r="C382" s="0" t="n">
        <v>14240</v>
      </c>
      <c r="D382" s="0" t="n">
        <v>1001876</v>
      </c>
      <c r="E382" s="0" t="s">
        <v>1281</v>
      </c>
      <c r="F382" s="0" t="n">
        <v>89997</v>
      </c>
      <c r="G382" s="0" t="s">
        <v>3912</v>
      </c>
      <c r="H382" s="0" t="s">
        <v>3913</v>
      </c>
      <c r="I382" s="0" t="s">
        <v>3914</v>
      </c>
      <c r="J382" s="0" t="s">
        <v>3915</v>
      </c>
      <c r="K382" s="0" t="s">
        <v>3916</v>
      </c>
      <c r="L382" s="0" t="n">
        <v>920895</v>
      </c>
      <c r="M382" s="0" t="s">
        <v>3917</v>
      </c>
      <c r="N382" s="0" t="n">
        <v>809855</v>
      </c>
      <c r="O382" s="0" t="n">
        <v>2809</v>
      </c>
      <c r="P382" s="0" t="s">
        <v>152</v>
      </c>
      <c r="Q382" s="0" t="s">
        <v>3918</v>
      </c>
      <c r="R382" s="0" t="s">
        <v>3919</v>
      </c>
      <c r="S382" s="0" t="s">
        <v>441</v>
      </c>
      <c r="T382" s="0" t="s">
        <v>3920</v>
      </c>
      <c r="U382" s="0" t="n">
        <v>0</v>
      </c>
      <c r="V382" s="0" t="n">
        <v>15.654705756581</v>
      </c>
      <c r="W382" s="0" t="n">
        <v>20231231</v>
      </c>
      <c r="X382" s="0" t="n">
        <v>0.476970080763032</v>
      </c>
      <c r="Y382" s="0" t="s">
        <v>3921</v>
      </c>
      <c r="Z382" s="0" t="s">
        <v>158</v>
      </c>
    </row>
    <row r="383" customFormat="false" ht="15" hidden="false" customHeight="false" outlineLevel="0" collapsed="false">
      <c r="A383" s="0" t="n">
        <v>383</v>
      </c>
      <c r="B383" s="0" t="n">
        <v>1091692</v>
      </c>
      <c r="C383" s="0" t="n">
        <v>17115</v>
      </c>
      <c r="D383" s="0" t="n">
        <v>771961</v>
      </c>
      <c r="E383" s="0" t="s">
        <v>61</v>
      </c>
      <c r="F383" s="0" t="n">
        <v>87410</v>
      </c>
      <c r="G383" s="0" t="s">
        <v>3922</v>
      </c>
      <c r="H383" s="0" t="s">
        <v>3923</v>
      </c>
      <c r="I383" s="0" t="s">
        <v>3924</v>
      </c>
      <c r="J383" s="0" t="s">
        <v>3925</v>
      </c>
      <c r="K383" s="0" t="s">
        <v>3926</v>
      </c>
      <c r="L383" s="0" t="n">
        <v>899416</v>
      </c>
      <c r="M383" s="0" t="s">
        <v>3927</v>
      </c>
      <c r="N383" s="0" t="n">
        <v>848763</v>
      </c>
      <c r="O383" s="0" t="n">
        <v>2404</v>
      </c>
      <c r="P383" s="0" t="s">
        <v>166</v>
      </c>
      <c r="Q383" s="0" t="s">
        <v>3928</v>
      </c>
      <c r="R383" s="0" t="s">
        <v>3929</v>
      </c>
      <c r="S383" s="0" t="s">
        <v>3746</v>
      </c>
      <c r="T383" s="0" t="s">
        <v>3930</v>
      </c>
      <c r="U383" s="0" t="n">
        <v>0</v>
      </c>
      <c r="V383" s="0" t="n">
        <v>13.662485837327</v>
      </c>
      <c r="W383" s="0" t="n">
        <v>20231231</v>
      </c>
      <c r="X383" s="0" t="n">
        <v>0.666513914056445</v>
      </c>
      <c r="Y383" s="0" t="s">
        <v>3931</v>
      </c>
      <c r="Z383" s="0" t="s">
        <v>60</v>
      </c>
    </row>
    <row r="384" customFormat="false" ht="15" hidden="false" customHeight="false" outlineLevel="0" collapsed="false">
      <c r="A384" s="0" t="n">
        <v>384</v>
      </c>
      <c r="B384" s="0" t="n">
        <v>1636765</v>
      </c>
      <c r="C384" s="0" t="n">
        <v>17180</v>
      </c>
      <c r="D384" s="0" t="n">
        <v>1188350</v>
      </c>
      <c r="E384" s="0" t="s">
        <v>1393</v>
      </c>
      <c r="F384" s="0" t="n">
        <v>136707</v>
      </c>
      <c r="G384" s="0" t="s">
        <v>3932</v>
      </c>
      <c r="H384" s="0" t="s">
        <v>3933</v>
      </c>
      <c r="I384" s="0" t="s">
        <v>3934</v>
      </c>
      <c r="J384" s="0" t="s">
        <v>3935</v>
      </c>
      <c r="K384" s="0" t="s">
        <v>3936</v>
      </c>
      <c r="L384" s="0" t="n">
        <v>1480488</v>
      </c>
      <c r="M384" s="0" t="s">
        <v>3937</v>
      </c>
      <c r="N384" s="0" t="n">
        <v>1208918</v>
      </c>
      <c r="O384" s="0" t="n">
        <v>4903</v>
      </c>
      <c r="P384" s="0" t="s">
        <v>179</v>
      </c>
      <c r="Q384" s="0" t="s">
        <v>3938</v>
      </c>
      <c r="R384" s="0" t="s">
        <v>3939</v>
      </c>
      <c r="S384" s="0" t="s">
        <v>3841</v>
      </c>
      <c r="T384" s="0" t="s">
        <v>3940</v>
      </c>
      <c r="U384" s="0" t="n">
        <v>0</v>
      </c>
      <c r="V384" s="0" t="n">
        <v>14.1649013448556</v>
      </c>
      <c r="W384" s="0" t="n">
        <v>20231231</v>
      </c>
      <c r="X384" s="0" t="n">
        <v>0.452272607314059</v>
      </c>
      <c r="Y384" s="0" t="s">
        <v>3941</v>
      </c>
      <c r="Z384" s="0" t="s">
        <v>158</v>
      </c>
    </row>
    <row r="385" customFormat="false" ht="15" hidden="false" customHeight="false" outlineLevel="0" collapsed="false">
      <c r="A385" s="0" t="n">
        <v>385</v>
      </c>
      <c r="B385" s="0" t="n">
        <v>351163</v>
      </c>
      <c r="C385" s="0" t="n">
        <v>17443</v>
      </c>
      <c r="D385" s="0" t="n">
        <v>309824</v>
      </c>
      <c r="E385" s="0" t="s">
        <v>61</v>
      </c>
      <c r="F385" s="0" t="n">
        <v>40157</v>
      </c>
      <c r="G385" s="0" t="s">
        <v>3942</v>
      </c>
      <c r="H385" s="0" t="s">
        <v>3943</v>
      </c>
      <c r="I385" s="0" t="s">
        <v>3944</v>
      </c>
      <c r="J385" s="0" t="s">
        <v>61</v>
      </c>
      <c r="K385" s="0" t="s">
        <v>3945</v>
      </c>
      <c r="L385" s="0" t="n">
        <v>205058</v>
      </c>
      <c r="M385" s="0" t="s">
        <v>3946</v>
      </c>
      <c r="N385" s="0" t="n">
        <v>203264</v>
      </c>
      <c r="O385" s="0" t="n">
        <v>173</v>
      </c>
      <c r="P385" s="0" t="s">
        <v>190</v>
      </c>
      <c r="Q385" s="0" t="s">
        <v>3947</v>
      </c>
      <c r="R385" s="0" t="s">
        <v>3948</v>
      </c>
      <c r="S385" s="0" t="s">
        <v>61</v>
      </c>
      <c r="T385" s="0" t="s">
        <v>3949</v>
      </c>
      <c r="U385" s="0" t="n">
        <v>0</v>
      </c>
      <c r="V385" s="0" t="n">
        <v>0</v>
      </c>
      <c r="W385" s="0" t="n">
        <v>20231231</v>
      </c>
      <c r="X385" s="0" t="n">
        <v>0.0112388748844589</v>
      </c>
      <c r="Y385" s="0" t="s">
        <v>858</v>
      </c>
      <c r="Z385" s="0" t="s">
        <v>158</v>
      </c>
    </row>
    <row r="386" customFormat="false" ht="15" hidden="false" customHeight="false" outlineLevel="0" collapsed="false">
      <c r="A386" s="0" t="n">
        <v>386</v>
      </c>
      <c r="B386" s="0" t="n">
        <v>1865564</v>
      </c>
      <c r="C386" s="0" t="n">
        <v>17658</v>
      </c>
      <c r="D386" s="0" t="n">
        <v>1489308</v>
      </c>
      <c r="E386" s="0" t="s">
        <v>1187</v>
      </c>
      <c r="F386" s="0" t="n">
        <v>208565</v>
      </c>
      <c r="G386" s="0" t="s">
        <v>3950</v>
      </c>
      <c r="H386" s="0" t="s">
        <v>3951</v>
      </c>
      <c r="I386" s="0" t="s">
        <v>3952</v>
      </c>
      <c r="J386" s="0" t="s">
        <v>3953</v>
      </c>
      <c r="K386" s="0" t="s">
        <v>3954</v>
      </c>
      <c r="L386" s="0" t="n">
        <v>1305177</v>
      </c>
      <c r="M386" s="0" t="s">
        <v>3955</v>
      </c>
      <c r="N386" s="0" t="n">
        <v>1111057</v>
      </c>
      <c r="O386" s="0" t="n">
        <v>8793</v>
      </c>
      <c r="P386" s="0" t="s">
        <v>202</v>
      </c>
      <c r="Q386" s="0" t="s">
        <v>3956</v>
      </c>
      <c r="R386" s="0" t="s">
        <v>3957</v>
      </c>
      <c r="S386" s="0" t="s">
        <v>657</v>
      </c>
      <c r="T386" s="0" t="s">
        <v>3958</v>
      </c>
      <c r="U386" s="0" t="n">
        <v>0</v>
      </c>
      <c r="V386" s="0" t="n">
        <v>0</v>
      </c>
      <c r="W386" s="0" t="n">
        <v>20231231</v>
      </c>
      <c r="X386" s="0" t="n">
        <v>0.767976387669771</v>
      </c>
      <c r="Y386" s="0" t="s">
        <v>3711</v>
      </c>
      <c r="Z386" s="0" t="s">
        <v>60</v>
      </c>
    </row>
    <row r="387" customFormat="false" ht="15" hidden="false" customHeight="false" outlineLevel="0" collapsed="false">
      <c r="A387" s="0" t="n">
        <v>387</v>
      </c>
      <c r="B387" s="0" t="n">
        <v>1084657</v>
      </c>
      <c r="C387" s="0" t="n">
        <v>17741</v>
      </c>
      <c r="D387" s="0" t="n">
        <v>813318</v>
      </c>
      <c r="E387" s="0" t="s">
        <v>246</v>
      </c>
      <c r="F387" s="0" t="n">
        <v>139308</v>
      </c>
      <c r="G387" s="0" t="s">
        <v>3959</v>
      </c>
      <c r="H387" s="0" t="s">
        <v>3960</v>
      </c>
      <c r="I387" s="0" t="s">
        <v>3961</v>
      </c>
      <c r="J387" s="0" t="s">
        <v>3962</v>
      </c>
      <c r="K387" s="0" t="s">
        <v>3963</v>
      </c>
      <c r="L387" s="0" t="n">
        <v>917122</v>
      </c>
      <c r="M387" s="0" t="s">
        <v>3964</v>
      </c>
      <c r="N387" s="0" t="n">
        <v>853812</v>
      </c>
      <c r="O387" s="0" t="n">
        <v>6632</v>
      </c>
      <c r="P387" s="0" t="s">
        <v>215</v>
      </c>
      <c r="Q387" s="0" t="s">
        <v>3965</v>
      </c>
      <c r="R387" s="0" t="s">
        <v>3966</v>
      </c>
      <c r="S387" s="0" t="s">
        <v>3967</v>
      </c>
      <c r="T387" s="0" t="s">
        <v>3968</v>
      </c>
      <c r="U387" s="0" t="n">
        <v>0</v>
      </c>
      <c r="V387" s="0" t="n">
        <v>0</v>
      </c>
      <c r="W387" s="0" t="n">
        <v>20231231</v>
      </c>
      <c r="X387" s="0" t="n">
        <v>0.623237286824956</v>
      </c>
      <c r="Y387" s="0" t="s">
        <v>3969</v>
      </c>
      <c r="Z387" s="0" t="s">
        <v>60</v>
      </c>
    </row>
    <row r="388" customFormat="false" ht="15" hidden="false" customHeight="false" outlineLevel="0" collapsed="false">
      <c r="A388" s="0" t="n">
        <v>388</v>
      </c>
      <c r="B388" s="0" t="n">
        <v>1380826</v>
      </c>
      <c r="C388" s="0" t="n">
        <v>17743</v>
      </c>
      <c r="D388" s="0" t="n">
        <v>963516</v>
      </c>
      <c r="E388" s="0" t="s">
        <v>61</v>
      </c>
      <c r="F388" s="0" t="n">
        <v>122659</v>
      </c>
      <c r="G388" s="0" t="s">
        <v>3970</v>
      </c>
      <c r="H388" s="0" t="s">
        <v>3971</v>
      </c>
      <c r="I388" s="0" t="s">
        <v>3972</v>
      </c>
      <c r="J388" s="0" t="s">
        <v>3973</v>
      </c>
      <c r="K388" s="0" t="s">
        <v>3974</v>
      </c>
      <c r="L388" s="0" t="n">
        <v>1091678</v>
      </c>
      <c r="M388" s="0" t="s">
        <v>3975</v>
      </c>
      <c r="N388" s="0" t="n">
        <v>1054307</v>
      </c>
      <c r="O388" s="0" t="n">
        <v>1762</v>
      </c>
      <c r="P388" s="0" t="s">
        <v>227</v>
      </c>
      <c r="Q388" s="0" t="s">
        <v>3976</v>
      </c>
      <c r="R388" s="0" t="s">
        <v>3977</v>
      </c>
      <c r="S388" s="0" t="s">
        <v>489</v>
      </c>
      <c r="T388" s="0" t="s">
        <v>1489</v>
      </c>
      <c r="U388" s="0" t="n">
        <v>0</v>
      </c>
      <c r="V388" s="0" t="n">
        <v>0</v>
      </c>
      <c r="W388" s="0" t="n">
        <v>20231231</v>
      </c>
      <c r="X388" s="0" t="n">
        <v>0.0464740506827769</v>
      </c>
      <c r="Y388" s="0" t="s">
        <v>3978</v>
      </c>
      <c r="Z388" s="0" t="s">
        <v>60</v>
      </c>
    </row>
    <row r="389" customFormat="false" ht="15" hidden="false" customHeight="false" outlineLevel="0" collapsed="false">
      <c r="A389" s="0" t="n">
        <v>389</v>
      </c>
      <c r="B389" s="0" t="n">
        <v>1668860</v>
      </c>
      <c r="C389" s="0" t="n">
        <v>17748</v>
      </c>
      <c r="D389" s="0" t="n">
        <v>1336828</v>
      </c>
      <c r="E389" s="0" t="s">
        <v>1281</v>
      </c>
      <c r="F389" s="0" t="n">
        <v>114376</v>
      </c>
      <c r="G389" s="0" t="s">
        <v>3979</v>
      </c>
      <c r="H389" s="0" t="s">
        <v>3980</v>
      </c>
      <c r="I389" s="0" t="s">
        <v>3981</v>
      </c>
      <c r="J389" s="0" t="s">
        <v>3982</v>
      </c>
      <c r="K389" s="0" t="s">
        <v>3983</v>
      </c>
      <c r="L389" s="0" t="n">
        <v>1279867</v>
      </c>
      <c r="M389" s="0" t="s">
        <v>3984</v>
      </c>
      <c r="N389" s="0" t="n">
        <v>1067583</v>
      </c>
      <c r="O389" s="0" t="n">
        <v>7520</v>
      </c>
      <c r="P389" s="0" t="s">
        <v>240</v>
      </c>
      <c r="Q389" s="0" t="s">
        <v>3985</v>
      </c>
      <c r="R389" s="0" t="s">
        <v>3986</v>
      </c>
      <c r="S389" s="0" t="s">
        <v>3987</v>
      </c>
      <c r="T389" s="0" t="s">
        <v>2142</v>
      </c>
      <c r="U389" s="0" t="n">
        <v>0</v>
      </c>
      <c r="V389" s="0" t="n">
        <v>0</v>
      </c>
      <c r="W389" s="0" t="n">
        <v>20231231</v>
      </c>
      <c r="X389" s="0" t="n">
        <v>0.322207444052572</v>
      </c>
      <c r="Y389" s="0" t="s">
        <v>3988</v>
      </c>
      <c r="Z389" s="0" t="s">
        <v>60</v>
      </c>
    </row>
    <row r="390" customFormat="false" ht="15" hidden="false" customHeight="false" outlineLevel="0" collapsed="false">
      <c r="A390" s="0" t="n">
        <v>390</v>
      </c>
      <c r="B390" s="0" t="n">
        <v>1355181</v>
      </c>
      <c r="C390" s="0" t="n">
        <v>17749</v>
      </c>
      <c r="D390" s="0" t="n">
        <v>1052313</v>
      </c>
      <c r="E390" s="0" t="s">
        <v>208</v>
      </c>
      <c r="F390" s="0" t="n">
        <v>172387</v>
      </c>
      <c r="G390" s="0" t="s">
        <v>3989</v>
      </c>
      <c r="H390" s="0" t="s">
        <v>3990</v>
      </c>
      <c r="I390" s="0" t="s">
        <v>3991</v>
      </c>
      <c r="J390" s="0" t="s">
        <v>3992</v>
      </c>
      <c r="K390" s="0" t="s">
        <v>3993</v>
      </c>
      <c r="L390" s="0" t="n">
        <v>796866</v>
      </c>
      <c r="M390" s="0" t="s">
        <v>3994</v>
      </c>
      <c r="N390" s="0" t="n">
        <v>724667</v>
      </c>
      <c r="O390" s="0" t="n">
        <v>247</v>
      </c>
      <c r="P390" s="0" t="s">
        <v>253</v>
      </c>
      <c r="Q390" s="0" t="s">
        <v>3995</v>
      </c>
      <c r="R390" s="0" t="s">
        <v>3996</v>
      </c>
      <c r="S390" s="0" t="s">
        <v>243</v>
      </c>
      <c r="T390" s="0" t="s">
        <v>3997</v>
      </c>
      <c r="U390" s="0" t="n">
        <v>145</v>
      </c>
      <c r="V390" s="0" t="n">
        <v>0</v>
      </c>
      <c r="W390" s="0" t="n">
        <v>20231231</v>
      </c>
      <c r="X390" s="0" t="n">
        <v>1.21574319970484</v>
      </c>
      <c r="Y390" s="0" t="s">
        <v>3998</v>
      </c>
      <c r="Z390" s="0" t="s">
        <v>60</v>
      </c>
    </row>
    <row r="391" customFormat="false" ht="15" hidden="false" customHeight="false" outlineLevel="0" collapsed="false">
      <c r="A391" s="0" t="n">
        <v>391</v>
      </c>
      <c r="B391" s="0" t="n">
        <v>1594063</v>
      </c>
      <c r="C391" s="0" t="n">
        <v>17751</v>
      </c>
      <c r="D391" s="0" t="n">
        <v>1298128</v>
      </c>
      <c r="E391" s="0" t="s">
        <v>271</v>
      </c>
      <c r="F391" s="0" t="n">
        <v>137906</v>
      </c>
      <c r="G391" s="0" t="s">
        <v>3999</v>
      </c>
      <c r="H391" s="0" t="s">
        <v>4000</v>
      </c>
      <c r="I391" s="0" t="s">
        <v>4001</v>
      </c>
      <c r="J391" s="0" t="s">
        <v>4002</v>
      </c>
      <c r="K391" s="0" t="s">
        <v>4003</v>
      </c>
      <c r="L391" s="0" t="n">
        <v>1301332</v>
      </c>
      <c r="M391" s="0" t="s">
        <v>4004</v>
      </c>
      <c r="N391" s="0" t="n">
        <v>1106344</v>
      </c>
      <c r="O391" s="0" t="n">
        <v>868</v>
      </c>
      <c r="P391" s="0" t="s">
        <v>266</v>
      </c>
      <c r="Q391" s="0" t="s">
        <v>4005</v>
      </c>
      <c r="R391" s="0" t="s">
        <v>4006</v>
      </c>
      <c r="S391" s="0" t="s">
        <v>4007</v>
      </c>
      <c r="T391" s="0" t="s">
        <v>4008</v>
      </c>
      <c r="U391" s="0" t="n">
        <v>0</v>
      </c>
      <c r="V391" s="0" t="n">
        <v>12.1764467340533</v>
      </c>
      <c r="W391" s="0" t="n">
        <v>20231231</v>
      </c>
      <c r="X391" s="0" t="n">
        <v>0.596513557387332</v>
      </c>
      <c r="Y391" s="0" t="s">
        <v>4009</v>
      </c>
      <c r="Z391" s="0" t="s">
        <v>60</v>
      </c>
    </row>
    <row r="392" customFormat="false" ht="15" hidden="false" customHeight="false" outlineLevel="0" collapsed="false">
      <c r="A392" s="0" t="n">
        <v>392</v>
      </c>
      <c r="B392" s="0" t="n">
        <v>1710496</v>
      </c>
      <c r="C392" s="0" t="n">
        <v>17897</v>
      </c>
      <c r="D392" s="0" t="n">
        <v>1305375</v>
      </c>
      <c r="E392" s="0" t="s">
        <v>890</v>
      </c>
      <c r="F392" s="0" t="n">
        <v>207718</v>
      </c>
      <c r="G392" s="0" t="s">
        <v>4010</v>
      </c>
      <c r="H392" s="0" t="s">
        <v>4011</v>
      </c>
      <c r="I392" s="0" t="s">
        <v>4012</v>
      </c>
      <c r="J392" s="0" t="s">
        <v>4013</v>
      </c>
      <c r="K392" s="0" t="s">
        <v>4014</v>
      </c>
      <c r="L392" s="0" t="n">
        <v>1443037</v>
      </c>
      <c r="M392" s="0" t="s">
        <v>4015</v>
      </c>
      <c r="N392" s="0" t="n">
        <v>1358198</v>
      </c>
      <c r="O392" s="0" t="n">
        <v>3022</v>
      </c>
      <c r="P392" s="0" t="s">
        <v>278</v>
      </c>
      <c r="Q392" s="0" t="s">
        <v>4016</v>
      </c>
      <c r="R392" s="0" t="s">
        <v>4017</v>
      </c>
      <c r="S392" s="0" t="s">
        <v>4018</v>
      </c>
      <c r="T392" s="0" t="s">
        <v>4019</v>
      </c>
      <c r="U392" s="0" t="n">
        <v>0</v>
      </c>
      <c r="V392" s="0" t="n">
        <v>17.2376294794173</v>
      </c>
      <c r="W392" s="0" t="n">
        <v>20231231</v>
      </c>
      <c r="X392" s="0" t="n">
        <v>0.65399363820256</v>
      </c>
      <c r="Y392" s="0" t="s">
        <v>4020</v>
      </c>
      <c r="Z392" s="0" t="s">
        <v>60</v>
      </c>
    </row>
    <row r="393" customFormat="false" ht="15" hidden="false" customHeight="false" outlineLevel="0" collapsed="false">
      <c r="A393" s="0" t="n">
        <v>393</v>
      </c>
      <c r="B393" s="0" t="n">
        <v>786047</v>
      </c>
      <c r="C393" s="0" t="n">
        <v>17951</v>
      </c>
      <c r="D393" s="0" t="n">
        <v>667956</v>
      </c>
      <c r="E393" s="0" t="s">
        <v>85</v>
      </c>
      <c r="F393" s="0" t="n">
        <v>61893</v>
      </c>
      <c r="G393" s="0" t="s">
        <v>4021</v>
      </c>
      <c r="H393" s="0" t="s">
        <v>4022</v>
      </c>
      <c r="I393" s="0" t="s">
        <v>4023</v>
      </c>
      <c r="J393" s="0" t="s">
        <v>4024</v>
      </c>
      <c r="K393" s="0" t="s">
        <v>4025</v>
      </c>
      <c r="L393" s="0" t="n">
        <v>579733</v>
      </c>
      <c r="M393" s="0" t="s">
        <v>4026</v>
      </c>
      <c r="N393" s="0" t="n">
        <v>540903</v>
      </c>
      <c r="O393" s="0" t="n">
        <v>175</v>
      </c>
      <c r="P393" s="0" t="s">
        <v>290</v>
      </c>
      <c r="Q393" s="0" t="s">
        <v>4027</v>
      </c>
      <c r="R393" s="0" t="s">
        <v>4028</v>
      </c>
      <c r="S393" s="0" t="s">
        <v>4029</v>
      </c>
      <c r="T393" s="0" t="s">
        <v>400</v>
      </c>
      <c r="U393" s="0" t="n">
        <v>0</v>
      </c>
      <c r="V393" s="0" t="n">
        <v>14.5884941078829</v>
      </c>
      <c r="W393" s="0" t="n">
        <v>20231231</v>
      </c>
      <c r="X393" s="0" t="n">
        <v>0.589256193210774</v>
      </c>
      <c r="Y393" s="0" t="s">
        <v>4030</v>
      </c>
      <c r="Z393" s="0" t="s">
        <v>158</v>
      </c>
    </row>
    <row r="394" customFormat="false" ht="15" hidden="false" customHeight="false" outlineLevel="0" collapsed="false">
      <c r="A394" s="0" t="n">
        <v>394</v>
      </c>
      <c r="B394" s="0" t="n">
        <v>1368285</v>
      </c>
      <c r="C394" s="0" t="n">
        <v>17960</v>
      </c>
      <c r="D394" s="0" t="n">
        <v>1030269</v>
      </c>
      <c r="E394" s="0" t="s">
        <v>246</v>
      </c>
      <c r="F394" s="0" t="n">
        <v>113530</v>
      </c>
      <c r="G394" s="0" t="s">
        <v>4031</v>
      </c>
      <c r="H394" s="0" t="s">
        <v>4032</v>
      </c>
      <c r="I394" s="0" t="s">
        <v>4033</v>
      </c>
      <c r="J394" s="0" t="s">
        <v>4034</v>
      </c>
      <c r="K394" s="0" t="s">
        <v>4035</v>
      </c>
      <c r="L394" s="0" t="n">
        <v>1165140</v>
      </c>
      <c r="M394" s="0" t="s">
        <v>4036</v>
      </c>
      <c r="N394" s="0" t="n">
        <v>832768</v>
      </c>
      <c r="O394" s="0" t="n">
        <v>8829</v>
      </c>
      <c r="P394" s="0" t="s">
        <v>302</v>
      </c>
      <c r="Q394" s="0" t="s">
        <v>4037</v>
      </c>
      <c r="R394" s="0" t="s">
        <v>4038</v>
      </c>
      <c r="S394" s="0" t="s">
        <v>4039</v>
      </c>
      <c r="T394" s="0" t="s">
        <v>4040</v>
      </c>
      <c r="U394" s="0" t="n">
        <v>284</v>
      </c>
      <c r="V394" s="0" t="n">
        <v>13.2488524274602</v>
      </c>
      <c r="W394" s="0" t="n">
        <v>20231231</v>
      </c>
      <c r="X394" s="0" t="n">
        <v>0.517619709580597</v>
      </c>
      <c r="Y394" s="0" t="s">
        <v>4041</v>
      </c>
      <c r="Z394" s="0" t="s">
        <v>158</v>
      </c>
    </row>
    <row r="395" customFormat="false" ht="15" hidden="false" customHeight="false" outlineLevel="0" collapsed="false">
      <c r="A395" s="0" t="n">
        <v>395</v>
      </c>
      <c r="B395" s="0" t="n">
        <v>2515915</v>
      </c>
      <c r="C395" s="0" t="n">
        <v>18012</v>
      </c>
      <c r="D395" s="0" t="n">
        <v>2106019</v>
      </c>
      <c r="E395" s="0" t="s">
        <v>890</v>
      </c>
      <c r="F395" s="0" t="n">
        <v>266248</v>
      </c>
      <c r="G395" s="0" t="s">
        <v>4042</v>
      </c>
      <c r="H395" s="0" t="s">
        <v>4043</v>
      </c>
      <c r="I395" s="0" t="s">
        <v>4044</v>
      </c>
      <c r="J395" s="0" t="s">
        <v>4045</v>
      </c>
      <c r="K395" s="0" t="s">
        <v>4046</v>
      </c>
      <c r="L395" s="0" t="n">
        <v>1993532</v>
      </c>
      <c r="M395" s="0" t="s">
        <v>4047</v>
      </c>
      <c r="N395" s="0" t="n">
        <v>1887130</v>
      </c>
      <c r="O395" s="0" t="n">
        <v>555</v>
      </c>
      <c r="P395" s="0" t="s">
        <v>312</v>
      </c>
      <c r="Q395" s="0" t="s">
        <v>4048</v>
      </c>
      <c r="R395" s="0" t="s">
        <v>4049</v>
      </c>
      <c r="S395" s="0" t="s">
        <v>4050</v>
      </c>
      <c r="T395" s="0" t="s">
        <v>4051</v>
      </c>
      <c r="U395" s="0" t="n">
        <v>0</v>
      </c>
      <c r="V395" s="0" t="n">
        <v>14.2074219489545</v>
      </c>
      <c r="W395" s="0" t="n">
        <v>20231231</v>
      </c>
      <c r="X395" s="0" t="n">
        <v>0.877971664486964</v>
      </c>
      <c r="Y395" s="0" t="s">
        <v>4052</v>
      </c>
      <c r="Z395" s="0" t="s">
        <v>158</v>
      </c>
    </row>
    <row r="396" customFormat="false" ht="15" hidden="false" customHeight="false" outlineLevel="0" collapsed="false">
      <c r="A396" s="0" t="n">
        <v>396</v>
      </c>
      <c r="B396" s="0" t="n">
        <v>2931539</v>
      </c>
      <c r="C396" s="0" t="n">
        <v>18013</v>
      </c>
      <c r="D396" s="0" t="n">
        <v>2493477</v>
      </c>
      <c r="E396" s="0" t="s">
        <v>246</v>
      </c>
      <c r="F396" s="0" t="n">
        <v>220301</v>
      </c>
      <c r="G396" s="0" t="s">
        <v>4053</v>
      </c>
      <c r="H396" s="0" t="s">
        <v>4054</v>
      </c>
      <c r="I396" s="0" t="s">
        <v>4055</v>
      </c>
      <c r="J396" s="0" t="s">
        <v>4056</v>
      </c>
      <c r="K396" s="0" t="s">
        <v>4057</v>
      </c>
      <c r="L396" s="0" t="n">
        <v>2374611</v>
      </c>
      <c r="M396" s="0" t="s">
        <v>4058</v>
      </c>
      <c r="N396" s="0" t="n">
        <v>2161468</v>
      </c>
      <c r="O396" s="0" t="n">
        <v>686</v>
      </c>
      <c r="P396" s="0" t="s">
        <v>324</v>
      </c>
      <c r="Q396" s="0" t="s">
        <v>4059</v>
      </c>
      <c r="R396" s="0" t="s">
        <v>4060</v>
      </c>
      <c r="S396" s="0" t="s">
        <v>4061</v>
      </c>
      <c r="T396" s="0" t="s">
        <v>4062</v>
      </c>
      <c r="U396" s="0" t="n">
        <v>24</v>
      </c>
      <c r="V396" s="0" t="n">
        <v>12.6829971931169</v>
      </c>
      <c r="W396" s="0" t="n">
        <v>20231231</v>
      </c>
      <c r="X396" s="0" t="n">
        <v>0.394516829891397</v>
      </c>
      <c r="Y396" s="0" t="s">
        <v>4063</v>
      </c>
      <c r="Z396" s="0" t="s">
        <v>158</v>
      </c>
    </row>
    <row r="397" customFormat="false" ht="15" hidden="false" customHeight="false" outlineLevel="0" collapsed="false">
      <c r="A397" s="0" t="n">
        <v>397</v>
      </c>
      <c r="B397" s="0" t="n">
        <v>392854</v>
      </c>
      <c r="C397" s="0" t="n">
        <v>18028</v>
      </c>
      <c r="D397" s="0" t="n">
        <v>313497</v>
      </c>
      <c r="E397" s="0" t="s">
        <v>259</v>
      </c>
      <c r="F397" s="0" t="n">
        <v>40632</v>
      </c>
      <c r="G397" s="0" t="s">
        <v>4064</v>
      </c>
      <c r="H397" s="0" t="s">
        <v>4065</v>
      </c>
      <c r="I397" s="0" t="s">
        <v>4066</v>
      </c>
      <c r="J397" s="0" t="s">
        <v>4067</v>
      </c>
      <c r="K397" s="0" t="s">
        <v>4068</v>
      </c>
      <c r="L397" s="0" t="n">
        <v>265068</v>
      </c>
      <c r="M397" s="0" t="s">
        <v>4069</v>
      </c>
      <c r="N397" s="0" t="n">
        <v>237654</v>
      </c>
      <c r="O397" s="0" t="n">
        <v>817</v>
      </c>
      <c r="P397" s="0" t="s">
        <v>337</v>
      </c>
      <c r="Q397" s="0" t="s">
        <v>4070</v>
      </c>
      <c r="R397" s="0" t="s">
        <v>4071</v>
      </c>
      <c r="S397" s="0" t="s">
        <v>4072</v>
      </c>
      <c r="T397" s="0" t="s">
        <v>4073</v>
      </c>
      <c r="U397" s="0" t="n">
        <v>104</v>
      </c>
      <c r="V397" s="0" t="n">
        <v>0</v>
      </c>
      <c r="W397" s="0" t="n">
        <v>20231231</v>
      </c>
      <c r="X397" s="0" t="n">
        <v>0.610395045804294</v>
      </c>
      <c r="Y397" s="0" t="s">
        <v>901</v>
      </c>
      <c r="Z397" s="0" t="s">
        <v>158</v>
      </c>
    </row>
    <row r="398" customFormat="false" ht="15" hidden="false" customHeight="false" outlineLevel="0" collapsed="false">
      <c r="A398" s="0" t="n">
        <v>398</v>
      </c>
      <c r="B398" s="0" t="n">
        <v>727730</v>
      </c>
      <c r="C398" s="0" t="n">
        <v>18030</v>
      </c>
      <c r="D398" s="0" t="n">
        <v>660214</v>
      </c>
      <c r="E398" s="0" t="s">
        <v>271</v>
      </c>
      <c r="F398" s="0" t="n">
        <v>49050</v>
      </c>
      <c r="G398" s="0" t="s">
        <v>4074</v>
      </c>
      <c r="H398" s="0" t="s">
        <v>4075</v>
      </c>
      <c r="I398" s="0" t="s">
        <v>4076</v>
      </c>
      <c r="J398" s="0" t="s">
        <v>4077</v>
      </c>
      <c r="K398" s="0" t="s">
        <v>4078</v>
      </c>
      <c r="L398" s="0" t="n">
        <v>587845</v>
      </c>
      <c r="M398" s="0" t="s">
        <v>4079</v>
      </c>
      <c r="N398" s="0" t="n">
        <v>451120</v>
      </c>
      <c r="O398" s="0" t="n">
        <v>456</v>
      </c>
      <c r="P398" s="0" t="s">
        <v>349</v>
      </c>
      <c r="Q398" s="0" t="s">
        <v>4080</v>
      </c>
      <c r="R398" s="0" t="s">
        <v>4081</v>
      </c>
      <c r="S398" s="0" t="s">
        <v>4082</v>
      </c>
      <c r="T398" s="0" t="s">
        <v>4083</v>
      </c>
      <c r="U398" s="0" t="n">
        <v>0</v>
      </c>
      <c r="V398" s="0" t="n">
        <v>13.2959890498966</v>
      </c>
      <c r="W398" s="0" t="n">
        <v>20231231</v>
      </c>
      <c r="X398" s="0" t="n">
        <v>0.703209915440082</v>
      </c>
      <c r="Y398" s="0" t="s">
        <v>4084</v>
      </c>
      <c r="Z398" s="0" t="s">
        <v>158</v>
      </c>
    </row>
    <row r="399" customFormat="false" ht="15" hidden="false" customHeight="false" outlineLevel="0" collapsed="false">
      <c r="A399" s="0" t="n">
        <v>399</v>
      </c>
      <c r="B399" s="0" t="n">
        <v>684364</v>
      </c>
      <c r="C399" s="0" t="n">
        <v>18031</v>
      </c>
      <c r="D399" s="0" t="n">
        <v>562404</v>
      </c>
      <c r="E399" s="0" t="s">
        <v>794</v>
      </c>
      <c r="F399" s="0" t="n">
        <v>37606</v>
      </c>
      <c r="G399" s="0" t="s">
        <v>4085</v>
      </c>
      <c r="H399" s="0" t="s">
        <v>4086</v>
      </c>
      <c r="I399" s="0" t="s">
        <v>4087</v>
      </c>
      <c r="J399" s="0" t="s">
        <v>4088</v>
      </c>
      <c r="K399" s="0" t="s">
        <v>4089</v>
      </c>
      <c r="L399" s="0" t="n">
        <v>480262</v>
      </c>
      <c r="M399" s="0" t="s">
        <v>4090</v>
      </c>
      <c r="N399" s="0" t="n">
        <v>439722</v>
      </c>
      <c r="O399" s="0" t="n">
        <v>697</v>
      </c>
      <c r="P399" s="0" t="s">
        <v>361</v>
      </c>
      <c r="Q399" s="0" t="s">
        <v>4091</v>
      </c>
      <c r="R399" s="0" t="s">
        <v>4092</v>
      </c>
      <c r="S399" s="0" t="s">
        <v>2173</v>
      </c>
      <c r="T399" s="0" t="s">
        <v>4093</v>
      </c>
      <c r="U399" s="0" t="n">
        <v>0</v>
      </c>
      <c r="V399" s="0" t="n">
        <v>16.0938463078374</v>
      </c>
      <c r="W399" s="0" t="n">
        <v>20231231</v>
      </c>
      <c r="X399" s="0" t="n">
        <v>0.257383867860737</v>
      </c>
      <c r="Y399" s="0" t="s">
        <v>4094</v>
      </c>
      <c r="Z399" s="0" t="s">
        <v>158</v>
      </c>
    </row>
    <row r="400" customFormat="false" ht="15" hidden="false" customHeight="false" outlineLevel="0" collapsed="false">
      <c r="A400" s="0" t="n">
        <v>400</v>
      </c>
      <c r="B400" s="0" t="n">
        <v>552093</v>
      </c>
      <c r="C400" s="0" t="n">
        <v>18038</v>
      </c>
      <c r="D400" s="0" t="n">
        <v>419606</v>
      </c>
      <c r="E400" s="0" t="s">
        <v>1281</v>
      </c>
      <c r="F400" s="0" t="n">
        <v>66547</v>
      </c>
      <c r="G400" s="0" t="s">
        <v>4095</v>
      </c>
      <c r="H400" s="0" t="s">
        <v>4096</v>
      </c>
      <c r="I400" s="0" t="s">
        <v>4097</v>
      </c>
      <c r="J400" s="0" t="s">
        <v>4098</v>
      </c>
      <c r="K400" s="0" t="s">
        <v>4099</v>
      </c>
      <c r="L400" s="0" t="n">
        <v>418246</v>
      </c>
      <c r="M400" s="0" t="s">
        <v>4100</v>
      </c>
      <c r="N400" s="0" t="n">
        <v>392161</v>
      </c>
      <c r="O400" s="0" t="n">
        <v>2367</v>
      </c>
      <c r="P400" s="0" t="s">
        <v>372</v>
      </c>
      <c r="Q400" s="0" t="s">
        <v>4101</v>
      </c>
      <c r="R400" s="0" t="s">
        <v>4102</v>
      </c>
      <c r="S400" s="0" t="s">
        <v>4103</v>
      </c>
      <c r="T400" s="0" t="s">
        <v>4104</v>
      </c>
      <c r="U400" s="0" t="n">
        <v>0</v>
      </c>
      <c r="V400" s="0" t="n">
        <v>0</v>
      </c>
      <c r="W400" s="0" t="n">
        <v>20231231</v>
      </c>
      <c r="X400" s="0" t="n">
        <v>0.311938300906613</v>
      </c>
      <c r="Y400" s="0" t="s">
        <v>4105</v>
      </c>
      <c r="Z400" s="0" t="s">
        <v>158</v>
      </c>
    </row>
    <row r="401" customFormat="false" ht="15" hidden="false" customHeight="false" outlineLevel="0" collapsed="false">
      <c r="A401" s="0" t="n">
        <v>401</v>
      </c>
      <c r="B401" s="0" t="n">
        <v>7260613</v>
      </c>
      <c r="C401" s="0" t="n">
        <v>18408</v>
      </c>
      <c r="D401" s="0" t="n">
        <v>5329154</v>
      </c>
      <c r="E401" s="0" t="s">
        <v>742</v>
      </c>
      <c r="F401" s="0" t="n">
        <v>408311</v>
      </c>
      <c r="G401" s="0" t="s">
        <v>4106</v>
      </c>
      <c r="H401" s="0" t="s">
        <v>4107</v>
      </c>
      <c r="I401" s="0" t="s">
        <v>4108</v>
      </c>
      <c r="J401" s="0" t="s">
        <v>4109</v>
      </c>
      <c r="K401" s="0" t="s">
        <v>4110</v>
      </c>
      <c r="L401" s="0" t="n">
        <v>4829377</v>
      </c>
      <c r="M401" s="0" t="s">
        <v>4111</v>
      </c>
      <c r="N401" s="0" t="n">
        <v>4395557</v>
      </c>
      <c r="O401" s="0" t="n">
        <v>3682</v>
      </c>
      <c r="P401" s="0" t="s">
        <v>384</v>
      </c>
      <c r="Q401" s="0" t="s">
        <v>4112</v>
      </c>
      <c r="R401" s="0" t="s">
        <v>4113</v>
      </c>
      <c r="S401" s="0" t="s">
        <v>4114</v>
      </c>
      <c r="T401" s="0" t="s">
        <v>4115</v>
      </c>
      <c r="U401" s="0" t="n">
        <v>0</v>
      </c>
      <c r="V401" s="0" t="n">
        <v>11.8012092146704</v>
      </c>
      <c r="W401" s="0" t="n">
        <v>20231231</v>
      </c>
      <c r="X401" s="0" t="n">
        <v>0.245774438397451</v>
      </c>
      <c r="Y401" s="0" t="s">
        <v>4116</v>
      </c>
      <c r="Z401" s="0" t="s">
        <v>60</v>
      </c>
    </row>
    <row r="402" customFormat="false" ht="15" hidden="false" customHeight="false" outlineLevel="0" collapsed="false">
      <c r="A402" s="0" t="n">
        <v>402</v>
      </c>
      <c r="B402" s="0" t="n">
        <v>2483046</v>
      </c>
      <c r="C402" s="0" t="n">
        <v>19531</v>
      </c>
      <c r="D402" s="0" t="n">
        <v>2045823</v>
      </c>
      <c r="E402" s="0" t="s">
        <v>4117</v>
      </c>
      <c r="F402" s="0" t="n">
        <v>242363</v>
      </c>
      <c r="G402" s="0" t="s">
        <v>4118</v>
      </c>
      <c r="H402" s="0" t="s">
        <v>4119</v>
      </c>
      <c r="I402" s="0" t="s">
        <v>4120</v>
      </c>
      <c r="J402" s="0" t="s">
        <v>4121</v>
      </c>
      <c r="K402" s="0" t="s">
        <v>4122</v>
      </c>
      <c r="L402" s="0" t="n">
        <v>1996479</v>
      </c>
      <c r="M402" s="0" t="s">
        <v>4123</v>
      </c>
      <c r="N402" s="0" t="n">
        <v>1632308</v>
      </c>
      <c r="O402" s="0" t="n">
        <v>6950</v>
      </c>
      <c r="P402" s="0" t="s">
        <v>397</v>
      </c>
      <c r="Q402" s="0" t="s">
        <v>4124</v>
      </c>
      <c r="R402" s="0" t="s">
        <v>4125</v>
      </c>
      <c r="S402" s="0" t="s">
        <v>4126</v>
      </c>
      <c r="T402" s="0" t="s">
        <v>4127</v>
      </c>
      <c r="U402" s="0" t="n">
        <v>53</v>
      </c>
      <c r="V402" s="0" t="n">
        <v>14.4325224821325</v>
      </c>
      <c r="W402" s="0" t="n">
        <v>20231231</v>
      </c>
      <c r="X402" s="0" t="n">
        <v>0.483130976497632</v>
      </c>
      <c r="Y402" s="0" t="s">
        <v>4128</v>
      </c>
      <c r="Z402" s="0" t="s">
        <v>60</v>
      </c>
    </row>
    <row r="403" customFormat="false" ht="15" hidden="false" customHeight="false" outlineLevel="0" collapsed="false">
      <c r="A403" s="0" t="n">
        <v>403</v>
      </c>
      <c r="B403" s="0" t="n">
        <v>876702</v>
      </c>
      <c r="C403" s="0" t="n">
        <v>19532</v>
      </c>
      <c r="D403" s="0" t="n">
        <v>727881</v>
      </c>
      <c r="E403" s="0" t="s">
        <v>208</v>
      </c>
      <c r="F403" s="0" t="n">
        <v>96676</v>
      </c>
      <c r="G403" s="0" t="s">
        <v>4129</v>
      </c>
      <c r="H403" s="0" t="s">
        <v>4130</v>
      </c>
      <c r="I403" s="0" t="s">
        <v>4131</v>
      </c>
      <c r="J403" s="0" t="s">
        <v>4132</v>
      </c>
      <c r="K403" s="0" t="s">
        <v>4133</v>
      </c>
      <c r="L403" s="0" t="n">
        <v>585480</v>
      </c>
      <c r="M403" s="0" t="s">
        <v>4134</v>
      </c>
      <c r="N403" s="0" t="n">
        <v>482338</v>
      </c>
      <c r="O403" s="0" t="n">
        <v>1128</v>
      </c>
      <c r="P403" s="0" t="s">
        <v>409</v>
      </c>
      <c r="Q403" s="0" t="s">
        <v>4135</v>
      </c>
      <c r="R403" s="0" t="s">
        <v>4136</v>
      </c>
      <c r="S403" s="0" t="s">
        <v>4137</v>
      </c>
      <c r="T403" s="0" t="s">
        <v>4138</v>
      </c>
      <c r="U403" s="0" t="n">
        <v>12</v>
      </c>
      <c r="V403" s="0" t="n">
        <v>20.8402581908709</v>
      </c>
      <c r="W403" s="0" t="n">
        <v>20231231</v>
      </c>
      <c r="X403" s="0" t="n">
        <v>0.768323735574911</v>
      </c>
      <c r="Y403" s="0" t="s">
        <v>4139</v>
      </c>
      <c r="Z403" s="0" t="s">
        <v>60</v>
      </c>
    </row>
    <row r="404" customFormat="false" ht="15" hidden="false" customHeight="false" outlineLevel="0" collapsed="false">
      <c r="A404" s="0" t="n">
        <v>404</v>
      </c>
      <c r="B404" s="0" t="n">
        <v>2968976</v>
      </c>
      <c r="C404" s="0" t="n">
        <v>19690</v>
      </c>
      <c r="D404" s="0" t="n">
        <v>2150988</v>
      </c>
      <c r="E404" s="0" t="s">
        <v>172</v>
      </c>
      <c r="F404" s="0" t="n">
        <v>327540</v>
      </c>
      <c r="G404" s="0" t="s">
        <v>4140</v>
      </c>
      <c r="H404" s="0" t="s">
        <v>4141</v>
      </c>
      <c r="I404" s="0" t="s">
        <v>4142</v>
      </c>
      <c r="J404" s="0" t="s">
        <v>4143</v>
      </c>
      <c r="K404" s="0" t="s">
        <v>4144</v>
      </c>
      <c r="L404" s="0" t="n">
        <v>2611058</v>
      </c>
      <c r="M404" s="0" t="s">
        <v>4145</v>
      </c>
      <c r="N404" s="0" t="n">
        <v>2127332</v>
      </c>
      <c r="O404" s="0" t="n">
        <v>30772</v>
      </c>
      <c r="P404" s="0" t="s">
        <v>420</v>
      </c>
      <c r="Q404" s="0" t="s">
        <v>4146</v>
      </c>
      <c r="R404" s="0" t="s">
        <v>4147</v>
      </c>
      <c r="S404" s="0" t="s">
        <v>4148</v>
      </c>
      <c r="T404" s="0" t="s">
        <v>4149</v>
      </c>
      <c r="U404" s="0" t="n">
        <v>0</v>
      </c>
      <c r="V404" s="0" t="n">
        <v>13.7063330070435</v>
      </c>
      <c r="W404" s="0" t="n">
        <v>20231231</v>
      </c>
      <c r="X404" s="0" t="n">
        <v>1.87023078988431</v>
      </c>
      <c r="Y404" s="0" t="s">
        <v>4150</v>
      </c>
      <c r="Z404" s="0" t="s">
        <v>60</v>
      </c>
    </row>
    <row r="405" customFormat="false" ht="15" hidden="false" customHeight="false" outlineLevel="0" collapsed="false">
      <c r="A405" s="0" t="n">
        <v>405</v>
      </c>
      <c r="B405" s="0" t="n">
        <v>659684</v>
      </c>
      <c r="C405" s="0" t="n">
        <v>19836</v>
      </c>
      <c r="D405" s="0" t="n">
        <v>484649</v>
      </c>
      <c r="E405" s="0" t="s">
        <v>271</v>
      </c>
      <c r="F405" s="0" t="n">
        <v>120787</v>
      </c>
      <c r="G405" s="0" t="s">
        <v>4151</v>
      </c>
      <c r="H405" s="0" t="s">
        <v>4152</v>
      </c>
      <c r="I405" s="0" t="s">
        <v>4153</v>
      </c>
      <c r="J405" s="0" t="s">
        <v>4154</v>
      </c>
      <c r="K405" s="0" t="s">
        <v>4155</v>
      </c>
      <c r="L405" s="0" t="n">
        <v>547206</v>
      </c>
      <c r="M405" s="0" t="s">
        <v>4156</v>
      </c>
      <c r="N405" s="0" t="n">
        <v>481157</v>
      </c>
      <c r="O405" s="0" t="n">
        <v>3751</v>
      </c>
      <c r="P405" s="0" t="s">
        <v>290</v>
      </c>
      <c r="Q405" s="0" t="s">
        <v>4157</v>
      </c>
      <c r="R405" s="0" t="s">
        <v>4158</v>
      </c>
      <c r="S405" s="0" t="s">
        <v>2372</v>
      </c>
      <c r="T405" s="0" t="s">
        <v>4159</v>
      </c>
      <c r="U405" s="0" t="n">
        <v>123</v>
      </c>
      <c r="V405" s="0" t="n">
        <v>25.7908734334641</v>
      </c>
      <c r="W405" s="0" t="n">
        <v>20231231</v>
      </c>
      <c r="X405" s="0" t="n">
        <v>0.787682704932891</v>
      </c>
      <c r="Y405" s="0" t="s">
        <v>4160</v>
      </c>
      <c r="Z405" s="0" t="s">
        <v>60</v>
      </c>
    </row>
    <row r="406" customFormat="false" ht="15" hidden="false" customHeight="false" outlineLevel="0" collapsed="false">
      <c r="A406" s="0" t="n">
        <v>406</v>
      </c>
      <c r="B406" s="0" t="n">
        <v>1381838</v>
      </c>
      <c r="C406" s="0" t="n">
        <v>24540</v>
      </c>
      <c r="D406" s="0" t="n">
        <v>1106164</v>
      </c>
      <c r="E406" s="0" t="s">
        <v>513</v>
      </c>
      <c r="F406" s="0" t="n">
        <v>246470</v>
      </c>
      <c r="G406" s="0" t="s">
        <v>4161</v>
      </c>
      <c r="H406" s="0" t="s">
        <v>4162</v>
      </c>
      <c r="I406" s="0" t="s">
        <v>4163</v>
      </c>
      <c r="J406" s="0" t="s">
        <v>4164</v>
      </c>
      <c r="K406" s="0" t="s">
        <v>3333</v>
      </c>
      <c r="L406" s="0" t="n">
        <v>1204510</v>
      </c>
      <c r="M406" s="0" t="s">
        <v>4165</v>
      </c>
      <c r="N406" s="0" t="n">
        <v>1166184</v>
      </c>
      <c r="O406" s="0" t="n">
        <v>430</v>
      </c>
      <c r="P406" s="0" t="s">
        <v>443</v>
      </c>
      <c r="Q406" s="0" t="s">
        <v>4166</v>
      </c>
      <c r="R406" s="0" t="s">
        <v>4167</v>
      </c>
      <c r="S406" s="0" t="s">
        <v>61</v>
      </c>
      <c r="T406" s="0" t="s">
        <v>4168</v>
      </c>
      <c r="U406" s="0" t="n">
        <v>0</v>
      </c>
      <c r="V406" s="0" t="n">
        <v>19.0652745831146</v>
      </c>
      <c r="W406" s="0" t="n">
        <v>20231231</v>
      </c>
      <c r="X406" s="0" t="n">
        <v>2.38776188693731</v>
      </c>
      <c r="Y406" s="0" t="s">
        <v>4169</v>
      </c>
      <c r="Z406" s="0" t="s">
        <v>158</v>
      </c>
    </row>
    <row r="407" customFormat="false" ht="15" hidden="false" customHeight="false" outlineLevel="0" collapsed="false">
      <c r="A407" s="0" t="n">
        <v>407</v>
      </c>
      <c r="B407" s="0" t="n">
        <v>540887</v>
      </c>
      <c r="C407" s="0" t="n">
        <v>27824</v>
      </c>
      <c r="D407" s="0" t="n">
        <v>387033</v>
      </c>
      <c r="E407" s="0" t="s">
        <v>1281</v>
      </c>
      <c r="F407" s="0" t="n">
        <v>65160</v>
      </c>
      <c r="G407" s="0" t="s">
        <v>4170</v>
      </c>
      <c r="H407" s="0" t="s">
        <v>4171</v>
      </c>
      <c r="I407" s="0" t="s">
        <v>4172</v>
      </c>
      <c r="J407" s="0" t="s">
        <v>4173</v>
      </c>
      <c r="K407" s="0" t="s">
        <v>4174</v>
      </c>
      <c r="L407" s="0" t="n">
        <v>453372</v>
      </c>
      <c r="M407" s="0" t="s">
        <v>4175</v>
      </c>
      <c r="N407" s="0" t="n">
        <v>388283</v>
      </c>
      <c r="O407" s="0" t="n">
        <v>1178</v>
      </c>
      <c r="P407" s="0" t="s">
        <v>453</v>
      </c>
      <c r="Q407" s="0" t="s">
        <v>4176</v>
      </c>
      <c r="R407" s="0" t="s">
        <v>4177</v>
      </c>
      <c r="S407" s="0" t="s">
        <v>551</v>
      </c>
      <c r="T407" s="0" t="s">
        <v>4178</v>
      </c>
      <c r="U407" s="0" t="n">
        <v>0</v>
      </c>
      <c r="V407" s="0" t="n">
        <v>21.059017196498</v>
      </c>
      <c r="W407" s="0" t="n">
        <v>20231231</v>
      </c>
      <c r="X407" s="0" t="n">
        <v>-0.189996164928387</v>
      </c>
      <c r="Y407" s="0" t="s">
        <v>283</v>
      </c>
      <c r="Z407" s="0" t="s">
        <v>158</v>
      </c>
    </row>
    <row r="408" customFormat="false" ht="15" hidden="false" customHeight="false" outlineLevel="0" collapsed="false">
      <c r="A408" s="0" t="n">
        <v>408</v>
      </c>
      <c r="B408" s="0" t="n">
        <v>300333</v>
      </c>
      <c r="C408" s="0" t="n">
        <v>28155</v>
      </c>
      <c r="D408" s="0" t="n">
        <v>262408</v>
      </c>
      <c r="E408" s="0" t="s">
        <v>1500</v>
      </c>
      <c r="F408" s="0" t="n">
        <v>27418</v>
      </c>
      <c r="G408" s="0" t="s">
        <v>4179</v>
      </c>
      <c r="H408" s="0" t="s">
        <v>4180</v>
      </c>
      <c r="I408" s="0" t="s">
        <v>4181</v>
      </c>
      <c r="J408" s="0" t="s">
        <v>4182</v>
      </c>
      <c r="K408" s="0" t="s">
        <v>4183</v>
      </c>
      <c r="L408" s="0" t="n">
        <v>167102</v>
      </c>
      <c r="M408" s="0" t="s">
        <v>4184</v>
      </c>
      <c r="N408" s="0" t="n">
        <v>149453</v>
      </c>
      <c r="O408" s="0" t="n">
        <v>0</v>
      </c>
      <c r="P408" s="0" t="s">
        <v>464</v>
      </c>
      <c r="Q408" s="0" t="s">
        <v>61</v>
      </c>
      <c r="R408" s="0" t="s">
        <v>4185</v>
      </c>
      <c r="S408" s="0" t="s">
        <v>1018</v>
      </c>
      <c r="T408" s="0" t="s">
        <v>4186</v>
      </c>
      <c r="U408" s="0" t="n">
        <v>0</v>
      </c>
      <c r="V408" s="0" t="n">
        <v>17.465163376961</v>
      </c>
      <c r="W408" s="0" t="n">
        <v>20231231</v>
      </c>
      <c r="X408" s="0" t="n">
        <v>-0.0555299835149543</v>
      </c>
      <c r="Y408" s="0" t="s">
        <v>4187</v>
      </c>
      <c r="Z408" s="0" t="s">
        <v>158</v>
      </c>
    </row>
    <row r="409" customFormat="false" ht="15" hidden="false" customHeight="false" outlineLevel="0" collapsed="false">
      <c r="A409" s="0" t="n">
        <v>409</v>
      </c>
      <c r="B409" s="0" t="n">
        <v>105413</v>
      </c>
      <c r="C409" s="0" t="n">
        <v>28288</v>
      </c>
      <c r="D409" s="0" t="n">
        <v>79221</v>
      </c>
      <c r="E409" s="0" t="s">
        <v>61</v>
      </c>
      <c r="F409" s="0" t="n">
        <v>6044</v>
      </c>
      <c r="G409" s="0" t="s">
        <v>4188</v>
      </c>
      <c r="H409" s="0" t="s">
        <v>4189</v>
      </c>
      <c r="I409" s="0" t="s">
        <v>4190</v>
      </c>
      <c r="J409" s="0" t="s">
        <v>4191</v>
      </c>
      <c r="K409" s="0" t="s">
        <v>4192</v>
      </c>
      <c r="L409" s="0" t="n">
        <v>84936</v>
      </c>
      <c r="M409" s="0" t="s">
        <v>4193</v>
      </c>
      <c r="N409" s="0" t="n">
        <v>76865</v>
      </c>
      <c r="O409" s="0" t="n">
        <v>257</v>
      </c>
      <c r="P409" s="0" t="s">
        <v>475</v>
      </c>
      <c r="Q409" s="0" t="s">
        <v>4194</v>
      </c>
      <c r="R409" s="0" t="s">
        <v>4195</v>
      </c>
      <c r="S409" s="0" t="s">
        <v>2173</v>
      </c>
      <c r="T409" s="0" t="s">
        <v>4196</v>
      </c>
      <c r="U409" s="0" t="n">
        <v>0</v>
      </c>
      <c r="V409" s="0" t="n">
        <v>12.817178197792</v>
      </c>
      <c r="W409" s="0" t="n">
        <v>20231231</v>
      </c>
      <c r="X409" s="0" t="n">
        <v>-0.0661496616639364</v>
      </c>
      <c r="Y409" s="0" t="s">
        <v>4197</v>
      </c>
      <c r="Z409" s="0" t="s">
        <v>60</v>
      </c>
    </row>
    <row r="410" customFormat="false" ht="15" hidden="false" customHeight="false" outlineLevel="0" collapsed="false">
      <c r="A410" s="0" t="n">
        <v>410</v>
      </c>
      <c r="B410" s="0" t="n">
        <v>93947</v>
      </c>
      <c r="C410" s="0" t="n">
        <v>28369</v>
      </c>
      <c r="D410" s="0" t="n">
        <v>77109</v>
      </c>
      <c r="E410" s="0" t="s">
        <v>208</v>
      </c>
      <c r="F410" s="0" t="n">
        <v>9350</v>
      </c>
      <c r="G410" s="0" t="s">
        <v>4198</v>
      </c>
      <c r="H410" s="0" t="s">
        <v>4199</v>
      </c>
      <c r="I410" s="0" t="s">
        <v>4200</v>
      </c>
      <c r="J410" s="0" t="s">
        <v>4201</v>
      </c>
      <c r="K410" s="0" t="s">
        <v>4202</v>
      </c>
      <c r="L410" s="0" t="n">
        <v>78888</v>
      </c>
      <c r="M410" s="0" t="s">
        <v>4203</v>
      </c>
      <c r="N410" s="0" t="n">
        <v>65888</v>
      </c>
      <c r="O410" s="0" t="n">
        <v>178</v>
      </c>
      <c r="P410" s="0" t="s">
        <v>486</v>
      </c>
      <c r="Q410" s="0" t="s">
        <v>4204</v>
      </c>
      <c r="R410" s="0" t="s">
        <v>4205</v>
      </c>
      <c r="S410" s="0" t="s">
        <v>478</v>
      </c>
      <c r="T410" s="0" t="s">
        <v>4137</v>
      </c>
      <c r="U410" s="0" t="n">
        <v>0</v>
      </c>
      <c r="V410" s="0" t="n">
        <v>0</v>
      </c>
      <c r="W410" s="0" t="n">
        <v>20231231</v>
      </c>
      <c r="X410" s="0" t="n">
        <v>-0.191016386958749</v>
      </c>
      <c r="Y410" s="0" t="s">
        <v>4206</v>
      </c>
      <c r="Z410" s="0" t="s">
        <v>60</v>
      </c>
    </row>
    <row r="411" customFormat="false" ht="15" hidden="false" customHeight="false" outlineLevel="0" collapsed="false">
      <c r="A411" s="0" t="n">
        <v>411</v>
      </c>
      <c r="B411" s="0" t="n">
        <v>285205</v>
      </c>
      <c r="C411" s="0" t="n">
        <v>28837</v>
      </c>
      <c r="D411" s="0" t="n">
        <v>255839</v>
      </c>
      <c r="E411" s="0" t="s">
        <v>172</v>
      </c>
      <c r="F411" s="0" t="n">
        <v>26107</v>
      </c>
      <c r="G411" s="0" t="s">
        <v>4207</v>
      </c>
      <c r="H411" s="0" t="s">
        <v>4208</v>
      </c>
      <c r="I411" s="0" t="s">
        <v>4209</v>
      </c>
      <c r="J411" s="0" t="s">
        <v>4210</v>
      </c>
      <c r="K411" s="0" t="s">
        <v>2034</v>
      </c>
      <c r="L411" s="0" t="n">
        <v>198536</v>
      </c>
      <c r="M411" s="0" t="s">
        <v>4211</v>
      </c>
      <c r="N411" s="0" t="n">
        <v>190865</v>
      </c>
      <c r="O411" s="0" t="n">
        <v>89</v>
      </c>
      <c r="P411" s="0" t="s">
        <v>497</v>
      </c>
      <c r="Q411" s="0" t="s">
        <v>4212</v>
      </c>
      <c r="R411" s="0" t="s">
        <v>4213</v>
      </c>
      <c r="S411" s="0" t="s">
        <v>4214</v>
      </c>
      <c r="T411" s="0" t="s">
        <v>4215</v>
      </c>
      <c r="U411" s="0" t="n">
        <v>0</v>
      </c>
      <c r="V411" s="0" t="n">
        <v>16.6032466838163</v>
      </c>
      <c r="W411" s="0" t="n">
        <v>20231231</v>
      </c>
      <c r="X411" s="0" t="n">
        <v>0.843499779821749</v>
      </c>
      <c r="Y411" s="0" t="s">
        <v>4216</v>
      </c>
      <c r="Z411" s="0" t="s">
        <v>98</v>
      </c>
    </row>
    <row r="412" customFormat="false" ht="15" hidden="false" customHeight="false" outlineLevel="0" collapsed="false">
      <c r="A412" s="0" t="n">
        <v>412</v>
      </c>
      <c r="B412" s="0" t="n">
        <v>179139</v>
      </c>
      <c r="C412" s="0" t="n">
        <v>29636</v>
      </c>
      <c r="D412" s="0" t="n">
        <v>140257</v>
      </c>
      <c r="E412" s="0" t="s">
        <v>271</v>
      </c>
      <c r="F412" s="0" t="n">
        <v>25841</v>
      </c>
      <c r="G412" s="0" t="s">
        <v>4217</v>
      </c>
      <c r="H412" s="0" t="s">
        <v>4218</v>
      </c>
      <c r="I412" s="0" t="s">
        <v>4219</v>
      </c>
      <c r="J412" s="0" t="s">
        <v>4220</v>
      </c>
      <c r="K412" s="0" t="s">
        <v>4221</v>
      </c>
      <c r="L412" s="0" t="n">
        <v>134978</v>
      </c>
      <c r="M412" s="0" t="s">
        <v>4222</v>
      </c>
      <c r="N412" s="0" t="n">
        <v>131783</v>
      </c>
      <c r="O412" s="0" t="n">
        <v>1361</v>
      </c>
      <c r="P412" s="0" t="s">
        <v>509</v>
      </c>
      <c r="Q412" s="0" t="s">
        <v>4223</v>
      </c>
      <c r="R412" s="0" t="s">
        <v>4224</v>
      </c>
      <c r="S412" s="0" t="s">
        <v>4225</v>
      </c>
      <c r="T412" s="0" t="s">
        <v>401</v>
      </c>
      <c r="U412" s="0" t="n">
        <v>0</v>
      </c>
      <c r="V412" s="0" t="n">
        <v>27.101782005029</v>
      </c>
      <c r="W412" s="0" t="n">
        <v>20231231</v>
      </c>
      <c r="X412" s="0" t="n">
        <v>0.411731485018589</v>
      </c>
      <c r="Y412" s="0" t="s">
        <v>83</v>
      </c>
      <c r="Z412" s="0" t="s">
        <v>60</v>
      </c>
    </row>
    <row r="413" customFormat="false" ht="15" hidden="false" customHeight="false" outlineLevel="0" collapsed="false">
      <c r="A413" s="0" t="n">
        <v>413</v>
      </c>
      <c r="B413" s="0" t="n">
        <v>188129</v>
      </c>
      <c r="C413" s="0" t="n">
        <v>29743</v>
      </c>
      <c r="D413" s="0" t="n">
        <v>163831</v>
      </c>
      <c r="E413" s="0" t="s">
        <v>1500</v>
      </c>
      <c r="F413" s="0" t="n">
        <v>16795</v>
      </c>
      <c r="G413" s="0" t="s">
        <v>4226</v>
      </c>
      <c r="H413" s="0" t="s">
        <v>4227</v>
      </c>
      <c r="I413" s="0" t="s">
        <v>4228</v>
      </c>
      <c r="J413" s="0" t="s">
        <v>4229</v>
      </c>
      <c r="K413" s="0" t="s">
        <v>4230</v>
      </c>
      <c r="L413" s="0" t="n">
        <v>133848</v>
      </c>
      <c r="M413" s="0" t="s">
        <v>4231</v>
      </c>
      <c r="N413" s="0" t="n">
        <v>85948</v>
      </c>
      <c r="O413" s="0" t="n">
        <v>436</v>
      </c>
      <c r="P413" s="0" t="s">
        <v>520</v>
      </c>
      <c r="Q413" s="0" t="s">
        <v>4232</v>
      </c>
      <c r="R413" s="0" t="s">
        <v>4233</v>
      </c>
      <c r="S413" s="0" t="s">
        <v>1079</v>
      </c>
      <c r="T413" s="0" t="s">
        <v>4234</v>
      </c>
      <c r="U413" s="0" t="n">
        <v>0</v>
      </c>
      <c r="V413" s="0" t="n">
        <v>17.8279612561101</v>
      </c>
      <c r="W413" s="0" t="n">
        <v>20231231</v>
      </c>
      <c r="X413" s="0" t="n">
        <v>0.530724484627272</v>
      </c>
      <c r="Y413" s="0" t="s">
        <v>4235</v>
      </c>
      <c r="Z413" s="0" t="s">
        <v>60</v>
      </c>
    </row>
    <row r="414" customFormat="false" ht="15" hidden="false" customHeight="false" outlineLevel="0" collapsed="false">
      <c r="A414" s="0" t="n">
        <v>414</v>
      </c>
      <c r="B414" s="0" t="n">
        <v>571301</v>
      </c>
      <c r="C414" s="0" t="n">
        <v>29744</v>
      </c>
      <c r="D414" s="0" t="n">
        <v>426673</v>
      </c>
      <c r="E414" s="0" t="s">
        <v>195</v>
      </c>
      <c r="F414" s="0" t="n">
        <v>46181</v>
      </c>
      <c r="G414" s="0" t="s">
        <v>4236</v>
      </c>
      <c r="H414" s="0" t="s">
        <v>4237</v>
      </c>
      <c r="I414" s="0" t="s">
        <v>4238</v>
      </c>
      <c r="J414" s="0" t="s">
        <v>4239</v>
      </c>
      <c r="K414" s="0" t="s">
        <v>4240</v>
      </c>
      <c r="L414" s="0" t="n">
        <v>429667</v>
      </c>
      <c r="M414" s="0" t="s">
        <v>4241</v>
      </c>
      <c r="N414" s="0" t="n">
        <v>394330</v>
      </c>
      <c r="O414" s="0" t="n">
        <v>141</v>
      </c>
      <c r="P414" s="0" t="s">
        <v>531</v>
      </c>
      <c r="Q414" s="0" t="s">
        <v>4242</v>
      </c>
      <c r="R414" s="0" t="s">
        <v>4243</v>
      </c>
      <c r="S414" s="0" t="s">
        <v>256</v>
      </c>
      <c r="T414" s="0" t="s">
        <v>218</v>
      </c>
      <c r="U414" s="0" t="n">
        <v>0</v>
      </c>
      <c r="V414" s="0" t="n">
        <v>15.3066612398453</v>
      </c>
      <c r="W414" s="0" t="n">
        <v>20231231</v>
      </c>
      <c r="X414" s="0" t="n">
        <v>-1.92589358136684</v>
      </c>
      <c r="Y414" s="0" t="s">
        <v>4244</v>
      </c>
      <c r="Z414" s="0" t="s">
        <v>158</v>
      </c>
    </row>
    <row r="415" customFormat="false" ht="15" hidden="false" customHeight="false" outlineLevel="0" collapsed="false">
      <c r="A415" s="0" t="n">
        <v>415</v>
      </c>
      <c r="B415" s="0" t="n">
        <v>552031</v>
      </c>
      <c r="C415" s="0" t="n">
        <v>30350</v>
      </c>
      <c r="D415" s="0" t="n">
        <v>441306</v>
      </c>
      <c r="E415" s="0" t="s">
        <v>61</v>
      </c>
      <c r="F415" s="0" t="n">
        <v>56419</v>
      </c>
      <c r="G415" s="0" t="s">
        <v>4245</v>
      </c>
      <c r="H415" s="0" t="s">
        <v>4246</v>
      </c>
      <c r="I415" s="0" t="s">
        <v>4247</v>
      </c>
      <c r="J415" s="0" t="s">
        <v>4248</v>
      </c>
      <c r="K415" s="0" t="s">
        <v>4249</v>
      </c>
      <c r="L415" s="0" t="n">
        <v>403381</v>
      </c>
      <c r="M415" s="0" t="s">
        <v>4250</v>
      </c>
      <c r="N415" s="0" t="n">
        <v>383810</v>
      </c>
      <c r="O415" s="0" t="n">
        <v>2020</v>
      </c>
      <c r="P415" s="0" t="s">
        <v>543</v>
      </c>
      <c r="Q415" s="0" t="s">
        <v>4251</v>
      </c>
      <c r="R415" s="0" t="s">
        <v>4252</v>
      </c>
      <c r="S415" s="0" t="s">
        <v>4253</v>
      </c>
      <c r="T415" s="0" t="s">
        <v>4254</v>
      </c>
      <c r="U415" s="0" t="n">
        <v>0</v>
      </c>
      <c r="V415" s="0" t="n">
        <v>20.7187970391521</v>
      </c>
      <c r="W415" s="0" t="n">
        <v>20231231</v>
      </c>
      <c r="X415" s="0" t="n">
        <v>0.694638101857137</v>
      </c>
      <c r="Y415" s="0" t="s">
        <v>3711</v>
      </c>
      <c r="Z415" s="0" t="s">
        <v>98</v>
      </c>
    </row>
    <row r="416" customFormat="false" ht="15" hidden="false" customHeight="false" outlineLevel="0" collapsed="false">
      <c r="A416" s="0" t="n">
        <v>416</v>
      </c>
      <c r="B416" s="0" t="n">
        <v>105203</v>
      </c>
      <c r="C416" s="0" t="n">
        <v>30878</v>
      </c>
      <c r="D416" s="0" t="n">
        <v>73899</v>
      </c>
      <c r="E416" s="0" t="s">
        <v>1729</v>
      </c>
      <c r="F416" s="0" t="n">
        <v>12316</v>
      </c>
      <c r="G416" s="0" t="s">
        <v>4255</v>
      </c>
      <c r="H416" s="0" t="s">
        <v>4256</v>
      </c>
      <c r="I416" s="0" t="s">
        <v>4257</v>
      </c>
      <c r="J416" s="0" t="s">
        <v>61</v>
      </c>
      <c r="K416" s="0" t="s">
        <v>4258</v>
      </c>
      <c r="L416" s="0" t="n">
        <v>86638</v>
      </c>
      <c r="M416" s="0" t="s">
        <v>4259</v>
      </c>
      <c r="N416" s="0" t="n">
        <v>86535</v>
      </c>
      <c r="O416" s="0" t="n">
        <v>584</v>
      </c>
      <c r="P416" s="0" t="s">
        <v>553</v>
      </c>
      <c r="Q416" s="0" t="s">
        <v>4260</v>
      </c>
      <c r="R416" s="0" t="s">
        <v>4261</v>
      </c>
      <c r="S416" s="0" t="s">
        <v>61</v>
      </c>
      <c r="T416" s="0" t="s">
        <v>4262</v>
      </c>
      <c r="U416" s="0" t="n">
        <v>0</v>
      </c>
      <c r="V416" s="0" t="n">
        <v>0</v>
      </c>
      <c r="W416" s="0" t="n">
        <v>20231231</v>
      </c>
      <c r="X416" s="0" t="n">
        <v>-0.284696681831123</v>
      </c>
      <c r="Y416" s="0" t="s">
        <v>4263</v>
      </c>
      <c r="Z416" s="0" t="s">
        <v>60</v>
      </c>
    </row>
    <row r="417" customFormat="false" ht="15" hidden="false" customHeight="false" outlineLevel="0" collapsed="false">
      <c r="A417" s="0" t="n">
        <v>417</v>
      </c>
      <c r="B417" s="0" t="n">
        <v>854116</v>
      </c>
      <c r="C417" s="0" t="n">
        <v>33418</v>
      </c>
      <c r="D417" s="0" t="n">
        <v>664122</v>
      </c>
      <c r="E417" s="0" t="s">
        <v>1187</v>
      </c>
      <c r="F417" s="0" t="n">
        <v>68784</v>
      </c>
      <c r="G417" s="0" t="s">
        <v>4264</v>
      </c>
      <c r="H417" s="0" t="s">
        <v>4265</v>
      </c>
      <c r="I417" s="0" t="s">
        <v>4266</v>
      </c>
      <c r="J417" s="0" t="s">
        <v>4267</v>
      </c>
      <c r="K417" s="0" t="s">
        <v>4268</v>
      </c>
      <c r="L417" s="0" t="n">
        <v>418780</v>
      </c>
      <c r="M417" s="0" t="s">
        <v>4269</v>
      </c>
      <c r="N417" s="0" t="n">
        <v>354004</v>
      </c>
      <c r="O417" s="0" t="n">
        <v>1741</v>
      </c>
      <c r="P417" s="0" t="s">
        <v>564</v>
      </c>
      <c r="Q417" s="0" t="s">
        <v>4270</v>
      </c>
      <c r="R417" s="0" t="s">
        <v>4271</v>
      </c>
      <c r="S417" s="0" t="s">
        <v>4272</v>
      </c>
      <c r="T417" s="0" t="s">
        <v>4273</v>
      </c>
      <c r="U417" s="0" t="n">
        <v>0</v>
      </c>
      <c r="V417" s="0" t="n">
        <v>16.202753847616</v>
      </c>
      <c r="W417" s="0" t="n">
        <v>20231231</v>
      </c>
      <c r="X417" s="0" t="n">
        <v>0.532293820018618</v>
      </c>
      <c r="Y417" s="0" t="s">
        <v>4274</v>
      </c>
      <c r="Z417" s="0" t="s">
        <v>98</v>
      </c>
    </row>
    <row r="418" customFormat="false" ht="15" hidden="false" customHeight="false" outlineLevel="0" collapsed="false">
      <c r="A418" s="0" t="n">
        <v>418</v>
      </c>
      <c r="B418" s="0" t="n">
        <v>78004</v>
      </c>
      <c r="C418" s="0" t="n">
        <v>35206</v>
      </c>
      <c r="D418" s="0" t="n">
        <v>500</v>
      </c>
      <c r="E418" s="0" t="s">
        <v>61</v>
      </c>
      <c r="F418" s="0" t="n">
        <v>74403</v>
      </c>
      <c r="G418" s="0" t="s">
        <v>4275</v>
      </c>
      <c r="H418" s="0" t="s">
        <v>4276</v>
      </c>
      <c r="I418" s="0" t="s">
        <v>61</v>
      </c>
      <c r="J418" s="0" t="s">
        <v>61</v>
      </c>
      <c r="K418" s="0" t="s">
        <v>61</v>
      </c>
      <c r="L418" s="0" t="n">
        <v>0</v>
      </c>
      <c r="M418" s="0" t="s">
        <v>61</v>
      </c>
      <c r="N418" s="0" t="n">
        <v>0</v>
      </c>
      <c r="O418" s="0" t="n">
        <v>0</v>
      </c>
      <c r="P418" s="0" t="s">
        <v>1112</v>
      </c>
      <c r="Q418" s="0" t="s">
        <v>61</v>
      </c>
      <c r="R418" s="0" t="s">
        <v>4277</v>
      </c>
      <c r="S418" s="0" t="s">
        <v>61</v>
      </c>
      <c r="T418" s="0" t="s">
        <v>61</v>
      </c>
      <c r="U418" s="0" t="n">
        <v>0</v>
      </c>
      <c r="V418" s="0" t="n">
        <v>0</v>
      </c>
      <c r="W418" s="0" t="n">
        <v>20231231</v>
      </c>
      <c r="X418" s="0" t="n">
        <v>19.6375956732605</v>
      </c>
      <c r="Y418" s="0" t="s">
        <v>4278</v>
      </c>
      <c r="Z418" s="0" t="s">
        <v>158</v>
      </c>
    </row>
    <row r="419" customFormat="false" ht="15" hidden="false" customHeight="false" outlineLevel="0" collapsed="false">
      <c r="A419" s="0" t="n">
        <v>419</v>
      </c>
      <c r="B419" s="0" t="n">
        <v>5700364</v>
      </c>
      <c r="C419" s="0" t="n">
        <v>4255</v>
      </c>
      <c r="D419" s="0" t="n">
        <v>4632579</v>
      </c>
      <c r="E419" s="0" t="s">
        <v>61</v>
      </c>
      <c r="F419" s="0" t="n">
        <v>508674</v>
      </c>
      <c r="G419" s="0" t="s">
        <v>4279</v>
      </c>
      <c r="H419" s="0" t="s">
        <v>4280</v>
      </c>
      <c r="I419" s="0" t="s">
        <v>4281</v>
      </c>
      <c r="J419" s="0" t="s">
        <v>4282</v>
      </c>
      <c r="K419" s="0" t="s">
        <v>4283</v>
      </c>
      <c r="L419" s="0" t="n">
        <v>4108414</v>
      </c>
      <c r="M419" s="0" t="s">
        <v>4284</v>
      </c>
      <c r="N419" s="0" t="n">
        <v>3717758</v>
      </c>
      <c r="O419" s="0" t="n">
        <v>5448</v>
      </c>
      <c r="P419" s="0" t="s">
        <v>575</v>
      </c>
      <c r="Q419" s="0" t="s">
        <v>4285</v>
      </c>
      <c r="R419" s="0" t="s">
        <v>4286</v>
      </c>
      <c r="S419" s="0" t="s">
        <v>4287</v>
      </c>
      <c r="T419" s="0" t="s">
        <v>4288</v>
      </c>
      <c r="U419" s="0" t="n">
        <v>0</v>
      </c>
      <c r="V419" s="0" t="n">
        <v>13.6976813844604</v>
      </c>
      <c r="W419" s="0" t="n">
        <v>20231231</v>
      </c>
      <c r="X419" s="0" t="n">
        <v>0.80297935806377</v>
      </c>
      <c r="Y419" s="0" t="s">
        <v>4289</v>
      </c>
      <c r="Z419" s="0" t="s">
        <v>60</v>
      </c>
    </row>
    <row r="420" customFormat="false" ht="15" hidden="false" customHeight="false" outlineLevel="0" collapsed="false">
      <c r="A420" s="0" t="n">
        <v>420</v>
      </c>
      <c r="B420" s="0" t="n">
        <v>2911223</v>
      </c>
      <c r="C420" s="0" t="n">
        <v>4256</v>
      </c>
      <c r="D420" s="0" t="n">
        <v>2600329</v>
      </c>
      <c r="E420" s="0" t="s">
        <v>271</v>
      </c>
      <c r="F420" s="0" t="n">
        <v>214531</v>
      </c>
      <c r="G420" s="0" t="s">
        <v>4290</v>
      </c>
      <c r="H420" s="0" t="s">
        <v>4291</v>
      </c>
      <c r="I420" s="0" t="s">
        <v>4292</v>
      </c>
      <c r="J420" s="0" t="s">
        <v>4293</v>
      </c>
      <c r="K420" s="0" t="s">
        <v>4294</v>
      </c>
      <c r="L420" s="0" t="n">
        <v>2129454</v>
      </c>
      <c r="M420" s="0" t="s">
        <v>4295</v>
      </c>
      <c r="N420" s="0" t="n">
        <v>1701843</v>
      </c>
      <c r="O420" s="0" t="n">
        <v>2178</v>
      </c>
      <c r="P420" s="0" t="s">
        <v>587</v>
      </c>
      <c r="Q420" s="0" t="s">
        <v>4296</v>
      </c>
      <c r="R420" s="0" t="s">
        <v>4297</v>
      </c>
      <c r="S420" s="0" t="s">
        <v>4298</v>
      </c>
      <c r="T420" s="0" t="s">
        <v>4299</v>
      </c>
      <c r="U420" s="0" t="n">
        <v>429</v>
      </c>
      <c r="V420" s="0" t="n">
        <v>13.6193252605501</v>
      </c>
      <c r="W420" s="0" t="n">
        <v>20231231</v>
      </c>
      <c r="X420" s="0" t="n">
        <v>1.07604648622624</v>
      </c>
      <c r="Y420" s="0" t="s">
        <v>4300</v>
      </c>
      <c r="Z420" s="0" t="s">
        <v>60</v>
      </c>
    </row>
    <row r="421" customFormat="false" ht="15" hidden="false" customHeight="false" outlineLevel="0" collapsed="false">
      <c r="A421" s="0" t="n">
        <v>421</v>
      </c>
      <c r="B421" s="0" t="n">
        <v>693138</v>
      </c>
      <c r="C421" s="0" t="n">
        <v>59086</v>
      </c>
      <c r="D421" s="0" t="n">
        <v>600781</v>
      </c>
      <c r="E421" s="0" t="s">
        <v>858</v>
      </c>
      <c r="F421" s="0" t="n">
        <v>88263</v>
      </c>
      <c r="G421" s="0" t="s">
        <v>4301</v>
      </c>
      <c r="H421" s="0" t="s">
        <v>4302</v>
      </c>
      <c r="I421" s="0" t="s">
        <v>4303</v>
      </c>
      <c r="J421" s="0" t="s">
        <v>4304</v>
      </c>
      <c r="K421" s="0" t="s">
        <v>61</v>
      </c>
      <c r="L421" s="0" t="n">
        <v>588570</v>
      </c>
      <c r="M421" s="0" t="s">
        <v>4305</v>
      </c>
      <c r="N421" s="0" t="n">
        <v>473617</v>
      </c>
      <c r="O421" s="0" t="n">
        <v>4555</v>
      </c>
      <c r="P421" s="0" t="s">
        <v>599</v>
      </c>
      <c r="Q421" s="0" t="s">
        <v>4306</v>
      </c>
      <c r="R421" s="0" t="s">
        <v>4307</v>
      </c>
      <c r="S421" s="0" t="s">
        <v>4308</v>
      </c>
      <c r="T421" s="0" t="s">
        <v>61</v>
      </c>
      <c r="U421" s="0" t="n">
        <v>1112</v>
      </c>
      <c r="V421" s="0" t="n">
        <v>15.2351344587961</v>
      </c>
      <c r="W421" s="0" t="n">
        <v>20231231</v>
      </c>
      <c r="X421" s="0" t="n">
        <v>1.45617949519887</v>
      </c>
      <c r="Y421" s="0" t="s">
        <v>2774</v>
      </c>
      <c r="Z421" s="0" t="s">
        <v>158</v>
      </c>
    </row>
    <row r="422" customFormat="false" ht="15" hidden="false" customHeight="false" outlineLevel="0" collapsed="false">
      <c r="A422" s="0" t="n">
        <v>422</v>
      </c>
      <c r="B422" s="0" t="n">
        <v>238058</v>
      </c>
      <c r="C422" s="0" t="n">
        <v>59176</v>
      </c>
      <c r="D422" s="0" t="n">
        <v>197828</v>
      </c>
      <c r="E422" s="0" t="s">
        <v>2413</v>
      </c>
      <c r="F422" s="0" t="n">
        <v>23051</v>
      </c>
      <c r="G422" s="0" t="s">
        <v>4309</v>
      </c>
      <c r="H422" s="0" t="s">
        <v>4310</v>
      </c>
      <c r="I422" s="0" t="s">
        <v>4311</v>
      </c>
      <c r="J422" s="0" t="s">
        <v>4312</v>
      </c>
      <c r="K422" s="0" t="s">
        <v>218</v>
      </c>
      <c r="L422" s="0" t="n">
        <v>151977</v>
      </c>
      <c r="M422" s="0" t="s">
        <v>4313</v>
      </c>
      <c r="N422" s="0" t="n">
        <v>128774</v>
      </c>
      <c r="O422" s="0" t="n">
        <v>0</v>
      </c>
      <c r="P422" s="0" t="s">
        <v>610</v>
      </c>
      <c r="Q422" s="0" t="s">
        <v>61</v>
      </c>
      <c r="R422" s="0" t="s">
        <v>4314</v>
      </c>
      <c r="S422" s="0" t="s">
        <v>3333</v>
      </c>
      <c r="T422" s="0" t="s">
        <v>61</v>
      </c>
      <c r="U422" s="0" t="n">
        <v>0</v>
      </c>
      <c r="V422" s="0" t="n">
        <v>16.0544884234369</v>
      </c>
      <c r="W422" s="0" t="n">
        <v>20231231</v>
      </c>
      <c r="X422" s="0" t="n">
        <v>-0.191603674122027</v>
      </c>
      <c r="Y422" s="0" t="s">
        <v>4315</v>
      </c>
      <c r="Z422" s="0" t="s">
        <v>158</v>
      </c>
    </row>
    <row r="423" customFormat="false" ht="15" hidden="false" customHeight="false" outlineLevel="0" collapsed="false">
      <c r="A423" s="0" t="n">
        <v>423</v>
      </c>
      <c r="B423" s="0" t="n">
        <v>75597</v>
      </c>
      <c r="C423" s="0" t="n">
        <v>59289</v>
      </c>
      <c r="D423" s="0" t="n">
        <v>55515</v>
      </c>
      <c r="E423" s="0" t="s">
        <v>4316</v>
      </c>
      <c r="F423" s="0" t="n">
        <v>19214</v>
      </c>
      <c r="G423" s="0" t="s">
        <v>4317</v>
      </c>
      <c r="H423" s="0" t="s">
        <v>4318</v>
      </c>
      <c r="I423" s="0" t="s">
        <v>4319</v>
      </c>
      <c r="J423" s="0" t="s">
        <v>4320</v>
      </c>
      <c r="K423" s="0" t="s">
        <v>61</v>
      </c>
      <c r="L423" s="0" t="n">
        <v>34267</v>
      </c>
      <c r="M423" s="0" t="s">
        <v>4321</v>
      </c>
      <c r="N423" s="0" t="n">
        <v>13703</v>
      </c>
      <c r="O423" s="0" t="n">
        <v>0</v>
      </c>
      <c r="P423" s="0" t="s">
        <v>2223</v>
      </c>
      <c r="Q423" s="0" t="s">
        <v>61</v>
      </c>
      <c r="R423" s="0" t="s">
        <v>4322</v>
      </c>
      <c r="S423" s="0" t="s">
        <v>61</v>
      </c>
      <c r="T423" s="0" t="s">
        <v>61</v>
      </c>
      <c r="U423" s="0" t="n">
        <v>0</v>
      </c>
      <c r="V423" s="0" t="n">
        <v>0</v>
      </c>
      <c r="W423" s="0" t="n">
        <v>20231231</v>
      </c>
      <c r="X423" s="0" t="n">
        <v>-4.45568212086552</v>
      </c>
      <c r="Y423" s="0" t="s">
        <v>4323</v>
      </c>
      <c r="Z423" s="0" t="s">
        <v>158</v>
      </c>
    </row>
    <row r="424" customFormat="false" ht="15" hidden="false" customHeight="false" outlineLevel="0" collapsed="false">
      <c r="A424" s="0" t="n">
        <v>424</v>
      </c>
      <c r="B424" s="0" t="n">
        <v>159178</v>
      </c>
      <c r="C424" s="0" t="n">
        <v>59298</v>
      </c>
      <c r="D424" s="0" t="n">
        <v>130214</v>
      </c>
      <c r="E424" s="0" t="s">
        <v>603</v>
      </c>
      <c r="F424" s="0" t="n">
        <v>27360</v>
      </c>
      <c r="G424" s="0" t="s">
        <v>4324</v>
      </c>
      <c r="H424" s="0" t="s">
        <v>4325</v>
      </c>
      <c r="I424" s="0" t="s">
        <v>4326</v>
      </c>
      <c r="J424" s="0" t="s">
        <v>4327</v>
      </c>
      <c r="K424" s="0" t="s">
        <v>61</v>
      </c>
      <c r="L424" s="0" t="n">
        <v>77426</v>
      </c>
      <c r="M424" s="0" t="s">
        <v>4328</v>
      </c>
      <c r="N424" s="0" t="n">
        <v>58407</v>
      </c>
      <c r="O424" s="0" t="n">
        <v>0</v>
      </c>
      <c r="P424" s="0" t="s">
        <v>1684</v>
      </c>
      <c r="Q424" s="0" t="s">
        <v>61</v>
      </c>
      <c r="R424" s="0" t="s">
        <v>4329</v>
      </c>
      <c r="S424" s="0" t="s">
        <v>61</v>
      </c>
      <c r="T424" s="0" t="s">
        <v>61</v>
      </c>
      <c r="U424" s="0" t="n">
        <v>0</v>
      </c>
      <c r="V424" s="0" t="n">
        <v>0</v>
      </c>
      <c r="W424" s="0" t="n">
        <v>20231231</v>
      </c>
      <c r="X424" s="0" t="n">
        <v>-2.10600972672534</v>
      </c>
      <c r="Y424" s="0" t="s">
        <v>4330</v>
      </c>
      <c r="Z424" s="0" t="s">
        <v>98</v>
      </c>
    </row>
    <row r="425" customFormat="false" ht="15" hidden="false" customHeight="false" outlineLevel="0" collapsed="false">
      <c r="A425" s="0" t="n">
        <v>425</v>
      </c>
      <c r="B425" s="0" t="n">
        <v>1098634</v>
      </c>
      <c r="C425" s="0" t="n">
        <v>6271</v>
      </c>
      <c r="D425" s="0" t="n">
        <v>898049</v>
      </c>
      <c r="E425" s="0" t="s">
        <v>1708</v>
      </c>
      <c r="F425" s="0" t="n">
        <v>101032</v>
      </c>
      <c r="G425" s="0" t="s">
        <v>4331</v>
      </c>
      <c r="H425" s="0" t="s">
        <v>4332</v>
      </c>
      <c r="I425" s="0" t="s">
        <v>4333</v>
      </c>
      <c r="J425" s="0" t="s">
        <v>4334</v>
      </c>
      <c r="K425" s="0" t="s">
        <v>4335</v>
      </c>
      <c r="L425" s="0" t="n">
        <v>846003</v>
      </c>
      <c r="M425" s="0" t="s">
        <v>4336</v>
      </c>
      <c r="N425" s="0" t="n">
        <v>655964</v>
      </c>
      <c r="O425" s="0" t="n">
        <v>6955</v>
      </c>
      <c r="P425" s="0" t="s">
        <v>621</v>
      </c>
      <c r="Q425" s="0" t="s">
        <v>4337</v>
      </c>
      <c r="R425" s="0" t="s">
        <v>4338</v>
      </c>
      <c r="S425" s="0" t="s">
        <v>4339</v>
      </c>
      <c r="T425" s="0" t="s">
        <v>4340</v>
      </c>
      <c r="U425" s="0" t="n">
        <v>485</v>
      </c>
      <c r="V425" s="0" t="n">
        <v>14.9041762421334</v>
      </c>
      <c r="W425" s="0" t="n">
        <v>20231231</v>
      </c>
      <c r="X425" s="0" t="n">
        <v>1.3825664132056</v>
      </c>
      <c r="Y425" s="0" t="s">
        <v>4341</v>
      </c>
      <c r="Z425" s="0" t="s">
        <v>98</v>
      </c>
    </row>
    <row r="426" customFormat="false" ht="15" hidden="false" customHeight="false" outlineLevel="0" collapsed="false">
      <c r="A426" s="0" t="n">
        <v>426</v>
      </c>
      <c r="B426" s="0" t="n">
        <v>560588</v>
      </c>
      <c r="C426" s="0" t="n">
        <v>6275</v>
      </c>
      <c r="D426" s="0" t="n">
        <v>486814</v>
      </c>
      <c r="E426" s="0" t="s">
        <v>390</v>
      </c>
      <c r="F426" s="0" t="n">
        <v>30793</v>
      </c>
      <c r="G426" s="0" t="s">
        <v>4342</v>
      </c>
      <c r="H426" s="0" t="s">
        <v>4343</v>
      </c>
      <c r="I426" s="0" t="s">
        <v>4344</v>
      </c>
      <c r="J426" s="0" t="s">
        <v>4345</v>
      </c>
      <c r="K426" s="0" t="s">
        <v>4346</v>
      </c>
      <c r="L426" s="0" t="n">
        <v>336986</v>
      </c>
      <c r="M426" s="0" t="s">
        <v>4347</v>
      </c>
      <c r="N426" s="0" t="n">
        <v>278886</v>
      </c>
      <c r="O426" s="0" t="n">
        <v>1221</v>
      </c>
      <c r="P426" s="0" t="s">
        <v>633</v>
      </c>
      <c r="Q426" s="0" t="s">
        <v>4348</v>
      </c>
      <c r="R426" s="0" t="s">
        <v>4349</v>
      </c>
      <c r="S426" s="0" t="s">
        <v>534</v>
      </c>
      <c r="T426" s="0" t="s">
        <v>4350</v>
      </c>
      <c r="U426" s="0" t="n">
        <v>104</v>
      </c>
      <c r="V426" s="0" t="n">
        <v>14.8417408506429</v>
      </c>
      <c r="W426" s="0" t="n">
        <v>20231231</v>
      </c>
      <c r="X426" s="0" t="n">
        <v>0.433314521647085</v>
      </c>
      <c r="Y426" s="0" t="s">
        <v>2363</v>
      </c>
      <c r="Z426" s="0" t="s">
        <v>98</v>
      </c>
    </row>
    <row r="427" customFormat="false" ht="15" hidden="false" customHeight="false" outlineLevel="0" collapsed="false">
      <c r="A427" s="0" t="n">
        <v>427</v>
      </c>
      <c r="B427" s="0" t="n">
        <v>78840</v>
      </c>
      <c r="C427" s="0" t="n">
        <v>6280</v>
      </c>
      <c r="D427" s="0" t="n">
        <v>68883</v>
      </c>
      <c r="E427" s="0" t="s">
        <v>1187</v>
      </c>
      <c r="F427" s="0" t="n">
        <v>9375</v>
      </c>
      <c r="G427" s="0" t="s">
        <v>4351</v>
      </c>
      <c r="H427" s="0" t="s">
        <v>4352</v>
      </c>
      <c r="I427" s="0" t="s">
        <v>4353</v>
      </c>
      <c r="J427" s="0" t="s">
        <v>4354</v>
      </c>
      <c r="K427" s="0" t="s">
        <v>4355</v>
      </c>
      <c r="L427" s="0" t="n">
        <v>67918</v>
      </c>
      <c r="M427" s="0" t="s">
        <v>4356</v>
      </c>
      <c r="N427" s="0" t="n">
        <v>59964</v>
      </c>
      <c r="O427" s="0" t="n">
        <v>956</v>
      </c>
      <c r="P427" s="0" t="s">
        <v>644</v>
      </c>
      <c r="Q427" s="0" t="s">
        <v>4357</v>
      </c>
      <c r="R427" s="0" t="s">
        <v>4358</v>
      </c>
      <c r="S427" s="0" t="s">
        <v>120</v>
      </c>
      <c r="T427" s="0" t="s">
        <v>4359</v>
      </c>
      <c r="U427" s="0" t="n">
        <v>0</v>
      </c>
      <c r="V427" s="0" t="n">
        <v>0</v>
      </c>
      <c r="W427" s="0" t="n">
        <v>20231231</v>
      </c>
      <c r="X427" s="0" t="n">
        <v>1.84538132619786</v>
      </c>
      <c r="Y427" s="0" t="s">
        <v>4360</v>
      </c>
      <c r="Z427" s="0" t="s">
        <v>98</v>
      </c>
    </row>
    <row r="428" customFormat="false" ht="15" hidden="false" customHeight="false" outlineLevel="0" collapsed="false">
      <c r="A428" s="0" t="n">
        <v>428</v>
      </c>
      <c r="B428" s="0" t="n">
        <v>3955727</v>
      </c>
      <c r="C428" s="0" t="n">
        <v>11971</v>
      </c>
      <c r="D428" s="0" t="n">
        <v>3137892</v>
      </c>
      <c r="E428" s="0" t="s">
        <v>390</v>
      </c>
      <c r="F428" s="0" t="n">
        <v>487592</v>
      </c>
      <c r="G428" s="0" t="s">
        <v>4361</v>
      </c>
      <c r="H428" s="0" t="s">
        <v>4362</v>
      </c>
      <c r="I428" s="0" t="s">
        <v>4363</v>
      </c>
      <c r="J428" s="0" t="s">
        <v>4364</v>
      </c>
      <c r="K428" s="0" t="s">
        <v>4365</v>
      </c>
      <c r="L428" s="0" t="n">
        <v>3014809</v>
      </c>
      <c r="M428" s="0" t="s">
        <v>4366</v>
      </c>
      <c r="N428" s="0" t="n">
        <v>2661075</v>
      </c>
      <c r="O428" s="0" t="n">
        <v>6869</v>
      </c>
      <c r="P428" s="0" t="s">
        <v>54</v>
      </c>
      <c r="Q428" s="0" t="s">
        <v>4367</v>
      </c>
      <c r="R428" s="0" t="s">
        <v>4368</v>
      </c>
      <c r="S428" s="0" t="s">
        <v>1781</v>
      </c>
      <c r="T428" s="0" t="s">
        <v>4369</v>
      </c>
      <c r="U428" s="0" t="n">
        <v>0</v>
      </c>
      <c r="V428" s="0" t="n">
        <v>14.0984467343394</v>
      </c>
      <c r="W428" s="0" t="n">
        <v>20240331</v>
      </c>
      <c r="X428" s="0" t="n">
        <v>1.1683674016711</v>
      </c>
      <c r="Y428" s="0" t="s">
        <v>3036</v>
      </c>
      <c r="Z428" s="0" t="s">
        <v>60</v>
      </c>
    </row>
    <row r="429" customFormat="false" ht="15" hidden="false" customHeight="false" outlineLevel="0" collapsed="false">
      <c r="A429" s="0" t="n">
        <v>429</v>
      </c>
      <c r="B429" s="0" t="n">
        <v>1024449</v>
      </c>
      <c r="C429" s="0" t="n">
        <v>12874</v>
      </c>
      <c r="D429" s="0" t="n">
        <v>876882</v>
      </c>
      <c r="E429" s="0" t="s">
        <v>1729</v>
      </c>
      <c r="F429" s="0" t="n">
        <v>106671</v>
      </c>
      <c r="G429" s="0" t="s">
        <v>4370</v>
      </c>
      <c r="H429" s="0" t="s">
        <v>4371</v>
      </c>
      <c r="I429" s="0" t="s">
        <v>4372</v>
      </c>
      <c r="J429" s="0" t="s">
        <v>4373</v>
      </c>
      <c r="K429" s="0" t="s">
        <v>2880</v>
      </c>
      <c r="L429" s="0" t="n">
        <v>797792</v>
      </c>
      <c r="M429" s="0" t="s">
        <v>4374</v>
      </c>
      <c r="N429" s="0" t="n">
        <v>629564</v>
      </c>
      <c r="O429" s="0" t="n">
        <v>1466</v>
      </c>
      <c r="P429" s="0" t="s">
        <v>68</v>
      </c>
      <c r="Q429" s="0" t="s">
        <v>4375</v>
      </c>
      <c r="R429" s="0" t="s">
        <v>4376</v>
      </c>
      <c r="S429" s="0" t="s">
        <v>4377</v>
      </c>
      <c r="T429" s="0" t="s">
        <v>2852</v>
      </c>
      <c r="U429" s="0" t="n">
        <v>0</v>
      </c>
      <c r="V429" s="0" t="n">
        <v>16.0884328878907</v>
      </c>
      <c r="W429" s="0" t="n">
        <v>20240331</v>
      </c>
      <c r="X429" s="0" t="n">
        <v>0.884731192413479</v>
      </c>
      <c r="Y429" s="0" t="s">
        <v>4378</v>
      </c>
      <c r="Z429" s="0" t="s">
        <v>60</v>
      </c>
    </row>
    <row r="430" customFormat="false" ht="15" hidden="false" customHeight="false" outlineLevel="0" collapsed="false">
      <c r="A430" s="0" t="n">
        <v>430</v>
      </c>
      <c r="B430" s="0" t="n">
        <v>1806517</v>
      </c>
      <c r="C430" s="0" t="n">
        <v>13063</v>
      </c>
      <c r="D430" s="0" t="n">
        <v>1572488</v>
      </c>
      <c r="E430" s="0" t="s">
        <v>172</v>
      </c>
      <c r="F430" s="0" t="n">
        <v>144426</v>
      </c>
      <c r="G430" s="0" t="s">
        <v>4379</v>
      </c>
      <c r="H430" s="0" t="s">
        <v>4380</v>
      </c>
      <c r="I430" s="0" t="s">
        <v>4381</v>
      </c>
      <c r="J430" s="0" t="s">
        <v>4382</v>
      </c>
      <c r="K430" s="0" t="s">
        <v>4383</v>
      </c>
      <c r="L430" s="0" t="n">
        <v>1429824</v>
      </c>
      <c r="M430" s="0" t="s">
        <v>4384</v>
      </c>
      <c r="N430" s="0" t="n">
        <v>1360729</v>
      </c>
      <c r="O430" s="0" t="n">
        <v>510</v>
      </c>
      <c r="P430" s="0" t="s">
        <v>80</v>
      </c>
      <c r="Q430" s="0" t="s">
        <v>4385</v>
      </c>
      <c r="R430" s="0" t="s">
        <v>4386</v>
      </c>
      <c r="S430" s="0" t="s">
        <v>155</v>
      </c>
      <c r="T430" s="0" t="s">
        <v>4387</v>
      </c>
      <c r="U430" s="0" t="n">
        <v>0</v>
      </c>
      <c r="V430" s="0" t="n">
        <v>0</v>
      </c>
      <c r="W430" s="0" t="n">
        <v>20240331</v>
      </c>
      <c r="X430" s="0" t="n">
        <v>0.280149291821904</v>
      </c>
      <c r="Y430" s="0" t="s">
        <v>435</v>
      </c>
      <c r="Z430" s="0" t="s">
        <v>60</v>
      </c>
    </row>
    <row r="431" customFormat="false" ht="15" hidden="false" customHeight="false" outlineLevel="0" collapsed="false">
      <c r="A431" s="0" t="n">
        <v>431</v>
      </c>
      <c r="B431" s="0" t="n">
        <v>842231</v>
      </c>
      <c r="C431" s="0" t="n">
        <v>14134</v>
      </c>
      <c r="D431" s="0" t="n">
        <v>674131</v>
      </c>
      <c r="E431" s="0" t="s">
        <v>1187</v>
      </c>
      <c r="F431" s="0" t="n">
        <v>108189</v>
      </c>
      <c r="G431" s="0" t="s">
        <v>4388</v>
      </c>
      <c r="H431" s="0" t="s">
        <v>4389</v>
      </c>
      <c r="I431" s="0" t="s">
        <v>4390</v>
      </c>
      <c r="J431" s="0" t="s">
        <v>4391</v>
      </c>
      <c r="K431" s="0" t="s">
        <v>4392</v>
      </c>
      <c r="L431" s="0" t="n">
        <v>633180</v>
      </c>
      <c r="M431" s="0" t="s">
        <v>4393</v>
      </c>
      <c r="N431" s="0" t="n">
        <v>560872</v>
      </c>
      <c r="O431" s="0" t="n">
        <v>10903</v>
      </c>
      <c r="P431" s="0" t="s">
        <v>92</v>
      </c>
      <c r="Q431" s="0" t="s">
        <v>4394</v>
      </c>
      <c r="R431" s="0" t="s">
        <v>4395</v>
      </c>
      <c r="S431" s="0" t="s">
        <v>3375</v>
      </c>
      <c r="T431" s="0" t="s">
        <v>4396</v>
      </c>
      <c r="U431" s="0" t="n">
        <v>0</v>
      </c>
      <c r="V431" s="0" t="n">
        <v>19.5631605084554</v>
      </c>
      <c r="W431" s="0" t="n">
        <v>20240331</v>
      </c>
      <c r="X431" s="0" t="n">
        <v>1.52742469831594</v>
      </c>
      <c r="Y431" s="0" t="s">
        <v>4397</v>
      </c>
      <c r="Z431" s="0" t="s">
        <v>98</v>
      </c>
    </row>
    <row r="432" customFormat="false" ht="15" hidden="false" customHeight="false" outlineLevel="0" collapsed="false">
      <c r="A432" s="0" t="n">
        <v>432</v>
      </c>
      <c r="B432" s="0" t="n">
        <v>239150</v>
      </c>
      <c r="C432" s="0" t="n">
        <v>14136</v>
      </c>
      <c r="D432" s="0" t="n">
        <v>196243</v>
      </c>
      <c r="E432" s="0" t="s">
        <v>4398</v>
      </c>
      <c r="F432" s="0" t="n">
        <v>17389</v>
      </c>
      <c r="G432" s="0" t="s">
        <v>4399</v>
      </c>
      <c r="H432" s="0" t="s">
        <v>4400</v>
      </c>
      <c r="I432" s="0" t="s">
        <v>4401</v>
      </c>
      <c r="J432" s="0" t="s">
        <v>4402</v>
      </c>
      <c r="K432" s="0" t="s">
        <v>4403</v>
      </c>
      <c r="L432" s="0" t="n">
        <v>153163</v>
      </c>
      <c r="M432" s="0" t="s">
        <v>4404</v>
      </c>
      <c r="N432" s="0" t="n">
        <v>123830</v>
      </c>
      <c r="O432" s="0" t="n">
        <v>502</v>
      </c>
      <c r="P432" s="0" t="s">
        <v>105</v>
      </c>
      <c r="Q432" s="0" t="s">
        <v>4405</v>
      </c>
      <c r="R432" s="0" t="s">
        <v>4406</v>
      </c>
      <c r="S432" s="0" t="s">
        <v>3652</v>
      </c>
      <c r="T432" s="0" t="s">
        <v>4407</v>
      </c>
      <c r="U432" s="0" t="n">
        <v>469</v>
      </c>
      <c r="V432" s="0" t="n">
        <v>17.5483668012374</v>
      </c>
      <c r="W432" s="0" t="n">
        <v>20240331</v>
      </c>
      <c r="X432" s="0" t="n">
        <v>0.678212630653181</v>
      </c>
      <c r="Y432" s="0" t="s">
        <v>3562</v>
      </c>
      <c r="Z432" s="0" t="s">
        <v>98</v>
      </c>
    </row>
    <row r="433" customFormat="false" ht="15" hidden="false" customHeight="false" outlineLevel="0" collapsed="false">
      <c r="A433" s="0" t="n">
        <v>433</v>
      </c>
      <c r="B433" s="0" t="n">
        <v>1501419</v>
      </c>
      <c r="C433" s="0" t="n">
        <v>14140</v>
      </c>
      <c r="D433" s="0" t="n">
        <v>1223701</v>
      </c>
      <c r="E433" s="0" t="s">
        <v>208</v>
      </c>
      <c r="F433" s="0" t="n">
        <v>125756</v>
      </c>
      <c r="G433" s="0" t="s">
        <v>4408</v>
      </c>
      <c r="H433" s="0" t="s">
        <v>4409</v>
      </c>
      <c r="I433" s="0" t="s">
        <v>4410</v>
      </c>
      <c r="J433" s="0" t="s">
        <v>4411</v>
      </c>
      <c r="K433" s="0" t="s">
        <v>4412</v>
      </c>
      <c r="L433" s="0" t="n">
        <v>1056452</v>
      </c>
      <c r="M433" s="0" t="s">
        <v>4413</v>
      </c>
      <c r="N433" s="0" t="n">
        <v>938480</v>
      </c>
      <c r="O433" s="0" t="n">
        <v>4548</v>
      </c>
      <c r="P433" s="0" t="s">
        <v>117</v>
      </c>
      <c r="Q433" s="0" t="s">
        <v>4414</v>
      </c>
      <c r="R433" s="0" t="s">
        <v>4415</v>
      </c>
      <c r="S433" s="0" t="s">
        <v>108</v>
      </c>
      <c r="T433" s="0" t="s">
        <v>3104</v>
      </c>
      <c r="U433" s="0" t="n">
        <v>0</v>
      </c>
      <c r="V433" s="0" t="n">
        <v>0</v>
      </c>
      <c r="W433" s="0" t="n">
        <v>20240331</v>
      </c>
      <c r="X433" s="0" t="n">
        <v>0.266123685640066</v>
      </c>
      <c r="Y433" s="0" t="s">
        <v>4416</v>
      </c>
      <c r="Z433" s="0" t="s">
        <v>98</v>
      </c>
    </row>
    <row r="434" customFormat="false" ht="15" hidden="false" customHeight="false" outlineLevel="0" collapsed="false">
      <c r="A434" s="0" t="n">
        <v>434</v>
      </c>
      <c r="B434" s="0" t="n">
        <v>1416981</v>
      </c>
      <c r="C434" s="0" t="n">
        <v>14158</v>
      </c>
      <c r="D434" s="0" t="n">
        <v>1175239</v>
      </c>
      <c r="E434" s="0" t="s">
        <v>233</v>
      </c>
      <c r="F434" s="0" t="n">
        <v>79774</v>
      </c>
      <c r="G434" s="0" t="s">
        <v>4417</v>
      </c>
      <c r="H434" s="0" t="s">
        <v>4418</v>
      </c>
      <c r="I434" s="0" t="s">
        <v>4419</v>
      </c>
      <c r="J434" s="0" t="s">
        <v>4420</v>
      </c>
      <c r="K434" s="0" t="s">
        <v>4421</v>
      </c>
      <c r="L434" s="0" t="n">
        <v>1039391</v>
      </c>
      <c r="M434" s="0" t="s">
        <v>4422</v>
      </c>
      <c r="N434" s="0" t="n">
        <v>909000</v>
      </c>
      <c r="O434" s="0" t="n">
        <v>1813</v>
      </c>
      <c r="P434" s="0" t="s">
        <v>129</v>
      </c>
      <c r="Q434" s="0" t="s">
        <v>4423</v>
      </c>
      <c r="R434" s="0" t="s">
        <v>4424</v>
      </c>
      <c r="S434" s="0" t="s">
        <v>352</v>
      </c>
      <c r="T434" s="0" t="s">
        <v>4425</v>
      </c>
      <c r="U434" s="0" t="n">
        <v>60</v>
      </c>
      <c r="V434" s="0" t="n">
        <v>13.3404695925329</v>
      </c>
      <c r="W434" s="0" t="n">
        <v>20240331</v>
      </c>
      <c r="X434" s="0" t="n">
        <v>0.733611995914674</v>
      </c>
      <c r="Y434" s="0" t="s">
        <v>4426</v>
      </c>
      <c r="Z434" s="0" t="s">
        <v>98</v>
      </c>
    </row>
    <row r="435" customFormat="false" ht="15" hidden="false" customHeight="false" outlineLevel="0" collapsed="false">
      <c r="A435" s="0" t="n">
        <v>435</v>
      </c>
      <c r="B435" s="0" t="n">
        <v>363663</v>
      </c>
      <c r="C435" s="0" t="n">
        <v>14168</v>
      </c>
      <c r="D435" s="0" t="n">
        <v>323430</v>
      </c>
      <c r="E435" s="0" t="s">
        <v>858</v>
      </c>
      <c r="F435" s="0" t="n">
        <v>35210</v>
      </c>
      <c r="G435" s="0" t="s">
        <v>4427</v>
      </c>
      <c r="H435" s="0" t="s">
        <v>4428</v>
      </c>
      <c r="I435" s="0" t="s">
        <v>4429</v>
      </c>
      <c r="J435" s="0" t="s">
        <v>4430</v>
      </c>
      <c r="K435" s="0" t="s">
        <v>4431</v>
      </c>
      <c r="L435" s="0" t="n">
        <v>250702</v>
      </c>
      <c r="M435" s="0" t="s">
        <v>4432</v>
      </c>
      <c r="N435" s="0" t="n">
        <v>213218</v>
      </c>
      <c r="O435" s="0" t="n">
        <v>1095</v>
      </c>
      <c r="P435" s="0" t="s">
        <v>140</v>
      </c>
      <c r="Q435" s="0" t="s">
        <v>4433</v>
      </c>
      <c r="R435" s="0" t="s">
        <v>4434</v>
      </c>
      <c r="S435" s="0" t="s">
        <v>4435</v>
      </c>
      <c r="T435" s="0" t="s">
        <v>4436</v>
      </c>
      <c r="U435" s="0" t="n">
        <v>1</v>
      </c>
      <c r="V435" s="0" t="n">
        <v>16.3907253005299</v>
      </c>
      <c r="W435" s="0" t="n">
        <v>20240331</v>
      </c>
      <c r="X435" s="0" t="n">
        <v>0.787388476403298</v>
      </c>
      <c r="Y435" s="0" t="s">
        <v>4437</v>
      </c>
      <c r="Z435" s="0" t="s">
        <v>98</v>
      </c>
    </row>
    <row r="436" customFormat="false" ht="15" hidden="false" customHeight="false" outlineLevel="0" collapsed="false">
      <c r="A436" s="0" t="n">
        <v>436</v>
      </c>
      <c r="B436" s="0" t="n">
        <v>1238358</v>
      </c>
      <c r="C436" s="0" t="n">
        <v>14240</v>
      </c>
      <c r="D436" s="0" t="n">
        <v>983728</v>
      </c>
      <c r="E436" s="0" t="s">
        <v>61</v>
      </c>
      <c r="F436" s="0" t="n">
        <v>87867</v>
      </c>
      <c r="G436" s="0" t="s">
        <v>4438</v>
      </c>
      <c r="H436" s="0" t="s">
        <v>4439</v>
      </c>
      <c r="I436" s="0" t="s">
        <v>4440</v>
      </c>
      <c r="J436" s="0" t="s">
        <v>4441</v>
      </c>
      <c r="K436" s="0" t="s">
        <v>4442</v>
      </c>
      <c r="L436" s="0" t="n">
        <v>920113</v>
      </c>
      <c r="M436" s="0" t="s">
        <v>4443</v>
      </c>
      <c r="N436" s="0" t="n">
        <v>804017</v>
      </c>
      <c r="O436" s="0" t="n">
        <v>3281</v>
      </c>
      <c r="P436" s="0" t="s">
        <v>152</v>
      </c>
      <c r="Q436" s="0" t="s">
        <v>4444</v>
      </c>
      <c r="R436" s="0" t="s">
        <v>4445</v>
      </c>
      <c r="S436" s="0" t="s">
        <v>1329</v>
      </c>
      <c r="T436" s="0" t="s">
        <v>244</v>
      </c>
      <c r="U436" s="0" t="n">
        <v>0</v>
      </c>
      <c r="V436" s="0" t="n">
        <v>16.0804516584333</v>
      </c>
      <c r="W436" s="0" t="n">
        <v>20240331</v>
      </c>
      <c r="X436" s="0" t="n">
        <v>0.489845223176813</v>
      </c>
      <c r="Y436" s="0" t="s">
        <v>402</v>
      </c>
      <c r="Z436" s="0" t="s">
        <v>158</v>
      </c>
    </row>
    <row r="437" customFormat="false" ht="15" hidden="false" customHeight="false" outlineLevel="0" collapsed="false">
      <c r="A437" s="0" t="n">
        <v>437</v>
      </c>
      <c r="B437" s="0" t="n">
        <v>1079745</v>
      </c>
      <c r="C437" s="0" t="n">
        <v>17115</v>
      </c>
      <c r="D437" s="0" t="n">
        <v>803428</v>
      </c>
      <c r="E437" s="0" t="s">
        <v>208</v>
      </c>
      <c r="F437" s="0" t="n">
        <v>88109</v>
      </c>
      <c r="G437" s="0" t="s">
        <v>4446</v>
      </c>
      <c r="H437" s="0" t="s">
        <v>4447</v>
      </c>
      <c r="I437" s="0" t="s">
        <v>4448</v>
      </c>
      <c r="J437" s="0" t="s">
        <v>1495</v>
      </c>
      <c r="K437" s="0" t="s">
        <v>4449</v>
      </c>
      <c r="L437" s="0" t="n">
        <v>896159</v>
      </c>
      <c r="M437" s="0" t="s">
        <v>4450</v>
      </c>
      <c r="N437" s="0" t="n">
        <v>845242</v>
      </c>
      <c r="O437" s="0" t="n">
        <v>2344</v>
      </c>
      <c r="P437" s="0" t="s">
        <v>166</v>
      </c>
      <c r="Q437" s="0" t="s">
        <v>4451</v>
      </c>
      <c r="R437" s="0" t="s">
        <v>4452</v>
      </c>
      <c r="S437" s="0" t="s">
        <v>534</v>
      </c>
      <c r="T437" s="0" t="s">
        <v>4453</v>
      </c>
      <c r="U437" s="0" t="n">
        <v>0</v>
      </c>
      <c r="V437" s="0" t="n">
        <v>13.958856660342</v>
      </c>
      <c r="W437" s="0" t="n">
        <v>20240331</v>
      </c>
      <c r="X437" s="0" t="n">
        <v>0.534576872366088</v>
      </c>
      <c r="Y437" s="0" t="s">
        <v>4454</v>
      </c>
      <c r="Z437" s="0" t="s">
        <v>60</v>
      </c>
    </row>
    <row r="438" customFormat="false" ht="15" hidden="false" customHeight="false" outlineLevel="0" collapsed="false">
      <c r="A438" s="0" t="n">
        <v>438</v>
      </c>
      <c r="B438" s="0" t="n">
        <v>1658628</v>
      </c>
      <c r="C438" s="0" t="n">
        <v>17180</v>
      </c>
      <c r="D438" s="0" t="n">
        <v>1184689</v>
      </c>
      <c r="E438" s="0" t="s">
        <v>1436</v>
      </c>
      <c r="F438" s="0" t="n">
        <v>137543</v>
      </c>
      <c r="G438" s="0" t="s">
        <v>4455</v>
      </c>
      <c r="H438" s="0" t="s">
        <v>4456</v>
      </c>
      <c r="I438" s="0" t="s">
        <v>4457</v>
      </c>
      <c r="J438" s="0" t="s">
        <v>4458</v>
      </c>
      <c r="K438" s="0" t="s">
        <v>4459</v>
      </c>
      <c r="L438" s="0" t="n">
        <v>1488562</v>
      </c>
      <c r="M438" s="0" t="s">
        <v>4460</v>
      </c>
      <c r="N438" s="0" t="n">
        <v>1225328</v>
      </c>
      <c r="O438" s="0" t="n">
        <v>6109</v>
      </c>
      <c r="P438" s="0" t="s">
        <v>179</v>
      </c>
      <c r="Q438" s="0" t="s">
        <v>4461</v>
      </c>
      <c r="R438" s="0" t="s">
        <v>4462</v>
      </c>
      <c r="S438" s="0" t="s">
        <v>4463</v>
      </c>
      <c r="T438" s="0" t="s">
        <v>4464</v>
      </c>
      <c r="U438" s="0" t="n">
        <v>0</v>
      </c>
      <c r="V438" s="0" t="n">
        <v>14.3313029893451</v>
      </c>
      <c r="W438" s="0" t="n">
        <v>20240331</v>
      </c>
      <c r="X438" s="0" t="n">
        <v>0.387207231428846</v>
      </c>
      <c r="Y438" s="0" t="s">
        <v>4465</v>
      </c>
      <c r="Z438" s="0" t="s">
        <v>158</v>
      </c>
    </row>
    <row r="439" customFormat="false" ht="15" hidden="false" customHeight="false" outlineLevel="0" collapsed="false">
      <c r="A439" s="0" t="n">
        <v>439</v>
      </c>
      <c r="B439" s="0" t="n">
        <v>343636</v>
      </c>
      <c r="C439" s="0" t="n">
        <v>17443</v>
      </c>
      <c r="D439" s="0" t="n">
        <v>303567</v>
      </c>
      <c r="E439" s="0" t="s">
        <v>742</v>
      </c>
      <c r="F439" s="0" t="n">
        <v>38886</v>
      </c>
      <c r="G439" s="0" t="s">
        <v>4466</v>
      </c>
      <c r="H439" s="0" t="s">
        <v>4467</v>
      </c>
      <c r="I439" s="0" t="s">
        <v>4468</v>
      </c>
      <c r="J439" s="0" t="s">
        <v>61</v>
      </c>
      <c r="K439" s="0" t="s">
        <v>4469</v>
      </c>
      <c r="L439" s="0" t="n">
        <v>200566</v>
      </c>
      <c r="M439" s="0" t="s">
        <v>4470</v>
      </c>
      <c r="N439" s="0" t="n">
        <v>198841</v>
      </c>
      <c r="O439" s="0" t="n">
        <v>1048</v>
      </c>
      <c r="P439" s="0" t="s">
        <v>190</v>
      </c>
      <c r="Q439" s="0" t="s">
        <v>4471</v>
      </c>
      <c r="R439" s="0" t="s">
        <v>4472</v>
      </c>
      <c r="S439" s="0" t="s">
        <v>61</v>
      </c>
      <c r="T439" s="0" t="s">
        <v>3162</v>
      </c>
      <c r="U439" s="0" t="n">
        <v>0</v>
      </c>
      <c r="V439" s="0" t="n">
        <v>0</v>
      </c>
      <c r="W439" s="0" t="n">
        <v>20240331</v>
      </c>
      <c r="X439" s="0" t="n">
        <v>-0.50316710300389</v>
      </c>
      <c r="Y439" s="0" t="s">
        <v>4473</v>
      </c>
      <c r="Z439" s="0" t="s">
        <v>158</v>
      </c>
    </row>
    <row r="440" customFormat="false" ht="15" hidden="false" customHeight="false" outlineLevel="0" collapsed="false">
      <c r="A440" s="0" t="n">
        <v>440</v>
      </c>
      <c r="B440" s="0" t="n">
        <v>1866220</v>
      </c>
      <c r="C440" s="0" t="n">
        <v>17658</v>
      </c>
      <c r="D440" s="0" t="n">
        <v>1503369</v>
      </c>
      <c r="E440" s="0" t="s">
        <v>794</v>
      </c>
      <c r="F440" s="0" t="n">
        <v>208139</v>
      </c>
      <c r="G440" s="0" t="s">
        <v>4474</v>
      </c>
      <c r="H440" s="0" t="s">
        <v>4475</v>
      </c>
      <c r="I440" s="0" t="s">
        <v>4476</v>
      </c>
      <c r="J440" s="0" t="s">
        <v>4477</v>
      </c>
      <c r="K440" s="0" t="s">
        <v>4478</v>
      </c>
      <c r="L440" s="0" t="n">
        <v>1313902</v>
      </c>
      <c r="M440" s="0" t="s">
        <v>4479</v>
      </c>
      <c r="N440" s="0" t="n">
        <v>1122390</v>
      </c>
      <c r="O440" s="0" t="n">
        <v>9256</v>
      </c>
      <c r="P440" s="0" t="s">
        <v>202</v>
      </c>
      <c r="Q440" s="0" t="s">
        <v>4480</v>
      </c>
      <c r="R440" s="0" t="s">
        <v>4481</v>
      </c>
      <c r="S440" s="0" t="s">
        <v>1738</v>
      </c>
      <c r="T440" s="0" t="s">
        <v>4482</v>
      </c>
      <c r="U440" s="0" t="n">
        <v>385</v>
      </c>
      <c r="V440" s="0" t="n">
        <v>0</v>
      </c>
      <c r="W440" s="0" t="n">
        <v>20240331</v>
      </c>
      <c r="X440" s="0" t="n">
        <v>0.958254818606865</v>
      </c>
      <c r="Y440" s="0" t="s">
        <v>4052</v>
      </c>
      <c r="Z440" s="0" t="s">
        <v>60</v>
      </c>
    </row>
    <row r="441" customFormat="false" ht="15" hidden="false" customHeight="false" outlineLevel="0" collapsed="false">
      <c r="A441" s="0" t="n">
        <v>441</v>
      </c>
      <c r="B441" s="0" t="n">
        <v>1107414</v>
      </c>
      <c r="C441" s="0" t="n">
        <v>17741</v>
      </c>
      <c r="D441" s="0" t="n">
        <v>821220</v>
      </c>
      <c r="E441" s="0" t="s">
        <v>271</v>
      </c>
      <c r="F441" s="0" t="n">
        <v>140357</v>
      </c>
      <c r="G441" s="0" t="s">
        <v>4483</v>
      </c>
      <c r="H441" s="0" t="s">
        <v>4484</v>
      </c>
      <c r="I441" s="0" t="s">
        <v>4485</v>
      </c>
      <c r="J441" s="0" t="s">
        <v>4486</v>
      </c>
      <c r="K441" s="0" t="s">
        <v>4487</v>
      </c>
      <c r="L441" s="0" t="n">
        <v>927393</v>
      </c>
      <c r="M441" s="0" t="s">
        <v>4488</v>
      </c>
      <c r="N441" s="0" t="n">
        <v>863345</v>
      </c>
      <c r="O441" s="0" t="n">
        <v>7415</v>
      </c>
      <c r="P441" s="0" t="s">
        <v>215</v>
      </c>
      <c r="Q441" s="0" t="s">
        <v>4489</v>
      </c>
      <c r="R441" s="0" t="s">
        <v>4490</v>
      </c>
      <c r="S441" s="0" t="s">
        <v>3244</v>
      </c>
      <c r="T441" s="0" t="s">
        <v>4491</v>
      </c>
      <c r="U441" s="0" t="n">
        <v>0</v>
      </c>
      <c r="V441" s="0" t="n">
        <v>0</v>
      </c>
      <c r="W441" s="0" t="n">
        <v>20240331</v>
      </c>
      <c r="X441" s="0" t="n">
        <v>0.564580253103116</v>
      </c>
      <c r="Y441" s="0" t="s">
        <v>4492</v>
      </c>
      <c r="Z441" s="0" t="s">
        <v>60</v>
      </c>
    </row>
    <row r="442" customFormat="false" ht="15" hidden="false" customHeight="false" outlineLevel="0" collapsed="false">
      <c r="A442" s="0" t="n">
        <v>442</v>
      </c>
      <c r="B442" s="0" t="n">
        <v>1393711</v>
      </c>
      <c r="C442" s="0" t="n">
        <v>17743</v>
      </c>
      <c r="D442" s="0" t="n">
        <v>978717</v>
      </c>
      <c r="E442" s="0" t="s">
        <v>794</v>
      </c>
      <c r="F442" s="0" t="n">
        <v>122061</v>
      </c>
      <c r="G442" s="0" t="s">
        <v>4493</v>
      </c>
      <c r="H442" s="0" t="s">
        <v>4494</v>
      </c>
      <c r="I442" s="0" t="s">
        <v>4495</v>
      </c>
      <c r="J442" s="0" t="s">
        <v>4496</v>
      </c>
      <c r="K442" s="0" t="s">
        <v>4497</v>
      </c>
      <c r="L442" s="0" t="n">
        <v>1099628</v>
      </c>
      <c r="M442" s="0" t="s">
        <v>4498</v>
      </c>
      <c r="N442" s="0" t="n">
        <v>1062851</v>
      </c>
      <c r="O442" s="0" t="n">
        <v>3695</v>
      </c>
      <c r="P442" s="0" t="s">
        <v>227</v>
      </c>
      <c r="Q442" s="0" t="s">
        <v>4499</v>
      </c>
      <c r="R442" s="0" t="s">
        <v>4500</v>
      </c>
      <c r="S442" s="0" t="s">
        <v>478</v>
      </c>
      <c r="T442" s="0" t="s">
        <v>4501</v>
      </c>
      <c r="U442" s="0" t="n">
        <v>0</v>
      </c>
      <c r="V442" s="0" t="n">
        <v>0</v>
      </c>
      <c r="W442" s="0" t="n">
        <v>20240331</v>
      </c>
      <c r="X442" s="0" t="n">
        <v>-0.0366187223309691</v>
      </c>
      <c r="Y442" s="0" t="s">
        <v>4502</v>
      </c>
      <c r="Z442" s="0" t="s">
        <v>60</v>
      </c>
    </row>
    <row r="443" customFormat="false" ht="15" hidden="false" customHeight="false" outlineLevel="0" collapsed="false">
      <c r="A443" s="0" t="n">
        <v>443</v>
      </c>
      <c r="B443" s="0" t="n">
        <v>1644996</v>
      </c>
      <c r="C443" s="0" t="n">
        <v>17748</v>
      </c>
      <c r="D443" s="0" t="n">
        <v>1346317</v>
      </c>
      <c r="E443" s="0" t="s">
        <v>208</v>
      </c>
      <c r="F443" s="0" t="n">
        <v>112176</v>
      </c>
      <c r="G443" s="0" t="s">
        <v>4503</v>
      </c>
      <c r="H443" s="0" t="s">
        <v>4504</v>
      </c>
      <c r="I443" s="0" t="s">
        <v>4505</v>
      </c>
      <c r="J443" s="0" t="s">
        <v>4506</v>
      </c>
      <c r="K443" s="0" t="s">
        <v>4507</v>
      </c>
      <c r="L443" s="0" t="n">
        <v>1265225</v>
      </c>
      <c r="M443" s="0" t="s">
        <v>4508</v>
      </c>
      <c r="N443" s="0" t="n">
        <v>1052324</v>
      </c>
      <c r="O443" s="0" t="n">
        <v>9414</v>
      </c>
      <c r="P443" s="0" t="s">
        <v>240</v>
      </c>
      <c r="Q443" s="0" t="s">
        <v>4509</v>
      </c>
      <c r="R443" s="0" t="s">
        <v>4510</v>
      </c>
      <c r="S443" s="0" t="s">
        <v>4350</v>
      </c>
      <c r="T443" s="0" t="s">
        <v>4511</v>
      </c>
      <c r="U443" s="0" t="n">
        <v>0</v>
      </c>
      <c r="V443" s="0" t="n">
        <v>0</v>
      </c>
      <c r="W443" s="0" t="n">
        <v>20240331</v>
      </c>
      <c r="X443" s="0" t="n">
        <v>0.186368991289905</v>
      </c>
      <c r="Y443" s="0" t="s">
        <v>4512</v>
      </c>
      <c r="Z443" s="0" t="s">
        <v>60</v>
      </c>
    </row>
    <row r="444" customFormat="false" ht="15" hidden="false" customHeight="false" outlineLevel="0" collapsed="false">
      <c r="A444" s="0" t="n">
        <v>444</v>
      </c>
      <c r="B444" s="0" t="n">
        <v>1350095</v>
      </c>
      <c r="C444" s="0" t="n">
        <v>17749</v>
      </c>
      <c r="D444" s="0" t="n">
        <v>1048039</v>
      </c>
      <c r="E444" s="0" t="s">
        <v>259</v>
      </c>
      <c r="F444" s="0" t="n">
        <v>173084</v>
      </c>
      <c r="G444" s="0" t="s">
        <v>4513</v>
      </c>
      <c r="H444" s="0" t="s">
        <v>4514</v>
      </c>
      <c r="I444" s="0" t="s">
        <v>4515</v>
      </c>
      <c r="J444" s="0" t="s">
        <v>4516</v>
      </c>
      <c r="K444" s="0" t="s">
        <v>4517</v>
      </c>
      <c r="L444" s="0" t="n">
        <v>812727</v>
      </c>
      <c r="M444" s="0" t="s">
        <v>4518</v>
      </c>
      <c r="N444" s="0" t="n">
        <v>738584</v>
      </c>
      <c r="O444" s="0" t="n">
        <v>546</v>
      </c>
      <c r="P444" s="0" t="s">
        <v>253</v>
      </c>
      <c r="Q444" s="0" t="s">
        <v>4519</v>
      </c>
      <c r="R444" s="0" t="s">
        <v>4520</v>
      </c>
      <c r="S444" s="0" t="s">
        <v>218</v>
      </c>
      <c r="T444" s="0" t="s">
        <v>1098</v>
      </c>
      <c r="U444" s="0" t="n">
        <v>3</v>
      </c>
      <c r="V444" s="0" t="n">
        <v>0</v>
      </c>
      <c r="W444" s="0" t="n">
        <v>20240331</v>
      </c>
      <c r="X444" s="0" t="n">
        <v>1.20534836371594</v>
      </c>
      <c r="Y444" s="0" t="s">
        <v>4521</v>
      </c>
      <c r="Z444" s="0" t="s">
        <v>60</v>
      </c>
    </row>
    <row r="445" customFormat="false" ht="15" hidden="false" customHeight="false" outlineLevel="0" collapsed="false">
      <c r="A445" s="0" t="n">
        <v>445</v>
      </c>
      <c r="B445" s="0" t="n">
        <v>1632063</v>
      </c>
      <c r="C445" s="0" t="n">
        <v>17751</v>
      </c>
      <c r="D445" s="0" t="n">
        <v>1308912</v>
      </c>
      <c r="E445" s="0" t="s">
        <v>208</v>
      </c>
      <c r="F445" s="0" t="n">
        <v>138475</v>
      </c>
      <c r="G445" s="0" t="s">
        <v>4522</v>
      </c>
      <c r="H445" s="0" t="s">
        <v>4523</v>
      </c>
      <c r="I445" s="0" t="s">
        <v>4524</v>
      </c>
      <c r="J445" s="0" t="s">
        <v>4525</v>
      </c>
      <c r="K445" s="0" t="s">
        <v>4526</v>
      </c>
      <c r="L445" s="0" t="n">
        <v>1332202</v>
      </c>
      <c r="M445" s="0" t="s">
        <v>4527</v>
      </c>
      <c r="N445" s="0" t="n">
        <v>1123971</v>
      </c>
      <c r="O445" s="0" t="n">
        <v>805</v>
      </c>
      <c r="P445" s="0" t="s">
        <v>266</v>
      </c>
      <c r="Q445" s="0" t="s">
        <v>4528</v>
      </c>
      <c r="R445" s="0" t="s">
        <v>4529</v>
      </c>
      <c r="S445" s="0" t="s">
        <v>988</v>
      </c>
      <c r="T445" s="0" t="s">
        <v>4530</v>
      </c>
      <c r="U445" s="0" t="n">
        <v>0</v>
      </c>
      <c r="V445" s="0" t="n">
        <v>11.9941117035014</v>
      </c>
      <c r="W445" s="0" t="n">
        <v>20240331</v>
      </c>
      <c r="X445" s="0" t="n">
        <v>0.407671616049714</v>
      </c>
      <c r="Y445" s="0" t="s">
        <v>4531</v>
      </c>
      <c r="Z445" s="0" t="s">
        <v>60</v>
      </c>
    </row>
    <row r="446" customFormat="false" ht="15" hidden="false" customHeight="false" outlineLevel="0" collapsed="false">
      <c r="A446" s="0" t="n">
        <v>446</v>
      </c>
      <c r="B446" s="0" t="n">
        <v>1717181</v>
      </c>
      <c r="C446" s="0" t="n">
        <v>17897</v>
      </c>
      <c r="D446" s="0" t="n">
        <v>1296371</v>
      </c>
      <c r="E446" s="0" t="s">
        <v>159</v>
      </c>
      <c r="F446" s="0" t="n">
        <v>211359</v>
      </c>
      <c r="G446" s="0" t="s">
        <v>4532</v>
      </c>
      <c r="H446" s="0" t="s">
        <v>4533</v>
      </c>
      <c r="I446" s="0" t="s">
        <v>4534</v>
      </c>
      <c r="J446" s="0" t="s">
        <v>4535</v>
      </c>
      <c r="K446" s="0" t="s">
        <v>4536</v>
      </c>
      <c r="L446" s="0" t="n">
        <v>1431534</v>
      </c>
      <c r="M446" s="0" t="s">
        <v>4537</v>
      </c>
      <c r="N446" s="0" t="n">
        <v>1346782</v>
      </c>
      <c r="O446" s="0" t="n">
        <v>3411</v>
      </c>
      <c r="P446" s="0" t="s">
        <v>278</v>
      </c>
      <c r="Q446" s="0" t="s">
        <v>4538</v>
      </c>
      <c r="R446" s="0" t="s">
        <v>4539</v>
      </c>
      <c r="S446" s="0" t="s">
        <v>4540</v>
      </c>
      <c r="T446" s="0" t="s">
        <v>4541</v>
      </c>
      <c r="U446" s="0" t="n">
        <v>0</v>
      </c>
      <c r="V446" s="0" t="n">
        <v>17.5420163258205</v>
      </c>
      <c r="W446" s="0" t="n">
        <v>20240331</v>
      </c>
      <c r="X446" s="0" t="n">
        <v>1.19917950261941</v>
      </c>
      <c r="Y446" s="0" t="s">
        <v>1218</v>
      </c>
      <c r="Z446" s="0" t="s">
        <v>60</v>
      </c>
    </row>
    <row r="447" customFormat="false" ht="15" hidden="false" customHeight="false" outlineLevel="0" collapsed="false">
      <c r="A447" s="0" t="n">
        <v>447</v>
      </c>
      <c r="B447" s="0" t="n">
        <v>794635</v>
      </c>
      <c r="C447" s="0" t="n">
        <v>17951</v>
      </c>
      <c r="D447" s="0" t="n">
        <v>661495</v>
      </c>
      <c r="E447" s="0" t="s">
        <v>1500</v>
      </c>
      <c r="F447" s="0" t="n">
        <v>61632</v>
      </c>
      <c r="G447" s="0" t="s">
        <v>4542</v>
      </c>
      <c r="H447" s="0" t="s">
        <v>4543</v>
      </c>
      <c r="I447" s="0" t="s">
        <v>4544</v>
      </c>
      <c r="J447" s="0" t="s">
        <v>4545</v>
      </c>
      <c r="K447" s="0" t="s">
        <v>4546</v>
      </c>
      <c r="L447" s="0" t="n">
        <v>585701</v>
      </c>
      <c r="M447" s="0" t="s">
        <v>4547</v>
      </c>
      <c r="N447" s="0" t="n">
        <v>544281</v>
      </c>
      <c r="O447" s="0" t="n">
        <v>174</v>
      </c>
      <c r="P447" s="0" t="s">
        <v>290</v>
      </c>
      <c r="Q447" s="0" t="s">
        <v>4548</v>
      </c>
      <c r="R447" s="0" t="s">
        <v>4549</v>
      </c>
      <c r="S447" s="0" t="s">
        <v>1738</v>
      </c>
      <c r="T447" s="0" t="s">
        <v>3510</v>
      </c>
      <c r="U447" s="0" t="n">
        <v>0</v>
      </c>
      <c r="V447" s="0" t="n">
        <v>14.6324208046485</v>
      </c>
      <c r="W447" s="0" t="n">
        <v>20240331</v>
      </c>
      <c r="X447" s="0" t="n">
        <v>0.560264493427521</v>
      </c>
      <c r="Y447" s="0" t="s">
        <v>1373</v>
      </c>
      <c r="Z447" s="0" t="s">
        <v>158</v>
      </c>
    </row>
    <row r="448" customFormat="false" ht="15" hidden="false" customHeight="false" outlineLevel="0" collapsed="false">
      <c r="A448" s="0" t="n">
        <v>448</v>
      </c>
      <c r="B448" s="0" t="n">
        <v>1358652</v>
      </c>
      <c r="C448" s="0" t="n">
        <v>17960</v>
      </c>
      <c r="D448" s="0" t="n">
        <v>1003157</v>
      </c>
      <c r="E448" s="0" t="s">
        <v>259</v>
      </c>
      <c r="F448" s="0" t="n">
        <v>113634</v>
      </c>
      <c r="G448" s="0" t="s">
        <v>4550</v>
      </c>
      <c r="H448" s="0" t="s">
        <v>4551</v>
      </c>
      <c r="I448" s="0" t="s">
        <v>4552</v>
      </c>
      <c r="J448" s="0" t="s">
        <v>4553</v>
      </c>
      <c r="K448" s="0" t="s">
        <v>4554</v>
      </c>
      <c r="L448" s="0" t="n">
        <v>1167672</v>
      </c>
      <c r="M448" s="0" t="s">
        <v>4555</v>
      </c>
      <c r="N448" s="0" t="n">
        <v>831348</v>
      </c>
      <c r="O448" s="0" t="n">
        <v>9231</v>
      </c>
      <c r="P448" s="0" t="s">
        <v>302</v>
      </c>
      <c r="Q448" s="0" t="s">
        <v>4556</v>
      </c>
      <c r="R448" s="0" t="s">
        <v>4557</v>
      </c>
      <c r="S448" s="0" t="s">
        <v>4558</v>
      </c>
      <c r="T448" s="0" t="s">
        <v>4559</v>
      </c>
      <c r="U448" s="0" t="n">
        <v>0</v>
      </c>
      <c r="V448" s="0" t="n">
        <v>13.3536414605849</v>
      </c>
      <c r="W448" s="0" t="n">
        <v>20240331</v>
      </c>
      <c r="X448" s="0" t="n">
        <v>0.376099631197934</v>
      </c>
      <c r="Y448" s="0" t="s">
        <v>4560</v>
      </c>
      <c r="Z448" s="0" t="s">
        <v>158</v>
      </c>
    </row>
    <row r="449" customFormat="false" ht="15" hidden="false" customHeight="false" outlineLevel="0" collapsed="false">
      <c r="A449" s="0" t="n">
        <v>449</v>
      </c>
      <c r="B449" s="0" t="n">
        <v>2475597</v>
      </c>
      <c r="C449" s="0" t="n">
        <v>18012</v>
      </c>
      <c r="D449" s="0" t="n">
        <v>2087993</v>
      </c>
      <c r="E449" s="0" t="s">
        <v>172</v>
      </c>
      <c r="F449" s="0" t="n">
        <v>269535</v>
      </c>
      <c r="G449" s="0" t="s">
        <v>4561</v>
      </c>
      <c r="H449" s="0" t="s">
        <v>4562</v>
      </c>
      <c r="I449" s="0" t="s">
        <v>4563</v>
      </c>
      <c r="J449" s="0" t="s">
        <v>4564</v>
      </c>
      <c r="K449" s="0" t="s">
        <v>4565</v>
      </c>
      <c r="L449" s="0" t="n">
        <v>1997011</v>
      </c>
      <c r="M449" s="0" t="s">
        <v>4566</v>
      </c>
      <c r="N449" s="0" t="n">
        <v>1892259</v>
      </c>
      <c r="O449" s="0" t="n">
        <v>790</v>
      </c>
      <c r="P449" s="0" t="s">
        <v>312</v>
      </c>
      <c r="Q449" s="0" t="s">
        <v>4567</v>
      </c>
      <c r="R449" s="0" t="s">
        <v>4568</v>
      </c>
      <c r="S449" s="0" t="s">
        <v>340</v>
      </c>
      <c r="T449" s="0" t="s">
        <v>4569</v>
      </c>
      <c r="U449" s="0" t="n">
        <v>0</v>
      </c>
      <c r="V449" s="0" t="n">
        <v>14.3710292966398</v>
      </c>
      <c r="W449" s="0" t="n">
        <v>20240331</v>
      </c>
      <c r="X449" s="0" t="n">
        <v>0.667372932289855</v>
      </c>
      <c r="Y449" s="0" t="s">
        <v>3437</v>
      </c>
      <c r="Z449" s="0" t="s">
        <v>158</v>
      </c>
    </row>
    <row r="450" customFormat="false" ht="15" hidden="false" customHeight="false" outlineLevel="0" collapsed="false">
      <c r="A450" s="0" t="n">
        <v>450</v>
      </c>
      <c r="B450" s="0" t="n">
        <v>2943126</v>
      </c>
      <c r="C450" s="0" t="n">
        <v>18013</v>
      </c>
      <c r="D450" s="0" t="n">
        <v>2511525</v>
      </c>
      <c r="E450" s="0" t="s">
        <v>794</v>
      </c>
      <c r="F450" s="0" t="n">
        <v>220450</v>
      </c>
      <c r="G450" s="0" t="s">
        <v>4570</v>
      </c>
      <c r="H450" s="0" t="s">
        <v>4571</v>
      </c>
      <c r="I450" s="0" t="s">
        <v>4572</v>
      </c>
      <c r="J450" s="0" t="s">
        <v>4573</v>
      </c>
      <c r="K450" s="0" t="s">
        <v>4574</v>
      </c>
      <c r="L450" s="0" t="n">
        <v>2386994</v>
      </c>
      <c r="M450" s="0" t="s">
        <v>4575</v>
      </c>
      <c r="N450" s="0" t="n">
        <v>2170356</v>
      </c>
      <c r="O450" s="0" t="n">
        <v>990</v>
      </c>
      <c r="P450" s="0" t="s">
        <v>324</v>
      </c>
      <c r="Q450" s="0" t="s">
        <v>4576</v>
      </c>
      <c r="R450" s="0" t="s">
        <v>4577</v>
      </c>
      <c r="S450" s="0" t="s">
        <v>281</v>
      </c>
      <c r="T450" s="0" t="s">
        <v>4578</v>
      </c>
      <c r="U450" s="0" t="n">
        <v>357</v>
      </c>
      <c r="V450" s="0" t="n">
        <v>12.4379068806188</v>
      </c>
      <c r="W450" s="0" t="n">
        <v>20240331</v>
      </c>
      <c r="X450" s="0" t="n">
        <v>0.262414963236202</v>
      </c>
      <c r="Y450" s="0" t="s">
        <v>4579</v>
      </c>
      <c r="Z450" s="0" t="s">
        <v>158</v>
      </c>
    </row>
    <row r="451" customFormat="false" ht="15" hidden="false" customHeight="false" outlineLevel="0" collapsed="false">
      <c r="A451" s="0" t="n">
        <v>451</v>
      </c>
      <c r="B451" s="0" t="n">
        <v>397277</v>
      </c>
      <c r="C451" s="0" t="n">
        <v>18028</v>
      </c>
      <c r="D451" s="0" t="n">
        <v>325871</v>
      </c>
      <c r="E451" s="0" t="s">
        <v>208</v>
      </c>
      <c r="F451" s="0" t="n">
        <v>40522</v>
      </c>
      <c r="G451" s="0" t="s">
        <v>4580</v>
      </c>
      <c r="H451" s="0" t="s">
        <v>4581</v>
      </c>
      <c r="I451" s="0" t="s">
        <v>4582</v>
      </c>
      <c r="J451" s="0" t="s">
        <v>4583</v>
      </c>
      <c r="K451" s="0" t="s">
        <v>4584</v>
      </c>
      <c r="L451" s="0" t="n">
        <v>267508</v>
      </c>
      <c r="M451" s="0" t="s">
        <v>4585</v>
      </c>
      <c r="N451" s="0" t="n">
        <v>240691</v>
      </c>
      <c r="O451" s="0" t="n">
        <v>704</v>
      </c>
      <c r="P451" s="0" t="s">
        <v>337</v>
      </c>
      <c r="Q451" s="0" t="s">
        <v>4586</v>
      </c>
      <c r="R451" s="0" t="s">
        <v>4587</v>
      </c>
      <c r="S451" s="0" t="s">
        <v>4588</v>
      </c>
      <c r="T451" s="0" t="s">
        <v>4589</v>
      </c>
      <c r="U451" s="0" t="n">
        <v>59</v>
      </c>
      <c r="V451" s="0" t="n">
        <v>0</v>
      </c>
      <c r="W451" s="0" t="n">
        <v>20240331</v>
      </c>
      <c r="X451" s="0" t="n">
        <v>0.397908701215368</v>
      </c>
      <c r="Y451" s="0" t="s">
        <v>4590</v>
      </c>
      <c r="Z451" s="0" t="s">
        <v>158</v>
      </c>
    </row>
    <row r="452" customFormat="false" ht="15" hidden="false" customHeight="false" outlineLevel="0" collapsed="false">
      <c r="A452" s="0" t="n">
        <v>452</v>
      </c>
      <c r="B452" s="0" t="n">
        <v>760475</v>
      </c>
      <c r="C452" s="0" t="n">
        <v>18030</v>
      </c>
      <c r="D452" s="0" t="n">
        <v>679167</v>
      </c>
      <c r="E452" s="0" t="s">
        <v>794</v>
      </c>
      <c r="F452" s="0" t="n">
        <v>49359</v>
      </c>
      <c r="G452" s="0" t="s">
        <v>4591</v>
      </c>
      <c r="H452" s="0" t="s">
        <v>4592</v>
      </c>
      <c r="I452" s="0" t="s">
        <v>4593</v>
      </c>
      <c r="J452" s="0" t="s">
        <v>4594</v>
      </c>
      <c r="K452" s="0" t="s">
        <v>4595</v>
      </c>
      <c r="L452" s="0" t="n">
        <v>576022</v>
      </c>
      <c r="M452" s="0" t="s">
        <v>4596</v>
      </c>
      <c r="N452" s="0" t="n">
        <v>444671</v>
      </c>
      <c r="O452" s="0" t="n">
        <v>508</v>
      </c>
      <c r="P452" s="0" t="s">
        <v>349</v>
      </c>
      <c r="Q452" s="0" t="s">
        <v>4597</v>
      </c>
      <c r="R452" s="0" t="s">
        <v>4598</v>
      </c>
      <c r="S452" s="0" t="s">
        <v>352</v>
      </c>
      <c r="T452" s="0" t="s">
        <v>4599</v>
      </c>
      <c r="U452" s="0" t="n">
        <v>133</v>
      </c>
      <c r="V452" s="0" t="n">
        <v>13.5007684922143</v>
      </c>
      <c r="W452" s="0" t="n">
        <v>20240331</v>
      </c>
      <c r="X452" s="0" t="n">
        <v>0.68055140252855</v>
      </c>
      <c r="Y452" s="0" t="s">
        <v>4600</v>
      </c>
      <c r="Z452" s="0" t="s">
        <v>158</v>
      </c>
    </row>
    <row r="453" customFormat="false" ht="15" hidden="false" customHeight="false" outlineLevel="0" collapsed="false">
      <c r="A453" s="0" t="n">
        <v>453</v>
      </c>
      <c r="B453" s="0" t="n">
        <v>669872</v>
      </c>
      <c r="C453" s="0" t="n">
        <v>18031</v>
      </c>
      <c r="D453" s="0" t="n">
        <v>532494</v>
      </c>
      <c r="E453" s="0" t="s">
        <v>4117</v>
      </c>
      <c r="F453" s="0" t="n">
        <v>36392</v>
      </c>
      <c r="G453" s="0" t="s">
        <v>4601</v>
      </c>
      <c r="H453" s="0" t="s">
        <v>4602</v>
      </c>
      <c r="I453" s="0" t="s">
        <v>4603</v>
      </c>
      <c r="J453" s="0" t="s">
        <v>4604</v>
      </c>
      <c r="K453" s="0" t="s">
        <v>4605</v>
      </c>
      <c r="L453" s="0" t="n">
        <v>476691</v>
      </c>
      <c r="M453" s="0" t="s">
        <v>4606</v>
      </c>
      <c r="N453" s="0" t="n">
        <v>436768</v>
      </c>
      <c r="O453" s="0" t="n">
        <v>893</v>
      </c>
      <c r="P453" s="0" t="s">
        <v>361</v>
      </c>
      <c r="Q453" s="0" t="s">
        <v>4607</v>
      </c>
      <c r="R453" s="0" t="s">
        <v>4608</v>
      </c>
      <c r="S453" s="0" t="s">
        <v>489</v>
      </c>
      <c r="T453" s="0" t="s">
        <v>4609</v>
      </c>
      <c r="U453" s="0" t="n">
        <v>8</v>
      </c>
      <c r="V453" s="0" t="n">
        <v>16.3361319436295</v>
      </c>
      <c r="W453" s="0" t="n">
        <v>20240331</v>
      </c>
      <c r="X453" s="0" t="n">
        <v>0.457822713323232</v>
      </c>
      <c r="Y453" s="0" t="s">
        <v>4610</v>
      </c>
      <c r="Z453" s="0" t="s">
        <v>158</v>
      </c>
    </row>
    <row r="454" customFormat="false" ht="15" hidden="false" customHeight="false" outlineLevel="0" collapsed="false">
      <c r="A454" s="0" t="n">
        <v>454</v>
      </c>
      <c r="B454" s="0" t="n">
        <v>522345</v>
      </c>
      <c r="C454" s="0" t="n">
        <v>18038</v>
      </c>
      <c r="D454" s="0" t="n">
        <v>409953</v>
      </c>
      <c r="E454" s="0" t="s">
        <v>61</v>
      </c>
      <c r="F454" s="0" t="n">
        <v>65908</v>
      </c>
      <c r="G454" s="0" t="s">
        <v>4611</v>
      </c>
      <c r="H454" s="0" t="s">
        <v>4612</v>
      </c>
      <c r="I454" s="0" t="s">
        <v>4613</v>
      </c>
      <c r="J454" s="0" t="s">
        <v>4614</v>
      </c>
      <c r="K454" s="0" t="s">
        <v>4615</v>
      </c>
      <c r="L454" s="0" t="n">
        <v>416656</v>
      </c>
      <c r="M454" s="0" t="s">
        <v>4616</v>
      </c>
      <c r="N454" s="0" t="n">
        <v>389167</v>
      </c>
      <c r="O454" s="0" t="n">
        <v>2189</v>
      </c>
      <c r="P454" s="0" t="s">
        <v>372</v>
      </c>
      <c r="Q454" s="0" t="s">
        <v>4617</v>
      </c>
      <c r="R454" s="0" t="s">
        <v>4618</v>
      </c>
      <c r="S454" s="0" t="s">
        <v>293</v>
      </c>
      <c r="T454" s="0" t="s">
        <v>4619</v>
      </c>
      <c r="U454" s="0" t="n">
        <v>0</v>
      </c>
      <c r="V454" s="0" t="n">
        <v>0</v>
      </c>
      <c r="W454" s="0" t="n">
        <v>20240331</v>
      </c>
      <c r="X454" s="0" t="n">
        <v>1.0870799431889</v>
      </c>
      <c r="Y454" s="0" t="s">
        <v>4620</v>
      </c>
      <c r="Z454" s="0" t="s">
        <v>158</v>
      </c>
    </row>
    <row r="455" customFormat="false" ht="15" hidden="false" customHeight="false" outlineLevel="0" collapsed="false">
      <c r="A455" s="0" t="n">
        <v>455</v>
      </c>
      <c r="B455" s="0" t="n">
        <v>7209064</v>
      </c>
      <c r="C455" s="0" t="n">
        <v>18408</v>
      </c>
      <c r="D455" s="0" t="n">
        <v>5243296</v>
      </c>
      <c r="E455" s="0" t="s">
        <v>195</v>
      </c>
      <c r="F455" s="0" t="n">
        <v>402922</v>
      </c>
      <c r="G455" s="0" t="s">
        <v>4621</v>
      </c>
      <c r="H455" s="0" t="s">
        <v>4622</v>
      </c>
      <c r="I455" s="0" t="s">
        <v>4623</v>
      </c>
      <c r="J455" s="0" t="s">
        <v>4624</v>
      </c>
      <c r="K455" s="0" t="s">
        <v>4625</v>
      </c>
      <c r="L455" s="0" t="n">
        <v>4840855</v>
      </c>
      <c r="M455" s="0" t="s">
        <v>4626</v>
      </c>
      <c r="N455" s="0" t="n">
        <v>4375722</v>
      </c>
      <c r="O455" s="0" t="n">
        <v>4530</v>
      </c>
      <c r="P455" s="0" t="s">
        <v>384</v>
      </c>
      <c r="Q455" s="0" t="s">
        <v>4627</v>
      </c>
      <c r="R455" s="0" t="s">
        <v>4628</v>
      </c>
      <c r="S455" s="0" t="s">
        <v>4629</v>
      </c>
      <c r="T455" s="0" t="s">
        <v>4630</v>
      </c>
      <c r="U455" s="0" t="n">
        <v>0</v>
      </c>
      <c r="V455" s="0" t="n">
        <v>11.6477404589509</v>
      </c>
      <c r="W455" s="0" t="n">
        <v>20240331</v>
      </c>
      <c r="X455" s="0" t="n">
        <v>-0.0140431607422889</v>
      </c>
      <c r="Y455" s="0" t="s">
        <v>4631</v>
      </c>
      <c r="Z455" s="0" t="s">
        <v>60</v>
      </c>
    </row>
    <row r="456" customFormat="false" ht="15" hidden="false" customHeight="false" outlineLevel="0" collapsed="false">
      <c r="A456" s="0" t="n">
        <v>456</v>
      </c>
      <c r="B456" s="0" t="n">
        <v>2536962</v>
      </c>
      <c r="C456" s="0" t="n">
        <v>19531</v>
      </c>
      <c r="D456" s="0" t="n">
        <v>1943034</v>
      </c>
      <c r="E456" s="0" t="s">
        <v>61</v>
      </c>
      <c r="F456" s="0" t="n">
        <v>242536</v>
      </c>
      <c r="G456" s="0" t="s">
        <v>4632</v>
      </c>
      <c r="H456" s="0" t="s">
        <v>4633</v>
      </c>
      <c r="I456" s="0" t="s">
        <v>4634</v>
      </c>
      <c r="J456" s="0" t="s">
        <v>4635</v>
      </c>
      <c r="K456" s="0" t="s">
        <v>4636</v>
      </c>
      <c r="L456" s="0" t="n">
        <v>2037730</v>
      </c>
      <c r="M456" s="0" t="s">
        <v>4637</v>
      </c>
      <c r="N456" s="0" t="n">
        <v>1667925</v>
      </c>
      <c r="O456" s="0" t="n">
        <v>8011</v>
      </c>
      <c r="P456" s="0" t="s">
        <v>397</v>
      </c>
      <c r="Q456" s="0" t="s">
        <v>4638</v>
      </c>
      <c r="R456" s="0" t="s">
        <v>4639</v>
      </c>
      <c r="S456" s="0" t="s">
        <v>772</v>
      </c>
      <c r="T456" s="0" t="s">
        <v>4640</v>
      </c>
      <c r="U456" s="0" t="n">
        <v>26</v>
      </c>
      <c r="V456" s="0" t="n">
        <v>14.3160659623927</v>
      </c>
      <c r="W456" s="0" t="n">
        <v>20240331</v>
      </c>
      <c r="X456" s="0" t="n">
        <v>0.303107086681934</v>
      </c>
      <c r="Y456" s="0" t="s">
        <v>4641</v>
      </c>
      <c r="Z456" s="0" t="s">
        <v>60</v>
      </c>
    </row>
    <row r="457" customFormat="false" ht="15" hidden="false" customHeight="false" outlineLevel="0" collapsed="false">
      <c r="A457" s="0" t="n">
        <v>457</v>
      </c>
      <c r="B457" s="0" t="n">
        <v>898226</v>
      </c>
      <c r="C457" s="0" t="n">
        <v>19532</v>
      </c>
      <c r="D457" s="0" t="n">
        <v>728574</v>
      </c>
      <c r="E457" s="0" t="s">
        <v>195</v>
      </c>
      <c r="F457" s="0" t="n">
        <v>97076</v>
      </c>
      <c r="G457" s="0" t="s">
        <v>4642</v>
      </c>
      <c r="H457" s="0" t="s">
        <v>4643</v>
      </c>
      <c r="I457" s="0" t="s">
        <v>4644</v>
      </c>
      <c r="J457" s="0" t="s">
        <v>4645</v>
      </c>
      <c r="K457" s="0" t="s">
        <v>4646</v>
      </c>
      <c r="L457" s="0" t="n">
        <v>591701</v>
      </c>
      <c r="M457" s="0" t="s">
        <v>4647</v>
      </c>
      <c r="N457" s="0" t="n">
        <v>486940</v>
      </c>
      <c r="O457" s="0" t="n">
        <v>1722</v>
      </c>
      <c r="P457" s="0" t="s">
        <v>409</v>
      </c>
      <c r="Q457" s="0" t="s">
        <v>4648</v>
      </c>
      <c r="R457" s="0" t="s">
        <v>4649</v>
      </c>
      <c r="S457" s="0" t="s">
        <v>708</v>
      </c>
      <c r="T457" s="0" t="s">
        <v>4650</v>
      </c>
      <c r="U457" s="0" t="n">
        <v>0</v>
      </c>
      <c r="V457" s="0" t="n">
        <v>20.9615309283706</v>
      </c>
      <c r="W457" s="0" t="n">
        <v>20240331</v>
      </c>
      <c r="X457" s="0" t="n">
        <v>0.943362209622024</v>
      </c>
      <c r="Y457" s="0" t="s">
        <v>4651</v>
      </c>
      <c r="Z457" s="0" t="s">
        <v>60</v>
      </c>
    </row>
    <row r="458" customFormat="false" ht="15" hidden="false" customHeight="false" outlineLevel="0" collapsed="false">
      <c r="A458" s="0" t="n">
        <v>458</v>
      </c>
      <c r="B458" s="0" t="n">
        <v>3001015</v>
      </c>
      <c r="C458" s="0" t="n">
        <v>19690</v>
      </c>
      <c r="D458" s="0" t="n">
        <v>2249394</v>
      </c>
      <c r="E458" s="0" t="s">
        <v>259</v>
      </c>
      <c r="F458" s="0" t="n">
        <v>351913</v>
      </c>
      <c r="G458" s="0" t="s">
        <v>4652</v>
      </c>
      <c r="H458" s="0" t="s">
        <v>4653</v>
      </c>
      <c r="I458" s="0" t="s">
        <v>4654</v>
      </c>
      <c r="J458" s="0" t="s">
        <v>4655</v>
      </c>
      <c r="K458" s="0" t="s">
        <v>4656</v>
      </c>
      <c r="L458" s="0" t="n">
        <v>2656781</v>
      </c>
      <c r="M458" s="0" t="s">
        <v>4657</v>
      </c>
      <c r="N458" s="0" t="n">
        <v>2071416</v>
      </c>
      <c r="O458" s="0" t="n">
        <v>27951</v>
      </c>
      <c r="P458" s="0" t="s">
        <v>420</v>
      </c>
      <c r="Q458" s="0" t="s">
        <v>4658</v>
      </c>
      <c r="R458" s="0" t="s">
        <v>4659</v>
      </c>
      <c r="S458" s="0" t="s">
        <v>4660</v>
      </c>
      <c r="T458" s="0" t="s">
        <v>4661</v>
      </c>
      <c r="U458" s="0" t="n">
        <v>0</v>
      </c>
      <c r="V458" s="0" t="n">
        <v>14.2226449666769</v>
      </c>
      <c r="W458" s="0" t="n">
        <v>20240331</v>
      </c>
      <c r="X458" s="0" t="n">
        <v>1.85795924985482</v>
      </c>
      <c r="Y458" s="0" t="s">
        <v>4662</v>
      </c>
      <c r="Z458" s="0" t="s">
        <v>60</v>
      </c>
    </row>
    <row r="459" customFormat="false" ht="15" hidden="false" customHeight="false" outlineLevel="0" collapsed="false">
      <c r="A459" s="0" t="n">
        <v>459</v>
      </c>
      <c r="B459" s="0" t="n">
        <v>677132</v>
      </c>
      <c r="C459" s="0" t="n">
        <v>19836</v>
      </c>
      <c r="D459" s="0" t="n">
        <v>501943</v>
      </c>
      <c r="E459" s="0" t="s">
        <v>61</v>
      </c>
      <c r="F459" s="0" t="n">
        <v>121076</v>
      </c>
      <c r="G459" s="0" t="s">
        <v>4663</v>
      </c>
      <c r="H459" s="0" t="s">
        <v>4664</v>
      </c>
      <c r="I459" s="0" t="s">
        <v>4665</v>
      </c>
      <c r="J459" s="0" t="s">
        <v>4666</v>
      </c>
      <c r="K459" s="0" t="s">
        <v>4667</v>
      </c>
      <c r="L459" s="0" t="n">
        <v>563910</v>
      </c>
      <c r="M459" s="0" t="s">
        <v>4668</v>
      </c>
      <c r="N459" s="0" t="n">
        <v>501814</v>
      </c>
      <c r="O459" s="0" t="n">
        <v>4708</v>
      </c>
      <c r="P459" s="0" t="s">
        <v>290</v>
      </c>
      <c r="Q459" s="0" t="s">
        <v>4669</v>
      </c>
      <c r="R459" s="0" t="s">
        <v>4670</v>
      </c>
      <c r="S459" s="0" t="s">
        <v>1329</v>
      </c>
      <c r="T459" s="0" t="s">
        <v>4671</v>
      </c>
      <c r="U459" s="0" t="n">
        <v>134</v>
      </c>
      <c r="V459" s="0" t="n">
        <v>25.4067359742023</v>
      </c>
      <c r="W459" s="0" t="n">
        <v>20240331</v>
      </c>
      <c r="X459" s="0" t="n">
        <v>0.619382173762133</v>
      </c>
      <c r="Y459" s="0" t="s">
        <v>4672</v>
      </c>
      <c r="Z459" s="0" t="s">
        <v>60</v>
      </c>
    </row>
    <row r="460" customFormat="false" ht="15" hidden="false" customHeight="false" outlineLevel="0" collapsed="false">
      <c r="A460" s="0" t="n">
        <v>460</v>
      </c>
      <c r="B460" s="0" t="n">
        <v>1433532</v>
      </c>
      <c r="C460" s="0" t="n">
        <v>24540</v>
      </c>
      <c r="D460" s="0" t="n">
        <v>1156113</v>
      </c>
      <c r="E460" s="0" t="s">
        <v>172</v>
      </c>
      <c r="F460" s="0" t="n">
        <v>252599</v>
      </c>
      <c r="G460" s="0" t="s">
        <v>4673</v>
      </c>
      <c r="H460" s="0" t="s">
        <v>4674</v>
      </c>
      <c r="I460" s="0" t="s">
        <v>4675</v>
      </c>
      <c r="J460" s="0" t="s">
        <v>4676</v>
      </c>
      <c r="K460" s="0" t="s">
        <v>4677</v>
      </c>
      <c r="L460" s="0" t="n">
        <v>1220007</v>
      </c>
      <c r="M460" s="0" t="s">
        <v>4678</v>
      </c>
      <c r="N460" s="0" t="n">
        <v>1181027</v>
      </c>
      <c r="O460" s="0" t="n">
        <v>30157</v>
      </c>
      <c r="P460" s="0" t="s">
        <v>443</v>
      </c>
      <c r="Q460" s="0" t="s">
        <v>4679</v>
      </c>
      <c r="R460" s="0" t="s">
        <v>4680</v>
      </c>
      <c r="S460" s="0" t="s">
        <v>61</v>
      </c>
      <c r="T460" s="0" t="s">
        <v>61</v>
      </c>
      <c r="U460" s="0" t="n">
        <v>0</v>
      </c>
      <c r="V460" s="0" t="n">
        <v>18.9186492671387</v>
      </c>
      <c r="W460" s="0" t="n">
        <v>20240331</v>
      </c>
      <c r="X460" s="0" t="n">
        <v>1.89104806828232</v>
      </c>
      <c r="Y460" s="0" t="s">
        <v>4681</v>
      </c>
      <c r="Z460" s="0" t="s">
        <v>158</v>
      </c>
    </row>
    <row r="461" customFormat="false" ht="15" hidden="false" customHeight="false" outlineLevel="0" collapsed="false">
      <c r="A461" s="0" t="n">
        <v>461</v>
      </c>
      <c r="B461" s="0" t="n">
        <v>541415</v>
      </c>
      <c r="C461" s="0" t="n">
        <v>27824</v>
      </c>
      <c r="D461" s="0" t="n">
        <v>385991</v>
      </c>
      <c r="E461" s="0" t="s">
        <v>1187</v>
      </c>
      <c r="F461" s="0" t="n">
        <v>64777</v>
      </c>
      <c r="G461" s="0" t="s">
        <v>4682</v>
      </c>
      <c r="H461" s="0" t="s">
        <v>4683</v>
      </c>
      <c r="I461" s="0" t="s">
        <v>4684</v>
      </c>
      <c r="J461" s="0" t="s">
        <v>4685</v>
      </c>
      <c r="K461" s="0" t="s">
        <v>4686</v>
      </c>
      <c r="L461" s="0" t="n">
        <v>453279</v>
      </c>
      <c r="M461" s="0" t="s">
        <v>4687</v>
      </c>
      <c r="N461" s="0" t="n">
        <v>390846</v>
      </c>
      <c r="O461" s="0" t="n">
        <v>1045</v>
      </c>
      <c r="P461" s="0" t="s">
        <v>453</v>
      </c>
      <c r="Q461" s="0" t="s">
        <v>4688</v>
      </c>
      <c r="R461" s="0" t="s">
        <v>4689</v>
      </c>
      <c r="S461" s="0" t="s">
        <v>4690</v>
      </c>
      <c r="T461" s="0" t="s">
        <v>4691</v>
      </c>
      <c r="U461" s="0" t="n">
        <v>0</v>
      </c>
      <c r="V461" s="0" t="n">
        <v>21.0236173119163</v>
      </c>
      <c r="W461" s="0" t="n">
        <v>20240331</v>
      </c>
      <c r="X461" s="0" t="n">
        <v>-0.393235899037422</v>
      </c>
      <c r="Y461" s="0" t="s">
        <v>4692</v>
      </c>
      <c r="Z461" s="0" t="s">
        <v>158</v>
      </c>
    </row>
    <row r="462" customFormat="false" ht="15" hidden="false" customHeight="false" outlineLevel="0" collapsed="false">
      <c r="A462" s="0" t="n">
        <v>462</v>
      </c>
      <c r="B462" s="0" t="n">
        <v>297031</v>
      </c>
      <c r="C462" s="0" t="n">
        <v>28155</v>
      </c>
      <c r="D462" s="0" t="n">
        <v>249108</v>
      </c>
      <c r="E462" s="0" t="s">
        <v>1500</v>
      </c>
      <c r="F462" s="0" t="n">
        <v>27388</v>
      </c>
      <c r="G462" s="0" t="s">
        <v>4693</v>
      </c>
      <c r="H462" s="0" t="s">
        <v>4694</v>
      </c>
      <c r="I462" s="0" t="s">
        <v>4695</v>
      </c>
      <c r="J462" s="0" t="s">
        <v>4696</v>
      </c>
      <c r="K462" s="0" t="s">
        <v>4697</v>
      </c>
      <c r="L462" s="0" t="n">
        <v>166779</v>
      </c>
      <c r="M462" s="0" t="s">
        <v>4698</v>
      </c>
      <c r="N462" s="0" t="n">
        <v>149746</v>
      </c>
      <c r="O462" s="0" t="n">
        <v>130</v>
      </c>
      <c r="P462" s="0" t="s">
        <v>464</v>
      </c>
      <c r="Q462" s="0" t="s">
        <v>4699</v>
      </c>
      <c r="R462" s="0" t="s">
        <v>4700</v>
      </c>
      <c r="S462" s="0" t="s">
        <v>256</v>
      </c>
      <c r="T462" s="0" t="s">
        <v>4701</v>
      </c>
      <c r="U462" s="0" t="n">
        <v>0</v>
      </c>
      <c r="V462" s="0" t="n">
        <v>17.7250205933339</v>
      </c>
      <c r="W462" s="0" t="n">
        <v>20240331</v>
      </c>
      <c r="X462" s="0" t="n">
        <v>-0.0455333766346817</v>
      </c>
      <c r="Y462" s="0" t="s">
        <v>3144</v>
      </c>
      <c r="Z462" s="0" t="s">
        <v>158</v>
      </c>
    </row>
    <row r="463" customFormat="false" ht="15" hidden="false" customHeight="false" outlineLevel="0" collapsed="false">
      <c r="A463" s="0" t="n">
        <v>463</v>
      </c>
      <c r="B463" s="0" t="n">
        <v>103458</v>
      </c>
      <c r="C463" s="0" t="n">
        <v>28288</v>
      </c>
      <c r="D463" s="0" t="n">
        <v>74972</v>
      </c>
      <c r="E463" s="0" t="s">
        <v>61</v>
      </c>
      <c r="F463" s="0" t="n">
        <v>5859</v>
      </c>
      <c r="G463" s="0" t="s">
        <v>4702</v>
      </c>
      <c r="H463" s="0" t="s">
        <v>4703</v>
      </c>
      <c r="I463" s="0" t="s">
        <v>4704</v>
      </c>
      <c r="J463" s="0" t="s">
        <v>4705</v>
      </c>
      <c r="K463" s="0" t="s">
        <v>4706</v>
      </c>
      <c r="L463" s="0" t="n">
        <v>83770</v>
      </c>
      <c r="M463" s="0" t="s">
        <v>4707</v>
      </c>
      <c r="N463" s="0" t="n">
        <v>75913</v>
      </c>
      <c r="O463" s="0" t="n">
        <v>254</v>
      </c>
      <c r="P463" s="0" t="s">
        <v>475</v>
      </c>
      <c r="Q463" s="0" t="s">
        <v>4708</v>
      </c>
      <c r="R463" s="0" t="s">
        <v>4709</v>
      </c>
      <c r="S463" s="0" t="s">
        <v>61</v>
      </c>
      <c r="T463" s="0" t="s">
        <v>4710</v>
      </c>
      <c r="U463" s="0" t="n">
        <v>0</v>
      </c>
      <c r="V463" s="0" t="n">
        <v>13.7396501276225</v>
      </c>
      <c r="W463" s="0" t="n">
        <v>20240331</v>
      </c>
      <c r="X463" s="0" t="n">
        <v>0.0727721895332526</v>
      </c>
      <c r="Y463" s="0" t="s">
        <v>1030</v>
      </c>
      <c r="Z463" s="0" t="s">
        <v>60</v>
      </c>
    </row>
    <row r="464" customFormat="false" ht="15" hidden="false" customHeight="false" outlineLevel="0" collapsed="false">
      <c r="A464" s="0" t="n">
        <v>464</v>
      </c>
      <c r="B464" s="0" t="n">
        <v>95113</v>
      </c>
      <c r="C464" s="0" t="n">
        <v>28369</v>
      </c>
      <c r="D464" s="0" t="n">
        <v>75369</v>
      </c>
      <c r="E464" s="0" t="s">
        <v>208</v>
      </c>
      <c r="F464" s="0" t="n">
        <v>9266</v>
      </c>
      <c r="G464" s="0" t="s">
        <v>4711</v>
      </c>
      <c r="H464" s="0" t="s">
        <v>4712</v>
      </c>
      <c r="I464" s="0" t="s">
        <v>4713</v>
      </c>
      <c r="J464" s="0" t="s">
        <v>4714</v>
      </c>
      <c r="K464" s="0" t="s">
        <v>4715</v>
      </c>
      <c r="L464" s="0" t="n">
        <v>80819</v>
      </c>
      <c r="M464" s="0" t="s">
        <v>4716</v>
      </c>
      <c r="N464" s="0" t="n">
        <v>67466</v>
      </c>
      <c r="O464" s="0" t="n">
        <v>174</v>
      </c>
      <c r="P464" s="0" t="s">
        <v>486</v>
      </c>
      <c r="Q464" s="0" t="s">
        <v>4717</v>
      </c>
      <c r="R464" s="0" t="s">
        <v>4718</v>
      </c>
      <c r="S464" s="0" t="s">
        <v>352</v>
      </c>
      <c r="T464" s="0" t="s">
        <v>218</v>
      </c>
      <c r="U464" s="0" t="n">
        <v>0</v>
      </c>
      <c r="V464" s="0" t="n">
        <v>13.8289808112487</v>
      </c>
      <c r="W464" s="0" t="n">
        <v>20240331</v>
      </c>
      <c r="X464" s="0" t="n">
        <v>-0.355442716597905</v>
      </c>
      <c r="Y464" s="0" t="s">
        <v>4719</v>
      </c>
      <c r="Z464" s="0" t="s">
        <v>60</v>
      </c>
    </row>
    <row r="465" customFormat="false" ht="15" hidden="false" customHeight="false" outlineLevel="0" collapsed="false">
      <c r="A465" s="0" t="n">
        <v>465</v>
      </c>
      <c r="B465" s="0" t="n">
        <v>280957</v>
      </c>
      <c r="C465" s="0" t="n">
        <v>28837</v>
      </c>
      <c r="D465" s="0" t="n">
        <v>251772</v>
      </c>
      <c r="E465" s="0" t="s">
        <v>436</v>
      </c>
      <c r="F465" s="0" t="n">
        <v>26570</v>
      </c>
      <c r="G465" s="0" t="s">
        <v>4720</v>
      </c>
      <c r="H465" s="0" t="s">
        <v>4721</v>
      </c>
      <c r="I465" s="0" t="s">
        <v>4722</v>
      </c>
      <c r="J465" s="0" t="s">
        <v>1336</v>
      </c>
      <c r="K465" s="0" t="s">
        <v>4723</v>
      </c>
      <c r="L465" s="0" t="n">
        <v>197084</v>
      </c>
      <c r="M465" s="0" t="s">
        <v>4724</v>
      </c>
      <c r="N465" s="0" t="n">
        <v>188594</v>
      </c>
      <c r="O465" s="0" t="n">
        <v>89</v>
      </c>
      <c r="P465" s="0" t="s">
        <v>497</v>
      </c>
      <c r="Q465" s="0" t="s">
        <v>4725</v>
      </c>
      <c r="R465" s="0" t="s">
        <v>4726</v>
      </c>
      <c r="S465" s="0" t="s">
        <v>61</v>
      </c>
      <c r="T465" s="0" t="s">
        <v>4727</v>
      </c>
      <c r="U465" s="0" t="n">
        <v>38</v>
      </c>
      <c r="V465" s="0" t="n">
        <v>16.8987480781902</v>
      </c>
      <c r="W465" s="0" t="n">
        <v>20240331</v>
      </c>
      <c r="X465" s="0" t="n">
        <v>0.73901109576411</v>
      </c>
      <c r="Y465" s="0" t="s">
        <v>4728</v>
      </c>
      <c r="Z465" s="0" t="s">
        <v>98</v>
      </c>
    </row>
    <row r="466" customFormat="false" ht="15" hidden="false" customHeight="false" outlineLevel="0" collapsed="false">
      <c r="A466" s="0" t="n">
        <v>466</v>
      </c>
      <c r="B466" s="0" t="n">
        <v>178210</v>
      </c>
      <c r="C466" s="0" t="n">
        <v>29636</v>
      </c>
      <c r="D466" s="0" t="n">
        <v>137138</v>
      </c>
      <c r="E466" s="0" t="s">
        <v>390</v>
      </c>
      <c r="F466" s="0" t="n">
        <v>25969</v>
      </c>
      <c r="G466" s="0" t="s">
        <v>4729</v>
      </c>
      <c r="H466" s="0" t="s">
        <v>4730</v>
      </c>
      <c r="I466" s="0" t="s">
        <v>4731</v>
      </c>
      <c r="J466" s="0" t="s">
        <v>4732</v>
      </c>
      <c r="K466" s="0" t="s">
        <v>4733</v>
      </c>
      <c r="L466" s="0" t="n">
        <v>135540</v>
      </c>
      <c r="M466" s="0" t="s">
        <v>4734</v>
      </c>
      <c r="N466" s="0" t="n">
        <v>132513</v>
      </c>
      <c r="O466" s="0" t="n">
        <v>899</v>
      </c>
      <c r="P466" s="0" t="s">
        <v>509</v>
      </c>
      <c r="Q466" s="0" t="s">
        <v>4735</v>
      </c>
      <c r="R466" s="0" t="s">
        <v>4736</v>
      </c>
      <c r="S466" s="0" t="s">
        <v>61</v>
      </c>
      <c r="T466" s="0" t="s">
        <v>4737</v>
      </c>
      <c r="U466" s="0" t="n">
        <v>0</v>
      </c>
      <c r="V466" s="0" t="n">
        <v>27.410238197661</v>
      </c>
      <c r="W466" s="0" t="n">
        <v>20240331</v>
      </c>
      <c r="X466" s="0" t="n">
        <v>0.311180386680808</v>
      </c>
      <c r="Y466" s="0" t="s">
        <v>4738</v>
      </c>
      <c r="Z466" s="0" t="s">
        <v>60</v>
      </c>
    </row>
    <row r="467" customFormat="false" ht="15" hidden="false" customHeight="false" outlineLevel="0" collapsed="false">
      <c r="A467" s="0" t="n">
        <v>467</v>
      </c>
      <c r="B467" s="0" t="n">
        <v>184760</v>
      </c>
      <c r="C467" s="0" t="n">
        <v>29743</v>
      </c>
      <c r="D467" s="0" t="n">
        <v>160737</v>
      </c>
      <c r="E467" s="0" t="s">
        <v>61</v>
      </c>
      <c r="F467" s="0" t="n">
        <v>16808</v>
      </c>
      <c r="G467" s="0" t="s">
        <v>4739</v>
      </c>
      <c r="H467" s="0" t="s">
        <v>4740</v>
      </c>
      <c r="I467" s="0" t="s">
        <v>4741</v>
      </c>
      <c r="J467" s="0" t="s">
        <v>4742</v>
      </c>
      <c r="K467" s="0" t="s">
        <v>4743</v>
      </c>
      <c r="L467" s="0" t="n">
        <v>133015</v>
      </c>
      <c r="M467" s="0" t="s">
        <v>4744</v>
      </c>
      <c r="N467" s="0" t="n">
        <v>85228</v>
      </c>
      <c r="O467" s="0" t="n">
        <v>140</v>
      </c>
      <c r="P467" s="0" t="s">
        <v>520</v>
      </c>
      <c r="Q467" s="0" t="s">
        <v>4745</v>
      </c>
      <c r="R467" s="0" t="s">
        <v>4746</v>
      </c>
      <c r="S467" s="0" t="s">
        <v>61</v>
      </c>
      <c r="T467" s="0" t="s">
        <v>966</v>
      </c>
      <c r="U467" s="0" t="n">
        <v>0</v>
      </c>
      <c r="V467" s="0" t="n">
        <v>18.3034236752105</v>
      </c>
      <c r="W467" s="0" t="n">
        <v>20240331</v>
      </c>
      <c r="X467" s="0" t="n">
        <v>0.300357479035316</v>
      </c>
      <c r="Y467" s="0" t="s">
        <v>4747</v>
      </c>
      <c r="Z467" s="0" t="s">
        <v>60</v>
      </c>
    </row>
    <row r="468" customFormat="false" ht="15" hidden="false" customHeight="false" outlineLevel="0" collapsed="false">
      <c r="A468" s="0" t="n">
        <v>468</v>
      </c>
      <c r="B468" s="0" t="n">
        <v>576540</v>
      </c>
      <c r="C468" s="0" t="n">
        <v>29744</v>
      </c>
      <c r="D468" s="0" t="n">
        <v>428893</v>
      </c>
      <c r="E468" s="0" t="s">
        <v>794</v>
      </c>
      <c r="F468" s="0" t="n">
        <v>44302</v>
      </c>
      <c r="G468" s="0" t="s">
        <v>4748</v>
      </c>
      <c r="H468" s="0" t="s">
        <v>4749</v>
      </c>
      <c r="I468" s="0" t="s">
        <v>4750</v>
      </c>
      <c r="J468" s="0" t="s">
        <v>4751</v>
      </c>
      <c r="K468" s="0" t="s">
        <v>4752</v>
      </c>
      <c r="L468" s="0" t="n">
        <v>431608</v>
      </c>
      <c r="M468" s="0" t="s">
        <v>4753</v>
      </c>
      <c r="N468" s="0" t="n">
        <v>396224</v>
      </c>
      <c r="O468" s="0" t="n">
        <v>141</v>
      </c>
      <c r="P468" s="0" t="s">
        <v>531</v>
      </c>
      <c r="Q468" s="0" t="s">
        <v>4754</v>
      </c>
      <c r="R468" s="0" t="s">
        <v>4755</v>
      </c>
      <c r="S468" s="0" t="s">
        <v>61</v>
      </c>
      <c r="T468" s="0" t="s">
        <v>61</v>
      </c>
      <c r="U468" s="0" t="n">
        <v>0</v>
      </c>
      <c r="V468" s="0" t="n">
        <v>14.8696742059058</v>
      </c>
      <c r="W468" s="0" t="n">
        <v>20240331</v>
      </c>
      <c r="X468" s="0" t="n">
        <v>-0.803595619950847</v>
      </c>
      <c r="Y468" s="0" t="s">
        <v>4756</v>
      </c>
      <c r="Z468" s="0" t="s">
        <v>158</v>
      </c>
    </row>
    <row r="469" customFormat="false" ht="15" hidden="false" customHeight="false" outlineLevel="0" collapsed="false">
      <c r="A469" s="0" t="n">
        <v>469</v>
      </c>
      <c r="B469" s="0" t="n">
        <v>558824</v>
      </c>
      <c r="C469" s="0" t="n">
        <v>30350</v>
      </c>
      <c r="D469" s="0" t="n">
        <v>445096</v>
      </c>
      <c r="E469" s="0" t="s">
        <v>271</v>
      </c>
      <c r="F469" s="0" t="n">
        <v>56764</v>
      </c>
      <c r="G469" s="0" t="s">
        <v>4757</v>
      </c>
      <c r="H469" s="0" t="s">
        <v>4758</v>
      </c>
      <c r="I469" s="0" t="s">
        <v>4759</v>
      </c>
      <c r="J469" s="0" t="s">
        <v>4760</v>
      </c>
      <c r="K469" s="0" t="s">
        <v>4761</v>
      </c>
      <c r="L469" s="0" t="n">
        <v>404058</v>
      </c>
      <c r="M469" s="0" t="s">
        <v>4762</v>
      </c>
      <c r="N469" s="0" t="n">
        <v>385261</v>
      </c>
      <c r="O469" s="0" t="n">
        <v>1795</v>
      </c>
      <c r="P469" s="0" t="s">
        <v>543</v>
      </c>
      <c r="Q469" s="0" t="s">
        <v>4763</v>
      </c>
      <c r="R469" s="0" t="s">
        <v>4764</v>
      </c>
      <c r="S469" s="0" t="s">
        <v>230</v>
      </c>
      <c r="T469" s="0" t="s">
        <v>4511</v>
      </c>
      <c r="U469" s="0" t="n">
        <v>0</v>
      </c>
      <c r="V469" s="0" t="n">
        <v>20.9443498153697</v>
      </c>
      <c r="W469" s="0" t="n">
        <v>20240331</v>
      </c>
      <c r="X469" s="0" t="n">
        <v>0.456585242898488</v>
      </c>
      <c r="Y469" s="0" t="s">
        <v>4765</v>
      </c>
      <c r="Z469" s="0" t="s">
        <v>98</v>
      </c>
    </row>
    <row r="470" customFormat="false" ht="15" hidden="false" customHeight="false" outlineLevel="0" collapsed="false">
      <c r="A470" s="0" t="n">
        <v>470</v>
      </c>
      <c r="B470" s="0" t="n">
        <v>102792</v>
      </c>
      <c r="C470" s="0" t="n">
        <v>30878</v>
      </c>
      <c r="D470" s="0" t="n">
        <v>74987</v>
      </c>
      <c r="E470" s="0" t="s">
        <v>3672</v>
      </c>
      <c r="F470" s="0" t="n">
        <v>12317</v>
      </c>
      <c r="G470" s="0" t="s">
        <v>4766</v>
      </c>
      <c r="H470" s="0" t="s">
        <v>4767</v>
      </c>
      <c r="I470" s="0" t="s">
        <v>4768</v>
      </c>
      <c r="J470" s="0" t="s">
        <v>61</v>
      </c>
      <c r="K470" s="0" t="s">
        <v>1576</v>
      </c>
      <c r="L470" s="0" t="n">
        <v>87874</v>
      </c>
      <c r="M470" s="0" t="s">
        <v>4769</v>
      </c>
      <c r="N470" s="0" t="n">
        <v>87769</v>
      </c>
      <c r="O470" s="0" t="n">
        <v>836</v>
      </c>
      <c r="P470" s="0" t="s">
        <v>553</v>
      </c>
      <c r="Q470" s="0" t="s">
        <v>4770</v>
      </c>
      <c r="R470" s="0" t="s">
        <v>4771</v>
      </c>
      <c r="S470" s="0" t="s">
        <v>61</v>
      </c>
      <c r="T470" s="0" t="s">
        <v>3045</v>
      </c>
      <c r="U470" s="0" t="n">
        <v>0</v>
      </c>
      <c r="V470" s="0" t="n">
        <v>0</v>
      </c>
      <c r="W470" s="0" t="n">
        <v>20240331</v>
      </c>
      <c r="X470" s="0" t="n">
        <v>0.0615399408639631</v>
      </c>
      <c r="Y470" s="0" t="s">
        <v>4772</v>
      </c>
      <c r="Z470" s="0" t="s">
        <v>60</v>
      </c>
    </row>
    <row r="471" customFormat="false" ht="15" hidden="false" customHeight="false" outlineLevel="0" collapsed="false">
      <c r="A471" s="0" t="n">
        <v>471</v>
      </c>
      <c r="B471" s="0" t="n">
        <v>893621</v>
      </c>
      <c r="C471" s="0" t="n">
        <v>33418</v>
      </c>
      <c r="D471" s="0" t="n">
        <v>783873</v>
      </c>
      <c r="E471" s="0" t="s">
        <v>2218</v>
      </c>
      <c r="F471" s="0" t="n">
        <v>68407</v>
      </c>
      <c r="G471" s="0" t="s">
        <v>4773</v>
      </c>
      <c r="H471" s="0" t="s">
        <v>4774</v>
      </c>
      <c r="I471" s="0" t="s">
        <v>4775</v>
      </c>
      <c r="J471" s="0" t="s">
        <v>4776</v>
      </c>
      <c r="K471" s="0" t="s">
        <v>4777</v>
      </c>
      <c r="L471" s="0" t="n">
        <v>457449</v>
      </c>
      <c r="M471" s="0" t="s">
        <v>4778</v>
      </c>
      <c r="N471" s="0" t="n">
        <v>381804</v>
      </c>
      <c r="O471" s="0" t="n">
        <v>1692</v>
      </c>
      <c r="P471" s="0" t="s">
        <v>564</v>
      </c>
      <c r="Q471" s="0" t="s">
        <v>4779</v>
      </c>
      <c r="R471" s="0" t="s">
        <v>4780</v>
      </c>
      <c r="S471" s="0" t="s">
        <v>71</v>
      </c>
      <c r="T471" s="0" t="s">
        <v>3113</v>
      </c>
      <c r="U471" s="0" t="n">
        <v>0</v>
      </c>
      <c r="V471" s="0" t="n">
        <v>14.9143227744402</v>
      </c>
      <c r="W471" s="0" t="n">
        <v>20240331</v>
      </c>
      <c r="X471" s="0" t="n">
        <v>0.317210198101888</v>
      </c>
      <c r="Y471" s="0" t="s">
        <v>4781</v>
      </c>
      <c r="Z471" s="0" t="s">
        <v>98</v>
      </c>
    </row>
    <row r="472" customFormat="false" ht="15" hidden="false" customHeight="false" outlineLevel="0" collapsed="false">
      <c r="A472" s="0" t="n">
        <v>472</v>
      </c>
      <c r="B472" s="0" t="n">
        <v>79848</v>
      </c>
      <c r="C472" s="0" t="n">
        <v>35206</v>
      </c>
      <c r="D472" s="0" t="n">
        <v>500</v>
      </c>
      <c r="E472" s="0" t="s">
        <v>61</v>
      </c>
      <c r="F472" s="0" t="n">
        <v>77369</v>
      </c>
      <c r="G472" s="0" t="s">
        <v>4782</v>
      </c>
      <c r="H472" s="0" t="s">
        <v>4783</v>
      </c>
      <c r="I472" s="0" t="s">
        <v>61</v>
      </c>
      <c r="J472" s="0" t="s">
        <v>61</v>
      </c>
      <c r="K472" s="0" t="s">
        <v>61</v>
      </c>
      <c r="L472" s="0" t="n">
        <v>0</v>
      </c>
      <c r="M472" s="0" t="s">
        <v>61</v>
      </c>
      <c r="N472" s="0" t="n">
        <v>0</v>
      </c>
      <c r="O472" s="0" t="n">
        <v>0</v>
      </c>
      <c r="P472" s="0" t="s">
        <v>1112</v>
      </c>
      <c r="Q472" s="0" t="s">
        <v>61</v>
      </c>
      <c r="R472" s="0" t="s">
        <v>4784</v>
      </c>
      <c r="S472" s="0" t="s">
        <v>61</v>
      </c>
      <c r="T472" s="0" t="s">
        <v>61</v>
      </c>
      <c r="U472" s="0" t="n">
        <v>0</v>
      </c>
      <c r="V472" s="0" t="n">
        <v>0</v>
      </c>
      <c r="W472" s="0" t="n">
        <v>20240331</v>
      </c>
      <c r="X472" s="0" t="n">
        <v>15.0318019410587</v>
      </c>
      <c r="Y472" s="0" t="s">
        <v>4785</v>
      </c>
      <c r="Z472" s="0" t="s">
        <v>158</v>
      </c>
    </row>
    <row r="473" customFormat="false" ht="15" hidden="false" customHeight="false" outlineLevel="0" collapsed="false">
      <c r="A473" s="0" t="n">
        <v>473</v>
      </c>
      <c r="B473" s="0" t="n">
        <v>5784624</v>
      </c>
      <c r="C473" s="0" t="n">
        <v>4255</v>
      </c>
      <c r="D473" s="0" t="n">
        <v>4586176</v>
      </c>
      <c r="E473" s="0" t="s">
        <v>159</v>
      </c>
      <c r="F473" s="0" t="n">
        <v>514258</v>
      </c>
      <c r="G473" s="0" t="s">
        <v>4786</v>
      </c>
      <c r="H473" s="0" t="s">
        <v>4787</v>
      </c>
      <c r="I473" s="0" t="s">
        <v>4788</v>
      </c>
      <c r="J473" s="0" t="s">
        <v>4789</v>
      </c>
      <c r="K473" s="0" t="s">
        <v>4790</v>
      </c>
      <c r="L473" s="0" t="n">
        <v>4130564</v>
      </c>
      <c r="M473" s="0" t="s">
        <v>4791</v>
      </c>
      <c r="N473" s="0" t="n">
        <v>3749893</v>
      </c>
      <c r="O473" s="0" t="n">
        <v>5658</v>
      </c>
      <c r="P473" s="0" t="s">
        <v>575</v>
      </c>
      <c r="Q473" s="0" t="s">
        <v>4792</v>
      </c>
      <c r="R473" s="0" t="s">
        <v>4793</v>
      </c>
      <c r="S473" s="0" t="s">
        <v>4794</v>
      </c>
      <c r="T473" s="0" t="s">
        <v>4795</v>
      </c>
      <c r="U473" s="0" t="n">
        <v>0</v>
      </c>
      <c r="V473" s="0" t="n">
        <v>13.8464365654592</v>
      </c>
      <c r="W473" s="0" t="n">
        <v>20240331</v>
      </c>
      <c r="X473" s="0" t="n">
        <v>0.965155557846469</v>
      </c>
      <c r="Y473" s="0" t="s">
        <v>4796</v>
      </c>
      <c r="Z473" s="0" t="s">
        <v>60</v>
      </c>
    </row>
    <row r="474" customFormat="false" ht="15" hidden="false" customHeight="false" outlineLevel="0" collapsed="false">
      <c r="A474" s="0" t="n">
        <v>474</v>
      </c>
      <c r="B474" s="0" t="n">
        <v>2942447</v>
      </c>
      <c r="C474" s="0" t="n">
        <v>4256</v>
      </c>
      <c r="D474" s="0" t="n">
        <v>2549402</v>
      </c>
      <c r="E474" s="0" t="s">
        <v>742</v>
      </c>
      <c r="F474" s="0" t="n">
        <v>214088</v>
      </c>
      <c r="G474" s="0" t="s">
        <v>4797</v>
      </c>
      <c r="H474" s="0" t="s">
        <v>4798</v>
      </c>
      <c r="I474" s="0" t="s">
        <v>4799</v>
      </c>
      <c r="J474" s="0" t="s">
        <v>4800</v>
      </c>
      <c r="K474" s="0" t="s">
        <v>4801</v>
      </c>
      <c r="L474" s="0" t="n">
        <v>2173746</v>
      </c>
      <c r="M474" s="0" t="s">
        <v>4802</v>
      </c>
      <c r="N474" s="0" t="n">
        <v>1739026</v>
      </c>
      <c r="O474" s="0" t="n">
        <v>2710</v>
      </c>
      <c r="P474" s="0" t="s">
        <v>587</v>
      </c>
      <c r="Q474" s="0" t="s">
        <v>4803</v>
      </c>
      <c r="R474" s="0" t="s">
        <v>4804</v>
      </c>
      <c r="S474" s="0" t="s">
        <v>739</v>
      </c>
      <c r="T474" s="0" t="s">
        <v>4805</v>
      </c>
      <c r="U474" s="0" t="n">
        <v>49</v>
      </c>
      <c r="V474" s="0" t="n">
        <v>13.4945885990368</v>
      </c>
      <c r="W474" s="0" t="n">
        <v>20240331</v>
      </c>
      <c r="X474" s="0" t="n">
        <v>0.85553165791717</v>
      </c>
      <c r="Y474" s="0" t="s">
        <v>4806</v>
      </c>
      <c r="Z474" s="0" t="s">
        <v>60</v>
      </c>
    </row>
    <row r="475" customFormat="false" ht="15" hidden="false" customHeight="false" outlineLevel="0" collapsed="false">
      <c r="A475" s="0" t="n">
        <v>475</v>
      </c>
      <c r="B475" s="0" t="n">
        <v>697280</v>
      </c>
      <c r="C475" s="0" t="n">
        <v>59086</v>
      </c>
      <c r="D475" s="0" t="n">
        <v>594743</v>
      </c>
      <c r="E475" s="0" t="s">
        <v>1187</v>
      </c>
      <c r="F475" s="0" t="n">
        <v>90844</v>
      </c>
      <c r="G475" s="0" t="s">
        <v>4807</v>
      </c>
      <c r="H475" s="0" t="s">
        <v>4808</v>
      </c>
      <c r="I475" s="0" t="s">
        <v>4809</v>
      </c>
      <c r="J475" s="0" t="s">
        <v>4810</v>
      </c>
      <c r="K475" s="0" t="s">
        <v>61</v>
      </c>
      <c r="L475" s="0" t="n">
        <v>585578</v>
      </c>
      <c r="M475" s="0" t="s">
        <v>4811</v>
      </c>
      <c r="N475" s="0" t="n">
        <v>474718</v>
      </c>
      <c r="O475" s="0" t="n">
        <v>4483</v>
      </c>
      <c r="P475" s="0" t="s">
        <v>599</v>
      </c>
      <c r="Q475" s="0" t="s">
        <v>4812</v>
      </c>
      <c r="R475" s="0" t="s">
        <v>4813</v>
      </c>
      <c r="S475" s="0" t="s">
        <v>4814</v>
      </c>
      <c r="T475" s="0" t="s">
        <v>3162</v>
      </c>
      <c r="U475" s="0" t="n">
        <v>0</v>
      </c>
      <c r="V475" s="0" t="n">
        <v>15.5722724532851</v>
      </c>
      <c r="W475" s="0" t="n">
        <v>20240331</v>
      </c>
      <c r="X475" s="0" t="n">
        <v>1.50861107954586</v>
      </c>
      <c r="Y475" s="0" t="s">
        <v>4815</v>
      </c>
      <c r="Z475" s="0" t="s">
        <v>158</v>
      </c>
    </row>
    <row r="476" customFormat="false" ht="15" hidden="false" customHeight="false" outlineLevel="0" collapsed="false">
      <c r="A476" s="0" t="n">
        <v>476</v>
      </c>
      <c r="B476" s="0" t="n">
        <v>222037</v>
      </c>
      <c r="C476" s="0" t="n">
        <v>59176</v>
      </c>
      <c r="D476" s="0" t="n">
        <v>182535</v>
      </c>
      <c r="E476" s="0" t="s">
        <v>246</v>
      </c>
      <c r="F476" s="0" t="n">
        <v>26809</v>
      </c>
      <c r="G476" s="0" t="s">
        <v>4816</v>
      </c>
      <c r="H476" s="0" t="s">
        <v>4817</v>
      </c>
      <c r="I476" s="0" t="s">
        <v>4818</v>
      </c>
      <c r="J476" s="0" t="s">
        <v>4819</v>
      </c>
      <c r="K476" s="0" t="s">
        <v>1488</v>
      </c>
      <c r="L476" s="0" t="n">
        <v>155520</v>
      </c>
      <c r="M476" s="0" t="s">
        <v>4820</v>
      </c>
      <c r="N476" s="0" t="n">
        <v>132126</v>
      </c>
      <c r="O476" s="0" t="n">
        <v>0</v>
      </c>
      <c r="P476" s="0" t="s">
        <v>610</v>
      </c>
      <c r="Q476" s="0" t="s">
        <v>61</v>
      </c>
      <c r="R476" s="0" t="s">
        <v>4821</v>
      </c>
      <c r="S476" s="0" t="s">
        <v>4540</v>
      </c>
      <c r="T476" s="0" t="s">
        <v>61</v>
      </c>
      <c r="U476" s="0" t="n">
        <v>0</v>
      </c>
      <c r="V476" s="0" t="n">
        <v>18.0162937093356</v>
      </c>
      <c r="W476" s="0" t="n">
        <v>20240331</v>
      </c>
      <c r="X476" s="0" t="n">
        <v>-0.0643345396059509</v>
      </c>
      <c r="Y476" s="0" t="s">
        <v>4822</v>
      </c>
      <c r="Z476" s="0" t="s">
        <v>158</v>
      </c>
    </row>
    <row r="477" customFormat="false" ht="15" hidden="false" customHeight="false" outlineLevel="0" collapsed="false">
      <c r="A477" s="0" t="n">
        <v>477</v>
      </c>
      <c r="B477" s="0" t="n">
        <v>93964</v>
      </c>
      <c r="C477" s="0" t="n">
        <v>59289</v>
      </c>
      <c r="D477" s="0" t="n">
        <v>74106</v>
      </c>
      <c r="E477" s="0" t="s">
        <v>4823</v>
      </c>
      <c r="F477" s="0" t="n">
        <v>18864</v>
      </c>
      <c r="G477" s="0" t="s">
        <v>4824</v>
      </c>
      <c r="H477" s="0" t="s">
        <v>4825</v>
      </c>
      <c r="I477" s="0" t="s">
        <v>4826</v>
      </c>
      <c r="J477" s="0" t="s">
        <v>4827</v>
      </c>
      <c r="K477" s="0" t="s">
        <v>61</v>
      </c>
      <c r="L477" s="0" t="n">
        <v>45541</v>
      </c>
      <c r="M477" s="0" t="s">
        <v>4828</v>
      </c>
      <c r="N477" s="0" t="n">
        <v>18119</v>
      </c>
      <c r="O477" s="0" t="n">
        <v>327</v>
      </c>
      <c r="P477" s="0" t="s">
        <v>2223</v>
      </c>
      <c r="Q477" s="0" t="s">
        <v>4829</v>
      </c>
      <c r="R477" s="0" t="s">
        <v>4830</v>
      </c>
      <c r="S477" s="0" t="s">
        <v>61</v>
      </c>
      <c r="T477" s="0" t="s">
        <v>61</v>
      </c>
      <c r="U477" s="0" t="n">
        <v>0</v>
      </c>
      <c r="V477" s="0" t="n">
        <v>0</v>
      </c>
      <c r="W477" s="0" t="n">
        <v>20240331</v>
      </c>
      <c r="X477" s="0" t="n">
        <v>-1.65604118871675</v>
      </c>
      <c r="Y477" s="0" t="s">
        <v>4831</v>
      </c>
      <c r="Z477" s="0" t="s">
        <v>158</v>
      </c>
    </row>
    <row r="478" customFormat="false" ht="15" hidden="false" customHeight="false" outlineLevel="0" collapsed="false">
      <c r="A478" s="0" t="n">
        <v>478</v>
      </c>
      <c r="B478" s="0" t="n">
        <v>169806</v>
      </c>
      <c r="C478" s="0" t="n">
        <v>59298</v>
      </c>
      <c r="D478" s="0" t="n">
        <v>142779</v>
      </c>
      <c r="E478" s="0" t="s">
        <v>1687</v>
      </c>
      <c r="F478" s="0" t="n">
        <v>26235</v>
      </c>
      <c r="G478" s="0" t="s">
        <v>4832</v>
      </c>
      <c r="H478" s="0" t="s">
        <v>4833</v>
      </c>
      <c r="I478" s="0" t="s">
        <v>4834</v>
      </c>
      <c r="J478" s="0" t="s">
        <v>4835</v>
      </c>
      <c r="K478" s="0" t="s">
        <v>61</v>
      </c>
      <c r="L478" s="0" t="n">
        <v>84880</v>
      </c>
      <c r="M478" s="0" t="s">
        <v>4836</v>
      </c>
      <c r="N478" s="0" t="n">
        <v>66264</v>
      </c>
      <c r="O478" s="0" t="n">
        <v>0</v>
      </c>
      <c r="P478" s="0" t="s">
        <v>1684</v>
      </c>
      <c r="Q478" s="0" t="s">
        <v>61</v>
      </c>
      <c r="R478" s="0" t="s">
        <v>4837</v>
      </c>
      <c r="S478" s="0" t="s">
        <v>61</v>
      </c>
      <c r="T478" s="0" t="s">
        <v>61</v>
      </c>
      <c r="U478" s="0" t="n">
        <v>0</v>
      </c>
      <c r="V478" s="0" t="n">
        <v>0</v>
      </c>
      <c r="W478" s="0" t="n">
        <v>20240331</v>
      </c>
      <c r="X478" s="0" t="n">
        <v>-1.2766578313839</v>
      </c>
      <c r="Y478" s="0" t="s">
        <v>4838</v>
      </c>
      <c r="Z478" s="0" t="s">
        <v>98</v>
      </c>
    </row>
    <row r="479" customFormat="false" ht="15" hidden="false" customHeight="false" outlineLevel="0" collapsed="false">
      <c r="A479" s="0" t="n">
        <v>479</v>
      </c>
      <c r="B479" s="0" t="n">
        <v>1106658</v>
      </c>
      <c r="C479" s="0" t="n">
        <v>6271</v>
      </c>
      <c r="D479" s="0" t="n">
        <v>884850</v>
      </c>
      <c r="E479" s="0" t="s">
        <v>858</v>
      </c>
      <c r="F479" s="0" t="n">
        <v>101645</v>
      </c>
      <c r="G479" s="0" t="s">
        <v>4839</v>
      </c>
      <c r="H479" s="0" t="s">
        <v>4840</v>
      </c>
      <c r="I479" s="0" t="s">
        <v>4841</v>
      </c>
      <c r="J479" s="0" t="s">
        <v>4842</v>
      </c>
      <c r="K479" s="0" t="s">
        <v>4843</v>
      </c>
      <c r="L479" s="0" t="n">
        <v>867382</v>
      </c>
      <c r="M479" s="0" t="s">
        <v>4844</v>
      </c>
      <c r="N479" s="0" t="n">
        <v>668396</v>
      </c>
      <c r="O479" s="0" t="n">
        <v>6384</v>
      </c>
      <c r="P479" s="0" t="s">
        <v>621</v>
      </c>
      <c r="Q479" s="0" t="s">
        <v>4845</v>
      </c>
      <c r="R479" s="0" t="s">
        <v>4846</v>
      </c>
      <c r="S479" s="0" t="s">
        <v>1557</v>
      </c>
      <c r="T479" s="0" t="s">
        <v>4847</v>
      </c>
      <c r="U479" s="0" t="n">
        <v>787</v>
      </c>
      <c r="V479" s="0" t="n">
        <v>14.9516406498885</v>
      </c>
      <c r="W479" s="0" t="n">
        <v>20240331</v>
      </c>
      <c r="X479" s="0" t="n">
        <v>1.1249303947051</v>
      </c>
      <c r="Y479" s="0" t="s">
        <v>4848</v>
      </c>
      <c r="Z479" s="0" t="s">
        <v>98</v>
      </c>
    </row>
    <row r="480" customFormat="false" ht="15" hidden="false" customHeight="false" outlineLevel="0" collapsed="false">
      <c r="A480" s="0" t="n">
        <v>480</v>
      </c>
      <c r="B480" s="0" t="n">
        <v>560771</v>
      </c>
      <c r="C480" s="0" t="n">
        <v>6275</v>
      </c>
      <c r="D480" s="0" t="n">
        <v>481992</v>
      </c>
      <c r="E480" s="0" t="s">
        <v>195</v>
      </c>
      <c r="F480" s="0" t="n">
        <v>30328</v>
      </c>
      <c r="G480" s="0" t="s">
        <v>4849</v>
      </c>
      <c r="H480" s="0" t="s">
        <v>4850</v>
      </c>
      <c r="I480" s="0" t="s">
        <v>4851</v>
      </c>
      <c r="J480" s="0" t="s">
        <v>4852</v>
      </c>
      <c r="K480" s="0" t="s">
        <v>4853</v>
      </c>
      <c r="L480" s="0" t="n">
        <v>341837</v>
      </c>
      <c r="M480" s="0" t="s">
        <v>4854</v>
      </c>
      <c r="N480" s="0" t="n">
        <v>282409</v>
      </c>
      <c r="O480" s="0" t="n">
        <v>1168</v>
      </c>
      <c r="P480" s="0" t="s">
        <v>633</v>
      </c>
      <c r="Q480" s="0" t="s">
        <v>4855</v>
      </c>
      <c r="R480" s="0" t="s">
        <v>4856</v>
      </c>
      <c r="S480" s="0" t="s">
        <v>61</v>
      </c>
      <c r="T480" s="0" t="s">
        <v>4857</v>
      </c>
      <c r="U480" s="0" t="n">
        <v>406</v>
      </c>
      <c r="V480" s="0" t="n">
        <v>14.7583990455872</v>
      </c>
      <c r="W480" s="0" t="n">
        <v>20240331</v>
      </c>
      <c r="X480" s="0" t="n">
        <v>0.470857236620922</v>
      </c>
      <c r="Y480" s="0" t="s">
        <v>4651</v>
      </c>
      <c r="Z480" s="0" t="s">
        <v>98</v>
      </c>
    </row>
    <row r="481" customFormat="false" ht="15" hidden="false" customHeight="false" outlineLevel="0" collapsed="false">
      <c r="A481" s="0" t="n">
        <v>481</v>
      </c>
      <c r="B481" s="0" t="n">
        <v>78008</v>
      </c>
      <c r="C481" s="0" t="n">
        <v>6280</v>
      </c>
      <c r="D481" s="0" t="n">
        <v>68177</v>
      </c>
      <c r="E481" s="0" t="s">
        <v>195</v>
      </c>
      <c r="F481" s="0" t="n">
        <v>9657</v>
      </c>
      <c r="G481" s="0" t="s">
        <v>4858</v>
      </c>
      <c r="H481" s="0" t="s">
        <v>4859</v>
      </c>
      <c r="I481" s="0" t="s">
        <v>4860</v>
      </c>
      <c r="J481" s="0" t="s">
        <v>4861</v>
      </c>
      <c r="K481" s="0" t="s">
        <v>4862</v>
      </c>
      <c r="L481" s="0" t="n">
        <v>67312</v>
      </c>
      <c r="M481" s="0" t="s">
        <v>4863</v>
      </c>
      <c r="N481" s="0" t="n">
        <v>59060</v>
      </c>
      <c r="O481" s="0" t="n">
        <v>1333</v>
      </c>
      <c r="P481" s="0" t="s">
        <v>644</v>
      </c>
      <c r="Q481" s="0" t="s">
        <v>4864</v>
      </c>
      <c r="R481" s="0" t="s">
        <v>4865</v>
      </c>
      <c r="S481" s="0" t="s">
        <v>61</v>
      </c>
      <c r="T481" s="0" t="s">
        <v>3334</v>
      </c>
      <c r="U481" s="0" t="n">
        <v>0</v>
      </c>
      <c r="V481" s="0" t="n">
        <v>0</v>
      </c>
      <c r="W481" s="0" t="n">
        <v>20240331</v>
      </c>
      <c r="X481" s="0" t="n">
        <v>1.43833520350913</v>
      </c>
      <c r="Y481" s="0" t="s">
        <v>4866</v>
      </c>
      <c r="Z481" s="0" t="s">
        <v>98</v>
      </c>
    </row>
    <row r="482" customFormat="false" ht="15" hidden="false" customHeight="false" outlineLevel="0" collapsed="false">
      <c r="A482" s="0" t="n">
        <v>482</v>
      </c>
      <c r="B482" s="0" t="n">
        <v>4030143</v>
      </c>
      <c r="C482" s="0" t="n">
        <v>11971</v>
      </c>
      <c r="D482" s="0" t="n">
        <v>3147483</v>
      </c>
      <c r="E482" s="0" t="s">
        <v>208</v>
      </c>
      <c r="F482" s="0" t="n">
        <v>493698</v>
      </c>
      <c r="G482" s="0" t="s">
        <v>4867</v>
      </c>
      <c r="H482" s="0" t="s">
        <v>4868</v>
      </c>
      <c r="I482" s="0" t="s">
        <v>4869</v>
      </c>
      <c r="J482" s="0" t="s">
        <v>4870</v>
      </c>
      <c r="K482" s="0" t="s">
        <v>4871</v>
      </c>
      <c r="L482" s="0" t="n">
        <v>3068077</v>
      </c>
      <c r="M482" s="0" t="s">
        <v>4872</v>
      </c>
      <c r="N482" s="0" t="n">
        <v>2699076</v>
      </c>
      <c r="O482" s="0" t="n">
        <v>6276</v>
      </c>
      <c r="P482" s="0" t="s">
        <v>54</v>
      </c>
      <c r="Q482" s="0" t="s">
        <v>4873</v>
      </c>
      <c r="R482" s="0" t="s">
        <v>4874</v>
      </c>
      <c r="S482" s="0" t="s">
        <v>3035</v>
      </c>
      <c r="T482" s="0" t="s">
        <v>1388</v>
      </c>
      <c r="U482" s="0" t="n">
        <v>34</v>
      </c>
      <c r="V482" s="0" t="n">
        <v>14.1219990069339</v>
      </c>
      <c r="W482" s="0" t="n">
        <v>20240630</v>
      </c>
      <c r="X482" s="0" t="n">
        <v>1.18607846053742</v>
      </c>
      <c r="Y482" s="0" t="s">
        <v>4875</v>
      </c>
      <c r="Z482" s="0" t="s">
        <v>60</v>
      </c>
    </row>
    <row r="483" customFormat="false" ht="15" hidden="false" customHeight="false" outlineLevel="0" collapsed="false">
      <c r="A483" s="0" t="n">
        <v>483</v>
      </c>
      <c r="B483" s="0" t="n">
        <v>1036850</v>
      </c>
      <c r="C483" s="0" t="n">
        <v>12874</v>
      </c>
      <c r="D483" s="0" t="n">
        <v>862144</v>
      </c>
      <c r="E483" s="0" t="s">
        <v>61</v>
      </c>
      <c r="F483" s="0" t="n">
        <v>108474</v>
      </c>
      <c r="G483" s="0" t="s">
        <v>4876</v>
      </c>
      <c r="H483" s="0" t="s">
        <v>4877</v>
      </c>
      <c r="I483" s="0" t="s">
        <v>4878</v>
      </c>
      <c r="J483" s="0" t="s">
        <v>4879</v>
      </c>
      <c r="K483" s="0" t="s">
        <v>4880</v>
      </c>
      <c r="L483" s="0" t="n">
        <v>815577</v>
      </c>
      <c r="M483" s="0" t="s">
        <v>4881</v>
      </c>
      <c r="N483" s="0" t="n">
        <v>639776</v>
      </c>
      <c r="O483" s="0" t="n">
        <v>1516</v>
      </c>
      <c r="P483" s="0" t="s">
        <v>68</v>
      </c>
      <c r="Q483" s="0" t="s">
        <v>4882</v>
      </c>
      <c r="R483" s="0" t="s">
        <v>4883</v>
      </c>
      <c r="S483" s="0" t="s">
        <v>3746</v>
      </c>
      <c r="T483" s="0" t="s">
        <v>4884</v>
      </c>
      <c r="U483" s="0" t="n">
        <v>0</v>
      </c>
      <c r="V483" s="0" t="n">
        <v>15.9291126336225</v>
      </c>
      <c r="W483" s="0" t="n">
        <v>20240630</v>
      </c>
      <c r="X483" s="0" t="n">
        <v>0.873634279818951</v>
      </c>
      <c r="Y483" s="0" t="s">
        <v>389</v>
      </c>
      <c r="Z483" s="0" t="s">
        <v>60</v>
      </c>
    </row>
    <row r="484" customFormat="false" ht="15" hidden="false" customHeight="false" outlineLevel="0" collapsed="false">
      <c r="A484" s="0" t="n">
        <v>484</v>
      </c>
      <c r="B484" s="0" t="n">
        <v>1848882</v>
      </c>
      <c r="C484" s="0" t="n">
        <v>13063</v>
      </c>
      <c r="D484" s="0" t="n">
        <v>1607298</v>
      </c>
      <c r="E484" s="0" t="s">
        <v>61</v>
      </c>
      <c r="F484" s="0" t="n">
        <v>147977</v>
      </c>
      <c r="G484" s="0" t="s">
        <v>4885</v>
      </c>
      <c r="H484" s="0" t="s">
        <v>4886</v>
      </c>
      <c r="I484" s="0" t="s">
        <v>4887</v>
      </c>
      <c r="J484" s="0" t="s">
        <v>4888</v>
      </c>
      <c r="K484" s="0" t="s">
        <v>4889</v>
      </c>
      <c r="L484" s="0" t="n">
        <v>1470585</v>
      </c>
      <c r="M484" s="0" t="s">
        <v>4890</v>
      </c>
      <c r="N484" s="0" t="n">
        <v>1404637</v>
      </c>
      <c r="O484" s="0" t="n">
        <v>701</v>
      </c>
      <c r="P484" s="0" t="s">
        <v>80</v>
      </c>
      <c r="Q484" s="0" t="s">
        <v>4891</v>
      </c>
      <c r="R484" s="0" t="s">
        <v>4892</v>
      </c>
      <c r="S484" s="0" t="s">
        <v>3967</v>
      </c>
      <c r="T484" s="0" t="s">
        <v>4893</v>
      </c>
      <c r="U484" s="0" t="n">
        <v>0</v>
      </c>
      <c r="V484" s="0" t="n">
        <v>0</v>
      </c>
      <c r="W484" s="0" t="n">
        <v>20240630</v>
      </c>
      <c r="X484" s="0" t="n">
        <v>0.367034339548908</v>
      </c>
      <c r="Y484" s="0" t="s">
        <v>1310</v>
      </c>
      <c r="Z484" s="0" t="s">
        <v>60</v>
      </c>
    </row>
    <row r="485" customFormat="false" ht="15" hidden="false" customHeight="false" outlineLevel="0" collapsed="false">
      <c r="A485" s="0" t="n">
        <v>485</v>
      </c>
      <c r="B485" s="0" t="n">
        <v>842999</v>
      </c>
      <c r="C485" s="0" t="n">
        <v>14134</v>
      </c>
      <c r="D485" s="0" t="n">
        <v>661992</v>
      </c>
      <c r="E485" s="0" t="s">
        <v>1187</v>
      </c>
      <c r="F485" s="0" t="n">
        <v>108954</v>
      </c>
      <c r="G485" s="0" t="s">
        <v>4894</v>
      </c>
      <c r="H485" s="0" t="s">
        <v>4895</v>
      </c>
      <c r="I485" s="0" t="s">
        <v>4896</v>
      </c>
      <c r="J485" s="0" t="s">
        <v>4897</v>
      </c>
      <c r="K485" s="0" t="s">
        <v>4898</v>
      </c>
      <c r="L485" s="0" t="n">
        <v>629164</v>
      </c>
      <c r="M485" s="0" t="s">
        <v>4899</v>
      </c>
      <c r="N485" s="0" t="n">
        <v>563428</v>
      </c>
      <c r="O485" s="0" t="n">
        <v>9888</v>
      </c>
      <c r="P485" s="0" t="s">
        <v>92</v>
      </c>
      <c r="Q485" s="0" t="s">
        <v>4900</v>
      </c>
      <c r="R485" s="0" t="s">
        <v>4901</v>
      </c>
      <c r="S485" s="0" t="s">
        <v>4902</v>
      </c>
      <c r="T485" s="0" t="s">
        <v>4903</v>
      </c>
      <c r="U485" s="0" t="n">
        <v>0</v>
      </c>
      <c r="V485" s="0" t="n">
        <v>19.8068345450076</v>
      </c>
      <c r="W485" s="0" t="n">
        <v>20240630</v>
      </c>
      <c r="X485" s="0" t="n">
        <v>0.900954458964721</v>
      </c>
      <c r="Y485" s="0" t="s">
        <v>4904</v>
      </c>
      <c r="Z485" s="0" t="s">
        <v>98</v>
      </c>
    </row>
    <row r="486" customFormat="false" ht="15" hidden="false" customHeight="false" outlineLevel="0" collapsed="false">
      <c r="A486" s="0" t="n">
        <v>486</v>
      </c>
      <c r="B486" s="0" t="n">
        <v>234689</v>
      </c>
      <c r="C486" s="0" t="n">
        <v>14136</v>
      </c>
      <c r="D486" s="0" t="n">
        <v>196106</v>
      </c>
      <c r="E486" s="0" t="s">
        <v>1729</v>
      </c>
      <c r="F486" s="0" t="n">
        <v>18072</v>
      </c>
      <c r="G486" s="0" t="s">
        <v>4905</v>
      </c>
      <c r="H486" s="0" t="s">
        <v>4906</v>
      </c>
      <c r="I486" s="0" t="s">
        <v>4907</v>
      </c>
      <c r="J486" s="0" t="s">
        <v>4908</v>
      </c>
      <c r="K486" s="0" t="s">
        <v>4909</v>
      </c>
      <c r="L486" s="0" t="n">
        <v>155721</v>
      </c>
      <c r="M486" s="0" t="s">
        <v>4910</v>
      </c>
      <c r="N486" s="0" t="n">
        <v>125414</v>
      </c>
      <c r="O486" s="0" t="n">
        <v>483</v>
      </c>
      <c r="P486" s="0" t="s">
        <v>105</v>
      </c>
      <c r="Q486" s="0" t="s">
        <v>4911</v>
      </c>
      <c r="R486" s="0" t="s">
        <v>4912</v>
      </c>
      <c r="S486" s="0" t="s">
        <v>4710</v>
      </c>
      <c r="T486" s="0" t="s">
        <v>4732</v>
      </c>
      <c r="U486" s="0" t="n">
        <v>271</v>
      </c>
      <c r="V486" s="0" t="n">
        <v>17.8729116356195</v>
      </c>
      <c r="W486" s="0" t="n">
        <v>20240630</v>
      </c>
      <c r="X486" s="0" t="n">
        <v>0.61382201704967</v>
      </c>
      <c r="Y486" s="0" t="s">
        <v>4913</v>
      </c>
      <c r="Z486" s="0" t="s">
        <v>98</v>
      </c>
    </row>
    <row r="487" customFormat="false" ht="15" hidden="false" customHeight="false" outlineLevel="0" collapsed="false">
      <c r="A487" s="0" t="n">
        <v>487</v>
      </c>
      <c r="B487" s="0" t="n">
        <v>1498757</v>
      </c>
      <c r="C487" s="0" t="n">
        <v>14140</v>
      </c>
      <c r="D487" s="0" t="n">
        <v>1198797</v>
      </c>
      <c r="E487" s="0" t="s">
        <v>742</v>
      </c>
      <c r="F487" s="0" t="n">
        <v>127558</v>
      </c>
      <c r="G487" s="0" t="s">
        <v>4914</v>
      </c>
      <c r="H487" s="0" t="s">
        <v>4915</v>
      </c>
      <c r="I487" s="0" t="s">
        <v>4916</v>
      </c>
      <c r="J487" s="0" t="s">
        <v>4917</v>
      </c>
      <c r="K487" s="0" t="s">
        <v>4862</v>
      </c>
      <c r="L487" s="0" t="n">
        <v>1076486</v>
      </c>
      <c r="M487" s="0" t="s">
        <v>4918</v>
      </c>
      <c r="N487" s="0" t="n">
        <v>949990</v>
      </c>
      <c r="O487" s="0" t="n">
        <v>2046</v>
      </c>
      <c r="P487" s="0" t="s">
        <v>117</v>
      </c>
      <c r="Q487" s="0" t="s">
        <v>4919</v>
      </c>
      <c r="R487" s="0" t="s">
        <v>4920</v>
      </c>
      <c r="S487" s="0" t="s">
        <v>2994</v>
      </c>
      <c r="T487" s="0" t="s">
        <v>1499</v>
      </c>
      <c r="U487" s="0" t="n">
        <v>0</v>
      </c>
      <c r="V487" s="0" t="n">
        <v>0</v>
      </c>
      <c r="W487" s="0" t="n">
        <v>20240630</v>
      </c>
      <c r="X487" s="0" t="n">
        <v>0.291683814744817</v>
      </c>
      <c r="Y487" s="0" t="s">
        <v>4921</v>
      </c>
      <c r="Z487" s="0" t="s">
        <v>98</v>
      </c>
    </row>
    <row r="488" customFormat="false" ht="15" hidden="false" customHeight="false" outlineLevel="0" collapsed="false">
      <c r="A488" s="0" t="n">
        <v>488</v>
      </c>
      <c r="B488" s="0" t="n">
        <v>1397831</v>
      </c>
      <c r="C488" s="0" t="n">
        <v>14158</v>
      </c>
      <c r="D488" s="0" t="n">
        <v>1057053</v>
      </c>
      <c r="E488" s="0" t="s">
        <v>195</v>
      </c>
      <c r="F488" s="0" t="n">
        <v>80058</v>
      </c>
      <c r="G488" s="0" t="s">
        <v>4922</v>
      </c>
      <c r="H488" s="0" t="s">
        <v>4923</v>
      </c>
      <c r="I488" s="0" t="s">
        <v>4924</v>
      </c>
      <c r="J488" s="0" t="s">
        <v>4925</v>
      </c>
      <c r="K488" s="0" t="s">
        <v>4926</v>
      </c>
      <c r="L488" s="0" t="n">
        <v>1014144</v>
      </c>
      <c r="M488" s="0" t="s">
        <v>4927</v>
      </c>
      <c r="N488" s="0" t="n">
        <v>936491</v>
      </c>
      <c r="O488" s="0" t="n">
        <v>1771</v>
      </c>
      <c r="P488" s="0" t="s">
        <v>129</v>
      </c>
      <c r="Q488" s="0" t="s">
        <v>4928</v>
      </c>
      <c r="R488" s="0" t="s">
        <v>4929</v>
      </c>
      <c r="S488" s="0" t="s">
        <v>3385</v>
      </c>
      <c r="T488" s="0" t="s">
        <v>4930</v>
      </c>
      <c r="U488" s="0" t="n">
        <v>157</v>
      </c>
      <c r="V488" s="0" t="n">
        <v>13.1336578060651</v>
      </c>
      <c r="W488" s="0" t="n">
        <v>20240630</v>
      </c>
      <c r="X488" s="0" t="n">
        <v>0.687930744662969</v>
      </c>
      <c r="Y488" s="0" t="s">
        <v>4931</v>
      </c>
      <c r="Z488" s="0" t="s">
        <v>98</v>
      </c>
    </row>
    <row r="489" customFormat="false" ht="15" hidden="false" customHeight="false" outlineLevel="0" collapsed="false">
      <c r="A489" s="0" t="n">
        <v>489</v>
      </c>
      <c r="B489" s="0" t="n">
        <v>371774</v>
      </c>
      <c r="C489" s="0" t="n">
        <v>14168</v>
      </c>
      <c r="D489" s="0" t="n">
        <v>330926</v>
      </c>
      <c r="E489" s="0" t="s">
        <v>259</v>
      </c>
      <c r="F489" s="0" t="n">
        <v>35832</v>
      </c>
      <c r="G489" s="0" t="s">
        <v>4932</v>
      </c>
      <c r="H489" s="0" t="s">
        <v>4933</v>
      </c>
      <c r="I489" s="0" t="s">
        <v>4934</v>
      </c>
      <c r="J489" s="0" t="s">
        <v>4935</v>
      </c>
      <c r="K489" s="0" t="s">
        <v>4936</v>
      </c>
      <c r="L489" s="0" t="n">
        <v>262207</v>
      </c>
      <c r="M489" s="0" t="s">
        <v>4937</v>
      </c>
      <c r="N489" s="0" t="n">
        <v>222296</v>
      </c>
      <c r="O489" s="0" t="n">
        <v>1042</v>
      </c>
      <c r="P489" s="0" t="s">
        <v>140</v>
      </c>
      <c r="Q489" s="0" t="s">
        <v>4938</v>
      </c>
      <c r="R489" s="0" t="s">
        <v>4939</v>
      </c>
      <c r="S489" s="0" t="s">
        <v>3632</v>
      </c>
      <c r="T489" s="0" t="s">
        <v>1978</v>
      </c>
      <c r="U489" s="0" t="n">
        <v>1</v>
      </c>
      <c r="V489" s="0" t="n">
        <v>16.1143275437546</v>
      </c>
      <c r="W489" s="0" t="n">
        <v>20240630</v>
      </c>
      <c r="X489" s="0" t="n">
        <v>0.916620469726825</v>
      </c>
      <c r="Y489" s="0" t="s">
        <v>3387</v>
      </c>
      <c r="Z489" s="0" t="s">
        <v>98</v>
      </c>
    </row>
    <row r="490" customFormat="false" ht="15" hidden="false" customHeight="false" outlineLevel="0" collapsed="false">
      <c r="A490" s="0" t="n">
        <v>490</v>
      </c>
      <c r="B490" s="0" t="n">
        <v>1270696</v>
      </c>
      <c r="C490" s="0" t="n">
        <v>14240</v>
      </c>
      <c r="D490" s="0" t="n">
        <v>1022140</v>
      </c>
      <c r="E490" s="0" t="s">
        <v>61</v>
      </c>
      <c r="F490" s="0" t="n">
        <v>88523</v>
      </c>
      <c r="G490" s="0" t="s">
        <v>4940</v>
      </c>
      <c r="H490" s="0" t="s">
        <v>4941</v>
      </c>
      <c r="I490" s="0" t="s">
        <v>4942</v>
      </c>
      <c r="J490" s="0" t="s">
        <v>4943</v>
      </c>
      <c r="K490" s="0" t="s">
        <v>4944</v>
      </c>
      <c r="L490" s="0" t="n">
        <v>930519</v>
      </c>
      <c r="M490" s="0" t="s">
        <v>4945</v>
      </c>
      <c r="N490" s="0" t="n">
        <v>787415</v>
      </c>
      <c r="O490" s="0" t="n">
        <v>3555</v>
      </c>
      <c r="P490" s="0" t="s">
        <v>152</v>
      </c>
      <c r="Q490" s="0" t="s">
        <v>4946</v>
      </c>
      <c r="R490" s="0" t="s">
        <v>4947</v>
      </c>
      <c r="S490" s="0" t="s">
        <v>1865</v>
      </c>
      <c r="T490" s="0" t="s">
        <v>4948</v>
      </c>
      <c r="U490" s="0" t="n">
        <v>0</v>
      </c>
      <c r="V490" s="0" t="n">
        <v>16.0006617207284</v>
      </c>
      <c r="W490" s="0" t="n">
        <v>20240630</v>
      </c>
      <c r="X490" s="0" t="n">
        <v>0.413870322740833</v>
      </c>
      <c r="Y490" s="0" t="s">
        <v>2304</v>
      </c>
      <c r="Z490" s="0" t="s">
        <v>158</v>
      </c>
    </row>
    <row r="491" customFormat="false" ht="15" hidden="false" customHeight="false" outlineLevel="0" collapsed="false">
      <c r="A491" s="0" t="n">
        <v>491</v>
      </c>
      <c r="B491" s="0" t="n">
        <v>1071403</v>
      </c>
      <c r="C491" s="0" t="n">
        <v>17115</v>
      </c>
      <c r="D491" s="0" t="n">
        <v>787661</v>
      </c>
      <c r="E491" s="0" t="s">
        <v>195</v>
      </c>
      <c r="F491" s="0" t="n">
        <v>89467</v>
      </c>
      <c r="G491" s="0" t="s">
        <v>4949</v>
      </c>
      <c r="H491" s="0" t="s">
        <v>4950</v>
      </c>
      <c r="I491" s="0" t="s">
        <v>4951</v>
      </c>
      <c r="J491" s="0" t="s">
        <v>4952</v>
      </c>
      <c r="K491" s="0" t="s">
        <v>4953</v>
      </c>
      <c r="L491" s="0" t="n">
        <v>893732</v>
      </c>
      <c r="M491" s="0" t="s">
        <v>4954</v>
      </c>
      <c r="N491" s="0" t="n">
        <v>843758</v>
      </c>
      <c r="O491" s="0" t="n">
        <v>2433</v>
      </c>
      <c r="P491" s="0" t="s">
        <v>166</v>
      </c>
      <c r="Q491" s="0" t="s">
        <v>4955</v>
      </c>
      <c r="R491" s="0" t="s">
        <v>4956</v>
      </c>
      <c r="S491" s="0" t="s">
        <v>243</v>
      </c>
      <c r="T491" s="0" t="s">
        <v>4957</v>
      </c>
      <c r="U491" s="0" t="n">
        <v>0</v>
      </c>
      <c r="V491" s="0" t="n">
        <v>14.2345042759811</v>
      </c>
      <c r="W491" s="0" t="n">
        <v>20240630</v>
      </c>
      <c r="X491" s="0" t="n">
        <v>0.369675963044739</v>
      </c>
      <c r="Y491" s="0" t="s">
        <v>4958</v>
      </c>
      <c r="Z491" s="0" t="s">
        <v>60</v>
      </c>
    </row>
    <row r="492" customFormat="false" ht="15" hidden="false" customHeight="false" outlineLevel="0" collapsed="false">
      <c r="A492" s="0" t="n">
        <v>492</v>
      </c>
      <c r="B492" s="0" t="n">
        <v>1640511</v>
      </c>
      <c r="C492" s="0" t="n">
        <v>17180</v>
      </c>
      <c r="D492" s="0" t="n">
        <v>1189680</v>
      </c>
      <c r="E492" s="0" t="s">
        <v>1187</v>
      </c>
      <c r="F492" s="0" t="n">
        <v>139135</v>
      </c>
      <c r="G492" s="0" t="s">
        <v>4959</v>
      </c>
      <c r="H492" s="0" t="s">
        <v>4960</v>
      </c>
      <c r="I492" s="0" t="s">
        <v>4961</v>
      </c>
      <c r="J492" s="0" t="s">
        <v>4962</v>
      </c>
      <c r="K492" s="0" t="s">
        <v>4963</v>
      </c>
      <c r="L492" s="0" t="n">
        <v>1460125</v>
      </c>
      <c r="M492" s="0" t="s">
        <v>4964</v>
      </c>
      <c r="N492" s="0" t="n">
        <v>1213990</v>
      </c>
      <c r="O492" s="0" t="n">
        <v>5092</v>
      </c>
      <c r="P492" s="0" t="s">
        <v>179</v>
      </c>
      <c r="Q492" s="0" t="s">
        <v>4965</v>
      </c>
      <c r="R492" s="0" t="s">
        <v>4966</v>
      </c>
      <c r="S492" s="0" t="s">
        <v>4967</v>
      </c>
      <c r="T492" s="0" t="s">
        <v>4968</v>
      </c>
      <c r="U492" s="0" t="n">
        <v>0</v>
      </c>
      <c r="V492" s="0" t="n">
        <v>14.6981446942181</v>
      </c>
      <c r="W492" s="0" t="n">
        <v>20240630</v>
      </c>
      <c r="X492" s="0" t="n">
        <v>0.39737401699871</v>
      </c>
      <c r="Y492" s="0" t="s">
        <v>4969</v>
      </c>
      <c r="Z492" s="0" t="s">
        <v>158</v>
      </c>
    </row>
    <row r="493" customFormat="false" ht="15" hidden="false" customHeight="false" outlineLevel="0" collapsed="false">
      <c r="A493" s="0" t="n">
        <v>493</v>
      </c>
      <c r="B493" s="0" t="n">
        <v>365097</v>
      </c>
      <c r="C493" s="0" t="n">
        <v>17443</v>
      </c>
      <c r="D493" s="0" t="n">
        <v>300117</v>
      </c>
      <c r="E493" s="0" t="s">
        <v>742</v>
      </c>
      <c r="F493" s="0" t="n">
        <v>38871</v>
      </c>
      <c r="G493" s="0" t="s">
        <v>4970</v>
      </c>
      <c r="H493" s="0" t="s">
        <v>4971</v>
      </c>
      <c r="I493" s="0" t="s">
        <v>4972</v>
      </c>
      <c r="J493" s="0" t="s">
        <v>61</v>
      </c>
      <c r="K493" s="0" t="s">
        <v>4973</v>
      </c>
      <c r="L493" s="0" t="n">
        <v>200580</v>
      </c>
      <c r="M493" s="0" t="s">
        <v>4974</v>
      </c>
      <c r="N493" s="0" t="n">
        <v>198905</v>
      </c>
      <c r="O493" s="0" t="n">
        <v>1042</v>
      </c>
      <c r="P493" s="0" t="s">
        <v>190</v>
      </c>
      <c r="Q493" s="0" t="s">
        <v>4975</v>
      </c>
      <c r="R493" s="0" t="s">
        <v>4976</v>
      </c>
      <c r="S493" s="0" t="s">
        <v>61</v>
      </c>
      <c r="T493" s="0" t="s">
        <v>556</v>
      </c>
      <c r="U493" s="0" t="n">
        <v>0</v>
      </c>
      <c r="V493" s="0" t="n">
        <v>0</v>
      </c>
      <c r="W493" s="0" t="n">
        <v>20240630</v>
      </c>
      <c r="X493" s="0" t="n">
        <v>-0.190207341097617</v>
      </c>
      <c r="Y493" s="0" t="s">
        <v>4977</v>
      </c>
      <c r="Z493" s="0" t="s">
        <v>158</v>
      </c>
    </row>
    <row r="494" customFormat="false" ht="15" hidden="false" customHeight="false" outlineLevel="0" collapsed="false">
      <c r="A494" s="0" t="n">
        <v>494</v>
      </c>
      <c r="B494" s="0" t="n">
        <v>1912692</v>
      </c>
      <c r="C494" s="0" t="n">
        <v>17658</v>
      </c>
      <c r="D494" s="0" t="n">
        <v>1503955</v>
      </c>
      <c r="E494" s="0" t="s">
        <v>172</v>
      </c>
      <c r="F494" s="0" t="n">
        <v>211101</v>
      </c>
      <c r="G494" s="0" t="s">
        <v>4978</v>
      </c>
      <c r="H494" s="0" t="s">
        <v>4979</v>
      </c>
      <c r="I494" s="0" t="s">
        <v>4980</v>
      </c>
      <c r="J494" s="0" t="s">
        <v>4981</v>
      </c>
      <c r="K494" s="0" t="s">
        <v>4982</v>
      </c>
      <c r="L494" s="0" t="n">
        <v>1361231</v>
      </c>
      <c r="M494" s="0" t="s">
        <v>4983</v>
      </c>
      <c r="N494" s="0" t="n">
        <v>1158750</v>
      </c>
      <c r="O494" s="0" t="n">
        <v>10806</v>
      </c>
      <c r="P494" s="0" t="s">
        <v>202</v>
      </c>
      <c r="Q494" s="0" t="s">
        <v>4984</v>
      </c>
      <c r="R494" s="0" t="s">
        <v>4985</v>
      </c>
      <c r="S494" s="0" t="s">
        <v>4986</v>
      </c>
      <c r="T494" s="0" t="s">
        <v>4987</v>
      </c>
      <c r="U494" s="0" t="n">
        <v>15</v>
      </c>
      <c r="V494" s="0" t="n">
        <v>0</v>
      </c>
      <c r="W494" s="0" t="n">
        <v>20240630</v>
      </c>
      <c r="X494" s="0" t="n">
        <v>0.777361795851378</v>
      </c>
      <c r="Y494" s="0" t="s">
        <v>3489</v>
      </c>
      <c r="Z494" s="0" t="s">
        <v>60</v>
      </c>
    </row>
    <row r="495" customFormat="false" ht="15" hidden="false" customHeight="false" outlineLevel="0" collapsed="false">
      <c r="A495" s="0" t="n">
        <v>495</v>
      </c>
      <c r="B495" s="0" t="n">
        <v>1160635</v>
      </c>
      <c r="C495" s="0" t="n">
        <v>17741</v>
      </c>
      <c r="D495" s="0" t="n">
        <v>863648</v>
      </c>
      <c r="E495" s="0" t="s">
        <v>172</v>
      </c>
      <c r="F495" s="0" t="n">
        <v>141966</v>
      </c>
      <c r="G495" s="0" t="s">
        <v>4988</v>
      </c>
      <c r="H495" s="0" t="s">
        <v>4989</v>
      </c>
      <c r="I495" s="0" t="s">
        <v>4990</v>
      </c>
      <c r="J495" s="0" t="s">
        <v>4991</v>
      </c>
      <c r="K495" s="0" t="s">
        <v>4992</v>
      </c>
      <c r="L495" s="0" t="n">
        <v>968304</v>
      </c>
      <c r="M495" s="0" t="s">
        <v>4993</v>
      </c>
      <c r="N495" s="0" t="n">
        <v>905457</v>
      </c>
      <c r="O495" s="0" t="n">
        <v>7132</v>
      </c>
      <c r="P495" s="0" t="s">
        <v>215</v>
      </c>
      <c r="Q495" s="0" t="s">
        <v>4994</v>
      </c>
      <c r="R495" s="0" t="s">
        <v>4995</v>
      </c>
      <c r="S495" s="0" t="s">
        <v>4996</v>
      </c>
      <c r="T495" s="0" t="s">
        <v>4997</v>
      </c>
      <c r="U495" s="0" t="n">
        <v>0</v>
      </c>
      <c r="V495" s="0" t="n">
        <v>0</v>
      </c>
      <c r="W495" s="0" t="n">
        <v>20240630</v>
      </c>
      <c r="X495" s="0" t="n">
        <v>0.576787824521446</v>
      </c>
      <c r="Y495" s="0" t="s">
        <v>4998</v>
      </c>
      <c r="Z495" s="0" t="s">
        <v>60</v>
      </c>
    </row>
    <row r="496" customFormat="false" ht="15" hidden="false" customHeight="false" outlineLevel="0" collapsed="false">
      <c r="A496" s="0" t="n">
        <v>496</v>
      </c>
      <c r="B496" s="0" t="n">
        <v>1404406</v>
      </c>
      <c r="C496" s="0" t="n">
        <v>17743</v>
      </c>
      <c r="D496" s="0" t="n">
        <v>980636</v>
      </c>
      <c r="E496" s="0" t="s">
        <v>61</v>
      </c>
      <c r="F496" s="0" t="n">
        <v>121628</v>
      </c>
      <c r="G496" s="0" t="s">
        <v>4999</v>
      </c>
      <c r="H496" s="0" t="s">
        <v>5000</v>
      </c>
      <c r="I496" s="0" t="s">
        <v>5001</v>
      </c>
      <c r="J496" s="0" t="s">
        <v>5002</v>
      </c>
      <c r="K496" s="0" t="s">
        <v>5003</v>
      </c>
      <c r="L496" s="0" t="n">
        <v>1119255</v>
      </c>
      <c r="M496" s="0" t="s">
        <v>5004</v>
      </c>
      <c r="N496" s="0" t="n">
        <v>1079649</v>
      </c>
      <c r="O496" s="0" t="n">
        <v>3998</v>
      </c>
      <c r="P496" s="0" t="s">
        <v>227</v>
      </c>
      <c r="Q496" s="0" t="s">
        <v>5005</v>
      </c>
      <c r="R496" s="0" t="s">
        <v>5006</v>
      </c>
      <c r="S496" s="0" t="s">
        <v>293</v>
      </c>
      <c r="T496" s="0" t="s">
        <v>5007</v>
      </c>
      <c r="U496" s="0" t="n">
        <v>0</v>
      </c>
      <c r="V496" s="0" t="n">
        <v>0</v>
      </c>
      <c r="W496" s="0" t="n">
        <v>20240630</v>
      </c>
      <c r="X496" s="0" t="n">
        <v>-0.0312997808297457</v>
      </c>
      <c r="Y496" s="0" t="s">
        <v>5008</v>
      </c>
      <c r="Z496" s="0" t="s">
        <v>60</v>
      </c>
    </row>
    <row r="497" customFormat="false" ht="15" hidden="false" customHeight="false" outlineLevel="0" collapsed="false">
      <c r="A497" s="0" t="n">
        <v>497</v>
      </c>
      <c r="B497" s="0" t="n">
        <v>1653584</v>
      </c>
      <c r="C497" s="0" t="n">
        <v>17748</v>
      </c>
      <c r="D497" s="0" t="n">
        <v>1349536</v>
      </c>
      <c r="E497" s="0" t="s">
        <v>159</v>
      </c>
      <c r="F497" s="0" t="n">
        <v>113727</v>
      </c>
      <c r="G497" s="0" t="s">
        <v>5009</v>
      </c>
      <c r="H497" s="0" t="s">
        <v>5010</v>
      </c>
      <c r="I497" s="0" t="s">
        <v>5011</v>
      </c>
      <c r="J497" s="0" t="s">
        <v>5012</v>
      </c>
      <c r="K497" s="0" t="s">
        <v>5013</v>
      </c>
      <c r="L497" s="0" t="n">
        <v>1269678</v>
      </c>
      <c r="M497" s="0" t="s">
        <v>5014</v>
      </c>
      <c r="N497" s="0" t="n">
        <v>1060225</v>
      </c>
      <c r="O497" s="0" t="n">
        <v>7932</v>
      </c>
      <c r="P497" s="0" t="s">
        <v>240</v>
      </c>
      <c r="Q497" s="0" t="s">
        <v>5015</v>
      </c>
      <c r="R497" s="0" t="s">
        <v>5016</v>
      </c>
      <c r="S497" s="0" t="s">
        <v>230</v>
      </c>
      <c r="T497" s="0" t="s">
        <v>5017</v>
      </c>
      <c r="U497" s="0" t="n">
        <v>0</v>
      </c>
      <c r="V497" s="0" t="n">
        <v>0</v>
      </c>
      <c r="W497" s="0" t="n">
        <v>20240630</v>
      </c>
      <c r="X497" s="0" t="n">
        <v>0.279983250930057</v>
      </c>
      <c r="Y497" s="0" t="s">
        <v>4160</v>
      </c>
      <c r="Z497" s="0" t="s">
        <v>60</v>
      </c>
    </row>
    <row r="498" customFormat="false" ht="15" hidden="false" customHeight="false" outlineLevel="0" collapsed="false">
      <c r="A498" s="0" t="n">
        <v>498</v>
      </c>
      <c r="B498" s="0" t="n">
        <v>1395226</v>
      </c>
      <c r="C498" s="0" t="n">
        <v>17749</v>
      </c>
      <c r="D498" s="0" t="n">
        <v>1095901</v>
      </c>
      <c r="E498" s="0" t="s">
        <v>259</v>
      </c>
      <c r="F498" s="0" t="n">
        <v>177800</v>
      </c>
      <c r="G498" s="0" t="s">
        <v>5018</v>
      </c>
      <c r="H498" s="0" t="s">
        <v>5019</v>
      </c>
      <c r="I498" s="0" t="s">
        <v>5020</v>
      </c>
      <c r="J498" s="0" t="s">
        <v>5021</v>
      </c>
      <c r="K498" s="0" t="s">
        <v>5022</v>
      </c>
      <c r="L498" s="0" t="n">
        <v>822053</v>
      </c>
      <c r="M498" s="0" t="s">
        <v>5023</v>
      </c>
      <c r="N498" s="0" t="n">
        <v>744624</v>
      </c>
      <c r="O498" s="0" t="n">
        <v>243</v>
      </c>
      <c r="P498" s="0" t="s">
        <v>253</v>
      </c>
      <c r="Q498" s="0" t="s">
        <v>5024</v>
      </c>
      <c r="R498" s="0" t="s">
        <v>5025</v>
      </c>
      <c r="S498" s="0" t="s">
        <v>1079</v>
      </c>
      <c r="T498" s="0" t="s">
        <v>5026</v>
      </c>
      <c r="U498" s="0" t="n">
        <v>0</v>
      </c>
      <c r="V498" s="0" t="n">
        <v>0</v>
      </c>
      <c r="W498" s="0" t="n">
        <v>20240630</v>
      </c>
      <c r="X498" s="0" t="n">
        <v>0.98007512250939</v>
      </c>
      <c r="Y498" s="0" t="s">
        <v>5027</v>
      </c>
      <c r="Z498" s="0" t="s">
        <v>60</v>
      </c>
    </row>
    <row r="499" customFormat="false" ht="15" hidden="false" customHeight="false" outlineLevel="0" collapsed="false">
      <c r="A499" s="0" t="n">
        <v>499</v>
      </c>
      <c r="B499" s="0" t="n">
        <v>1628666</v>
      </c>
      <c r="C499" s="0" t="n">
        <v>17751</v>
      </c>
      <c r="D499" s="0" t="n">
        <v>1314857</v>
      </c>
      <c r="E499" s="0" t="s">
        <v>271</v>
      </c>
      <c r="F499" s="0" t="n">
        <v>140560</v>
      </c>
      <c r="G499" s="0" t="s">
        <v>5028</v>
      </c>
      <c r="H499" s="0" t="s">
        <v>5029</v>
      </c>
      <c r="I499" s="0" t="s">
        <v>5030</v>
      </c>
      <c r="J499" s="0" t="s">
        <v>5031</v>
      </c>
      <c r="K499" s="0" t="s">
        <v>5032</v>
      </c>
      <c r="L499" s="0" t="n">
        <v>1345733</v>
      </c>
      <c r="M499" s="0" t="s">
        <v>5033</v>
      </c>
      <c r="N499" s="0" t="n">
        <v>1148666</v>
      </c>
      <c r="O499" s="0" t="n">
        <v>4863</v>
      </c>
      <c r="P499" s="0" t="s">
        <v>266</v>
      </c>
      <c r="Q499" s="0" t="s">
        <v>5034</v>
      </c>
      <c r="R499" s="0" t="s">
        <v>5035</v>
      </c>
      <c r="S499" s="0" t="s">
        <v>1956</v>
      </c>
      <c r="T499" s="0" t="s">
        <v>5036</v>
      </c>
      <c r="U499" s="0" t="n">
        <v>0</v>
      </c>
      <c r="V499" s="0" t="n">
        <v>12.7562003813965</v>
      </c>
      <c r="W499" s="0" t="n">
        <v>20240630</v>
      </c>
      <c r="X499" s="0" t="n">
        <v>0.443314564249097</v>
      </c>
      <c r="Y499" s="0" t="s">
        <v>5037</v>
      </c>
      <c r="Z499" s="0" t="s">
        <v>60</v>
      </c>
    </row>
    <row r="500" customFormat="false" ht="15" hidden="false" customHeight="false" outlineLevel="0" collapsed="false">
      <c r="A500" s="0" t="n">
        <v>500</v>
      </c>
      <c r="B500" s="0" t="n">
        <v>1732333</v>
      </c>
      <c r="C500" s="0" t="n">
        <v>17897</v>
      </c>
      <c r="D500" s="0" t="n">
        <v>1311255</v>
      </c>
      <c r="E500" s="0" t="s">
        <v>1500</v>
      </c>
      <c r="F500" s="0" t="n">
        <v>211953</v>
      </c>
      <c r="G500" s="0" t="s">
        <v>5038</v>
      </c>
      <c r="H500" s="0" t="s">
        <v>5039</v>
      </c>
      <c r="I500" s="0" t="s">
        <v>5040</v>
      </c>
      <c r="J500" s="0" t="s">
        <v>5041</v>
      </c>
      <c r="K500" s="0" t="s">
        <v>5042</v>
      </c>
      <c r="L500" s="0" t="n">
        <v>1440034</v>
      </c>
      <c r="M500" s="0" t="s">
        <v>5043</v>
      </c>
      <c r="N500" s="0" t="n">
        <v>1352677</v>
      </c>
      <c r="O500" s="0" t="n">
        <v>4016</v>
      </c>
      <c r="P500" s="0" t="s">
        <v>278</v>
      </c>
      <c r="Q500" s="0" t="s">
        <v>5044</v>
      </c>
      <c r="R500" s="0" t="s">
        <v>5045</v>
      </c>
      <c r="S500" s="0" t="s">
        <v>5046</v>
      </c>
      <c r="T500" s="0" t="s">
        <v>5047</v>
      </c>
      <c r="U500" s="0" t="n">
        <v>0</v>
      </c>
      <c r="V500" s="0" t="n">
        <v>18.0579734151777</v>
      </c>
      <c r="W500" s="0" t="n">
        <v>20240630</v>
      </c>
      <c r="X500" s="0" t="n">
        <v>0.719533489276184</v>
      </c>
      <c r="Y500" s="0" t="s">
        <v>5048</v>
      </c>
      <c r="Z500" s="0" t="s">
        <v>60</v>
      </c>
    </row>
    <row r="501" customFormat="false" ht="15" hidden="false" customHeight="false" outlineLevel="0" collapsed="false">
      <c r="A501" s="0" t="n">
        <v>501</v>
      </c>
      <c r="B501" s="0" t="n">
        <v>810464</v>
      </c>
      <c r="C501" s="0" t="n">
        <v>17951</v>
      </c>
      <c r="D501" s="0" t="n">
        <v>665540</v>
      </c>
      <c r="E501" s="0" t="s">
        <v>61</v>
      </c>
      <c r="F501" s="0" t="n">
        <v>63303</v>
      </c>
      <c r="G501" s="0" t="s">
        <v>5049</v>
      </c>
      <c r="H501" s="0" t="s">
        <v>5050</v>
      </c>
      <c r="I501" s="0" t="s">
        <v>5051</v>
      </c>
      <c r="J501" s="0" t="s">
        <v>5052</v>
      </c>
      <c r="K501" s="0" t="s">
        <v>5053</v>
      </c>
      <c r="L501" s="0" t="n">
        <v>596085</v>
      </c>
      <c r="M501" s="0" t="s">
        <v>5054</v>
      </c>
      <c r="N501" s="0" t="n">
        <v>552786</v>
      </c>
      <c r="O501" s="0" t="n">
        <v>62</v>
      </c>
      <c r="P501" s="0" t="s">
        <v>290</v>
      </c>
      <c r="Q501" s="0" t="s">
        <v>5055</v>
      </c>
      <c r="R501" s="0" t="s">
        <v>5056</v>
      </c>
      <c r="S501" s="0" t="s">
        <v>5057</v>
      </c>
      <c r="T501" s="0" t="s">
        <v>2914</v>
      </c>
      <c r="U501" s="0" t="n">
        <v>0</v>
      </c>
      <c r="V501" s="0" t="n">
        <v>14.6203235537616</v>
      </c>
      <c r="W501" s="0" t="n">
        <v>20240630</v>
      </c>
      <c r="X501" s="0" t="n">
        <v>0.501098636386068</v>
      </c>
      <c r="Y501" s="0" t="s">
        <v>5058</v>
      </c>
      <c r="Z501" s="0" t="s">
        <v>158</v>
      </c>
    </row>
    <row r="502" customFormat="false" ht="15" hidden="false" customHeight="false" outlineLevel="0" collapsed="false">
      <c r="A502" s="0" t="n">
        <v>502</v>
      </c>
      <c r="B502" s="0" t="n">
        <v>1384318</v>
      </c>
      <c r="C502" s="0" t="n">
        <v>17960</v>
      </c>
      <c r="D502" s="0" t="n">
        <v>1047199</v>
      </c>
      <c r="E502" s="0" t="s">
        <v>1708</v>
      </c>
      <c r="F502" s="0" t="n">
        <v>114741</v>
      </c>
      <c r="G502" s="0" t="s">
        <v>5059</v>
      </c>
      <c r="H502" s="0" t="s">
        <v>5060</v>
      </c>
      <c r="I502" s="0" t="s">
        <v>5061</v>
      </c>
      <c r="J502" s="0" t="s">
        <v>5062</v>
      </c>
      <c r="K502" s="0" t="s">
        <v>5063</v>
      </c>
      <c r="L502" s="0" t="n">
        <v>1177826</v>
      </c>
      <c r="M502" s="0" t="s">
        <v>5064</v>
      </c>
      <c r="N502" s="0" t="n">
        <v>834712</v>
      </c>
      <c r="O502" s="0" t="n">
        <v>9254</v>
      </c>
      <c r="P502" s="0" t="s">
        <v>302</v>
      </c>
      <c r="Q502" s="0" t="s">
        <v>5065</v>
      </c>
      <c r="R502" s="0" t="s">
        <v>5066</v>
      </c>
      <c r="S502" s="0" t="s">
        <v>578</v>
      </c>
      <c r="T502" s="0" t="s">
        <v>5067</v>
      </c>
      <c r="U502" s="0" t="n">
        <v>0</v>
      </c>
      <c r="V502" s="0" t="n">
        <v>13.2905193445561</v>
      </c>
      <c r="W502" s="0" t="n">
        <v>20240630</v>
      </c>
      <c r="X502" s="0" t="n">
        <v>0.355511881408475</v>
      </c>
      <c r="Y502" s="0" t="s">
        <v>5068</v>
      </c>
      <c r="Z502" s="0" t="s">
        <v>158</v>
      </c>
    </row>
    <row r="503" customFormat="false" ht="15" hidden="false" customHeight="false" outlineLevel="0" collapsed="false">
      <c r="A503" s="0" t="n">
        <v>503</v>
      </c>
      <c r="B503" s="0" t="n">
        <v>2499818</v>
      </c>
      <c r="C503" s="0" t="n">
        <v>18012</v>
      </c>
      <c r="D503" s="0" t="n">
        <v>2102355</v>
      </c>
      <c r="E503" s="0" t="s">
        <v>271</v>
      </c>
      <c r="F503" s="0" t="n">
        <v>274634</v>
      </c>
      <c r="G503" s="0" t="s">
        <v>5069</v>
      </c>
      <c r="H503" s="0" t="s">
        <v>5070</v>
      </c>
      <c r="I503" s="0" t="s">
        <v>5071</v>
      </c>
      <c r="J503" s="0" t="s">
        <v>5072</v>
      </c>
      <c r="K503" s="0" t="s">
        <v>916</v>
      </c>
      <c r="L503" s="0" t="n">
        <v>2035131</v>
      </c>
      <c r="M503" s="0" t="s">
        <v>5073</v>
      </c>
      <c r="N503" s="0" t="n">
        <v>1928747</v>
      </c>
      <c r="O503" s="0" t="n">
        <v>990</v>
      </c>
      <c r="P503" s="0" t="s">
        <v>312</v>
      </c>
      <c r="Q503" s="0" t="s">
        <v>5074</v>
      </c>
      <c r="R503" s="0" t="s">
        <v>5075</v>
      </c>
      <c r="S503" s="0" t="s">
        <v>2600</v>
      </c>
      <c r="T503" s="0" t="s">
        <v>5076</v>
      </c>
      <c r="U503" s="0" t="n">
        <v>0</v>
      </c>
      <c r="V503" s="0" t="n">
        <v>14.6041845930891</v>
      </c>
      <c r="W503" s="0" t="n">
        <v>20240630</v>
      </c>
      <c r="X503" s="0" t="n">
        <v>0.658441157978623</v>
      </c>
      <c r="Y503" s="0" t="s">
        <v>5077</v>
      </c>
      <c r="Z503" s="0" t="s">
        <v>158</v>
      </c>
    </row>
    <row r="504" customFormat="false" ht="15" hidden="false" customHeight="false" outlineLevel="0" collapsed="false">
      <c r="A504" s="0" t="n">
        <v>504</v>
      </c>
      <c r="B504" s="0" t="n">
        <v>2913389</v>
      </c>
      <c r="C504" s="0" t="n">
        <v>18013</v>
      </c>
      <c r="D504" s="0" t="n">
        <v>2458436</v>
      </c>
      <c r="E504" s="0" t="s">
        <v>390</v>
      </c>
      <c r="F504" s="0" t="n">
        <v>223415</v>
      </c>
      <c r="G504" s="0" t="s">
        <v>5078</v>
      </c>
      <c r="H504" s="0" t="s">
        <v>5079</v>
      </c>
      <c r="I504" s="0" t="s">
        <v>5080</v>
      </c>
      <c r="J504" s="0" t="s">
        <v>5081</v>
      </c>
      <c r="K504" s="0" t="s">
        <v>5082</v>
      </c>
      <c r="L504" s="0" t="n">
        <v>2408662</v>
      </c>
      <c r="M504" s="0" t="s">
        <v>5083</v>
      </c>
      <c r="N504" s="0" t="n">
        <v>2192853</v>
      </c>
      <c r="O504" s="0" t="n">
        <v>1084</v>
      </c>
      <c r="P504" s="0" t="s">
        <v>324</v>
      </c>
      <c r="Q504" s="0" t="s">
        <v>5084</v>
      </c>
      <c r="R504" s="0" t="s">
        <v>5085</v>
      </c>
      <c r="S504" s="0" t="s">
        <v>4710</v>
      </c>
      <c r="T504" s="0" t="s">
        <v>5086</v>
      </c>
      <c r="U504" s="0" t="n">
        <v>224</v>
      </c>
      <c r="V504" s="0" t="n">
        <v>12.2970178752133</v>
      </c>
      <c r="W504" s="0" t="n">
        <v>20240630</v>
      </c>
      <c r="X504" s="0" t="n">
        <v>0.222779696164817</v>
      </c>
      <c r="Y504" s="0" t="s">
        <v>5087</v>
      </c>
      <c r="Z504" s="0" t="s">
        <v>158</v>
      </c>
    </row>
    <row r="505" customFormat="false" ht="15" hidden="false" customHeight="false" outlineLevel="0" collapsed="false">
      <c r="A505" s="0" t="n">
        <v>505</v>
      </c>
      <c r="B505" s="0" t="n">
        <v>393662</v>
      </c>
      <c r="C505" s="0" t="n">
        <v>18028</v>
      </c>
      <c r="D505" s="0" t="n">
        <v>324859</v>
      </c>
      <c r="E505" s="0" t="s">
        <v>195</v>
      </c>
      <c r="F505" s="0" t="n">
        <v>40845</v>
      </c>
      <c r="G505" s="0" t="s">
        <v>5088</v>
      </c>
      <c r="H505" s="0" t="s">
        <v>5089</v>
      </c>
      <c r="I505" s="0" t="s">
        <v>5090</v>
      </c>
      <c r="J505" s="0" t="s">
        <v>5091</v>
      </c>
      <c r="K505" s="0" t="s">
        <v>5092</v>
      </c>
      <c r="L505" s="0" t="n">
        <v>270218</v>
      </c>
      <c r="M505" s="0" t="s">
        <v>5093</v>
      </c>
      <c r="N505" s="0" t="n">
        <v>243503</v>
      </c>
      <c r="O505" s="0" t="n">
        <v>548</v>
      </c>
      <c r="P505" s="0" t="s">
        <v>337</v>
      </c>
      <c r="Q505" s="0" t="s">
        <v>5094</v>
      </c>
      <c r="R505" s="0" t="s">
        <v>5095</v>
      </c>
      <c r="S505" s="0" t="s">
        <v>2105</v>
      </c>
      <c r="T505" s="0" t="s">
        <v>5096</v>
      </c>
      <c r="U505" s="0" t="n">
        <v>68</v>
      </c>
      <c r="V505" s="0" t="n">
        <v>0</v>
      </c>
      <c r="W505" s="0" t="n">
        <v>20240630</v>
      </c>
      <c r="X505" s="0" t="n">
        <v>0.470352502506773</v>
      </c>
      <c r="Y505" s="0" t="s">
        <v>5097</v>
      </c>
      <c r="Z505" s="0" t="s">
        <v>158</v>
      </c>
    </row>
    <row r="506" customFormat="false" ht="15" hidden="false" customHeight="false" outlineLevel="0" collapsed="false">
      <c r="A506" s="0" t="n">
        <v>506</v>
      </c>
      <c r="B506" s="0" t="n">
        <v>764903</v>
      </c>
      <c r="C506" s="0" t="n">
        <v>18030</v>
      </c>
      <c r="D506" s="0" t="n">
        <v>682796</v>
      </c>
      <c r="E506" s="0" t="s">
        <v>195</v>
      </c>
      <c r="F506" s="0" t="n">
        <v>50593</v>
      </c>
      <c r="G506" s="0" t="s">
        <v>5098</v>
      </c>
      <c r="H506" s="0" t="s">
        <v>5099</v>
      </c>
      <c r="I506" s="0" t="s">
        <v>5100</v>
      </c>
      <c r="J506" s="0" t="s">
        <v>5101</v>
      </c>
      <c r="K506" s="0" t="s">
        <v>5102</v>
      </c>
      <c r="L506" s="0" t="n">
        <v>593081</v>
      </c>
      <c r="M506" s="0" t="s">
        <v>5103</v>
      </c>
      <c r="N506" s="0" t="n">
        <v>452116</v>
      </c>
      <c r="O506" s="0" t="n">
        <v>1934</v>
      </c>
      <c r="P506" s="0" t="s">
        <v>349</v>
      </c>
      <c r="Q506" s="0" t="s">
        <v>5104</v>
      </c>
      <c r="R506" s="0" t="s">
        <v>5105</v>
      </c>
      <c r="S506" s="0" t="s">
        <v>5106</v>
      </c>
      <c r="T506" s="0" t="s">
        <v>5107</v>
      </c>
      <c r="U506" s="0" t="n">
        <v>0</v>
      </c>
      <c r="V506" s="0" t="n">
        <v>13.4436887474241</v>
      </c>
      <c r="W506" s="0" t="n">
        <v>20240630</v>
      </c>
      <c r="X506" s="0" t="n">
        <v>0.674002311473751</v>
      </c>
      <c r="Y506" s="0" t="s">
        <v>5108</v>
      </c>
      <c r="Z506" s="0" t="s">
        <v>158</v>
      </c>
    </row>
    <row r="507" customFormat="false" ht="15" hidden="false" customHeight="false" outlineLevel="0" collapsed="false">
      <c r="A507" s="0" t="n">
        <v>507</v>
      </c>
      <c r="B507" s="0" t="n">
        <v>669965</v>
      </c>
      <c r="C507" s="0" t="n">
        <v>18031</v>
      </c>
      <c r="D507" s="0" t="n">
        <v>520982</v>
      </c>
      <c r="E507" s="0" t="s">
        <v>1729</v>
      </c>
      <c r="F507" s="0" t="n">
        <v>36939</v>
      </c>
      <c r="G507" s="0" t="s">
        <v>5109</v>
      </c>
      <c r="H507" s="0" t="s">
        <v>5110</v>
      </c>
      <c r="I507" s="0" t="s">
        <v>5111</v>
      </c>
      <c r="J507" s="0" t="s">
        <v>630</v>
      </c>
      <c r="K507" s="0" t="s">
        <v>5112</v>
      </c>
      <c r="L507" s="0" t="n">
        <v>472971</v>
      </c>
      <c r="M507" s="0" t="s">
        <v>5113</v>
      </c>
      <c r="N507" s="0" t="n">
        <v>433316</v>
      </c>
      <c r="O507" s="0" t="n">
        <v>900</v>
      </c>
      <c r="P507" s="0" t="s">
        <v>361</v>
      </c>
      <c r="Q507" s="0" t="s">
        <v>5114</v>
      </c>
      <c r="R507" s="0" t="s">
        <v>5115</v>
      </c>
      <c r="S507" s="0" t="s">
        <v>489</v>
      </c>
      <c r="T507" s="0" t="s">
        <v>2852</v>
      </c>
      <c r="U507" s="0" t="n">
        <v>27</v>
      </c>
      <c r="V507" s="0" t="n">
        <v>16.5316455015501</v>
      </c>
      <c r="W507" s="0" t="n">
        <v>20240630</v>
      </c>
      <c r="X507" s="0" t="n">
        <v>0.428613561597885</v>
      </c>
      <c r="Y507" s="0" t="s">
        <v>2875</v>
      </c>
      <c r="Z507" s="0" t="s">
        <v>158</v>
      </c>
    </row>
    <row r="508" customFormat="false" ht="15" hidden="false" customHeight="false" outlineLevel="0" collapsed="false">
      <c r="A508" s="0" t="n">
        <v>508</v>
      </c>
      <c r="B508" s="0" t="n">
        <v>528195</v>
      </c>
      <c r="C508" s="0" t="n">
        <v>18038</v>
      </c>
      <c r="D508" s="0" t="n">
        <v>406919</v>
      </c>
      <c r="E508" s="0" t="s">
        <v>208</v>
      </c>
      <c r="F508" s="0" t="n">
        <v>66574</v>
      </c>
      <c r="G508" s="0" t="s">
        <v>5116</v>
      </c>
      <c r="H508" s="0" t="s">
        <v>5117</v>
      </c>
      <c r="I508" s="0" t="s">
        <v>5118</v>
      </c>
      <c r="J508" s="0" t="s">
        <v>5119</v>
      </c>
      <c r="K508" s="0" t="s">
        <v>5120</v>
      </c>
      <c r="L508" s="0" t="n">
        <v>417854</v>
      </c>
      <c r="M508" s="0" t="s">
        <v>5121</v>
      </c>
      <c r="N508" s="0" t="n">
        <v>385504</v>
      </c>
      <c r="O508" s="0" t="n">
        <v>2632</v>
      </c>
      <c r="P508" s="0" t="s">
        <v>372</v>
      </c>
      <c r="Q508" s="0" t="s">
        <v>5122</v>
      </c>
      <c r="R508" s="0" t="s">
        <v>5123</v>
      </c>
      <c r="S508" s="0" t="s">
        <v>155</v>
      </c>
      <c r="T508" s="0" t="s">
        <v>5124</v>
      </c>
      <c r="U508" s="0" t="n">
        <v>0</v>
      </c>
      <c r="V508" s="0" t="n">
        <v>0</v>
      </c>
      <c r="W508" s="0" t="n">
        <v>20240630</v>
      </c>
      <c r="X508" s="0" t="n">
        <v>0.655171832852562</v>
      </c>
      <c r="Y508" s="0" t="s">
        <v>4063</v>
      </c>
      <c r="Z508" s="0" t="s">
        <v>158</v>
      </c>
    </row>
    <row r="509" customFormat="false" ht="15" hidden="false" customHeight="false" outlineLevel="0" collapsed="false">
      <c r="A509" s="0" t="n">
        <v>509</v>
      </c>
      <c r="B509" s="0" t="n">
        <v>7222033</v>
      </c>
      <c r="C509" s="0" t="n">
        <v>18408</v>
      </c>
      <c r="D509" s="0" t="n">
        <v>5353465</v>
      </c>
      <c r="E509" s="0" t="s">
        <v>390</v>
      </c>
      <c r="F509" s="0" t="n">
        <v>408904</v>
      </c>
      <c r="G509" s="0" t="s">
        <v>5125</v>
      </c>
      <c r="H509" s="0" t="s">
        <v>5126</v>
      </c>
      <c r="I509" s="0" t="s">
        <v>5127</v>
      </c>
      <c r="J509" s="0" t="s">
        <v>5128</v>
      </c>
      <c r="K509" s="0" t="s">
        <v>5129</v>
      </c>
      <c r="L509" s="0" t="n">
        <v>4887305</v>
      </c>
      <c r="M509" s="0" t="s">
        <v>5130</v>
      </c>
      <c r="N509" s="0" t="n">
        <v>4394120</v>
      </c>
      <c r="O509" s="0" t="n">
        <v>4032</v>
      </c>
      <c r="P509" s="0" t="s">
        <v>384</v>
      </c>
      <c r="Q509" s="0" t="s">
        <v>5131</v>
      </c>
      <c r="R509" s="0" t="s">
        <v>5132</v>
      </c>
      <c r="S509" s="0" t="s">
        <v>5133</v>
      </c>
      <c r="T509" s="0" t="s">
        <v>5134</v>
      </c>
      <c r="U509" s="0" t="n">
        <v>0</v>
      </c>
      <c r="V509" s="0" t="n">
        <v>11.3956962361995</v>
      </c>
      <c r="W509" s="0" t="n">
        <v>20240630</v>
      </c>
      <c r="X509" s="0" t="n">
        <v>0.0504801142925108</v>
      </c>
      <c r="Y509" s="0" t="s">
        <v>2739</v>
      </c>
      <c r="Z509" s="0" t="s">
        <v>60</v>
      </c>
    </row>
    <row r="510" customFormat="false" ht="15" hidden="false" customHeight="false" outlineLevel="0" collapsed="false">
      <c r="A510" s="0" t="n">
        <v>510</v>
      </c>
      <c r="B510" s="0" t="n">
        <v>2602801</v>
      </c>
      <c r="C510" s="0" t="n">
        <v>19531</v>
      </c>
      <c r="D510" s="0" t="n">
        <v>2007423</v>
      </c>
      <c r="E510" s="0" t="s">
        <v>61</v>
      </c>
      <c r="F510" s="0" t="n">
        <v>245672</v>
      </c>
      <c r="G510" s="0" t="s">
        <v>5135</v>
      </c>
      <c r="H510" s="0" t="s">
        <v>5136</v>
      </c>
      <c r="I510" s="0" t="s">
        <v>5137</v>
      </c>
      <c r="J510" s="0" t="s">
        <v>5138</v>
      </c>
      <c r="K510" s="0" t="s">
        <v>5139</v>
      </c>
      <c r="L510" s="0" t="n">
        <v>2138891</v>
      </c>
      <c r="M510" s="0" t="s">
        <v>5140</v>
      </c>
      <c r="N510" s="0" t="n">
        <v>1752265</v>
      </c>
      <c r="O510" s="0" t="n">
        <v>8076</v>
      </c>
      <c r="P510" s="0" t="s">
        <v>397</v>
      </c>
      <c r="Q510" s="0" t="s">
        <v>5141</v>
      </c>
      <c r="R510" s="0" t="s">
        <v>5142</v>
      </c>
      <c r="S510" s="0" t="s">
        <v>3747</v>
      </c>
      <c r="T510" s="0" t="s">
        <v>5143</v>
      </c>
      <c r="U510" s="0" t="n">
        <v>12</v>
      </c>
      <c r="V510" s="0" t="n">
        <v>13.7246237828604</v>
      </c>
      <c r="W510" s="0" t="n">
        <v>20240630</v>
      </c>
      <c r="X510" s="0" t="n">
        <v>0.363488052763752</v>
      </c>
      <c r="Y510" s="0" t="s">
        <v>5144</v>
      </c>
      <c r="Z510" s="0" t="s">
        <v>60</v>
      </c>
    </row>
    <row r="511" customFormat="false" ht="15" hidden="false" customHeight="false" outlineLevel="0" collapsed="false">
      <c r="A511" s="0" t="n">
        <v>511</v>
      </c>
      <c r="B511" s="0" t="n">
        <v>880879</v>
      </c>
      <c r="C511" s="0" t="n">
        <v>19532</v>
      </c>
      <c r="D511" s="0" t="n">
        <v>709469</v>
      </c>
      <c r="E511" s="0" t="s">
        <v>390</v>
      </c>
      <c r="F511" s="0" t="n">
        <v>98709</v>
      </c>
      <c r="G511" s="0" t="s">
        <v>5145</v>
      </c>
      <c r="H511" s="0" t="s">
        <v>5146</v>
      </c>
      <c r="I511" s="0" t="s">
        <v>5147</v>
      </c>
      <c r="J511" s="0" t="s">
        <v>5148</v>
      </c>
      <c r="K511" s="0" t="s">
        <v>5149</v>
      </c>
      <c r="L511" s="0" t="n">
        <v>596358</v>
      </c>
      <c r="M511" s="0" t="s">
        <v>5150</v>
      </c>
      <c r="N511" s="0" t="n">
        <v>490094</v>
      </c>
      <c r="O511" s="0" t="n">
        <v>1611</v>
      </c>
      <c r="P511" s="0" t="s">
        <v>409</v>
      </c>
      <c r="Q511" s="0" t="s">
        <v>5151</v>
      </c>
      <c r="R511" s="0" t="s">
        <v>5152</v>
      </c>
      <c r="S511" s="0" t="s">
        <v>5153</v>
      </c>
      <c r="T511" s="0" t="s">
        <v>5154</v>
      </c>
      <c r="U511" s="0" t="n">
        <v>0</v>
      </c>
      <c r="V511" s="0" t="n">
        <v>21.2603406906925</v>
      </c>
      <c r="W511" s="0" t="n">
        <v>20240630</v>
      </c>
      <c r="X511" s="0" t="n">
        <v>0.858496118129066</v>
      </c>
      <c r="Y511" s="0" t="s">
        <v>764</v>
      </c>
      <c r="Z511" s="0" t="s">
        <v>60</v>
      </c>
    </row>
    <row r="512" customFormat="false" ht="15" hidden="false" customHeight="false" outlineLevel="0" collapsed="false">
      <c r="A512" s="0" t="n">
        <v>512</v>
      </c>
      <c r="B512" s="0" t="n">
        <v>3132203</v>
      </c>
      <c r="C512" s="0" t="n">
        <v>19690</v>
      </c>
      <c r="D512" s="0" t="n">
        <v>2362286</v>
      </c>
      <c r="E512" s="0" t="s">
        <v>259</v>
      </c>
      <c r="F512" s="0" t="n">
        <v>376634</v>
      </c>
      <c r="G512" s="0" t="s">
        <v>5155</v>
      </c>
      <c r="H512" s="0" t="s">
        <v>5156</v>
      </c>
      <c r="I512" s="0" t="s">
        <v>5157</v>
      </c>
      <c r="J512" s="0" t="s">
        <v>5158</v>
      </c>
      <c r="K512" s="0" t="s">
        <v>5159</v>
      </c>
      <c r="L512" s="0" t="n">
        <v>2761157</v>
      </c>
      <c r="M512" s="0" t="s">
        <v>5160</v>
      </c>
      <c r="N512" s="0" t="n">
        <v>2127514</v>
      </c>
      <c r="O512" s="0" t="n">
        <v>28260</v>
      </c>
      <c r="P512" s="0" t="s">
        <v>420</v>
      </c>
      <c r="Q512" s="0" t="s">
        <v>5161</v>
      </c>
      <c r="R512" s="0" t="s">
        <v>5162</v>
      </c>
      <c r="S512" s="0" t="s">
        <v>5163</v>
      </c>
      <c r="T512" s="0" t="s">
        <v>5164</v>
      </c>
      <c r="U512" s="0" t="n">
        <v>0</v>
      </c>
      <c r="V512" s="0" t="n">
        <v>14.822901584382</v>
      </c>
      <c r="W512" s="0" t="n">
        <v>20240630</v>
      </c>
      <c r="X512" s="0" t="n">
        <v>1.9118906936064</v>
      </c>
      <c r="Y512" s="0" t="s">
        <v>5165</v>
      </c>
      <c r="Z512" s="0" t="s">
        <v>60</v>
      </c>
    </row>
    <row r="513" customFormat="false" ht="15" hidden="false" customHeight="false" outlineLevel="0" collapsed="false">
      <c r="A513" s="0" t="n">
        <v>513</v>
      </c>
      <c r="B513" s="0" t="n">
        <v>693631</v>
      </c>
      <c r="C513" s="0" t="n">
        <v>19836</v>
      </c>
      <c r="D513" s="0" t="n">
        <v>494603</v>
      </c>
      <c r="E513" s="0" t="s">
        <v>61</v>
      </c>
      <c r="F513" s="0" t="n">
        <v>122241</v>
      </c>
      <c r="G513" s="0" t="s">
        <v>5166</v>
      </c>
      <c r="H513" s="0" t="s">
        <v>5167</v>
      </c>
      <c r="I513" s="0" t="s">
        <v>5168</v>
      </c>
      <c r="J513" s="0" t="s">
        <v>5169</v>
      </c>
      <c r="K513" s="0" t="s">
        <v>5170</v>
      </c>
      <c r="L513" s="0" t="n">
        <v>583028</v>
      </c>
      <c r="M513" s="0" t="s">
        <v>5171</v>
      </c>
      <c r="N513" s="0" t="n">
        <v>520353</v>
      </c>
      <c r="O513" s="0" t="n">
        <v>5114</v>
      </c>
      <c r="P513" s="0" t="s">
        <v>290</v>
      </c>
      <c r="Q513" s="0" t="s">
        <v>5172</v>
      </c>
      <c r="R513" s="0" t="s">
        <v>5173</v>
      </c>
      <c r="S513" s="0" t="s">
        <v>120</v>
      </c>
      <c r="T513" s="0" t="s">
        <v>4706</v>
      </c>
      <c r="U513" s="0" t="n">
        <v>539</v>
      </c>
      <c r="V513" s="0" t="n">
        <v>24.7547146632848</v>
      </c>
      <c r="W513" s="0" t="n">
        <v>20240630</v>
      </c>
      <c r="X513" s="0" t="n">
        <v>0.6592636990771</v>
      </c>
      <c r="Y513" s="0" t="s">
        <v>5174</v>
      </c>
      <c r="Z513" s="0" t="s">
        <v>60</v>
      </c>
    </row>
    <row r="514" customFormat="false" ht="15" hidden="false" customHeight="false" outlineLevel="0" collapsed="false">
      <c r="A514" s="0" t="n">
        <v>514</v>
      </c>
      <c r="B514" s="0" t="n">
        <v>1450962</v>
      </c>
      <c r="C514" s="0" t="n">
        <v>24540</v>
      </c>
      <c r="D514" s="0" t="n">
        <v>1167579</v>
      </c>
      <c r="E514" s="0" t="s">
        <v>593</v>
      </c>
      <c r="F514" s="0" t="n">
        <v>259158</v>
      </c>
      <c r="G514" s="0" t="s">
        <v>5175</v>
      </c>
      <c r="H514" s="0" t="s">
        <v>5176</v>
      </c>
      <c r="I514" s="0" t="s">
        <v>5177</v>
      </c>
      <c r="J514" s="0" t="s">
        <v>5178</v>
      </c>
      <c r="K514" s="0" t="s">
        <v>2843</v>
      </c>
      <c r="L514" s="0" t="n">
        <v>1284005</v>
      </c>
      <c r="M514" s="0" t="s">
        <v>5179</v>
      </c>
      <c r="N514" s="0" t="n">
        <v>1244382</v>
      </c>
      <c r="O514" s="0" t="n">
        <v>30086</v>
      </c>
      <c r="P514" s="0" t="s">
        <v>443</v>
      </c>
      <c r="Q514" s="0" t="s">
        <v>5180</v>
      </c>
      <c r="R514" s="0" t="s">
        <v>5181</v>
      </c>
      <c r="S514" s="0" t="s">
        <v>61</v>
      </c>
      <c r="T514" s="0" t="s">
        <v>61</v>
      </c>
      <c r="U514" s="0" t="n">
        <v>0</v>
      </c>
      <c r="V514" s="0" t="n">
        <v>18.6244989044056</v>
      </c>
      <c r="W514" s="0" t="n">
        <v>20240630</v>
      </c>
      <c r="X514" s="0" t="n">
        <v>1.93262033990791</v>
      </c>
      <c r="Y514" s="0" t="s">
        <v>3691</v>
      </c>
      <c r="Z514" s="0" t="s">
        <v>158</v>
      </c>
    </row>
    <row r="515" customFormat="false" ht="15" hidden="false" customHeight="false" outlineLevel="0" collapsed="false">
      <c r="A515" s="0" t="n">
        <v>515</v>
      </c>
      <c r="B515" s="0" t="n">
        <v>557168</v>
      </c>
      <c r="C515" s="0" t="n">
        <v>27824</v>
      </c>
      <c r="D515" s="0" t="n">
        <v>362991</v>
      </c>
      <c r="E515" s="0" t="s">
        <v>246</v>
      </c>
      <c r="F515" s="0" t="n">
        <v>64563</v>
      </c>
      <c r="G515" s="0" t="s">
        <v>5182</v>
      </c>
      <c r="H515" s="0" t="s">
        <v>5183</v>
      </c>
      <c r="I515" s="0" t="s">
        <v>5184</v>
      </c>
      <c r="J515" s="0" t="s">
        <v>5185</v>
      </c>
      <c r="K515" s="0" t="s">
        <v>5186</v>
      </c>
      <c r="L515" s="0" t="n">
        <v>460555</v>
      </c>
      <c r="M515" s="0" t="s">
        <v>5187</v>
      </c>
      <c r="N515" s="0" t="n">
        <v>398633</v>
      </c>
      <c r="O515" s="0" t="n">
        <v>1077</v>
      </c>
      <c r="P515" s="0" t="s">
        <v>453</v>
      </c>
      <c r="Q515" s="0" t="s">
        <v>5188</v>
      </c>
      <c r="R515" s="0" t="s">
        <v>5189</v>
      </c>
      <c r="S515" s="0" t="s">
        <v>3113</v>
      </c>
      <c r="T515" s="0" t="s">
        <v>5190</v>
      </c>
      <c r="U515" s="0" t="n">
        <v>0</v>
      </c>
      <c r="V515" s="0" t="n">
        <v>20.3577838503214</v>
      </c>
      <c r="W515" s="0" t="n">
        <v>20240630</v>
      </c>
      <c r="X515" s="0" t="n">
        <v>-0.374023312411938</v>
      </c>
      <c r="Y515" s="0" t="s">
        <v>5191</v>
      </c>
      <c r="Z515" s="0" t="s">
        <v>158</v>
      </c>
    </row>
    <row r="516" customFormat="false" ht="15" hidden="false" customHeight="false" outlineLevel="0" collapsed="false">
      <c r="A516" s="0" t="n">
        <v>516</v>
      </c>
      <c r="B516" s="0" t="n">
        <v>302055</v>
      </c>
      <c r="C516" s="0" t="n">
        <v>28155</v>
      </c>
      <c r="D516" s="0" t="n">
        <v>259692</v>
      </c>
      <c r="E516" s="0" t="s">
        <v>794</v>
      </c>
      <c r="F516" s="0" t="n">
        <v>27301</v>
      </c>
      <c r="G516" s="0" t="s">
        <v>5192</v>
      </c>
      <c r="H516" s="0" t="s">
        <v>5193</v>
      </c>
      <c r="I516" s="0" t="s">
        <v>5194</v>
      </c>
      <c r="J516" s="0" t="s">
        <v>5195</v>
      </c>
      <c r="K516" s="0" t="s">
        <v>5196</v>
      </c>
      <c r="L516" s="0" t="n">
        <v>173251</v>
      </c>
      <c r="M516" s="0" t="s">
        <v>5197</v>
      </c>
      <c r="N516" s="0" t="n">
        <v>155404</v>
      </c>
      <c r="O516" s="0" t="n">
        <v>0</v>
      </c>
      <c r="P516" s="0" t="s">
        <v>464</v>
      </c>
      <c r="Q516" s="0" t="s">
        <v>61</v>
      </c>
      <c r="R516" s="0" t="s">
        <v>5198</v>
      </c>
      <c r="S516" s="0" t="s">
        <v>256</v>
      </c>
      <c r="T516" s="0" t="s">
        <v>5199</v>
      </c>
      <c r="U516" s="0" t="n">
        <v>0</v>
      </c>
      <c r="V516" s="0" t="n">
        <v>16.9262702346722</v>
      </c>
      <c r="W516" s="0" t="n">
        <v>20240630</v>
      </c>
      <c r="X516" s="0" t="n">
        <v>-0.0547019798336482</v>
      </c>
      <c r="Y516" s="0" t="s">
        <v>4187</v>
      </c>
      <c r="Z516" s="0" t="s">
        <v>158</v>
      </c>
    </row>
    <row r="517" customFormat="false" ht="15" hidden="false" customHeight="false" outlineLevel="0" collapsed="false">
      <c r="A517" s="0" t="n">
        <v>517</v>
      </c>
      <c r="B517" s="0" t="n">
        <v>102466</v>
      </c>
      <c r="C517" s="0" t="n">
        <v>28288</v>
      </c>
      <c r="D517" s="0" t="n">
        <v>74553</v>
      </c>
      <c r="E517" s="0" t="s">
        <v>890</v>
      </c>
      <c r="F517" s="0" t="n">
        <v>5947</v>
      </c>
      <c r="G517" s="0" t="s">
        <v>5200</v>
      </c>
      <c r="H517" s="0" t="s">
        <v>5201</v>
      </c>
      <c r="I517" s="0" t="s">
        <v>5202</v>
      </c>
      <c r="J517" s="0" t="s">
        <v>5203</v>
      </c>
      <c r="K517" s="0" t="s">
        <v>5204</v>
      </c>
      <c r="L517" s="0" t="n">
        <v>82144</v>
      </c>
      <c r="M517" s="0" t="s">
        <v>5205</v>
      </c>
      <c r="N517" s="0" t="n">
        <v>74830</v>
      </c>
      <c r="O517" s="0" t="n">
        <v>251</v>
      </c>
      <c r="P517" s="0" t="s">
        <v>475</v>
      </c>
      <c r="Q517" s="0" t="s">
        <v>5206</v>
      </c>
      <c r="R517" s="0" t="s">
        <v>5207</v>
      </c>
      <c r="S517" s="0" t="s">
        <v>61</v>
      </c>
      <c r="T517" s="0" t="s">
        <v>2054</v>
      </c>
      <c r="U517" s="0" t="n">
        <v>0</v>
      </c>
      <c r="V517" s="0" t="n">
        <v>13.1640405593165</v>
      </c>
      <c r="W517" s="0" t="n">
        <v>20240630</v>
      </c>
      <c r="X517" s="0" t="n">
        <v>0.104067296851964</v>
      </c>
      <c r="Y517" s="0" t="s">
        <v>5208</v>
      </c>
      <c r="Z517" s="0" t="s">
        <v>60</v>
      </c>
    </row>
    <row r="518" customFormat="false" ht="15" hidden="false" customHeight="false" outlineLevel="0" collapsed="false">
      <c r="A518" s="0" t="n">
        <v>518</v>
      </c>
      <c r="B518" s="0" t="n">
        <v>95722</v>
      </c>
      <c r="C518" s="0" t="n">
        <v>28369</v>
      </c>
      <c r="D518" s="0" t="n">
        <v>71038</v>
      </c>
      <c r="E518" s="0" t="s">
        <v>195</v>
      </c>
      <c r="F518" s="0" t="n">
        <v>9198</v>
      </c>
      <c r="G518" s="0" t="s">
        <v>5209</v>
      </c>
      <c r="H518" s="0" t="s">
        <v>5210</v>
      </c>
      <c r="I518" s="0" t="s">
        <v>5211</v>
      </c>
      <c r="J518" s="0" t="s">
        <v>5212</v>
      </c>
      <c r="K518" s="0" t="s">
        <v>5213</v>
      </c>
      <c r="L518" s="0" t="n">
        <v>81829</v>
      </c>
      <c r="M518" s="0" t="s">
        <v>5214</v>
      </c>
      <c r="N518" s="0" t="n">
        <v>68216</v>
      </c>
      <c r="O518" s="0" t="n">
        <v>141</v>
      </c>
      <c r="P518" s="0" t="s">
        <v>486</v>
      </c>
      <c r="Q518" s="0" t="s">
        <v>5215</v>
      </c>
      <c r="R518" s="0" t="s">
        <v>5216</v>
      </c>
      <c r="S518" s="0" t="s">
        <v>478</v>
      </c>
      <c r="T518" s="0" t="s">
        <v>2984</v>
      </c>
      <c r="U518" s="0" t="n">
        <v>0</v>
      </c>
      <c r="V518" s="0" t="n">
        <v>13.6709423889672</v>
      </c>
      <c r="W518" s="0" t="n">
        <v>20240630</v>
      </c>
      <c r="X518" s="0" t="n">
        <v>-0.320244959302203</v>
      </c>
      <c r="Y518" s="0" t="s">
        <v>4692</v>
      </c>
      <c r="Z518" s="0" t="s">
        <v>60</v>
      </c>
    </row>
    <row r="519" customFormat="false" ht="15" hidden="false" customHeight="false" outlineLevel="0" collapsed="false">
      <c r="A519" s="0" t="n">
        <v>519</v>
      </c>
      <c r="B519" s="0" t="n">
        <v>285118</v>
      </c>
      <c r="C519" s="0" t="n">
        <v>28837</v>
      </c>
      <c r="D519" s="0" t="n">
        <v>254557</v>
      </c>
      <c r="E519" s="0" t="s">
        <v>4117</v>
      </c>
      <c r="F519" s="0" t="n">
        <v>27060</v>
      </c>
      <c r="G519" s="0" t="s">
        <v>5217</v>
      </c>
      <c r="H519" s="0" t="s">
        <v>5218</v>
      </c>
      <c r="I519" s="0" t="s">
        <v>5219</v>
      </c>
      <c r="J519" s="0" t="s">
        <v>5220</v>
      </c>
      <c r="K519" s="0" t="s">
        <v>4202</v>
      </c>
      <c r="L519" s="0" t="n">
        <v>202274</v>
      </c>
      <c r="M519" s="0" t="s">
        <v>5221</v>
      </c>
      <c r="N519" s="0" t="n">
        <v>192922</v>
      </c>
      <c r="O519" s="0" t="n">
        <v>155</v>
      </c>
      <c r="P519" s="0" t="s">
        <v>497</v>
      </c>
      <c r="Q519" s="0" t="s">
        <v>5222</v>
      </c>
      <c r="R519" s="0" t="s">
        <v>5223</v>
      </c>
      <c r="S519" s="0" t="s">
        <v>61</v>
      </c>
      <c r="T519" s="0" t="s">
        <v>1576</v>
      </c>
      <c r="U519" s="0" t="n">
        <v>0</v>
      </c>
      <c r="V519" s="0" t="n">
        <v>16.7395381692405</v>
      </c>
      <c r="W519" s="0" t="n">
        <v>20240630</v>
      </c>
      <c r="X519" s="0" t="n">
        <v>0.716098111079786</v>
      </c>
      <c r="Y519" s="0" t="s">
        <v>5224</v>
      </c>
      <c r="Z519" s="0" t="s">
        <v>98</v>
      </c>
    </row>
    <row r="520" customFormat="false" ht="15" hidden="false" customHeight="false" outlineLevel="0" collapsed="false">
      <c r="A520" s="0" t="n">
        <v>520</v>
      </c>
      <c r="B520" s="0" t="n">
        <v>180255</v>
      </c>
      <c r="C520" s="0" t="n">
        <v>29636</v>
      </c>
      <c r="D520" s="0" t="n">
        <v>137021</v>
      </c>
      <c r="E520" s="0" t="s">
        <v>195</v>
      </c>
      <c r="F520" s="0" t="n">
        <v>26121</v>
      </c>
      <c r="G520" s="0" t="s">
        <v>5225</v>
      </c>
      <c r="H520" s="0" t="s">
        <v>5226</v>
      </c>
      <c r="I520" s="0" t="s">
        <v>5227</v>
      </c>
      <c r="J520" s="0" t="s">
        <v>5228</v>
      </c>
      <c r="K520" s="0" t="s">
        <v>5229</v>
      </c>
      <c r="L520" s="0" t="n">
        <v>138577</v>
      </c>
      <c r="M520" s="0" t="s">
        <v>5230</v>
      </c>
      <c r="N520" s="0" t="n">
        <v>135371</v>
      </c>
      <c r="O520" s="0" t="n">
        <v>2731</v>
      </c>
      <c r="P520" s="0" t="s">
        <v>509</v>
      </c>
      <c r="Q520" s="0" t="s">
        <v>5231</v>
      </c>
      <c r="R520" s="0" t="s">
        <v>5232</v>
      </c>
      <c r="S520" s="0" t="s">
        <v>352</v>
      </c>
      <c r="T520" s="0" t="s">
        <v>5233</v>
      </c>
      <c r="U520" s="0" t="n">
        <v>0</v>
      </c>
      <c r="V520" s="0" t="n">
        <v>26.8583867787312</v>
      </c>
      <c r="W520" s="0" t="n">
        <v>20240630</v>
      </c>
      <c r="X520" s="0" t="n">
        <v>0.247766013645732</v>
      </c>
      <c r="Y520" s="0" t="s">
        <v>5234</v>
      </c>
      <c r="Z520" s="0" t="s">
        <v>60</v>
      </c>
    </row>
    <row r="521" customFormat="false" ht="15" hidden="false" customHeight="false" outlineLevel="0" collapsed="false">
      <c r="A521" s="0" t="n">
        <v>521</v>
      </c>
      <c r="B521" s="0" t="n">
        <v>189887</v>
      </c>
      <c r="C521" s="0" t="n">
        <v>29743</v>
      </c>
      <c r="D521" s="0" t="n">
        <v>166017</v>
      </c>
      <c r="E521" s="0" t="s">
        <v>1281</v>
      </c>
      <c r="F521" s="0" t="n">
        <v>17099</v>
      </c>
      <c r="G521" s="0" t="s">
        <v>5235</v>
      </c>
      <c r="H521" s="0" t="s">
        <v>5236</v>
      </c>
      <c r="I521" s="0" t="s">
        <v>5237</v>
      </c>
      <c r="J521" s="0" t="s">
        <v>5238</v>
      </c>
      <c r="K521" s="0" t="s">
        <v>5239</v>
      </c>
      <c r="L521" s="0" t="n">
        <v>133832</v>
      </c>
      <c r="M521" s="0" t="s">
        <v>5240</v>
      </c>
      <c r="N521" s="0" t="n">
        <v>86883</v>
      </c>
      <c r="O521" s="0" t="n">
        <v>167</v>
      </c>
      <c r="P521" s="0" t="s">
        <v>520</v>
      </c>
      <c r="Q521" s="0" t="s">
        <v>5241</v>
      </c>
      <c r="R521" s="0" t="s">
        <v>5242</v>
      </c>
      <c r="S521" s="0" t="s">
        <v>3967</v>
      </c>
      <c r="T521" s="0" t="s">
        <v>5243</v>
      </c>
      <c r="U521" s="0" t="n">
        <v>0</v>
      </c>
      <c r="V521" s="0" t="n">
        <v>18.342035357699</v>
      </c>
      <c r="W521" s="0" t="n">
        <v>20240630</v>
      </c>
      <c r="X521" s="0" t="n">
        <v>0.296387905667619</v>
      </c>
      <c r="Y521" s="0" t="s">
        <v>5244</v>
      </c>
      <c r="Z521" s="0" t="s">
        <v>60</v>
      </c>
    </row>
    <row r="522" customFormat="false" ht="15" hidden="false" customHeight="false" outlineLevel="0" collapsed="false">
      <c r="A522" s="0" t="n">
        <v>522</v>
      </c>
      <c r="B522" s="0" t="n">
        <v>602018</v>
      </c>
      <c r="C522" s="0" t="n">
        <v>29744</v>
      </c>
      <c r="D522" s="0" t="n">
        <v>471240</v>
      </c>
      <c r="E522" s="0" t="s">
        <v>794</v>
      </c>
      <c r="F522" s="0" t="n">
        <v>46233</v>
      </c>
      <c r="G522" s="0" t="s">
        <v>5245</v>
      </c>
      <c r="H522" s="0" t="s">
        <v>5246</v>
      </c>
      <c r="I522" s="0" t="s">
        <v>5247</v>
      </c>
      <c r="J522" s="0" t="s">
        <v>5248</v>
      </c>
      <c r="K522" s="0" t="s">
        <v>5249</v>
      </c>
      <c r="L522" s="0" t="n">
        <v>434882</v>
      </c>
      <c r="M522" s="0" t="s">
        <v>5250</v>
      </c>
      <c r="N522" s="0" t="n">
        <v>400003</v>
      </c>
      <c r="O522" s="0" t="n">
        <v>141</v>
      </c>
      <c r="P522" s="0" t="s">
        <v>531</v>
      </c>
      <c r="Q522" s="0" t="s">
        <v>5251</v>
      </c>
      <c r="R522" s="0" t="s">
        <v>5252</v>
      </c>
      <c r="S522" s="0" t="s">
        <v>352</v>
      </c>
      <c r="T522" s="0" t="s">
        <v>61</v>
      </c>
      <c r="U522" s="0" t="n">
        <v>0</v>
      </c>
      <c r="V522" s="0" t="n">
        <v>15.527357074635</v>
      </c>
      <c r="W522" s="0" t="n">
        <v>20240630</v>
      </c>
      <c r="X522" s="0" t="n">
        <v>0.296595325680526</v>
      </c>
      <c r="Y522" s="0" t="s">
        <v>967</v>
      </c>
      <c r="Z522" s="0" t="s">
        <v>158</v>
      </c>
    </row>
    <row r="523" customFormat="false" ht="15" hidden="false" customHeight="false" outlineLevel="0" collapsed="false">
      <c r="A523" s="0" t="n">
        <v>523</v>
      </c>
      <c r="B523" s="0" t="n">
        <v>564787</v>
      </c>
      <c r="C523" s="0" t="n">
        <v>30350</v>
      </c>
      <c r="D523" s="0" t="n">
        <v>443952</v>
      </c>
      <c r="E523" s="0" t="s">
        <v>195</v>
      </c>
      <c r="F523" s="0" t="n">
        <v>57863</v>
      </c>
      <c r="G523" s="0" t="s">
        <v>5253</v>
      </c>
      <c r="H523" s="0" t="s">
        <v>5254</v>
      </c>
      <c r="I523" s="0" t="s">
        <v>5255</v>
      </c>
      <c r="J523" s="0" t="s">
        <v>5256</v>
      </c>
      <c r="K523" s="0" t="s">
        <v>5257</v>
      </c>
      <c r="L523" s="0" t="n">
        <v>416045</v>
      </c>
      <c r="M523" s="0" t="s">
        <v>5258</v>
      </c>
      <c r="N523" s="0" t="n">
        <v>396859</v>
      </c>
      <c r="O523" s="0" t="n">
        <v>1683</v>
      </c>
      <c r="P523" s="0" t="s">
        <v>543</v>
      </c>
      <c r="Q523" s="0" t="s">
        <v>5259</v>
      </c>
      <c r="R523" s="0" t="s">
        <v>5260</v>
      </c>
      <c r="S523" s="0" t="s">
        <v>5261</v>
      </c>
      <c r="T523" s="0" t="s">
        <v>2391</v>
      </c>
      <c r="U523" s="0" t="n">
        <v>0</v>
      </c>
      <c r="V523" s="0" t="n">
        <v>20.7901181982749</v>
      </c>
      <c r="W523" s="0" t="n">
        <v>20240630</v>
      </c>
      <c r="X523" s="0" t="n">
        <v>0.535675281474205</v>
      </c>
      <c r="Y523" s="0" t="s">
        <v>5262</v>
      </c>
      <c r="Z523" s="0" t="s">
        <v>98</v>
      </c>
    </row>
    <row r="524" customFormat="false" ht="15" hidden="false" customHeight="false" outlineLevel="0" collapsed="false">
      <c r="A524" s="0" t="n">
        <v>524</v>
      </c>
      <c r="B524" s="0" t="n">
        <v>102920</v>
      </c>
      <c r="C524" s="0" t="n">
        <v>30878</v>
      </c>
      <c r="D524" s="0" t="n">
        <v>76575</v>
      </c>
      <c r="E524" s="0" t="s">
        <v>5263</v>
      </c>
      <c r="F524" s="0" t="n">
        <v>12189</v>
      </c>
      <c r="G524" s="0" t="s">
        <v>5264</v>
      </c>
      <c r="H524" s="0" t="s">
        <v>5265</v>
      </c>
      <c r="I524" s="0" t="s">
        <v>5266</v>
      </c>
      <c r="J524" s="0" t="s">
        <v>61</v>
      </c>
      <c r="K524" s="0" t="s">
        <v>1977</v>
      </c>
      <c r="L524" s="0" t="n">
        <v>88156</v>
      </c>
      <c r="M524" s="0" t="s">
        <v>5267</v>
      </c>
      <c r="N524" s="0" t="n">
        <v>87984</v>
      </c>
      <c r="O524" s="0" t="n">
        <v>1829</v>
      </c>
      <c r="P524" s="0" t="s">
        <v>553</v>
      </c>
      <c r="Q524" s="0" t="s">
        <v>5268</v>
      </c>
      <c r="R524" s="0" t="s">
        <v>5269</v>
      </c>
      <c r="S524" s="0" t="s">
        <v>61</v>
      </c>
      <c r="T524" s="0" t="s">
        <v>5270</v>
      </c>
      <c r="U524" s="0" t="n">
        <v>0</v>
      </c>
      <c r="V524" s="0" t="n">
        <v>0</v>
      </c>
      <c r="W524" s="0" t="n">
        <v>20240630</v>
      </c>
      <c r="X524" s="0" t="n">
        <v>-0.227714970329511</v>
      </c>
      <c r="Y524" s="0" t="s">
        <v>5271</v>
      </c>
      <c r="Z524" s="0" t="s">
        <v>60</v>
      </c>
    </row>
    <row r="525" customFormat="false" ht="15" hidden="false" customHeight="false" outlineLevel="0" collapsed="false">
      <c r="A525" s="0" t="n">
        <v>525</v>
      </c>
      <c r="B525" s="0" t="n">
        <v>907185</v>
      </c>
      <c r="C525" s="0" t="n">
        <v>33418</v>
      </c>
      <c r="D525" s="0" t="n">
        <v>797623</v>
      </c>
      <c r="E525" s="0" t="s">
        <v>1708</v>
      </c>
      <c r="F525" s="0" t="n">
        <v>68495</v>
      </c>
      <c r="G525" s="0" t="s">
        <v>5272</v>
      </c>
      <c r="H525" s="0" t="s">
        <v>5273</v>
      </c>
      <c r="I525" s="0" t="s">
        <v>5274</v>
      </c>
      <c r="J525" s="0" t="s">
        <v>5275</v>
      </c>
      <c r="K525" s="0" t="s">
        <v>5276</v>
      </c>
      <c r="L525" s="0" t="n">
        <v>496078</v>
      </c>
      <c r="M525" s="0" t="s">
        <v>5277</v>
      </c>
      <c r="N525" s="0" t="n">
        <v>409365</v>
      </c>
      <c r="O525" s="0" t="n">
        <v>964</v>
      </c>
      <c r="P525" s="0" t="s">
        <v>564</v>
      </c>
      <c r="Q525" s="0" t="s">
        <v>5278</v>
      </c>
      <c r="R525" s="0" t="s">
        <v>5279</v>
      </c>
      <c r="S525" s="0" t="s">
        <v>155</v>
      </c>
      <c r="T525" s="0" t="s">
        <v>5280</v>
      </c>
      <c r="U525" s="0" t="n">
        <v>0</v>
      </c>
      <c r="V525" s="0" t="n">
        <v>14.3976303978601</v>
      </c>
      <c r="W525" s="0" t="n">
        <v>20240630</v>
      </c>
      <c r="X525" s="0" t="n">
        <v>0.374700273680357</v>
      </c>
      <c r="Y525" s="0" t="s">
        <v>4094</v>
      </c>
      <c r="Z525" s="0" t="s">
        <v>98</v>
      </c>
    </row>
    <row r="526" customFormat="false" ht="15" hidden="false" customHeight="false" outlineLevel="0" collapsed="false">
      <c r="A526" s="0" t="n">
        <v>526</v>
      </c>
      <c r="B526" s="0" t="n">
        <v>84424</v>
      </c>
      <c r="C526" s="0" t="n">
        <v>35206</v>
      </c>
      <c r="D526" s="0" t="n">
        <v>500</v>
      </c>
      <c r="E526" s="0" t="s">
        <v>61</v>
      </c>
      <c r="F526" s="0" t="n">
        <v>82008</v>
      </c>
      <c r="G526" s="0" t="s">
        <v>5281</v>
      </c>
      <c r="H526" s="0" t="s">
        <v>5282</v>
      </c>
      <c r="I526" s="0" t="s">
        <v>61</v>
      </c>
      <c r="J526" s="0" t="s">
        <v>61</v>
      </c>
      <c r="K526" s="0" t="s">
        <v>61</v>
      </c>
      <c r="L526" s="0" t="n">
        <v>0</v>
      </c>
      <c r="M526" s="0" t="s">
        <v>61</v>
      </c>
      <c r="N526" s="0" t="n">
        <v>0</v>
      </c>
      <c r="O526" s="0" t="n">
        <v>0</v>
      </c>
      <c r="P526" s="0" t="s">
        <v>1112</v>
      </c>
      <c r="Q526" s="0" t="s">
        <v>61</v>
      </c>
      <c r="R526" s="0" t="s">
        <v>5283</v>
      </c>
      <c r="S526" s="0" t="s">
        <v>61</v>
      </c>
      <c r="T526" s="0" t="s">
        <v>61</v>
      </c>
      <c r="U526" s="0" t="n">
        <v>0</v>
      </c>
      <c r="V526" s="0" t="n">
        <v>0</v>
      </c>
      <c r="W526" s="0" t="n">
        <v>20240630</v>
      </c>
      <c r="X526" s="0" t="n">
        <v>18.8338919249121</v>
      </c>
      <c r="Y526" s="0" t="s">
        <v>5284</v>
      </c>
      <c r="Z526" s="0" t="s">
        <v>158</v>
      </c>
    </row>
    <row r="527" customFormat="false" ht="15" hidden="false" customHeight="false" outlineLevel="0" collapsed="false">
      <c r="A527" s="0" t="n">
        <v>527</v>
      </c>
      <c r="B527" s="0" t="n">
        <v>5709625</v>
      </c>
      <c r="C527" s="0" t="n">
        <v>4255</v>
      </c>
      <c r="D527" s="0" t="n">
        <v>4547560</v>
      </c>
      <c r="E527" s="0" t="s">
        <v>890</v>
      </c>
      <c r="F527" s="0" t="n">
        <v>521498</v>
      </c>
      <c r="G527" s="0" t="s">
        <v>5285</v>
      </c>
      <c r="H527" s="0" t="s">
        <v>5286</v>
      </c>
      <c r="I527" s="0" t="s">
        <v>5287</v>
      </c>
      <c r="J527" s="0" t="s">
        <v>5288</v>
      </c>
      <c r="K527" s="0" t="s">
        <v>5289</v>
      </c>
      <c r="L527" s="0" t="n">
        <v>4153682</v>
      </c>
      <c r="M527" s="0" t="s">
        <v>5290</v>
      </c>
      <c r="N527" s="0" t="n">
        <v>3763309</v>
      </c>
      <c r="O527" s="0" t="n">
        <v>7795</v>
      </c>
      <c r="P527" s="0" t="s">
        <v>575</v>
      </c>
      <c r="Q527" s="0" t="s">
        <v>5291</v>
      </c>
      <c r="R527" s="0" t="s">
        <v>5292</v>
      </c>
      <c r="S527" s="0" t="s">
        <v>5293</v>
      </c>
      <c r="T527" s="0" t="s">
        <v>4987</v>
      </c>
      <c r="U527" s="0" t="n">
        <v>0</v>
      </c>
      <c r="V527" s="0" t="n">
        <v>13.8306326550339</v>
      </c>
      <c r="W527" s="0" t="n">
        <v>20240630</v>
      </c>
      <c r="X527" s="0" t="n">
        <v>0.924812905065092</v>
      </c>
      <c r="Y527" s="0" t="s">
        <v>5294</v>
      </c>
      <c r="Z527" s="0" t="s">
        <v>60</v>
      </c>
    </row>
    <row r="528" customFormat="false" ht="15" hidden="false" customHeight="false" outlineLevel="0" collapsed="false">
      <c r="A528" s="0" t="n">
        <v>528</v>
      </c>
      <c r="B528" s="0" t="n">
        <v>3049270</v>
      </c>
      <c r="C528" s="0" t="n">
        <v>4256</v>
      </c>
      <c r="D528" s="0" t="n">
        <v>2578790</v>
      </c>
      <c r="E528" s="0" t="s">
        <v>61</v>
      </c>
      <c r="F528" s="0" t="n">
        <v>215996</v>
      </c>
      <c r="G528" s="0" t="s">
        <v>5295</v>
      </c>
      <c r="H528" s="0" t="s">
        <v>5296</v>
      </c>
      <c r="I528" s="0" t="s">
        <v>5297</v>
      </c>
      <c r="J528" s="0" t="s">
        <v>5298</v>
      </c>
      <c r="K528" s="0" t="s">
        <v>5299</v>
      </c>
      <c r="L528" s="0" t="n">
        <v>2247670</v>
      </c>
      <c r="M528" s="0" t="s">
        <v>5300</v>
      </c>
      <c r="N528" s="0" t="n">
        <v>1791622</v>
      </c>
      <c r="O528" s="0" t="n">
        <v>2564</v>
      </c>
      <c r="P528" s="0" t="s">
        <v>587</v>
      </c>
      <c r="Q528" s="0" t="s">
        <v>5301</v>
      </c>
      <c r="R528" s="0" t="s">
        <v>5302</v>
      </c>
      <c r="S528" s="0" t="s">
        <v>4435</v>
      </c>
      <c r="T528" s="0" t="s">
        <v>5303</v>
      </c>
      <c r="U528" s="0" t="n">
        <v>87</v>
      </c>
      <c r="V528" s="0" t="n">
        <v>13.1885325111592</v>
      </c>
      <c r="W528" s="0" t="n">
        <v>20240630</v>
      </c>
      <c r="X528" s="0" t="n">
        <v>0.857312303576122</v>
      </c>
      <c r="Y528" s="0" t="s">
        <v>5304</v>
      </c>
      <c r="Z528" s="0" t="s">
        <v>60</v>
      </c>
    </row>
    <row r="529" customFormat="false" ht="15" hidden="false" customHeight="false" outlineLevel="0" collapsed="false">
      <c r="A529" s="0" t="n">
        <v>529</v>
      </c>
      <c r="B529" s="0" t="n">
        <v>706680</v>
      </c>
      <c r="C529" s="0" t="n">
        <v>59086</v>
      </c>
      <c r="D529" s="0" t="n">
        <v>602024</v>
      </c>
      <c r="E529" s="0" t="s">
        <v>1436</v>
      </c>
      <c r="F529" s="0" t="n">
        <v>93282</v>
      </c>
      <c r="G529" s="0" t="s">
        <v>5305</v>
      </c>
      <c r="H529" s="0" t="s">
        <v>5306</v>
      </c>
      <c r="I529" s="0" t="s">
        <v>5307</v>
      </c>
      <c r="J529" s="0" t="s">
        <v>5308</v>
      </c>
      <c r="K529" s="0" t="s">
        <v>61</v>
      </c>
      <c r="L529" s="0" t="n">
        <v>594567</v>
      </c>
      <c r="M529" s="0" t="s">
        <v>5309</v>
      </c>
      <c r="N529" s="0" t="n">
        <v>475386</v>
      </c>
      <c r="O529" s="0" t="n">
        <v>4045</v>
      </c>
      <c r="P529" s="0" t="s">
        <v>599</v>
      </c>
      <c r="Q529" s="0" t="s">
        <v>5310</v>
      </c>
      <c r="R529" s="0" t="s">
        <v>5311</v>
      </c>
      <c r="S529" s="0" t="s">
        <v>4350</v>
      </c>
      <c r="T529" s="0" t="s">
        <v>5312</v>
      </c>
      <c r="U529" s="0" t="n">
        <v>0</v>
      </c>
      <c r="V529" s="0" t="n">
        <v>15.7258590273076</v>
      </c>
      <c r="W529" s="0" t="n">
        <v>20240630</v>
      </c>
      <c r="X529" s="0" t="n">
        <v>1.41567060766831</v>
      </c>
      <c r="Y529" s="0" t="s">
        <v>2803</v>
      </c>
      <c r="Z529" s="0" t="s">
        <v>158</v>
      </c>
    </row>
    <row r="530" customFormat="false" ht="15" hidden="false" customHeight="false" outlineLevel="0" collapsed="false">
      <c r="A530" s="0" t="n">
        <v>530</v>
      </c>
      <c r="B530" s="0" t="n">
        <v>229589</v>
      </c>
      <c r="C530" s="0" t="n">
        <v>59176</v>
      </c>
      <c r="D530" s="0" t="n">
        <v>190049</v>
      </c>
      <c r="E530" s="0" t="s">
        <v>1187</v>
      </c>
      <c r="F530" s="0" t="n">
        <v>26811</v>
      </c>
      <c r="G530" s="0" t="s">
        <v>5313</v>
      </c>
      <c r="H530" s="0" t="s">
        <v>5314</v>
      </c>
      <c r="I530" s="0" t="s">
        <v>5315</v>
      </c>
      <c r="J530" s="0" t="s">
        <v>5316</v>
      </c>
      <c r="K530" s="0" t="s">
        <v>256</v>
      </c>
      <c r="L530" s="0" t="n">
        <v>167384</v>
      </c>
      <c r="M530" s="0" t="s">
        <v>5317</v>
      </c>
      <c r="N530" s="0" t="n">
        <v>145359</v>
      </c>
      <c r="O530" s="0" t="n">
        <v>0</v>
      </c>
      <c r="P530" s="0" t="s">
        <v>610</v>
      </c>
      <c r="Q530" s="0" t="s">
        <v>61</v>
      </c>
      <c r="R530" s="0" t="s">
        <v>5318</v>
      </c>
      <c r="S530" s="0" t="s">
        <v>4540</v>
      </c>
      <c r="T530" s="0" t="s">
        <v>5319</v>
      </c>
      <c r="U530" s="0" t="n">
        <v>0</v>
      </c>
      <c r="V530" s="0" t="n">
        <v>0</v>
      </c>
      <c r="W530" s="0" t="n">
        <v>20240630</v>
      </c>
      <c r="X530" s="0" t="n">
        <v>-0.0574175999443223</v>
      </c>
      <c r="Y530" s="0" t="s">
        <v>5320</v>
      </c>
      <c r="Z530" s="0" t="s">
        <v>158</v>
      </c>
    </row>
    <row r="531" customFormat="false" ht="15" hidden="false" customHeight="false" outlineLevel="0" collapsed="false">
      <c r="A531" s="0" t="n">
        <v>531</v>
      </c>
      <c r="B531" s="0" t="n">
        <v>105919</v>
      </c>
      <c r="C531" s="0" t="n">
        <v>59289</v>
      </c>
      <c r="D531" s="0" t="n">
        <v>86145</v>
      </c>
      <c r="E531" s="0" t="s">
        <v>3635</v>
      </c>
      <c r="F531" s="0" t="n">
        <v>18695</v>
      </c>
      <c r="G531" s="0" t="s">
        <v>5321</v>
      </c>
      <c r="H531" s="0" t="s">
        <v>5322</v>
      </c>
      <c r="I531" s="0" t="s">
        <v>5323</v>
      </c>
      <c r="J531" s="0" t="s">
        <v>5324</v>
      </c>
      <c r="K531" s="0" t="s">
        <v>61</v>
      </c>
      <c r="L531" s="0" t="n">
        <v>51371</v>
      </c>
      <c r="M531" s="0" t="s">
        <v>5325</v>
      </c>
      <c r="N531" s="0" t="n">
        <v>20661</v>
      </c>
      <c r="O531" s="0" t="n">
        <v>326</v>
      </c>
      <c r="P531" s="0" t="s">
        <v>2223</v>
      </c>
      <c r="Q531" s="0" t="s">
        <v>5326</v>
      </c>
      <c r="R531" s="0" t="s">
        <v>5327</v>
      </c>
      <c r="S531" s="0" t="s">
        <v>61</v>
      </c>
      <c r="T531" s="0" t="s">
        <v>5328</v>
      </c>
      <c r="U531" s="0" t="n">
        <v>0</v>
      </c>
      <c r="V531" s="0" t="n">
        <v>0</v>
      </c>
      <c r="W531" s="0" t="n">
        <v>20240630</v>
      </c>
      <c r="X531" s="0" t="n">
        <v>-1.13039059096849</v>
      </c>
      <c r="Y531" s="0" t="s">
        <v>5329</v>
      </c>
      <c r="Z531" s="0" t="s">
        <v>158</v>
      </c>
    </row>
    <row r="532" customFormat="false" ht="15" hidden="false" customHeight="false" outlineLevel="0" collapsed="false">
      <c r="A532" s="0" t="n">
        <v>532</v>
      </c>
      <c r="B532" s="0" t="n">
        <v>218470</v>
      </c>
      <c r="C532" s="0" t="n">
        <v>59298</v>
      </c>
      <c r="D532" s="0" t="n">
        <v>191471</v>
      </c>
      <c r="E532" s="0" t="s">
        <v>5330</v>
      </c>
      <c r="F532" s="0" t="n">
        <v>25754</v>
      </c>
      <c r="G532" s="0" t="s">
        <v>5331</v>
      </c>
      <c r="H532" s="0" t="s">
        <v>5332</v>
      </c>
      <c r="I532" s="0" t="s">
        <v>5333</v>
      </c>
      <c r="J532" s="0" t="s">
        <v>5334</v>
      </c>
      <c r="K532" s="0" t="s">
        <v>61</v>
      </c>
      <c r="L532" s="0" t="n">
        <v>98920</v>
      </c>
      <c r="M532" s="0" t="s">
        <v>5335</v>
      </c>
      <c r="N532" s="0" t="n">
        <v>79488</v>
      </c>
      <c r="O532" s="0" t="n">
        <v>0</v>
      </c>
      <c r="P532" s="0" t="s">
        <v>1684</v>
      </c>
      <c r="Q532" s="0" t="s">
        <v>61</v>
      </c>
      <c r="R532" s="0" t="s">
        <v>5336</v>
      </c>
      <c r="S532" s="0" t="s">
        <v>61</v>
      </c>
      <c r="T532" s="0" t="s">
        <v>61</v>
      </c>
      <c r="U532" s="0" t="n">
        <v>0</v>
      </c>
      <c r="V532" s="0" t="n">
        <v>0</v>
      </c>
      <c r="W532" s="0" t="n">
        <v>20240630</v>
      </c>
      <c r="X532" s="0" t="n">
        <v>-1.24942004259719</v>
      </c>
      <c r="Y532" s="0" t="s">
        <v>5337</v>
      </c>
      <c r="Z532" s="0" t="s">
        <v>98</v>
      </c>
    </row>
    <row r="533" customFormat="false" ht="15" hidden="false" customHeight="false" outlineLevel="0" collapsed="false">
      <c r="A533" s="0" t="n">
        <v>533</v>
      </c>
      <c r="B533" s="0" t="n">
        <v>1099892</v>
      </c>
      <c r="C533" s="0" t="n">
        <v>6271</v>
      </c>
      <c r="D533" s="0" t="n">
        <v>850097</v>
      </c>
      <c r="E533" s="0" t="s">
        <v>1393</v>
      </c>
      <c r="F533" s="0" t="n">
        <v>103229</v>
      </c>
      <c r="G533" s="0" t="s">
        <v>5338</v>
      </c>
      <c r="H533" s="0" t="s">
        <v>5339</v>
      </c>
      <c r="I533" s="0" t="s">
        <v>5340</v>
      </c>
      <c r="J533" s="0" t="s">
        <v>5341</v>
      </c>
      <c r="K533" s="0" t="s">
        <v>5342</v>
      </c>
      <c r="L533" s="0" t="n">
        <v>862977</v>
      </c>
      <c r="M533" s="0" t="s">
        <v>5343</v>
      </c>
      <c r="N533" s="0" t="n">
        <v>686602</v>
      </c>
      <c r="O533" s="0" t="n">
        <v>5816</v>
      </c>
      <c r="P533" s="0" t="s">
        <v>621</v>
      </c>
      <c r="Q533" s="0" t="s">
        <v>5344</v>
      </c>
      <c r="R533" s="0" t="s">
        <v>5345</v>
      </c>
      <c r="S533" s="0" t="s">
        <v>1525</v>
      </c>
      <c r="T533" s="0" t="s">
        <v>5346</v>
      </c>
      <c r="U533" s="0" t="n">
        <v>670</v>
      </c>
      <c r="V533" s="0" t="n">
        <v>14.8842709917216</v>
      </c>
      <c r="W533" s="0" t="n">
        <v>20240630</v>
      </c>
      <c r="X533" s="0" t="n">
        <v>1.11624647825961</v>
      </c>
      <c r="Y533" s="0" t="s">
        <v>5347</v>
      </c>
      <c r="Z533" s="0" t="s">
        <v>98</v>
      </c>
    </row>
    <row r="534" customFormat="false" ht="15" hidden="false" customHeight="false" outlineLevel="0" collapsed="false">
      <c r="A534" s="0" t="n">
        <v>534</v>
      </c>
      <c r="B534" s="0" t="n">
        <v>555322</v>
      </c>
      <c r="C534" s="0" t="n">
        <v>6275</v>
      </c>
      <c r="D534" s="0" t="n">
        <v>475950</v>
      </c>
      <c r="E534" s="0" t="s">
        <v>195</v>
      </c>
      <c r="F534" s="0" t="n">
        <v>30528</v>
      </c>
      <c r="G534" s="0" t="s">
        <v>5348</v>
      </c>
      <c r="H534" s="0" t="s">
        <v>5349</v>
      </c>
      <c r="I534" s="0" t="s">
        <v>5350</v>
      </c>
      <c r="J534" s="0" t="s">
        <v>5351</v>
      </c>
      <c r="K534" s="0" t="s">
        <v>5352</v>
      </c>
      <c r="L534" s="0" t="n">
        <v>346288</v>
      </c>
      <c r="M534" s="0" t="s">
        <v>5353</v>
      </c>
      <c r="N534" s="0" t="n">
        <v>286833</v>
      </c>
      <c r="O534" s="0" t="n">
        <v>1132</v>
      </c>
      <c r="P534" s="0" t="s">
        <v>633</v>
      </c>
      <c r="Q534" s="0" t="s">
        <v>5354</v>
      </c>
      <c r="R534" s="0" t="s">
        <v>5355</v>
      </c>
      <c r="S534" s="0" t="s">
        <v>1079</v>
      </c>
      <c r="T534" s="0" t="s">
        <v>5356</v>
      </c>
      <c r="U534" s="0" t="n">
        <v>0</v>
      </c>
      <c r="V534" s="0" t="n">
        <v>14.8227959202203</v>
      </c>
      <c r="W534" s="0" t="n">
        <v>20240630</v>
      </c>
      <c r="X534" s="0" t="n">
        <v>0.484528661086993</v>
      </c>
      <c r="Y534" s="0" t="s">
        <v>1176</v>
      </c>
      <c r="Z534" s="0" t="s">
        <v>98</v>
      </c>
    </row>
    <row r="535" customFormat="false" ht="15" hidden="false" customHeight="false" outlineLevel="0" collapsed="false">
      <c r="A535" s="0" t="n">
        <v>535</v>
      </c>
      <c r="B535" s="0" t="n">
        <v>81265</v>
      </c>
      <c r="C535" s="0" t="n">
        <v>6280</v>
      </c>
      <c r="D535" s="0" t="n">
        <v>71124</v>
      </c>
      <c r="E535" s="0" t="s">
        <v>390</v>
      </c>
      <c r="F535" s="0" t="n">
        <v>9570</v>
      </c>
      <c r="G535" s="0" t="s">
        <v>5357</v>
      </c>
      <c r="H535" s="0" t="s">
        <v>5358</v>
      </c>
      <c r="I535" s="0" t="s">
        <v>5359</v>
      </c>
      <c r="J535" s="0" t="s">
        <v>5360</v>
      </c>
      <c r="K535" s="0" t="s">
        <v>5361</v>
      </c>
      <c r="L535" s="0" t="n">
        <v>68641</v>
      </c>
      <c r="M535" s="0" t="s">
        <v>5362</v>
      </c>
      <c r="N535" s="0" t="n">
        <v>59949</v>
      </c>
      <c r="O535" s="0" t="n">
        <v>1206</v>
      </c>
      <c r="P535" s="0" t="s">
        <v>644</v>
      </c>
      <c r="Q535" s="0" t="s">
        <v>5363</v>
      </c>
      <c r="R535" s="0" t="s">
        <v>5364</v>
      </c>
      <c r="S535" s="0" t="s">
        <v>256</v>
      </c>
      <c r="T535" s="0" t="s">
        <v>5365</v>
      </c>
      <c r="U535" s="0" t="n">
        <v>0</v>
      </c>
      <c r="V535" s="0" t="n">
        <v>0</v>
      </c>
      <c r="W535" s="0" t="n">
        <v>20240630</v>
      </c>
      <c r="X535" s="0" t="n">
        <v>1.4362928525532</v>
      </c>
      <c r="Y535" s="0" t="s">
        <v>5366</v>
      </c>
      <c r="Z535" s="0" t="s">
        <v>98</v>
      </c>
    </row>
    <row r="536" customFormat="false" ht="15" hidden="false" customHeight="false" outlineLevel="0" collapsed="false">
      <c r="A536" s="0" t="n">
        <v>536</v>
      </c>
      <c r="B536" s="0" t="n">
        <v>4025992</v>
      </c>
      <c r="C536" s="0" t="n">
        <v>11971</v>
      </c>
      <c r="D536" s="0" t="n">
        <v>3269616</v>
      </c>
      <c r="E536" s="0" t="s">
        <v>208</v>
      </c>
      <c r="F536" s="0" t="n">
        <v>513464</v>
      </c>
      <c r="G536" s="0" t="s">
        <v>5367</v>
      </c>
      <c r="H536" s="0" t="s">
        <v>5368</v>
      </c>
      <c r="I536" s="0" t="s">
        <v>5369</v>
      </c>
      <c r="J536" s="0" t="s">
        <v>5370</v>
      </c>
      <c r="K536" s="0" t="s">
        <v>52</v>
      </c>
      <c r="L536" s="0" t="n">
        <v>3083007</v>
      </c>
      <c r="M536" s="0" t="s">
        <v>5371</v>
      </c>
      <c r="N536" s="0" t="n">
        <v>2726474</v>
      </c>
      <c r="O536" s="0" t="n">
        <v>7100</v>
      </c>
      <c r="P536" s="0" t="s">
        <v>54</v>
      </c>
      <c r="Q536" s="0" t="s">
        <v>5372</v>
      </c>
      <c r="R536" s="0" t="s">
        <v>5373</v>
      </c>
      <c r="S536" s="0" t="s">
        <v>5374</v>
      </c>
      <c r="T536" s="0" t="s">
        <v>5375</v>
      </c>
      <c r="U536" s="0" t="n">
        <v>0</v>
      </c>
      <c r="V536" s="0" t="n">
        <v>14.1709737676617</v>
      </c>
      <c r="W536" s="0" t="n">
        <v>20240930</v>
      </c>
      <c r="X536" s="0" t="n">
        <v>1.25603124970666</v>
      </c>
      <c r="Y536" s="0" t="s">
        <v>5376</v>
      </c>
      <c r="Z536" s="0" t="s">
        <v>60</v>
      </c>
    </row>
    <row r="537" customFormat="false" ht="15" hidden="false" customHeight="false" outlineLevel="0" collapsed="false">
      <c r="A537" s="0" t="n">
        <v>537</v>
      </c>
      <c r="B537" s="0" t="n">
        <v>1048081</v>
      </c>
      <c r="C537" s="0" t="n">
        <v>12874</v>
      </c>
      <c r="D537" s="0" t="n">
        <v>886959</v>
      </c>
      <c r="E537" s="0" t="s">
        <v>794</v>
      </c>
      <c r="F537" s="0" t="n">
        <v>113573</v>
      </c>
      <c r="G537" s="0" t="s">
        <v>5377</v>
      </c>
      <c r="H537" s="0" t="s">
        <v>5378</v>
      </c>
      <c r="I537" s="0" t="s">
        <v>5379</v>
      </c>
      <c r="J537" s="0" t="s">
        <v>5380</v>
      </c>
      <c r="K537" s="0" t="s">
        <v>5381</v>
      </c>
      <c r="L537" s="0" t="n">
        <v>818183</v>
      </c>
      <c r="M537" s="0" t="s">
        <v>5382</v>
      </c>
      <c r="N537" s="0" t="n">
        <v>635002</v>
      </c>
      <c r="O537" s="0" t="n">
        <v>1535</v>
      </c>
      <c r="P537" s="0" t="s">
        <v>68</v>
      </c>
      <c r="Q537" s="0" t="s">
        <v>5383</v>
      </c>
      <c r="R537" s="0" t="s">
        <v>5384</v>
      </c>
      <c r="S537" s="0" t="s">
        <v>988</v>
      </c>
      <c r="T537" s="0" t="s">
        <v>5385</v>
      </c>
      <c r="U537" s="0" t="n">
        <v>27</v>
      </c>
      <c r="V537" s="0" t="n">
        <v>16.2659086030794</v>
      </c>
      <c r="W537" s="0" t="n">
        <v>20240930</v>
      </c>
      <c r="X537" s="0" t="n">
        <v>0.901173084941212</v>
      </c>
      <c r="Y537" s="0" t="s">
        <v>1424</v>
      </c>
      <c r="Z537" s="0" t="s">
        <v>60</v>
      </c>
    </row>
    <row r="538" customFormat="false" ht="15" hidden="false" customHeight="false" outlineLevel="0" collapsed="false">
      <c r="A538" s="0" t="n">
        <v>538</v>
      </c>
      <c r="B538" s="0" t="n">
        <v>1856523</v>
      </c>
      <c r="C538" s="0" t="n">
        <v>13063</v>
      </c>
      <c r="D538" s="0" t="n">
        <v>1649721</v>
      </c>
      <c r="E538" s="0" t="s">
        <v>61</v>
      </c>
      <c r="F538" s="0" t="n">
        <v>158562</v>
      </c>
      <c r="G538" s="0" t="s">
        <v>5386</v>
      </c>
      <c r="H538" s="0" t="s">
        <v>5387</v>
      </c>
      <c r="I538" s="0" t="s">
        <v>5388</v>
      </c>
      <c r="J538" s="0" t="s">
        <v>5389</v>
      </c>
      <c r="K538" s="0" t="s">
        <v>5390</v>
      </c>
      <c r="L538" s="0" t="n">
        <v>1476973</v>
      </c>
      <c r="M538" s="0" t="s">
        <v>5391</v>
      </c>
      <c r="N538" s="0" t="n">
        <v>1407554</v>
      </c>
      <c r="O538" s="0" t="n">
        <v>503</v>
      </c>
      <c r="P538" s="0" t="s">
        <v>80</v>
      </c>
      <c r="Q538" s="0" t="s">
        <v>5392</v>
      </c>
      <c r="R538" s="0" t="s">
        <v>5393</v>
      </c>
      <c r="S538" s="0" t="s">
        <v>5394</v>
      </c>
      <c r="T538" s="0" t="s">
        <v>4893</v>
      </c>
      <c r="U538" s="0" t="n">
        <v>0</v>
      </c>
      <c r="V538" s="0" t="n">
        <v>0</v>
      </c>
      <c r="W538" s="0" t="n">
        <v>20240930</v>
      </c>
      <c r="X538" s="0" t="n">
        <v>0.459638695982449</v>
      </c>
      <c r="Y538" s="0" t="s">
        <v>5395</v>
      </c>
      <c r="Z538" s="0" t="s">
        <v>60</v>
      </c>
    </row>
    <row r="539" customFormat="false" ht="15" hidden="false" customHeight="false" outlineLevel="0" collapsed="false">
      <c r="A539" s="0" t="n">
        <v>539</v>
      </c>
      <c r="B539" s="0" t="n">
        <v>881237</v>
      </c>
      <c r="C539" s="0" t="n">
        <v>14134</v>
      </c>
      <c r="D539" s="0" t="n">
        <v>697247</v>
      </c>
      <c r="E539" s="0" t="s">
        <v>1187</v>
      </c>
      <c r="F539" s="0" t="n">
        <v>113479</v>
      </c>
      <c r="G539" s="0" t="s">
        <v>5396</v>
      </c>
      <c r="H539" s="0" t="s">
        <v>5397</v>
      </c>
      <c r="I539" s="0" t="s">
        <v>5398</v>
      </c>
      <c r="J539" s="0" t="s">
        <v>5399</v>
      </c>
      <c r="K539" s="0" t="s">
        <v>5400</v>
      </c>
      <c r="L539" s="0" t="n">
        <v>626162</v>
      </c>
      <c r="M539" s="0" t="s">
        <v>5401</v>
      </c>
      <c r="N539" s="0" t="n">
        <v>553522</v>
      </c>
      <c r="O539" s="0" t="n">
        <v>8606</v>
      </c>
      <c r="P539" s="0" t="s">
        <v>92</v>
      </c>
      <c r="Q539" s="0" t="s">
        <v>5402</v>
      </c>
      <c r="R539" s="0" t="s">
        <v>5403</v>
      </c>
      <c r="S539" s="0" t="s">
        <v>5404</v>
      </c>
      <c r="T539" s="0" t="s">
        <v>5405</v>
      </c>
      <c r="U539" s="0" t="n">
        <v>0</v>
      </c>
      <c r="V539" s="0" t="n">
        <v>19.944591622946</v>
      </c>
      <c r="W539" s="0" t="n">
        <v>20240930</v>
      </c>
      <c r="X539" s="0" t="n">
        <v>0.952621592945186</v>
      </c>
      <c r="Y539" s="0" t="s">
        <v>5406</v>
      </c>
      <c r="Z539" s="0" t="s">
        <v>98</v>
      </c>
    </row>
    <row r="540" customFormat="false" ht="15" hidden="false" customHeight="false" outlineLevel="0" collapsed="false">
      <c r="A540" s="0" t="n">
        <v>540</v>
      </c>
      <c r="B540" s="0" t="n">
        <v>238286</v>
      </c>
      <c r="C540" s="0" t="n">
        <v>14136</v>
      </c>
      <c r="D540" s="0" t="n">
        <v>200050</v>
      </c>
      <c r="E540" s="0" t="s">
        <v>890</v>
      </c>
      <c r="F540" s="0" t="n">
        <v>19934</v>
      </c>
      <c r="G540" s="0" t="s">
        <v>5407</v>
      </c>
      <c r="H540" s="0" t="s">
        <v>5408</v>
      </c>
      <c r="I540" s="0" t="s">
        <v>5409</v>
      </c>
      <c r="J540" s="0" t="s">
        <v>2828</v>
      </c>
      <c r="K540" s="0" t="s">
        <v>5410</v>
      </c>
      <c r="L540" s="0" t="n">
        <v>158640</v>
      </c>
      <c r="M540" s="0" t="s">
        <v>5411</v>
      </c>
      <c r="N540" s="0" t="n">
        <v>128174</v>
      </c>
      <c r="O540" s="0" t="n">
        <v>517</v>
      </c>
      <c r="P540" s="0" t="s">
        <v>105</v>
      </c>
      <c r="Q540" s="0" t="s">
        <v>5412</v>
      </c>
      <c r="R540" s="0" t="s">
        <v>5413</v>
      </c>
      <c r="S540" s="0" t="s">
        <v>5414</v>
      </c>
      <c r="T540" s="0" t="s">
        <v>803</v>
      </c>
      <c r="U540" s="0" t="n">
        <v>633</v>
      </c>
      <c r="V540" s="0" t="n">
        <v>18.0331440644395</v>
      </c>
      <c r="W540" s="0" t="n">
        <v>20240930</v>
      </c>
      <c r="X540" s="0" t="n">
        <v>0.549679011145021</v>
      </c>
      <c r="Y540" s="0" t="s">
        <v>5415</v>
      </c>
      <c r="Z540" s="0" t="s">
        <v>98</v>
      </c>
    </row>
    <row r="541" customFormat="false" ht="15" hidden="false" customHeight="false" outlineLevel="0" collapsed="false">
      <c r="A541" s="0" t="n">
        <v>541</v>
      </c>
      <c r="B541" s="0" t="n">
        <v>1527182</v>
      </c>
      <c r="C541" s="0" t="n">
        <v>14140</v>
      </c>
      <c r="D541" s="0" t="n">
        <v>1238363</v>
      </c>
      <c r="E541" s="0" t="s">
        <v>1281</v>
      </c>
      <c r="F541" s="0" t="n">
        <v>137226</v>
      </c>
      <c r="G541" s="0" t="s">
        <v>5416</v>
      </c>
      <c r="H541" s="0" t="s">
        <v>5417</v>
      </c>
      <c r="I541" s="0" t="s">
        <v>5418</v>
      </c>
      <c r="J541" s="0" t="s">
        <v>5419</v>
      </c>
      <c r="K541" s="0" t="s">
        <v>132</v>
      </c>
      <c r="L541" s="0" t="n">
        <v>1092353</v>
      </c>
      <c r="M541" s="0" t="s">
        <v>5420</v>
      </c>
      <c r="N541" s="0" t="n">
        <v>974171</v>
      </c>
      <c r="O541" s="0" t="n">
        <v>2124</v>
      </c>
      <c r="P541" s="0" t="s">
        <v>117</v>
      </c>
      <c r="Q541" s="0" t="s">
        <v>5421</v>
      </c>
      <c r="R541" s="0" t="s">
        <v>5422</v>
      </c>
      <c r="S541" s="0" t="s">
        <v>3244</v>
      </c>
      <c r="T541" s="0" t="s">
        <v>2688</v>
      </c>
      <c r="U541" s="0" t="n">
        <v>0</v>
      </c>
      <c r="V541" s="0" t="n">
        <v>0</v>
      </c>
      <c r="W541" s="0" t="n">
        <v>20240930</v>
      </c>
      <c r="X541" s="0" t="n">
        <v>0.289026150270389</v>
      </c>
      <c r="Y541" s="0" t="s">
        <v>5423</v>
      </c>
      <c r="Z541" s="0" t="s">
        <v>98</v>
      </c>
    </row>
    <row r="542" customFormat="false" ht="15" hidden="false" customHeight="false" outlineLevel="0" collapsed="false">
      <c r="A542" s="0" t="n">
        <v>542</v>
      </c>
      <c r="B542" s="0" t="n">
        <v>1518788</v>
      </c>
      <c r="C542" s="0" t="n">
        <v>14158</v>
      </c>
      <c r="D542" s="0" t="n">
        <v>1176600</v>
      </c>
      <c r="E542" s="0" t="s">
        <v>246</v>
      </c>
      <c r="F542" s="0" t="n">
        <v>88128</v>
      </c>
      <c r="G542" s="0" t="s">
        <v>5424</v>
      </c>
      <c r="H542" s="0" t="s">
        <v>5425</v>
      </c>
      <c r="I542" s="0" t="s">
        <v>5426</v>
      </c>
      <c r="J542" s="0" t="s">
        <v>5427</v>
      </c>
      <c r="K542" s="0" t="s">
        <v>5428</v>
      </c>
      <c r="L542" s="0" t="n">
        <v>1127929</v>
      </c>
      <c r="M542" s="0" t="s">
        <v>5429</v>
      </c>
      <c r="N542" s="0" t="n">
        <v>979666</v>
      </c>
      <c r="O542" s="0" t="n">
        <v>1709</v>
      </c>
      <c r="P542" s="0" t="s">
        <v>129</v>
      </c>
      <c r="Q542" s="0" t="s">
        <v>5430</v>
      </c>
      <c r="R542" s="0" t="s">
        <v>5431</v>
      </c>
      <c r="S542" s="0" t="s">
        <v>2678</v>
      </c>
      <c r="T542" s="0" t="s">
        <v>2262</v>
      </c>
      <c r="U542" s="0" t="n">
        <v>255</v>
      </c>
      <c r="V542" s="0" t="n">
        <v>12.7326927079282</v>
      </c>
      <c r="W542" s="0" t="n">
        <v>20240930</v>
      </c>
      <c r="X542" s="0" t="n">
        <v>0.591958039788572</v>
      </c>
      <c r="Y542" s="0" t="s">
        <v>5432</v>
      </c>
      <c r="Z542" s="0" t="s">
        <v>98</v>
      </c>
    </row>
    <row r="543" customFormat="false" ht="15" hidden="false" customHeight="false" outlineLevel="0" collapsed="false">
      <c r="A543" s="0" t="n">
        <v>543</v>
      </c>
      <c r="B543" s="0" t="n">
        <v>371732</v>
      </c>
      <c r="C543" s="0" t="n">
        <v>14168</v>
      </c>
      <c r="D543" s="0" t="n">
        <v>328030</v>
      </c>
      <c r="E543" s="0" t="s">
        <v>246</v>
      </c>
      <c r="F543" s="0" t="n">
        <v>38425</v>
      </c>
      <c r="G543" s="0" t="s">
        <v>5433</v>
      </c>
      <c r="H543" s="0" t="s">
        <v>5434</v>
      </c>
      <c r="I543" s="0" t="s">
        <v>5435</v>
      </c>
      <c r="J543" s="0" t="s">
        <v>5436</v>
      </c>
      <c r="K543" s="0" t="s">
        <v>5437</v>
      </c>
      <c r="L543" s="0" t="n">
        <v>268497</v>
      </c>
      <c r="M543" s="0" t="s">
        <v>5438</v>
      </c>
      <c r="N543" s="0" t="n">
        <v>228801</v>
      </c>
      <c r="O543" s="0" t="n">
        <v>865</v>
      </c>
      <c r="P543" s="0" t="s">
        <v>140</v>
      </c>
      <c r="Q543" s="0" t="s">
        <v>5439</v>
      </c>
      <c r="R543" s="0" t="s">
        <v>5440</v>
      </c>
      <c r="S543" s="0" t="s">
        <v>3244</v>
      </c>
      <c r="T543" s="0" t="s">
        <v>5441</v>
      </c>
      <c r="U543" s="0" t="n">
        <v>2</v>
      </c>
      <c r="V543" s="0" t="n">
        <v>16.4355401593798</v>
      </c>
      <c r="W543" s="0" t="n">
        <v>20240930</v>
      </c>
      <c r="X543" s="0" t="n">
        <v>1.07473840142319</v>
      </c>
      <c r="Y543" s="0" t="s">
        <v>1740</v>
      </c>
      <c r="Z543" s="0" t="s">
        <v>98</v>
      </c>
    </row>
    <row r="544" customFormat="false" ht="15" hidden="false" customHeight="false" outlineLevel="0" collapsed="false">
      <c r="A544" s="0" t="n">
        <v>544</v>
      </c>
      <c r="B544" s="0" t="n">
        <v>1215556</v>
      </c>
      <c r="C544" s="0" t="n">
        <v>14240</v>
      </c>
      <c r="D544" s="0" t="n">
        <v>1013911</v>
      </c>
      <c r="E544" s="0" t="s">
        <v>61</v>
      </c>
      <c r="F544" s="0" t="n">
        <v>96896</v>
      </c>
      <c r="G544" s="0" t="s">
        <v>5442</v>
      </c>
      <c r="H544" s="0" t="s">
        <v>5443</v>
      </c>
      <c r="I544" s="0" t="s">
        <v>5444</v>
      </c>
      <c r="J544" s="0" t="s">
        <v>5445</v>
      </c>
      <c r="K544" s="0" t="s">
        <v>5446</v>
      </c>
      <c r="L544" s="0" t="n">
        <v>912838</v>
      </c>
      <c r="M544" s="0" t="s">
        <v>5447</v>
      </c>
      <c r="N544" s="0" t="n">
        <v>772079</v>
      </c>
      <c r="O544" s="0" t="n">
        <v>3698</v>
      </c>
      <c r="P544" s="0" t="s">
        <v>152</v>
      </c>
      <c r="Q544" s="0" t="s">
        <v>5448</v>
      </c>
      <c r="R544" s="0" t="s">
        <v>5449</v>
      </c>
      <c r="S544" s="0" t="s">
        <v>5450</v>
      </c>
      <c r="T544" s="0" t="s">
        <v>5451</v>
      </c>
      <c r="U544" s="0" t="n">
        <v>0</v>
      </c>
      <c r="V544" s="0" t="n">
        <v>16.518911598904</v>
      </c>
      <c r="W544" s="0" t="n">
        <v>20240930</v>
      </c>
      <c r="X544" s="0" t="n">
        <v>0.459382516970762</v>
      </c>
      <c r="Y544" s="0" t="s">
        <v>2505</v>
      </c>
      <c r="Z544" s="0" t="s">
        <v>158</v>
      </c>
    </row>
    <row r="545" customFormat="false" ht="15" hidden="false" customHeight="false" outlineLevel="0" collapsed="false">
      <c r="A545" s="0" t="n">
        <v>545</v>
      </c>
      <c r="B545" s="0" t="n">
        <v>1064825</v>
      </c>
      <c r="C545" s="0" t="n">
        <v>17115</v>
      </c>
      <c r="D545" s="0" t="n">
        <v>811295</v>
      </c>
      <c r="E545" s="0" t="s">
        <v>390</v>
      </c>
      <c r="F545" s="0" t="n">
        <v>93281</v>
      </c>
      <c r="G545" s="0" t="s">
        <v>5452</v>
      </c>
      <c r="H545" s="0" t="s">
        <v>5453</v>
      </c>
      <c r="I545" s="0" t="s">
        <v>5454</v>
      </c>
      <c r="J545" s="0" t="s">
        <v>5455</v>
      </c>
      <c r="K545" s="0" t="s">
        <v>5456</v>
      </c>
      <c r="L545" s="0" t="n">
        <v>883708</v>
      </c>
      <c r="M545" s="0" t="s">
        <v>5457</v>
      </c>
      <c r="N545" s="0" t="n">
        <v>834346</v>
      </c>
      <c r="O545" s="0" t="n">
        <v>2417</v>
      </c>
      <c r="P545" s="0" t="s">
        <v>166</v>
      </c>
      <c r="Q545" s="0" t="s">
        <v>5458</v>
      </c>
      <c r="R545" s="0" t="s">
        <v>5459</v>
      </c>
      <c r="S545" s="0" t="s">
        <v>3005</v>
      </c>
      <c r="T545" s="0" t="s">
        <v>5460</v>
      </c>
      <c r="U545" s="0" t="n">
        <v>0</v>
      </c>
      <c r="V545" s="0" t="n">
        <v>14.1631497814056</v>
      </c>
      <c r="W545" s="0" t="n">
        <v>20240930</v>
      </c>
      <c r="X545" s="0" t="n">
        <v>0.320784489973106</v>
      </c>
      <c r="Y545" s="0" t="s">
        <v>5461</v>
      </c>
      <c r="Z545" s="0" t="s">
        <v>60</v>
      </c>
    </row>
    <row r="546" customFormat="false" ht="15" hidden="false" customHeight="false" outlineLevel="0" collapsed="false">
      <c r="A546" s="0" t="n">
        <v>546</v>
      </c>
      <c r="B546" s="0" t="n">
        <v>1621350</v>
      </c>
      <c r="C546" s="0" t="n">
        <v>17180</v>
      </c>
      <c r="D546" s="0" t="n">
        <v>1203070</v>
      </c>
      <c r="E546" s="0" t="s">
        <v>47</v>
      </c>
      <c r="F546" s="0" t="n">
        <v>143061</v>
      </c>
      <c r="G546" s="0" t="s">
        <v>5462</v>
      </c>
      <c r="H546" s="0" t="s">
        <v>5463</v>
      </c>
      <c r="I546" s="0" t="s">
        <v>5464</v>
      </c>
      <c r="J546" s="0" t="s">
        <v>5465</v>
      </c>
      <c r="K546" s="0" t="s">
        <v>5466</v>
      </c>
      <c r="L546" s="0" t="n">
        <v>1443161</v>
      </c>
      <c r="M546" s="0" t="s">
        <v>5467</v>
      </c>
      <c r="N546" s="0" t="n">
        <v>1205697</v>
      </c>
      <c r="O546" s="0" t="n">
        <v>5975</v>
      </c>
      <c r="P546" s="0" t="s">
        <v>179</v>
      </c>
      <c r="Q546" s="0" t="s">
        <v>5468</v>
      </c>
      <c r="R546" s="0" t="s">
        <v>5469</v>
      </c>
      <c r="S546" s="0" t="s">
        <v>1977</v>
      </c>
      <c r="T546" s="0" t="s">
        <v>5470</v>
      </c>
      <c r="U546" s="0" t="n">
        <v>0</v>
      </c>
      <c r="V546" s="0" t="n">
        <v>15.09738503074</v>
      </c>
      <c r="W546" s="0" t="n">
        <v>20240930</v>
      </c>
      <c r="X546" s="0" t="n">
        <v>0.397392188864424</v>
      </c>
      <c r="Y546" s="0" t="s">
        <v>5471</v>
      </c>
      <c r="Z546" s="0" t="s">
        <v>158</v>
      </c>
    </row>
    <row r="547" customFormat="false" ht="15" hidden="false" customHeight="false" outlineLevel="0" collapsed="false">
      <c r="A547" s="0" t="n">
        <v>547</v>
      </c>
      <c r="B547" s="0" t="n">
        <v>366752</v>
      </c>
      <c r="C547" s="0" t="n">
        <v>17443</v>
      </c>
      <c r="D547" s="0" t="n">
        <v>299271</v>
      </c>
      <c r="E547" s="0" t="s">
        <v>159</v>
      </c>
      <c r="F547" s="0" t="n">
        <v>41324</v>
      </c>
      <c r="G547" s="0" t="s">
        <v>5472</v>
      </c>
      <c r="H547" s="0" t="s">
        <v>5473</v>
      </c>
      <c r="I547" s="0" t="s">
        <v>5474</v>
      </c>
      <c r="J547" s="0" t="s">
        <v>61</v>
      </c>
      <c r="K547" s="0" t="s">
        <v>1019</v>
      </c>
      <c r="L547" s="0" t="n">
        <v>197179</v>
      </c>
      <c r="M547" s="0" t="s">
        <v>5475</v>
      </c>
      <c r="N547" s="0" t="n">
        <v>195221</v>
      </c>
      <c r="O547" s="0" t="n">
        <v>1019</v>
      </c>
      <c r="P547" s="0" t="s">
        <v>190</v>
      </c>
      <c r="Q547" s="0" t="s">
        <v>5476</v>
      </c>
      <c r="R547" s="0" t="s">
        <v>5477</v>
      </c>
      <c r="S547" s="0" t="s">
        <v>61</v>
      </c>
      <c r="T547" s="0" t="s">
        <v>506</v>
      </c>
      <c r="U547" s="0" t="n">
        <v>0</v>
      </c>
      <c r="V547" s="0" t="n">
        <v>0</v>
      </c>
      <c r="W547" s="0" t="n">
        <v>20240930</v>
      </c>
      <c r="X547" s="0" t="n">
        <v>-0.182427732699306</v>
      </c>
      <c r="Y547" s="0" t="s">
        <v>5478</v>
      </c>
      <c r="Z547" s="0" t="s">
        <v>158</v>
      </c>
    </row>
    <row r="548" customFormat="false" ht="15" hidden="false" customHeight="false" outlineLevel="0" collapsed="false">
      <c r="A548" s="0" t="n">
        <v>548</v>
      </c>
      <c r="B548" s="0" t="n">
        <v>1980951</v>
      </c>
      <c r="C548" s="0" t="n">
        <v>17658</v>
      </c>
      <c r="D548" s="0" t="n">
        <v>1559068</v>
      </c>
      <c r="E548" s="0" t="s">
        <v>208</v>
      </c>
      <c r="F548" s="0" t="n">
        <v>230579</v>
      </c>
      <c r="G548" s="0" t="s">
        <v>5479</v>
      </c>
      <c r="H548" s="0" t="s">
        <v>5480</v>
      </c>
      <c r="I548" s="0" t="s">
        <v>5481</v>
      </c>
      <c r="J548" s="0" t="s">
        <v>5482</v>
      </c>
      <c r="K548" s="0" t="s">
        <v>5483</v>
      </c>
      <c r="L548" s="0" t="n">
        <v>1397203</v>
      </c>
      <c r="M548" s="0" t="s">
        <v>5484</v>
      </c>
      <c r="N548" s="0" t="n">
        <v>1195334</v>
      </c>
      <c r="O548" s="0" t="n">
        <v>9425</v>
      </c>
      <c r="P548" s="0" t="s">
        <v>202</v>
      </c>
      <c r="Q548" s="0" t="s">
        <v>5485</v>
      </c>
      <c r="R548" s="0" t="s">
        <v>5486</v>
      </c>
      <c r="S548" s="0" t="s">
        <v>2678</v>
      </c>
      <c r="T548" s="0" t="s">
        <v>5487</v>
      </c>
      <c r="U548" s="0" t="n">
        <v>0</v>
      </c>
      <c r="V548" s="0" t="n">
        <v>0</v>
      </c>
      <c r="W548" s="0" t="n">
        <v>20240930</v>
      </c>
      <c r="X548" s="0" t="n">
        <v>0.960411822183859</v>
      </c>
      <c r="Y548" s="0" t="s">
        <v>1836</v>
      </c>
      <c r="Z548" s="0" t="s">
        <v>60</v>
      </c>
    </row>
    <row r="549" customFormat="false" ht="15" hidden="false" customHeight="false" outlineLevel="0" collapsed="false">
      <c r="A549" s="0" t="n">
        <v>549</v>
      </c>
      <c r="B549" s="0" t="n">
        <v>1162261</v>
      </c>
      <c r="C549" s="0" t="n">
        <v>17741</v>
      </c>
      <c r="D549" s="0" t="n">
        <v>905592</v>
      </c>
      <c r="E549" s="0" t="s">
        <v>246</v>
      </c>
      <c r="F549" s="0" t="n">
        <v>146197</v>
      </c>
      <c r="G549" s="0" t="s">
        <v>5488</v>
      </c>
      <c r="H549" s="0" t="s">
        <v>5489</v>
      </c>
      <c r="I549" s="0" t="s">
        <v>5490</v>
      </c>
      <c r="J549" s="0" t="s">
        <v>5491</v>
      </c>
      <c r="K549" s="0" t="s">
        <v>5492</v>
      </c>
      <c r="L549" s="0" t="n">
        <v>984780</v>
      </c>
      <c r="M549" s="0" t="s">
        <v>5493</v>
      </c>
      <c r="N549" s="0" t="n">
        <v>925810</v>
      </c>
      <c r="O549" s="0" t="n">
        <v>2723</v>
      </c>
      <c r="P549" s="0" t="s">
        <v>215</v>
      </c>
      <c r="Q549" s="0" t="s">
        <v>5494</v>
      </c>
      <c r="R549" s="0" t="s">
        <v>5495</v>
      </c>
      <c r="S549" s="0" t="s">
        <v>5496</v>
      </c>
      <c r="T549" s="0" t="s">
        <v>5497</v>
      </c>
      <c r="U549" s="0" t="n">
        <v>0</v>
      </c>
      <c r="V549" s="0" t="n">
        <v>0</v>
      </c>
      <c r="W549" s="0" t="n">
        <v>20240930</v>
      </c>
      <c r="X549" s="0" t="n">
        <v>0.623215257165778</v>
      </c>
      <c r="Y549" s="0" t="s">
        <v>1050</v>
      </c>
      <c r="Z549" s="0" t="s">
        <v>60</v>
      </c>
    </row>
    <row r="550" customFormat="false" ht="15" hidden="false" customHeight="false" outlineLevel="0" collapsed="false">
      <c r="A550" s="0" t="n">
        <v>550</v>
      </c>
      <c r="B550" s="0" t="n">
        <v>1427194</v>
      </c>
      <c r="C550" s="0" t="n">
        <v>17743</v>
      </c>
      <c r="D550" s="0" t="n">
        <v>1006052</v>
      </c>
      <c r="E550" s="0" t="s">
        <v>61</v>
      </c>
      <c r="F550" s="0" t="n">
        <v>126250</v>
      </c>
      <c r="G550" s="0" t="s">
        <v>5498</v>
      </c>
      <c r="H550" s="0" t="s">
        <v>5499</v>
      </c>
      <c r="I550" s="0" t="s">
        <v>5500</v>
      </c>
      <c r="J550" s="0" t="s">
        <v>5501</v>
      </c>
      <c r="K550" s="0" t="s">
        <v>5502</v>
      </c>
      <c r="L550" s="0" t="n">
        <v>1138419</v>
      </c>
      <c r="M550" s="0" t="s">
        <v>5503</v>
      </c>
      <c r="N550" s="0" t="n">
        <v>1102493</v>
      </c>
      <c r="O550" s="0" t="n">
        <v>1621</v>
      </c>
      <c r="P550" s="0" t="s">
        <v>227</v>
      </c>
      <c r="Q550" s="0" t="s">
        <v>5504</v>
      </c>
      <c r="R550" s="0" t="s">
        <v>5505</v>
      </c>
      <c r="S550" s="0" t="s">
        <v>4435</v>
      </c>
      <c r="T550" s="0" t="s">
        <v>5506</v>
      </c>
      <c r="U550" s="0" t="n">
        <v>0</v>
      </c>
      <c r="V550" s="0" t="n">
        <v>0</v>
      </c>
      <c r="W550" s="0" t="n">
        <v>20240930</v>
      </c>
      <c r="X550" s="0" t="n">
        <v>0.0586009796050293</v>
      </c>
      <c r="Y550" s="0" t="s">
        <v>5507</v>
      </c>
      <c r="Z550" s="0" t="s">
        <v>60</v>
      </c>
    </row>
    <row r="551" customFormat="false" ht="15" hidden="false" customHeight="false" outlineLevel="0" collapsed="false">
      <c r="A551" s="0" t="n">
        <v>551</v>
      </c>
      <c r="B551" s="0" t="n">
        <v>1623796</v>
      </c>
      <c r="C551" s="0" t="n">
        <v>17748</v>
      </c>
      <c r="D551" s="0" t="n">
        <v>1375485</v>
      </c>
      <c r="E551" s="0" t="s">
        <v>4117</v>
      </c>
      <c r="F551" s="0" t="n">
        <v>122957</v>
      </c>
      <c r="G551" s="0" t="s">
        <v>5508</v>
      </c>
      <c r="H551" s="0" t="s">
        <v>5509</v>
      </c>
      <c r="I551" s="0" t="s">
        <v>5510</v>
      </c>
      <c r="J551" s="0" t="s">
        <v>5511</v>
      </c>
      <c r="K551" s="0" t="s">
        <v>5512</v>
      </c>
      <c r="L551" s="0" t="n">
        <v>1252737</v>
      </c>
      <c r="M551" s="0" t="s">
        <v>5513</v>
      </c>
      <c r="N551" s="0" t="n">
        <v>1057786</v>
      </c>
      <c r="O551" s="0" t="n">
        <v>5501</v>
      </c>
      <c r="P551" s="0" t="s">
        <v>240</v>
      </c>
      <c r="Q551" s="0" t="s">
        <v>5514</v>
      </c>
      <c r="R551" s="0" t="s">
        <v>5515</v>
      </c>
      <c r="S551" s="0" t="s">
        <v>5516</v>
      </c>
      <c r="T551" s="0" t="s">
        <v>5517</v>
      </c>
      <c r="U551" s="0" t="n">
        <v>0</v>
      </c>
      <c r="V551" s="0" t="n">
        <v>0</v>
      </c>
      <c r="W551" s="0" t="n">
        <v>20240930</v>
      </c>
      <c r="X551" s="0" t="n">
        <v>0.356747638834355</v>
      </c>
      <c r="Y551" s="0" t="s">
        <v>5518</v>
      </c>
      <c r="Z551" s="0" t="s">
        <v>60</v>
      </c>
    </row>
    <row r="552" customFormat="false" ht="15" hidden="false" customHeight="false" outlineLevel="0" collapsed="false">
      <c r="A552" s="0" t="n">
        <v>552</v>
      </c>
      <c r="B552" s="0" t="n">
        <v>1372601</v>
      </c>
      <c r="C552" s="0" t="n">
        <v>17749</v>
      </c>
      <c r="D552" s="0" t="n">
        <v>1059435</v>
      </c>
      <c r="E552" s="0" t="s">
        <v>259</v>
      </c>
      <c r="F552" s="0" t="n">
        <v>190135</v>
      </c>
      <c r="G552" s="0" t="s">
        <v>5519</v>
      </c>
      <c r="H552" s="0" t="s">
        <v>5520</v>
      </c>
      <c r="I552" s="0" t="s">
        <v>5521</v>
      </c>
      <c r="J552" s="0" t="s">
        <v>5522</v>
      </c>
      <c r="K552" s="0" t="s">
        <v>5523</v>
      </c>
      <c r="L552" s="0" t="n">
        <v>820744</v>
      </c>
      <c r="M552" s="0" t="s">
        <v>5524</v>
      </c>
      <c r="N552" s="0" t="n">
        <v>748076</v>
      </c>
      <c r="O552" s="0" t="n">
        <v>617</v>
      </c>
      <c r="P552" s="0" t="s">
        <v>253</v>
      </c>
      <c r="Q552" s="0" t="s">
        <v>5525</v>
      </c>
      <c r="R552" s="0" t="s">
        <v>5526</v>
      </c>
      <c r="S552" s="0" t="s">
        <v>1604</v>
      </c>
      <c r="T552" s="0" t="s">
        <v>5527</v>
      </c>
      <c r="U552" s="0" t="n">
        <v>4</v>
      </c>
      <c r="V552" s="0" t="n">
        <v>0</v>
      </c>
      <c r="W552" s="0" t="n">
        <v>20240930</v>
      </c>
      <c r="X552" s="0" t="n">
        <v>1.09049365962965</v>
      </c>
      <c r="Y552" s="0" t="s">
        <v>5528</v>
      </c>
      <c r="Z552" s="0" t="s">
        <v>60</v>
      </c>
    </row>
    <row r="553" customFormat="false" ht="15" hidden="false" customHeight="false" outlineLevel="0" collapsed="false">
      <c r="A553" s="0" t="n">
        <v>553</v>
      </c>
      <c r="B553" s="0" t="n">
        <v>1665363</v>
      </c>
      <c r="C553" s="0" t="n">
        <v>17751</v>
      </c>
      <c r="D553" s="0" t="n">
        <v>1312346</v>
      </c>
      <c r="E553" s="0" t="s">
        <v>271</v>
      </c>
      <c r="F553" s="0" t="n">
        <v>146041</v>
      </c>
      <c r="G553" s="0" t="s">
        <v>5529</v>
      </c>
      <c r="H553" s="0" t="s">
        <v>5530</v>
      </c>
      <c r="I553" s="0" t="s">
        <v>5531</v>
      </c>
      <c r="J553" s="0" t="s">
        <v>5532</v>
      </c>
      <c r="K553" s="0" t="s">
        <v>5533</v>
      </c>
      <c r="L553" s="0" t="n">
        <v>1372411</v>
      </c>
      <c r="M553" s="0" t="s">
        <v>5534</v>
      </c>
      <c r="N553" s="0" t="n">
        <v>1170198</v>
      </c>
      <c r="O553" s="0" t="n">
        <v>5637</v>
      </c>
      <c r="P553" s="0" t="s">
        <v>266</v>
      </c>
      <c r="Q553" s="0" t="s">
        <v>5535</v>
      </c>
      <c r="R553" s="0" t="s">
        <v>5536</v>
      </c>
      <c r="S553" s="0" t="s">
        <v>5537</v>
      </c>
      <c r="T553" s="0" t="s">
        <v>5538</v>
      </c>
      <c r="U553" s="0" t="n">
        <v>0</v>
      </c>
      <c r="V553" s="0" t="n">
        <v>12.6616730688762</v>
      </c>
      <c r="W553" s="0" t="n">
        <v>20240930</v>
      </c>
      <c r="X553" s="0" t="n">
        <v>0.432944118659756</v>
      </c>
      <c r="Y553" s="0" t="s">
        <v>5539</v>
      </c>
      <c r="Z553" s="0" t="s">
        <v>60</v>
      </c>
    </row>
    <row r="554" customFormat="false" ht="15" hidden="false" customHeight="false" outlineLevel="0" collapsed="false">
      <c r="A554" s="0" t="n">
        <v>554</v>
      </c>
      <c r="B554" s="0" t="n">
        <v>1743721</v>
      </c>
      <c r="C554" s="0" t="n">
        <v>17897</v>
      </c>
      <c r="D554" s="0" t="n">
        <v>1323557</v>
      </c>
      <c r="E554" s="0" t="s">
        <v>794</v>
      </c>
      <c r="F554" s="0" t="n">
        <v>219695</v>
      </c>
      <c r="G554" s="0" t="s">
        <v>5540</v>
      </c>
      <c r="H554" s="0" t="s">
        <v>5541</v>
      </c>
      <c r="I554" s="0" t="s">
        <v>5542</v>
      </c>
      <c r="J554" s="0" t="s">
        <v>5543</v>
      </c>
      <c r="K554" s="0" t="s">
        <v>5544</v>
      </c>
      <c r="L554" s="0" t="n">
        <v>1443445</v>
      </c>
      <c r="M554" s="0" t="s">
        <v>5545</v>
      </c>
      <c r="N554" s="0" t="n">
        <v>1355336</v>
      </c>
      <c r="O554" s="0" t="n">
        <v>4826</v>
      </c>
      <c r="P554" s="0" t="s">
        <v>278</v>
      </c>
      <c r="Q554" s="0" t="s">
        <v>5546</v>
      </c>
      <c r="R554" s="0" t="s">
        <v>5547</v>
      </c>
      <c r="S554" s="0" t="s">
        <v>5548</v>
      </c>
      <c r="T554" s="0" t="s">
        <v>5549</v>
      </c>
      <c r="U554" s="0" t="n">
        <v>0</v>
      </c>
      <c r="V554" s="0" t="n">
        <v>18.0101447735768</v>
      </c>
      <c r="W554" s="0" t="n">
        <v>20240930</v>
      </c>
      <c r="X554" s="0" t="n">
        <v>0.828207779242847</v>
      </c>
      <c r="Y554" s="0" t="s">
        <v>207</v>
      </c>
      <c r="Z554" s="0" t="s">
        <v>60</v>
      </c>
    </row>
    <row r="555" customFormat="false" ht="15" hidden="false" customHeight="false" outlineLevel="0" collapsed="false">
      <c r="A555" s="0" t="n">
        <v>555</v>
      </c>
      <c r="B555" s="0" t="n">
        <v>819978</v>
      </c>
      <c r="C555" s="0" t="n">
        <v>17951</v>
      </c>
      <c r="D555" s="0" t="n">
        <v>688357</v>
      </c>
      <c r="E555" s="0" t="s">
        <v>390</v>
      </c>
      <c r="F555" s="0" t="n">
        <v>67870</v>
      </c>
      <c r="G555" s="0" t="s">
        <v>5550</v>
      </c>
      <c r="H555" s="0" t="s">
        <v>5551</v>
      </c>
      <c r="I555" s="0" t="s">
        <v>5552</v>
      </c>
      <c r="J555" s="0" t="s">
        <v>5553</v>
      </c>
      <c r="K555" s="0" t="s">
        <v>5554</v>
      </c>
      <c r="L555" s="0" t="n">
        <v>599913</v>
      </c>
      <c r="M555" s="0" t="s">
        <v>5555</v>
      </c>
      <c r="N555" s="0" t="n">
        <v>550875</v>
      </c>
      <c r="O555" s="0" t="n">
        <v>61</v>
      </c>
      <c r="P555" s="0" t="s">
        <v>290</v>
      </c>
      <c r="Q555" s="0" t="s">
        <v>5556</v>
      </c>
      <c r="R555" s="0" t="s">
        <v>5557</v>
      </c>
      <c r="S555" s="0" t="s">
        <v>5558</v>
      </c>
      <c r="T555" s="0" t="s">
        <v>4308</v>
      </c>
      <c r="U555" s="0" t="n">
        <v>0</v>
      </c>
      <c r="V555" s="0" t="n">
        <v>14.5460942258817</v>
      </c>
      <c r="W555" s="0" t="n">
        <v>20240930</v>
      </c>
      <c r="X555" s="0" t="n">
        <v>0.511043995809567</v>
      </c>
      <c r="Y555" s="0" t="s">
        <v>5559</v>
      </c>
      <c r="Z555" s="0" t="s">
        <v>158</v>
      </c>
    </row>
    <row r="556" customFormat="false" ht="15" hidden="false" customHeight="false" outlineLevel="0" collapsed="false">
      <c r="A556" s="0" t="n">
        <v>556</v>
      </c>
      <c r="B556" s="0" t="n">
        <v>1380640</v>
      </c>
      <c r="C556" s="0" t="n">
        <v>17960</v>
      </c>
      <c r="D556" s="0" t="n">
        <v>1050589</v>
      </c>
      <c r="E556" s="0" t="s">
        <v>1146</v>
      </c>
      <c r="F556" s="0" t="n">
        <v>117711</v>
      </c>
      <c r="G556" s="0" t="s">
        <v>5560</v>
      </c>
      <c r="H556" s="0" t="s">
        <v>5561</v>
      </c>
      <c r="I556" s="0" t="s">
        <v>5562</v>
      </c>
      <c r="J556" s="0" t="s">
        <v>5563</v>
      </c>
      <c r="K556" s="0" t="s">
        <v>5564</v>
      </c>
      <c r="L556" s="0" t="n">
        <v>1167764</v>
      </c>
      <c r="M556" s="0" t="s">
        <v>5565</v>
      </c>
      <c r="N556" s="0" t="n">
        <v>827763</v>
      </c>
      <c r="O556" s="0" t="n">
        <v>6798</v>
      </c>
      <c r="P556" s="0" t="s">
        <v>302</v>
      </c>
      <c r="Q556" s="0" t="s">
        <v>5566</v>
      </c>
      <c r="R556" s="0" t="s">
        <v>5567</v>
      </c>
      <c r="S556" s="0" t="s">
        <v>5568</v>
      </c>
      <c r="T556" s="0" t="s">
        <v>5569</v>
      </c>
      <c r="U556" s="0" t="n">
        <v>44</v>
      </c>
      <c r="V556" s="0" t="n">
        <v>13.4452092505768</v>
      </c>
      <c r="W556" s="0" t="n">
        <v>20240930</v>
      </c>
      <c r="X556" s="0" t="n">
        <v>0.211894845039827</v>
      </c>
      <c r="Y556" s="0" t="s">
        <v>1009</v>
      </c>
      <c r="Z556" s="0" t="s">
        <v>158</v>
      </c>
    </row>
    <row r="557" customFormat="false" ht="15" hidden="false" customHeight="false" outlineLevel="0" collapsed="false">
      <c r="A557" s="0" t="n">
        <v>557</v>
      </c>
      <c r="B557" s="0" t="n">
        <v>2583718</v>
      </c>
      <c r="C557" s="0" t="n">
        <v>18012</v>
      </c>
      <c r="D557" s="0" t="n">
        <v>2179694</v>
      </c>
      <c r="E557" s="0" t="s">
        <v>208</v>
      </c>
      <c r="F557" s="0" t="n">
        <v>287158</v>
      </c>
      <c r="G557" s="0" t="s">
        <v>5570</v>
      </c>
      <c r="H557" s="0" t="s">
        <v>5571</v>
      </c>
      <c r="I557" s="0" t="s">
        <v>5572</v>
      </c>
      <c r="J557" s="0" t="s">
        <v>5573</v>
      </c>
      <c r="K557" s="0" t="s">
        <v>5574</v>
      </c>
      <c r="L557" s="0" t="n">
        <v>2078109</v>
      </c>
      <c r="M557" s="0" t="s">
        <v>5575</v>
      </c>
      <c r="N557" s="0" t="n">
        <v>1973661</v>
      </c>
      <c r="O557" s="0" t="n">
        <v>551</v>
      </c>
      <c r="P557" s="0" t="s">
        <v>312</v>
      </c>
      <c r="Q557" s="0" t="s">
        <v>5576</v>
      </c>
      <c r="R557" s="0" t="s">
        <v>5577</v>
      </c>
      <c r="S557" s="0" t="s">
        <v>5578</v>
      </c>
      <c r="T557" s="0" t="s">
        <v>5579</v>
      </c>
      <c r="U557" s="0" t="n">
        <v>0</v>
      </c>
      <c r="V557" s="0" t="n">
        <v>14.420969624268</v>
      </c>
      <c r="W557" s="0" t="n">
        <v>20240930</v>
      </c>
      <c r="X557" s="0" t="n">
        <v>0.708107955416192</v>
      </c>
      <c r="Y557" s="0" t="s">
        <v>5580</v>
      </c>
      <c r="Z557" s="0" t="s">
        <v>158</v>
      </c>
    </row>
    <row r="558" customFormat="false" ht="15" hidden="false" customHeight="false" outlineLevel="0" collapsed="false">
      <c r="A558" s="0" t="n">
        <v>558</v>
      </c>
      <c r="B558" s="0" t="n">
        <v>2889853</v>
      </c>
      <c r="C558" s="0" t="n">
        <v>18013</v>
      </c>
      <c r="D558" s="0" t="n">
        <v>2534229</v>
      </c>
      <c r="E558" s="0" t="s">
        <v>61</v>
      </c>
      <c r="F558" s="0" t="n">
        <v>234630</v>
      </c>
      <c r="G558" s="0" t="s">
        <v>5581</v>
      </c>
      <c r="H558" s="0" t="s">
        <v>5582</v>
      </c>
      <c r="I558" s="0" t="s">
        <v>5583</v>
      </c>
      <c r="J558" s="0" t="s">
        <v>5584</v>
      </c>
      <c r="K558" s="0" t="s">
        <v>5585</v>
      </c>
      <c r="L558" s="0" t="n">
        <v>2393581</v>
      </c>
      <c r="M558" s="0" t="s">
        <v>5586</v>
      </c>
      <c r="N558" s="0" t="n">
        <v>2183396</v>
      </c>
      <c r="O558" s="0" t="n">
        <v>1627</v>
      </c>
      <c r="P558" s="0" t="s">
        <v>324</v>
      </c>
      <c r="Q558" s="0" t="s">
        <v>5587</v>
      </c>
      <c r="R558" s="0" t="s">
        <v>5588</v>
      </c>
      <c r="S558" s="0" t="s">
        <v>5589</v>
      </c>
      <c r="T558" s="0" t="s">
        <v>5590</v>
      </c>
      <c r="U558" s="0" t="n">
        <v>74</v>
      </c>
      <c r="V558" s="0" t="n">
        <v>12.6133265662941</v>
      </c>
      <c r="W558" s="0" t="n">
        <v>20240930</v>
      </c>
      <c r="X558" s="0" t="n">
        <v>0.25337240311984</v>
      </c>
      <c r="Y558" s="0" t="s">
        <v>5244</v>
      </c>
      <c r="Z558" s="0" t="s">
        <v>158</v>
      </c>
    </row>
    <row r="559" customFormat="false" ht="15" hidden="false" customHeight="false" outlineLevel="0" collapsed="false">
      <c r="A559" s="0" t="n">
        <v>559</v>
      </c>
      <c r="B559" s="0" t="n">
        <v>407460</v>
      </c>
      <c r="C559" s="0" t="n">
        <v>18028</v>
      </c>
      <c r="D559" s="0" t="n">
        <v>337570</v>
      </c>
      <c r="E559" s="0" t="s">
        <v>1187</v>
      </c>
      <c r="F559" s="0" t="n">
        <v>43831</v>
      </c>
      <c r="G559" s="0" t="s">
        <v>5591</v>
      </c>
      <c r="H559" s="0" t="s">
        <v>5592</v>
      </c>
      <c r="I559" s="0" t="s">
        <v>5593</v>
      </c>
      <c r="J559" s="0" t="s">
        <v>5594</v>
      </c>
      <c r="K559" s="0" t="s">
        <v>5595</v>
      </c>
      <c r="L559" s="0" t="n">
        <v>273990</v>
      </c>
      <c r="M559" s="0" t="s">
        <v>5596</v>
      </c>
      <c r="N559" s="0" t="n">
        <v>249806</v>
      </c>
      <c r="O559" s="0" t="n">
        <v>908</v>
      </c>
      <c r="P559" s="0" t="s">
        <v>337</v>
      </c>
      <c r="Q559" s="0" t="s">
        <v>5597</v>
      </c>
      <c r="R559" s="0" t="s">
        <v>5598</v>
      </c>
      <c r="S559" s="0" t="s">
        <v>5599</v>
      </c>
      <c r="T559" s="0" t="s">
        <v>5600</v>
      </c>
      <c r="U559" s="0" t="n">
        <v>358</v>
      </c>
      <c r="V559" s="0" t="n">
        <v>0</v>
      </c>
      <c r="W559" s="0" t="n">
        <v>20240930</v>
      </c>
      <c r="X559" s="0" t="n">
        <v>0.449445889497145</v>
      </c>
      <c r="Y559" s="0" t="s">
        <v>5601</v>
      </c>
      <c r="Z559" s="0" t="s">
        <v>158</v>
      </c>
    </row>
    <row r="560" customFormat="false" ht="15" hidden="false" customHeight="false" outlineLevel="0" collapsed="false">
      <c r="A560" s="0" t="n">
        <v>560</v>
      </c>
      <c r="B560" s="0" t="n">
        <v>794567</v>
      </c>
      <c r="C560" s="0" t="n">
        <v>18030</v>
      </c>
      <c r="D560" s="0" t="n">
        <v>707506</v>
      </c>
      <c r="E560" s="0" t="s">
        <v>390</v>
      </c>
      <c r="F560" s="0" t="n">
        <v>54737</v>
      </c>
      <c r="G560" s="0" t="s">
        <v>5602</v>
      </c>
      <c r="H560" s="0" t="s">
        <v>5603</v>
      </c>
      <c r="I560" s="0" t="s">
        <v>5604</v>
      </c>
      <c r="J560" s="0" t="s">
        <v>5605</v>
      </c>
      <c r="K560" s="0" t="s">
        <v>5606</v>
      </c>
      <c r="L560" s="0" t="n">
        <v>588776</v>
      </c>
      <c r="M560" s="0" t="s">
        <v>5607</v>
      </c>
      <c r="N560" s="0" t="n">
        <v>447654</v>
      </c>
      <c r="O560" s="0" t="n">
        <v>1967</v>
      </c>
      <c r="P560" s="0" t="s">
        <v>349</v>
      </c>
      <c r="Q560" s="0" t="s">
        <v>5608</v>
      </c>
      <c r="R560" s="0" t="s">
        <v>5609</v>
      </c>
      <c r="S560" s="0" t="s">
        <v>2054</v>
      </c>
      <c r="T560" s="0" t="s">
        <v>5610</v>
      </c>
      <c r="U560" s="0" t="n">
        <v>0</v>
      </c>
      <c r="V560" s="0" t="n">
        <v>13.6705393261032</v>
      </c>
      <c r="W560" s="0" t="n">
        <v>20240930</v>
      </c>
      <c r="X560" s="0" t="n">
        <v>0.697344762810995</v>
      </c>
      <c r="Y560" s="0" t="s">
        <v>5611</v>
      </c>
      <c r="Z560" s="0" t="s">
        <v>158</v>
      </c>
    </row>
    <row r="561" customFormat="false" ht="15" hidden="false" customHeight="false" outlineLevel="0" collapsed="false">
      <c r="A561" s="0" t="n">
        <v>561</v>
      </c>
      <c r="B561" s="0" t="n">
        <v>677501</v>
      </c>
      <c r="C561" s="0" t="n">
        <v>18031</v>
      </c>
      <c r="D561" s="0" t="n">
        <v>528633</v>
      </c>
      <c r="E561" s="0" t="s">
        <v>1500</v>
      </c>
      <c r="F561" s="0" t="n">
        <v>41575</v>
      </c>
      <c r="G561" s="0" t="s">
        <v>5612</v>
      </c>
      <c r="H561" s="0" t="s">
        <v>5613</v>
      </c>
      <c r="I561" s="0" t="s">
        <v>5614</v>
      </c>
      <c r="J561" s="0" t="s">
        <v>5615</v>
      </c>
      <c r="K561" s="0" t="s">
        <v>5616</v>
      </c>
      <c r="L561" s="0" t="n">
        <v>468218</v>
      </c>
      <c r="M561" s="0" t="s">
        <v>5617</v>
      </c>
      <c r="N561" s="0" t="n">
        <v>431155</v>
      </c>
      <c r="O561" s="0" t="n">
        <v>973</v>
      </c>
      <c r="P561" s="0" t="s">
        <v>361</v>
      </c>
      <c r="Q561" s="0" t="s">
        <v>5618</v>
      </c>
      <c r="R561" s="0" t="s">
        <v>5619</v>
      </c>
      <c r="S561" s="0" t="s">
        <v>143</v>
      </c>
      <c r="T561" s="0" t="s">
        <v>5620</v>
      </c>
      <c r="U561" s="0" t="n">
        <v>0</v>
      </c>
      <c r="V561" s="0" t="n">
        <v>16.7487150865234</v>
      </c>
      <c r="W561" s="0" t="n">
        <v>20240930</v>
      </c>
      <c r="X561" s="0" t="n">
        <v>0.42618981664151</v>
      </c>
      <c r="Y561" s="0" t="s">
        <v>3748</v>
      </c>
      <c r="Z561" s="0" t="s">
        <v>158</v>
      </c>
    </row>
    <row r="562" customFormat="false" ht="15" hidden="false" customHeight="false" outlineLevel="0" collapsed="false">
      <c r="A562" s="0" t="n">
        <v>562</v>
      </c>
      <c r="B562" s="0" t="n">
        <v>578941</v>
      </c>
      <c r="C562" s="0" t="n">
        <v>18038</v>
      </c>
      <c r="D562" s="0" t="n">
        <v>436224</v>
      </c>
      <c r="E562" s="0" t="s">
        <v>195</v>
      </c>
      <c r="F562" s="0" t="n">
        <v>68568</v>
      </c>
      <c r="G562" s="0" t="s">
        <v>5621</v>
      </c>
      <c r="H562" s="0" t="s">
        <v>5622</v>
      </c>
      <c r="I562" s="0" t="s">
        <v>5623</v>
      </c>
      <c r="J562" s="0" t="s">
        <v>5624</v>
      </c>
      <c r="K562" s="0" t="s">
        <v>5625</v>
      </c>
      <c r="L562" s="0" t="n">
        <v>419953</v>
      </c>
      <c r="M562" s="0" t="s">
        <v>5626</v>
      </c>
      <c r="N562" s="0" t="n">
        <v>385462</v>
      </c>
      <c r="O562" s="0" t="n">
        <v>2472</v>
      </c>
      <c r="P562" s="0" t="s">
        <v>372</v>
      </c>
      <c r="Q562" s="0" t="s">
        <v>5627</v>
      </c>
      <c r="R562" s="0" t="s">
        <v>5628</v>
      </c>
      <c r="S562" s="0" t="s">
        <v>1865</v>
      </c>
      <c r="T562" s="0" t="s">
        <v>3054</v>
      </c>
      <c r="U562" s="0" t="n">
        <v>0</v>
      </c>
      <c r="V562" s="0" t="n">
        <v>0</v>
      </c>
      <c r="W562" s="0" t="n">
        <v>20240930</v>
      </c>
      <c r="X562" s="0" t="n">
        <v>0.480130621285366</v>
      </c>
      <c r="Y562" s="0" t="s">
        <v>5629</v>
      </c>
      <c r="Z562" s="0" t="s">
        <v>158</v>
      </c>
    </row>
    <row r="563" customFormat="false" ht="15" hidden="false" customHeight="false" outlineLevel="0" collapsed="false">
      <c r="A563" s="0" t="n">
        <v>563</v>
      </c>
      <c r="B563" s="0" t="n">
        <v>7218777</v>
      </c>
      <c r="C563" s="0" t="n">
        <v>18408</v>
      </c>
      <c r="D563" s="0" t="n">
        <v>5440947</v>
      </c>
      <c r="E563" s="0" t="s">
        <v>890</v>
      </c>
      <c r="F563" s="0" t="n">
        <v>451617</v>
      </c>
      <c r="G563" s="0" t="s">
        <v>5630</v>
      </c>
      <c r="H563" s="0" t="s">
        <v>5631</v>
      </c>
      <c r="I563" s="0" t="s">
        <v>5632</v>
      </c>
      <c r="J563" s="0" t="s">
        <v>5633</v>
      </c>
      <c r="K563" s="0" t="s">
        <v>5634</v>
      </c>
      <c r="L563" s="0" t="n">
        <v>4864322</v>
      </c>
      <c r="M563" s="0" t="s">
        <v>5635</v>
      </c>
      <c r="N563" s="0" t="n">
        <v>4390169</v>
      </c>
      <c r="O563" s="0" t="n">
        <v>3776</v>
      </c>
      <c r="P563" s="0" t="s">
        <v>384</v>
      </c>
      <c r="Q563" s="0" t="s">
        <v>5636</v>
      </c>
      <c r="R563" s="0" t="s">
        <v>5637</v>
      </c>
      <c r="S563" s="0" t="s">
        <v>5638</v>
      </c>
      <c r="T563" s="0" t="s">
        <v>5639</v>
      </c>
      <c r="U563" s="0" t="n">
        <v>0</v>
      </c>
      <c r="V563" s="0" t="n">
        <v>11.5300926753721</v>
      </c>
      <c r="W563" s="0" t="n">
        <v>20240930</v>
      </c>
      <c r="X563" s="0" t="n">
        <v>0.155178563405037</v>
      </c>
      <c r="Y563" s="0" t="s">
        <v>3891</v>
      </c>
      <c r="Z563" s="0" t="s">
        <v>60</v>
      </c>
    </row>
    <row r="564" customFormat="false" ht="15" hidden="false" customHeight="false" outlineLevel="0" collapsed="false">
      <c r="A564" s="0" t="n">
        <v>564</v>
      </c>
      <c r="B564" s="0" t="n">
        <v>2632240</v>
      </c>
      <c r="C564" s="0" t="n">
        <v>19531</v>
      </c>
      <c r="D564" s="0" t="n">
        <v>2115575</v>
      </c>
      <c r="E564" s="0" t="s">
        <v>1729</v>
      </c>
      <c r="F564" s="0" t="n">
        <v>257463</v>
      </c>
      <c r="G564" s="0" t="s">
        <v>5640</v>
      </c>
      <c r="H564" s="0" t="s">
        <v>5641</v>
      </c>
      <c r="I564" s="0" t="s">
        <v>5642</v>
      </c>
      <c r="J564" s="0" t="s">
        <v>5643</v>
      </c>
      <c r="K564" s="0" t="s">
        <v>5644</v>
      </c>
      <c r="L564" s="0" t="n">
        <v>2161349</v>
      </c>
      <c r="M564" s="0" t="s">
        <v>5645</v>
      </c>
      <c r="N564" s="0" t="n">
        <v>1773165</v>
      </c>
      <c r="O564" s="0" t="n">
        <v>6917</v>
      </c>
      <c r="P564" s="0" t="s">
        <v>397</v>
      </c>
      <c r="Q564" s="0" t="s">
        <v>5646</v>
      </c>
      <c r="R564" s="0" t="s">
        <v>5647</v>
      </c>
      <c r="S564" s="0" t="s">
        <v>5648</v>
      </c>
      <c r="T564" s="0" t="s">
        <v>5649</v>
      </c>
      <c r="U564" s="0" t="n">
        <v>8</v>
      </c>
      <c r="V564" s="0" t="n">
        <v>13.8153054969781</v>
      </c>
      <c r="W564" s="0" t="n">
        <v>20240930</v>
      </c>
      <c r="X564" s="0" t="n">
        <v>0.454164925004259</v>
      </c>
      <c r="Y564" s="0" t="s">
        <v>5650</v>
      </c>
      <c r="Z564" s="0" t="s">
        <v>60</v>
      </c>
    </row>
    <row r="565" customFormat="false" ht="15" hidden="false" customHeight="false" outlineLevel="0" collapsed="false">
      <c r="A565" s="0" t="n">
        <v>565</v>
      </c>
      <c r="B565" s="0" t="n">
        <v>870742</v>
      </c>
      <c r="C565" s="0" t="n">
        <v>19532</v>
      </c>
      <c r="D565" s="0" t="n">
        <v>721893</v>
      </c>
      <c r="E565" s="0" t="s">
        <v>390</v>
      </c>
      <c r="F565" s="0" t="n">
        <v>105663</v>
      </c>
      <c r="G565" s="0" t="s">
        <v>5651</v>
      </c>
      <c r="H565" s="0" t="s">
        <v>5652</v>
      </c>
      <c r="I565" s="0" t="s">
        <v>5653</v>
      </c>
      <c r="J565" s="0" t="s">
        <v>5654</v>
      </c>
      <c r="K565" s="0" t="s">
        <v>5655</v>
      </c>
      <c r="L565" s="0" t="n">
        <v>605503</v>
      </c>
      <c r="M565" s="0" t="s">
        <v>5656</v>
      </c>
      <c r="N565" s="0" t="n">
        <v>500065</v>
      </c>
      <c r="O565" s="0" t="n">
        <v>1698</v>
      </c>
      <c r="P565" s="0" t="s">
        <v>409</v>
      </c>
      <c r="Q565" s="0" t="s">
        <v>5657</v>
      </c>
      <c r="R565" s="0" t="s">
        <v>5658</v>
      </c>
      <c r="S565" s="0" t="s">
        <v>294</v>
      </c>
      <c r="T565" s="0" t="s">
        <v>5659</v>
      </c>
      <c r="U565" s="0" t="n">
        <v>0</v>
      </c>
      <c r="V565" s="0" t="n">
        <v>21.3137628374641</v>
      </c>
      <c r="W565" s="0" t="n">
        <v>20240930</v>
      </c>
      <c r="X565" s="0" t="n">
        <v>0.89346683117121</v>
      </c>
      <c r="Y565" s="0" t="s">
        <v>4030</v>
      </c>
      <c r="Z565" s="0" t="s">
        <v>60</v>
      </c>
    </row>
    <row r="566" customFormat="false" ht="15" hidden="false" customHeight="false" outlineLevel="0" collapsed="false">
      <c r="A566" s="0" t="n">
        <v>566</v>
      </c>
      <c r="B566" s="0" t="n">
        <v>3939898</v>
      </c>
      <c r="C566" s="0" t="n">
        <v>19690</v>
      </c>
      <c r="D566" s="0" t="n">
        <v>3161567</v>
      </c>
      <c r="E566" s="0" t="s">
        <v>172</v>
      </c>
      <c r="F566" s="0" t="n">
        <v>392557</v>
      </c>
      <c r="G566" s="0" t="s">
        <v>5660</v>
      </c>
      <c r="H566" s="0" t="s">
        <v>5661</v>
      </c>
      <c r="I566" s="0" t="s">
        <v>5662</v>
      </c>
      <c r="J566" s="0" t="s">
        <v>5663</v>
      </c>
      <c r="K566" s="0" t="s">
        <v>5664</v>
      </c>
      <c r="L566" s="0" t="n">
        <v>3520602</v>
      </c>
      <c r="M566" s="0" t="s">
        <v>5665</v>
      </c>
      <c r="N566" s="0" t="n">
        <v>2821610</v>
      </c>
      <c r="O566" s="0" t="n">
        <v>37172</v>
      </c>
      <c r="P566" s="0" t="s">
        <v>420</v>
      </c>
      <c r="Q566" s="0" t="s">
        <v>5666</v>
      </c>
      <c r="R566" s="0" t="s">
        <v>5667</v>
      </c>
      <c r="S566" s="0" t="s">
        <v>5668</v>
      </c>
      <c r="T566" s="0" t="s">
        <v>3724</v>
      </c>
      <c r="U566" s="0" t="n">
        <v>0</v>
      </c>
      <c r="V566" s="0" t="n">
        <v>12.6993196381174</v>
      </c>
      <c r="W566" s="0" t="n">
        <v>20240930</v>
      </c>
      <c r="X566" s="0" t="n">
        <v>1.88570349603423</v>
      </c>
      <c r="Y566" s="0" t="s">
        <v>5669</v>
      </c>
      <c r="Z566" s="0" t="s">
        <v>60</v>
      </c>
    </row>
    <row r="567" customFormat="false" ht="15" hidden="false" customHeight="false" outlineLevel="0" collapsed="false">
      <c r="A567" s="0" t="n">
        <v>567</v>
      </c>
      <c r="B567" s="0" t="n">
        <v>712547</v>
      </c>
      <c r="C567" s="0" t="n">
        <v>19836</v>
      </c>
      <c r="D567" s="0" t="n">
        <v>529260</v>
      </c>
      <c r="E567" s="0" t="s">
        <v>390</v>
      </c>
      <c r="F567" s="0" t="n">
        <v>125592</v>
      </c>
      <c r="G567" s="0" t="s">
        <v>5670</v>
      </c>
      <c r="H567" s="0" t="s">
        <v>5671</v>
      </c>
      <c r="I567" s="0" t="s">
        <v>5672</v>
      </c>
      <c r="J567" s="0" t="s">
        <v>5673</v>
      </c>
      <c r="K567" s="0" t="s">
        <v>5674</v>
      </c>
      <c r="L567" s="0" t="n">
        <v>608881</v>
      </c>
      <c r="M567" s="0" t="s">
        <v>5675</v>
      </c>
      <c r="N567" s="0" t="n">
        <v>548608</v>
      </c>
      <c r="O567" s="0" t="n">
        <v>5741</v>
      </c>
      <c r="P567" s="0" t="s">
        <v>290</v>
      </c>
      <c r="Q567" s="0" t="s">
        <v>5676</v>
      </c>
      <c r="R567" s="0" t="s">
        <v>5677</v>
      </c>
      <c r="S567" s="0" t="s">
        <v>955</v>
      </c>
      <c r="T567" s="0" t="s">
        <v>5678</v>
      </c>
      <c r="U567" s="0" t="n">
        <v>354</v>
      </c>
      <c r="V567" s="0" t="n">
        <v>23.9355177549039</v>
      </c>
      <c r="W567" s="0" t="n">
        <v>20240930</v>
      </c>
      <c r="X567" s="0" t="n">
        <v>0.72911205784628</v>
      </c>
      <c r="Y567" s="0" t="s">
        <v>5679</v>
      </c>
      <c r="Z567" s="0" t="s">
        <v>60</v>
      </c>
    </row>
    <row r="568" customFormat="false" ht="15" hidden="false" customHeight="false" outlineLevel="0" collapsed="false">
      <c r="A568" s="0" t="n">
        <v>568</v>
      </c>
      <c r="B568" s="0" t="n">
        <v>1490469</v>
      </c>
      <c r="C568" s="0" t="n">
        <v>24540</v>
      </c>
      <c r="D568" s="0" t="n">
        <v>1197002</v>
      </c>
      <c r="E568" s="0" t="s">
        <v>246</v>
      </c>
      <c r="F568" s="0" t="n">
        <v>267573</v>
      </c>
      <c r="G568" s="0" t="s">
        <v>5680</v>
      </c>
      <c r="H568" s="0" t="s">
        <v>5681</v>
      </c>
      <c r="I568" s="0" t="s">
        <v>5682</v>
      </c>
      <c r="J568" s="0" t="s">
        <v>5683</v>
      </c>
      <c r="K568" s="0" t="s">
        <v>1049</v>
      </c>
      <c r="L568" s="0" t="n">
        <v>1298136</v>
      </c>
      <c r="M568" s="0" t="s">
        <v>5684</v>
      </c>
      <c r="N568" s="0" t="n">
        <v>1257005</v>
      </c>
      <c r="O568" s="0" t="n">
        <v>22568</v>
      </c>
      <c r="P568" s="0" t="s">
        <v>443</v>
      </c>
      <c r="Q568" s="0" t="s">
        <v>5685</v>
      </c>
      <c r="R568" s="0" t="s">
        <v>5686</v>
      </c>
      <c r="S568" s="0" t="s">
        <v>1018</v>
      </c>
      <c r="T568" s="0" t="s">
        <v>61</v>
      </c>
      <c r="U568" s="0" t="n">
        <v>0</v>
      </c>
      <c r="V568" s="0" t="n">
        <v>19.0478995737024</v>
      </c>
      <c r="W568" s="0" t="n">
        <v>20240930</v>
      </c>
      <c r="X568" s="0" t="n">
        <v>2.09759403529842</v>
      </c>
      <c r="Y568" s="0" t="s">
        <v>5687</v>
      </c>
      <c r="Z568" s="0" t="s">
        <v>158</v>
      </c>
    </row>
    <row r="569" customFormat="false" ht="15" hidden="false" customHeight="false" outlineLevel="0" collapsed="false">
      <c r="A569" s="0" t="n">
        <v>569</v>
      </c>
      <c r="B569" s="0" t="n">
        <v>565595</v>
      </c>
      <c r="C569" s="0" t="n">
        <v>27824</v>
      </c>
      <c r="D569" s="0" t="n">
        <v>371884</v>
      </c>
      <c r="E569" s="0" t="s">
        <v>195</v>
      </c>
      <c r="F569" s="0" t="n">
        <v>63535</v>
      </c>
      <c r="G569" s="0" t="s">
        <v>5688</v>
      </c>
      <c r="H569" s="0" t="s">
        <v>5689</v>
      </c>
      <c r="I569" s="0" t="s">
        <v>5690</v>
      </c>
      <c r="J569" s="0" t="s">
        <v>5691</v>
      </c>
      <c r="K569" s="0" t="s">
        <v>5692</v>
      </c>
      <c r="L569" s="0" t="n">
        <v>468047</v>
      </c>
      <c r="M569" s="0" t="s">
        <v>5693</v>
      </c>
      <c r="N569" s="0" t="n">
        <v>407195</v>
      </c>
      <c r="O569" s="0" t="n">
        <v>2900</v>
      </c>
      <c r="P569" s="0" t="s">
        <v>453</v>
      </c>
      <c r="Q569" s="0" t="s">
        <v>5694</v>
      </c>
      <c r="R569" s="0" t="s">
        <v>5695</v>
      </c>
      <c r="S569" s="0" t="s">
        <v>5696</v>
      </c>
      <c r="T569" s="0" t="s">
        <v>5697</v>
      </c>
      <c r="U569" s="0" t="n">
        <v>0</v>
      </c>
      <c r="V569" s="0" t="n">
        <v>19.3955916631453</v>
      </c>
      <c r="W569" s="0" t="n">
        <v>20240930</v>
      </c>
      <c r="X569" s="0" t="n">
        <v>-0.656895429386435</v>
      </c>
      <c r="Y569" s="0" t="s">
        <v>5698</v>
      </c>
      <c r="Z569" s="0" t="s">
        <v>158</v>
      </c>
    </row>
    <row r="570" customFormat="false" ht="15" hidden="false" customHeight="false" outlineLevel="0" collapsed="false">
      <c r="A570" s="0" t="n">
        <v>570</v>
      </c>
      <c r="B570" s="0" t="n">
        <v>298193</v>
      </c>
      <c r="C570" s="0" t="n">
        <v>28155</v>
      </c>
      <c r="D570" s="0" t="n">
        <v>259984</v>
      </c>
      <c r="E570" s="0" t="s">
        <v>794</v>
      </c>
      <c r="F570" s="0" t="n">
        <v>27490</v>
      </c>
      <c r="G570" s="0" t="s">
        <v>5699</v>
      </c>
      <c r="H570" s="0" t="s">
        <v>5700</v>
      </c>
      <c r="I570" s="0" t="s">
        <v>5701</v>
      </c>
      <c r="J570" s="0" t="s">
        <v>5702</v>
      </c>
      <c r="K570" s="0" t="s">
        <v>5703</v>
      </c>
      <c r="L570" s="0" t="n">
        <v>173650</v>
      </c>
      <c r="M570" s="0" t="s">
        <v>5704</v>
      </c>
      <c r="N570" s="0" t="n">
        <v>156786</v>
      </c>
      <c r="O570" s="0" t="n">
        <v>46</v>
      </c>
      <c r="P570" s="0" t="s">
        <v>464</v>
      </c>
      <c r="Q570" s="0" t="s">
        <v>5705</v>
      </c>
      <c r="R570" s="0" t="s">
        <v>5706</v>
      </c>
      <c r="S570" s="0" t="s">
        <v>256</v>
      </c>
      <c r="T570" s="0" t="s">
        <v>5707</v>
      </c>
      <c r="U570" s="0" t="n">
        <v>0</v>
      </c>
      <c r="V570" s="0" t="n">
        <v>17.5684475088697</v>
      </c>
      <c r="W570" s="0" t="n">
        <v>20240930</v>
      </c>
      <c r="X570" s="0" t="n">
        <v>0</v>
      </c>
      <c r="Y570" s="0" t="s">
        <v>61</v>
      </c>
      <c r="Z570" s="0" t="s">
        <v>158</v>
      </c>
    </row>
    <row r="571" customFormat="false" ht="15" hidden="false" customHeight="false" outlineLevel="0" collapsed="false">
      <c r="A571" s="0" t="n">
        <v>571</v>
      </c>
      <c r="B571" s="0" t="n">
        <v>102402</v>
      </c>
      <c r="C571" s="0" t="n">
        <v>28288</v>
      </c>
      <c r="D571" s="0" t="n">
        <v>74874</v>
      </c>
      <c r="E571" s="0" t="s">
        <v>1729</v>
      </c>
      <c r="F571" s="0" t="n">
        <v>6447</v>
      </c>
      <c r="G571" s="0" t="s">
        <v>5708</v>
      </c>
      <c r="H571" s="0" t="s">
        <v>5709</v>
      </c>
      <c r="I571" s="0" t="s">
        <v>5710</v>
      </c>
      <c r="J571" s="0" t="s">
        <v>5711</v>
      </c>
      <c r="K571" s="0" t="s">
        <v>5712</v>
      </c>
      <c r="L571" s="0" t="n">
        <v>81030</v>
      </c>
      <c r="M571" s="0" t="s">
        <v>5713</v>
      </c>
      <c r="N571" s="0" t="n">
        <v>74225</v>
      </c>
      <c r="O571" s="0" t="n">
        <v>140</v>
      </c>
      <c r="P571" s="0" t="s">
        <v>475</v>
      </c>
      <c r="Q571" s="0" t="s">
        <v>5714</v>
      </c>
      <c r="R571" s="0" t="s">
        <v>5715</v>
      </c>
      <c r="S571" s="0" t="s">
        <v>61</v>
      </c>
      <c r="T571" s="0" t="s">
        <v>1604</v>
      </c>
      <c r="U571" s="0" t="n">
        <v>0</v>
      </c>
      <c r="V571" s="0" t="n">
        <v>13.3806203414282</v>
      </c>
      <c r="W571" s="0" t="n">
        <v>20240930</v>
      </c>
      <c r="X571" s="0" t="n">
        <v>0.0863646888497338</v>
      </c>
      <c r="Y571" s="0" t="s">
        <v>5716</v>
      </c>
      <c r="Z571" s="0" t="s">
        <v>60</v>
      </c>
    </row>
    <row r="572" customFormat="false" ht="15" hidden="false" customHeight="false" outlineLevel="0" collapsed="false">
      <c r="A572" s="0" t="n">
        <v>572</v>
      </c>
      <c r="B572" s="0" t="n">
        <v>94545</v>
      </c>
      <c r="C572" s="0" t="n">
        <v>28369</v>
      </c>
      <c r="D572" s="0" t="n">
        <v>75881</v>
      </c>
      <c r="E572" s="0" t="s">
        <v>195</v>
      </c>
      <c r="F572" s="0" t="n">
        <v>9202</v>
      </c>
      <c r="G572" s="0" t="s">
        <v>5717</v>
      </c>
      <c r="H572" s="0" t="s">
        <v>5718</v>
      </c>
      <c r="I572" s="0" t="s">
        <v>5719</v>
      </c>
      <c r="J572" s="0" t="s">
        <v>5720</v>
      </c>
      <c r="K572" s="0" t="s">
        <v>1616</v>
      </c>
      <c r="L572" s="0" t="n">
        <v>81722</v>
      </c>
      <c r="M572" s="0" t="s">
        <v>5721</v>
      </c>
      <c r="N572" s="0" t="n">
        <v>68636</v>
      </c>
      <c r="O572" s="0" t="n">
        <v>135</v>
      </c>
      <c r="P572" s="0" t="s">
        <v>486</v>
      </c>
      <c r="Q572" s="0" t="s">
        <v>5722</v>
      </c>
      <c r="R572" s="0" t="s">
        <v>5723</v>
      </c>
      <c r="S572" s="0" t="s">
        <v>293</v>
      </c>
      <c r="T572" s="0" t="s">
        <v>2342</v>
      </c>
      <c r="U572" s="0" t="n">
        <v>0</v>
      </c>
      <c r="V572" s="0" t="n">
        <v>13.8902686836758</v>
      </c>
      <c r="W572" s="0" t="n">
        <v>20240930</v>
      </c>
      <c r="X572" s="0" t="n">
        <v>-0.208082630553586</v>
      </c>
      <c r="Y572" s="0" t="s">
        <v>5724</v>
      </c>
      <c r="Z572" s="0" t="s">
        <v>60</v>
      </c>
    </row>
    <row r="573" customFormat="false" ht="15" hidden="false" customHeight="false" outlineLevel="0" collapsed="false">
      <c r="A573" s="0" t="n">
        <v>573</v>
      </c>
      <c r="B573" s="0" t="n">
        <v>283014</v>
      </c>
      <c r="C573" s="0" t="n">
        <v>28837</v>
      </c>
      <c r="D573" s="0" t="n">
        <v>251476</v>
      </c>
      <c r="E573" s="0" t="s">
        <v>742</v>
      </c>
      <c r="F573" s="0" t="n">
        <v>28217</v>
      </c>
      <c r="G573" s="0" t="s">
        <v>5725</v>
      </c>
      <c r="H573" s="0" t="s">
        <v>5726</v>
      </c>
      <c r="I573" s="0" t="s">
        <v>5727</v>
      </c>
      <c r="J573" s="0" t="s">
        <v>5728</v>
      </c>
      <c r="K573" s="0" t="s">
        <v>5729</v>
      </c>
      <c r="L573" s="0" t="n">
        <v>203765</v>
      </c>
      <c r="M573" s="0" t="s">
        <v>5730</v>
      </c>
      <c r="N573" s="0" t="n">
        <v>194609</v>
      </c>
      <c r="O573" s="0" t="n">
        <v>30</v>
      </c>
      <c r="P573" s="0" t="s">
        <v>497</v>
      </c>
      <c r="Q573" s="0" t="s">
        <v>5731</v>
      </c>
      <c r="R573" s="0" t="s">
        <v>5732</v>
      </c>
      <c r="S573" s="0" t="s">
        <v>5733</v>
      </c>
      <c r="T573" s="0" t="s">
        <v>5106</v>
      </c>
      <c r="U573" s="0" t="n">
        <v>0</v>
      </c>
      <c r="V573" s="0" t="n">
        <v>17.7307318906392</v>
      </c>
      <c r="W573" s="0" t="n">
        <v>20240930</v>
      </c>
      <c r="X573" s="0" t="n">
        <v>0.88534503400353</v>
      </c>
      <c r="Y573" s="0" t="s">
        <v>659</v>
      </c>
      <c r="Z573" s="0" t="s">
        <v>98</v>
      </c>
    </row>
    <row r="574" customFormat="false" ht="15" hidden="false" customHeight="false" outlineLevel="0" collapsed="false">
      <c r="A574" s="0" t="n">
        <v>574</v>
      </c>
      <c r="B574" s="0" t="n">
        <v>181616</v>
      </c>
      <c r="C574" s="0" t="n">
        <v>29636</v>
      </c>
      <c r="D574" s="0" t="n">
        <v>140789</v>
      </c>
      <c r="E574" s="0" t="s">
        <v>271</v>
      </c>
      <c r="F574" s="0" t="n">
        <v>26607</v>
      </c>
      <c r="G574" s="0" t="s">
        <v>5734</v>
      </c>
      <c r="H574" s="0" t="s">
        <v>5735</v>
      </c>
      <c r="I574" s="0" t="s">
        <v>5736</v>
      </c>
      <c r="J574" s="0" t="s">
        <v>5737</v>
      </c>
      <c r="K574" s="0" t="s">
        <v>5738</v>
      </c>
      <c r="L574" s="0" t="n">
        <v>139743</v>
      </c>
      <c r="M574" s="0" t="s">
        <v>5739</v>
      </c>
      <c r="N574" s="0" t="n">
        <v>136319</v>
      </c>
      <c r="O574" s="0" t="n">
        <v>2870</v>
      </c>
      <c r="P574" s="0" t="s">
        <v>509</v>
      </c>
      <c r="Q574" s="0" t="s">
        <v>5740</v>
      </c>
      <c r="R574" s="0" t="s">
        <v>5741</v>
      </c>
      <c r="S574" s="0" t="s">
        <v>478</v>
      </c>
      <c r="T574" s="0" t="s">
        <v>5742</v>
      </c>
      <c r="U574" s="0" t="n">
        <v>0</v>
      </c>
      <c r="V574" s="0" t="n">
        <v>27.01771126452</v>
      </c>
      <c r="W574" s="0" t="n">
        <v>20240930</v>
      </c>
      <c r="X574" s="0" t="n">
        <v>0.335911070326187</v>
      </c>
      <c r="Y574" s="0" t="s">
        <v>5743</v>
      </c>
      <c r="Z574" s="0" t="s">
        <v>60</v>
      </c>
    </row>
    <row r="575" customFormat="false" ht="15" hidden="false" customHeight="false" outlineLevel="0" collapsed="false">
      <c r="A575" s="0" t="n">
        <v>575</v>
      </c>
      <c r="B575" s="0" t="n">
        <v>194865</v>
      </c>
      <c r="C575" s="0" t="n">
        <v>29743</v>
      </c>
      <c r="D575" s="0" t="n">
        <v>169632</v>
      </c>
      <c r="E575" s="0" t="s">
        <v>1500</v>
      </c>
      <c r="F575" s="0" t="n">
        <v>18304</v>
      </c>
      <c r="G575" s="0" t="s">
        <v>5744</v>
      </c>
      <c r="H575" s="0" t="s">
        <v>5745</v>
      </c>
      <c r="I575" s="0" t="s">
        <v>5746</v>
      </c>
      <c r="J575" s="0" t="s">
        <v>5747</v>
      </c>
      <c r="K575" s="0" t="s">
        <v>5748</v>
      </c>
      <c r="L575" s="0" t="n">
        <v>135474</v>
      </c>
      <c r="M575" s="0" t="s">
        <v>5749</v>
      </c>
      <c r="N575" s="0" t="n">
        <v>88755</v>
      </c>
      <c r="O575" s="0" t="n">
        <v>713</v>
      </c>
      <c r="P575" s="0" t="s">
        <v>520</v>
      </c>
      <c r="Q575" s="0" t="s">
        <v>5750</v>
      </c>
      <c r="R575" s="0" t="s">
        <v>5751</v>
      </c>
      <c r="S575" s="0" t="s">
        <v>230</v>
      </c>
      <c r="T575" s="0" t="s">
        <v>5752</v>
      </c>
      <c r="U575" s="0" t="n">
        <v>0</v>
      </c>
      <c r="V575" s="0" t="n">
        <v>18.2276559407954</v>
      </c>
      <c r="W575" s="0" t="n">
        <v>20240930</v>
      </c>
      <c r="X575" s="0" t="n">
        <v>0.307613817098072</v>
      </c>
      <c r="Y575" s="0" t="s">
        <v>5753</v>
      </c>
      <c r="Z575" s="0" t="s">
        <v>60</v>
      </c>
    </row>
    <row r="576" customFormat="false" ht="15" hidden="false" customHeight="false" outlineLevel="0" collapsed="false">
      <c r="A576" s="0" t="n">
        <v>576</v>
      </c>
      <c r="B576" s="0" t="n">
        <v>602075</v>
      </c>
      <c r="C576" s="0" t="n">
        <v>29744</v>
      </c>
      <c r="D576" s="0" t="n">
        <v>467670</v>
      </c>
      <c r="E576" s="0" t="s">
        <v>61</v>
      </c>
      <c r="F576" s="0" t="n">
        <v>48662</v>
      </c>
      <c r="G576" s="0" t="s">
        <v>5754</v>
      </c>
      <c r="H576" s="0" t="s">
        <v>5755</v>
      </c>
      <c r="I576" s="0" t="s">
        <v>5756</v>
      </c>
      <c r="J576" s="0" t="s">
        <v>5757</v>
      </c>
      <c r="K576" s="0" t="s">
        <v>5758</v>
      </c>
      <c r="L576" s="0" t="n">
        <v>436785</v>
      </c>
      <c r="M576" s="0" t="s">
        <v>5759</v>
      </c>
      <c r="N576" s="0" t="n">
        <v>400419</v>
      </c>
      <c r="O576" s="0" t="n">
        <v>0</v>
      </c>
      <c r="P576" s="0" t="s">
        <v>531</v>
      </c>
      <c r="Q576" s="0" t="s">
        <v>61</v>
      </c>
      <c r="R576" s="0" t="s">
        <v>5760</v>
      </c>
      <c r="S576" s="0" t="s">
        <v>2688</v>
      </c>
      <c r="T576" s="0" t="s">
        <v>61</v>
      </c>
      <c r="U576" s="0" t="n">
        <v>0</v>
      </c>
      <c r="V576" s="0" t="n">
        <v>15.6619539212435</v>
      </c>
      <c r="W576" s="0" t="n">
        <v>20240930</v>
      </c>
      <c r="X576" s="0" t="n">
        <v>0.207937144494701</v>
      </c>
      <c r="Y576" s="0" t="s">
        <v>4105</v>
      </c>
      <c r="Z576" s="0" t="s">
        <v>158</v>
      </c>
    </row>
    <row r="577" customFormat="false" ht="15" hidden="false" customHeight="false" outlineLevel="0" collapsed="false">
      <c r="A577" s="0" t="n">
        <v>577</v>
      </c>
      <c r="B577" s="0" t="n">
        <v>583685</v>
      </c>
      <c r="C577" s="0" t="n">
        <v>30350</v>
      </c>
      <c r="D577" s="0" t="n">
        <v>462099</v>
      </c>
      <c r="E577" s="0" t="s">
        <v>794</v>
      </c>
      <c r="F577" s="0" t="n">
        <v>60586</v>
      </c>
      <c r="G577" s="0" t="s">
        <v>5761</v>
      </c>
      <c r="H577" s="0" t="s">
        <v>5762</v>
      </c>
      <c r="I577" s="0" t="s">
        <v>5763</v>
      </c>
      <c r="J577" s="0" t="s">
        <v>5764</v>
      </c>
      <c r="K577" s="0" t="s">
        <v>5765</v>
      </c>
      <c r="L577" s="0" t="n">
        <v>434699</v>
      </c>
      <c r="M577" s="0" t="s">
        <v>5766</v>
      </c>
      <c r="N577" s="0" t="n">
        <v>415141</v>
      </c>
      <c r="O577" s="0" t="n">
        <v>1774</v>
      </c>
      <c r="P577" s="0" t="s">
        <v>543</v>
      </c>
      <c r="Q577" s="0" t="s">
        <v>5767</v>
      </c>
      <c r="R577" s="0" t="s">
        <v>5768</v>
      </c>
      <c r="S577" s="0" t="s">
        <v>5769</v>
      </c>
      <c r="T577" s="0" t="s">
        <v>5770</v>
      </c>
      <c r="U577" s="0" t="n">
        <v>0</v>
      </c>
      <c r="V577" s="0" t="n">
        <v>20.6833500325561</v>
      </c>
      <c r="W577" s="0" t="n">
        <v>20240930</v>
      </c>
      <c r="X577" s="0" t="n">
        <v>0.62176253371026</v>
      </c>
      <c r="Y577" s="0" t="s">
        <v>5771</v>
      </c>
      <c r="Z577" s="0" t="s">
        <v>98</v>
      </c>
    </row>
    <row r="578" customFormat="false" ht="15" hidden="false" customHeight="false" outlineLevel="0" collapsed="false">
      <c r="A578" s="0" t="n">
        <v>578</v>
      </c>
      <c r="B578" s="0" t="n">
        <v>101059</v>
      </c>
      <c r="C578" s="0" t="n">
        <v>30878</v>
      </c>
      <c r="D578" s="0" t="n">
        <v>76246</v>
      </c>
      <c r="E578" s="0" t="s">
        <v>1281</v>
      </c>
      <c r="F578" s="0" t="n">
        <v>11989</v>
      </c>
      <c r="G578" s="0" t="s">
        <v>5772</v>
      </c>
      <c r="H578" s="0" t="s">
        <v>5773</v>
      </c>
      <c r="I578" s="0" t="s">
        <v>5774</v>
      </c>
      <c r="J578" s="0" t="s">
        <v>61</v>
      </c>
      <c r="K578" s="0" t="s">
        <v>5775</v>
      </c>
      <c r="L578" s="0" t="n">
        <v>87769</v>
      </c>
      <c r="M578" s="0" t="s">
        <v>5776</v>
      </c>
      <c r="N578" s="0" t="n">
        <v>87603</v>
      </c>
      <c r="O578" s="0" t="n">
        <v>1674</v>
      </c>
      <c r="P578" s="0" t="s">
        <v>553</v>
      </c>
      <c r="Q578" s="0" t="s">
        <v>5777</v>
      </c>
      <c r="R578" s="0" t="s">
        <v>5778</v>
      </c>
      <c r="S578" s="0" t="s">
        <v>61</v>
      </c>
      <c r="T578" s="0" t="s">
        <v>5779</v>
      </c>
      <c r="U578" s="0" t="n">
        <v>0</v>
      </c>
      <c r="V578" s="0" t="n">
        <v>0</v>
      </c>
      <c r="W578" s="0" t="n">
        <v>20240930</v>
      </c>
      <c r="X578" s="0" t="n">
        <v>-0.533353658240569</v>
      </c>
      <c r="Y578" s="0" t="s">
        <v>5780</v>
      </c>
      <c r="Z578" s="0" t="s">
        <v>60</v>
      </c>
    </row>
    <row r="579" customFormat="false" ht="15" hidden="false" customHeight="false" outlineLevel="0" collapsed="false">
      <c r="A579" s="0" t="n">
        <v>579</v>
      </c>
      <c r="B579" s="0" t="n">
        <v>938865</v>
      </c>
      <c r="C579" s="0" t="n">
        <v>33418</v>
      </c>
      <c r="D579" s="0" t="n">
        <v>826469</v>
      </c>
      <c r="E579" s="0" t="s">
        <v>1393</v>
      </c>
      <c r="F579" s="0" t="n">
        <v>69813</v>
      </c>
      <c r="G579" s="0" t="s">
        <v>5781</v>
      </c>
      <c r="H579" s="0" t="s">
        <v>5782</v>
      </c>
      <c r="I579" s="0" t="s">
        <v>5783</v>
      </c>
      <c r="J579" s="0" t="s">
        <v>5784</v>
      </c>
      <c r="K579" s="0" t="s">
        <v>5785</v>
      </c>
      <c r="L579" s="0" t="n">
        <v>532153</v>
      </c>
      <c r="M579" s="0" t="s">
        <v>5786</v>
      </c>
      <c r="N579" s="0" t="n">
        <v>442986</v>
      </c>
      <c r="O579" s="0" t="n">
        <v>1024</v>
      </c>
      <c r="P579" s="0" t="s">
        <v>564</v>
      </c>
      <c r="Q579" s="0" t="s">
        <v>5787</v>
      </c>
      <c r="R579" s="0" t="s">
        <v>5788</v>
      </c>
      <c r="S579" s="0" t="s">
        <v>71</v>
      </c>
      <c r="T579" s="0" t="s">
        <v>1824</v>
      </c>
      <c r="U579" s="0" t="n">
        <v>0</v>
      </c>
      <c r="V579" s="0" t="n">
        <v>13.9529252381118</v>
      </c>
      <c r="W579" s="0" t="n">
        <v>20240930</v>
      </c>
      <c r="X579" s="0" t="n">
        <v>0.395784291055647</v>
      </c>
      <c r="Y579" s="0" t="s">
        <v>5037</v>
      </c>
      <c r="Z579" s="0" t="s">
        <v>98</v>
      </c>
    </row>
    <row r="580" customFormat="false" ht="15" hidden="false" customHeight="false" outlineLevel="0" collapsed="false">
      <c r="A580" s="0" t="n">
        <v>580</v>
      </c>
      <c r="B580" s="0" t="n">
        <v>90470</v>
      </c>
      <c r="C580" s="0" t="n">
        <v>35206</v>
      </c>
      <c r="D580" s="0" t="n">
        <v>500</v>
      </c>
      <c r="E580" s="0" t="s">
        <v>61</v>
      </c>
      <c r="F580" s="0" t="n">
        <v>87835</v>
      </c>
      <c r="G580" s="0" t="s">
        <v>5789</v>
      </c>
      <c r="H580" s="0" t="s">
        <v>5790</v>
      </c>
      <c r="I580" s="0" t="s">
        <v>61</v>
      </c>
      <c r="J580" s="0" t="s">
        <v>61</v>
      </c>
      <c r="K580" s="0" t="s">
        <v>61</v>
      </c>
      <c r="L580" s="0" t="n">
        <v>0</v>
      </c>
      <c r="M580" s="0" t="s">
        <v>61</v>
      </c>
      <c r="N580" s="0" t="n">
        <v>0</v>
      </c>
      <c r="O580" s="0" t="n">
        <v>0</v>
      </c>
      <c r="P580" s="0" t="s">
        <v>1112</v>
      </c>
      <c r="Q580" s="0" t="s">
        <v>61</v>
      </c>
      <c r="R580" s="0" t="s">
        <v>5791</v>
      </c>
      <c r="S580" s="0" t="s">
        <v>61</v>
      </c>
      <c r="T580" s="0" t="s">
        <v>61</v>
      </c>
      <c r="U580" s="0" t="n">
        <v>0</v>
      </c>
      <c r="V580" s="0" t="n">
        <v>0</v>
      </c>
      <c r="W580" s="0" t="n">
        <v>20240930</v>
      </c>
      <c r="X580" s="0" t="n">
        <v>21.5285961063394</v>
      </c>
      <c r="Y580" s="0" t="s">
        <v>5792</v>
      </c>
      <c r="Z580" s="0" t="s">
        <v>158</v>
      </c>
    </row>
    <row r="581" customFormat="false" ht="15" hidden="false" customHeight="false" outlineLevel="0" collapsed="false">
      <c r="A581" s="0" t="n">
        <v>581</v>
      </c>
      <c r="B581" s="0" t="n">
        <v>5730254</v>
      </c>
      <c r="C581" s="0" t="n">
        <v>4255</v>
      </c>
      <c r="D581" s="0" t="n">
        <v>4609875</v>
      </c>
      <c r="E581" s="0" t="s">
        <v>794</v>
      </c>
      <c r="F581" s="0" t="n">
        <v>543598</v>
      </c>
      <c r="G581" s="0" t="s">
        <v>5793</v>
      </c>
      <c r="H581" s="0" t="s">
        <v>5794</v>
      </c>
      <c r="I581" s="0" t="s">
        <v>5795</v>
      </c>
      <c r="J581" s="0" t="s">
        <v>5796</v>
      </c>
      <c r="K581" s="0" t="s">
        <v>5797</v>
      </c>
      <c r="L581" s="0" t="n">
        <v>4128435</v>
      </c>
      <c r="M581" s="0" t="s">
        <v>5798</v>
      </c>
      <c r="N581" s="0" t="n">
        <v>3753732</v>
      </c>
      <c r="O581" s="0" t="n">
        <v>5350</v>
      </c>
      <c r="P581" s="0" t="s">
        <v>575</v>
      </c>
      <c r="Q581" s="0" t="s">
        <v>5799</v>
      </c>
      <c r="R581" s="0" t="s">
        <v>5800</v>
      </c>
      <c r="S581" s="0" t="s">
        <v>5801</v>
      </c>
      <c r="T581" s="0" t="s">
        <v>3582</v>
      </c>
      <c r="U581" s="0" t="n">
        <v>0</v>
      </c>
      <c r="V581" s="0" t="n">
        <v>14.1867246818839</v>
      </c>
      <c r="W581" s="0" t="n">
        <v>20240930</v>
      </c>
      <c r="X581" s="0" t="n">
        <v>0.9337865070275</v>
      </c>
      <c r="Y581" s="0" t="s">
        <v>5802</v>
      </c>
      <c r="Z581" s="0" t="s">
        <v>60</v>
      </c>
    </row>
    <row r="582" customFormat="false" ht="15" hidden="false" customHeight="false" outlineLevel="0" collapsed="false">
      <c r="A582" s="0" t="n">
        <v>582</v>
      </c>
      <c r="B582" s="0" t="n">
        <v>3107311</v>
      </c>
      <c r="C582" s="0" t="n">
        <v>4256</v>
      </c>
      <c r="D582" s="0" t="n">
        <v>2703552</v>
      </c>
      <c r="E582" s="0" t="s">
        <v>1500</v>
      </c>
      <c r="F582" s="0" t="n">
        <v>227931</v>
      </c>
      <c r="G582" s="0" t="s">
        <v>5803</v>
      </c>
      <c r="H582" s="0" t="s">
        <v>5804</v>
      </c>
      <c r="I582" s="0" t="s">
        <v>5805</v>
      </c>
      <c r="J582" s="0" t="s">
        <v>5806</v>
      </c>
      <c r="K582" s="0" t="s">
        <v>5807</v>
      </c>
      <c r="L582" s="0" t="n">
        <v>2307253</v>
      </c>
      <c r="M582" s="0" t="s">
        <v>5808</v>
      </c>
      <c r="N582" s="0" t="n">
        <v>1810714</v>
      </c>
      <c r="O582" s="0" t="n">
        <v>2497</v>
      </c>
      <c r="P582" s="0" t="s">
        <v>587</v>
      </c>
      <c r="Q582" s="0" t="s">
        <v>5809</v>
      </c>
      <c r="R582" s="0" t="s">
        <v>5810</v>
      </c>
      <c r="S582" s="0" t="s">
        <v>1039</v>
      </c>
      <c r="T582" s="0" t="s">
        <v>3483</v>
      </c>
      <c r="U582" s="0" t="n">
        <v>405</v>
      </c>
      <c r="V582" s="0" t="n">
        <v>13.0554366502324</v>
      </c>
      <c r="W582" s="0" t="n">
        <v>20240930</v>
      </c>
      <c r="X582" s="0" t="n">
        <v>0.912442159618479</v>
      </c>
      <c r="Y582" s="0" t="s">
        <v>5811</v>
      </c>
      <c r="Z582" s="0" t="s">
        <v>60</v>
      </c>
    </row>
    <row r="583" customFormat="false" ht="15" hidden="false" customHeight="false" outlineLevel="0" collapsed="false">
      <c r="A583" s="0" t="n">
        <v>583</v>
      </c>
      <c r="B583" s="0" t="n">
        <v>716744</v>
      </c>
      <c r="C583" s="0" t="n">
        <v>59086</v>
      </c>
      <c r="D583" s="0" t="n">
        <v>614764</v>
      </c>
      <c r="E583" s="0" t="s">
        <v>85</v>
      </c>
      <c r="F583" s="0" t="n">
        <v>96571</v>
      </c>
      <c r="G583" s="0" t="s">
        <v>5812</v>
      </c>
      <c r="H583" s="0" t="s">
        <v>5813</v>
      </c>
      <c r="I583" s="0" t="s">
        <v>5814</v>
      </c>
      <c r="J583" s="0" t="s">
        <v>5815</v>
      </c>
      <c r="K583" s="0" t="s">
        <v>61</v>
      </c>
      <c r="L583" s="0" t="n">
        <v>599117</v>
      </c>
      <c r="M583" s="0" t="s">
        <v>5816</v>
      </c>
      <c r="N583" s="0" t="n">
        <v>474334</v>
      </c>
      <c r="O583" s="0" t="n">
        <v>3521</v>
      </c>
      <c r="P583" s="0" t="s">
        <v>599</v>
      </c>
      <c r="Q583" s="0" t="s">
        <v>5817</v>
      </c>
      <c r="R583" s="0" t="s">
        <v>5818</v>
      </c>
      <c r="S583" s="0" t="s">
        <v>5819</v>
      </c>
      <c r="T583" s="0" t="s">
        <v>5820</v>
      </c>
      <c r="U583" s="0" t="n">
        <v>6307</v>
      </c>
      <c r="V583" s="0" t="n">
        <v>16.0439870513234</v>
      </c>
      <c r="W583" s="0" t="n">
        <v>20240930</v>
      </c>
      <c r="X583" s="0" t="n">
        <v>1.44425252021969</v>
      </c>
      <c r="Y583" s="0" t="s">
        <v>3325</v>
      </c>
      <c r="Z583" s="0" t="s">
        <v>158</v>
      </c>
    </row>
    <row r="584" customFormat="false" ht="15" hidden="false" customHeight="false" outlineLevel="0" collapsed="false">
      <c r="A584" s="0" t="n">
        <v>584</v>
      </c>
      <c r="B584" s="0" t="n">
        <v>228046</v>
      </c>
      <c r="C584" s="0" t="n">
        <v>59176</v>
      </c>
      <c r="D584" s="0" t="n">
        <v>192544</v>
      </c>
      <c r="E584" s="0" t="s">
        <v>172</v>
      </c>
      <c r="F584" s="0" t="n">
        <v>27016</v>
      </c>
      <c r="G584" s="0" t="s">
        <v>5821</v>
      </c>
      <c r="H584" s="0" t="s">
        <v>5822</v>
      </c>
      <c r="I584" s="0" t="s">
        <v>5823</v>
      </c>
      <c r="J584" s="0" t="s">
        <v>5824</v>
      </c>
      <c r="K584" s="0" t="s">
        <v>61</v>
      </c>
      <c r="L584" s="0" t="n">
        <v>169029</v>
      </c>
      <c r="M584" s="0" t="s">
        <v>5825</v>
      </c>
      <c r="N584" s="0" t="n">
        <v>146756</v>
      </c>
      <c r="O584" s="0" t="n">
        <v>0</v>
      </c>
      <c r="P584" s="0" t="s">
        <v>610</v>
      </c>
      <c r="Q584" s="0" t="s">
        <v>61</v>
      </c>
      <c r="R584" s="0" t="s">
        <v>5826</v>
      </c>
      <c r="S584" s="0" t="s">
        <v>4540</v>
      </c>
      <c r="T584" s="0" t="s">
        <v>61</v>
      </c>
      <c r="U584" s="0" t="n">
        <v>0</v>
      </c>
      <c r="V584" s="0" t="n">
        <v>0</v>
      </c>
      <c r="W584" s="0" t="n">
        <v>20240930</v>
      </c>
      <c r="X584" s="0" t="n">
        <v>0.0476526211412943</v>
      </c>
      <c r="Y584" s="0" t="s">
        <v>5827</v>
      </c>
      <c r="Z584" s="0" t="s">
        <v>158</v>
      </c>
    </row>
    <row r="585" customFormat="false" ht="15" hidden="false" customHeight="false" outlineLevel="0" collapsed="false">
      <c r="A585" s="0" t="n">
        <v>585</v>
      </c>
      <c r="B585" s="0" t="n">
        <v>120497</v>
      </c>
      <c r="C585" s="0" t="n">
        <v>59289</v>
      </c>
      <c r="D585" s="0" t="n">
        <v>102833</v>
      </c>
      <c r="E585" s="0" t="s">
        <v>5828</v>
      </c>
      <c r="F585" s="0" t="n">
        <v>16578</v>
      </c>
      <c r="G585" s="0" t="s">
        <v>5829</v>
      </c>
      <c r="H585" s="0" t="s">
        <v>5830</v>
      </c>
      <c r="I585" s="0" t="s">
        <v>5831</v>
      </c>
      <c r="J585" s="0" t="s">
        <v>5832</v>
      </c>
      <c r="K585" s="0" t="s">
        <v>61</v>
      </c>
      <c r="L585" s="0" t="n">
        <v>73232</v>
      </c>
      <c r="M585" s="0" t="s">
        <v>5833</v>
      </c>
      <c r="N585" s="0" t="n">
        <v>31000</v>
      </c>
      <c r="O585" s="0" t="n">
        <v>4832</v>
      </c>
      <c r="P585" s="0" t="s">
        <v>2223</v>
      </c>
      <c r="Q585" s="0" t="s">
        <v>5834</v>
      </c>
      <c r="R585" s="0" t="s">
        <v>5835</v>
      </c>
      <c r="S585" s="0" t="s">
        <v>61</v>
      </c>
      <c r="T585" s="0" t="s">
        <v>61</v>
      </c>
      <c r="U585" s="0" t="n">
        <v>0</v>
      </c>
      <c r="V585" s="0" t="n">
        <v>0</v>
      </c>
      <c r="W585" s="0" t="n">
        <v>20240930</v>
      </c>
      <c r="X585" s="0" t="n">
        <v>-3.55028579942775</v>
      </c>
      <c r="Y585" s="0" t="s">
        <v>5836</v>
      </c>
      <c r="Z585" s="0" t="s">
        <v>158</v>
      </c>
    </row>
    <row r="586" customFormat="false" ht="15" hidden="false" customHeight="false" outlineLevel="0" collapsed="false">
      <c r="A586" s="0" t="n">
        <v>586</v>
      </c>
      <c r="B586" s="0" t="n">
        <v>257839</v>
      </c>
      <c r="C586" s="0" t="n">
        <v>59298</v>
      </c>
      <c r="D586" s="0" t="n">
        <v>230108</v>
      </c>
      <c r="E586" s="0" t="s">
        <v>2413</v>
      </c>
      <c r="F586" s="0" t="n">
        <v>26808</v>
      </c>
      <c r="G586" s="0" t="s">
        <v>5837</v>
      </c>
      <c r="H586" s="0" t="s">
        <v>5838</v>
      </c>
      <c r="I586" s="0" t="s">
        <v>5839</v>
      </c>
      <c r="J586" s="0" t="s">
        <v>5840</v>
      </c>
      <c r="K586" s="0" t="s">
        <v>61</v>
      </c>
      <c r="L586" s="0" t="n">
        <v>111891</v>
      </c>
      <c r="M586" s="0" t="s">
        <v>5841</v>
      </c>
      <c r="N586" s="0" t="n">
        <v>88153</v>
      </c>
      <c r="O586" s="0" t="n">
        <v>0</v>
      </c>
      <c r="P586" s="0" t="s">
        <v>1684</v>
      </c>
      <c r="Q586" s="0" t="s">
        <v>61</v>
      </c>
      <c r="R586" s="0" t="s">
        <v>5842</v>
      </c>
      <c r="S586" s="0" t="s">
        <v>61</v>
      </c>
      <c r="T586" s="0" t="s">
        <v>61</v>
      </c>
      <c r="U586" s="0" t="n">
        <v>0</v>
      </c>
      <c r="V586" s="0" t="n">
        <v>0</v>
      </c>
      <c r="W586" s="0" t="n">
        <v>20240930</v>
      </c>
      <c r="X586" s="0" t="n">
        <v>-1.04704613103554</v>
      </c>
      <c r="Y586" s="0" t="s">
        <v>5843</v>
      </c>
      <c r="Z586" s="0" t="s">
        <v>98</v>
      </c>
    </row>
    <row r="587" customFormat="false" ht="15" hidden="false" customHeight="false" outlineLevel="0" collapsed="false">
      <c r="A587" s="0" t="n">
        <v>587</v>
      </c>
      <c r="B587" s="0" t="n">
        <v>1176660</v>
      </c>
      <c r="C587" s="0" t="n">
        <v>6271</v>
      </c>
      <c r="D587" s="0" t="n">
        <v>930724</v>
      </c>
      <c r="E587" s="0" t="s">
        <v>1436</v>
      </c>
      <c r="F587" s="0" t="n">
        <v>110390</v>
      </c>
      <c r="G587" s="0" t="s">
        <v>5844</v>
      </c>
      <c r="H587" s="0" t="s">
        <v>5845</v>
      </c>
      <c r="I587" s="0" t="s">
        <v>5846</v>
      </c>
      <c r="J587" s="0" t="s">
        <v>5847</v>
      </c>
      <c r="K587" s="0" t="s">
        <v>5848</v>
      </c>
      <c r="L587" s="0" t="n">
        <v>913349</v>
      </c>
      <c r="M587" s="0" t="s">
        <v>5849</v>
      </c>
      <c r="N587" s="0" t="n">
        <v>709642</v>
      </c>
      <c r="O587" s="0" t="n">
        <v>4487</v>
      </c>
      <c r="P587" s="0" t="s">
        <v>621</v>
      </c>
      <c r="Q587" s="0" t="s">
        <v>5850</v>
      </c>
      <c r="R587" s="0" t="s">
        <v>5851</v>
      </c>
      <c r="S587" s="0" t="s">
        <v>5852</v>
      </c>
      <c r="T587" s="0" t="s">
        <v>772</v>
      </c>
      <c r="U587" s="0" t="n">
        <v>873</v>
      </c>
      <c r="V587" s="0" t="n">
        <v>14.7664225949049</v>
      </c>
      <c r="W587" s="0" t="n">
        <v>20240930</v>
      </c>
      <c r="X587" s="0" t="n">
        <v>1.13807452468225</v>
      </c>
      <c r="Y587" s="0" t="s">
        <v>5853</v>
      </c>
      <c r="Z587" s="0" t="s">
        <v>98</v>
      </c>
    </row>
    <row r="588" customFormat="false" ht="15" hidden="false" customHeight="false" outlineLevel="0" collapsed="false">
      <c r="A588" s="0" t="n">
        <v>588</v>
      </c>
      <c r="B588" s="0" t="n">
        <v>558754</v>
      </c>
      <c r="C588" s="0" t="n">
        <v>6275</v>
      </c>
      <c r="D588" s="0" t="n">
        <v>473501</v>
      </c>
      <c r="E588" s="0" t="s">
        <v>61</v>
      </c>
      <c r="F588" s="0" t="n">
        <v>36242</v>
      </c>
      <c r="G588" s="0" t="s">
        <v>5854</v>
      </c>
      <c r="H588" s="0" t="s">
        <v>5855</v>
      </c>
      <c r="I588" s="0" t="s">
        <v>5856</v>
      </c>
      <c r="J588" s="0" t="s">
        <v>5857</v>
      </c>
      <c r="K588" s="0" t="s">
        <v>5858</v>
      </c>
      <c r="L588" s="0" t="n">
        <v>346673</v>
      </c>
      <c r="M588" s="0" t="s">
        <v>5859</v>
      </c>
      <c r="N588" s="0" t="n">
        <v>288795</v>
      </c>
      <c r="O588" s="0" t="n">
        <v>745</v>
      </c>
      <c r="P588" s="0" t="s">
        <v>633</v>
      </c>
      <c r="Q588" s="0" t="s">
        <v>5860</v>
      </c>
      <c r="R588" s="0" t="s">
        <v>5861</v>
      </c>
      <c r="S588" s="0" t="s">
        <v>327</v>
      </c>
      <c r="T588" s="0" t="s">
        <v>5862</v>
      </c>
      <c r="U588" s="0" t="n">
        <v>68</v>
      </c>
      <c r="V588" s="0" t="n">
        <v>15.2047103929892</v>
      </c>
      <c r="W588" s="0" t="n">
        <v>20240930</v>
      </c>
      <c r="X588" s="0" t="n">
        <v>0.610514678351193</v>
      </c>
      <c r="Y588" s="0" t="s">
        <v>4681</v>
      </c>
      <c r="Z588" s="0" t="s">
        <v>98</v>
      </c>
    </row>
    <row r="589" customFormat="false" ht="15" hidden="false" customHeight="false" outlineLevel="0" collapsed="false">
      <c r="A589" s="0" t="n">
        <v>589</v>
      </c>
      <c r="B589" s="0" t="n">
        <v>85714</v>
      </c>
      <c r="C589" s="0" t="n">
        <v>6280</v>
      </c>
      <c r="D589" s="0" t="n">
        <v>75614</v>
      </c>
      <c r="E589" s="0" t="s">
        <v>1187</v>
      </c>
      <c r="F589" s="0" t="n">
        <v>9836</v>
      </c>
      <c r="G589" s="0" t="s">
        <v>5863</v>
      </c>
      <c r="H589" s="0" t="s">
        <v>5864</v>
      </c>
      <c r="I589" s="0" t="s">
        <v>5865</v>
      </c>
      <c r="J589" s="0" t="s">
        <v>5866</v>
      </c>
      <c r="K589" s="0" t="s">
        <v>5867</v>
      </c>
      <c r="L589" s="0" t="n">
        <v>70650</v>
      </c>
      <c r="M589" s="0" t="s">
        <v>5868</v>
      </c>
      <c r="N589" s="0" t="n">
        <v>62411</v>
      </c>
      <c r="O589" s="0" t="n">
        <v>1121</v>
      </c>
      <c r="P589" s="0" t="s">
        <v>644</v>
      </c>
      <c r="Q589" s="0" t="s">
        <v>5869</v>
      </c>
      <c r="R589" s="0" t="s">
        <v>5870</v>
      </c>
      <c r="S589" s="0" t="s">
        <v>281</v>
      </c>
      <c r="T589" s="0" t="s">
        <v>647</v>
      </c>
      <c r="U589" s="0" t="n">
        <v>0</v>
      </c>
      <c r="V589" s="0" t="n">
        <v>0</v>
      </c>
      <c r="W589" s="0" t="n">
        <v>20240930</v>
      </c>
      <c r="X589" s="0" t="n">
        <v>1.37847937324559</v>
      </c>
      <c r="Y589" s="0" t="s">
        <v>5871</v>
      </c>
      <c r="Z589" s="0" t="s">
        <v>98</v>
      </c>
    </row>
    <row r="590" customFormat="false" ht="15" hidden="false" customHeight="false" outlineLevel="0" collapsed="false">
      <c r="A590" s="0" t="n">
        <v>590</v>
      </c>
      <c r="B590" s="0" t="n">
        <v>4077997</v>
      </c>
      <c r="C590" s="0" t="n">
        <v>11971</v>
      </c>
      <c r="D590" s="0" t="n">
        <v>3274818</v>
      </c>
      <c r="E590" s="0" t="s">
        <v>208</v>
      </c>
      <c r="F590" s="0" t="n">
        <v>493072</v>
      </c>
      <c r="G590" s="0" t="s">
        <v>5872</v>
      </c>
      <c r="H590" s="0" t="s">
        <v>5873</v>
      </c>
      <c r="I590" s="0" t="s">
        <v>5874</v>
      </c>
      <c r="J590" s="0" t="s">
        <v>5875</v>
      </c>
      <c r="K590" s="0" t="s">
        <v>5876</v>
      </c>
      <c r="L590" s="0" t="n">
        <v>3148332</v>
      </c>
      <c r="M590" s="0" t="s">
        <v>5877</v>
      </c>
      <c r="N590" s="0" t="n">
        <v>2776221</v>
      </c>
      <c r="O590" s="0" t="n">
        <v>6995</v>
      </c>
      <c r="P590" s="0" t="s">
        <v>54</v>
      </c>
      <c r="Q590" s="0" t="s">
        <v>5878</v>
      </c>
      <c r="R590" s="0" t="s">
        <v>5879</v>
      </c>
      <c r="S590" s="0" t="s">
        <v>5880</v>
      </c>
      <c r="T590" s="0" t="s">
        <v>5881</v>
      </c>
      <c r="U590" s="0" t="n">
        <v>3</v>
      </c>
      <c r="V590" s="0" t="n">
        <v>13.4411479487113</v>
      </c>
      <c r="W590" s="0" t="n">
        <v>20241231</v>
      </c>
      <c r="X590" s="0" t="n">
        <v>1.26447906428998</v>
      </c>
      <c r="Y590" s="0" t="s">
        <v>5882</v>
      </c>
      <c r="Z590" s="0" t="s">
        <v>60</v>
      </c>
    </row>
    <row r="591" customFormat="false" ht="15" hidden="false" customHeight="false" outlineLevel="0" collapsed="false">
      <c r="A591" s="0" t="n">
        <v>591</v>
      </c>
      <c r="B591" s="0" t="n">
        <v>1078599</v>
      </c>
      <c r="C591" s="0" t="n">
        <v>12874</v>
      </c>
      <c r="D591" s="0" t="n">
        <v>931493</v>
      </c>
      <c r="E591" s="0" t="s">
        <v>246</v>
      </c>
      <c r="F591" s="0" t="n">
        <v>96293</v>
      </c>
      <c r="G591" s="0" t="s">
        <v>5883</v>
      </c>
      <c r="H591" s="0" t="s">
        <v>5884</v>
      </c>
      <c r="I591" s="0" t="s">
        <v>5885</v>
      </c>
      <c r="J591" s="0" t="s">
        <v>5886</v>
      </c>
      <c r="K591" s="0" t="s">
        <v>5887</v>
      </c>
      <c r="L591" s="0" t="n">
        <v>824752</v>
      </c>
      <c r="M591" s="0" t="s">
        <v>5888</v>
      </c>
      <c r="N591" s="0" t="n">
        <v>640478</v>
      </c>
      <c r="O591" s="0" t="n">
        <v>1392</v>
      </c>
      <c r="P591" s="0" t="s">
        <v>68</v>
      </c>
      <c r="Q591" s="0" t="s">
        <v>5889</v>
      </c>
      <c r="R591" s="0" t="s">
        <v>5890</v>
      </c>
      <c r="S591" s="0" t="s">
        <v>3967</v>
      </c>
      <c r="T591" s="0" t="s">
        <v>5385</v>
      </c>
      <c r="U591" s="0" t="n">
        <v>0</v>
      </c>
      <c r="V591" s="0" t="n">
        <v>14.0068083332392</v>
      </c>
      <c r="W591" s="0" t="n">
        <v>20241231</v>
      </c>
      <c r="X591" s="0" t="n">
        <v>0.860333153789986</v>
      </c>
      <c r="Y591" s="0" t="s">
        <v>5891</v>
      </c>
      <c r="Z591" s="0" t="s">
        <v>60</v>
      </c>
    </row>
    <row r="592" customFormat="false" ht="15" hidden="false" customHeight="false" outlineLevel="0" collapsed="false">
      <c r="A592" s="0" t="n">
        <v>592</v>
      </c>
      <c r="B592" s="0" t="n">
        <v>1867411</v>
      </c>
      <c r="C592" s="0" t="n">
        <v>13063</v>
      </c>
      <c r="D592" s="0" t="n">
        <v>1626222</v>
      </c>
      <c r="E592" s="0" t="s">
        <v>61</v>
      </c>
      <c r="F592" s="0" t="n">
        <v>153090</v>
      </c>
      <c r="G592" s="0" t="s">
        <v>5892</v>
      </c>
      <c r="H592" s="0" t="s">
        <v>5893</v>
      </c>
      <c r="I592" s="0" t="s">
        <v>5894</v>
      </c>
      <c r="J592" s="0" t="s">
        <v>5895</v>
      </c>
      <c r="K592" s="0" t="s">
        <v>3945</v>
      </c>
      <c r="L592" s="0" t="n">
        <v>1503020</v>
      </c>
      <c r="M592" s="0" t="s">
        <v>5896</v>
      </c>
      <c r="N592" s="0" t="n">
        <v>1427918</v>
      </c>
      <c r="O592" s="0" t="n">
        <v>471</v>
      </c>
      <c r="P592" s="0" t="s">
        <v>80</v>
      </c>
      <c r="Q592" s="0" t="s">
        <v>5897</v>
      </c>
      <c r="R592" s="0" t="s">
        <v>5898</v>
      </c>
      <c r="S592" s="0" t="s">
        <v>3746</v>
      </c>
      <c r="T592" s="0" t="s">
        <v>5899</v>
      </c>
      <c r="U592" s="0" t="n">
        <v>0</v>
      </c>
      <c r="V592" s="0" t="n">
        <v>0</v>
      </c>
      <c r="W592" s="0" t="n">
        <v>20241231</v>
      </c>
      <c r="X592" s="0" t="n">
        <v>0.520034133011195</v>
      </c>
      <c r="Y592" s="0" t="s">
        <v>5900</v>
      </c>
      <c r="Z592" s="0" t="s">
        <v>60</v>
      </c>
    </row>
    <row r="593" customFormat="false" ht="15" hidden="false" customHeight="false" outlineLevel="0" collapsed="false">
      <c r="A593" s="0" t="n">
        <v>593</v>
      </c>
      <c r="B593" s="0" t="n">
        <v>894082</v>
      </c>
      <c r="C593" s="0" t="n">
        <v>14134</v>
      </c>
      <c r="D593" s="0" t="n">
        <v>716959</v>
      </c>
      <c r="E593" s="0" t="s">
        <v>1187</v>
      </c>
      <c r="F593" s="0" t="n">
        <v>111729</v>
      </c>
      <c r="G593" s="0" t="s">
        <v>5901</v>
      </c>
      <c r="H593" s="0" t="s">
        <v>5902</v>
      </c>
      <c r="I593" s="0" t="s">
        <v>5903</v>
      </c>
      <c r="J593" s="0" t="s">
        <v>5904</v>
      </c>
      <c r="K593" s="0" t="s">
        <v>5905</v>
      </c>
      <c r="L593" s="0" t="n">
        <v>643373</v>
      </c>
      <c r="M593" s="0" t="s">
        <v>5906</v>
      </c>
      <c r="N593" s="0" t="n">
        <v>570625</v>
      </c>
      <c r="O593" s="0" t="n">
        <v>3603</v>
      </c>
      <c r="P593" s="0" t="s">
        <v>92</v>
      </c>
      <c r="Q593" s="0" t="s">
        <v>5907</v>
      </c>
      <c r="R593" s="0" t="s">
        <v>5908</v>
      </c>
      <c r="S593" s="0" t="s">
        <v>5909</v>
      </c>
      <c r="T593" s="0" t="s">
        <v>5910</v>
      </c>
      <c r="U593" s="0" t="n">
        <v>0</v>
      </c>
      <c r="V593" s="0" t="n">
        <v>20.2931917327933</v>
      </c>
      <c r="W593" s="0" t="n">
        <v>20241231</v>
      </c>
      <c r="X593" s="0" t="n">
        <v>0.807708956890982</v>
      </c>
      <c r="Y593" s="0" t="s">
        <v>5911</v>
      </c>
      <c r="Z593" s="0" t="s">
        <v>98</v>
      </c>
    </row>
    <row r="594" customFormat="false" ht="15" hidden="false" customHeight="false" outlineLevel="0" collapsed="false">
      <c r="A594" s="0" t="n">
        <v>594</v>
      </c>
      <c r="B594" s="0" t="n">
        <v>237708</v>
      </c>
      <c r="C594" s="0" t="n">
        <v>14136</v>
      </c>
      <c r="D594" s="0" t="n">
        <v>204666</v>
      </c>
      <c r="E594" s="0" t="s">
        <v>390</v>
      </c>
      <c r="F594" s="0" t="n">
        <v>18926</v>
      </c>
      <c r="G594" s="0" t="s">
        <v>5912</v>
      </c>
      <c r="H594" s="0" t="s">
        <v>5913</v>
      </c>
      <c r="I594" s="0" t="s">
        <v>5914</v>
      </c>
      <c r="J594" s="0" t="s">
        <v>5915</v>
      </c>
      <c r="K594" s="0" t="s">
        <v>5916</v>
      </c>
      <c r="L594" s="0" t="n">
        <v>157799</v>
      </c>
      <c r="M594" s="0" t="s">
        <v>5917</v>
      </c>
      <c r="N594" s="0" t="n">
        <v>125909</v>
      </c>
      <c r="O594" s="0" t="n">
        <v>510</v>
      </c>
      <c r="P594" s="0" t="s">
        <v>105</v>
      </c>
      <c r="Q594" s="0" t="s">
        <v>5918</v>
      </c>
      <c r="R594" s="0" t="s">
        <v>5919</v>
      </c>
      <c r="S594" s="0" t="s">
        <v>5920</v>
      </c>
      <c r="T594" s="0" t="s">
        <v>5921</v>
      </c>
      <c r="U594" s="0" t="n">
        <v>714</v>
      </c>
      <c r="V594" s="0" t="n">
        <v>18.3832074375363</v>
      </c>
      <c r="W594" s="0" t="n">
        <v>20241231</v>
      </c>
      <c r="X594" s="0" t="n">
        <v>0.592215367017237</v>
      </c>
      <c r="Y594" s="0" t="s">
        <v>2464</v>
      </c>
      <c r="Z594" s="0" t="s">
        <v>98</v>
      </c>
    </row>
    <row r="595" customFormat="false" ht="15" hidden="false" customHeight="false" outlineLevel="0" collapsed="false">
      <c r="A595" s="0" t="n">
        <v>595</v>
      </c>
      <c r="B595" s="0" t="n">
        <v>1558316</v>
      </c>
      <c r="C595" s="0" t="n">
        <v>14140</v>
      </c>
      <c r="D595" s="0" t="n">
        <v>1234041</v>
      </c>
      <c r="E595" s="0" t="s">
        <v>1500</v>
      </c>
      <c r="F595" s="0" t="n">
        <v>133315</v>
      </c>
      <c r="G595" s="0" t="s">
        <v>5922</v>
      </c>
      <c r="H595" s="0" t="s">
        <v>5923</v>
      </c>
      <c r="I595" s="0" t="s">
        <v>5924</v>
      </c>
      <c r="J595" s="0" t="s">
        <v>5925</v>
      </c>
      <c r="K595" s="0" t="s">
        <v>5926</v>
      </c>
      <c r="L595" s="0" t="n">
        <v>1100572</v>
      </c>
      <c r="M595" s="0" t="s">
        <v>5927</v>
      </c>
      <c r="N595" s="0" t="n">
        <v>975721</v>
      </c>
      <c r="O595" s="0" t="n">
        <v>5344</v>
      </c>
      <c r="P595" s="0" t="s">
        <v>117</v>
      </c>
      <c r="Q595" s="0" t="s">
        <v>5928</v>
      </c>
      <c r="R595" s="0" t="s">
        <v>5929</v>
      </c>
      <c r="S595" s="0" t="s">
        <v>5930</v>
      </c>
      <c r="T595" s="0" t="s">
        <v>5931</v>
      </c>
      <c r="U595" s="0" t="n">
        <v>0</v>
      </c>
      <c r="V595" s="0" t="n">
        <v>0</v>
      </c>
      <c r="W595" s="0" t="n">
        <v>20241231</v>
      </c>
      <c r="X595" s="0" t="n">
        <v>0.30821925027166</v>
      </c>
      <c r="Y595" s="0" t="s">
        <v>5932</v>
      </c>
      <c r="Z595" s="0" t="s">
        <v>98</v>
      </c>
    </row>
    <row r="596" customFormat="false" ht="15" hidden="false" customHeight="false" outlineLevel="0" collapsed="false">
      <c r="A596" s="0" t="n">
        <v>596</v>
      </c>
      <c r="B596" s="0" t="n">
        <v>1527590</v>
      </c>
      <c r="C596" s="0" t="n">
        <v>14158</v>
      </c>
      <c r="D596" s="0" t="n">
        <v>1171399</v>
      </c>
      <c r="E596" s="0" t="s">
        <v>172</v>
      </c>
      <c r="F596" s="0" t="n">
        <v>82437</v>
      </c>
      <c r="G596" s="0" t="s">
        <v>5933</v>
      </c>
      <c r="H596" s="0" t="s">
        <v>5934</v>
      </c>
      <c r="I596" s="0" t="s">
        <v>5935</v>
      </c>
      <c r="J596" s="0" t="s">
        <v>5936</v>
      </c>
      <c r="K596" s="0" t="s">
        <v>5937</v>
      </c>
      <c r="L596" s="0" t="n">
        <v>1163102</v>
      </c>
      <c r="M596" s="0" t="s">
        <v>5938</v>
      </c>
      <c r="N596" s="0" t="n">
        <v>1010360</v>
      </c>
      <c r="O596" s="0" t="n">
        <v>1652</v>
      </c>
      <c r="P596" s="0" t="s">
        <v>129</v>
      </c>
      <c r="Q596" s="0" t="s">
        <v>5939</v>
      </c>
      <c r="R596" s="0" t="s">
        <v>5940</v>
      </c>
      <c r="S596" s="0" t="s">
        <v>5941</v>
      </c>
      <c r="T596" s="0" t="s">
        <v>5942</v>
      </c>
      <c r="U596" s="0" t="n">
        <v>241</v>
      </c>
      <c r="V596" s="0" t="n">
        <v>12.508099717311</v>
      </c>
      <c r="W596" s="0" t="n">
        <v>20241231</v>
      </c>
      <c r="X596" s="0" t="n">
        <v>0.659307705761988</v>
      </c>
      <c r="Y596" s="0" t="s">
        <v>4815</v>
      </c>
      <c r="Z596" s="0" t="s">
        <v>98</v>
      </c>
    </row>
    <row r="597" customFormat="false" ht="15" hidden="false" customHeight="false" outlineLevel="0" collapsed="false">
      <c r="A597" s="0" t="n">
        <v>597</v>
      </c>
      <c r="B597" s="0" t="n">
        <v>369405</v>
      </c>
      <c r="C597" s="0" t="n">
        <v>14168</v>
      </c>
      <c r="D597" s="0" t="n">
        <v>325925</v>
      </c>
      <c r="E597" s="0" t="s">
        <v>246</v>
      </c>
      <c r="F597" s="0" t="n">
        <v>37830</v>
      </c>
      <c r="G597" s="0" t="s">
        <v>5943</v>
      </c>
      <c r="H597" s="0" t="s">
        <v>5944</v>
      </c>
      <c r="I597" s="0" t="s">
        <v>5945</v>
      </c>
      <c r="J597" s="0" t="s">
        <v>5946</v>
      </c>
      <c r="K597" s="0" t="s">
        <v>5947</v>
      </c>
      <c r="L597" s="0" t="n">
        <v>276382</v>
      </c>
      <c r="M597" s="0" t="s">
        <v>5948</v>
      </c>
      <c r="N597" s="0" t="n">
        <v>234027</v>
      </c>
      <c r="O597" s="0" t="n">
        <v>910</v>
      </c>
      <c r="P597" s="0" t="s">
        <v>140</v>
      </c>
      <c r="Q597" s="0" t="s">
        <v>5949</v>
      </c>
      <c r="R597" s="0" t="s">
        <v>5950</v>
      </c>
      <c r="S597" s="0" t="s">
        <v>3104</v>
      </c>
      <c r="T597" s="0" t="s">
        <v>5951</v>
      </c>
      <c r="U597" s="0" t="n">
        <v>0</v>
      </c>
      <c r="V597" s="0" t="n">
        <v>16.4194761448442</v>
      </c>
      <c r="W597" s="0" t="n">
        <v>20241231</v>
      </c>
      <c r="X597" s="0" t="n">
        <v>0.985943826552391</v>
      </c>
      <c r="Y597" s="0" t="s">
        <v>5952</v>
      </c>
      <c r="Z597" s="0" t="s">
        <v>98</v>
      </c>
    </row>
    <row r="598" customFormat="false" ht="15" hidden="false" customHeight="false" outlineLevel="0" collapsed="false">
      <c r="A598" s="0" t="n">
        <v>598</v>
      </c>
      <c r="B598" s="0" t="n">
        <v>1188010</v>
      </c>
      <c r="C598" s="0" t="n">
        <v>14240</v>
      </c>
      <c r="D598" s="0" t="n">
        <v>977466</v>
      </c>
      <c r="E598" s="0" t="s">
        <v>1281</v>
      </c>
      <c r="F598" s="0" t="n">
        <v>89624</v>
      </c>
      <c r="G598" s="0" t="s">
        <v>5953</v>
      </c>
      <c r="H598" s="0" t="s">
        <v>5954</v>
      </c>
      <c r="I598" s="0" t="s">
        <v>5955</v>
      </c>
      <c r="J598" s="0" t="s">
        <v>5956</v>
      </c>
      <c r="K598" s="0" t="s">
        <v>5957</v>
      </c>
      <c r="L598" s="0" t="n">
        <v>874800</v>
      </c>
      <c r="M598" s="0" t="s">
        <v>5958</v>
      </c>
      <c r="N598" s="0" t="n">
        <v>760710</v>
      </c>
      <c r="O598" s="0" t="n">
        <v>2934</v>
      </c>
      <c r="P598" s="0" t="s">
        <v>152</v>
      </c>
      <c r="Q598" s="0" t="s">
        <v>5959</v>
      </c>
      <c r="R598" s="0" t="s">
        <v>5960</v>
      </c>
      <c r="S598" s="0" t="s">
        <v>988</v>
      </c>
      <c r="T598" s="0" t="s">
        <v>5961</v>
      </c>
      <c r="U598" s="0" t="n">
        <v>0</v>
      </c>
      <c r="V598" s="0" t="n">
        <v>17.1493147404287</v>
      </c>
      <c r="W598" s="0" t="n">
        <v>20241231</v>
      </c>
      <c r="X598" s="0" t="n">
        <v>0.504315605562752</v>
      </c>
      <c r="Y598" s="0" t="s">
        <v>5962</v>
      </c>
      <c r="Z598" s="0" t="s">
        <v>158</v>
      </c>
    </row>
    <row r="599" customFormat="false" ht="15" hidden="false" customHeight="false" outlineLevel="0" collapsed="false">
      <c r="A599" s="0" t="n">
        <v>599</v>
      </c>
      <c r="B599" s="0" t="n">
        <v>1041970</v>
      </c>
      <c r="C599" s="0" t="n">
        <v>17115</v>
      </c>
      <c r="D599" s="0" t="n">
        <v>827656</v>
      </c>
      <c r="E599" s="0" t="s">
        <v>794</v>
      </c>
      <c r="F599" s="0" t="n">
        <v>91891</v>
      </c>
      <c r="G599" s="0" t="s">
        <v>5963</v>
      </c>
      <c r="H599" s="0" t="s">
        <v>5964</v>
      </c>
      <c r="I599" s="0" t="s">
        <v>5965</v>
      </c>
      <c r="J599" s="0" t="s">
        <v>5966</v>
      </c>
      <c r="K599" s="0" t="s">
        <v>5967</v>
      </c>
      <c r="L599" s="0" t="n">
        <v>872561</v>
      </c>
      <c r="M599" s="0" t="s">
        <v>5968</v>
      </c>
      <c r="N599" s="0" t="n">
        <v>826165</v>
      </c>
      <c r="O599" s="0" t="n">
        <v>2571</v>
      </c>
      <c r="P599" s="0" t="s">
        <v>166</v>
      </c>
      <c r="Q599" s="0" t="s">
        <v>5969</v>
      </c>
      <c r="R599" s="0" t="s">
        <v>5970</v>
      </c>
      <c r="S599" s="0" t="s">
        <v>500</v>
      </c>
      <c r="T599" s="0" t="s">
        <v>5971</v>
      </c>
      <c r="U599" s="0" t="n">
        <v>0</v>
      </c>
      <c r="V599" s="0" t="n">
        <v>14.8981926999983</v>
      </c>
      <c r="W599" s="0" t="n">
        <v>20241231</v>
      </c>
      <c r="X599" s="0" t="n">
        <v>0.297310003392755</v>
      </c>
      <c r="Y599" s="0" t="s">
        <v>5972</v>
      </c>
      <c r="Z599" s="0" t="s">
        <v>60</v>
      </c>
    </row>
    <row r="600" customFormat="false" ht="15" hidden="false" customHeight="false" outlineLevel="0" collapsed="false">
      <c r="A600" s="0" t="n">
        <v>600</v>
      </c>
      <c r="B600" s="0" t="n">
        <v>1600157</v>
      </c>
      <c r="C600" s="0" t="n">
        <v>17180</v>
      </c>
      <c r="D600" s="0" t="n">
        <v>1219406</v>
      </c>
      <c r="E600" s="0" t="s">
        <v>61</v>
      </c>
      <c r="F600" s="0" t="n">
        <v>143344</v>
      </c>
      <c r="G600" s="0" t="s">
        <v>5973</v>
      </c>
      <c r="H600" s="0" t="s">
        <v>5974</v>
      </c>
      <c r="I600" s="0" t="s">
        <v>5975</v>
      </c>
      <c r="J600" s="0" t="s">
        <v>5976</v>
      </c>
      <c r="K600" s="0" t="s">
        <v>5977</v>
      </c>
      <c r="L600" s="0" t="n">
        <v>1419052</v>
      </c>
      <c r="M600" s="0" t="s">
        <v>5978</v>
      </c>
      <c r="N600" s="0" t="n">
        <v>1189538</v>
      </c>
      <c r="O600" s="0" t="n">
        <v>6126</v>
      </c>
      <c r="P600" s="0" t="s">
        <v>179</v>
      </c>
      <c r="Q600" s="0" t="s">
        <v>5979</v>
      </c>
      <c r="R600" s="0" t="s">
        <v>5980</v>
      </c>
      <c r="S600" s="0" t="s">
        <v>5981</v>
      </c>
      <c r="T600" s="0" t="s">
        <v>5982</v>
      </c>
      <c r="U600" s="0" t="n">
        <v>0</v>
      </c>
      <c r="V600" s="0" t="n">
        <v>15.5888053222663</v>
      </c>
      <c r="W600" s="0" t="n">
        <v>20241231</v>
      </c>
      <c r="X600" s="0" t="n">
        <v>0.464179137228712</v>
      </c>
      <c r="Y600" s="0" t="s">
        <v>5983</v>
      </c>
      <c r="Z600" s="0" t="s">
        <v>158</v>
      </c>
    </row>
    <row r="601" customFormat="false" ht="15" hidden="false" customHeight="false" outlineLevel="0" collapsed="false">
      <c r="A601" s="0" t="n">
        <v>601</v>
      </c>
      <c r="B601" s="0" t="n">
        <v>362004</v>
      </c>
      <c r="C601" s="0" t="n">
        <v>17443</v>
      </c>
      <c r="D601" s="0" t="n">
        <v>296951</v>
      </c>
      <c r="E601" s="0" t="s">
        <v>233</v>
      </c>
      <c r="F601" s="0" t="n">
        <v>38929</v>
      </c>
      <c r="G601" s="0" t="s">
        <v>5984</v>
      </c>
      <c r="H601" s="0" t="s">
        <v>5985</v>
      </c>
      <c r="I601" s="0" t="s">
        <v>5986</v>
      </c>
      <c r="J601" s="0" t="s">
        <v>61</v>
      </c>
      <c r="K601" s="0" t="s">
        <v>5987</v>
      </c>
      <c r="L601" s="0" t="n">
        <v>198189</v>
      </c>
      <c r="M601" s="0" t="s">
        <v>5988</v>
      </c>
      <c r="N601" s="0" t="n">
        <v>196227</v>
      </c>
      <c r="O601" s="0" t="n">
        <v>1097</v>
      </c>
      <c r="P601" s="0" t="s">
        <v>190</v>
      </c>
      <c r="Q601" s="0" t="s">
        <v>5989</v>
      </c>
      <c r="R601" s="0" t="s">
        <v>5990</v>
      </c>
      <c r="S601" s="0" t="s">
        <v>61</v>
      </c>
      <c r="T601" s="0" t="s">
        <v>61</v>
      </c>
      <c r="U601" s="0" t="n">
        <v>0</v>
      </c>
      <c r="V601" s="0" t="n">
        <v>0</v>
      </c>
      <c r="W601" s="0" t="n">
        <v>20241231</v>
      </c>
      <c r="X601" s="0" t="n">
        <v>-0.226147959468919</v>
      </c>
      <c r="Y601" s="0" t="s">
        <v>5991</v>
      </c>
      <c r="Z601" s="0" t="s">
        <v>158</v>
      </c>
    </row>
    <row r="602" customFormat="false" ht="15" hidden="false" customHeight="false" outlineLevel="0" collapsed="false">
      <c r="A602" s="0" t="n">
        <v>602</v>
      </c>
      <c r="B602" s="0" t="n">
        <v>1989287</v>
      </c>
      <c r="C602" s="0" t="n">
        <v>17658</v>
      </c>
      <c r="D602" s="0" t="n">
        <v>1532228</v>
      </c>
      <c r="E602" s="0" t="s">
        <v>271</v>
      </c>
      <c r="F602" s="0" t="n">
        <v>221439</v>
      </c>
      <c r="G602" s="0" t="s">
        <v>5992</v>
      </c>
      <c r="H602" s="0" t="s">
        <v>5993</v>
      </c>
      <c r="I602" s="0" t="s">
        <v>5994</v>
      </c>
      <c r="J602" s="0" t="s">
        <v>5995</v>
      </c>
      <c r="K602" s="0" t="s">
        <v>5996</v>
      </c>
      <c r="L602" s="0" t="n">
        <v>1433227</v>
      </c>
      <c r="M602" s="0" t="s">
        <v>5997</v>
      </c>
      <c r="N602" s="0" t="n">
        <v>1227698</v>
      </c>
      <c r="O602" s="0" t="n">
        <v>9730</v>
      </c>
      <c r="P602" s="0" t="s">
        <v>202</v>
      </c>
      <c r="Q602" s="0" t="s">
        <v>5998</v>
      </c>
      <c r="R602" s="0" t="s">
        <v>5999</v>
      </c>
      <c r="S602" s="0" t="s">
        <v>3910</v>
      </c>
      <c r="T602" s="0" t="s">
        <v>6000</v>
      </c>
      <c r="U602" s="0" t="n">
        <v>0</v>
      </c>
      <c r="V602" s="0" t="n">
        <v>0</v>
      </c>
      <c r="W602" s="0" t="n">
        <v>20241231</v>
      </c>
      <c r="X602" s="0" t="n">
        <v>0.895346445042463</v>
      </c>
      <c r="Y602" s="0" t="s">
        <v>6001</v>
      </c>
      <c r="Z602" s="0" t="s">
        <v>60</v>
      </c>
    </row>
    <row r="603" customFormat="false" ht="15" hidden="false" customHeight="false" outlineLevel="0" collapsed="false">
      <c r="A603" s="0" t="n">
        <v>603</v>
      </c>
      <c r="B603" s="0" t="n">
        <v>1167995</v>
      </c>
      <c r="C603" s="0" t="n">
        <v>17741</v>
      </c>
      <c r="D603" s="0" t="n">
        <v>895674</v>
      </c>
      <c r="E603" s="0" t="s">
        <v>208</v>
      </c>
      <c r="F603" s="0" t="n">
        <v>147350</v>
      </c>
      <c r="G603" s="0" t="s">
        <v>6002</v>
      </c>
      <c r="H603" s="0" t="s">
        <v>6003</v>
      </c>
      <c r="I603" s="0" t="s">
        <v>6004</v>
      </c>
      <c r="J603" s="0" t="s">
        <v>6005</v>
      </c>
      <c r="K603" s="0" t="s">
        <v>6006</v>
      </c>
      <c r="L603" s="0" t="n">
        <v>992991</v>
      </c>
      <c r="M603" s="0" t="s">
        <v>6007</v>
      </c>
      <c r="N603" s="0" t="n">
        <v>934014</v>
      </c>
      <c r="O603" s="0" t="n">
        <v>3480</v>
      </c>
      <c r="P603" s="0" t="s">
        <v>215</v>
      </c>
      <c r="Q603" s="0" t="s">
        <v>6008</v>
      </c>
      <c r="R603" s="0" t="s">
        <v>6009</v>
      </c>
      <c r="S603" s="0" t="s">
        <v>294</v>
      </c>
      <c r="T603" s="0" t="s">
        <v>6010</v>
      </c>
      <c r="U603" s="0" t="n">
        <v>0</v>
      </c>
      <c r="V603" s="0" t="n">
        <v>0</v>
      </c>
      <c r="W603" s="0" t="n">
        <v>20241231</v>
      </c>
      <c r="X603" s="0" t="n">
        <v>0.645702012436472</v>
      </c>
      <c r="Y603" s="0" t="s">
        <v>6011</v>
      </c>
      <c r="Z603" s="0" t="s">
        <v>60</v>
      </c>
    </row>
    <row r="604" customFormat="false" ht="15" hidden="false" customHeight="false" outlineLevel="0" collapsed="false">
      <c r="A604" s="0" t="n">
        <v>604</v>
      </c>
      <c r="B604" s="0" t="n">
        <v>1411602</v>
      </c>
      <c r="C604" s="0" t="n">
        <v>17743</v>
      </c>
      <c r="D604" s="0" t="n">
        <v>1011066</v>
      </c>
      <c r="E604" s="0" t="s">
        <v>61</v>
      </c>
      <c r="F604" s="0" t="n">
        <v>125438</v>
      </c>
      <c r="G604" s="0" t="s">
        <v>6012</v>
      </c>
      <c r="H604" s="0" t="s">
        <v>6013</v>
      </c>
      <c r="I604" s="0" t="s">
        <v>6014</v>
      </c>
      <c r="J604" s="0" t="s">
        <v>6015</v>
      </c>
      <c r="K604" s="0" t="s">
        <v>6016</v>
      </c>
      <c r="L604" s="0" t="n">
        <v>1136109</v>
      </c>
      <c r="M604" s="0" t="s">
        <v>6017</v>
      </c>
      <c r="N604" s="0" t="n">
        <v>1098486</v>
      </c>
      <c r="O604" s="0" t="n">
        <v>632</v>
      </c>
      <c r="P604" s="0" t="s">
        <v>227</v>
      </c>
      <c r="Q604" s="0" t="s">
        <v>6018</v>
      </c>
      <c r="R604" s="0" t="s">
        <v>6019</v>
      </c>
      <c r="S604" s="0" t="s">
        <v>4435</v>
      </c>
      <c r="T604" s="0" t="s">
        <v>6020</v>
      </c>
      <c r="U604" s="0" t="n">
        <v>0</v>
      </c>
      <c r="V604" s="0" t="n">
        <v>0</v>
      </c>
      <c r="W604" s="0" t="n">
        <v>20241231</v>
      </c>
      <c r="X604" s="0" t="n">
        <v>0.107798252400096</v>
      </c>
      <c r="Y604" s="0" t="s">
        <v>6021</v>
      </c>
      <c r="Z604" s="0" t="s">
        <v>60</v>
      </c>
    </row>
    <row r="605" customFormat="false" ht="15" hidden="false" customHeight="false" outlineLevel="0" collapsed="false">
      <c r="A605" s="0" t="n">
        <v>605</v>
      </c>
      <c r="B605" s="0" t="n">
        <v>1608101</v>
      </c>
      <c r="C605" s="0" t="n">
        <v>17748</v>
      </c>
      <c r="D605" s="0" t="n">
        <v>1393920</v>
      </c>
      <c r="E605" s="0" t="s">
        <v>1281</v>
      </c>
      <c r="F605" s="0" t="n">
        <v>116220</v>
      </c>
      <c r="G605" s="0" t="s">
        <v>6022</v>
      </c>
      <c r="H605" s="0" t="s">
        <v>6023</v>
      </c>
      <c r="I605" s="0" t="s">
        <v>6024</v>
      </c>
      <c r="J605" s="0" t="s">
        <v>6025</v>
      </c>
      <c r="K605" s="0" t="s">
        <v>5233</v>
      </c>
      <c r="L605" s="0" t="n">
        <v>1278094</v>
      </c>
      <c r="M605" s="0" t="s">
        <v>6026</v>
      </c>
      <c r="N605" s="0" t="n">
        <v>1056120</v>
      </c>
      <c r="O605" s="0" t="n">
        <v>6153</v>
      </c>
      <c r="P605" s="0" t="s">
        <v>240</v>
      </c>
      <c r="Q605" s="0" t="s">
        <v>6027</v>
      </c>
      <c r="R605" s="0" t="s">
        <v>6028</v>
      </c>
      <c r="S605" s="0" t="s">
        <v>6029</v>
      </c>
      <c r="T605" s="0" t="s">
        <v>6030</v>
      </c>
      <c r="U605" s="0" t="n">
        <v>0</v>
      </c>
      <c r="V605" s="0" t="n">
        <v>0</v>
      </c>
      <c r="W605" s="0" t="n">
        <v>20241231</v>
      </c>
      <c r="X605" s="0" t="n">
        <v>0.329721781163526</v>
      </c>
      <c r="Y605" s="0" t="s">
        <v>6031</v>
      </c>
      <c r="Z605" s="0" t="s">
        <v>60</v>
      </c>
    </row>
    <row r="606" customFormat="false" ht="15" hidden="false" customHeight="false" outlineLevel="0" collapsed="false">
      <c r="A606" s="0" t="n">
        <v>606</v>
      </c>
      <c r="B606" s="0" t="n">
        <v>1400586</v>
      </c>
      <c r="C606" s="0" t="n">
        <v>17749</v>
      </c>
      <c r="D606" s="0" t="n">
        <v>1098984</v>
      </c>
      <c r="E606" s="0" t="s">
        <v>246</v>
      </c>
      <c r="F606" s="0" t="n">
        <v>189574</v>
      </c>
      <c r="G606" s="0" t="s">
        <v>6032</v>
      </c>
      <c r="H606" s="0" t="s">
        <v>6033</v>
      </c>
      <c r="I606" s="0" t="s">
        <v>6034</v>
      </c>
      <c r="J606" s="0" t="s">
        <v>6035</v>
      </c>
      <c r="K606" s="0" t="s">
        <v>6036</v>
      </c>
      <c r="L606" s="0" t="n">
        <v>826652</v>
      </c>
      <c r="M606" s="0" t="s">
        <v>6037</v>
      </c>
      <c r="N606" s="0" t="n">
        <v>755022</v>
      </c>
      <c r="O606" s="0" t="n">
        <v>610</v>
      </c>
      <c r="P606" s="0" t="s">
        <v>253</v>
      </c>
      <c r="Q606" s="0" t="s">
        <v>6038</v>
      </c>
      <c r="R606" s="0" t="s">
        <v>6039</v>
      </c>
      <c r="S606" s="0" t="s">
        <v>218</v>
      </c>
      <c r="T606" s="0" t="s">
        <v>6040</v>
      </c>
      <c r="U606" s="0" t="n">
        <v>0</v>
      </c>
      <c r="V606" s="0" t="n">
        <v>0</v>
      </c>
      <c r="W606" s="0" t="n">
        <v>20241231</v>
      </c>
      <c r="X606" s="0" t="n">
        <v>1.14589123831468</v>
      </c>
      <c r="Y606" s="0" t="s">
        <v>2680</v>
      </c>
      <c r="Z606" s="0" t="s">
        <v>60</v>
      </c>
    </row>
    <row r="607" customFormat="false" ht="15" hidden="false" customHeight="false" outlineLevel="0" collapsed="false">
      <c r="A607" s="0" t="n">
        <v>607</v>
      </c>
      <c r="B607" s="0" t="n">
        <v>1661812</v>
      </c>
      <c r="C607" s="0" t="n">
        <v>17751</v>
      </c>
      <c r="D607" s="0" t="n">
        <v>1317297</v>
      </c>
      <c r="E607" s="0" t="s">
        <v>246</v>
      </c>
      <c r="F607" s="0" t="n">
        <v>146032</v>
      </c>
      <c r="G607" s="0" t="s">
        <v>6041</v>
      </c>
      <c r="H607" s="0" t="s">
        <v>6042</v>
      </c>
      <c r="I607" s="0" t="s">
        <v>6043</v>
      </c>
      <c r="J607" s="0" t="s">
        <v>6044</v>
      </c>
      <c r="K607" s="0" t="s">
        <v>6045</v>
      </c>
      <c r="L607" s="0" t="n">
        <v>1375193</v>
      </c>
      <c r="M607" s="0" t="s">
        <v>6046</v>
      </c>
      <c r="N607" s="0" t="n">
        <v>1175847</v>
      </c>
      <c r="O607" s="0" t="n">
        <v>2670</v>
      </c>
      <c r="P607" s="0" t="s">
        <v>266</v>
      </c>
      <c r="Q607" s="0" t="s">
        <v>6047</v>
      </c>
      <c r="R607" s="0" t="s">
        <v>6048</v>
      </c>
      <c r="S607" s="0" t="s">
        <v>6049</v>
      </c>
      <c r="T607" s="0" t="s">
        <v>6050</v>
      </c>
      <c r="U607" s="0" t="n">
        <v>0</v>
      </c>
      <c r="V607" s="0" t="n">
        <v>12.6009441821716</v>
      </c>
      <c r="W607" s="0" t="n">
        <v>20241231</v>
      </c>
      <c r="X607" s="0" t="n">
        <v>0.422514537152252</v>
      </c>
      <c r="Y607" s="0" t="s">
        <v>6051</v>
      </c>
      <c r="Z607" s="0" t="s">
        <v>60</v>
      </c>
    </row>
    <row r="608" customFormat="false" ht="15" hidden="false" customHeight="false" outlineLevel="0" collapsed="false">
      <c r="A608" s="0" t="n">
        <v>608</v>
      </c>
      <c r="B608" s="0" t="n">
        <v>1764971</v>
      </c>
      <c r="C608" s="0" t="n">
        <v>17897</v>
      </c>
      <c r="D608" s="0" t="n">
        <v>1348133</v>
      </c>
      <c r="E608" s="0" t="s">
        <v>61</v>
      </c>
      <c r="F608" s="0" t="n">
        <v>215583</v>
      </c>
      <c r="G608" s="0" t="s">
        <v>6052</v>
      </c>
      <c r="H608" s="0" t="s">
        <v>6053</v>
      </c>
      <c r="I608" s="0" t="s">
        <v>6054</v>
      </c>
      <c r="J608" s="0" t="s">
        <v>6055</v>
      </c>
      <c r="K608" s="0" t="s">
        <v>5013</v>
      </c>
      <c r="L608" s="0" t="n">
        <v>1469046</v>
      </c>
      <c r="M608" s="0" t="s">
        <v>6056</v>
      </c>
      <c r="N608" s="0" t="n">
        <v>1368497</v>
      </c>
      <c r="O608" s="0" t="n">
        <v>4603</v>
      </c>
      <c r="P608" s="0" t="s">
        <v>278</v>
      </c>
      <c r="Q608" s="0" t="s">
        <v>6057</v>
      </c>
      <c r="R608" s="0" t="s">
        <v>6058</v>
      </c>
      <c r="S608" s="0" t="s">
        <v>5548</v>
      </c>
      <c r="T608" s="0" t="s">
        <v>6059</v>
      </c>
      <c r="U608" s="0" t="n">
        <v>0</v>
      </c>
      <c r="V608" s="0" t="n">
        <v>17.6014618454454</v>
      </c>
      <c r="W608" s="0" t="n">
        <v>20241231</v>
      </c>
      <c r="X608" s="0" t="n">
        <v>0.605050213976672</v>
      </c>
      <c r="Y608" s="0" t="s">
        <v>6060</v>
      </c>
      <c r="Z608" s="0" t="s">
        <v>60</v>
      </c>
    </row>
    <row r="609" customFormat="false" ht="15" hidden="false" customHeight="false" outlineLevel="0" collapsed="false">
      <c r="A609" s="0" t="n">
        <v>609</v>
      </c>
      <c r="B609" s="0" t="n">
        <v>821983</v>
      </c>
      <c r="C609" s="0" t="n">
        <v>17951</v>
      </c>
      <c r="D609" s="0" t="n">
        <v>701106</v>
      </c>
      <c r="E609" s="0" t="s">
        <v>246</v>
      </c>
      <c r="F609" s="0" t="n">
        <v>65761</v>
      </c>
      <c r="G609" s="0" t="s">
        <v>6061</v>
      </c>
      <c r="H609" s="0" t="s">
        <v>6062</v>
      </c>
      <c r="I609" s="0" t="s">
        <v>6063</v>
      </c>
      <c r="J609" s="0" t="s">
        <v>6064</v>
      </c>
      <c r="K609" s="0" t="s">
        <v>6065</v>
      </c>
      <c r="L609" s="0" t="n">
        <v>617817</v>
      </c>
      <c r="M609" s="0" t="s">
        <v>6066</v>
      </c>
      <c r="N609" s="0" t="n">
        <v>567751</v>
      </c>
      <c r="O609" s="0" t="n">
        <v>60</v>
      </c>
      <c r="P609" s="0" t="s">
        <v>290</v>
      </c>
      <c r="Q609" s="0" t="s">
        <v>6067</v>
      </c>
      <c r="R609" s="0" t="s">
        <v>6068</v>
      </c>
      <c r="S609" s="0" t="s">
        <v>6069</v>
      </c>
      <c r="T609" s="0" t="s">
        <v>4677</v>
      </c>
      <c r="U609" s="0" t="n">
        <v>0</v>
      </c>
      <c r="V609" s="0" t="n">
        <v>14.1464151450054</v>
      </c>
      <c r="W609" s="0" t="n">
        <v>20241231</v>
      </c>
      <c r="X609" s="0" t="n">
        <v>0.486473579798404</v>
      </c>
      <c r="Y609" s="0" t="s">
        <v>6070</v>
      </c>
      <c r="Z609" s="0" t="s">
        <v>158</v>
      </c>
    </row>
    <row r="610" customFormat="false" ht="15" hidden="false" customHeight="false" outlineLevel="0" collapsed="false">
      <c r="A610" s="0" t="n">
        <v>610</v>
      </c>
      <c r="B610" s="0" t="n">
        <v>1353925</v>
      </c>
      <c r="C610" s="0" t="n">
        <v>17960</v>
      </c>
      <c r="D610" s="0" t="n">
        <v>1120519</v>
      </c>
      <c r="E610" s="0" t="s">
        <v>603</v>
      </c>
      <c r="F610" s="0" t="n">
        <v>115328</v>
      </c>
      <c r="G610" s="0" t="s">
        <v>6071</v>
      </c>
      <c r="H610" s="0" t="s">
        <v>6072</v>
      </c>
      <c r="I610" s="0" t="s">
        <v>6073</v>
      </c>
      <c r="J610" s="0" t="s">
        <v>6074</v>
      </c>
      <c r="K610" s="0" t="s">
        <v>6075</v>
      </c>
      <c r="L610" s="0" t="n">
        <v>1150547</v>
      </c>
      <c r="M610" s="0" t="s">
        <v>6076</v>
      </c>
      <c r="N610" s="0" t="n">
        <v>823641</v>
      </c>
      <c r="O610" s="0" t="n">
        <v>7247</v>
      </c>
      <c r="P610" s="0" t="s">
        <v>302</v>
      </c>
      <c r="Q610" s="0" t="s">
        <v>6077</v>
      </c>
      <c r="R610" s="0" t="s">
        <v>6078</v>
      </c>
      <c r="S610" s="0" t="s">
        <v>6079</v>
      </c>
      <c r="T610" s="0" t="s">
        <v>6080</v>
      </c>
      <c r="U610" s="0" t="n">
        <v>0</v>
      </c>
      <c r="V610" s="0" t="n">
        <v>13.6907933076507</v>
      </c>
      <c r="W610" s="0" t="n">
        <v>20241231</v>
      </c>
      <c r="X610" s="0" t="n">
        <v>0.226999833475026</v>
      </c>
      <c r="Y610" s="0" t="s">
        <v>6081</v>
      </c>
      <c r="Z610" s="0" t="s">
        <v>158</v>
      </c>
    </row>
    <row r="611" customFormat="false" ht="15" hidden="false" customHeight="false" outlineLevel="0" collapsed="false">
      <c r="A611" s="0" t="n">
        <v>611</v>
      </c>
      <c r="B611" s="0" t="n">
        <v>2624175</v>
      </c>
      <c r="C611" s="0" t="n">
        <v>18012</v>
      </c>
      <c r="D611" s="0" t="n">
        <v>2255597</v>
      </c>
      <c r="E611" s="0" t="s">
        <v>271</v>
      </c>
      <c r="F611" s="0" t="n">
        <v>284572</v>
      </c>
      <c r="G611" s="0" t="s">
        <v>6082</v>
      </c>
      <c r="H611" s="0" t="s">
        <v>6083</v>
      </c>
      <c r="I611" s="0" t="s">
        <v>6084</v>
      </c>
      <c r="J611" s="0" t="s">
        <v>6085</v>
      </c>
      <c r="K611" s="0" t="s">
        <v>6086</v>
      </c>
      <c r="L611" s="0" t="n">
        <v>2093747</v>
      </c>
      <c r="M611" s="0" t="s">
        <v>6087</v>
      </c>
      <c r="N611" s="0" t="n">
        <v>1993083</v>
      </c>
      <c r="O611" s="0" t="n">
        <v>1092</v>
      </c>
      <c r="P611" s="0" t="s">
        <v>312</v>
      </c>
      <c r="Q611" s="0" t="s">
        <v>6088</v>
      </c>
      <c r="R611" s="0" t="s">
        <v>6089</v>
      </c>
      <c r="S611" s="0" t="s">
        <v>2054</v>
      </c>
      <c r="T611" s="0" t="s">
        <v>6090</v>
      </c>
      <c r="U611" s="0" t="n">
        <v>0</v>
      </c>
      <c r="V611" s="0" t="n">
        <v>14.0447992781927</v>
      </c>
      <c r="W611" s="0" t="n">
        <v>20241231</v>
      </c>
      <c r="X611" s="0" t="n">
        <v>0.664292610658148</v>
      </c>
      <c r="Y611" s="0" t="s">
        <v>3016</v>
      </c>
      <c r="Z611" s="0" t="s">
        <v>158</v>
      </c>
    </row>
    <row r="612" customFormat="false" ht="15" hidden="false" customHeight="false" outlineLevel="0" collapsed="false">
      <c r="A612" s="0" t="n">
        <v>612</v>
      </c>
      <c r="B612" s="0" t="n">
        <v>2917813</v>
      </c>
      <c r="C612" s="0" t="n">
        <v>18013</v>
      </c>
      <c r="D612" s="0" t="n">
        <v>2614357</v>
      </c>
      <c r="E612" s="0" t="s">
        <v>271</v>
      </c>
      <c r="F612" s="0" t="n">
        <v>228244</v>
      </c>
      <c r="G612" s="0" t="s">
        <v>6091</v>
      </c>
      <c r="H612" s="0" t="s">
        <v>6092</v>
      </c>
      <c r="I612" s="0" t="s">
        <v>6093</v>
      </c>
      <c r="J612" s="0" t="s">
        <v>6094</v>
      </c>
      <c r="K612" s="0" t="s">
        <v>6095</v>
      </c>
      <c r="L612" s="0" t="n">
        <v>2432691</v>
      </c>
      <c r="M612" s="0" t="s">
        <v>6096</v>
      </c>
      <c r="N612" s="0" t="n">
        <v>2216800</v>
      </c>
      <c r="O612" s="0" t="n">
        <v>2327</v>
      </c>
      <c r="P612" s="0" t="s">
        <v>324</v>
      </c>
      <c r="Q612" s="0" t="s">
        <v>6097</v>
      </c>
      <c r="R612" s="0" t="s">
        <v>6098</v>
      </c>
      <c r="S612" s="0" t="s">
        <v>6099</v>
      </c>
      <c r="T612" s="0" t="s">
        <v>6100</v>
      </c>
      <c r="U612" s="0" t="n">
        <v>128</v>
      </c>
      <c r="V612" s="0" t="n">
        <v>12.4949322507426</v>
      </c>
      <c r="W612" s="0" t="n">
        <v>20241231</v>
      </c>
      <c r="X612" s="0" t="n">
        <v>0.223627200302554</v>
      </c>
      <c r="Y612" s="0" t="s">
        <v>6101</v>
      </c>
      <c r="Z612" s="0" t="s">
        <v>158</v>
      </c>
    </row>
    <row r="613" customFormat="false" ht="15" hidden="false" customHeight="false" outlineLevel="0" collapsed="false">
      <c r="A613" s="0" t="n">
        <v>613</v>
      </c>
      <c r="B613" s="0" t="n">
        <v>402051</v>
      </c>
      <c r="C613" s="0" t="n">
        <v>18028</v>
      </c>
      <c r="D613" s="0" t="n">
        <v>341523</v>
      </c>
      <c r="E613" s="0" t="s">
        <v>85</v>
      </c>
      <c r="F613" s="0" t="n">
        <v>42186</v>
      </c>
      <c r="G613" s="0" t="s">
        <v>6102</v>
      </c>
      <c r="H613" s="0" t="s">
        <v>6103</v>
      </c>
      <c r="I613" s="0" t="s">
        <v>6104</v>
      </c>
      <c r="J613" s="0" t="s">
        <v>6105</v>
      </c>
      <c r="K613" s="0" t="s">
        <v>6106</v>
      </c>
      <c r="L613" s="0" t="n">
        <v>279403</v>
      </c>
      <c r="M613" s="0" t="s">
        <v>6107</v>
      </c>
      <c r="N613" s="0" t="n">
        <v>254756</v>
      </c>
      <c r="O613" s="0" t="n">
        <v>888</v>
      </c>
      <c r="P613" s="0" t="s">
        <v>337</v>
      </c>
      <c r="Q613" s="0" t="s">
        <v>6108</v>
      </c>
      <c r="R613" s="0" t="s">
        <v>6109</v>
      </c>
      <c r="S613" s="0" t="s">
        <v>3747</v>
      </c>
      <c r="T613" s="0" t="s">
        <v>6110</v>
      </c>
      <c r="U613" s="0" t="n">
        <v>183</v>
      </c>
      <c r="V613" s="0" t="n">
        <v>0</v>
      </c>
      <c r="W613" s="0" t="n">
        <v>20241231</v>
      </c>
      <c r="X613" s="0" t="n">
        <v>0.42743103911897</v>
      </c>
      <c r="Y613" s="0" t="s">
        <v>6111</v>
      </c>
      <c r="Z613" s="0" t="s">
        <v>158</v>
      </c>
    </row>
    <row r="614" customFormat="false" ht="15" hidden="false" customHeight="false" outlineLevel="0" collapsed="false">
      <c r="A614" s="0" t="n">
        <v>614</v>
      </c>
      <c r="B614" s="0" t="n">
        <v>777879</v>
      </c>
      <c r="C614" s="0" t="n">
        <v>18030</v>
      </c>
      <c r="D614" s="0" t="n">
        <v>716969</v>
      </c>
      <c r="E614" s="0" t="s">
        <v>390</v>
      </c>
      <c r="F614" s="0" t="n">
        <v>53665</v>
      </c>
      <c r="G614" s="0" t="s">
        <v>6112</v>
      </c>
      <c r="H614" s="0" t="s">
        <v>6113</v>
      </c>
      <c r="I614" s="0" t="s">
        <v>6114</v>
      </c>
      <c r="J614" s="0" t="s">
        <v>6115</v>
      </c>
      <c r="K614" s="0" t="s">
        <v>6116</v>
      </c>
      <c r="L614" s="0" t="n">
        <v>590868</v>
      </c>
      <c r="M614" s="0" t="s">
        <v>6117</v>
      </c>
      <c r="N614" s="0" t="n">
        <v>455091</v>
      </c>
      <c r="O614" s="0" t="n">
        <v>2023</v>
      </c>
      <c r="P614" s="0" t="s">
        <v>349</v>
      </c>
      <c r="Q614" s="0" t="s">
        <v>6118</v>
      </c>
      <c r="R614" s="0" t="s">
        <v>6119</v>
      </c>
      <c r="S614" s="0" t="s">
        <v>4857</v>
      </c>
      <c r="T614" s="0" t="s">
        <v>6120</v>
      </c>
      <c r="U614" s="0" t="n">
        <v>0</v>
      </c>
      <c r="V614" s="0" t="n">
        <v>13.9987096172383</v>
      </c>
      <c r="W614" s="0" t="n">
        <v>20241231</v>
      </c>
      <c r="X614" s="0" t="n">
        <v>0.707871330531473</v>
      </c>
      <c r="Y614" s="0" t="s">
        <v>6121</v>
      </c>
      <c r="Z614" s="0" t="s">
        <v>158</v>
      </c>
    </row>
    <row r="615" customFormat="false" ht="15" hidden="false" customHeight="false" outlineLevel="0" collapsed="false">
      <c r="A615" s="0" t="n">
        <v>615</v>
      </c>
      <c r="B615" s="0" t="n">
        <v>675378</v>
      </c>
      <c r="C615" s="0" t="n">
        <v>18031</v>
      </c>
      <c r="D615" s="0" t="n">
        <v>530034</v>
      </c>
      <c r="E615" s="0" t="s">
        <v>1500</v>
      </c>
      <c r="F615" s="0" t="n">
        <v>38022</v>
      </c>
      <c r="G615" s="0" t="s">
        <v>6122</v>
      </c>
      <c r="H615" s="0" t="s">
        <v>6123</v>
      </c>
      <c r="I615" s="0" t="s">
        <v>6124</v>
      </c>
      <c r="J615" s="0" t="s">
        <v>6125</v>
      </c>
      <c r="K615" s="0" t="s">
        <v>6126</v>
      </c>
      <c r="L615" s="0" t="n">
        <v>459460</v>
      </c>
      <c r="M615" s="0" t="s">
        <v>6127</v>
      </c>
      <c r="N615" s="0" t="n">
        <v>420845</v>
      </c>
      <c r="O615" s="0" t="n">
        <v>884</v>
      </c>
      <c r="P615" s="0" t="s">
        <v>361</v>
      </c>
      <c r="Q615" s="0" t="s">
        <v>6128</v>
      </c>
      <c r="R615" s="0" t="s">
        <v>6129</v>
      </c>
      <c r="S615" s="0" t="s">
        <v>1575</v>
      </c>
      <c r="T615" s="0" t="s">
        <v>4671</v>
      </c>
      <c r="U615" s="0" t="n">
        <v>0</v>
      </c>
      <c r="V615" s="0" t="n">
        <v>17.0941348626103</v>
      </c>
      <c r="W615" s="0" t="n">
        <v>20241231</v>
      </c>
      <c r="X615" s="0" t="n">
        <v>0.427144160043588</v>
      </c>
      <c r="Y615" s="0" t="s">
        <v>6130</v>
      </c>
      <c r="Z615" s="0" t="s">
        <v>158</v>
      </c>
    </row>
    <row r="616" customFormat="false" ht="15" hidden="false" customHeight="false" outlineLevel="0" collapsed="false">
      <c r="A616" s="0" t="n">
        <v>616</v>
      </c>
      <c r="B616" s="0" t="n">
        <v>559057</v>
      </c>
      <c r="C616" s="0" t="n">
        <v>18038</v>
      </c>
      <c r="D616" s="0" t="n">
        <v>417615</v>
      </c>
      <c r="E616" s="0" t="s">
        <v>195</v>
      </c>
      <c r="F616" s="0" t="n">
        <v>67734</v>
      </c>
      <c r="G616" s="0" t="s">
        <v>6131</v>
      </c>
      <c r="H616" s="0" t="s">
        <v>6132</v>
      </c>
      <c r="I616" s="0" t="s">
        <v>6133</v>
      </c>
      <c r="J616" s="0" t="s">
        <v>6134</v>
      </c>
      <c r="K616" s="0" t="s">
        <v>6135</v>
      </c>
      <c r="L616" s="0" t="n">
        <v>433853</v>
      </c>
      <c r="M616" s="0" t="s">
        <v>6136</v>
      </c>
      <c r="N616" s="0" t="n">
        <v>399538</v>
      </c>
      <c r="O616" s="0" t="n">
        <v>2689</v>
      </c>
      <c r="P616" s="0" t="s">
        <v>372</v>
      </c>
      <c r="Q616" s="0" t="s">
        <v>6137</v>
      </c>
      <c r="R616" s="0" t="s">
        <v>6138</v>
      </c>
      <c r="S616" s="0" t="s">
        <v>668</v>
      </c>
      <c r="T616" s="0" t="s">
        <v>6139</v>
      </c>
      <c r="U616" s="0" t="n">
        <v>0</v>
      </c>
      <c r="V616" s="0" t="n">
        <v>0</v>
      </c>
      <c r="W616" s="0" t="n">
        <v>20241231</v>
      </c>
      <c r="X616" s="0" t="n">
        <v>0.458106180656936</v>
      </c>
      <c r="Y616" s="0" t="s">
        <v>6140</v>
      </c>
      <c r="Z616" s="0" t="s">
        <v>158</v>
      </c>
    </row>
    <row r="617" customFormat="false" ht="15" hidden="false" customHeight="false" outlineLevel="0" collapsed="false">
      <c r="A617" s="0" t="n">
        <v>617</v>
      </c>
      <c r="B617" s="0" t="n">
        <v>7237664</v>
      </c>
      <c r="C617" s="0" t="n">
        <v>18408</v>
      </c>
      <c r="D617" s="0" t="n">
        <v>5962875</v>
      </c>
      <c r="E617" s="0" t="s">
        <v>794</v>
      </c>
      <c r="F617" s="0" t="n">
        <v>430159</v>
      </c>
      <c r="G617" s="0" t="s">
        <v>6141</v>
      </c>
      <c r="H617" s="0" t="s">
        <v>6142</v>
      </c>
      <c r="I617" s="0" t="s">
        <v>6143</v>
      </c>
      <c r="J617" s="0" t="s">
        <v>6144</v>
      </c>
      <c r="K617" s="0" t="s">
        <v>6145</v>
      </c>
      <c r="L617" s="0" t="n">
        <v>4937169</v>
      </c>
      <c r="M617" s="0" t="s">
        <v>6146</v>
      </c>
      <c r="N617" s="0" t="n">
        <v>4424778</v>
      </c>
      <c r="O617" s="0" t="n">
        <v>6486</v>
      </c>
      <c r="P617" s="0" t="s">
        <v>384</v>
      </c>
      <c r="Q617" s="0" t="s">
        <v>6147</v>
      </c>
      <c r="R617" s="0" t="s">
        <v>6148</v>
      </c>
      <c r="S617" s="0" t="s">
        <v>3509</v>
      </c>
      <c r="T617" s="0" t="s">
        <v>6149</v>
      </c>
      <c r="U617" s="0" t="n">
        <v>0</v>
      </c>
      <c r="V617" s="0" t="n">
        <v>11.1220330462601</v>
      </c>
      <c r="W617" s="0" t="n">
        <v>20241231</v>
      </c>
      <c r="X617" s="0" t="n">
        <v>0.170575806214819</v>
      </c>
      <c r="Y617" s="0" t="s">
        <v>6150</v>
      </c>
      <c r="Z617" s="0" t="s">
        <v>60</v>
      </c>
    </row>
    <row r="618" customFormat="false" ht="15" hidden="false" customHeight="false" outlineLevel="0" collapsed="false">
      <c r="A618" s="0" t="n">
        <v>618</v>
      </c>
      <c r="B618" s="0" t="n">
        <v>2607826</v>
      </c>
      <c r="C618" s="0" t="n">
        <v>19531</v>
      </c>
      <c r="D618" s="0" t="n">
        <v>2305045</v>
      </c>
      <c r="E618" s="0" t="s">
        <v>1281</v>
      </c>
      <c r="F618" s="0" t="n">
        <v>258848</v>
      </c>
      <c r="G618" s="0" t="s">
        <v>6151</v>
      </c>
      <c r="H618" s="0" t="s">
        <v>6152</v>
      </c>
      <c r="I618" s="0" t="s">
        <v>6153</v>
      </c>
      <c r="J618" s="0" t="s">
        <v>6154</v>
      </c>
      <c r="K618" s="0" t="s">
        <v>6155</v>
      </c>
      <c r="L618" s="0" t="n">
        <v>2155933</v>
      </c>
      <c r="M618" s="0" t="s">
        <v>6156</v>
      </c>
      <c r="N618" s="0" t="n">
        <v>1794381</v>
      </c>
      <c r="O618" s="0" t="n">
        <v>6433</v>
      </c>
      <c r="P618" s="0" t="s">
        <v>397</v>
      </c>
      <c r="Q618" s="0" t="s">
        <v>6157</v>
      </c>
      <c r="R618" s="0" t="s">
        <v>6158</v>
      </c>
      <c r="S618" s="0" t="s">
        <v>6159</v>
      </c>
      <c r="T618" s="0" t="s">
        <v>6160</v>
      </c>
      <c r="U618" s="0" t="n">
        <v>47</v>
      </c>
      <c r="V618" s="0" t="n">
        <v>14.1069486209343</v>
      </c>
      <c r="W618" s="0" t="n">
        <v>20241231</v>
      </c>
      <c r="X618" s="0" t="n">
        <v>0.568341059055616</v>
      </c>
      <c r="Y618" s="0" t="s">
        <v>6161</v>
      </c>
      <c r="Z618" s="0" t="s">
        <v>60</v>
      </c>
    </row>
    <row r="619" customFormat="false" ht="15" hidden="false" customHeight="false" outlineLevel="0" collapsed="false">
      <c r="A619" s="0" t="n">
        <v>619</v>
      </c>
      <c r="B619" s="0" t="n">
        <v>841355</v>
      </c>
      <c r="C619" s="0" t="n">
        <v>19532</v>
      </c>
      <c r="D619" s="0" t="n">
        <v>726139</v>
      </c>
      <c r="E619" s="0" t="s">
        <v>271</v>
      </c>
      <c r="F619" s="0" t="n">
        <v>102611</v>
      </c>
      <c r="G619" s="0" t="s">
        <v>6162</v>
      </c>
      <c r="H619" s="0" t="s">
        <v>6163</v>
      </c>
      <c r="I619" s="0" t="s">
        <v>6164</v>
      </c>
      <c r="J619" s="0" t="s">
        <v>6165</v>
      </c>
      <c r="K619" s="0" t="s">
        <v>6166</v>
      </c>
      <c r="L619" s="0" t="n">
        <v>610614</v>
      </c>
      <c r="M619" s="0" t="s">
        <v>6167</v>
      </c>
      <c r="N619" s="0" t="n">
        <v>502892</v>
      </c>
      <c r="O619" s="0" t="n">
        <v>1747</v>
      </c>
      <c r="P619" s="0" t="s">
        <v>409</v>
      </c>
      <c r="Q619" s="0" t="s">
        <v>6168</v>
      </c>
      <c r="R619" s="0" t="s">
        <v>6169</v>
      </c>
      <c r="S619" s="0" t="s">
        <v>6170</v>
      </c>
      <c r="T619" s="0" t="s">
        <v>6171</v>
      </c>
      <c r="U619" s="0" t="n">
        <v>0</v>
      </c>
      <c r="V619" s="0" t="n">
        <v>21.4383093615106</v>
      </c>
      <c r="W619" s="0" t="n">
        <v>20241231</v>
      </c>
      <c r="X619" s="0" t="n">
        <v>0.860939251412119</v>
      </c>
      <c r="Y619" s="0" t="s">
        <v>6172</v>
      </c>
      <c r="Z619" s="0" t="s">
        <v>60</v>
      </c>
    </row>
    <row r="620" customFormat="false" ht="15" hidden="false" customHeight="false" outlineLevel="0" collapsed="false">
      <c r="A620" s="0" t="n">
        <v>620</v>
      </c>
      <c r="B620" s="0" t="n">
        <v>4083054</v>
      </c>
      <c r="C620" s="0" t="n">
        <v>19690</v>
      </c>
      <c r="D620" s="0" t="n">
        <v>3178140</v>
      </c>
      <c r="E620" s="0" t="s">
        <v>85</v>
      </c>
      <c r="F620" s="0" t="n">
        <v>444101</v>
      </c>
      <c r="G620" s="0" t="s">
        <v>6173</v>
      </c>
      <c r="H620" s="0" t="s">
        <v>6174</v>
      </c>
      <c r="I620" s="0" t="s">
        <v>6175</v>
      </c>
      <c r="J620" s="0" t="s">
        <v>6176</v>
      </c>
      <c r="K620" s="0" t="s">
        <v>2730</v>
      </c>
      <c r="L620" s="0" t="n">
        <v>3626020</v>
      </c>
      <c r="M620" s="0" t="s">
        <v>6177</v>
      </c>
      <c r="N620" s="0" t="n">
        <v>2812366</v>
      </c>
      <c r="O620" s="0" t="n">
        <v>30066</v>
      </c>
      <c r="P620" s="0" t="s">
        <v>420</v>
      </c>
      <c r="Q620" s="0" t="s">
        <v>6178</v>
      </c>
      <c r="R620" s="0" t="s">
        <v>6179</v>
      </c>
      <c r="S620" s="0" t="s">
        <v>6180</v>
      </c>
      <c r="T620" s="0" t="s">
        <v>6181</v>
      </c>
      <c r="U620" s="0" t="n">
        <v>0</v>
      </c>
      <c r="V620" s="0" t="n">
        <v>13.9124837251983</v>
      </c>
      <c r="W620" s="0" t="n">
        <v>20241231</v>
      </c>
      <c r="X620" s="0" t="n">
        <v>2.00155957794462</v>
      </c>
      <c r="Y620" s="0" t="s">
        <v>6182</v>
      </c>
      <c r="Z620" s="0" t="s">
        <v>60</v>
      </c>
    </row>
    <row r="621" customFormat="false" ht="15" hidden="false" customHeight="false" outlineLevel="0" collapsed="false">
      <c r="A621" s="0" t="n">
        <v>621</v>
      </c>
      <c r="B621" s="0" t="n">
        <v>725956</v>
      </c>
      <c r="C621" s="0" t="n">
        <v>19836</v>
      </c>
      <c r="D621" s="0" t="n">
        <v>546072</v>
      </c>
      <c r="E621" s="0" t="s">
        <v>172</v>
      </c>
      <c r="F621" s="0" t="n">
        <v>126418</v>
      </c>
      <c r="G621" s="0" t="s">
        <v>6183</v>
      </c>
      <c r="H621" s="0" t="s">
        <v>6184</v>
      </c>
      <c r="I621" s="0" t="s">
        <v>6185</v>
      </c>
      <c r="J621" s="0" t="s">
        <v>6186</v>
      </c>
      <c r="K621" s="0" t="s">
        <v>6187</v>
      </c>
      <c r="L621" s="0" t="n">
        <v>621275</v>
      </c>
      <c r="M621" s="0" t="s">
        <v>6188</v>
      </c>
      <c r="N621" s="0" t="n">
        <v>565995</v>
      </c>
      <c r="O621" s="0" t="n">
        <v>5575</v>
      </c>
      <c r="P621" s="0" t="s">
        <v>290</v>
      </c>
      <c r="Q621" s="0" t="s">
        <v>6189</v>
      </c>
      <c r="R621" s="0" t="s">
        <v>6190</v>
      </c>
      <c r="S621" s="0" t="s">
        <v>6191</v>
      </c>
      <c r="T621" s="0" t="s">
        <v>6192</v>
      </c>
      <c r="U621" s="0" t="n">
        <v>115</v>
      </c>
      <c r="V621" s="0" t="n">
        <v>23.4027315459259</v>
      </c>
      <c r="W621" s="0" t="n">
        <v>20241231</v>
      </c>
      <c r="X621" s="0" t="n">
        <v>0.635783162051918</v>
      </c>
      <c r="Y621" s="0" t="s">
        <v>6193</v>
      </c>
      <c r="Z621" s="0" t="s">
        <v>60</v>
      </c>
    </row>
    <row r="622" customFormat="false" ht="15" hidden="false" customHeight="false" outlineLevel="0" collapsed="false">
      <c r="A622" s="0" t="n">
        <v>622</v>
      </c>
      <c r="B622" s="0" t="n">
        <v>1527088</v>
      </c>
      <c r="C622" s="0" t="n">
        <v>24540</v>
      </c>
      <c r="D622" s="0" t="n">
        <v>1227168</v>
      </c>
      <c r="E622" s="0" t="s">
        <v>47</v>
      </c>
      <c r="F622" s="0" t="n">
        <v>276022</v>
      </c>
      <c r="G622" s="0" t="s">
        <v>6194</v>
      </c>
      <c r="H622" s="0" t="s">
        <v>6195</v>
      </c>
      <c r="I622" s="0" t="s">
        <v>6196</v>
      </c>
      <c r="J622" s="0" t="s">
        <v>6197</v>
      </c>
      <c r="K622" s="0" t="s">
        <v>6198</v>
      </c>
      <c r="L622" s="0" t="n">
        <v>1371569</v>
      </c>
      <c r="M622" s="0" t="s">
        <v>6199</v>
      </c>
      <c r="N622" s="0" t="n">
        <v>1331608</v>
      </c>
      <c r="O622" s="0" t="n">
        <v>28862</v>
      </c>
      <c r="P622" s="0" t="s">
        <v>443</v>
      </c>
      <c r="Q622" s="0" t="s">
        <v>6200</v>
      </c>
      <c r="R622" s="0" t="s">
        <v>6201</v>
      </c>
      <c r="S622" s="0" t="s">
        <v>1018</v>
      </c>
      <c r="T622" s="0" t="s">
        <v>61</v>
      </c>
      <c r="U622" s="0" t="n">
        <v>0</v>
      </c>
      <c r="V622" s="0" t="n">
        <v>18.6892666157372</v>
      </c>
      <c r="W622" s="0" t="n">
        <v>20241231</v>
      </c>
      <c r="X622" s="0" t="n">
        <v>2.16766070982136</v>
      </c>
      <c r="Y622" s="0" t="s">
        <v>6202</v>
      </c>
      <c r="Z622" s="0" t="s">
        <v>158</v>
      </c>
    </row>
    <row r="623" customFormat="false" ht="15" hidden="false" customHeight="false" outlineLevel="0" collapsed="false">
      <c r="A623" s="0" t="n">
        <v>623</v>
      </c>
      <c r="B623" s="0" t="n">
        <v>567213</v>
      </c>
      <c r="C623" s="0" t="n">
        <v>27824</v>
      </c>
      <c r="D623" s="0" t="n">
        <v>364594</v>
      </c>
      <c r="E623" s="0" t="s">
        <v>195</v>
      </c>
      <c r="F623" s="0" t="n">
        <v>62425</v>
      </c>
      <c r="G623" s="0" t="s">
        <v>6203</v>
      </c>
      <c r="H623" s="0" t="s">
        <v>6204</v>
      </c>
      <c r="I623" s="0" t="s">
        <v>6205</v>
      </c>
      <c r="J623" s="0" t="s">
        <v>6206</v>
      </c>
      <c r="K623" s="0" t="s">
        <v>6207</v>
      </c>
      <c r="L623" s="0" t="n">
        <v>477239</v>
      </c>
      <c r="M623" s="0" t="s">
        <v>6208</v>
      </c>
      <c r="N623" s="0" t="n">
        <v>418833</v>
      </c>
      <c r="O623" s="0" t="n">
        <v>1549</v>
      </c>
      <c r="P623" s="0" t="s">
        <v>453</v>
      </c>
      <c r="Q623" s="0" t="s">
        <v>6209</v>
      </c>
      <c r="R623" s="0" t="s">
        <v>6210</v>
      </c>
      <c r="S623" s="0" t="s">
        <v>6211</v>
      </c>
      <c r="T623" s="0" t="s">
        <v>6212</v>
      </c>
      <c r="U623" s="0" t="n">
        <v>0</v>
      </c>
      <c r="V623" s="0" t="n">
        <v>19.034594199942</v>
      </c>
      <c r="W623" s="0" t="n">
        <v>20241231</v>
      </c>
      <c r="X623" s="0" t="n">
        <v>-0.525560567879556</v>
      </c>
      <c r="Y623" s="0" t="s">
        <v>6213</v>
      </c>
      <c r="Z623" s="0" t="s">
        <v>158</v>
      </c>
    </row>
    <row r="624" customFormat="false" ht="15" hidden="false" customHeight="false" outlineLevel="0" collapsed="false">
      <c r="A624" s="0" t="n">
        <v>624</v>
      </c>
      <c r="B624" s="0" t="n">
        <v>295833</v>
      </c>
      <c r="C624" s="0" t="n">
        <v>28155</v>
      </c>
      <c r="D624" s="0" t="n">
        <v>257082</v>
      </c>
      <c r="E624" s="0" t="s">
        <v>794</v>
      </c>
      <c r="F624" s="0" t="n">
        <v>27363</v>
      </c>
      <c r="G624" s="0" t="s">
        <v>6214</v>
      </c>
      <c r="H624" s="0" t="s">
        <v>6215</v>
      </c>
      <c r="I624" s="0" t="s">
        <v>6216</v>
      </c>
      <c r="J624" s="0" t="s">
        <v>6217</v>
      </c>
      <c r="K624" s="0" t="s">
        <v>6218</v>
      </c>
      <c r="L624" s="0" t="n">
        <v>174792</v>
      </c>
      <c r="M624" s="0" t="s">
        <v>6219</v>
      </c>
      <c r="N624" s="0" t="n">
        <v>157930</v>
      </c>
      <c r="O624" s="0" t="n">
        <v>0</v>
      </c>
      <c r="P624" s="0" t="s">
        <v>464</v>
      </c>
      <c r="Q624" s="0" t="s">
        <v>61</v>
      </c>
      <c r="R624" s="0" t="s">
        <v>6220</v>
      </c>
      <c r="S624" s="0" t="s">
        <v>256</v>
      </c>
      <c r="T624" s="0" t="s">
        <v>6221</v>
      </c>
      <c r="U624" s="0" t="n">
        <v>0</v>
      </c>
      <c r="V624" s="0" t="n">
        <v>17.6109436246782</v>
      </c>
      <c r="W624" s="0" t="n">
        <v>20241231</v>
      </c>
      <c r="X624" s="0" t="n">
        <v>-0.0231009511565541</v>
      </c>
      <c r="Y624" s="0" t="s">
        <v>4631</v>
      </c>
      <c r="Z624" s="0" t="s">
        <v>158</v>
      </c>
    </row>
    <row r="625" customFormat="false" ht="15" hidden="false" customHeight="false" outlineLevel="0" collapsed="false">
      <c r="A625" s="0" t="n">
        <v>625</v>
      </c>
      <c r="B625" s="0" t="n">
        <v>102307</v>
      </c>
      <c r="C625" s="0" t="n">
        <v>28288</v>
      </c>
      <c r="D625" s="0" t="n">
        <v>74614</v>
      </c>
      <c r="E625" s="0" t="s">
        <v>742</v>
      </c>
      <c r="F625" s="0" t="n">
        <v>5875</v>
      </c>
      <c r="G625" s="0" t="s">
        <v>6222</v>
      </c>
      <c r="H625" s="0" t="s">
        <v>6223</v>
      </c>
      <c r="I625" s="0" t="s">
        <v>6224</v>
      </c>
      <c r="J625" s="0" t="s">
        <v>6225</v>
      </c>
      <c r="K625" s="0" t="s">
        <v>6226</v>
      </c>
      <c r="L625" s="0" t="n">
        <v>83156</v>
      </c>
      <c r="M625" s="0" t="s">
        <v>6227</v>
      </c>
      <c r="N625" s="0" t="n">
        <v>75140</v>
      </c>
      <c r="O625" s="0" t="n">
        <v>137</v>
      </c>
      <c r="P625" s="0" t="s">
        <v>475</v>
      </c>
      <c r="Q625" s="0" t="s">
        <v>6228</v>
      </c>
      <c r="R625" s="0" t="s">
        <v>6229</v>
      </c>
      <c r="S625" s="0" t="s">
        <v>61</v>
      </c>
      <c r="T625" s="0" t="s">
        <v>1595</v>
      </c>
      <c r="U625" s="0" t="n">
        <v>0</v>
      </c>
      <c r="V625" s="0" t="n">
        <v>13.0257542310522</v>
      </c>
      <c r="W625" s="0" t="n">
        <v>20241231</v>
      </c>
      <c r="X625" s="0" t="n">
        <v>0.0310049879274328</v>
      </c>
      <c r="Y625" s="0" t="s">
        <v>6230</v>
      </c>
      <c r="Z625" s="0" t="s">
        <v>60</v>
      </c>
    </row>
    <row r="626" customFormat="false" ht="15" hidden="false" customHeight="false" outlineLevel="0" collapsed="false">
      <c r="A626" s="0" t="n">
        <v>626</v>
      </c>
      <c r="B626" s="0" t="n">
        <v>93759</v>
      </c>
      <c r="C626" s="0" t="n">
        <v>28369</v>
      </c>
      <c r="D626" s="0" t="n">
        <v>74708</v>
      </c>
      <c r="E626" s="0" t="s">
        <v>271</v>
      </c>
      <c r="F626" s="0" t="n">
        <v>9043</v>
      </c>
      <c r="G626" s="0" t="s">
        <v>6231</v>
      </c>
      <c r="H626" s="0" t="s">
        <v>6232</v>
      </c>
      <c r="I626" s="0" t="s">
        <v>6233</v>
      </c>
      <c r="J626" s="0" t="s">
        <v>6234</v>
      </c>
      <c r="K626" s="0" t="s">
        <v>6235</v>
      </c>
      <c r="L626" s="0" t="n">
        <v>81371</v>
      </c>
      <c r="M626" s="0" t="s">
        <v>6236</v>
      </c>
      <c r="N626" s="0" t="n">
        <v>68320</v>
      </c>
      <c r="O626" s="0" t="n">
        <v>208</v>
      </c>
      <c r="P626" s="0" t="s">
        <v>486</v>
      </c>
      <c r="Q626" s="0" t="s">
        <v>6237</v>
      </c>
      <c r="R626" s="0" t="s">
        <v>6238</v>
      </c>
      <c r="S626" s="0" t="s">
        <v>155</v>
      </c>
      <c r="T626" s="0" t="s">
        <v>3375</v>
      </c>
      <c r="U626" s="0" t="n">
        <v>0</v>
      </c>
      <c r="V626" s="0" t="n">
        <v>13.8247801806983</v>
      </c>
      <c r="W626" s="0" t="n">
        <v>20241231</v>
      </c>
      <c r="X626" s="0" t="n">
        <v>-0.324465319202006</v>
      </c>
      <c r="Y626" s="0" t="s">
        <v>6239</v>
      </c>
      <c r="Z626" s="0" t="s">
        <v>60</v>
      </c>
    </row>
    <row r="627" customFormat="false" ht="15" hidden="false" customHeight="false" outlineLevel="0" collapsed="false">
      <c r="A627" s="0" t="n">
        <v>627</v>
      </c>
      <c r="B627" s="0" t="n">
        <v>287826</v>
      </c>
      <c r="C627" s="0" t="n">
        <v>28837</v>
      </c>
      <c r="D627" s="0" t="n">
        <v>255992</v>
      </c>
      <c r="E627" s="0" t="s">
        <v>742</v>
      </c>
      <c r="F627" s="0" t="n">
        <v>28739</v>
      </c>
      <c r="G627" s="0" t="s">
        <v>6240</v>
      </c>
      <c r="H627" s="0" t="s">
        <v>6241</v>
      </c>
      <c r="I627" s="0" t="s">
        <v>6242</v>
      </c>
      <c r="J627" s="0" t="s">
        <v>6243</v>
      </c>
      <c r="K627" s="0" t="s">
        <v>6244</v>
      </c>
      <c r="L627" s="0" t="n">
        <v>205742</v>
      </c>
      <c r="M627" s="0" t="s">
        <v>6245</v>
      </c>
      <c r="N627" s="0" t="n">
        <v>197027</v>
      </c>
      <c r="O627" s="0" t="n">
        <v>0</v>
      </c>
      <c r="P627" s="0" t="s">
        <v>497</v>
      </c>
      <c r="Q627" s="0" t="s">
        <v>61</v>
      </c>
      <c r="R627" s="0" t="s">
        <v>6246</v>
      </c>
      <c r="S627" s="0" t="s">
        <v>5733</v>
      </c>
      <c r="T627" s="0" t="s">
        <v>6247</v>
      </c>
      <c r="U627" s="0" t="n">
        <v>0</v>
      </c>
      <c r="V627" s="0" t="n">
        <v>17.8530996972904</v>
      </c>
      <c r="W627" s="0" t="n">
        <v>20241231</v>
      </c>
      <c r="X627" s="0" t="n">
        <v>0.89725198998678</v>
      </c>
      <c r="Y627" s="0" t="s">
        <v>6248</v>
      </c>
      <c r="Z627" s="0" t="s">
        <v>98</v>
      </c>
    </row>
    <row r="628" customFormat="false" ht="15" hidden="false" customHeight="false" outlineLevel="0" collapsed="false">
      <c r="A628" s="0" t="n">
        <v>628</v>
      </c>
      <c r="B628" s="0" t="n">
        <v>182860</v>
      </c>
      <c r="C628" s="0" t="n">
        <v>29636</v>
      </c>
      <c r="D628" s="0" t="n">
        <v>141498</v>
      </c>
      <c r="E628" s="0" t="s">
        <v>271</v>
      </c>
      <c r="F628" s="0" t="n">
        <v>27319</v>
      </c>
      <c r="G628" s="0" t="s">
        <v>6249</v>
      </c>
      <c r="H628" s="0" t="s">
        <v>6250</v>
      </c>
      <c r="I628" s="0" t="s">
        <v>6251</v>
      </c>
      <c r="J628" s="0" t="s">
        <v>6252</v>
      </c>
      <c r="K628" s="0" t="s">
        <v>6253</v>
      </c>
      <c r="L628" s="0" t="n">
        <v>143339</v>
      </c>
      <c r="M628" s="0" t="s">
        <v>6254</v>
      </c>
      <c r="N628" s="0" t="n">
        <v>139835</v>
      </c>
      <c r="O628" s="0" t="n">
        <v>2868</v>
      </c>
      <c r="P628" s="0" t="s">
        <v>509</v>
      </c>
      <c r="Q628" s="0" t="s">
        <v>6255</v>
      </c>
      <c r="R628" s="0" t="s">
        <v>6256</v>
      </c>
      <c r="S628" s="0" t="s">
        <v>256</v>
      </c>
      <c r="T628" s="0" t="s">
        <v>6257</v>
      </c>
      <c r="U628" s="0" t="n">
        <v>0</v>
      </c>
      <c r="V628" s="0" t="n">
        <v>26.7512284310365</v>
      </c>
      <c r="W628" s="0" t="n">
        <v>20241231</v>
      </c>
      <c r="X628" s="0" t="n">
        <v>0.375798155374246</v>
      </c>
      <c r="Y628" s="0" t="s">
        <v>6258</v>
      </c>
      <c r="Z628" s="0" t="s">
        <v>60</v>
      </c>
    </row>
    <row r="629" customFormat="false" ht="15" hidden="false" customHeight="false" outlineLevel="0" collapsed="false">
      <c r="A629" s="0" t="n">
        <v>629</v>
      </c>
      <c r="B629" s="0" t="n">
        <v>202964</v>
      </c>
      <c r="C629" s="0" t="n">
        <v>29743</v>
      </c>
      <c r="D629" s="0" t="n">
        <v>178152</v>
      </c>
      <c r="E629" s="0" t="s">
        <v>890</v>
      </c>
      <c r="F629" s="0" t="n">
        <v>18066</v>
      </c>
      <c r="G629" s="0" t="s">
        <v>6259</v>
      </c>
      <c r="H629" s="0" t="s">
        <v>6260</v>
      </c>
      <c r="I629" s="0" t="s">
        <v>6261</v>
      </c>
      <c r="J629" s="0" t="s">
        <v>6262</v>
      </c>
      <c r="K629" s="0" t="s">
        <v>6263</v>
      </c>
      <c r="L629" s="0" t="n">
        <v>135025</v>
      </c>
      <c r="M629" s="0" t="s">
        <v>6264</v>
      </c>
      <c r="N629" s="0" t="n">
        <v>88138</v>
      </c>
      <c r="O629" s="0" t="n">
        <v>647</v>
      </c>
      <c r="P629" s="0" t="s">
        <v>520</v>
      </c>
      <c r="Q629" s="0" t="s">
        <v>6265</v>
      </c>
      <c r="R629" s="0" t="s">
        <v>6266</v>
      </c>
      <c r="S629" s="0" t="s">
        <v>230</v>
      </c>
      <c r="T629" s="0" t="s">
        <v>6267</v>
      </c>
      <c r="U629" s="0" t="n">
        <v>0</v>
      </c>
      <c r="V629" s="0" t="n">
        <v>18.4150066221586</v>
      </c>
      <c r="W629" s="0" t="n">
        <v>20241231</v>
      </c>
      <c r="X629" s="0" t="n">
        <v>0.362792198666465</v>
      </c>
      <c r="Y629" s="0" t="s">
        <v>218</v>
      </c>
      <c r="Z629" s="0" t="s">
        <v>60</v>
      </c>
    </row>
    <row r="630" customFormat="false" ht="15" hidden="false" customHeight="false" outlineLevel="0" collapsed="false">
      <c r="A630" s="0" t="n">
        <v>630</v>
      </c>
      <c r="B630" s="0" t="n">
        <v>581057</v>
      </c>
      <c r="C630" s="0" t="n">
        <v>29744</v>
      </c>
      <c r="D630" s="0" t="n">
        <v>472402</v>
      </c>
      <c r="E630" s="0" t="s">
        <v>794</v>
      </c>
      <c r="F630" s="0" t="n">
        <v>44991</v>
      </c>
      <c r="G630" s="0" t="s">
        <v>6268</v>
      </c>
      <c r="H630" s="0" t="s">
        <v>6269</v>
      </c>
      <c r="I630" s="0" t="s">
        <v>6270</v>
      </c>
      <c r="J630" s="0" t="s">
        <v>6271</v>
      </c>
      <c r="K630" s="0" t="s">
        <v>6272</v>
      </c>
      <c r="L630" s="0" t="n">
        <v>437679</v>
      </c>
      <c r="M630" s="0" t="s">
        <v>6273</v>
      </c>
      <c r="N630" s="0" t="n">
        <v>401559</v>
      </c>
      <c r="O630" s="0" t="n">
        <v>0</v>
      </c>
      <c r="P630" s="0" t="s">
        <v>531</v>
      </c>
      <c r="Q630" s="0" t="s">
        <v>61</v>
      </c>
      <c r="R630" s="0" t="s">
        <v>6274</v>
      </c>
      <c r="S630" s="0" t="s">
        <v>400</v>
      </c>
      <c r="T630" s="0" t="s">
        <v>61</v>
      </c>
      <c r="U630" s="0" t="n">
        <v>0</v>
      </c>
      <c r="V630" s="0" t="n">
        <v>15.5504255593346</v>
      </c>
      <c r="W630" s="0" t="n">
        <v>20241231</v>
      </c>
      <c r="X630" s="0" t="n">
        <v>-0.0833620014517603</v>
      </c>
      <c r="Y630" s="0" t="s">
        <v>6275</v>
      </c>
      <c r="Z630" s="0" t="s">
        <v>158</v>
      </c>
    </row>
    <row r="631" customFormat="false" ht="15" hidden="false" customHeight="false" outlineLevel="0" collapsed="false">
      <c r="A631" s="0" t="n">
        <v>631</v>
      </c>
      <c r="B631" s="0" t="n">
        <v>593799</v>
      </c>
      <c r="C631" s="0" t="n">
        <v>30350</v>
      </c>
      <c r="D631" s="0" t="n">
        <v>466175</v>
      </c>
      <c r="E631" s="0" t="s">
        <v>61</v>
      </c>
      <c r="F631" s="0" t="n">
        <v>60826</v>
      </c>
      <c r="G631" s="0" t="s">
        <v>6276</v>
      </c>
      <c r="H631" s="0" t="s">
        <v>6277</v>
      </c>
      <c r="I631" s="0" t="s">
        <v>6278</v>
      </c>
      <c r="J631" s="0" t="s">
        <v>6279</v>
      </c>
      <c r="K631" s="0" t="s">
        <v>6280</v>
      </c>
      <c r="L631" s="0" t="n">
        <v>456385</v>
      </c>
      <c r="M631" s="0" t="s">
        <v>6281</v>
      </c>
      <c r="N631" s="0" t="n">
        <v>438311</v>
      </c>
      <c r="O631" s="0" t="n">
        <v>1585</v>
      </c>
      <c r="P631" s="0" t="s">
        <v>543</v>
      </c>
      <c r="Q631" s="0" t="s">
        <v>6282</v>
      </c>
      <c r="R631" s="0" t="s">
        <v>6283</v>
      </c>
      <c r="S631" s="0" t="s">
        <v>6284</v>
      </c>
      <c r="T631" s="0" t="s">
        <v>6285</v>
      </c>
      <c r="U631" s="0" t="n">
        <v>0</v>
      </c>
      <c r="V631" s="0" t="n">
        <v>20.2115949468161</v>
      </c>
      <c r="W631" s="0" t="n">
        <v>20241231</v>
      </c>
      <c r="X631" s="0" t="n">
        <v>0.659977862877419</v>
      </c>
      <c r="Y631" s="0" t="s">
        <v>5559</v>
      </c>
      <c r="Z631" s="0" t="s">
        <v>98</v>
      </c>
    </row>
    <row r="632" customFormat="false" ht="15" hidden="false" customHeight="false" outlineLevel="0" collapsed="false">
      <c r="A632" s="0" t="n">
        <v>632</v>
      </c>
      <c r="B632" s="0" t="n">
        <v>99802</v>
      </c>
      <c r="C632" s="0" t="n">
        <v>30878</v>
      </c>
      <c r="D632" s="0" t="n">
        <v>75762</v>
      </c>
      <c r="E632" s="0" t="s">
        <v>61</v>
      </c>
      <c r="F632" s="0" t="n">
        <v>11821</v>
      </c>
      <c r="G632" s="0" t="s">
        <v>6286</v>
      </c>
      <c r="H632" s="0" t="s">
        <v>6287</v>
      </c>
      <c r="I632" s="0" t="s">
        <v>6288</v>
      </c>
      <c r="J632" s="0" t="s">
        <v>61</v>
      </c>
      <c r="K632" s="0" t="s">
        <v>2984</v>
      </c>
      <c r="L632" s="0" t="n">
        <v>86046</v>
      </c>
      <c r="M632" s="0" t="s">
        <v>6289</v>
      </c>
      <c r="N632" s="0" t="n">
        <v>85877</v>
      </c>
      <c r="O632" s="0" t="n">
        <v>1428</v>
      </c>
      <c r="P632" s="0" t="s">
        <v>553</v>
      </c>
      <c r="Q632" s="0" t="s">
        <v>6290</v>
      </c>
      <c r="R632" s="0" t="s">
        <v>6291</v>
      </c>
      <c r="S632" s="0" t="s">
        <v>61</v>
      </c>
      <c r="T632" s="0" t="s">
        <v>1616</v>
      </c>
      <c r="U632" s="0" t="n">
        <v>0</v>
      </c>
      <c r="V632" s="0" t="n">
        <v>0</v>
      </c>
      <c r="W632" s="0" t="n">
        <v>20241231</v>
      </c>
      <c r="X632" s="0" t="n">
        <v>-0.519758644406928</v>
      </c>
      <c r="Y632" s="0" t="s">
        <v>6292</v>
      </c>
      <c r="Z632" s="0" t="s">
        <v>60</v>
      </c>
    </row>
    <row r="633" customFormat="false" ht="15" hidden="false" customHeight="false" outlineLevel="0" collapsed="false">
      <c r="A633" s="0" t="n">
        <v>633</v>
      </c>
      <c r="B633" s="0" t="n">
        <v>950082</v>
      </c>
      <c r="C633" s="0" t="n">
        <v>33418</v>
      </c>
      <c r="D633" s="0" t="n">
        <v>811387</v>
      </c>
      <c r="E633" s="0" t="s">
        <v>259</v>
      </c>
      <c r="F633" s="0" t="n">
        <v>69717</v>
      </c>
      <c r="G633" s="0" t="s">
        <v>6293</v>
      </c>
      <c r="H633" s="0" t="s">
        <v>6294</v>
      </c>
      <c r="I633" s="0" t="s">
        <v>6295</v>
      </c>
      <c r="J633" s="0" t="s">
        <v>6296</v>
      </c>
      <c r="K633" s="0" t="s">
        <v>6297</v>
      </c>
      <c r="L633" s="0" t="n">
        <v>579725</v>
      </c>
      <c r="M633" s="0" t="s">
        <v>6298</v>
      </c>
      <c r="N633" s="0" t="n">
        <v>490295</v>
      </c>
      <c r="O633" s="0" t="n">
        <v>1277</v>
      </c>
      <c r="P633" s="0" t="s">
        <v>564</v>
      </c>
      <c r="Q633" s="0" t="s">
        <v>6299</v>
      </c>
      <c r="R633" s="0" t="s">
        <v>6300</v>
      </c>
      <c r="S633" s="0" t="s">
        <v>6301</v>
      </c>
      <c r="T633" s="0" t="s">
        <v>2821</v>
      </c>
      <c r="U633" s="0" t="n">
        <v>0</v>
      </c>
      <c r="V633" s="0" t="n">
        <v>12.7244669976746</v>
      </c>
      <c r="W633" s="0" t="n">
        <v>20241231</v>
      </c>
      <c r="X633" s="0" t="n">
        <v>0.466342669650027</v>
      </c>
      <c r="Y633" s="0" t="s">
        <v>2374</v>
      </c>
      <c r="Z633" s="0" t="s">
        <v>98</v>
      </c>
    </row>
    <row r="634" customFormat="false" ht="15" hidden="false" customHeight="false" outlineLevel="0" collapsed="false">
      <c r="A634" s="0" t="n">
        <v>634</v>
      </c>
      <c r="B634" s="0" t="n">
        <v>63348</v>
      </c>
      <c r="C634" s="0" t="n">
        <v>35206</v>
      </c>
      <c r="D634" s="0" t="n">
        <v>500</v>
      </c>
      <c r="E634" s="0" t="s">
        <v>61</v>
      </c>
      <c r="F634" s="0" t="n">
        <v>60476</v>
      </c>
      <c r="G634" s="0" t="s">
        <v>6302</v>
      </c>
      <c r="H634" s="0" t="s">
        <v>6303</v>
      </c>
      <c r="I634" s="0" t="s">
        <v>61</v>
      </c>
      <c r="J634" s="0" t="s">
        <v>61</v>
      </c>
      <c r="K634" s="0" t="s">
        <v>61</v>
      </c>
      <c r="L634" s="0" t="n">
        <v>0</v>
      </c>
      <c r="M634" s="0" t="s">
        <v>61</v>
      </c>
      <c r="N634" s="0" t="n">
        <v>0</v>
      </c>
      <c r="O634" s="0" t="n">
        <v>0</v>
      </c>
      <c r="P634" s="0" t="s">
        <v>1112</v>
      </c>
      <c r="Q634" s="0" t="s">
        <v>61</v>
      </c>
      <c r="R634" s="0" t="s">
        <v>6304</v>
      </c>
      <c r="S634" s="0" t="s">
        <v>61</v>
      </c>
      <c r="T634" s="0" t="s">
        <v>61</v>
      </c>
      <c r="U634" s="0" t="n">
        <v>0</v>
      </c>
      <c r="V634" s="0" t="n">
        <v>0</v>
      </c>
      <c r="W634" s="0" t="n">
        <v>20241231</v>
      </c>
      <c r="X634" s="0" t="n">
        <v>20.2893757542402</v>
      </c>
      <c r="Y634" s="0" t="s">
        <v>6305</v>
      </c>
      <c r="Z634" s="0" t="s">
        <v>158</v>
      </c>
    </row>
    <row r="635" customFormat="false" ht="15" hidden="false" customHeight="false" outlineLevel="0" collapsed="false">
      <c r="A635" s="0" t="n">
        <v>635</v>
      </c>
      <c r="B635" s="0" t="n">
        <v>5790238</v>
      </c>
      <c r="C635" s="0" t="n">
        <v>4255</v>
      </c>
      <c r="D635" s="0" t="n">
        <v>4671726</v>
      </c>
      <c r="E635" s="0" t="s">
        <v>390</v>
      </c>
      <c r="F635" s="0" t="n">
        <v>539279</v>
      </c>
      <c r="G635" s="0" t="s">
        <v>6306</v>
      </c>
      <c r="H635" s="0" t="s">
        <v>6307</v>
      </c>
      <c r="I635" s="0" t="s">
        <v>6308</v>
      </c>
      <c r="J635" s="0" t="s">
        <v>6309</v>
      </c>
      <c r="K635" s="0" t="s">
        <v>6310</v>
      </c>
      <c r="L635" s="0" t="n">
        <v>4126308</v>
      </c>
      <c r="M635" s="0" t="s">
        <v>6311</v>
      </c>
      <c r="N635" s="0" t="n">
        <v>3755741</v>
      </c>
      <c r="O635" s="0" t="n">
        <v>4829</v>
      </c>
      <c r="P635" s="0" t="s">
        <v>575</v>
      </c>
      <c r="Q635" s="0" t="s">
        <v>6312</v>
      </c>
      <c r="R635" s="0" t="s">
        <v>6313</v>
      </c>
      <c r="S635" s="0" t="s">
        <v>6314</v>
      </c>
      <c r="T635" s="0" t="s">
        <v>6315</v>
      </c>
      <c r="U635" s="0" t="n">
        <v>0</v>
      </c>
      <c r="V635" s="0" t="n">
        <v>14.3631579775332</v>
      </c>
      <c r="W635" s="0" t="n">
        <v>20241231</v>
      </c>
      <c r="X635" s="0" t="n">
        <v>0.966146562932645</v>
      </c>
      <c r="Y635" s="0" t="s">
        <v>6316</v>
      </c>
      <c r="Z635" s="0" t="s">
        <v>60</v>
      </c>
    </row>
    <row r="636" customFormat="false" ht="15" hidden="false" customHeight="false" outlineLevel="0" collapsed="false">
      <c r="A636" s="0" t="n">
        <v>636</v>
      </c>
      <c r="B636" s="0" t="n">
        <v>3121442</v>
      </c>
      <c r="C636" s="0" t="n">
        <v>4256</v>
      </c>
      <c r="D636" s="0" t="n">
        <v>2726323</v>
      </c>
      <c r="E636" s="0" t="s">
        <v>195</v>
      </c>
      <c r="F636" s="0" t="n">
        <v>223532</v>
      </c>
      <c r="G636" s="0" t="s">
        <v>6317</v>
      </c>
      <c r="H636" s="0" t="s">
        <v>6318</v>
      </c>
      <c r="I636" s="0" t="s">
        <v>6319</v>
      </c>
      <c r="J636" s="0" t="s">
        <v>6320</v>
      </c>
      <c r="K636" s="0" t="s">
        <v>6321</v>
      </c>
      <c r="L636" s="0" t="n">
        <v>2340940</v>
      </c>
      <c r="M636" s="0" t="s">
        <v>6322</v>
      </c>
      <c r="N636" s="0" t="n">
        <v>1846128</v>
      </c>
      <c r="O636" s="0" t="n">
        <v>4248</v>
      </c>
      <c r="P636" s="0" t="s">
        <v>587</v>
      </c>
      <c r="Q636" s="0" t="s">
        <v>6323</v>
      </c>
      <c r="R636" s="0" t="s">
        <v>6324</v>
      </c>
      <c r="S636" s="0" t="s">
        <v>6325</v>
      </c>
      <c r="T636" s="0" t="s">
        <v>6326</v>
      </c>
      <c r="U636" s="0" t="n">
        <v>1020</v>
      </c>
      <c r="V636" s="0" t="n">
        <v>13.1573411623733</v>
      </c>
      <c r="W636" s="0" t="n">
        <v>20241231</v>
      </c>
      <c r="X636" s="0" t="n">
        <v>0.926763449403844</v>
      </c>
      <c r="Y636" s="0" t="s">
        <v>6327</v>
      </c>
      <c r="Z636" s="0" t="s">
        <v>60</v>
      </c>
    </row>
    <row r="637" customFormat="false" ht="15" hidden="false" customHeight="false" outlineLevel="0" collapsed="false">
      <c r="A637" s="0" t="n">
        <v>637</v>
      </c>
      <c r="B637" s="0" t="n">
        <v>708844</v>
      </c>
      <c r="C637" s="0" t="n">
        <v>59086</v>
      </c>
      <c r="D637" s="0" t="n">
        <v>603651</v>
      </c>
      <c r="E637" s="0" t="s">
        <v>1187</v>
      </c>
      <c r="F637" s="0" t="n">
        <v>99876</v>
      </c>
      <c r="G637" s="0" t="s">
        <v>6328</v>
      </c>
      <c r="H637" s="0" t="s">
        <v>6329</v>
      </c>
      <c r="I637" s="0" t="s">
        <v>6330</v>
      </c>
      <c r="J637" s="0" t="s">
        <v>6331</v>
      </c>
      <c r="K637" s="0" t="s">
        <v>61</v>
      </c>
      <c r="L637" s="0" t="n">
        <v>599071</v>
      </c>
      <c r="M637" s="0" t="s">
        <v>6332</v>
      </c>
      <c r="N637" s="0" t="n">
        <v>477361</v>
      </c>
      <c r="O637" s="0" t="n">
        <v>4078</v>
      </c>
      <c r="P637" s="0" t="s">
        <v>599</v>
      </c>
      <c r="Q637" s="0" t="s">
        <v>6333</v>
      </c>
      <c r="R637" s="0" t="s">
        <v>6334</v>
      </c>
      <c r="S637" s="0" t="s">
        <v>6335</v>
      </c>
      <c r="T637" s="0" t="s">
        <v>3779</v>
      </c>
      <c r="U637" s="0" t="n">
        <v>486</v>
      </c>
      <c r="V637" s="0" t="n">
        <v>16.4547485172918</v>
      </c>
      <c r="W637" s="0" t="n">
        <v>20241231</v>
      </c>
      <c r="X637" s="0" t="n">
        <v>1.51475323091527</v>
      </c>
      <c r="Y637" s="0" t="s">
        <v>6336</v>
      </c>
      <c r="Z637" s="0" t="s">
        <v>158</v>
      </c>
    </row>
    <row r="638" customFormat="false" ht="15" hidden="false" customHeight="false" outlineLevel="0" collapsed="false">
      <c r="A638" s="0" t="n">
        <v>638</v>
      </c>
      <c r="B638" s="0" t="n">
        <v>237381</v>
      </c>
      <c r="C638" s="0" t="n">
        <v>59176</v>
      </c>
      <c r="D638" s="0" t="n">
        <v>196927</v>
      </c>
      <c r="E638" s="0" t="s">
        <v>1187</v>
      </c>
      <c r="F638" s="0" t="n">
        <v>27230</v>
      </c>
      <c r="G638" s="0" t="s">
        <v>6337</v>
      </c>
      <c r="H638" s="0" t="s">
        <v>6338</v>
      </c>
      <c r="I638" s="0" t="s">
        <v>6339</v>
      </c>
      <c r="J638" s="0" t="s">
        <v>6340</v>
      </c>
      <c r="K638" s="0" t="s">
        <v>61</v>
      </c>
      <c r="L638" s="0" t="n">
        <v>180752</v>
      </c>
      <c r="M638" s="0" t="s">
        <v>6341</v>
      </c>
      <c r="N638" s="0" t="n">
        <v>156611</v>
      </c>
      <c r="O638" s="0" t="n">
        <v>0</v>
      </c>
      <c r="P638" s="0" t="s">
        <v>610</v>
      </c>
      <c r="Q638" s="0" t="s">
        <v>61</v>
      </c>
      <c r="R638" s="0" t="s">
        <v>6342</v>
      </c>
      <c r="S638" s="0" t="s">
        <v>4540</v>
      </c>
      <c r="T638" s="0" t="s">
        <v>61</v>
      </c>
      <c r="U638" s="0" t="n">
        <v>0</v>
      </c>
      <c r="V638" s="0" t="n">
        <v>0</v>
      </c>
      <c r="W638" s="0" t="n">
        <v>20241231</v>
      </c>
      <c r="X638" s="0" t="n">
        <v>0.113409014371779</v>
      </c>
      <c r="Y638" s="0" t="s">
        <v>256</v>
      </c>
      <c r="Z638" s="0" t="s">
        <v>158</v>
      </c>
    </row>
    <row r="639" customFormat="false" ht="15" hidden="false" customHeight="false" outlineLevel="0" collapsed="false">
      <c r="A639" s="0" t="n">
        <v>639</v>
      </c>
      <c r="B639" s="0" t="n">
        <v>123766</v>
      </c>
      <c r="C639" s="0" t="n">
        <v>59289</v>
      </c>
      <c r="D639" s="0" t="n">
        <v>107030</v>
      </c>
      <c r="E639" s="0" t="s">
        <v>815</v>
      </c>
      <c r="F639" s="0" t="n">
        <v>15858</v>
      </c>
      <c r="G639" s="0" t="s">
        <v>6343</v>
      </c>
      <c r="H639" s="0" t="s">
        <v>6344</v>
      </c>
      <c r="I639" s="0" t="s">
        <v>6345</v>
      </c>
      <c r="J639" s="0" t="s">
        <v>6346</v>
      </c>
      <c r="K639" s="0" t="s">
        <v>61</v>
      </c>
      <c r="L639" s="0" t="n">
        <v>86219</v>
      </c>
      <c r="M639" s="0" t="s">
        <v>6347</v>
      </c>
      <c r="N639" s="0" t="n">
        <v>35426</v>
      </c>
      <c r="O639" s="0" t="n">
        <v>2234</v>
      </c>
      <c r="P639" s="0" t="s">
        <v>2223</v>
      </c>
      <c r="Q639" s="0" t="s">
        <v>6348</v>
      </c>
      <c r="R639" s="0" t="s">
        <v>6349</v>
      </c>
      <c r="S639" s="0" t="s">
        <v>6350</v>
      </c>
      <c r="T639" s="0" t="s">
        <v>6351</v>
      </c>
      <c r="U639" s="0" t="n">
        <v>0</v>
      </c>
      <c r="V639" s="0" t="n">
        <v>0</v>
      </c>
      <c r="W639" s="0" t="n">
        <v>20241231</v>
      </c>
      <c r="X639" s="0" t="n">
        <v>-3.22755669629028</v>
      </c>
      <c r="Y639" s="0" t="s">
        <v>6352</v>
      </c>
      <c r="Z639" s="0" t="s">
        <v>158</v>
      </c>
    </row>
    <row r="640" customFormat="false" ht="15" hidden="false" customHeight="false" outlineLevel="0" collapsed="false">
      <c r="A640" s="0" t="n">
        <v>640</v>
      </c>
      <c r="B640" s="0" t="n">
        <v>261157</v>
      </c>
      <c r="C640" s="0" t="n">
        <v>59298</v>
      </c>
      <c r="D640" s="0" t="n">
        <v>236473</v>
      </c>
      <c r="E640" s="0" t="s">
        <v>2210</v>
      </c>
      <c r="F640" s="0" t="n">
        <v>23720</v>
      </c>
      <c r="G640" s="0" t="s">
        <v>6353</v>
      </c>
      <c r="H640" s="0" t="s">
        <v>6354</v>
      </c>
      <c r="I640" s="0" t="s">
        <v>6355</v>
      </c>
      <c r="J640" s="0" t="s">
        <v>6356</v>
      </c>
      <c r="K640" s="0" t="s">
        <v>61</v>
      </c>
      <c r="L640" s="0" t="n">
        <v>137574</v>
      </c>
      <c r="M640" s="0" t="s">
        <v>6357</v>
      </c>
      <c r="N640" s="0" t="n">
        <v>105764</v>
      </c>
      <c r="O640" s="0" t="n">
        <v>0</v>
      </c>
      <c r="P640" s="0" t="s">
        <v>1684</v>
      </c>
      <c r="Q640" s="0" t="s">
        <v>61</v>
      </c>
      <c r="R640" s="0" t="s">
        <v>6358</v>
      </c>
      <c r="S640" s="0" t="s">
        <v>61</v>
      </c>
      <c r="T640" s="0" t="s">
        <v>61</v>
      </c>
      <c r="U640" s="0" t="n">
        <v>0</v>
      </c>
      <c r="V640" s="0" t="n">
        <v>17.5772477993456</v>
      </c>
      <c r="W640" s="0" t="n">
        <v>20241231</v>
      </c>
      <c r="X640" s="0" t="n">
        <v>-0.940503539781518</v>
      </c>
      <c r="Y640" s="0" t="s">
        <v>6359</v>
      </c>
      <c r="Z640" s="0" t="s">
        <v>98</v>
      </c>
    </row>
    <row r="641" customFormat="false" ht="15" hidden="false" customHeight="false" outlineLevel="0" collapsed="false">
      <c r="A641" s="0" t="n">
        <v>641</v>
      </c>
      <c r="B641" s="0" t="n">
        <v>1248213</v>
      </c>
      <c r="C641" s="0" t="n">
        <v>6271</v>
      </c>
      <c r="D641" s="0" t="n">
        <v>1002714</v>
      </c>
      <c r="E641" s="0" t="s">
        <v>85</v>
      </c>
      <c r="F641" s="0" t="n">
        <v>110120</v>
      </c>
      <c r="G641" s="0" t="s">
        <v>6360</v>
      </c>
      <c r="H641" s="0" t="s">
        <v>6361</v>
      </c>
      <c r="I641" s="0" t="s">
        <v>6362</v>
      </c>
      <c r="J641" s="0" t="s">
        <v>6363</v>
      </c>
      <c r="K641" s="0" t="s">
        <v>6364</v>
      </c>
      <c r="L641" s="0" t="n">
        <v>928589</v>
      </c>
      <c r="M641" s="0" t="s">
        <v>6365</v>
      </c>
      <c r="N641" s="0" t="n">
        <v>726591</v>
      </c>
      <c r="O641" s="0" t="n">
        <v>8338</v>
      </c>
      <c r="P641" s="0" t="s">
        <v>621</v>
      </c>
      <c r="Q641" s="0" t="s">
        <v>6366</v>
      </c>
      <c r="R641" s="0" t="s">
        <v>6367</v>
      </c>
      <c r="S641" s="0" t="s">
        <v>6368</v>
      </c>
      <c r="T641" s="0" t="s">
        <v>6369</v>
      </c>
      <c r="U641" s="0" t="n">
        <v>806</v>
      </c>
      <c r="V641" s="0" t="n">
        <v>14.7627252333487</v>
      </c>
      <c r="W641" s="0" t="n">
        <v>20241231</v>
      </c>
      <c r="X641" s="0" t="n">
        <v>1.22232640966748</v>
      </c>
      <c r="Y641" s="0" t="s">
        <v>6370</v>
      </c>
      <c r="Z641" s="0" t="s">
        <v>98</v>
      </c>
    </row>
    <row r="642" customFormat="false" ht="15" hidden="false" customHeight="false" outlineLevel="0" collapsed="false">
      <c r="A642" s="0" t="n">
        <v>642</v>
      </c>
      <c r="B642" s="0" t="n">
        <v>547799</v>
      </c>
      <c r="C642" s="0" t="n">
        <v>6275</v>
      </c>
      <c r="D642" s="0" t="n">
        <v>491990</v>
      </c>
      <c r="E642" s="0" t="s">
        <v>794</v>
      </c>
      <c r="F642" s="0" t="n">
        <v>33538</v>
      </c>
      <c r="G642" s="0" t="s">
        <v>6371</v>
      </c>
      <c r="H642" s="0" t="s">
        <v>6372</v>
      </c>
      <c r="I642" s="0" t="s">
        <v>6373</v>
      </c>
      <c r="J642" s="0" t="s">
        <v>6374</v>
      </c>
      <c r="K642" s="0" t="s">
        <v>6375</v>
      </c>
      <c r="L642" s="0" t="n">
        <v>348836</v>
      </c>
      <c r="M642" s="0" t="s">
        <v>6376</v>
      </c>
      <c r="N642" s="0" t="n">
        <v>295604</v>
      </c>
      <c r="O642" s="0" t="n">
        <v>694</v>
      </c>
      <c r="P642" s="0" t="s">
        <v>633</v>
      </c>
      <c r="Q642" s="0" t="s">
        <v>6377</v>
      </c>
      <c r="R642" s="0" t="s">
        <v>6378</v>
      </c>
      <c r="S642" s="0" t="s">
        <v>4253</v>
      </c>
      <c r="T642" s="0" t="s">
        <v>6379</v>
      </c>
      <c r="U642" s="0" t="n">
        <v>135</v>
      </c>
      <c r="V642" s="0" t="n">
        <v>15.4276600675766</v>
      </c>
      <c r="W642" s="0" t="n">
        <v>20241231</v>
      </c>
      <c r="X642" s="0" t="n">
        <v>0.621758716658391</v>
      </c>
      <c r="Y642" s="0" t="s">
        <v>2640</v>
      </c>
      <c r="Z642" s="0" t="s">
        <v>98</v>
      </c>
    </row>
    <row r="643" customFormat="false" ht="15" hidden="false" customHeight="false" outlineLevel="0" collapsed="false">
      <c r="A643" s="0" t="n">
        <v>643</v>
      </c>
      <c r="B643" s="0" t="n">
        <v>87669</v>
      </c>
      <c r="C643" s="0" t="n">
        <v>6280</v>
      </c>
      <c r="D643" s="0" t="n">
        <v>77381</v>
      </c>
      <c r="E643" s="0" t="s">
        <v>47</v>
      </c>
      <c r="F643" s="0" t="n">
        <v>9723</v>
      </c>
      <c r="G643" s="0" t="s">
        <v>6380</v>
      </c>
      <c r="H643" s="0" t="s">
        <v>6381</v>
      </c>
      <c r="I643" s="0" t="s">
        <v>6382</v>
      </c>
      <c r="J643" s="0" t="s">
        <v>6383</v>
      </c>
      <c r="K643" s="0" t="s">
        <v>6384</v>
      </c>
      <c r="L643" s="0" t="n">
        <v>70864</v>
      </c>
      <c r="M643" s="0" t="s">
        <v>6385</v>
      </c>
      <c r="N643" s="0" t="n">
        <v>63247</v>
      </c>
      <c r="O643" s="0" t="n">
        <v>1616</v>
      </c>
      <c r="P643" s="0" t="s">
        <v>644</v>
      </c>
      <c r="Q643" s="0" t="s">
        <v>6386</v>
      </c>
      <c r="R643" s="0" t="s">
        <v>6387</v>
      </c>
      <c r="S643" s="0" t="s">
        <v>3244</v>
      </c>
      <c r="T643" s="0" t="s">
        <v>6388</v>
      </c>
      <c r="U643" s="0" t="n">
        <v>0</v>
      </c>
      <c r="V643" s="0" t="n">
        <v>0</v>
      </c>
      <c r="W643" s="0" t="n">
        <v>20241231</v>
      </c>
      <c r="X643" s="0" t="n">
        <v>1.33537142523864</v>
      </c>
      <c r="Y643" s="0" t="s">
        <v>6389</v>
      </c>
      <c r="Z643" s="0" t="s">
        <v>98</v>
      </c>
    </row>
    <row r="644" customFormat="false" ht="15" hidden="false" customHeight="false" outlineLevel="0" collapsed="false">
      <c r="A644" s="0" t="n">
        <v>644</v>
      </c>
      <c r="B644" s="0" t="n">
        <v>4058800</v>
      </c>
      <c r="C644" s="0" t="n">
        <v>11971</v>
      </c>
      <c r="D644" s="0" t="n">
        <v>3305747</v>
      </c>
      <c r="E644" s="0" t="s">
        <v>172</v>
      </c>
      <c r="F644" s="0" t="n">
        <v>500720</v>
      </c>
      <c r="G644" s="0" t="s">
        <v>6390</v>
      </c>
      <c r="H644" s="0" t="s">
        <v>6391</v>
      </c>
      <c r="I644" s="0" t="s">
        <v>6392</v>
      </c>
      <c r="J644" s="0" t="s">
        <v>6393</v>
      </c>
      <c r="K644" s="0" t="s">
        <v>6394</v>
      </c>
      <c r="L644" s="0" t="n">
        <v>3125754</v>
      </c>
      <c r="M644" s="0" t="s">
        <v>6395</v>
      </c>
      <c r="N644" s="0" t="n">
        <v>2780638</v>
      </c>
      <c r="O644" s="0" t="n">
        <v>8085</v>
      </c>
      <c r="P644" s="0" t="s">
        <v>54</v>
      </c>
      <c r="Q644" s="0" t="s">
        <v>6396</v>
      </c>
      <c r="R644" s="0" t="s">
        <v>6397</v>
      </c>
      <c r="S644" s="0" t="s">
        <v>3005</v>
      </c>
      <c r="T644" s="0" t="s">
        <v>6398</v>
      </c>
      <c r="U644" s="0" t="n">
        <v>2</v>
      </c>
      <c r="V644" s="0" t="n">
        <v>13.6146361419019</v>
      </c>
      <c r="W644" s="0" t="n">
        <v>20250331</v>
      </c>
      <c r="X644" s="0" t="n">
        <v>1.15455749971395</v>
      </c>
      <c r="Y644" s="0" t="s">
        <v>1751</v>
      </c>
      <c r="Z644" s="0" t="s">
        <v>60</v>
      </c>
    </row>
    <row r="645" customFormat="false" ht="15" hidden="false" customHeight="false" outlineLevel="0" collapsed="false">
      <c r="A645" s="0" t="n">
        <v>645</v>
      </c>
      <c r="B645" s="0" t="n">
        <v>1079094</v>
      </c>
      <c r="C645" s="0" t="n">
        <v>12874</v>
      </c>
      <c r="D645" s="0" t="n">
        <v>929947</v>
      </c>
      <c r="E645" s="0" t="s">
        <v>794</v>
      </c>
      <c r="F645" s="0" t="n">
        <v>99521</v>
      </c>
      <c r="G645" s="0" t="s">
        <v>6399</v>
      </c>
      <c r="H645" s="0" t="s">
        <v>6400</v>
      </c>
      <c r="I645" s="0" t="s">
        <v>6401</v>
      </c>
      <c r="J645" s="0" t="s">
        <v>6402</v>
      </c>
      <c r="K645" s="0" t="s">
        <v>6403</v>
      </c>
      <c r="L645" s="0" t="n">
        <v>853286</v>
      </c>
      <c r="M645" s="0" t="s">
        <v>6404</v>
      </c>
      <c r="N645" s="0" t="n">
        <v>668513</v>
      </c>
      <c r="O645" s="0" t="n">
        <v>1396</v>
      </c>
      <c r="P645" s="0" t="s">
        <v>68</v>
      </c>
      <c r="Q645" s="0" t="s">
        <v>6405</v>
      </c>
      <c r="R645" s="0" t="s">
        <v>6406</v>
      </c>
      <c r="S645" s="0" t="s">
        <v>478</v>
      </c>
      <c r="T645" s="0" t="s">
        <v>6407</v>
      </c>
      <c r="U645" s="0" t="n">
        <v>11</v>
      </c>
      <c r="V645" s="0" t="n">
        <v>15.5622111834708</v>
      </c>
      <c r="W645" s="0" t="n">
        <v>20250331</v>
      </c>
      <c r="X645" s="0" t="n">
        <v>0.913939100696902</v>
      </c>
      <c r="Y645" s="0" t="s">
        <v>6408</v>
      </c>
      <c r="Z645" s="0" t="s">
        <v>60</v>
      </c>
    </row>
    <row r="646" customFormat="false" ht="15" hidden="false" customHeight="false" outlineLevel="0" collapsed="false">
      <c r="A646" s="0" t="n">
        <v>646</v>
      </c>
      <c r="B646" s="0" t="n">
        <v>1900245</v>
      </c>
      <c r="C646" s="0" t="n">
        <v>13063</v>
      </c>
      <c r="D646" s="0" t="n">
        <v>1610029</v>
      </c>
      <c r="E646" s="0" t="s">
        <v>172</v>
      </c>
      <c r="F646" s="0" t="n">
        <v>160439</v>
      </c>
      <c r="G646" s="0" t="s">
        <v>6409</v>
      </c>
      <c r="H646" s="0" t="s">
        <v>6410</v>
      </c>
      <c r="I646" s="0" t="s">
        <v>6411</v>
      </c>
      <c r="J646" s="0" t="s">
        <v>6412</v>
      </c>
      <c r="K646" s="0" t="s">
        <v>6413</v>
      </c>
      <c r="L646" s="0" t="n">
        <v>1529827</v>
      </c>
      <c r="M646" s="0" t="s">
        <v>6414</v>
      </c>
      <c r="N646" s="0" t="n">
        <v>1448578</v>
      </c>
      <c r="O646" s="0" t="n">
        <v>1033</v>
      </c>
      <c r="P646" s="0" t="s">
        <v>80</v>
      </c>
      <c r="Q646" s="0" t="s">
        <v>6415</v>
      </c>
      <c r="R646" s="0" t="s">
        <v>6416</v>
      </c>
      <c r="S646" s="0" t="s">
        <v>1556</v>
      </c>
      <c r="T646" s="0" t="s">
        <v>6417</v>
      </c>
      <c r="U646" s="0" t="n">
        <v>0</v>
      </c>
      <c r="V646" s="0" t="n">
        <v>0</v>
      </c>
      <c r="W646" s="0" t="n">
        <v>20250331</v>
      </c>
      <c r="X646" s="0" t="n">
        <v>0.573300747201974</v>
      </c>
      <c r="Y646" s="0" t="s">
        <v>6418</v>
      </c>
      <c r="Z646" s="0" t="s">
        <v>60</v>
      </c>
    </row>
    <row r="647" customFormat="false" ht="15" hidden="false" customHeight="false" outlineLevel="0" collapsed="false">
      <c r="A647" s="0" t="n">
        <v>647</v>
      </c>
      <c r="B647" s="0" t="n">
        <v>879312</v>
      </c>
      <c r="C647" s="0" t="n">
        <v>14134</v>
      </c>
      <c r="D647" s="0" t="n">
        <v>701672</v>
      </c>
      <c r="E647" s="0" t="s">
        <v>47</v>
      </c>
      <c r="F647" s="0" t="n">
        <v>113111</v>
      </c>
      <c r="G647" s="0" t="s">
        <v>6419</v>
      </c>
      <c r="H647" s="0" t="s">
        <v>6420</v>
      </c>
      <c r="I647" s="0" t="s">
        <v>6421</v>
      </c>
      <c r="J647" s="0" t="s">
        <v>6422</v>
      </c>
      <c r="K647" s="0" t="s">
        <v>6423</v>
      </c>
      <c r="L647" s="0" t="n">
        <v>628000</v>
      </c>
      <c r="M647" s="0" t="s">
        <v>6424</v>
      </c>
      <c r="N647" s="0" t="n">
        <v>556523</v>
      </c>
      <c r="O647" s="0" t="n">
        <v>2972</v>
      </c>
      <c r="P647" s="0" t="s">
        <v>92</v>
      </c>
      <c r="Q647" s="0" t="s">
        <v>6425</v>
      </c>
      <c r="R647" s="0" t="s">
        <v>6426</v>
      </c>
      <c r="S647" s="0" t="s">
        <v>4588</v>
      </c>
      <c r="T647" s="0" t="s">
        <v>6427</v>
      </c>
      <c r="U647" s="0" t="n">
        <v>0</v>
      </c>
      <c r="V647" s="0" t="n">
        <v>20.4880433281027</v>
      </c>
      <c r="W647" s="0" t="n">
        <v>20250331</v>
      </c>
      <c r="X647" s="0" t="n">
        <v>0.0433067891286426</v>
      </c>
      <c r="Y647" s="0" t="s">
        <v>614</v>
      </c>
      <c r="Z647" s="0" t="s">
        <v>98</v>
      </c>
    </row>
    <row r="648" customFormat="false" ht="15" hidden="false" customHeight="false" outlineLevel="0" collapsed="false">
      <c r="A648" s="0" t="n">
        <v>648</v>
      </c>
      <c r="B648" s="0" t="n">
        <v>238304</v>
      </c>
      <c r="C648" s="0" t="n">
        <v>14136</v>
      </c>
      <c r="D648" s="0" t="n">
        <v>203853</v>
      </c>
      <c r="E648" s="0" t="s">
        <v>390</v>
      </c>
      <c r="F648" s="0" t="n">
        <v>20010</v>
      </c>
      <c r="G648" s="0" t="s">
        <v>6428</v>
      </c>
      <c r="H648" s="0" t="s">
        <v>6429</v>
      </c>
      <c r="I648" s="0" t="s">
        <v>6430</v>
      </c>
      <c r="J648" s="0" t="s">
        <v>6431</v>
      </c>
      <c r="K648" s="0" t="s">
        <v>6432</v>
      </c>
      <c r="L648" s="0" t="n">
        <v>159676</v>
      </c>
      <c r="M648" s="0" t="s">
        <v>6433</v>
      </c>
      <c r="N648" s="0" t="n">
        <v>129094</v>
      </c>
      <c r="O648" s="0" t="n">
        <v>519</v>
      </c>
      <c r="P648" s="0" t="s">
        <v>105</v>
      </c>
      <c r="Q648" s="0" t="s">
        <v>6434</v>
      </c>
      <c r="R648" s="0" t="s">
        <v>6435</v>
      </c>
      <c r="S648" s="0" t="s">
        <v>95</v>
      </c>
      <c r="T648" s="0" t="s">
        <v>6436</v>
      </c>
      <c r="U648" s="0" t="n">
        <v>457</v>
      </c>
      <c r="V648" s="0" t="n">
        <v>18.5712691001977</v>
      </c>
      <c r="W648" s="0" t="n">
        <v>20250331</v>
      </c>
      <c r="X648" s="0" t="n">
        <v>0.650403771333496</v>
      </c>
      <c r="Y648" s="0" t="s">
        <v>73</v>
      </c>
      <c r="Z648" s="0" t="s">
        <v>98</v>
      </c>
    </row>
    <row r="649" customFormat="false" ht="15" hidden="false" customHeight="false" outlineLevel="0" collapsed="false">
      <c r="A649" s="0" t="n">
        <v>649</v>
      </c>
      <c r="B649" s="0" t="n">
        <v>1555515</v>
      </c>
      <c r="C649" s="0" t="n">
        <v>14140</v>
      </c>
      <c r="D649" s="0" t="n">
        <v>1282177</v>
      </c>
      <c r="E649" s="0" t="s">
        <v>172</v>
      </c>
      <c r="F649" s="0" t="n">
        <v>138738</v>
      </c>
      <c r="G649" s="0" t="s">
        <v>6437</v>
      </c>
      <c r="H649" s="0" t="s">
        <v>6438</v>
      </c>
      <c r="I649" s="0" t="s">
        <v>6439</v>
      </c>
      <c r="J649" s="0" t="s">
        <v>6440</v>
      </c>
      <c r="K649" s="0" t="s">
        <v>6441</v>
      </c>
      <c r="L649" s="0" t="n">
        <v>1097749</v>
      </c>
      <c r="M649" s="0" t="s">
        <v>6442</v>
      </c>
      <c r="N649" s="0" t="n">
        <v>973336</v>
      </c>
      <c r="O649" s="0" t="n">
        <v>6970</v>
      </c>
      <c r="P649" s="0" t="s">
        <v>117</v>
      </c>
      <c r="Q649" s="0" t="s">
        <v>6443</v>
      </c>
      <c r="R649" s="0" t="s">
        <v>6444</v>
      </c>
      <c r="S649" s="0" t="s">
        <v>1018</v>
      </c>
      <c r="T649" s="0" t="s">
        <v>6445</v>
      </c>
      <c r="U649" s="0" t="n">
        <v>0</v>
      </c>
      <c r="V649" s="0" t="n">
        <v>0</v>
      </c>
      <c r="W649" s="0" t="n">
        <v>20250331</v>
      </c>
      <c r="X649" s="0" t="n">
        <v>0.225060383816591</v>
      </c>
      <c r="Y649" s="0" t="s">
        <v>6446</v>
      </c>
      <c r="Z649" s="0" t="s">
        <v>98</v>
      </c>
    </row>
    <row r="650" customFormat="false" ht="15" hidden="false" customHeight="false" outlineLevel="0" collapsed="false">
      <c r="A650" s="0" t="n">
        <v>650</v>
      </c>
      <c r="B650" s="0" t="n">
        <v>1524011</v>
      </c>
      <c r="C650" s="0" t="n">
        <v>14158</v>
      </c>
      <c r="D650" s="0" t="n">
        <v>1185295</v>
      </c>
      <c r="E650" s="0" t="s">
        <v>172</v>
      </c>
      <c r="F650" s="0" t="n">
        <v>85660</v>
      </c>
      <c r="G650" s="0" t="s">
        <v>6447</v>
      </c>
      <c r="H650" s="0" t="s">
        <v>6448</v>
      </c>
      <c r="I650" s="0" t="s">
        <v>6449</v>
      </c>
      <c r="J650" s="0" t="s">
        <v>6450</v>
      </c>
      <c r="K650" s="0" t="s">
        <v>6451</v>
      </c>
      <c r="L650" s="0" t="n">
        <v>1167376</v>
      </c>
      <c r="M650" s="0" t="s">
        <v>6452</v>
      </c>
      <c r="N650" s="0" t="n">
        <v>1013094</v>
      </c>
      <c r="O650" s="0" t="n">
        <v>14964</v>
      </c>
      <c r="P650" s="0" t="s">
        <v>129</v>
      </c>
      <c r="Q650" s="0" t="s">
        <v>6453</v>
      </c>
      <c r="R650" s="0" t="s">
        <v>6454</v>
      </c>
      <c r="S650" s="0" t="s">
        <v>352</v>
      </c>
      <c r="T650" s="0" t="s">
        <v>6455</v>
      </c>
      <c r="U650" s="0" t="n">
        <v>25</v>
      </c>
      <c r="V650" s="0" t="n">
        <v>12.5706891302142</v>
      </c>
      <c r="W650" s="0" t="n">
        <v>20250331</v>
      </c>
      <c r="X650" s="0" t="n">
        <v>0.711495375706064</v>
      </c>
      <c r="Y650" s="0" t="s">
        <v>6456</v>
      </c>
      <c r="Z650" s="0" t="s">
        <v>98</v>
      </c>
    </row>
    <row r="651" customFormat="false" ht="15" hidden="false" customHeight="false" outlineLevel="0" collapsed="false">
      <c r="A651" s="0" t="n">
        <v>651</v>
      </c>
      <c r="B651" s="0" t="n">
        <v>374654</v>
      </c>
      <c r="C651" s="0" t="n">
        <v>14168</v>
      </c>
      <c r="D651" s="0" t="n">
        <v>330872</v>
      </c>
      <c r="E651" s="0" t="s">
        <v>1187</v>
      </c>
      <c r="F651" s="0" t="n">
        <v>38318</v>
      </c>
      <c r="G651" s="0" t="s">
        <v>6457</v>
      </c>
      <c r="H651" s="0" t="s">
        <v>6458</v>
      </c>
      <c r="I651" s="0" t="s">
        <v>6459</v>
      </c>
      <c r="J651" s="0" t="s">
        <v>6460</v>
      </c>
      <c r="K651" s="0" t="s">
        <v>6461</v>
      </c>
      <c r="L651" s="0" t="n">
        <v>273066</v>
      </c>
      <c r="M651" s="0" t="s">
        <v>6462</v>
      </c>
      <c r="N651" s="0" t="n">
        <v>233845</v>
      </c>
      <c r="O651" s="0" t="n">
        <v>890</v>
      </c>
      <c r="P651" s="0" t="s">
        <v>140</v>
      </c>
      <c r="Q651" s="0" t="s">
        <v>6463</v>
      </c>
      <c r="R651" s="0" t="s">
        <v>6464</v>
      </c>
      <c r="S651" s="0" t="s">
        <v>120</v>
      </c>
      <c r="T651" s="0" t="s">
        <v>6465</v>
      </c>
      <c r="U651" s="0" t="n">
        <v>0</v>
      </c>
      <c r="V651" s="0" t="n">
        <v>16.7121276852126</v>
      </c>
      <c r="W651" s="0" t="n">
        <v>20250331</v>
      </c>
      <c r="X651" s="0" t="n">
        <v>0.938635242635329</v>
      </c>
      <c r="Y651" s="0" t="s">
        <v>6466</v>
      </c>
      <c r="Z651" s="0" t="s">
        <v>98</v>
      </c>
    </row>
    <row r="652" customFormat="false" ht="15" hidden="false" customHeight="false" outlineLevel="0" collapsed="false">
      <c r="A652" s="0" t="n">
        <v>652</v>
      </c>
      <c r="B652" s="0" t="n">
        <v>1063675</v>
      </c>
      <c r="C652" s="0" t="n">
        <v>17115</v>
      </c>
      <c r="D652" s="0" t="n">
        <v>802777</v>
      </c>
      <c r="E652" s="0" t="s">
        <v>246</v>
      </c>
      <c r="F652" s="0" t="n">
        <v>95052</v>
      </c>
      <c r="G652" s="0" t="s">
        <v>6467</v>
      </c>
      <c r="H652" s="0" t="s">
        <v>6468</v>
      </c>
      <c r="I652" s="0" t="s">
        <v>6469</v>
      </c>
      <c r="J652" s="0" t="s">
        <v>6470</v>
      </c>
      <c r="K652" s="0" t="s">
        <v>6471</v>
      </c>
      <c r="L652" s="0" t="n">
        <v>878855</v>
      </c>
      <c r="M652" s="0" t="s">
        <v>6472</v>
      </c>
      <c r="N652" s="0" t="n">
        <v>833023</v>
      </c>
      <c r="O652" s="0" t="n">
        <v>2554</v>
      </c>
      <c r="P652" s="0" t="s">
        <v>166</v>
      </c>
      <c r="Q652" s="0" t="s">
        <v>6473</v>
      </c>
      <c r="R652" s="0" t="s">
        <v>6474</v>
      </c>
      <c r="S652" s="0" t="s">
        <v>6475</v>
      </c>
      <c r="T652" s="0" t="s">
        <v>636</v>
      </c>
      <c r="U652" s="0" t="n">
        <v>0</v>
      </c>
      <c r="V652" s="0" t="n">
        <v>14.7757448270835</v>
      </c>
      <c r="W652" s="0" t="n">
        <v>20250331</v>
      </c>
      <c r="X652" s="0" t="n">
        <v>0.546340907417917</v>
      </c>
      <c r="Y652" s="0" t="s">
        <v>6476</v>
      </c>
      <c r="Z652" s="0" t="s">
        <v>60</v>
      </c>
    </row>
    <row r="653" customFormat="false" ht="15" hidden="false" customHeight="false" outlineLevel="0" collapsed="false">
      <c r="A653" s="0" t="n">
        <v>653</v>
      </c>
      <c r="B653" s="0" t="n">
        <v>1590319</v>
      </c>
      <c r="C653" s="0" t="n">
        <v>17180</v>
      </c>
      <c r="D653" s="0" t="n">
        <v>1298331</v>
      </c>
      <c r="E653" s="0" t="s">
        <v>390</v>
      </c>
      <c r="F653" s="0" t="n">
        <v>145819</v>
      </c>
      <c r="G653" s="0" t="s">
        <v>6477</v>
      </c>
      <c r="H653" s="0" t="s">
        <v>6478</v>
      </c>
      <c r="I653" s="0" t="s">
        <v>6479</v>
      </c>
      <c r="J653" s="0" t="s">
        <v>6480</v>
      </c>
      <c r="K653" s="0" t="s">
        <v>6481</v>
      </c>
      <c r="L653" s="0" t="n">
        <v>1397284</v>
      </c>
      <c r="M653" s="0" t="s">
        <v>6482</v>
      </c>
      <c r="N653" s="0" t="n">
        <v>1173253</v>
      </c>
      <c r="O653" s="0" t="n">
        <v>5853</v>
      </c>
      <c r="P653" s="0" t="s">
        <v>179</v>
      </c>
      <c r="Q653" s="0" t="s">
        <v>6483</v>
      </c>
      <c r="R653" s="0" t="s">
        <v>6484</v>
      </c>
      <c r="S653" s="0" t="s">
        <v>3333</v>
      </c>
      <c r="T653" s="0" t="s">
        <v>6485</v>
      </c>
      <c r="U653" s="0" t="n">
        <v>20</v>
      </c>
      <c r="V653" s="0" t="n">
        <v>15.9873302996545</v>
      </c>
      <c r="W653" s="0" t="n">
        <v>20250331</v>
      </c>
      <c r="X653" s="0" t="n">
        <v>0.303152256904612</v>
      </c>
      <c r="Y653" s="0" t="s">
        <v>6486</v>
      </c>
      <c r="Z653" s="0" t="s">
        <v>158</v>
      </c>
    </row>
    <row r="654" customFormat="false" ht="15" hidden="false" customHeight="false" outlineLevel="0" collapsed="false">
      <c r="A654" s="0" t="n">
        <v>654</v>
      </c>
      <c r="B654" s="0" t="n">
        <v>363289</v>
      </c>
      <c r="C654" s="0" t="n">
        <v>17443</v>
      </c>
      <c r="D654" s="0" t="n">
        <v>297631</v>
      </c>
      <c r="E654" s="0" t="s">
        <v>259</v>
      </c>
      <c r="F654" s="0" t="n">
        <v>39494</v>
      </c>
      <c r="G654" s="0" t="s">
        <v>6487</v>
      </c>
      <c r="H654" s="0" t="s">
        <v>6488</v>
      </c>
      <c r="I654" s="0" t="s">
        <v>6489</v>
      </c>
      <c r="J654" s="0" t="s">
        <v>61</v>
      </c>
      <c r="K654" s="0" t="s">
        <v>6490</v>
      </c>
      <c r="L654" s="0" t="n">
        <v>198505</v>
      </c>
      <c r="M654" s="0" t="s">
        <v>6491</v>
      </c>
      <c r="N654" s="0" t="n">
        <v>196634</v>
      </c>
      <c r="O654" s="0" t="n">
        <v>931</v>
      </c>
      <c r="P654" s="0" t="s">
        <v>190</v>
      </c>
      <c r="Q654" s="0" t="s">
        <v>6492</v>
      </c>
      <c r="R654" s="0" t="s">
        <v>6493</v>
      </c>
      <c r="S654" s="0" t="s">
        <v>61</v>
      </c>
      <c r="T654" s="0" t="s">
        <v>6494</v>
      </c>
      <c r="U654" s="0" t="n">
        <v>0</v>
      </c>
      <c r="V654" s="0" t="n">
        <v>0</v>
      </c>
      <c r="W654" s="0" t="n">
        <v>20250331</v>
      </c>
      <c r="X654" s="0" t="n">
        <v>-0.539368227736928</v>
      </c>
      <c r="Y654" s="0" t="s">
        <v>6495</v>
      </c>
      <c r="Z654" s="0" t="s">
        <v>158</v>
      </c>
    </row>
    <row r="655" customFormat="false" ht="15" hidden="false" customHeight="false" outlineLevel="0" collapsed="false">
      <c r="A655" s="0" t="n">
        <v>655</v>
      </c>
      <c r="B655" s="0" t="n">
        <v>2028519</v>
      </c>
      <c r="C655" s="0" t="n">
        <v>17658</v>
      </c>
      <c r="D655" s="0" t="n">
        <v>1589312</v>
      </c>
      <c r="E655" s="0" t="s">
        <v>1393</v>
      </c>
      <c r="F655" s="0" t="n">
        <v>229958</v>
      </c>
      <c r="G655" s="0" t="s">
        <v>6496</v>
      </c>
      <c r="H655" s="0" t="s">
        <v>6497</v>
      </c>
      <c r="I655" s="0" t="s">
        <v>6498</v>
      </c>
      <c r="J655" s="0" t="s">
        <v>6499</v>
      </c>
      <c r="K655" s="0" t="s">
        <v>6500</v>
      </c>
      <c r="L655" s="0" t="n">
        <v>1450096</v>
      </c>
      <c r="M655" s="0" t="s">
        <v>6501</v>
      </c>
      <c r="N655" s="0" t="n">
        <v>1246975</v>
      </c>
      <c r="O655" s="0" t="n">
        <v>10604</v>
      </c>
      <c r="P655" s="0" t="s">
        <v>202</v>
      </c>
      <c r="Q655" s="0" t="s">
        <v>6502</v>
      </c>
      <c r="R655" s="0" t="s">
        <v>6503</v>
      </c>
      <c r="S655" s="0" t="s">
        <v>4137</v>
      </c>
      <c r="T655" s="0" t="s">
        <v>6504</v>
      </c>
      <c r="U655" s="0" t="n">
        <v>43</v>
      </c>
      <c r="V655" s="0" t="n">
        <v>0</v>
      </c>
      <c r="W655" s="0" t="n">
        <v>20250331</v>
      </c>
      <c r="X655" s="0" t="n">
        <v>0.336900288366337</v>
      </c>
      <c r="Y655" s="0" t="s">
        <v>83</v>
      </c>
      <c r="Z655" s="0" t="s">
        <v>60</v>
      </c>
    </row>
    <row r="656" customFormat="false" ht="15" hidden="false" customHeight="false" outlineLevel="0" collapsed="false">
      <c r="A656" s="0" t="n">
        <v>656</v>
      </c>
      <c r="B656" s="0" t="n">
        <v>2702374</v>
      </c>
      <c r="C656" s="0" t="n">
        <v>17741</v>
      </c>
      <c r="D656" s="0" t="n">
        <v>2270619</v>
      </c>
      <c r="E656" s="0" t="s">
        <v>2002</v>
      </c>
      <c r="F656" s="0" t="n">
        <v>244064</v>
      </c>
      <c r="G656" s="0" t="s">
        <v>6505</v>
      </c>
      <c r="H656" s="0" t="s">
        <v>6506</v>
      </c>
      <c r="I656" s="0" t="s">
        <v>6507</v>
      </c>
      <c r="J656" s="0" t="s">
        <v>6508</v>
      </c>
      <c r="K656" s="0" t="s">
        <v>6509</v>
      </c>
      <c r="L656" s="0" t="n">
        <v>2221970</v>
      </c>
      <c r="M656" s="0" t="s">
        <v>6510</v>
      </c>
      <c r="N656" s="0" t="n">
        <v>1950768</v>
      </c>
      <c r="O656" s="0" t="n">
        <v>9808</v>
      </c>
      <c r="P656" s="0" t="s">
        <v>215</v>
      </c>
      <c r="Q656" s="0" t="s">
        <v>6511</v>
      </c>
      <c r="R656" s="0" t="s">
        <v>6512</v>
      </c>
      <c r="S656" s="0" t="s">
        <v>2061</v>
      </c>
      <c r="T656" s="0" t="s">
        <v>6513</v>
      </c>
      <c r="U656" s="0" t="n">
        <v>0</v>
      </c>
      <c r="V656" s="0" t="n">
        <v>0</v>
      </c>
      <c r="W656" s="0" t="n">
        <v>20250331</v>
      </c>
      <c r="X656" s="0" t="n">
        <v>0.637665297546565</v>
      </c>
      <c r="Y656" s="0" t="s">
        <v>6514</v>
      </c>
      <c r="Z656" s="0" t="s">
        <v>60</v>
      </c>
    </row>
    <row r="657" customFormat="false" ht="15" hidden="false" customHeight="false" outlineLevel="0" collapsed="false">
      <c r="A657" s="0" t="n">
        <v>657</v>
      </c>
      <c r="B657" s="0" t="n">
        <v>1421036</v>
      </c>
      <c r="C657" s="0" t="n">
        <v>17743</v>
      </c>
      <c r="D657" s="0" t="n">
        <v>1011028</v>
      </c>
      <c r="E657" s="0" t="s">
        <v>61</v>
      </c>
      <c r="F657" s="0" t="n">
        <v>126472</v>
      </c>
      <c r="G657" s="0" t="s">
        <v>6515</v>
      </c>
      <c r="H657" s="0" t="s">
        <v>6516</v>
      </c>
      <c r="I657" s="0" t="s">
        <v>6517</v>
      </c>
      <c r="J657" s="0" t="s">
        <v>6518</v>
      </c>
      <c r="K657" s="0" t="s">
        <v>6519</v>
      </c>
      <c r="L657" s="0" t="n">
        <v>1133534</v>
      </c>
      <c r="M657" s="0" t="s">
        <v>6520</v>
      </c>
      <c r="N657" s="0" t="n">
        <v>1096181</v>
      </c>
      <c r="O657" s="0" t="n">
        <v>757</v>
      </c>
      <c r="P657" s="0" t="s">
        <v>227</v>
      </c>
      <c r="Q657" s="0" t="s">
        <v>6521</v>
      </c>
      <c r="R657" s="0" t="s">
        <v>6522</v>
      </c>
      <c r="S657" s="0" t="s">
        <v>61</v>
      </c>
      <c r="T657" s="0" t="s">
        <v>6523</v>
      </c>
      <c r="U657" s="0" t="n">
        <v>0</v>
      </c>
      <c r="V657" s="0" t="n">
        <v>0</v>
      </c>
      <c r="W657" s="0" t="n">
        <v>20250331</v>
      </c>
      <c r="X657" s="0" t="n">
        <v>-0.0132738457932147</v>
      </c>
      <c r="Y657" s="0" t="s">
        <v>968</v>
      </c>
      <c r="Z657" s="0" t="s">
        <v>60</v>
      </c>
    </row>
    <row r="658" customFormat="false" ht="15" hidden="false" customHeight="false" outlineLevel="0" collapsed="false">
      <c r="A658" s="0" t="n">
        <v>658</v>
      </c>
      <c r="B658" s="0" t="n">
        <v>1415126</v>
      </c>
      <c r="C658" s="0" t="n">
        <v>17749</v>
      </c>
      <c r="D658" s="0" t="n">
        <v>1106043</v>
      </c>
      <c r="E658" s="0" t="s">
        <v>259</v>
      </c>
      <c r="F658" s="0" t="n">
        <v>197514</v>
      </c>
      <c r="G658" s="0" t="s">
        <v>6524</v>
      </c>
      <c r="H658" s="0" t="s">
        <v>6525</v>
      </c>
      <c r="I658" s="0" t="s">
        <v>6526</v>
      </c>
      <c r="J658" s="0" t="s">
        <v>6527</v>
      </c>
      <c r="K658" s="0" t="s">
        <v>6528</v>
      </c>
      <c r="L658" s="0" t="n">
        <v>833371</v>
      </c>
      <c r="M658" s="0" t="s">
        <v>6529</v>
      </c>
      <c r="N658" s="0" t="n">
        <v>756331</v>
      </c>
      <c r="O658" s="0" t="n">
        <v>953</v>
      </c>
      <c r="P658" s="0" t="s">
        <v>253</v>
      </c>
      <c r="Q658" s="0" t="s">
        <v>6530</v>
      </c>
      <c r="R658" s="0" t="s">
        <v>6531</v>
      </c>
      <c r="S658" s="0" t="s">
        <v>256</v>
      </c>
      <c r="T658" s="0" t="s">
        <v>6532</v>
      </c>
      <c r="U658" s="0" t="n">
        <v>90</v>
      </c>
      <c r="V658" s="0" t="n">
        <v>0</v>
      </c>
      <c r="W658" s="0" t="n">
        <v>20250331</v>
      </c>
      <c r="X658" s="0" t="n">
        <v>0.443227148231069</v>
      </c>
      <c r="Y658" s="0" t="s">
        <v>3701</v>
      </c>
      <c r="Z658" s="0" t="s">
        <v>60</v>
      </c>
    </row>
    <row r="659" customFormat="false" ht="15" hidden="false" customHeight="false" outlineLevel="0" collapsed="false">
      <c r="A659" s="0" t="n">
        <v>659</v>
      </c>
      <c r="B659" s="0" t="n">
        <v>1694530</v>
      </c>
      <c r="C659" s="0" t="n">
        <v>17751</v>
      </c>
      <c r="D659" s="0" t="n">
        <v>1333884</v>
      </c>
      <c r="E659" s="0" t="s">
        <v>246</v>
      </c>
      <c r="F659" s="0" t="n">
        <v>150042</v>
      </c>
      <c r="G659" s="0" t="s">
        <v>6533</v>
      </c>
      <c r="H659" s="0" t="s">
        <v>6534</v>
      </c>
      <c r="I659" s="0" t="s">
        <v>6535</v>
      </c>
      <c r="J659" s="0" t="s">
        <v>6536</v>
      </c>
      <c r="K659" s="0" t="s">
        <v>6537</v>
      </c>
      <c r="L659" s="0" t="n">
        <v>1410815</v>
      </c>
      <c r="M659" s="0" t="s">
        <v>6538</v>
      </c>
      <c r="N659" s="0" t="n">
        <v>1197971</v>
      </c>
      <c r="O659" s="0" t="n">
        <v>2675</v>
      </c>
      <c r="P659" s="0" t="s">
        <v>266</v>
      </c>
      <c r="Q659" s="0" t="s">
        <v>6539</v>
      </c>
      <c r="R659" s="0" t="s">
        <v>6540</v>
      </c>
      <c r="S659" s="0" t="s">
        <v>4435</v>
      </c>
      <c r="T659" s="0" t="s">
        <v>6541</v>
      </c>
      <c r="U659" s="0" t="n">
        <v>0</v>
      </c>
      <c r="V659" s="0" t="n">
        <v>12.3894136970979</v>
      </c>
      <c r="W659" s="0" t="n">
        <v>20250331</v>
      </c>
      <c r="X659" s="0" t="n">
        <v>0.361584129388483</v>
      </c>
      <c r="Y659" s="0" t="s">
        <v>6111</v>
      </c>
      <c r="Z659" s="0" t="s">
        <v>60</v>
      </c>
    </row>
    <row r="660" customFormat="false" ht="15" hidden="false" customHeight="false" outlineLevel="0" collapsed="false">
      <c r="A660" s="0" t="n">
        <v>660</v>
      </c>
      <c r="B660" s="0" t="n">
        <v>1759715</v>
      </c>
      <c r="C660" s="0" t="n">
        <v>17897</v>
      </c>
      <c r="D660" s="0" t="n">
        <v>1345096</v>
      </c>
      <c r="E660" s="0" t="s">
        <v>271</v>
      </c>
      <c r="F660" s="0" t="n">
        <v>219109</v>
      </c>
      <c r="G660" s="0" t="s">
        <v>6542</v>
      </c>
      <c r="H660" s="0" t="s">
        <v>6543</v>
      </c>
      <c r="I660" s="0" t="s">
        <v>6544</v>
      </c>
      <c r="J660" s="0" t="s">
        <v>6545</v>
      </c>
      <c r="K660" s="0" t="s">
        <v>6546</v>
      </c>
      <c r="L660" s="0" t="n">
        <v>1470647</v>
      </c>
      <c r="M660" s="0" t="s">
        <v>6547</v>
      </c>
      <c r="N660" s="0" t="n">
        <v>1370211</v>
      </c>
      <c r="O660" s="0" t="n">
        <v>4816</v>
      </c>
      <c r="P660" s="0" t="s">
        <v>278</v>
      </c>
      <c r="Q660" s="0" t="s">
        <v>6548</v>
      </c>
      <c r="R660" s="0" t="s">
        <v>6549</v>
      </c>
      <c r="S660" s="0" t="s">
        <v>6550</v>
      </c>
      <c r="T660" s="0" t="s">
        <v>1264</v>
      </c>
      <c r="U660" s="0" t="n">
        <v>20</v>
      </c>
      <c r="V660" s="0" t="n">
        <v>17.5946551181685</v>
      </c>
      <c r="W660" s="0" t="n">
        <v>20250331</v>
      </c>
      <c r="X660" s="0" t="n">
        <v>0.437372293588705</v>
      </c>
      <c r="Y660" s="0" t="s">
        <v>6551</v>
      </c>
      <c r="Z660" s="0" t="s">
        <v>60</v>
      </c>
    </row>
    <row r="661" customFormat="false" ht="15" hidden="false" customHeight="false" outlineLevel="0" collapsed="false">
      <c r="A661" s="0" t="n">
        <v>661</v>
      </c>
      <c r="B661" s="0" t="n">
        <v>856737</v>
      </c>
      <c r="C661" s="0" t="n">
        <v>17951</v>
      </c>
      <c r="D661" s="0" t="n">
        <v>714191</v>
      </c>
      <c r="E661" s="0" t="s">
        <v>1187</v>
      </c>
      <c r="F661" s="0" t="n">
        <v>68926</v>
      </c>
      <c r="G661" s="0" t="s">
        <v>6552</v>
      </c>
      <c r="H661" s="0" t="s">
        <v>6553</v>
      </c>
      <c r="I661" s="0" t="s">
        <v>6554</v>
      </c>
      <c r="J661" s="0" t="s">
        <v>6555</v>
      </c>
      <c r="K661" s="0" t="s">
        <v>6556</v>
      </c>
      <c r="L661" s="0" t="n">
        <v>656065</v>
      </c>
      <c r="M661" s="0" t="s">
        <v>6557</v>
      </c>
      <c r="N661" s="0" t="n">
        <v>602633</v>
      </c>
      <c r="O661" s="0" t="n">
        <v>152</v>
      </c>
      <c r="P661" s="0" t="s">
        <v>290</v>
      </c>
      <c r="Q661" s="0" t="s">
        <v>6558</v>
      </c>
      <c r="R661" s="0" t="s">
        <v>6559</v>
      </c>
      <c r="S661" s="0" t="s">
        <v>205</v>
      </c>
      <c r="T661" s="0" t="s">
        <v>2688</v>
      </c>
      <c r="U661" s="0" t="n">
        <v>0</v>
      </c>
      <c r="V661" s="0" t="n">
        <v>13.5230158316307</v>
      </c>
      <c r="W661" s="0" t="n">
        <v>20250331</v>
      </c>
      <c r="X661" s="0" t="n">
        <v>0.569958063286313</v>
      </c>
      <c r="Y661" s="0" t="s">
        <v>6560</v>
      </c>
      <c r="Z661" s="0" t="s">
        <v>158</v>
      </c>
    </row>
    <row r="662" customFormat="false" ht="15" hidden="false" customHeight="false" outlineLevel="0" collapsed="false">
      <c r="A662" s="0" t="n">
        <v>662</v>
      </c>
      <c r="B662" s="0" t="n">
        <v>1354203</v>
      </c>
      <c r="C662" s="0" t="n">
        <v>17960</v>
      </c>
      <c r="D662" s="0" t="n">
        <v>1112041</v>
      </c>
      <c r="E662" s="0" t="s">
        <v>1968</v>
      </c>
      <c r="F662" s="0" t="n">
        <v>118120</v>
      </c>
      <c r="G662" s="0" t="s">
        <v>6561</v>
      </c>
      <c r="H662" s="0" t="s">
        <v>6562</v>
      </c>
      <c r="I662" s="0" t="s">
        <v>6563</v>
      </c>
      <c r="J662" s="0" t="s">
        <v>6564</v>
      </c>
      <c r="K662" s="0" t="s">
        <v>6565</v>
      </c>
      <c r="L662" s="0" t="n">
        <v>1150070</v>
      </c>
      <c r="M662" s="0" t="s">
        <v>6566</v>
      </c>
      <c r="N662" s="0" t="n">
        <v>811642</v>
      </c>
      <c r="O662" s="0" t="n">
        <v>7626</v>
      </c>
      <c r="P662" s="0" t="s">
        <v>302</v>
      </c>
      <c r="Q662" s="0" t="s">
        <v>6567</v>
      </c>
      <c r="R662" s="0" t="s">
        <v>6568</v>
      </c>
      <c r="S662" s="0" t="s">
        <v>6569</v>
      </c>
      <c r="T662" s="0" t="s">
        <v>6570</v>
      </c>
      <c r="U662" s="0" t="n">
        <v>0</v>
      </c>
      <c r="V662" s="0" t="n">
        <v>13.7521204502019</v>
      </c>
      <c r="W662" s="0" t="n">
        <v>20250331</v>
      </c>
      <c r="X662" s="0" t="n">
        <v>0.293339162698366</v>
      </c>
      <c r="Y662" s="0" t="s">
        <v>6571</v>
      </c>
      <c r="Z662" s="0" t="s">
        <v>158</v>
      </c>
    </row>
    <row r="663" customFormat="false" ht="15" hidden="false" customHeight="false" outlineLevel="0" collapsed="false">
      <c r="A663" s="0" t="n">
        <v>663</v>
      </c>
      <c r="B663" s="0" t="n">
        <v>2654603</v>
      </c>
      <c r="C663" s="0" t="n">
        <v>18012</v>
      </c>
      <c r="D663" s="0" t="n">
        <v>2299127</v>
      </c>
      <c r="E663" s="0" t="s">
        <v>271</v>
      </c>
      <c r="F663" s="0" t="n">
        <v>293951</v>
      </c>
      <c r="G663" s="0" t="s">
        <v>6572</v>
      </c>
      <c r="H663" s="0" t="s">
        <v>6573</v>
      </c>
      <c r="I663" s="0" t="s">
        <v>6574</v>
      </c>
      <c r="J663" s="0" t="s">
        <v>6575</v>
      </c>
      <c r="K663" s="0" t="s">
        <v>6576</v>
      </c>
      <c r="L663" s="0" t="n">
        <v>2121041</v>
      </c>
      <c r="M663" s="0" t="s">
        <v>6577</v>
      </c>
      <c r="N663" s="0" t="n">
        <v>2023412</v>
      </c>
      <c r="O663" s="0" t="n">
        <v>1089</v>
      </c>
      <c r="P663" s="0" t="s">
        <v>312</v>
      </c>
      <c r="Q663" s="0" t="s">
        <v>6578</v>
      </c>
      <c r="R663" s="0" t="s">
        <v>6579</v>
      </c>
      <c r="S663" s="0" t="s">
        <v>95</v>
      </c>
      <c r="T663" s="0" t="s">
        <v>6580</v>
      </c>
      <c r="U663" s="0" t="n">
        <v>0</v>
      </c>
      <c r="V663" s="0" t="n">
        <v>14.0643760616757</v>
      </c>
      <c r="W663" s="0" t="n">
        <v>20250331</v>
      </c>
      <c r="X663" s="0" t="n">
        <v>0.745930213394085</v>
      </c>
      <c r="Y663" s="0" t="s">
        <v>6581</v>
      </c>
      <c r="Z663" s="0" t="s">
        <v>158</v>
      </c>
    </row>
    <row r="664" customFormat="false" ht="15" hidden="false" customHeight="false" outlineLevel="0" collapsed="false">
      <c r="A664" s="0" t="n">
        <v>664</v>
      </c>
      <c r="B664" s="0" t="n">
        <v>2886966</v>
      </c>
      <c r="C664" s="0" t="n">
        <v>18013</v>
      </c>
      <c r="D664" s="0" t="n">
        <v>2567945</v>
      </c>
      <c r="E664" s="0" t="s">
        <v>172</v>
      </c>
      <c r="F664" s="0" t="n">
        <v>233883</v>
      </c>
      <c r="G664" s="0" t="s">
        <v>6582</v>
      </c>
      <c r="H664" s="0" t="s">
        <v>6583</v>
      </c>
      <c r="I664" s="0" t="s">
        <v>6584</v>
      </c>
      <c r="J664" s="0" t="s">
        <v>6585</v>
      </c>
      <c r="K664" s="0" t="s">
        <v>6586</v>
      </c>
      <c r="L664" s="0" t="n">
        <v>2412223</v>
      </c>
      <c r="M664" s="0" t="s">
        <v>6587</v>
      </c>
      <c r="N664" s="0" t="n">
        <v>2202612</v>
      </c>
      <c r="O664" s="0" t="n">
        <v>2219</v>
      </c>
      <c r="P664" s="0" t="s">
        <v>324</v>
      </c>
      <c r="Q664" s="0" t="s">
        <v>6588</v>
      </c>
      <c r="R664" s="0" t="s">
        <v>6589</v>
      </c>
      <c r="S664" s="0" t="s">
        <v>6590</v>
      </c>
      <c r="T664" s="0" t="s">
        <v>6591</v>
      </c>
      <c r="U664" s="0" t="n">
        <v>52</v>
      </c>
      <c r="V664" s="0" t="n">
        <v>12.6945670847727</v>
      </c>
      <c r="W664" s="0" t="n">
        <v>20250331</v>
      </c>
      <c r="X664" s="0" t="n">
        <v>0.352950560219433</v>
      </c>
      <c r="Y664" s="0" t="s">
        <v>4492</v>
      </c>
      <c r="Z664" s="0" t="s">
        <v>158</v>
      </c>
    </row>
    <row r="665" customFormat="false" ht="15" hidden="false" customHeight="false" outlineLevel="0" collapsed="false">
      <c r="A665" s="0" t="n">
        <v>665</v>
      </c>
      <c r="B665" s="0" t="n">
        <v>400477</v>
      </c>
      <c r="C665" s="0" t="n">
        <v>18028</v>
      </c>
      <c r="D665" s="0" t="n">
        <v>340672</v>
      </c>
      <c r="E665" s="0" t="s">
        <v>1187</v>
      </c>
      <c r="F665" s="0" t="n">
        <v>43552</v>
      </c>
      <c r="G665" s="0" t="s">
        <v>6592</v>
      </c>
      <c r="H665" s="0" t="s">
        <v>6593</v>
      </c>
      <c r="I665" s="0" t="s">
        <v>6594</v>
      </c>
      <c r="J665" s="0" t="s">
        <v>6595</v>
      </c>
      <c r="K665" s="0" t="s">
        <v>6596</v>
      </c>
      <c r="L665" s="0" t="n">
        <v>276711</v>
      </c>
      <c r="M665" s="0" t="s">
        <v>6597</v>
      </c>
      <c r="N665" s="0" t="n">
        <v>254230</v>
      </c>
      <c r="O665" s="0" t="n">
        <v>1021</v>
      </c>
      <c r="P665" s="0" t="s">
        <v>337</v>
      </c>
      <c r="Q665" s="0" t="s">
        <v>6598</v>
      </c>
      <c r="R665" s="0" t="s">
        <v>6599</v>
      </c>
      <c r="S665" s="0" t="s">
        <v>3313</v>
      </c>
      <c r="T665" s="0" t="s">
        <v>6600</v>
      </c>
      <c r="U665" s="0" t="n">
        <v>62</v>
      </c>
      <c r="V665" s="0" t="n">
        <v>0</v>
      </c>
      <c r="W665" s="0" t="n">
        <v>20250331</v>
      </c>
      <c r="X665" s="0" t="n">
        <v>0.536305275329957</v>
      </c>
      <c r="Y665" s="0" t="s">
        <v>6601</v>
      </c>
      <c r="Z665" s="0" t="s">
        <v>158</v>
      </c>
    </row>
    <row r="666" customFormat="false" ht="15" hidden="false" customHeight="false" outlineLevel="0" collapsed="false">
      <c r="A666" s="0" t="n">
        <v>666</v>
      </c>
      <c r="B666" s="0" t="n">
        <v>800795</v>
      </c>
      <c r="C666" s="0" t="n">
        <v>18030</v>
      </c>
      <c r="D666" s="0" t="n">
        <v>736585</v>
      </c>
      <c r="E666" s="0" t="s">
        <v>47</v>
      </c>
      <c r="F666" s="0" t="n">
        <v>56520</v>
      </c>
      <c r="G666" s="0" t="s">
        <v>6602</v>
      </c>
      <c r="H666" s="0" t="s">
        <v>6603</v>
      </c>
      <c r="I666" s="0" t="s">
        <v>6604</v>
      </c>
      <c r="J666" s="0" t="s">
        <v>6605</v>
      </c>
      <c r="K666" s="0" t="s">
        <v>6606</v>
      </c>
      <c r="L666" s="0" t="n">
        <v>593259</v>
      </c>
      <c r="M666" s="0" t="s">
        <v>6607</v>
      </c>
      <c r="N666" s="0" t="n">
        <v>457374</v>
      </c>
      <c r="O666" s="0" t="n">
        <v>1821</v>
      </c>
      <c r="P666" s="0" t="s">
        <v>349</v>
      </c>
      <c r="Q666" s="0" t="s">
        <v>6608</v>
      </c>
      <c r="R666" s="0" t="s">
        <v>6609</v>
      </c>
      <c r="S666" s="0" t="s">
        <v>1716</v>
      </c>
      <c r="T666" s="0" t="s">
        <v>6610</v>
      </c>
      <c r="U666" s="0" t="n">
        <v>0</v>
      </c>
      <c r="V666" s="0" t="n">
        <v>14.1683492306621</v>
      </c>
      <c r="W666" s="0" t="n">
        <v>20250331</v>
      </c>
      <c r="X666" s="0" t="n">
        <v>0.646111863500634</v>
      </c>
      <c r="Y666" s="0" t="s">
        <v>6611</v>
      </c>
      <c r="Z666" s="0" t="s">
        <v>158</v>
      </c>
    </row>
    <row r="667" customFormat="false" ht="15" hidden="false" customHeight="false" outlineLevel="0" collapsed="false">
      <c r="A667" s="0" t="n">
        <v>667</v>
      </c>
      <c r="B667" s="0" t="n">
        <v>669787</v>
      </c>
      <c r="C667" s="0" t="n">
        <v>18031</v>
      </c>
      <c r="D667" s="0" t="n">
        <v>527059</v>
      </c>
      <c r="E667" s="0" t="s">
        <v>208</v>
      </c>
      <c r="F667" s="0" t="n">
        <v>40246</v>
      </c>
      <c r="G667" s="0" t="s">
        <v>6612</v>
      </c>
      <c r="H667" s="0" t="s">
        <v>6613</v>
      </c>
      <c r="I667" s="0" t="s">
        <v>6614</v>
      </c>
      <c r="J667" s="0" t="s">
        <v>6615</v>
      </c>
      <c r="K667" s="0" t="s">
        <v>6616</v>
      </c>
      <c r="L667" s="0" t="n">
        <v>450783</v>
      </c>
      <c r="M667" s="0" t="s">
        <v>6617</v>
      </c>
      <c r="N667" s="0" t="n">
        <v>414125</v>
      </c>
      <c r="O667" s="0" t="n">
        <v>848</v>
      </c>
      <c r="P667" s="0" t="s">
        <v>361</v>
      </c>
      <c r="Q667" s="0" t="s">
        <v>6618</v>
      </c>
      <c r="R667" s="0" t="s">
        <v>6619</v>
      </c>
      <c r="S667" s="0" t="s">
        <v>1079</v>
      </c>
      <c r="T667" s="0" t="s">
        <v>6620</v>
      </c>
      <c r="U667" s="0" t="n">
        <v>0</v>
      </c>
      <c r="V667" s="0" t="n">
        <v>17.3844145899069</v>
      </c>
      <c r="W667" s="0" t="n">
        <v>20250331</v>
      </c>
      <c r="X667" s="0" t="n">
        <v>0.300334903153145</v>
      </c>
      <c r="Y667" s="0" t="s">
        <v>5037</v>
      </c>
      <c r="Z667" s="0" t="s">
        <v>158</v>
      </c>
    </row>
    <row r="668" customFormat="false" ht="15" hidden="false" customHeight="false" outlineLevel="0" collapsed="false">
      <c r="A668" s="0" t="n">
        <v>668</v>
      </c>
      <c r="B668" s="0" t="n">
        <v>575681</v>
      </c>
      <c r="C668" s="0" t="n">
        <v>18038</v>
      </c>
      <c r="D668" s="0" t="n">
        <v>443411</v>
      </c>
      <c r="E668" s="0" t="s">
        <v>61</v>
      </c>
      <c r="F668" s="0" t="n">
        <v>68850</v>
      </c>
      <c r="G668" s="0" t="s">
        <v>6621</v>
      </c>
      <c r="H668" s="0" t="s">
        <v>6622</v>
      </c>
      <c r="I668" s="0" t="s">
        <v>6623</v>
      </c>
      <c r="J668" s="0" t="s">
        <v>6624</v>
      </c>
      <c r="K668" s="0" t="s">
        <v>6625</v>
      </c>
      <c r="L668" s="0" t="n">
        <v>454723</v>
      </c>
      <c r="M668" s="0" t="s">
        <v>6626</v>
      </c>
      <c r="N668" s="0" t="n">
        <v>417170</v>
      </c>
      <c r="O668" s="0" t="n">
        <v>2863</v>
      </c>
      <c r="P668" s="0" t="s">
        <v>372</v>
      </c>
      <c r="Q668" s="0" t="s">
        <v>6627</v>
      </c>
      <c r="R668" s="0" t="s">
        <v>6628</v>
      </c>
      <c r="S668" s="0" t="s">
        <v>6629</v>
      </c>
      <c r="T668" s="0" t="s">
        <v>6630</v>
      </c>
      <c r="U668" s="0" t="n">
        <v>0</v>
      </c>
      <c r="V668" s="0" t="n">
        <v>0</v>
      </c>
      <c r="W668" s="0" t="n">
        <v>20250331</v>
      </c>
      <c r="X668" s="0" t="n">
        <v>0.242522943622228</v>
      </c>
      <c r="Y668" s="0" t="s">
        <v>6631</v>
      </c>
      <c r="Z668" s="0" t="s">
        <v>158</v>
      </c>
    </row>
    <row r="669" customFormat="false" ht="15" hidden="false" customHeight="false" outlineLevel="0" collapsed="false">
      <c r="A669" s="0" t="n">
        <v>669</v>
      </c>
      <c r="B669" s="0" t="n">
        <v>7235355</v>
      </c>
      <c r="C669" s="0" t="n">
        <v>18408</v>
      </c>
      <c r="D669" s="0" t="n">
        <v>6181793</v>
      </c>
      <c r="E669" s="0" t="s">
        <v>85</v>
      </c>
      <c r="F669" s="0" t="n">
        <v>455151</v>
      </c>
      <c r="G669" s="0" t="s">
        <v>6632</v>
      </c>
      <c r="H669" s="0" t="s">
        <v>6633</v>
      </c>
      <c r="I669" s="0" t="s">
        <v>6634</v>
      </c>
      <c r="J669" s="0" t="s">
        <v>6635</v>
      </c>
      <c r="K669" s="0" t="s">
        <v>6636</v>
      </c>
      <c r="L669" s="0" t="n">
        <v>4976949</v>
      </c>
      <c r="M669" s="0" t="s">
        <v>6637</v>
      </c>
      <c r="N669" s="0" t="n">
        <v>4459056</v>
      </c>
      <c r="O669" s="0" t="n">
        <v>8109</v>
      </c>
      <c r="P669" s="0" t="s">
        <v>384</v>
      </c>
      <c r="Q669" s="0" t="s">
        <v>6638</v>
      </c>
      <c r="R669" s="0" t="s">
        <v>6639</v>
      </c>
      <c r="S669" s="0" t="s">
        <v>4794</v>
      </c>
      <c r="T669" s="0" t="s">
        <v>6640</v>
      </c>
      <c r="U669" s="0" t="n">
        <v>0</v>
      </c>
      <c r="V669" s="0" t="n">
        <v>11.3560231469601</v>
      </c>
      <c r="W669" s="0" t="n">
        <v>20250331</v>
      </c>
      <c r="X669" s="0" t="n">
        <v>0.125198481394932</v>
      </c>
      <c r="Y669" s="0" t="s">
        <v>6641</v>
      </c>
      <c r="Z669" s="0" t="s">
        <v>60</v>
      </c>
    </row>
    <row r="670" customFormat="false" ht="15" hidden="false" customHeight="false" outlineLevel="0" collapsed="false">
      <c r="A670" s="0" t="n">
        <v>670</v>
      </c>
      <c r="B670" s="0" t="n">
        <v>2567242</v>
      </c>
      <c r="C670" s="0" t="n">
        <v>19531</v>
      </c>
      <c r="D670" s="0" t="n">
        <v>2162803</v>
      </c>
      <c r="E670" s="0" t="s">
        <v>61</v>
      </c>
      <c r="F670" s="0" t="n">
        <v>266786</v>
      </c>
      <c r="G670" s="0" t="s">
        <v>6642</v>
      </c>
      <c r="H670" s="0" t="s">
        <v>6643</v>
      </c>
      <c r="I670" s="0" t="s">
        <v>6644</v>
      </c>
      <c r="J670" s="0" t="s">
        <v>6645</v>
      </c>
      <c r="K670" s="0" t="s">
        <v>6646</v>
      </c>
      <c r="L670" s="0" t="n">
        <v>2179021</v>
      </c>
      <c r="M670" s="0" t="s">
        <v>6647</v>
      </c>
      <c r="N670" s="0" t="n">
        <v>1814549</v>
      </c>
      <c r="O670" s="0" t="n">
        <v>7253</v>
      </c>
      <c r="P670" s="0" t="s">
        <v>397</v>
      </c>
      <c r="Q670" s="0" t="s">
        <v>6648</v>
      </c>
      <c r="R670" s="0" t="s">
        <v>6649</v>
      </c>
      <c r="S670" s="0" t="s">
        <v>6650</v>
      </c>
      <c r="T670" s="0" t="s">
        <v>6651</v>
      </c>
      <c r="U670" s="0" t="n">
        <v>46</v>
      </c>
      <c r="V670" s="0" t="n">
        <v>14.927898270842</v>
      </c>
      <c r="W670" s="0" t="n">
        <v>20250331</v>
      </c>
      <c r="X670" s="0" t="n">
        <v>0.636590668953529</v>
      </c>
      <c r="Y670" s="0" t="s">
        <v>6652</v>
      </c>
      <c r="Z670" s="0" t="s">
        <v>60</v>
      </c>
    </row>
    <row r="671" customFormat="false" ht="15" hidden="false" customHeight="false" outlineLevel="0" collapsed="false">
      <c r="A671" s="0" t="n">
        <v>671</v>
      </c>
      <c r="B671" s="0" t="n">
        <v>842808</v>
      </c>
      <c r="C671" s="0" t="n">
        <v>19532</v>
      </c>
      <c r="D671" s="0" t="n">
        <v>725198</v>
      </c>
      <c r="E671" s="0" t="s">
        <v>47</v>
      </c>
      <c r="F671" s="0" t="n">
        <v>106845</v>
      </c>
      <c r="G671" s="0" t="s">
        <v>6653</v>
      </c>
      <c r="H671" s="0" t="s">
        <v>6654</v>
      </c>
      <c r="I671" s="0" t="s">
        <v>6655</v>
      </c>
      <c r="J671" s="0" t="s">
        <v>6656</v>
      </c>
      <c r="K671" s="0" t="s">
        <v>6657</v>
      </c>
      <c r="L671" s="0" t="n">
        <v>621805</v>
      </c>
      <c r="M671" s="0" t="s">
        <v>6658</v>
      </c>
      <c r="N671" s="0" t="n">
        <v>513632</v>
      </c>
      <c r="O671" s="0" t="n">
        <v>1797</v>
      </c>
      <c r="P671" s="0" t="s">
        <v>409</v>
      </c>
      <c r="Q671" s="0" t="s">
        <v>6659</v>
      </c>
      <c r="R671" s="0" t="s">
        <v>6660</v>
      </c>
      <c r="S671" s="0" t="s">
        <v>441</v>
      </c>
      <c r="T671" s="0" t="s">
        <v>6661</v>
      </c>
      <c r="U671" s="0" t="n">
        <v>0</v>
      </c>
      <c r="V671" s="0" t="n">
        <v>21.4450676887142</v>
      </c>
      <c r="W671" s="0" t="n">
        <v>20250331</v>
      </c>
      <c r="X671" s="0" t="n">
        <v>0.760021446855204</v>
      </c>
      <c r="Y671" s="0" t="s">
        <v>6662</v>
      </c>
      <c r="Z671" s="0" t="s">
        <v>60</v>
      </c>
    </row>
    <row r="672" customFormat="false" ht="15" hidden="false" customHeight="false" outlineLevel="0" collapsed="false">
      <c r="A672" s="0" t="n">
        <v>672</v>
      </c>
      <c r="B672" s="0" t="n">
        <v>4228502</v>
      </c>
      <c r="C672" s="0" t="n">
        <v>19690</v>
      </c>
      <c r="D672" s="0" t="n">
        <v>3328164</v>
      </c>
      <c r="E672" s="0" t="s">
        <v>3635</v>
      </c>
      <c r="F672" s="0" t="n">
        <v>467516</v>
      </c>
      <c r="G672" s="0" t="s">
        <v>6663</v>
      </c>
      <c r="H672" s="0" t="s">
        <v>6664</v>
      </c>
      <c r="I672" s="0" t="s">
        <v>6665</v>
      </c>
      <c r="J672" s="0" t="s">
        <v>6666</v>
      </c>
      <c r="K672" s="0" t="s">
        <v>1977</v>
      </c>
      <c r="L672" s="0" t="n">
        <v>3800789</v>
      </c>
      <c r="M672" s="0" t="s">
        <v>6667</v>
      </c>
      <c r="N672" s="0" t="n">
        <v>2887276</v>
      </c>
      <c r="O672" s="0" t="n">
        <v>32232</v>
      </c>
      <c r="P672" s="0" t="s">
        <v>420</v>
      </c>
      <c r="Q672" s="0" t="s">
        <v>6668</v>
      </c>
      <c r="R672" s="0" t="s">
        <v>6669</v>
      </c>
      <c r="S672" s="0" t="s">
        <v>6670</v>
      </c>
      <c r="T672" s="0" t="s">
        <v>6671</v>
      </c>
      <c r="U672" s="0" t="n">
        <v>0</v>
      </c>
      <c r="V672" s="0" t="n">
        <v>13.9816970798047</v>
      </c>
      <c r="W672" s="0" t="n">
        <v>20250331</v>
      </c>
      <c r="X672" s="0" t="n">
        <v>1.79807487310439</v>
      </c>
      <c r="Y672" s="0" t="s">
        <v>6672</v>
      </c>
      <c r="Z672" s="0" t="s">
        <v>60</v>
      </c>
    </row>
    <row r="673" customFormat="false" ht="15" hidden="false" customHeight="false" outlineLevel="0" collapsed="false">
      <c r="A673" s="0" t="n">
        <v>673</v>
      </c>
      <c r="B673" s="0" t="n">
        <v>733639</v>
      </c>
      <c r="C673" s="0" t="n">
        <v>19836</v>
      </c>
      <c r="D673" s="0" t="n">
        <v>586835</v>
      </c>
      <c r="E673" s="0" t="s">
        <v>195</v>
      </c>
      <c r="F673" s="0" t="n">
        <v>128641</v>
      </c>
      <c r="G673" s="0" t="s">
        <v>6673</v>
      </c>
      <c r="H673" s="0" t="s">
        <v>6674</v>
      </c>
      <c r="I673" s="0" t="s">
        <v>6675</v>
      </c>
      <c r="J673" s="0" t="s">
        <v>6676</v>
      </c>
      <c r="K673" s="0" t="s">
        <v>6677</v>
      </c>
      <c r="L673" s="0" t="n">
        <v>627367</v>
      </c>
      <c r="M673" s="0" t="s">
        <v>6678</v>
      </c>
      <c r="N673" s="0" t="n">
        <v>573366</v>
      </c>
      <c r="O673" s="0" t="n">
        <v>6387</v>
      </c>
      <c r="P673" s="0" t="s">
        <v>290</v>
      </c>
      <c r="Q673" s="0" t="s">
        <v>6679</v>
      </c>
      <c r="R673" s="0" t="s">
        <v>6680</v>
      </c>
      <c r="S673" s="0" t="s">
        <v>143</v>
      </c>
      <c r="T673" s="0" t="s">
        <v>6681</v>
      </c>
      <c r="U673" s="0" t="n">
        <v>194</v>
      </c>
      <c r="V673" s="0" t="n">
        <v>23.6061274143527</v>
      </c>
      <c r="W673" s="0" t="n">
        <v>20250331</v>
      </c>
      <c r="X673" s="0" t="n">
        <v>0.75637419969238</v>
      </c>
      <c r="Y673" s="0" t="s">
        <v>753</v>
      </c>
      <c r="Z673" s="0" t="s">
        <v>60</v>
      </c>
    </row>
    <row r="674" customFormat="false" ht="15" hidden="false" customHeight="false" outlineLevel="0" collapsed="false">
      <c r="A674" s="0" t="n">
        <v>674</v>
      </c>
      <c r="B674" s="0" t="n">
        <v>1688107</v>
      </c>
      <c r="C674" s="0" t="n">
        <v>24540</v>
      </c>
      <c r="D674" s="0" t="n">
        <v>1385459</v>
      </c>
      <c r="E674" s="0" t="s">
        <v>593</v>
      </c>
      <c r="F674" s="0" t="n">
        <v>273377</v>
      </c>
      <c r="G674" s="0" t="s">
        <v>6682</v>
      </c>
      <c r="H674" s="0" t="s">
        <v>6683</v>
      </c>
      <c r="I674" s="0" t="s">
        <v>6684</v>
      </c>
      <c r="J674" s="0" t="s">
        <v>6685</v>
      </c>
      <c r="K674" s="0" t="s">
        <v>1029</v>
      </c>
      <c r="L674" s="0" t="n">
        <v>1460291</v>
      </c>
      <c r="M674" s="0" t="s">
        <v>6686</v>
      </c>
      <c r="N674" s="0" t="n">
        <v>1421528</v>
      </c>
      <c r="O674" s="0" t="n">
        <v>11794</v>
      </c>
      <c r="P674" s="0" t="s">
        <v>443</v>
      </c>
      <c r="Q674" s="0" t="s">
        <v>6687</v>
      </c>
      <c r="R674" s="0" t="s">
        <v>6688</v>
      </c>
      <c r="S674" s="0" t="s">
        <v>61</v>
      </c>
      <c r="T674" s="0" t="s">
        <v>61</v>
      </c>
      <c r="U674" s="0" t="n">
        <v>0</v>
      </c>
      <c r="V674" s="0" t="n">
        <v>0</v>
      </c>
      <c r="W674" s="0" t="n">
        <v>20250331</v>
      </c>
      <c r="X674" s="0" t="n">
        <v>1.94700476953964</v>
      </c>
      <c r="Y674" s="0" t="s">
        <v>2712</v>
      </c>
      <c r="Z674" s="0" t="s">
        <v>158</v>
      </c>
    </row>
    <row r="675" customFormat="false" ht="15" hidden="false" customHeight="false" outlineLevel="0" collapsed="false">
      <c r="A675" s="0" t="n">
        <v>675</v>
      </c>
      <c r="B675" s="0" t="n">
        <v>575397</v>
      </c>
      <c r="C675" s="0" t="n">
        <v>27824</v>
      </c>
      <c r="D675" s="0" t="n">
        <v>382749</v>
      </c>
      <c r="E675" s="0" t="s">
        <v>1187</v>
      </c>
      <c r="F675" s="0" t="n">
        <v>62093</v>
      </c>
      <c r="G675" s="0" t="s">
        <v>6689</v>
      </c>
      <c r="H675" s="0" t="s">
        <v>6690</v>
      </c>
      <c r="I675" s="0" t="s">
        <v>6691</v>
      </c>
      <c r="J675" s="0" t="s">
        <v>6692</v>
      </c>
      <c r="K675" s="0" t="s">
        <v>6693</v>
      </c>
      <c r="L675" s="0" t="n">
        <v>473217</v>
      </c>
      <c r="M675" s="0" t="s">
        <v>6694</v>
      </c>
      <c r="N675" s="0" t="n">
        <v>420218</v>
      </c>
      <c r="O675" s="0" t="n">
        <v>2067</v>
      </c>
      <c r="P675" s="0" t="s">
        <v>453</v>
      </c>
      <c r="Q675" s="0" t="s">
        <v>6695</v>
      </c>
      <c r="R675" s="0" t="s">
        <v>6696</v>
      </c>
      <c r="S675" s="0" t="s">
        <v>4214</v>
      </c>
      <c r="T675" s="0" t="s">
        <v>2619</v>
      </c>
      <c r="U675" s="0" t="n">
        <v>0</v>
      </c>
      <c r="V675" s="0" t="n">
        <v>18.7325769420946</v>
      </c>
      <c r="W675" s="0" t="n">
        <v>20250331</v>
      </c>
      <c r="X675" s="0" t="n">
        <v>-0.633637024006441</v>
      </c>
      <c r="Y675" s="0" t="s">
        <v>6697</v>
      </c>
      <c r="Z675" s="0" t="s">
        <v>158</v>
      </c>
    </row>
    <row r="676" customFormat="false" ht="15" hidden="false" customHeight="false" outlineLevel="0" collapsed="false">
      <c r="A676" s="0" t="n">
        <v>676</v>
      </c>
      <c r="B676" s="0" t="n">
        <v>299190</v>
      </c>
      <c r="C676" s="0" t="n">
        <v>28155</v>
      </c>
      <c r="D676" s="0" t="n">
        <v>270079</v>
      </c>
      <c r="E676" s="0" t="s">
        <v>61</v>
      </c>
      <c r="F676" s="0" t="n">
        <v>27411</v>
      </c>
      <c r="G676" s="0" t="s">
        <v>6698</v>
      </c>
      <c r="H676" s="0" t="s">
        <v>6699</v>
      </c>
      <c r="I676" s="0" t="s">
        <v>6700</v>
      </c>
      <c r="J676" s="0" t="s">
        <v>6701</v>
      </c>
      <c r="K676" s="0" t="s">
        <v>6702</v>
      </c>
      <c r="L676" s="0" t="n">
        <v>176105</v>
      </c>
      <c r="M676" s="0" t="s">
        <v>6703</v>
      </c>
      <c r="N676" s="0" t="n">
        <v>159503</v>
      </c>
      <c r="O676" s="0" t="n">
        <v>304</v>
      </c>
      <c r="P676" s="0" t="s">
        <v>464</v>
      </c>
      <c r="Q676" s="0" t="s">
        <v>6704</v>
      </c>
      <c r="R676" s="0" t="s">
        <v>6705</v>
      </c>
      <c r="S676" s="0" t="s">
        <v>61</v>
      </c>
      <c r="T676" s="0" t="s">
        <v>364</v>
      </c>
      <c r="U676" s="0" t="n">
        <v>0</v>
      </c>
      <c r="V676" s="0" t="n">
        <v>17.476407488759</v>
      </c>
      <c r="W676" s="0" t="n">
        <v>20250331</v>
      </c>
      <c r="X676" s="0" t="n">
        <v>-0.103525409942137</v>
      </c>
      <c r="Y676" s="0" t="s">
        <v>6706</v>
      </c>
      <c r="Z676" s="0" t="s">
        <v>158</v>
      </c>
    </row>
    <row r="677" customFormat="false" ht="15" hidden="false" customHeight="false" outlineLevel="0" collapsed="false">
      <c r="A677" s="0" t="n">
        <v>677</v>
      </c>
      <c r="B677" s="0" t="n">
        <v>101149</v>
      </c>
      <c r="C677" s="0" t="n">
        <v>28288</v>
      </c>
      <c r="D677" s="0" t="n">
        <v>72293</v>
      </c>
      <c r="E677" s="0" t="s">
        <v>61</v>
      </c>
      <c r="F677" s="0" t="n">
        <v>6164</v>
      </c>
      <c r="G677" s="0" t="s">
        <v>6707</v>
      </c>
      <c r="H677" s="0" t="s">
        <v>6708</v>
      </c>
      <c r="I677" s="0" t="s">
        <v>6709</v>
      </c>
      <c r="J677" s="0" t="s">
        <v>6710</v>
      </c>
      <c r="K677" s="0" t="s">
        <v>6711</v>
      </c>
      <c r="L677" s="0" t="n">
        <v>81722</v>
      </c>
      <c r="M677" s="0" t="s">
        <v>6712</v>
      </c>
      <c r="N677" s="0" t="n">
        <v>73892</v>
      </c>
      <c r="O677" s="0" t="n">
        <v>1</v>
      </c>
      <c r="P677" s="0" t="s">
        <v>475</v>
      </c>
      <c r="Q677" s="0" t="s">
        <v>6713</v>
      </c>
      <c r="R677" s="0" t="s">
        <v>6714</v>
      </c>
      <c r="S677" s="0" t="s">
        <v>61</v>
      </c>
      <c r="T677" s="0" t="s">
        <v>6715</v>
      </c>
      <c r="U677" s="0" t="n">
        <v>0</v>
      </c>
      <c r="V677" s="0" t="n">
        <v>13.3963087197846</v>
      </c>
      <c r="W677" s="0" t="n">
        <v>20250331</v>
      </c>
      <c r="X677" s="0" t="n">
        <v>0.216262975778547</v>
      </c>
      <c r="Y677" s="0" t="s">
        <v>6716</v>
      </c>
      <c r="Z677" s="0" t="s">
        <v>60</v>
      </c>
    </row>
    <row r="678" customFormat="false" ht="15" hidden="false" customHeight="false" outlineLevel="0" collapsed="false">
      <c r="A678" s="0" t="n">
        <v>678</v>
      </c>
      <c r="B678" s="0" t="n">
        <v>93473</v>
      </c>
      <c r="C678" s="0" t="n">
        <v>28369</v>
      </c>
      <c r="D678" s="0" t="n">
        <v>72638</v>
      </c>
      <c r="E678" s="0" t="s">
        <v>390</v>
      </c>
      <c r="F678" s="0" t="n">
        <v>9063</v>
      </c>
      <c r="G678" s="0" t="s">
        <v>6717</v>
      </c>
      <c r="H678" s="0" t="s">
        <v>6718</v>
      </c>
      <c r="I678" s="0" t="s">
        <v>6719</v>
      </c>
      <c r="J678" s="0" t="s">
        <v>6720</v>
      </c>
      <c r="K678" s="0" t="s">
        <v>6721</v>
      </c>
      <c r="L678" s="0" t="n">
        <v>80877</v>
      </c>
      <c r="M678" s="0" t="s">
        <v>6722</v>
      </c>
      <c r="N678" s="0" t="n">
        <v>67131</v>
      </c>
      <c r="O678" s="0" t="n">
        <v>88</v>
      </c>
      <c r="P678" s="0" t="s">
        <v>486</v>
      </c>
      <c r="Q678" s="0" t="s">
        <v>6723</v>
      </c>
      <c r="R678" s="0" t="s">
        <v>6724</v>
      </c>
      <c r="S678" s="0" t="s">
        <v>352</v>
      </c>
      <c r="T678" s="0" t="s">
        <v>2105</v>
      </c>
      <c r="U678" s="0" t="n">
        <v>0</v>
      </c>
      <c r="V678" s="0" t="n">
        <v>14.0023818248443</v>
      </c>
      <c r="W678" s="0" t="n">
        <v>20250331</v>
      </c>
      <c r="X678" s="0" t="n">
        <v>0.0854554776961203</v>
      </c>
      <c r="Y678" s="0" t="s">
        <v>6725</v>
      </c>
      <c r="Z678" s="0" t="s">
        <v>60</v>
      </c>
    </row>
    <row r="679" customFormat="false" ht="15" hidden="false" customHeight="false" outlineLevel="0" collapsed="false">
      <c r="A679" s="0" t="n">
        <v>679</v>
      </c>
      <c r="B679" s="0" t="n">
        <v>289565</v>
      </c>
      <c r="C679" s="0" t="n">
        <v>28837</v>
      </c>
      <c r="D679" s="0" t="n">
        <v>257144</v>
      </c>
      <c r="E679" s="0" t="s">
        <v>246</v>
      </c>
      <c r="F679" s="0" t="n">
        <v>29273</v>
      </c>
      <c r="G679" s="0" t="s">
        <v>6726</v>
      </c>
      <c r="H679" s="0" t="s">
        <v>6727</v>
      </c>
      <c r="I679" s="0" t="s">
        <v>6728</v>
      </c>
      <c r="J679" s="0" t="s">
        <v>6729</v>
      </c>
      <c r="K679" s="0" t="s">
        <v>6730</v>
      </c>
      <c r="L679" s="0" t="n">
        <v>204142</v>
      </c>
      <c r="M679" s="0" t="s">
        <v>6731</v>
      </c>
      <c r="N679" s="0" t="n">
        <v>195050</v>
      </c>
      <c r="O679" s="0" t="n">
        <v>0</v>
      </c>
      <c r="P679" s="0" t="s">
        <v>497</v>
      </c>
      <c r="Q679" s="0" t="s">
        <v>61</v>
      </c>
      <c r="R679" s="0" t="s">
        <v>6732</v>
      </c>
      <c r="S679" s="0" t="s">
        <v>61</v>
      </c>
      <c r="T679" s="0" t="s">
        <v>989</v>
      </c>
      <c r="U679" s="0" t="n">
        <v>0</v>
      </c>
      <c r="V679" s="0" t="n">
        <v>18.1761660582706</v>
      </c>
      <c r="W679" s="0" t="n">
        <v>20250331</v>
      </c>
      <c r="X679" s="0" t="n">
        <v>0.698313621099047</v>
      </c>
      <c r="Y679" s="0" t="s">
        <v>402</v>
      </c>
      <c r="Z679" s="0" t="s">
        <v>98</v>
      </c>
    </row>
    <row r="680" customFormat="false" ht="15" hidden="false" customHeight="false" outlineLevel="0" collapsed="false">
      <c r="A680" s="0" t="n">
        <v>680</v>
      </c>
      <c r="B680" s="0" t="n">
        <v>186509</v>
      </c>
      <c r="C680" s="0" t="n">
        <v>29636</v>
      </c>
      <c r="D680" s="0" t="n">
        <v>143798</v>
      </c>
      <c r="E680" s="0" t="s">
        <v>61</v>
      </c>
      <c r="F680" s="0" t="n">
        <v>27465</v>
      </c>
      <c r="G680" s="0" t="s">
        <v>6733</v>
      </c>
      <c r="H680" s="0" t="s">
        <v>6734</v>
      </c>
      <c r="I680" s="0" t="s">
        <v>6735</v>
      </c>
      <c r="J680" s="0" t="s">
        <v>6736</v>
      </c>
      <c r="K680" s="0" t="s">
        <v>6737</v>
      </c>
      <c r="L680" s="0" t="n">
        <v>144596</v>
      </c>
      <c r="M680" s="0" t="s">
        <v>6738</v>
      </c>
      <c r="N680" s="0" t="n">
        <v>141230</v>
      </c>
      <c r="O680" s="0" t="n">
        <v>3216</v>
      </c>
      <c r="P680" s="0" t="s">
        <v>509</v>
      </c>
      <c r="Q680" s="0" t="s">
        <v>6739</v>
      </c>
      <c r="R680" s="0" t="s">
        <v>6740</v>
      </c>
      <c r="S680" s="0" t="s">
        <v>1079</v>
      </c>
      <c r="T680" s="0" t="s">
        <v>6741</v>
      </c>
      <c r="U680" s="0" t="n">
        <v>0</v>
      </c>
      <c r="V680" s="0" t="n">
        <v>27.1409419276435</v>
      </c>
      <c r="W680" s="0" t="n">
        <v>20250331</v>
      </c>
      <c r="X680" s="0" t="n">
        <v>0.138614772761114</v>
      </c>
      <c r="Y680" s="0" t="s">
        <v>6742</v>
      </c>
      <c r="Z680" s="0" t="s">
        <v>60</v>
      </c>
    </row>
    <row r="681" customFormat="false" ht="15" hidden="false" customHeight="false" outlineLevel="0" collapsed="false">
      <c r="A681" s="0" t="n">
        <v>681</v>
      </c>
      <c r="B681" s="0" t="n">
        <v>199014</v>
      </c>
      <c r="C681" s="0" t="n">
        <v>29743</v>
      </c>
      <c r="D681" s="0" t="n">
        <v>176536</v>
      </c>
      <c r="E681" s="0" t="s">
        <v>61</v>
      </c>
      <c r="F681" s="0" t="n">
        <v>18836</v>
      </c>
      <c r="G681" s="0" t="s">
        <v>6743</v>
      </c>
      <c r="H681" s="0" t="s">
        <v>6744</v>
      </c>
      <c r="I681" s="0" t="s">
        <v>6745</v>
      </c>
      <c r="J681" s="0" t="s">
        <v>6746</v>
      </c>
      <c r="K681" s="0" t="s">
        <v>6747</v>
      </c>
      <c r="L681" s="0" t="n">
        <v>136324</v>
      </c>
      <c r="M681" s="0" t="s">
        <v>6748</v>
      </c>
      <c r="N681" s="0" t="n">
        <v>87895</v>
      </c>
      <c r="O681" s="0" t="n">
        <v>448</v>
      </c>
      <c r="P681" s="0" t="s">
        <v>520</v>
      </c>
      <c r="Q681" s="0" t="s">
        <v>6749</v>
      </c>
      <c r="R681" s="0" t="s">
        <v>6750</v>
      </c>
      <c r="S681" s="0" t="s">
        <v>182</v>
      </c>
      <c r="T681" s="0" t="s">
        <v>6751</v>
      </c>
      <c r="U681" s="0" t="n">
        <v>0</v>
      </c>
      <c r="V681" s="0" t="n">
        <v>18.4080928760645</v>
      </c>
      <c r="W681" s="0" t="n">
        <v>20250331</v>
      </c>
      <c r="X681" s="0" t="n">
        <v>0.608988551612277</v>
      </c>
      <c r="Y681" s="0" t="s">
        <v>6752</v>
      </c>
      <c r="Z681" s="0" t="s">
        <v>60</v>
      </c>
    </row>
    <row r="682" customFormat="false" ht="15" hidden="false" customHeight="false" outlineLevel="0" collapsed="false">
      <c r="A682" s="0" t="n">
        <v>682</v>
      </c>
      <c r="B682" s="0" t="n">
        <v>592720</v>
      </c>
      <c r="C682" s="0" t="n">
        <v>29744</v>
      </c>
      <c r="D682" s="0" t="n">
        <v>473305</v>
      </c>
      <c r="E682" s="0" t="s">
        <v>61</v>
      </c>
      <c r="F682" s="0" t="n">
        <v>44713</v>
      </c>
      <c r="G682" s="0" t="s">
        <v>6753</v>
      </c>
      <c r="H682" s="0" t="s">
        <v>6754</v>
      </c>
      <c r="I682" s="0" t="s">
        <v>6755</v>
      </c>
      <c r="J682" s="0" t="s">
        <v>6756</v>
      </c>
      <c r="K682" s="0" t="s">
        <v>6757</v>
      </c>
      <c r="L682" s="0" t="n">
        <v>448262</v>
      </c>
      <c r="M682" s="0" t="s">
        <v>6758</v>
      </c>
      <c r="N682" s="0" t="n">
        <v>411212</v>
      </c>
      <c r="O682" s="0" t="n">
        <v>0</v>
      </c>
      <c r="P682" s="0" t="s">
        <v>531</v>
      </c>
      <c r="Q682" s="0" t="s">
        <v>61</v>
      </c>
      <c r="R682" s="0" t="s">
        <v>6759</v>
      </c>
      <c r="S682" s="0" t="s">
        <v>352</v>
      </c>
      <c r="T682" s="0" t="s">
        <v>61</v>
      </c>
      <c r="U682" s="0" t="n">
        <v>0</v>
      </c>
      <c r="V682" s="0" t="n">
        <v>15.1642690433057</v>
      </c>
      <c r="W682" s="0" t="n">
        <v>20250331</v>
      </c>
      <c r="X682" s="0" t="n">
        <v>-0.408254719593245</v>
      </c>
      <c r="Y682" s="0" t="s">
        <v>6760</v>
      </c>
      <c r="Z682" s="0" t="s">
        <v>158</v>
      </c>
    </row>
    <row r="683" customFormat="false" ht="15" hidden="false" customHeight="false" outlineLevel="0" collapsed="false">
      <c r="A683" s="0" t="n">
        <v>683</v>
      </c>
      <c r="B683" s="0" t="n">
        <v>609028</v>
      </c>
      <c r="C683" s="0" t="n">
        <v>30350</v>
      </c>
      <c r="D683" s="0" t="n">
        <v>474831</v>
      </c>
      <c r="E683" s="0" t="s">
        <v>208</v>
      </c>
      <c r="F683" s="0" t="n">
        <v>62866</v>
      </c>
      <c r="G683" s="0" t="s">
        <v>6761</v>
      </c>
      <c r="H683" s="0" t="s">
        <v>6762</v>
      </c>
      <c r="I683" s="0" t="s">
        <v>6763</v>
      </c>
      <c r="J683" s="0" t="s">
        <v>6764</v>
      </c>
      <c r="K683" s="0" t="s">
        <v>6765</v>
      </c>
      <c r="L683" s="0" t="n">
        <v>464716</v>
      </c>
      <c r="M683" s="0" t="s">
        <v>6766</v>
      </c>
      <c r="N683" s="0" t="n">
        <v>446528</v>
      </c>
      <c r="O683" s="0" t="n">
        <v>1587</v>
      </c>
      <c r="P683" s="0" t="s">
        <v>543</v>
      </c>
      <c r="Q683" s="0" t="s">
        <v>6767</v>
      </c>
      <c r="R683" s="0" t="s">
        <v>6768</v>
      </c>
      <c r="S683" s="0" t="s">
        <v>5153</v>
      </c>
      <c r="T683" s="0" t="s">
        <v>6769</v>
      </c>
      <c r="U683" s="0" t="n">
        <v>0</v>
      </c>
      <c r="V683" s="0" t="n">
        <v>20.1862311012096</v>
      </c>
      <c r="W683" s="0" t="n">
        <v>20250331</v>
      </c>
      <c r="X683" s="0" t="n">
        <v>0.776836569182434</v>
      </c>
      <c r="Y683" s="0" t="s">
        <v>3748</v>
      </c>
      <c r="Z683" s="0" t="s">
        <v>98</v>
      </c>
    </row>
    <row r="684" customFormat="false" ht="15" hidden="false" customHeight="false" outlineLevel="0" collapsed="false">
      <c r="A684" s="0" t="n">
        <v>684</v>
      </c>
      <c r="B684" s="0" t="n">
        <v>98994</v>
      </c>
      <c r="C684" s="0" t="n">
        <v>30878</v>
      </c>
      <c r="D684" s="0" t="n">
        <v>72918</v>
      </c>
      <c r="E684" s="0" t="s">
        <v>1456</v>
      </c>
      <c r="F684" s="0" t="n">
        <v>11849</v>
      </c>
      <c r="G684" s="0" t="s">
        <v>6770</v>
      </c>
      <c r="H684" s="0" t="s">
        <v>6771</v>
      </c>
      <c r="I684" s="0" t="s">
        <v>6772</v>
      </c>
      <c r="J684" s="0" t="s">
        <v>61</v>
      </c>
      <c r="K684" s="0" t="s">
        <v>6773</v>
      </c>
      <c r="L684" s="0" t="n">
        <v>85658</v>
      </c>
      <c r="M684" s="0" t="s">
        <v>6774</v>
      </c>
      <c r="N684" s="0" t="n">
        <v>85506</v>
      </c>
      <c r="O684" s="0" t="n">
        <v>1420</v>
      </c>
      <c r="P684" s="0" t="s">
        <v>553</v>
      </c>
      <c r="Q684" s="0" t="s">
        <v>6775</v>
      </c>
      <c r="R684" s="0" t="s">
        <v>6776</v>
      </c>
      <c r="S684" s="0" t="s">
        <v>61</v>
      </c>
      <c r="T684" s="0" t="s">
        <v>6335</v>
      </c>
      <c r="U684" s="0" t="n">
        <v>0</v>
      </c>
      <c r="V684" s="0" t="n">
        <v>0</v>
      </c>
      <c r="W684" s="0" t="n">
        <v>20250331</v>
      </c>
      <c r="X684" s="0" t="n">
        <v>-0.06841183927242</v>
      </c>
      <c r="Y684" s="0" t="s">
        <v>6777</v>
      </c>
      <c r="Z684" s="0" t="s">
        <v>60</v>
      </c>
    </row>
    <row r="685" customFormat="false" ht="15" hidden="false" customHeight="false" outlineLevel="0" collapsed="false">
      <c r="A685" s="0" t="n">
        <v>685</v>
      </c>
      <c r="B685" s="0" t="n">
        <v>974770</v>
      </c>
      <c r="C685" s="0" t="n">
        <v>33418</v>
      </c>
      <c r="D685" s="0" t="n">
        <v>799352</v>
      </c>
      <c r="E685" s="0" t="s">
        <v>2413</v>
      </c>
      <c r="F685" s="0" t="n">
        <v>70425</v>
      </c>
      <c r="G685" s="0" t="s">
        <v>6778</v>
      </c>
      <c r="H685" s="0" t="s">
        <v>6779</v>
      </c>
      <c r="I685" s="0" t="s">
        <v>6780</v>
      </c>
      <c r="J685" s="0" t="s">
        <v>6781</v>
      </c>
      <c r="K685" s="0" t="s">
        <v>6782</v>
      </c>
      <c r="L685" s="0" t="n">
        <v>608662</v>
      </c>
      <c r="M685" s="0" t="s">
        <v>6783</v>
      </c>
      <c r="N685" s="0" t="n">
        <v>511573</v>
      </c>
      <c r="O685" s="0" t="n">
        <v>1231</v>
      </c>
      <c r="P685" s="0" t="s">
        <v>564</v>
      </c>
      <c r="Q685" s="0" t="s">
        <v>6784</v>
      </c>
      <c r="R685" s="0" t="s">
        <v>6785</v>
      </c>
      <c r="S685" s="0" t="s">
        <v>2842</v>
      </c>
      <c r="T685" s="0" t="s">
        <v>6786</v>
      </c>
      <c r="U685" s="0" t="n">
        <v>0</v>
      </c>
      <c r="V685" s="0" t="n">
        <v>12.4516242523748</v>
      </c>
      <c r="W685" s="0" t="n">
        <v>20250331</v>
      </c>
      <c r="X685" s="0" t="n">
        <v>0.599734421139911</v>
      </c>
      <c r="Y685" s="0" t="s">
        <v>6787</v>
      </c>
      <c r="Z685" s="0" t="s">
        <v>98</v>
      </c>
    </row>
    <row r="686" customFormat="false" ht="15" hidden="false" customHeight="false" outlineLevel="0" collapsed="false">
      <c r="A686" s="0" t="n">
        <v>686</v>
      </c>
      <c r="B686" s="0" t="n">
        <v>67144</v>
      </c>
      <c r="C686" s="0" t="n">
        <v>35206</v>
      </c>
      <c r="D686" s="0" t="n">
        <v>500</v>
      </c>
      <c r="E686" s="0" t="s">
        <v>61</v>
      </c>
      <c r="F686" s="0" t="n">
        <v>65181</v>
      </c>
      <c r="G686" s="0" t="s">
        <v>6788</v>
      </c>
      <c r="H686" s="0" t="s">
        <v>6789</v>
      </c>
      <c r="I686" s="0" t="s">
        <v>61</v>
      </c>
      <c r="J686" s="0" t="s">
        <v>61</v>
      </c>
      <c r="K686" s="0" t="s">
        <v>61</v>
      </c>
      <c r="L686" s="0" t="n">
        <v>0</v>
      </c>
      <c r="M686" s="0" t="s">
        <v>61</v>
      </c>
      <c r="N686" s="0" t="n">
        <v>0</v>
      </c>
      <c r="O686" s="0" t="n">
        <v>0</v>
      </c>
      <c r="P686" s="0" t="s">
        <v>1112</v>
      </c>
      <c r="Q686" s="0" t="s">
        <v>61</v>
      </c>
      <c r="R686" s="0" t="s">
        <v>6790</v>
      </c>
      <c r="S686" s="0" t="s">
        <v>61</v>
      </c>
      <c r="T686" s="0" t="s">
        <v>61</v>
      </c>
      <c r="U686" s="0" t="n">
        <v>0</v>
      </c>
      <c r="V686" s="0" t="n">
        <v>0</v>
      </c>
      <c r="W686" s="0" t="n">
        <v>20250331</v>
      </c>
      <c r="X686" s="0" t="n">
        <v>28.844680133648</v>
      </c>
      <c r="Y686" s="0" t="s">
        <v>6791</v>
      </c>
      <c r="Z686" s="0" t="s">
        <v>158</v>
      </c>
    </row>
    <row r="687" customFormat="false" ht="15" hidden="false" customHeight="false" outlineLevel="0" collapsed="false">
      <c r="A687" s="0" t="n">
        <v>687</v>
      </c>
      <c r="B687" s="0" t="n">
        <v>6948167</v>
      </c>
      <c r="C687" s="0" t="n">
        <v>4255</v>
      </c>
      <c r="D687" s="0" t="n">
        <v>5632856</v>
      </c>
      <c r="E687" s="0" t="s">
        <v>2534</v>
      </c>
      <c r="F687" s="0" t="n">
        <v>671520</v>
      </c>
      <c r="G687" s="0" t="s">
        <v>6792</v>
      </c>
      <c r="H687" s="0" t="s">
        <v>6793</v>
      </c>
      <c r="I687" s="0" t="s">
        <v>6794</v>
      </c>
      <c r="J687" s="0" t="s">
        <v>6795</v>
      </c>
      <c r="K687" s="0" t="s">
        <v>6796</v>
      </c>
      <c r="L687" s="0" t="n">
        <v>4896145</v>
      </c>
      <c r="M687" s="0" t="s">
        <v>6797</v>
      </c>
      <c r="N687" s="0" t="n">
        <v>4419349</v>
      </c>
      <c r="O687" s="0" t="n">
        <v>7251</v>
      </c>
      <c r="P687" s="0" t="s">
        <v>575</v>
      </c>
      <c r="Q687" s="0" t="s">
        <v>6798</v>
      </c>
      <c r="R687" s="0" t="s">
        <v>6799</v>
      </c>
      <c r="S687" s="0" t="s">
        <v>6800</v>
      </c>
      <c r="T687" s="0" t="s">
        <v>6801</v>
      </c>
      <c r="U687" s="0" t="n">
        <v>0</v>
      </c>
      <c r="V687" s="0" t="n">
        <v>12.5535092500628</v>
      </c>
      <c r="W687" s="0" t="n">
        <v>20250331</v>
      </c>
      <c r="X687" s="0" t="n">
        <v>0.525277693714401</v>
      </c>
      <c r="Y687" s="0" t="s">
        <v>6802</v>
      </c>
      <c r="Z687" s="0" t="s">
        <v>60</v>
      </c>
    </row>
    <row r="688" customFormat="false" ht="15" hidden="false" customHeight="false" outlineLevel="0" collapsed="false">
      <c r="A688" s="0" t="n">
        <v>688</v>
      </c>
      <c r="B688" s="0" t="n">
        <v>3151780</v>
      </c>
      <c r="C688" s="0" t="n">
        <v>4256</v>
      </c>
      <c r="D688" s="0" t="n">
        <v>2712084</v>
      </c>
      <c r="E688" s="0" t="s">
        <v>246</v>
      </c>
      <c r="F688" s="0" t="n">
        <v>230970</v>
      </c>
      <c r="G688" s="0" t="s">
        <v>6803</v>
      </c>
      <c r="H688" s="0" t="s">
        <v>6804</v>
      </c>
      <c r="I688" s="0" t="s">
        <v>6805</v>
      </c>
      <c r="J688" s="0" t="s">
        <v>6806</v>
      </c>
      <c r="K688" s="0" t="s">
        <v>6807</v>
      </c>
      <c r="L688" s="0" t="n">
        <v>2383150</v>
      </c>
      <c r="M688" s="0" t="s">
        <v>6808</v>
      </c>
      <c r="N688" s="0" t="n">
        <v>1883405</v>
      </c>
      <c r="O688" s="0" t="n">
        <v>6053</v>
      </c>
      <c r="P688" s="0" t="s">
        <v>587</v>
      </c>
      <c r="Q688" s="0" t="s">
        <v>6809</v>
      </c>
      <c r="R688" s="0" t="s">
        <v>6810</v>
      </c>
      <c r="S688" s="0" t="s">
        <v>6773</v>
      </c>
      <c r="T688" s="0" t="s">
        <v>6811</v>
      </c>
      <c r="U688" s="0" t="n">
        <v>695</v>
      </c>
      <c r="V688" s="0" t="n">
        <v>13.0723838563465</v>
      </c>
      <c r="W688" s="0" t="n">
        <v>20250331</v>
      </c>
      <c r="X688" s="0" t="n">
        <v>0.949049786537126</v>
      </c>
      <c r="Y688" s="0" t="s">
        <v>6812</v>
      </c>
      <c r="Z688" s="0" t="s">
        <v>60</v>
      </c>
    </row>
    <row r="689" customFormat="false" ht="15" hidden="false" customHeight="false" outlineLevel="0" collapsed="false">
      <c r="A689" s="0" t="n">
        <v>689</v>
      </c>
      <c r="B689" s="0" t="n">
        <v>699078</v>
      </c>
      <c r="C689" s="0" t="n">
        <v>59086</v>
      </c>
      <c r="D689" s="0" t="n">
        <v>590147</v>
      </c>
      <c r="E689" s="0" t="s">
        <v>246</v>
      </c>
      <c r="F689" s="0" t="n">
        <v>102573</v>
      </c>
      <c r="G689" s="0" t="s">
        <v>6813</v>
      </c>
      <c r="H689" s="0" t="s">
        <v>6814</v>
      </c>
      <c r="I689" s="0" t="s">
        <v>6815</v>
      </c>
      <c r="J689" s="0" t="s">
        <v>6816</v>
      </c>
      <c r="K689" s="0" t="s">
        <v>61</v>
      </c>
      <c r="L689" s="0" t="n">
        <v>604662</v>
      </c>
      <c r="M689" s="0" t="s">
        <v>6817</v>
      </c>
      <c r="N689" s="0" t="n">
        <v>482306</v>
      </c>
      <c r="O689" s="0" t="n">
        <v>4011</v>
      </c>
      <c r="P689" s="0" t="s">
        <v>599</v>
      </c>
      <c r="Q689" s="0" t="s">
        <v>6818</v>
      </c>
      <c r="R689" s="0" t="s">
        <v>6819</v>
      </c>
      <c r="S689" s="0" t="s">
        <v>352</v>
      </c>
      <c r="T689" s="0" t="s">
        <v>6820</v>
      </c>
      <c r="U689" s="0" t="n">
        <v>100</v>
      </c>
      <c r="V689" s="0" t="n">
        <v>16.87937276982</v>
      </c>
      <c r="W689" s="0" t="n">
        <v>20250331</v>
      </c>
      <c r="X689" s="0" t="n">
        <v>1.37223510961545</v>
      </c>
      <c r="Y689" s="0" t="s">
        <v>6821</v>
      </c>
      <c r="Z689" s="0" t="s">
        <v>158</v>
      </c>
    </row>
    <row r="690" customFormat="false" ht="15" hidden="false" customHeight="false" outlineLevel="0" collapsed="false">
      <c r="A690" s="0" t="n">
        <v>690</v>
      </c>
      <c r="B690" s="0" t="n">
        <v>253661</v>
      </c>
      <c r="C690" s="0" t="n">
        <v>59176</v>
      </c>
      <c r="D690" s="0" t="n">
        <v>203852</v>
      </c>
      <c r="E690" s="0" t="s">
        <v>1137</v>
      </c>
      <c r="F690" s="0" t="n">
        <v>27423</v>
      </c>
      <c r="G690" s="0" t="s">
        <v>6822</v>
      </c>
      <c r="H690" s="0" t="s">
        <v>6823</v>
      </c>
      <c r="I690" s="0" t="s">
        <v>6824</v>
      </c>
      <c r="J690" s="0" t="s">
        <v>6825</v>
      </c>
      <c r="K690" s="0" t="s">
        <v>61</v>
      </c>
      <c r="L690" s="0" t="n">
        <v>193343</v>
      </c>
      <c r="M690" s="0" t="s">
        <v>6826</v>
      </c>
      <c r="N690" s="0" t="n">
        <v>166487</v>
      </c>
      <c r="O690" s="0" t="n">
        <v>0</v>
      </c>
      <c r="P690" s="0" t="s">
        <v>610</v>
      </c>
      <c r="Q690" s="0" t="s">
        <v>61</v>
      </c>
      <c r="R690" s="0" t="s">
        <v>6827</v>
      </c>
      <c r="S690" s="0" t="s">
        <v>61</v>
      </c>
      <c r="T690" s="0" t="s">
        <v>61</v>
      </c>
      <c r="U690" s="0" t="n">
        <v>0</v>
      </c>
      <c r="V690" s="0" t="n">
        <v>0</v>
      </c>
      <c r="W690" s="0" t="n">
        <v>20250331</v>
      </c>
      <c r="X690" s="0" t="n">
        <v>0.197131813571955</v>
      </c>
      <c r="Y690" s="0" t="s">
        <v>6828</v>
      </c>
      <c r="Z690" s="0" t="s">
        <v>158</v>
      </c>
    </row>
    <row r="691" customFormat="false" ht="15" hidden="false" customHeight="false" outlineLevel="0" collapsed="false">
      <c r="A691" s="0" t="n">
        <v>691</v>
      </c>
      <c r="B691" s="0" t="n">
        <v>130262</v>
      </c>
      <c r="C691" s="0" t="n">
        <v>59289</v>
      </c>
      <c r="D691" s="0" t="n">
        <v>113554</v>
      </c>
      <c r="E691" s="0" t="s">
        <v>2226</v>
      </c>
      <c r="F691" s="0" t="n">
        <v>15654</v>
      </c>
      <c r="G691" s="0" t="s">
        <v>6829</v>
      </c>
      <c r="H691" s="0" t="s">
        <v>6830</v>
      </c>
      <c r="I691" s="0" t="s">
        <v>6831</v>
      </c>
      <c r="J691" s="0" t="s">
        <v>6832</v>
      </c>
      <c r="K691" s="0" t="s">
        <v>61</v>
      </c>
      <c r="L691" s="0" t="n">
        <v>97607</v>
      </c>
      <c r="M691" s="0" t="s">
        <v>6833</v>
      </c>
      <c r="N691" s="0" t="n">
        <v>38027</v>
      </c>
      <c r="O691" s="0" t="n">
        <v>4568</v>
      </c>
      <c r="P691" s="0" t="s">
        <v>2223</v>
      </c>
      <c r="Q691" s="0" t="s">
        <v>6834</v>
      </c>
      <c r="R691" s="0" t="s">
        <v>6835</v>
      </c>
      <c r="S691" s="0" t="s">
        <v>955</v>
      </c>
      <c r="T691" s="0" t="s">
        <v>6836</v>
      </c>
      <c r="U691" s="0" t="n">
        <v>0</v>
      </c>
      <c r="V691" s="0" t="n">
        <v>0</v>
      </c>
      <c r="W691" s="0" t="n">
        <v>20250331</v>
      </c>
      <c r="X691" s="0" t="n">
        <v>-0.642448863904766</v>
      </c>
      <c r="Y691" s="0" t="s">
        <v>6837</v>
      </c>
      <c r="Z691" s="0" t="s">
        <v>158</v>
      </c>
    </row>
    <row r="692" customFormat="false" ht="15" hidden="false" customHeight="false" outlineLevel="0" collapsed="false">
      <c r="A692" s="0" t="n">
        <v>692</v>
      </c>
      <c r="B692" s="0" t="n">
        <v>273586</v>
      </c>
      <c r="C692" s="0" t="n">
        <v>59298</v>
      </c>
      <c r="D692" s="0" t="n">
        <v>247768</v>
      </c>
      <c r="E692" s="0" t="s">
        <v>47</v>
      </c>
      <c r="F692" s="0" t="n">
        <v>24927</v>
      </c>
      <c r="G692" s="0" t="s">
        <v>6838</v>
      </c>
      <c r="H692" s="0" t="s">
        <v>6839</v>
      </c>
      <c r="I692" s="0" t="s">
        <v>6840</v>
      </c>
      <c r="J692" s="0" t="s">
        <v>6841</v>
      </c>
      <c r="K692" s="0" t="s">
        <v>61</v>
      </c>
      <c r="L692" s="0" t="n">
        <v>143380</v>
      </c>
      <c r="M692" s="0" t="s">
        <v>6842</v>
      </c>
      <c r="N692" s="0" t="n">
        <v>109081</v>
      </c>
      <c r="O692" s="0" t="n">
        <v>0</v>
      </c>
      <c r="P692" s="0" t="s">
        <v>1684</v>
      </c>
      <c r="Q692" s="0" t="s">
        <v>61</v>
      </c>
      <c r="R692" s="0" t="s">
        <v>6843</v>
      </c>
      <c r="S692" s="0" t="s">
        <v>61</v>
      </c>
      <c r="T692" s="0" t="s">
        <v>61</v>
      </c>
      <c r="U692" s="0" t="n">
        <v>0</v>
      </c>
      <c r="V692" s="0" t="n">
        <v>17.8288066289366</v>
      </c>
      <c r="W692" s="0" t="n">
        <v>20250331</v>
      </c>
      <c r="X692" s="0" t="n">
        <v>0.0209446406965589</v>
      </c>
      <c r="Y692" s="0" t="s">
        <v>613</v>
      </c>
      <c r="Z692" s="0" t="s">
        <v>98</v>
      </c>
    </row>
    <row r="693" customFormat="false" ht="15" hidden="false" customHeight="false" outlineLevel="0" collapsed="false">
      <c r="A693" s="0" t="n">
        <v>693</v>
      </c>
      <c r="B693" s="0" t="n">
        <v>1187395</v>
      </c>
      <c r="C693" s="0" t="n">
        <v>6271</v>
      </c>
      <c r="D693" s="0" t="n">
        <v>980794</v>
      </c>
      <c r="E693" s="0" t="s">
        <v>858</v>
      </c>
      <c r="F693" s="0" t="n">
        <v>115170</v>
      </c>
      <c r="G693" s="0" t="s">
        <v>6844</v>
      </c>
      <c r="H693" s="0" t="s">
        <v>6845</v>
      </c>
      <c r="I693" s="0" t="s">
        <v>6846</v>
      </c>
      <c r="J693" s="0" t="s">
        <v>6847</v>
      </c>
      <c r="K693" s="0" t="s">
        <v>6848</v>
      </c>
      <c r="L693" s="0" t="n">
        <v>941445</v>
      </c>
      <c r="M693" s="0" t="s">
        <v>6849</v>
      </c>
      <c r="N693" s="0" t="n">
        <v>739251</v>
      </c>
      <c r="O693" s="0" t="n">
        <v>8907</v>
      </c>
      <c r="P693" s="0" t="s">
        <v>621</v>
      </c>
      <c r="Q693" s="0" t="s">
        <v>6850</v>
      </c>
      <c r="R693" s="0" t="s">
        <v>6851</v>
      </c>
      <c r="S693" s="0" t="s">
        <v>5496</v>
      </c>
      <c r="T693" s="0" t="s">
        <v>6852</v>
      </c>
      <c r="U693" s="0" t="n">
        <v>494</v>
      </c>
      <c r="V693" s="0" t="n">
        <v>14.9379069100864</v>
      </c>
      <c r="W693" s="0" t="n">
        <v>20250331</v>
      </c>
      <c r="X693" s="0" t="n">
        <v>1.25143290710164</v>
      </c>
      <c r="Y693" s="0" t="s">
        <v>6853</v>
      </c>
      <c r="Z693" s="0" t="s">
        <v>98</v>
      </c>
    </row>
    <row r="694" customFormat="false" ht="15" hidden="false" customHeight="false" outlineLevel="0" collapsed="false">
      <c r="A694" s="0" t="n">
        <v>694</v>
      </c>
      <c r="B694" s="0" t="n">
        <v>547001</v>
      </c>
      <c r="C694" s="0" t="n">
        <v>6275</v>
      </c>
      <c r="D694" s="0" t="n">
        <v>502984</v>
      </c>
      <c r="E694" s="0" t="s">
        <v>61</v>
      </c>
      <c r="F694" s="0" t="n">
        <v>36237</v>
      </c>
      <c r="G694" s="0" t="s">
        <v>6854</v>
      </c>
      <c r="H694" s="0" t="s">
        <v>6855</v>
      </c>
      <c r="I694" s="0" t="s">
        <v>6856</v>
      </c>
      <c r="J694" s="0" t="s">
        <v>6857</v>
      </c>
      <c r="K694" s="0" t="s">
        <v>6858</v>
      </c>
      <c r="L694" s="0" t="n">
        <v>348655</v>
      </c>
      <c r="M694" s="0" t="s">
        <v>6859</v>
      </c>
      <c r="N694" s="0" t="n">
        <v>298585</v>
      </c>
      <c r="O694" s="0" t="n">
        <v>660</v>
      </c>
      <c r="P694" s="0" t="s">
        <v>633</v>
      </c>
      <c r="Q694" s="0" t="s">
        <v>6860</v>
      </c>
      <c r="R694" s="0" t="s">
        <v>6861</v>
      </c>
      <c r="S694" s="0" t="s">
        <v>534</v>
      </c>
      <c r="T694" s="0" t="s">
        <v>6862</v>
      </c>
      <c r="U694" s="0" t="n">
        <v>338</v>
      </c>
      <c r="V694" s="0" t="n">
        <v>15.7328932381291</v>
      </c>
      <c r="W694" s="0" t="n">
        <v>20250331</v>
      </c>
      <c r="X694" s="0" t="n">
        <v>0.743149433686518</v>
      </c>
      <c r="Y694" s="0" t="s">
        <v>6863</v>
      </c>
      <c r="Z694" s="0" t="s">
        <v>98</v>
      </c>
    </row>
    <row r="695" customFormat="false" ht="15" hidden="false" customHeight="false" outlineLevel="0" collapsed="false">
      <c r="A695" s="0" t="n">
        <v>695</v>
      </c>
      <c r="B695" s="0" t="n">
        <v>88000</v>
      </c>
      <c r="C695" s="0" t="n">
        <v>6280</v>
      </c>
      <c r="D695" s="0" t="n">
        <v>77788</v>
      </c>
      <c r="E695" s="0" t="s">
        <v>172</v>
      </c>
      <c r="F695" s="0" t="n">
        <v>10007</v>
      </c>
      <c r="G695" s="0" t="s">
        <v>6864</v>
      </c>
      <c r="H695" s="0" t="s">
        <v>6865</v>
      </c>
      <c r="I695" s="0" t="s">
        <v>6866</v>
      </c>
      <c r="J695" s="0" t="s">
        <v>6867</v>
      </c>
      <c r="K695" s="0" t="s">
        <v>6868</v>
      </c>
      <c r="L695" s="0" t="n">
        <v>71713</v>
      </c>
      <c r="M695" s="0" t="s">
        <v>6869</v>
      </c>
      <c r="N695" s="0" t="n">
        <v>64224</v>
      </c>
      <c r="O695" s="0" t="n">
        <v>1420</v>
      </c>
      <c r="P695" s="0" t="s">
        <v>644</v>
      </c>
      <c r="Q695" s="0" t="s">
        <v>6870</v>
      </c>
      <c r="R695" s="0" t="s">
        <v>6871</v>
      </c>
      <c r="S695" s="0" t="s">
        <v>352</v>
      </c>
      <c r="T695" s="0" t="s">
        <v>1595</v>
      </c>
      <c r="U695" s="0" t="n">
        <v>0</v>
      </c>
      <c r="V695" s="0" t="n">
        <v>0</v>
      </c>
      <c r="W695" s="0" t="n">
        <v>20250331</v>
      </c>
      <c r="X695" s="0" t="n">
        <v>1.28878743546101</v>
      </c>
      <c r="Y695" s="0" t="s">
        <v>6872</v>
      </c>
      <c r="Z695" s="0" t="s">
        <v>98</v>
      </c>
    </row>
    <row r="696" customFormat="false" ht="15" hidden="false" customHeight="false" outlineLevel="0" collapsed="false">
      <c r="A696" s="0" t="n">
        <v>696</v>
      </c>
      <c r="B696" s="0" t="n">
        <v>4106441</v>
      </c>
      <c r="C696" s="0" t="n">
        <v>11971</v>
      </c>
      <c r="D696" s="0" t="n">
        <v>3299177</v>
      </c>
      <c r="E696" s="0" t="s">
        <v>172</v>
      </c>
      <c r="F696" s="0" t="n">
        <v>503270</v>
      </c>
      <c r="G696" s="0" t="s">
        <v>6873</v>
      </c>
      <c r="H696" s="0" t="s">
        <v>6874</v>
      </c>
      <c r="I696" s="0" t="s">
        <v>6875</v>
      </c>
      <c r="J696" s="0" t="s">
        <v>6876</v>
      </c>
      <c r="K696" s="0" t="s">
        <v>6877</v>
      </c>
      <c r="L696" s="0" t="n">
        <v>3155492</v>
      </c>
      <c r="M696" s="0" t="s">
        <v>6878</v>
      </c>
      <c r="N696" s="0" t="n">
        <v>2795776</v>
      </c>
      <c r="O696" s="0" t="n">
        <v>9732</v>
      </c>
      <c r="P696" s="0" t="s">
        <v>54</v>
      </c>
      <c r="Q696" s="0" t="s">
        <v>6879</v>
      </c>
      <c r="R696" s="0" t="s">
        <v>6880</v>
      </c>
      <c r="S696" s="0" t="s">
        <v>944</v>
      </c>
      <c r="T696" s="0" t="s">
        <v>6881</v>
      </c>
      <c r="U696" s="0" t="n">
        <v>429</v>
      </c>
      <c r="V696" s="0" t="n">
        <v>13.7235807513042</v>
      </c>
      <c r="W696" s="0" t="n">
        <v>20250630</v>
      </c>
      <c r="X696" s="0" t="n">
        <v>0.959403059876807</v>
      </c>
      <c r="Y696" s="0" t="s">
        <v>2985</v>
      </c>
      <c r="Z696" s="0" t="s">
        <v>60</v>
      </c>
    </row>
    <row r="697" customFormat="false" ht="15" hidden="false" customHeight="false" outlineLevel="0" collapsed="false">
      <c r="A697" s="0" t="n">
        <v>697</v>
      </c>
      <c r="B697" s="0" t="n">
        <v>1085692</v>
      </c>
      <c r="C697" s="0" t="n">
        <v>12874</v>
      </c>
      <c r="D697" s="0" t="n">
        <v>934861</v>
      </c>
      <c r="E697" s="0" t="s">
        <v>1500</v>
      </c>
      <c r="F697" s="0" t="n">
        <v>100553</v>
      </c>
      <c r="G697" s="0" t="s">
        <v>6882</v>
      </c>
      <c r="H697" s="0" t="s">
        <v>6883</v>
      </c>
      <c r="I697" s="0" t="s">
        <v>6884</v>
      </c>
      <c r="J697" s="0" t="s">
        <v>6885</v>
      </c>
      <c r="K697" s="0" t="s">
        <v>3487</v>
      </c>
      <c r="L697" s="0" t="n">
        <v>846746</v>
      </c>
      <c r="M697" s="0" t="s">
        <v>6886</v>
      </c>
      <c r="N697" s="0" t="n">
        <v>669261</v>
      </c>
      <c r="O697" s="0" t="n">
        <v>1392</v>
      </c>
      <c r="P697" s="0" t="s">
        <v>68</v>
      </c>
      <c r="Q697" s="0" t="s">
        <v>6887</v>
      </c>
      <c r="R697" s="0" t="s">
        <v>6888</v>
      </c>
      <c r="S697" s="0" t="s">
        <v>2842</v>
      </c>
      <c r="T697" s="0" t="s">
        <v>6889</v>
      </c>
      <c r="U697" s="0" t="n">
        <v>0</v>
      </c>
      <c r="V697" s="0" t="n">
        <v>14.3096445878642</v>
      </c>
      <c r="W697" s="0" t="n">
        <v>20250630</v>
      </c>
      <c r="X697" s="0" t="n">
        <v>0.938648973217796</v>
      </c>
      <c r="Y697" s="0" t="s">
        <v>6890</v>
      </c>
      <c r="Z697" s="0" t="s">
        <v>60</v>
      </c>
    </row>
    <row r="698" customFormat="false" ht="15" hidden="false" customHeight="false" outlineLevel="0" collapsed="false">
      <c r="A698" s="0" t="n">
        <v>698</v>
      </c>
      <c r="B698" s="0" t="n">
        <v>1933479</v>
      </c>
      <c r="C698" s="0" t="n">
        <v>13063</v>
      </c>
      <c r="D698" s="0" t="n">
        <v>1642187</v>
      </c>
      <c r="E698" s="0" t="s">
        <v>271</v>
      </c>
      <c r="F698" s="0" t="n">
        <v>165281</v>
      </c>
      <c r="G698" s="0" t="s">
        <v>6891</v>
      </c>
      <c r="H698" s="0" t="s">
        <v>6892</v>
      </c>
      <c r="I698" s="0" t="s">
        <v>6893</v>
      </c>
      <c r="J698" s="0" t="s">
        <v>6894</v>
      </c>
      <c r="K698" s="0" t="s">
        <v>6895</v>
      </c>
      <c r="L698" s="0" t="n">
        <v>1559292</v>
      </c>
      <c r="M698" s="0" t="s">
        <v>6896</v>
      </c>
      <c r="N698" s="0" t="n">
        <v>1474935</v>
      </c>
      <c r="O698" s="0" t="n">
        <v>2263</v>
      </c>
      <c r="P698" s="0" t="s">
        <v>80</v>
      </c>
      <c r="Q698" s="0" t="s">
        <v>6897</v>
      </c>
      <c r="R698" s="0" t="s">
        <v>6898</v>
      </c>
      <c r="S698" s="0" t="s">
        <v>2033</v>
      </c>
      <c r="T698" s="0" t="s">
        <v>6899</v>
      </c>
      <c r="U698" s="0" t="n">
        <v>183</v>
      </c>
      <c r="V698" s="0" t="n">
        <v>0</v>
      </c>
      <c r="W698" s="0" t="n">
        <v>20250630</v>
      </c>
      <c r="X698" s="0" t="n">
        <v>0.621034232657182</v>
      </c>
      <c r="Y698" s="0" t="s">
        <v>6900</v>
      </c>
      <c r="Z698" s="0" t="s">
        <v>60</v>
      </c>
    </row>
    <row r="699" customFormat="false" ht="15" hidden="false" customHeight="false" outlineLevel="0" collapsed="false">
      <c r="A699" s="0" t="n">
        <v>699</v>
      </c>
      <c r="B699" s="0" t="n">
        <v>882477</v>
      </c>
      <c r="C699" s="0" t="n">
        <v>14134</v>
      </c>
      <c r="D699" s="0" t="n">
        <v>701612</v>
      </c>
      <c r="E699" s="0" t="s">
        <v>47</v>
      </c>
      <c r="F699" s="0" t="n">
        <v>116115</v>
      </c>
      <c r="G699" s="0" t="s">
        <v>6901</v>
      </c>
      <c r="H699" s="0" t="s">
        <v>6902</v>
      </c>
      <c r="I699" s="0" t="s">
        <v>6903</v>
      </c>
      <c r="J699" s="0" t="s">
        <v>6904</v>
      </c>
      <c r="K699" s="0" t="s">
        <v>6905</v>
      </c>
      <c r="L699" s="0" t="n">
        <v>634955</v>
      </c>
      <c r="M699" s="0" t="s">
        <v>6906</v>
      </c>
      <c r="N699" s="0" t="n">
        <v>566443</v>
      </c>
      <c r="O699" s="0" t="n">
        <v>2713</v>
      </c>
      <c r="P699" s="0" t="s">
        <v>92</v>
      </c>
      <c r="Q699" s="0" t="s">
        <v>6907</v>
      </c>
      <c r="R699" s="0" t="s">
        <v>6908</v>
      </c>
      <c r="S699" s="0" t="s">
        <v>751</v>
      </c>
      <c r="T699" s="0" t="s">
        <v>6909</v>
      </c>
      <c r="U699" s="0" t="n">
        <v>0</v>
      </c>
      <c r="V699" s="0" t="n">
        <v>20.6017342528864</v>
      </c>
      <c r="W699" s="0" t="n">
        <v>20250630</v>
      </c>
      <c r="X699" s="0" t="n">
        <v>0.610195299395189</v>
      </c>
      <c r="Y699" s="0" t="s">
        <v>2895</v>
      </c>
      <c r="Z699" s="0" t="s">
        <v>98</v>
      </c>
    </row>
    <row r="700" customFormat="false" ht="15" hidden="false" customHeight="false" outlineLevel="0" collapsed="false">
      <c r="A700" s="0" t="n">
        <v>700</v>
      </c>
      <c r="B700" s="0" t="n">
        <v>247991</v>
      </c>
      <c r="C700" s="0" t="n">
        <v>14136</v>
      </c>
      <c r="D700" s="0" t="n">
        <v>212734</v>
      </c>
      <c r="E700" s="0" t="s">
        <v>85</v>
      </c>
      <c r="F700" s="0" t="n">
        <v>20696</v>
      </c>
      <c r="G700" s="0" t="s">
        <v>6910</v>
      </c>
      <c r="H700" s="0" t="s">
        <v>6911</v>
      </c>
      <c r="I700" s="0" t="s">
        <v>6912</v>
      </c>
      <c r="J700" s="0" t="s">
        <v>6913</v>
      </c>
      <c r="K700" s="0" t="s">
        <v>6914</v>
      </c>
      <c r="L700" s="0" t="n">
        <v>165788</v>
      </c>
      <c r="M700" s="0" t="s">
        <v>6915</v>
      </c>
      <c r="N700" s="0" t="n">
        <v>133756</v>
      </c>
      <c r="O700" s="0" t="n">
        <v>543</v>
      </c>
      <c r="P700" s="0" t="s">
        <v>105</v>
      </c>
      <c r="Q700" s="0" t="s">
        <v>6916</v>
      </c>
      <c r="R700" s="0" t="s">
        <v>6917</v>
      </c>
      <c r="S700" s="0" t="s">
        <v>955</v>
      </c>
      <c r="T700" s="0" t="s">
        <v>6918</v>
      </c>
      <c r="U700" s="0" t="n">
        <v>534</v>
      </c>
      <c r="V700" s="0" t="n">
        <v>17.6574017718266</v>
      </c>
      <c r="W700" s="0" t="n">
        <v>20250630</v>
      </c>
      <c r="X700" s="0" t="n">
        <v>0.601654965518099</v>
      </c>
      <c r="Y700" s="0" t="s">
        <v>6919</v>
      </c>
      <c r="Z700" s="0" t="s">
        <v>98</v>
      </c>
    </row>
    <row r="701" customFormat="false" ht="15" hidden="false" customHeight="false" outlineLevel="0" collapsed="false">
      <c r="A701" s="0" t="n">
        <v>701</v>
      </c>
      <c r="B701" s="0" t="n">
        <v>1560737</v>
      </c>
      <c r="C701" s="0" t="n">
        <v>14140</v>
      </c>
      <c r="D701" s="0" t="n">
        <v>1280949</v>
      </c>
      <c r="E701" s="0" t="s">
        <v>172</v>
      </c>
      <c r="F701" s="0" t="n">
        <v>142689</v>
      </c>
      <c r="G701" s="0" t="s">
        <v>6920</v>
      </c>
      <c r="H701" s="0" t="s">
        <v>6921</v>
      </c>
      <c r="I701" s="0" t="s">
        <v>6922</v>
      </c>
      <c r="J701" s="0" t="s">
        <v>6923</v>
      </c>
      <c r="K701" s="0" t="s">
        <v>6924</v>
      </c>
      <c r="L701" s="0" t="n">
        <v>1105150</v>
      </c>
      <c r="M701" s="0" t="s">
        <v>6925</v>
      </c>
      <c r="N701" s="0" t="n">
        <v>976988</v>
      </c>
      <c r="O701" s="0" t="n">
        <v>7436</v>
      </c>
      <c r="P701" s="0" t="s">
        <v>117</v>
      </c>
      <c r="Q701" s="0" t="s">
        <v>6926</v>
      </c>
      <c r="R701" s="0" t="s">
        <v>6927</v>
      </c>
      <c r="S701" s="0" t="s">
        <v>6928</v>
      </c>
      <c r="T701" s="0" t="s">
        <v>6929</v>
      </c>
      <c r="U701" s="0" t="n">
        <v>0</v>
      </c>
      <c r="V701" s="0" t="n">
        <v>0</v>
      </c>
      <c r="W701" s="0" t="n">
        <v>20250630</v>
      </c>
      <c r="X701" s="0" t="n">
        <v>0.319216663443552</v>
      </c>
      <c r="Y701" s="0" t="s">
        <v>5932</v>
      </c>
      <c r="Z701" s="0" t="s">
        <v>98</v>
      </c>
    </row>
    <row r="702" customFormat="false" ht="15" hidden="false" customHeight="false" outlineLevel="0" collapsed="false">
      <c r="A702" s="0" t="n">
        <v>702</v>
      </c>
      <c r="B702" s="0" t="n">
        <v>1479452</v>
      </c>
      <c r="C702" s="0" t="n">
        <v>14158</v>
      </c>
      <c r="D702" s="0" t="n">
        <v>1107517</v>
      </c>
      <c r="E702" s="0" t="s">
        <v>172</v>
      </c>
      <c r="F702" s="0" t="n">
        <v>86521</v>
      </c>
      <c r="G702" s="0" t="s">
        <v>6930</v>
      </c>
      <c r="H702" s="0" t="s">
        <v>6931</v>
      </c>
      <c r="I702" s="0" t="s">
        <v>6932</v>
      </c>
      <c r="J702" s="0" t="s">
        <v>6933</v>
      </c>
      <c r="K702" s="0" t="s">
        <v>6934</v>
      </c>
      <c r="L702" s="0" t="n">
        <v>1113914</v>
      </c>
      <c r="M702" s="0" t="s">
        <v>6935</v>
      </c>
      <c r="N702" s="0" t="n">
        <v>1031319</v>
      </c>
      <c r="O702" s="0" t="n">
        <v>15189</v>
      </c>
      <c r="P702" s="0" t="s">
        <v>129</v>
      </c>
      <c r="Q702" s="0" t="s">
        <v>6936</v>
      </c>
      <c r="R702" s="0" t="s">
        <v>6937</v>
      </c>
      <c r="S702" s="0" t="s">
        <v>1329</v>
      </c>
      <c r="T702" s="0" t="s">
        <v>6938</v>
      </c>
      <c r="U702" s="0" t="n">
        <v>72</v>
      </c>
      <c r="V702" s="0" t="n">
        <v>12.6234332403009</v>
      </c>
      <c r="W702" s="0" t="n">
        <v>20250630</v>
      </c>
      <c r="X702" s="0" t="n">
        <v>0.704869265488618</v>
      </c>
      <c r="Y702" s="0" t="s">
        <v>648</v>
      </c>
      <c r="Z702" s="0" t="s">
        <v>98</v>
      </c>
    </row>
    <row r="703" customFormat="false" ht="15" hidden="false" customHeight="false" outlineLevel="0" collapsed="false">
      <c r="A703" s="0" t="n">
        <v>703</v>
      </c>
      <c r="B703" s="0" t="n">
        <v>376849</v>
      </c>
      <c r="C703" s="0" t="n">
        <v>14168</v>
      </c>
      <c r="D703" s="0" t="n">
        <v>332557</v>
      </c>
      <c r="E703" s="0" t="s">
        <v>47</v>
      </c>
      <c r="F703" s="0" t="n">
        <v>38788</v>
      </c>
      <c r="G703" s="0" t="s">
        <v>6939</v>
      </c>
      <c r="H703" s="0" t="s">
        <v>6940</v>
      </c>
      <c r="I703" s="0" t="s">
        <v>6941</v>
      </c>
      <c r="J703" s="0" t="s">
        <v>6942</v>
      </c>
      <c r="K703" s="0" t="s">
        <v>6943</v>
      </c>
      <c r="L703" s="0" t="n">
        <v>288218</v>
      </c>
      <c r="M703" s="0" t="s">
        <v>6944</v>
      </c>
      <c r="N703" s="0" t="n">
        <v>247587</v>
      </c>
      <c r="O703" s="0" t="n">
        <v>1012</v>
      </c>
      <c r="P703" s="0" t="s">
        <v>140</v>
      </c>
      <c r="Q703" s="0" t="s">
        <v>6945</v>
      </c>
      <c r="R703" s="0" t="s">
        <v>6946</v>
      </c>
      <c r="S703" s="0" t="s">
        <v>2061</v>
      </c>
      <c r="T703" s="0" t="s">
        <v>1488</v>
      </c>
      <c r="U703" s="0" t="n">
        <v>0</v>
      </c>
      <c r="V703" s="0" t="n">
        <v>16.584016716042</v>
      </c>
      <c r="W703" s="0" t="n">
        <v>20250630</v>
      </c>
      <c r="X703" s="0" t="n">
        <v>0.966716269310238</v>
      </c>
      <c r="Y703" s="0" t="s">
        <v>6947</v>
      </c>
      <c r="Z703" s="0" t="s">
        <v>98</v>
      </c>
    </row>
    <row r="704" customFormat="false" ht="15" hidden="false" customHeight="false" outlineLevel="0" collapsed="false">
      <c r="A704" s="0" t="n">
        <v>704</v>
      </c>
      <c r="B704" s="0" t="n">
        <v>1078591</v>
      </c>
      <c r="C704" s="0" t="n">
        <v>17115</v>
      </c>
      <c r="D704" s="0" t="n">
        <v>819065</v>
      </c>
      <c r="E704" s="0" t="s">
        <v>246</v>
      </c>
      <c r="F704" s="0" t="n">
        <v>97021</v>
      </c>
      <c r="G704" s="0" t="s">
        <v>6948</v>
      </c>
      <c r="H704" s="0" t="s">
        <v>6949</v>
      </c>
      <c r="I704" s="0" t="s">
        <v>6950</v>
      </c>
      <c r="J704" s="0" t="s">
        <v>6951</v>
      </c>
      <c r="K704" s="0" t="s">
        <v>6952</v>
      </c>
      <c r="L704" s="0" t="n">
        <v>882995</v>
      </c>
      <c r="M704" s="0" t="s">
        <v>6953</v>
      </c>
      <c r="N704" s="0" t="n">
        <v>837308</v>
      </c>
      <c r="O704" s="0" t="n">
        <v>2491</v>
      </c>
      <c r="P704" s="0" t="s">
        <v>166</v>
      </c>
      <c r="Q704" s="0" t="s">
        <v>6954</v>
      </c>
      <c r="R704" s="0" t="s">
        <v>6955</v>
      </c>
      <c r="S704" s="0" t="s">
        <v>6956</v>
      </c>
      <c r="T704" s="0" t="s">
        <v>6957</v>
      </c>
      <c r="U704" s="0" t="n">
        <v>83</v>
      </c>
      <c r="V704" s="0" t="n">
        <v>14.8169206277007</v>
      </c>
      <c r="W704" s="0" t="n">
        <v>20250630</v>
      </c>
      <c r="X704" s="0" t="n">
        <v>0.71338933420764</v>
      </c>
      <c r="Y704" s="0" t="s">
        <v>534</v>
      </c>
      <c r="Z704" s="0" t="s">
        <v>60</v>
      </c>
    </row>
    <row r="705" customFormat="false" ht="15" hidden="false" customHeight="false" outlineLevel="0" collapsed="false">
      <c r="A705" s="0" t="n">
        <v>705</v>
      </c>
      <c r="B705" s="0" t="n">
        <v>1609518</v>
      </c>
      <c r="C705" s="0" t="n">
        <v>17180</v>
      </c>
      <c r="D705" s="0" t="n">
        <v>1323945</v>
      </c>
      <c r="E705" s="0" t="s">
        <v>61</v>
      </c>
      <c r="F705" s="0" t="n">
        <v>147515</v>
      </c>
      <c r="G705" s="0" t="s">
        <v>6958</v>
      </c>
      <c r="H705" s="0" t="s">
        <v>6959</v>
      </c>
      <c r="I705" s="0" t="s">
        <v>6960</v>
      </c>
      <c r="J705" s="0" t="s">
        <v>6961</v>
      </c>
      <c r="K705" s="0" t="s">
        <v>6962</v>
      </c>
      <c r="L705" s="0" t="n">
        <v>1394163</v>
      </c>
      <c r="M705" s="0" t="s">
        <v>6963</v>
      </c>
      <c r="N705" s="0" t="n">
        <v>1170848</v>
      </c>
      <c r="O705" s="0" t="n">
        <v>5006</v>
      </c>
      <c r="P705" s="0" t="s">
        <v>179</v>
      </c>
      <c r="Q705" s="0" t="s">
        <v>6964</v>
      </c>
      <c r="R705" s="0" t="s">
        <v>6965</v>
      </c>
      <c r="S705" s="0" t="s">
        <v>5981</v>
      </c>
      <c r="T705" s="0" t="s">
        <v>5492</v>
      </c>
      <c r="U705" s="0" t="n">
        <v>10</v>
      </c>
      <c r="V705" s="0" t="n">
        <v>16.1170926443665</v>
      </c>
      <c r="W705" s="0" t="n">
        <v>20250630</v>
      </c>
      <c r="X705" s="0" t="n">
        <v>0.322125402656753</v>
      </c>
      <c r="Y705" s="0" t="s">
        <v>6966</v>
      </c>
      <c r="Z705" s="0" t="s">
        <v>158</v>
      </c>
    </row>
    <row r="706" customFormat="false" ht="15" hidden="false" customHeight="false" outlineLevel="0" collapsed="false">
      <c r="A706" s="0" t="n">
        <v>706</v>
      </c>
      <c r="B706" s="0" t="n">
        <v>366584</v>
      </c>
      <c r="C706" s="0" t="n">
        <v>17443</v>
      </c>
      <c r="D706" s="0" t="n">
        <v>285374</v>
      </c>
      <c r="E706" s="0" t="s">
        <v>1500</v>
      </c>
      <c r="F706" s="0" t="n">
        <v>40125</v>
      </c>
      <c r="G706" s="0" t="s">
        <v>6967</v>
      </c>
      <c r="H706" s="0" t="s">
        <v>6968</v>
      </c>
      <c r="I706" s="0" t="s">
        <v>6969</v>
      </c>
      <c r="J706" s="0" t="s">
        <v>61</v>
      </c>
      <c r="K706" s="0" t="s">
        <v>6970</v>
      </c>
      <c r="L706" s="0" t="n">
        <v>203227</v>
      </c>
      <c r="M706" s="0" t="s">
        <v>6971</v>
      </c>
      <c r="N706" s="0" t="n">
        <v>201428</v>
      </c>
      <c r="O706" s="0" t="n">
        <v>22</v>
      </c>
      <c r="P706" s="0" t="s">
        <v>190</v>
      </c>
      <c r="Q706" s="0" t="s">
        <v>6972</v>
      </c>
      <c r="R706" s="0" t="s">
        <v>6973</v>
      </c>
      <c r="S706" s="0" t="s">
        <v>61</v>
      </c>
      <c r="T706" s="0" t="s">
        <v>6974</v>
      </c>
      <c r="U706" s="0" t="n">
        <v>0</v>
      </c>
      <c r="V706" s="0" t="n">
        <v>0</v>
      </c>
      <c r="W706" s="0" t="n">
        <v>20250630</v>
      </c>
      <c r="X706" s="0" t="n">
        <v>-0.301132819905539</v>
      </c>
      <c r="Y706" s="0" t="s">
        <v>6975</v>
      </c>
      <c r="Z706" s="0" t="s">
        <v>158</v>
      </c>
    </row>
    <row r="707" customFormat="false" ht="15" hidden="false" customHeight="false" outlineLevel="0" collapsed="false">
      <c r="A707" s="0" t="n">
        <v>707</v>
      </c>
      <c r="B707" s="0" t="n">
        <v>2059300</v>
      </c>
      <c r="C707" s="0" t="n">
        <v>17658</v>
      </c>
      <c r="D707" s="0" t="n">
        <v>1592193</v>
      </c>
      <c r="E707" s="0" t="s">
        <v>259</v>
      </c>
      <c r="F707" s="0" t="n">
        <v>238741</v>
      </c>
      <c r="G707" s="0" t="s">
        <v>6976</v>
      </c>
      <c r="H707" s="0" t="s">
        <v>6977</v>
      </c>
      <c r="I707" s="0" t="s">
        <v>6978</v>
      </c>
      <c r="J707" s="0" t="s">
        <v>6979</v>
      </c>
      <c r="K707" s="0" t="s">
        <v>6980</v>
      </c>
      <c r="L707" s="0" t="n">
        <v>1472870</v>
      </c>
      <c r="M707" s="0" t="s">
        <v>6981</v>
      </c>
      <c r="N707" s="0" t="n">
        <v>1263229</v>
      </c>
      <c r="O707" s="0" t="n">
        <v>10168</v>
      </c>
      <c r="P707" s="0" t="s">
        <v>202</v>
      </c>
      <c r="Q707" s="0" t="s">
        <v>6982</v>
      </c>
      <c r="R707" s="0" t="s">
        <v>6983</v>
      </c>
      <c r="S707" s="0" t="s">
        <v>6984</v>
      </c>
      <c r="T707" s="0" t="s">
        <v>6985</v>
      </c>
      <c r="U707" s="0" t="n">
        <v>0</v>
      </c>
      <c r="V707" s="0" t="n">
        <v>0</v>
      </c>
      <c r="W707" s="0" t="n">
        <v>20250630</v>
      </c>
      <c r="X707" s="0" t="n">
        <v>0.859257679559975</v>
      </c>
      <c r="Y707" s="0" t="s">
        <v>6130</v>
      </c>
      <c r="Z707" s="0" t="s">
        <v>60</v>
      </c>
    </row>
    <row r="708" customFormat="false" ht="15" hidden="false" customHeight="false" outlineLevel="0" collapsed="false">
      <c r="A708" s="0" t="n">
        <v>708</v>
      </c>
      <c r="B708" s="0" t="n">
        <v>2758302</v>
      </c>
      <c r="C708" s="0" t="n">
        <v>17741</v>
      </c>
      <c r="D708" s="0" t="n">
        <v>2253432</v>
      </c>
      <c r="E708" s="0" t="s">
        <v>1729</v>
      </c>
      <c r="F708" s="0" t="n">
        <v>250972</v>
      </c>
      <c r="G708" s="0" t="s">
        <v>6986</v>
      </c>
      <c r="H708" s="0" t="s">
        <v>6987</v>
      </c>
      <c r="I708" s="0" t="s">
        <v>6988</v>
      </c>
      <c r="J708" s="0" t="s">
        <v>6989</v>
      </c>
      <c r="K708" s="0" t="s">
        <v>6990</v>
      </c>
      <c r="L708" s="0" t="n">
        <v>2277439</v>
      </c>
      <c r="M708" s="0" t="s">
        <v>6991</v>
      </c>
      <c r="N708" s="0" t="n">
        <v>2016043</v>
      </c>
      <c r="O708" s="0" t="n">
        <v>14212</v>
      </c>
      <c r="P708" s="0" t="s">
        <v>215</v>
      </c>
      <c r="Q708" s="0" t="s">
        <v>6992</v>
      </c>
      <c r="R708" s="0" t="s">
        <v>6993</v>
      </c>
      <c r="S708" s="0" t="s">
        <v>2678</v>
      </c>
      <c r="T708" s="0" t="s">
        <v>6994</v>
      </c>
      <c r="U708" s="0" t="n">
        <v>0</v>
      </c>
      <c r="V708" s="0" t="n">
        <v>0</v>
      </c>
      <c r="W708" s="0" t="n">
        <v>20250630</v>
      </c>
      <c r="X708" s="0" t="n">
        <v>0.805862894688845</v>
      </c>
      <c r="Y708" s="0" t="s">
        <v>6995</v>
      </c>
      <c r="Z708" s="0" t="s">
        <v>60</v>
      </c>
    </row>
    <row r="709" customFormat="false" ht="15" hidden="false" customHeight="false" outlineLevel="0" collapsed="false">
      <c r="A709" s="0" t="n">
        <v>709</v>
      </c>
      <c r="B709" s="0" t="n">
        <v>1439697</v>
      </c>
      <c r="C709" s="0" t="n">
        <v>17743</v>
      </c>
      <c r="D709" s="0" t="n">
        <v>1017963</v>
      </c>
      <c r="E709" s="0" t="s">
        <v>208</v>
      </c>
      <c r="F709" s="0" t="n">
        <v>126615</v>
      </c>
      <c r="G709" s="0" t="s">
        <v>6996</v>
      </c>
      <c r="H709" s="0" t="s">
        <v>6997</v>
      </c>
      <c r="I709" s="0" t="s">
        <v>6998</v>
      </c>
      <c r="J709" s="0" t="s">
        <v>6999</v>
      </c>
      <c r="K709" s="0" t="s">
        <v>1561</v>
      </c>
      <c r="L709" s="0" t="n">
        <v>1153900</v>
      </c>
      <c r="M709" s="0" t="s">
        <v>7000</v>
      </c>
      <c r="N709" s="0" t="n">
        <v>1110982</v>
      </c>
      <c r="O709" s="0" t="n">
        <v>407</v>
      </c>
      <c r="P709" s="0" t="s">
        <v>227</v>
      </c>
      <c r="Q709" s="0" t="s">
        <v>7001</v>
      </c>
      <c r="R709" s="0" t="s">
        <v>7002</v>
      </c>
      <c r="S709" s="0" t="s">
        <v>7003</v>
      </c>
      <c r="T709" s="0" t="s">
        <v>7004</v>
      </c>
      <c r="U709" s="0" t="n">
        <v>0</v>
      </c>
      <c r="V709" s="0" t="n">
        <v>0</v>
      </c>
      <c r="W709" s="0" t="n">
        <v>20250630</v>
      </c>
      <c r="X709" s="0" t="n">
        <v>0.0674104441716298</v>
      </c>
      <c r="Y709" s="0" t="s">
        <v>7005</v>
      </c>
      <c r="Z709" s="0" t="s">
        <v>60</v>
      </c>
    </row>
    <row r="710" customFormat="false" ht="15" hidden="false" customHeight="false" outlineLevel="0" collapsed="false">
      <c r="A710" s="0" t="n">
        <v>710</v>
      </c>
      <c r="B710" s="0" t="n">
        <v>1447972</v>
      </c>
      <c r="C710" s="0" t="n">
        <v>17749</v>
      </c>
      <c r="D710" s="0" t="n">
        <v>1125192</v>
      </c>
      <c r="E710" s="0" t="s">
        <v>259</v>
      </c>
      <c r="F710" s="0" t="n">
        <v>203598</v>
      </c>
      <c r="G710" s="0" t="s">
        <v>7006</v>
      </c>
      <c r="H710" s="0" t="s">
        <v>7007</v>
      </c>
      <c r="I710" s="0" t="s">
        <v>7008</v>
      </c>
      <c r="J710" s="0" t="s">
        <v>7009</v>
      </c>
      <c r="K710" s="0" t="s">
        <v>7010</v>
      </c>
      <c r="L710" s="0" t="n">
        <v>837251</v>
      </c>
      <c r="M710" s="0" t="s">
        <v>7011</v>
      </c>
      <c r="N710" s="0" t="n">
        <v>759223</v>
      </c>
      <c r="O710" s="0" t="n">
        <v>1306</v>
      </c>
      <c r="P710" s="0" t="s">
        <v>253</v>
      </c>
      <c r="Q710" s="0" t="s">
        <v>7012</v>
      </c>
      <c r="R710" s="0" t="s">
        <v>7013</v>
      </c>
      <c r="S710" s="0" t="s">
        <v>988</v>
      </c>
      <c r="T710" s="0" t="s">
        <v>7014</v>
      </c>
      <c r="U710" s="0" t="n">
        <v>66</v>
      </c>
      <c r="V710" s="0" t="n">
        <v>0</v>
      </c>
      <c r="W710" s="0" t="n">
        <v>20250630</v>
      </c>
      <c r="X710" s="0" t="n">
        <v>0.885431471938352</v>
      </c>
      <c r="Y710" s="0" t="s">
        <v>5900</v>
      </c>
      <c r="Z710" s="0" t="s">
        <v>60</v>
      </c>
    </row>
    <row r="711" customFormat="false" ht="15" hidden="false" customHeight="false" outlineLevel="0" collapsed="false">
      <c r="A711" s="0" t="n">
        <v>711</v>
      </c>
      <c r="B711" s="0" t="n">
        <v>1763462</v>
      </c>
      <c r="C711" s="0" t="n">
        <v>17751</v>
      </c>
      <c r="D711" s="0" t="n">
        <v>1373195</v>
      </c>
      <c r="E711" s="0" t="s">
        <v>259</v>
      </c>
      <c r="F711" s="0" t="n">
        <v>175467</v>
      </c>
      <c r="G711" s="0" t="s">
        <v>7015</v>
      </c>
      <c r="H711" s="0" t="s">
        <v>7016</v>
      </c>
      <c r="I711" s="0" t="s">
        <v>7017</v>
      </c>
      <c r="J711" s="0" t="s">
        <v>7018</v>
      </c>
      <c r="K711" s="0" t="s">
        <v>3006</v>
      </c>
      <c r="L711" s="0" t="n">
        <v>1456858</v>
      </c>
      <c r="M711" s="0" t="s">
        <v>7019</v>
      </c>
      <c r="N711" s="0" t="n">
        <v>1232944</v>
      </c>
      <c r="O711" s="0" t="n">
        <v>2425</v>
      </c>
      <c r="P711" s="0" t="s">
        <v>266</v>
      </c>
      <c r="Q711" s="0" t="s">
        <v>7020</v>
      </c>
      <c r="R711" s="0" t="s">
        <v>7021</v>
      </c>
      <c r="S711" s="0" t="s">
        <v>7022</v>
      </c>
      <c r="T711" s="0" t="s">
        <v>7023</v>
      </c>
      <c r="U711" s="0" t="n">
        <v>0</v>
      </c>
      <c r="V711" s="0" t="n">
        <v>13.9221615094596</v>
      </c>
      <c r="W711" s="0" t="n">
        <v>20250630</v>
      </c>
      <c r="X711" s="0" t="n">
        <v>0.456345594479789</v>
      </c>
      <c r="Y711" s="0" t="s">
        <v>7024</v>
      </c>
      <c r="Z711" s="0" t="s">
        <v>60</v>
      </c>
    </row>
    <row r="712" customFormat="false" ht="15" hidden="false" customHeight="false" outlineLevel="0" collapsed="false">
      <c r="A712" s="0" t="n">
        <v>712</v>
      </c>
      <c r="B712" s="0" t="n">
        <v>1790373</v>
      </c>
      <c r="C712" s="0" t="n">
        <v>17897</v>
      </c>
      <c r="D712" s="0" t="n">
        <v>1352989</v>
      </c>
      <c r="E712" s="0" t="s">
        <v>208</v>
      </c>
      <c r="F712" s="0" t="n">
        <v>226000</v>
      </c>
      <c r="G712" s="0" t="s">
        <v>7025</v>
      </c>
      <c r="H712" s="0" t="s">
        <v>7026</v>
      </c>
      <c r="I712" s="0" t="s">
        <v>7027</v>
      </c>
      <c r="J712" s="0" t="s">
        <v>7028</v>
      </c>
      <c r="K712" s="0" t="s">
        <v>7029</v>
      </c>
      <c r="L712" s="0" t="n">
        <v>1493755</v>
      </c>
      <c r="M712" s="0" t="s">
        <v>7030</v>
      </c>
      <c r="N712" s="0" t="n">
        <v>1393686</v>
      </c>
      <c r="O712" s="0" t="n">
        <v>5391</v>
      </c>
      <c r="P712" s="0" t="s">
        <v>278</v>
      </c>
      <c r="Q712" s="0" t="s">
        <v>7031</v>
      </c>
      <c r="R712" s="0" t="s">
        <v>7032</v>
      </c>
      <c r="S712" s="0" t="s">
        <v>1604</v>
      </c>
      <c r="T712" s="0" t="s">
        <v>7033</v>
      </c>
      <c r="U712" s="0" t="n">
        <v>0</v>
      </c>
      <c r="V712" s="0" t="n">
        <v>17.6818933802263</v>
      </c>
      <c r="W712" s="0" t="n">
        <v>20250630</v>
      </c>
      <c r="X712" s="0" t="n">
        <v>0.973987306631968</v>
      </c>
      <c r="Y712" s="0" t="s">
        <v>7034</v>
      </c>
      <c r="Z712" s="0" t="s">
        <v>60</v>
      </c>
    </row>
    <row r="713" customFormat="false" ht="15" hidden="false" customHeight="false" outlineLevel="0" collapsed="false">
      <c r="A713" s="0" t="n">
        <v>713</v>
      </c>
      <c r="B713" s="0" t="n">
        <v>905293</v>
      </c>
      <c r="C713" s="0" t="n">
        <v>17951</v>
      </c>
      <c r="D713" s="0" t="n">
        <v>747263</v>
      </c>
      <c r="E713" s="0" t="s">
        <v>85</v>
      </c>
      <c r="F713" s="0" t="n">
        <v>70680</v>
      </c>
      <c r="G713" s="0" t="s">
        <v>7035</v>
      </c>
      <c r="H713" s="0" t="s">
        <v>7036</v>
      </c>
      <c r="I713" s="0" t="s">
        <v>7037</v>
      </c>
      <c r="J713" s="0" t="s">
        <v>7038</v>
      </c>
      <c r="K713" s="0" t="s">
        <v>7039</v>
      </c>
      <c r="L713" s="0" t="n">
        <v>694645</v>
      </c>
      <c r="M713" s="0" t="s">
        <v>7040</v>
      </c>
      <c r="N713" s="0" t="n">
        <v>636895</v>
      </c>
      <c r="O713" s="0" t="n">
        <v>150</v>
      </c>
      <c r="P713" s="0" t="s">
        <v>290</v>
      </c>
      <c r="Q713" s="0" t="s">
        <v>7041</v>
      </c>
      <c r="R713" s="0" t="s">
        <v>7042</v>
      </c>
      <c r="S713" s="0" t="s">
        <v>478</v>
      </c>
      <c r="T713" s="0" t="s">
        <v>7043</v>
      </c>
      <c r="U713" s="0" t="n">
        <v>0</v>
      </c>
      <c r="V713" s="0" t="n">
        <v>13.0942608216289</v>
      </c>
      <c r="W713" s="0" t="n">
        <v>20250630</v>
      </c>
      <c r="X713" s="0" t="n">
        <v>0.647365164184546</v>
      </c>
      <c r="Y713" s="0" t="s">
        <v>7044</v>
      </c>
      <c r="Z713" s="0" t="s">
        <v>158</v>
      </c>
    </row>
    <row r="714" customFormat="false" ht="15" hidden="false" customHeight="false" outlineLevel="0" collapsed="false">
      <c r="A714" s="0" t="n">
        <v>714</v>
      </c>
      <c r="B714" s="0" t="n">
        <v>1351508</v>
      </c>
      <c r="C714" s="0" t="n">
        <v>17960</v>
      </c>
      <c r="D714" s="0" t="n">
        <v>1099933</v>
      </c>
      <c r="E714" s="0" t="s">
        <v>1137</v>
      </c>
      <c r="F714" s="0" t="n">
        <v>119316</v>
      </c>
      <c r="G714" s="0" t="s">
        <v>7045</v>
      </c>
      <c r="H714" s="0" t="s">
        <v>7046</v>
      </c>
      <c r="I714" s="0" t="s">
        <v>7047</v>
      </c>
      <c r="J714" s="0" t="s">
        <v>7048</v>
      </c>
      <c r="K714" s="0" t="s">
        <v>7049</v>
      </c>
      <c r="L714" s="0" t="n">
        <v>1146687</v>
      </c>
      <c r="M714" s="0" t="s">
        <v>7050</v>
      </c>
      <c r="N714" s="0" t="n">
        <v>807602</v>
      </c>
      <c r="O714" s="0" t="n">
        <v>7677</v>
      </c>
      <c r="P714" s="0" t="s">
        <v>302</v>
      </c>
      <c r="Q714" s="0" t="s">
        <v>7051</v>
      </c>
      <c r="R714" s="0" t="s">
        <v>7052</v>
      </c>
      <c r="S714" s="0" t="s">
        <v>7053</v>
      </c>
      <c r="T714" s="0" t="s">
        <v>7054</v>
      </c>
      <c r="U714" s="0" t="n">
        <v>0</v>
      </c>
      <c r="V714" s="0" t="n">
        <v>13.7977129571644</v>
      </c>
      <c r="W714" s="0" t="n">
        <v>20250630</v>
      </c>
      <c r="X714" s="0" t="n">
        <v>0.262782180471353</v>
      </c>
      <c r="Y714" s="0" t="s">
        <v>7055</v>
      </c>
      <c r="Z714" s="0" t="s">
        <v>158</v>
      </c>
    </row>
    <row r="715" customFormat="false" ht="15" hidden="false" customHeight="false" outlineLevel="0" collapsed="false">
      <c r="A715" s="0" t="n">
        <v>715</v>
      </c>
      <c r="B715" s="0" t="n">
        <v>2642289</v>
      </c>
      <c r="C715" s="0" t="n">
        <v>18012</v>
      </c>
      <c r="D715" s="0" t="n">
        <v>2262357</v>
      </c>
      <c r="E715" s="0" t="s">
        <v>246</v>
      </c>
      <c r="F715" s="0" t="n">
        <v>301653</v>
      </c>
      <c r="G715" s="0" t="s">
        <v>7056</v>
      </c>
      <c r="H715" s="0" t="s">
        <v>7057</v>
      </c>
      <c r="I715" s="0" t="s">
        <v>7058</v>
      </c>
      <c r="J715" s="0" t="s">
        <v>7059</v>
      </c>
      <c r="K715" s="0" t="s">
        <v>7060</v>
      </c>
      <c r="L715" s="0" t="n">
        <v>2150865</v>
      </c>
      <c r="M715" s="0" t="s">
        <v>7061</v>
      </c>
      <c r="N715" s="0" t="n">
        <v>2050812</v>
      </c>
      <c r="O715" s="0" t="n">
        <v>1020</v>
      </c>
      <c r="P715" s="0" t="s">
        <v>312</v>
      </c>
      <c r="Q715" s="0" t="s">
        <v>7062</v>
      </c>
      <c r="R715" s="0" t="s">
        <v>7063</v>
      </c>
      <c r="S715" s="0" t="s">
        <v>7064</v>
      </c>
      <c r="T715" s="0" t="s">
        <v>7065</v>
      </c>
      <c r="U715" s="0" t="n">
        <v>0</v>
      </c>
      <c r="V715" s="0" t="n">
        <v>13.9483203193009</v>
      </c>
      <c r="W715" s="0" t="n">
        <v>20250630</v>
      </c>
      <c r="X715" s="0" t="n">
        <v>0.790802552231915</v>
      </c>
      <c r="Y715" s="0" t="s">
        <v>2024</v>
      </c>
      <c r="Z715" s="0" t="s">
        <v>158</v>
      </c>
    </row>
    <row r="716" customFormat="false" ht="15" hidden="false" customHeight="false" outlineLevel="0" collapsed="false">
      <c r="A716" s="0" t="n">
        <v>716</v>
      </c>
      <c r="B716" s="0" t="n">
        <v>2896306</v>
      </c>
      <c r="C716" s="0" t="n">
        <v>18013</v>
      </c>
      <c r="D716" s="0" t="n">
        <v>2573471</v>
      </c>
      <c r="E716" s="0" t="s">
        <v>271</v>
      </c>
      <c r="F716" s="0" t="n">
        <v>235044</v>
      </c>
      <c r="G716" s="0" t="s">
        <v>7066</v>
      </c>
      <c r="H716" s="0" t="s">
        <v>7067</v>
      </c>
      <c r="I716" s="0" t="s">
        <v>7068</v>
      </c>
      <c r="J716" s="0" t="s">
        <v>7069</v>
      </c>
      <c r="K716" s="0" t="s">
        <v>7070</v>
      </c>
      <c r="L716" s="0" t="n">
        <v>2423167</v>
      </c>
      <c r="M716" s="0" t="s">
        <v>7071</v>
      </c>
      <c r="N716" s="0" t="n">
        <v>2224117</v>
      </c>
      <c r="O716" s="0" t="n">
        <v>1401</v>
      </c>
      <c r="P716" s="0" t="s">
        <v>324</v>
      </c>
      <c r="Q716" s="0" t="s">
        <v>7072</v>
      </c>
      <c r="R716" s="0" t="s">
        <v>7073</v>
      </c>
      <c r="S716" s="0" t="s">
        <v>7074</v>
      </c>
      <c r="T716" s="0" t="s">
        <v>7075</v>
      </c>
      <c r="U716" s="0" t="n">
        <v>153</v>
      </c>
      <c r="V716" s="0" t="n">
        <v>12.6358689440193</v>
      </c>
      <c r="W716" s="0" t="n">
        <v>20250630</v>
      </c>
      <c r="X716" s="0" t="n">
        <v>0.336164972529288</v>
      </c>
      <c r="Y716" s="0" t="s">
        <v>7076</v>
      </c>
      <c r="Z716" s="0" t="s">
        <v>158</v>
      </c>
    </row>
    <row r="717" customFormat="false" ht="15" hidden="false" customHeight="false" outlineLevel="0" collapsed="false">
      <c r="A717" s="0" t="n">
        <v>717</v>
      </c>
      <c r="B717" s="0" t="n">
        <v>404550</v>
      </c>
      <c r="C717" s="0" t="n">
        <v>18028</v>
      </c>
      <c r="D717" s="0" t="n">
        <v>343782</v>
      </c>
      <c r="E717" s="0" t="s">
        <v>1687</v>
      </c>
      <c r="F717" s="0" t="n">
        <v>44056</v>
      </c>
      <c r="G717" s="0" t="s">
        <v>7077</v>
      </c>
      <c r="H717" s="0" t="s">
        <v>7078</v>
      </c>
      <c r="I717" s="0" t="s">
        <v>7079</v>
      </c>
      <c r="J717" s="0" t="s">
        <v>7080</v>
      </c>
      <c r="K717" s="0" t="s">
        <v>7081</v>
      </c>
      <c r="L717" s="0" t="n">
        <v>278902</v>
      </c>
      <c r="M717" s="0" t="s">
        <v>7082</v>
      </c>
      <c r="N717" s="0" t="n">
        <v>256176</v>
      </c>
      <c r="O717" s="0" t="n">
        <v>1323</v>
      </c>
      <c r="P717" s="0" t="s">
        <v>337</v>
      </c>
      <c r="Q717" s="0" t="s">
        <v>7083</v>
      </c>
      <c r="R717" s="0" t="s">
        <v>7084</v>
      </c>
      <c r="S717" s="0" t="s">
        <v>7085</v>
      </c>
      <c r="T717" s="0" t="s">
        <v>7086</v>
      </c>
      <c r="U717" s="0" t="n">
        <v>65</v>
      </c>
      <c r="V717" s="0" t="n">
        <v>0</v>
      </c>
      <c r="W717" s="0" t="n">
        <v>20250630</v>
      </c>
      <c r="X717" s="0" t="n">
        <v>0.514962579054543</v>
      </c>
      <c r="Y717" s="0" t="s">
        <v>194</v>
      </c>
      <c r="Z717" s="0" t="s">
        <v>158</v>
      </c>
    </row>
    <row r="718" customFormat="false" ht="15" hidden="false" customHeight="false" outlineLevel="0" collapsed="false">
      <c r="A718" s="0" t="n">
        <v>718</v>
      </c>
      <c r="B718" s="0" t="n">
        <v>805858</v>
      </c>
      <c r="C718" s="0" t="n">
        <v>18030</v>
      </c>
      <c r="D718" s="0" t="n">
        <v>738321</v>
      </c>
      <c r="E718" s="0" t="s">
        <v>259</v>
      </c>
      <c r="F718" s="0" t="n">
        <v>58470</v>
      </c>
      <c r="G718" s="0" t="s">
        <v>7087</v>
      </c>
      <c r="H718" s="0" t="s">
        <v>7088</v>
      </c>
      <c r="I718" s="0" t="s">
        <v>7089</v>
      </c>
      <c r="J718" s="0" t="s">
        <v>7090</v>
      </c>
      <c r="K718" s="0" t="s">
        <v>7091</v>
      </c>
      <c r="L718" s="0" t="n">
        <v>601715</v>
      </c>
      <c r="M718" s="0" t="s">
        <v>7092</v>
      </c>
      <c r="N718" s="0" t="n">
        <v>463695</v>
      </c>
      <c r="O718" s="0" t="n">
        <v>1404</v>
      </c>
      <c r="P718" s="0" t="s">
        <v>349</v>
      </c>
      <c r="Q718" s="0" t="s">
        <v>7093</v>
      </c>
      <c r="R718" s="0" t="s">
        <v>7094</v>
      </c>
      <c r="S718" s="0" t="s">
        <v>7003</v>
      </c>
      <c r="T718" s="0" t="s">
        <v>7095</v>
      </c>
      <c r="U718" s="0" t="n">
        <v>0</v>
      </c>
      <c r="V718" s="0" t="n">
        <v>14.1416681477336</v>
      </c>
      <c r="W718" s="0" t="n">
        <v>20250630</v>
      </c>
      <c r="X718" s="0" t="n">
        <v>0.71837995883469</v>
      </c>
      <c r="Y718" s="0" t="s">
        <v>7096</v>
      </c>
      <c r="Z718" s="0" t="s">
        <v>158</v>
      </c>
    </row>
    <row r="719" customFormat="false" ht="15" hidden="false" customHeight="false" outlineLevel="0" collapsed="false">
      <c r="A719" s="0" t="n">
        <v>719</v>
      </c>
      <c r="B719" s="0" t="n">
        <v>669249</v>
      </c>
      <c r="C719" s="0" t="n">
        <v>18031</v>
      </c>
      <c r="D719" s="0" t="n">
        <v>526372</v>
      </c>
      <c r="E719" s="0" t="s">
        <v>47</v>
      </c>
      <c r="F719" s="0" t="n">
        <v>40753</v>
      </c>
      <c r="G719" s="0" t="s">
        <v>7097</v>
      </c>
      <c r="H719" s="0" t="s">
        <v>7098</v>
      </c>
      <c r="I719" s="0" t="s">
        <v>7099</v>
      </c>
      <c r="J719" s="0" t="s">
        <v>7100</v>
      </c>
      <c r="K719" s="0" t="s">
        <v>7101</v>
      </c>
      <c r="L719" s="0" t="n">
        <v>452465</v>
      </c>
      <c r="M719" s="0" t="s">
        <v>7102</v>
      </c>
      <c r="N719" s="0" t="n">
        <v>416232</v>
      </c>
      <c r="O719" s="0" t="n">
        <v>562</v>
      </c>
      <c r="P719" s="0" t="s">
        <v>361</v>
      </c>
      <c r="Q719" s="0" t="s">
        <v>7103</v>
      </c>
      <c r="R719" s="0" t="s">
        <v>7104</v>
      </c>
      <c r="S719" s="0" t="s">
        <v>1977</v>
      </c>
      <c r="T719" s="0" t="s">
        <v>7105</v>
      </c>
      <c r="U719" s="0" t="n">
        <v>4</v>
      </c>
      <c r="V719" s="0" t="n">
        <v>16.9548375809498</v>
      </c>
      <c r="W719" s="0" t="n">
        <v>20250630</v>
      </c>
      <c r="X719" s="0" t="n">
        <v>0.193008984250507</v>
      </c>
      <c r="Y719" s="0" t="s">
        <v>7106</v>
      </c>
      <c r="Z719" s="0" t="s">
        <v>158</v>
      </c>
    </row>
    <row r="720" customFormat="false" ht="15" hidden="false" customHeight="false" outlineLevel="0" collapsed="false">
      <c r="A720" s="0" t="n">
        <v>720</v>
      </c>
      <c r="B720" s="0" t="n">
        <v>597834</v>
      </c>
      <c r="C720" s="0" t="n">
        <v>18038</v>
      </c>
      <c r="D720" s="0" t="n">
        <v>447963</v>
      </c>
      <c r="E720" s="0" t="s">
        <v>61</v>
      </c>
      <c r="F720" s="0" t="n">
        <v>69475</v>
      </c>
      <c r="G720" s="0" t="s">
        <v>7107</v>
      </c>
      <c r="H720" s="0" t="s">
        <v>7108</v>
      </c>
      <c r="I720" s="0" t="s">
        <v>7109</v>
      </c>
      <c r="J720" s="0" t="s">
        <v>7110</v>
      </c>
      <c r="K720" s="0" t="s">
        <v>7111</v>
      </c>
      <c r="L720" s="0" t="n">
        <v>458530</v>
      </c>
      <c r="M720" s="0" t="s">
        <v>7112</v>
      </c>
      <c r="N720" s="0" t="n">
        <v>420497</v>
      </c>
      <c r="O720" s="0" t="n">
        <v>2194</v>
      </c>
      <c r="P720" s="0" t="s">
        <v>372</v>
      </c>
      <c r="Q720" s="0" t="s">
        <v>7113</v>
      </c>
      <c r="R720" s="0" t="s">
        <v>7114</v>
      </c>
      <c r="S720" s="0" t="s">
        <v>7115</v>
      </c>
      <c r="T720" s="0" t="s">
        <v>7116</v>
      </c>
      <c r="U720" s="0" t="n">
        <v>0</v>
      </c>
      <c r="V720" s="0" t="n">
        <v>0</v>
      </c>
      <c r="W720" s="0" t="n">
        <v>20250630</v>
      </c>
      <c r="X720" s="0" t="n">
        <v>0.425956323893033</v>
      </c>
      <c r="Y720" s="0" t="s">
        <v>6193</v>
      </c>
      <c r="Z720" s="0" t="s">
        <v>158</v>
      </c>
    </row>
    <row r="721" customFormat="false" ht="15" hidden="false" customHeight="false" outlineLevel="0" collapsed="false">
      <c r="A721" s="0" t="n">
        <v>721</v>
      </c>
      <c r="B721" s="0" t="n">
        <v>7335916</v>
      </c>
      <c r="C721" s="0" t="n">
        <v>18408</v>
      </c>
      <c r="D721" s="0" t="n">
        <v>5915806</v>
      </c>
      <c r="E721" s="0" t="s">
        <v>2413</v>
      </c>
      <c r="F721" s="0" t="n">
        <v>467639</v>
      </c>
      <c r="G721" s="0" t="s">
        <v>7117</v>
      </c>
      <c r="H721" s="0" t="s">
        <v>7118</v>
      </c>
      <c r="I721" s="0" t="s">
        <v>7119</v>
      </c>
      <c r="J721" s="0" t="s">
        <v>7120</v>
      </c>
      <c r="K721" s="0" t="s">
        <v>7121</v>
      </c>
      <c r="L721" s="0" t="n">
        <v>5070574</v>
      </c>
      <c r="M721" s="0" t="s">
        <v>7122</v>
      </c>
      <c r="N721" s="0" t="n">
        <v>4566132</v>
      </c>
      <c r="O721" s="0" t="n">
        <v>33535</v>
      </c>
      <c r="P721" s="0" t="s">
        <v>384</v>
      </c>
      <c r="Q721" s="0" t="s">
        <v>7123</v>
      </c>
      <c r="R721" s="0" t="s">
        <v>7124</v>
      </c>
      <c r="S721" s="0" t="s">
        <v>1238</v>
      </c>
      <c r="T721" s="0" t="s">
        <v>7125</v>
      </c>
      <c r="U721" s="0" t="n">
        <v>0</v>
      </c>
      <c r="V721" s="0" t="n">
        <v>11.148900251832</v>
      </c>
      <c r="W721" s="0" t="n">
        <v>20250630</v>
      </c>
      <c r="X721" s="0" t="n">
        <v>0.106277541750663</v>
      </c>
      <c r="Y721" s="0" t="s">
        <v>5234</v>
      </c>
      <c r="Z721" s="0" t="s">
        <v>60</v>
      </c>
    </row>
    <row r="722" customFormat="false" ht="15" hidden="false" customHeight="false" outlineLevel="0" collapsed="false">
      <c r="A722" s="0" t="n">
        <v>722</v>
      </c>
      <c r="B722" s="0" t="n">
        <v>2611219</v>
      </c>
      <c r="C722" s="0" t="n">
        <v>19531</v>
      </c>
      <c r="D722" s="0" t="n">
        <v>2294497</v>
      </c>
      <c r="E722" s="0" t="s">
        <v>61</v>
      </c>
      <c r="F722" s="0" t="n">
        <v>275708</v>
      </c>
      <c r="G722" s="0" t="s">
        <v>7126</v>
      </c>
      <c r="H722" s="0" t="s">
        <v>7127</v>
      </c>
      <c r="I722" s="0" t="s">
        <v>7128</v>
      </c>
      <c r="J722" s="0" t="s">
        <v>7129</v>
      </c>
      <c r="K722" s="0" t="s">
        <v>2080</v>
      </c>
      <c r="L722" s="0" t="n">
        <v>2215644</v>
      </c>
      <c r="M722" s="0" t="s">
        <v>7130</v>
      </c>
      <c r="N722" s="0" t="n">
        <v>1826881</v>
      </c>
      <c r="O722" s="0" t="n">
        <v>9735</v>
      </c>
      <c r="P722" s="0" t="s">
        <v>397</v>
      </c>
      <c r="Q722" s="0" t="s">
        <v>7131</v>
      </c>
      <c r="R722" s="0" t="s">
        <v>7132</v>
      </c>
      <c r="S722" s="0" t="s">
        <v>7133</v>
      </c>
      <c r="T722" s="0" t="s">
        <v>7134</v>
      </c>
      <c r="U722" s="0" t="n">
        <v>5</v>
      </c>
      <c r="V722" s="0" t="n">
        <v>14.1532975883845</v>
      </c>
      <c r="W722" s="0" t="n">
        <v>20250630</v>
      </c>
      <c r="X722" s="0" t="n">
        <v>0.844947020319184</v>
      </c>
      <c r="Y722" s="0" t="s">
        <v>7135</v>
      </c>
      <c r="Z722" s="0" t="s">
        <v>60</v>
      </c>
    </row>
    <row r="723" customFormat="false" ht="15" hidden="false" customHeight="false" outlineLevel="0" collapsed="false">
      <c r="A723" s="0" t="n">
        <v>723</v>
      </c>
      <c r="B723" s="0" t="n">
        <v>843145</v>
      </c>
      <c r="C723" s="0" t="n">
        <v>19532</v>
      </c>
      <c r="D723" s="0" t="n">
        <v>706708</v>
      </c>
      <c r="E723" s="0" t="s">
        <v>794</v>
      </c>
      <c r="F723" s="0" t="n">
        <v>110106</v>
      </c>
      <c r="G723" s="0" t="s">
        <v>7136</v>
      </c>
      <c r="H723" s="0" t="s">
        <v>7137</v>
      </c>
      <c r="I723" s="0" t="s">
        <v>7138</v>
      </c>
      <c r="J723" s="0" t="s">
        <v>7139</v>
      </c>
      <c r="K723" s="0" t="s">
        <v>7140</v>
      </c>
      <c r="L723" s="0" t="n">
        <v>617669</v>
      </c>
      <c r="M723" s="0" t="s">
        <v>7141</v>
      </c>
      <c r="N723" s="0" t="n">
        <v>511357</v>
      </c>
      <c r="O723" s="0" t="n">
        <v>1705</v>
      </c>
      <c r="P723" s="0" t="s">
        <v>409</v>
      </c>
      <c r="Q723" s="0" t="s">
        <v>7142</v>
      </c>
      <c r="R723" s="0" t="s">
        <v>7143</v>
      </c>
      <c r="S723" s="0" t="s">
        <v>1556</v>
      </c>
      <c r="T723" s="0" t="s">
        <v>7144</v>
      </c>
      <c r="U723" s="0" t="n">
        <v>189</v>
      </c>
      <c r="V723" s="0" t="n">
        <v>21.8705548239072</v>
      </c>
      <c r="W723" s="0" t="n">
        <v>20250630</v>
      </c>
      <c r="X723" s="0" t="n">
        <v>0.98381360720577</v>
      </c>
      <c r="Y723" s="0" t="s">
        <v>7145</v>
      </c>
      <c r="Z723" s="0" t="s">
        <v>60</v>
      </c>
    </row>
    <row r="724" customFormat="false" ht="15" hidden="false" customHeight="false" outlineLevel="0" collapsed="false">
      <c r="A724" s="0" t="n">
        <v>724</v>
      </c>
      <c r="B724" s="0" t="n">
        <v>4279069</v>
      </c>
      <c r="C724" s="0" t="n">
        <v>19690</v>
      </c>
      <c r="D724" s="0" t="n">
        <v>3405883</v>
      </c>
      <c r="E724" s="0" t="s">
        <v>513</v>
      </c>
      <c r="F724" s="0" t="n">
        <v>494286</v>
      </c>
      <c r="G724" s="0" t="s">
        <v>7146</v>
      </c>
      <c r="H724" s="0" t="s">
        <v>7147</v>
      </c>
      <c r="I724" s="0" t="s">
        <v>7148</v>
      </c>
      <c r="J724" s="0" t="s">
        <v>7149</v>
      </c>
      <c r="K724" s="0" t="s">
        <v>7150</v>
      </c>
      <c r="L724" s="0" t="n">
        <v>3790157</v>
      </c>
      <c r="M724" s="0" t="s">
        <v>7151</v>
      </c>
      <c r="N724" s="0" t="n">
        <v>2852951</v>
      </c>
      <c r="O724" s="0" t="n">
        <v>35011</v>
      </c>
      <c r="P724" s="0" t="s">
        <v>420</v>
      </c>
      <c r="Q724" s="0" t="s">
        <v>7152</v>
      </c>
      <c r="R724" s="0" t="s">
        <v>7153</v>
      </c>
      <c r="S724" s="0" t="s">
        <v>7154</v>
      </c>
      <c r="T724" s="0" t="s">
        <v>7155</v>
      </c>
      <c r="U724" s="0" t="n">
        <v>0</v>
      </c>
      <c r="V724" s="0" t="n">
        <v>14.6965811023661</v>
      </c>
      <c r="W724" s="0" t="n">
        <v>20250630</v>
      </c>
      <c r="X724" s="0" t="n">
        <v>2.09184214445272</v>
      </c>
      <c r="Y724" s="0" t="s">
        <v>7156</v>
      </c>
      <c r="Z724" s="0" t="s">
        <v>60</v>
      </c>
    </row>
    <row r="725" customFormat="false" ht="15" hidden="false" customHeight="false" outlineLevel="0" collapsed="false">
      <c r="A725" s="0" t="n">
        <v>725</v>
      </c>
      <c r="B725" s="0" t="n">
        <v>755186</v>
      </c>
      <c r="C725" s="0" t="n">
        <v>19836</v>
      </c>
      <c r="D725" s="0" t="n">
        <v>587526</v>
      </c>
      <c r="E725" s="0" t="s">
        <v>208</v>
      </c>
      <c r="F725" s="0" t="n">
        <v>130465</v>
      </c>
      <c r="G725" s="0" t="s">
        <v>7157</v>
      </c>
      <c r="H725" s="0" t="s">
        <v>7158</v>
      </c>
      <c r="I725" s="0" t="s">
        <v>7159</v>
      </c>
      <c r="J725" s="0" t="s">
        <v>7160</v>
      </c>
      <c r="K725" s="0" t="s">
        <v>7161</v>
      </c>
      <c r="L725" s="0" t="n">
        <v>643156</v>
      </c>
      <c r="M725" s="0" t="s">
        <v>7162</v>
      </c>
      <c r="N725" s="0" t="n">
        <v>587491</v>
      </c>
      <c r="O725" s="0" t="n">
        <v>8281</v>
      </c>
      <c r="P725" s="0" t="s">
        <v>290</v>
      </c>
      <c r="Q725" s="0" t="s">
        <v>7163</v>
      </c>
      <c r="R725" s="0" t="s">
        <v>7164</v>
      </c>
      <c r="S725" s="0" t="s">
        <v>856</v>
      </c>
      <c r="T725" s="0" t="s">
        <v>7165</v>
      </c>
      <c r="U725" s="0" t="n">
        <v>141</v>
      </c>
      <c r="V725" s="0" t="n">
        <v>23.0548516374529</v>
      </c>
      <c r="W725" s="0" t="n">
        <v>20250630</v>
      </c>
      <c r="X725" s="0" t="n">
        <v>0.839541245838753</v>
      </c>
      <c r="Y725" s="0" t="s">
        <v>7166</v>
      </c>
      <c r="Z725" s="0" t="s">
        <v>60</v>
      </c>
    </row>
    <row r="726" customFormat="false" ht="15" hidden="false" customHeight="false" outlineLevel="0" collapsed="false">
      <c r="A726" s="0" t="n">
        <v>726</v>
      </c>
      <c r="B726" s="0" t="n">
        <v>1748522</v>
      </c>
      <c r="C726" s="0" t="n">
        <v>24540</v>
      </c>
      <c r="D726" s="0" t="n">
        <v>1440031</v>
      </c>
      <c r="E726" s="0" t="s">
        <v>1708</v>
      </c>
      <c r="F726" s="0" t="n">
        <v>282051</v>
      </c>
      <c r="G726" s="0" t="s">
        <v>7167</v>
      </c>
      <c r="H726" s="0" t="s">
        <v>7168</v>
      </c>
      <c r="I726" s="0" t="s">
        <v>7169</v>
      </c>
      <c r="J726" s="0" t="s">
        <v>7170</v>
      </c>
      <c r="K726" s="0" t="s">
        <v>1175</v>
      </c>
      <c r="L726" s="0" t="n">
        <v>1549557</v>
      </c>
      <c r="M726" s="0" t="s">
        <v>7171</v>
      </c>
      <c r="N726" s="0" t="n">
        <v>1506054</v>
      </c>
      <c r="O726" s="0" t="n">
        <v>11424</v>
      </c>
      <c r="P726" s="0" t="s">
        <v>443</v>
      </c>
      <c r="Q726" s="0" t="s">
        <v>7172</v>
      </c>
      <c r="R726" s="0" t="s">
        <v>7173</v>
      </c>
      <c r="S726" s="0" t="s">
        <v>61</v>
      </c>
      <c r="T726" s="0" t="s">
        <v>61</v>
      </c>
      <c r="U726" s="0" t="n">
        <v>0</v>
      </c>
      <c r="V726" s="0" t="n">
        <v>0</v>
      </c>
      <c r="W726" s="0" t="n">
        <v>20250630</v>
      </c>
      <c r="X726" s="0" t="n">
        <v>2.05176886595267</v>
      </c>
      <c r="Y726" s="0" t="s">
        <v>5853</v>
      </c>
      <c r="Z726" s="0" t="s">
        <v>158</v>
      </c>
    </row>
    <row r="727" customFormat="false" ht="15" hidden="false" customHeight="false" outlineLevel="0" collapsed="false">
      <c r="A727" s="0" t="n">
        <v>727</v>
      </c>
      <c r="B727" s="0" t="n">
        <v>571650</v>
      </c>
      <c r="C727" s="0" t="n">
        <v>27824</v>
      </c>
      <c r="D727" s="0" t="n">
        <v>388196</v>
      </c>
      <c r="E727" s="0" t="s">
        <v>172</v>
      </c>
      <c r="F727" s="0" t="n">
        <v>62136</v>
      </c>
      <c r="G727" s="0" t="s">
        <v>7174</v>
      </c>
      <c r="H727" s="0" t="s">
        <v>7175</v>
      </c>
      <c r="I727" s="0" t="s">
        <v>7176</v>
      </c>
      <c r="J727" s="0" t="s">
        <v>7177</v>
      </c>
      <c r="K727" s="0" t="s">
        <v>7178</v>
      </c>
      <c r="L727" s="0" t="n">
        <v>471430</v>
      </c>
      <c r="M727" s="0" t="s">
        <v>7179</v>
      </c>
      <c r="N727" s="0" t="n">
        <v>421364</v>
      </c>
      <c r="O727" s="0" t="n">
        <v>2044</v>
      </c>
      <c r="P727" s="0" t="s">
        <v>453</v>
      </c>
      <c r="Q727" s="0" t="s">
        <v>7180</v>
      </c>
      <c r="R727" s="0" t="s">
        <v>7181</v>
      </c>
      <c r="S727" s="0" t="s">
        <v>7182</v>
      </c>
      <c r="T727" s="0" t="s">
        <v>7183</v>
      </c>
      <c r="U727" s="0" t="n">
        <v>0</v>
      </c>
      <c r="V727" s="0" t="n">
        <v>18.9590144003458</v>
      </c>
      <c r="W727" s="0" t="n">
        <v>20250630</v>
      </c>
      <c r="X727" s="0" t="n">
        <v>-0.305904588568829</v>
      </c>
      <c r="Y727" s="0" t="s">
        <v>7184</v>
      </c>
      <c r="Z727" s="0" t="s">
        <v>158</v>
      </c>
    </row>
    <row r="728" customFormat="false" ht="15" hidden="false" customHeight="false" outlineLevel="0" collapsed="false">
      <c r="A728" s="0" t="n">
        <v>728</v>
      </c>
      <c r="B728" s="0" t="n">
        <v>317001</v>
      </c>
      <c r="C728" s="0" t="n">
        <v>28155</v>
      </c>
      <c r="D728" s="0" t="n">
        <v>287929</v>
      </c>
      <c r="E728" s="0" t="s">
        <v>61</v>
      </c>
      <c r="F728" s="0" t="n">
        <v>27470</v>
      </c>
      <c r="G728" s="0" t="s">
        <v>7185</v>
      </c>
      <c r="H728" s="0" t="s">
        <v>7186</v>
      </c>
      <c r="I728" s="0" t="s">
        <v>7187</v>
      </c>
      <c r="J728" s="0" t="s">
        <v>7033</v>
      </c>
      <c r="K728" s="0" t="s">
        <v>7188</v>
      </c>
      <c r="L728" s="0" t="n">
        <v>180807</v>
      </c>
      <c r="M728" s="0" t="s">
        <v>7189</v>
      </c>
      <c r="N728" s="0" t="n">
        <v>165552</v>
      </c>
      <c r="O728" s="0" t="n">
        <v>0</v>
      </c>
      <c r="P728" s="0" t="s">
        <v>464</v>
      </c>
      <c r="Q728" s="0" t="s">
        <v>61</v>
      </c>
      <c r="R728" s="0" t="s">
        <v>7190</v>
      </c>
      <c r="S728" s="0" t="s">
        <v>340</v>
      </c>
      <c r="T728" s="0" t="s">
        <v>7191</v>
      </c>
      <c r="U728" s="0" t="n">
        <v>0</v>
      </c>
      <c r="V728" s="0" t="n">
        <v>17.1811647071488</v>
      </c>
      <c r="W728" s="0" t="n">
        <v>20250630</v>
      </c>
      <c r="X728" s="0" t="n">
        <v>-0.0309202389410805</v>
      </c>
      <c r="Y728" s="0" t="s">
        <v>7192</v>
      </c>
      <c r="Z728" s="0" t="s">
        <v>158</v>
      </c>
    </row>
    <row r="729" customFormat="false" ht="15" hidden="false" customHeight="false" outlineLevel="0" collapsed="false">
      <c r="A729" s="0" t="n">
        <v>729</v>
      </c>
      <c r="B729" s="0" t="n">
        <v>102731</v>
      </c>
      <c r="C729" s="0" t="n">
        <v>28288</v>
      </c>
      <c r="D729" s="0" t="n">
        <v>76453</v>
      </c>
      <c r="E729" s="0" t="s">
        <v>61</v>
      </c>
      <c r="F729" s="0" t="n">
        <v>6269</v>
      </c>
      <c r="G729" s="0" t="s">
        <v>7193</v>
      </c>
      <c r="H729" s="0" t="s">
        <v>7194</v>
      </c>
      <c r="I729" s="0" t="s">
        <v>7195</v>
      </c>
      <c r="J729" s="0" t="s">
        <v>7196</v>
      </c>
      <c r="K729" s="0" t="s">
        <v>7197</v>
      </c>
      <c r="L729" s="0" t="n">
        <v>82436</v>
      </c>
      <c r="M729" s="0" t="s">
        <v>7198</v>
      </c>
      <c r="N729" s="0" t="n">
        <v>74872</v>
      </c>
      <c r="O729" s="0" t="n">
        <v>99</v>
      </c>
      <c r="P729" s="0" t="s">
        <v>475</v>
      </c>
      <c r="Q729" s="0" t="s">
        <v>7199</v>
      </c>
      <c r="R729" s="0" t="s">
        <v>7200</v>
      </c>
      <c r="S729" s="0" t="s">
        <v>256</v>
      </c>
      <c r="T729" s="0" t="s">
        <v>4814</v>
      </c>
      <c r="U729" s="0" t="n">
        <v>0</v>
      </c>
      <c r="V729" s="0" t="n">
        <v>13.1832466884013</v>
      </c>
      <c r="W729" s="0" t="n">
        <v>20250630</v>
      </c>
      <c r="X729" s="0" t="n">
        <v>0.2469079353467</v>
      </c>
      <c r="Y729" s="0" t="s">
        <v>7201</v>
      </c>
      <c r="Z729" s="0" t="s">
        <v>60</v>
      </c>
    </row>
    <row r="730" customFormat="false" ht="15" hidden="false" customHeight="false" outlineLevel="0" collapsed="false">
      <c r="A730" s="0" t="n">
        <v>730</v>
      </c>
      <c r="B730" s="0" t="n">
        <v>93177</v>
      </c>
      <c r="C730" s="0" t="n">
        <v>28369</v>
      </c>
      <c r="D730" s="0" t="n">
        <v>73160</v>
      </c>
      <c r="E730" s="0" t="s">
        <v>4117</v>
      </c>
      <c r="F730" s="0" t="n">
        <v>9091</v>
      </c>
      <c r="G730" s="0" t="s">
        <v>7202</v>
      </c>
      <c r="H730" s="0" t="s">
        <v>7203</v>
      </c>
      <c r="I730" s="0" t="s">
        <v>7204</v>
      </c>
      <c r="J730" s="0" t="s">
        <v>7205</v>
      </c>
      <c r="K730" s="0" t="s">
        <v>1164</v>
      </c>
      <c r="L730" s="0" t="n">
        <v>79992</v>
      </c>
      <c r="M730" s="0" t="s">
        <v>7206</v>
      </c>
      <c r="N730" s="0" t="n">
        <v>66764</v>
      </c>
      <c r="O730" s="0" t="n">
        <v>86</v>
      </c>
      <c r="P730" s="0" t="s">
        <v>486</v>
      </c>
      <c r="Q730" s="0" t="s">
        <v>7207</v>
      </c>
      <c r="R730" s="0" t="s">
        <v>7208</v>
      </c>
      <c r="S730" s="0" t="s">
        <v>7209</v>
      </c>
      <c r="T730" s="0" t="s">
        <v>3681</v>
      </c>
      <c r="U730" s="0" t="n">
        <v>0</v>
      </c>
      <c r="V730" s="0" t="n">
        <v>14.1380843593321</v>
      </c>
      <c r="W730" s="0" t="n">
        <v>20250630</v>
      </c>
      <c r="X730" s="0" t="n">
        <v>0.102707117103945</v>
      </c>
      <c r="Y730" s="0" t="s">
        <v>7210</v>
      </c>
      <c r="Z730" s="0" t="s">
        <v>60</v>
      </c>
    </row>
    <row r="731" customFormat="false" ht="15" hidden="false" customHeight="false" outlineLevel="0" collapsed="false">
      <c r="A731" s="0" t="n">
        <v>731</v>
      </c>
      <c r="B731" s="0" t="n">
        <v>279103</v>
      </c>
      <c r="C731" s="0" t="n">
        <v>28837</v>
      </c>
      <c r="D731" s="0" t="n">
        <v>248250</v>
      </c>
      <c r="E731" s="0" t="s">
        <v>1729</v>
      </c>
      <c r="F731" s="0" t="n">
        <v>28295</v>
      </c>
      <c r="G731" s="0" t="s">
        <v>7211</v>
      </c>
      <c r="H731" s="0" t="s">
        <v>7212</v>
      </c>
      <c r="I731" s="0" t="s">
        <v>7213</v>
      </c>
      <c r="J731" s="0" t="s">
        <v>7214</v>
      </c>
      <c r="K731" s="0" t="s">
        <v>7215</v>
      </c>
      <c r="L731" s="0" t="n">
        <v>208887</v>
      </c>
      <c r="M731" s="0" t="s">
        <v>7216</v>
      </c>
      <c r="N731" s="0" t="n">
        <v>199905</v>
      </c>
      <c r="O731" s="0" t="n">
        <v>253</v>
      </c>
      <c r="P731" s="0" t="s">
        <v>497</v>
      </c>
      <c r="Q731" s="0" t="s">
        <v>7217</v>
      </c>
      <c r="R731" s="0" t="s">
        <v>7218</v>
      </c>
      <c r="S731" s="0" t="s">
        <v>478</v>
      </c>
      <c r="T731" s="0" t="s">
        <v>7219</v>
      </c>
      <c r="U731" s="0" t="n">
        <v>71</v>
      </c>
      <c r="V731" s="0" t="n">
        <v>17.9895121488231</v>
      </c>
      <c r="W731" s="0" t="n">
        <v>20250630</v>
      </c>
      <c r="X731" s="0" t="n">
        <v>-0.326447120470196</v>
      </c>
      <c r="Y731" s="0" t="s">
        <v>7220</v>
      </c>
      <c r="Z731" s="0" t="s">
        <v>98</v>
      </c>
    </row>
    <row r="732" customFormat="false" ht="15" hidden="false" customHeight="false" outlineLevel="0" collapsed="false">
      <c r="A732" s="0" t="n">
        <v>732</v>
      </c>
      <c r="B732" s="0" t="n">
        <v>185573</v>
      </c>
      <c r="C732" s="0" t="n">
        <v>29636</v>
      </c>
      <c r="D732" s="0" t="n">
        <v>139676</v>
      </c>
      <c r="E732" s="0" t="s">
        <v>61</v>
      </c>
      <c r="F732" s="0" t="n">
        <v>27646</v>
      </c>
      <c r="G732" s="0" t="s">
        <v>7221</v>
      </c>
      <c r="H732" s="0" t="s">
        <v>7222</v>
      </c>
      <c r="I732" s="0" t="s">
        <v>7223</v>
      </c>
      <c r="J732" s="0" t="s">
        <v>7224</v>
      </c>
      <c r="K732" s="0" t="s">
        <v>7225</v>
      </c>
      <c r="L732" s="0" t="n">
        <v>146916</v>
      </c>
      <c r="M732" s="0" t="s">
        <v>7226</v>
      </c>
      <c r="N732" s="0" t="n">
        <v>143630</v>
      </c>
      <c r="O732" s="0" t="n">
        <v>3102</v>
      </c>
      <c r="P732" s="0" t="s">
        <v>509</v>
      </c>
      <c r="Q732" s="0" t="s">
        <v>7227</v>
      </c>
      <c r="R732" s="0" t="s">
        <v>7228</v>
      </c>
      <c r="S732" s="0" t="s">
        <v>1499</v>
      </c>
      <c r="T732" s="0" t="s">
        <v>7229</v>
      </c>
      <c r="U732" s="0" t="n">
        <v>0</v>
      </c>
      <c r="V732" s="0" t="n">
        <v>27.1672138701688</v>
      </c>
      <c r="W732" s="0" t="n">
        <v>20250630</v>
      </c>
      <c r="X732" s="0" t="n">
        <v>0.234619113348782</v>
      </c>
      <c r="Y732" s="0" t="s">
        <v>7230</v>
      </c>
      <c r="Z732" s="0" t="s">
        <v>60</v>
      </c>
    </row>
    <row r="733" customFormat="false" ht="15" hidden="false" customHeight="false" outlineLevel="0" collapsed="false">
      <c r="A733" s="0" t="n">
        <v>733</v>
      </c>
      <c r="B733" s="0" t="n">
        <v>200783</v>
      </c>
      <c r="C733" s="0" t="n">
        <v>29743</v>
      </c>
      <c r="D733" s="0" t="n">
        <v>176912</v>
      </c>
      <c r="E733" s="0" t="s">
        <v>246</v>
      </c>
      <c r="F733" s="0" t="n">
        <v>19214</v>
      </c>
      <c r="G733" s="0" t="s">
        <v>7231</v>
      </c>
      <c r="H733" s="0" t="s">
        <v>7232</v>
      </c>
      <c r="I733" s="0" t="s">
        <v>7233</v>
      </c>
      <c r="J733" s="0" t="s">
        <v>7234</v>
      </c>
      <c r="K733" s="0" t="s">
        <v>7235</v>
      </c>
      <c r="L733" s="0" t="n">
        <v>140338</v>
      </c>
      <c r="M733" s="0" t="s">
        <v>7236</v>
      </c>
      <c r="N733" s="0" t="n">
        <v>89612</v>
      </c>
      <c r="O733" s="0" t="n">
        <v>662</v>
      </c>
      <c r="P733" s="0" t="s">
        <v>520</v>
      </c>
      <c r="Q733" s="0" t="s">
        <v>7237</v>
      </c>
      <c r="R733" s="0" t="s">
        <v>7238</v>
      </c>
      <c r="S733" s="0" t="s">
        <v>182</v>
      </c>
      <c r="T733" s="0" t="s">
        <v>7239</v>
      </c>
      <c r="U733" s="0" t="n">
        <v>0</v>
      </c>
      <c r="V733" s="0" t="n">
        <v>18.1286751690254</v>
      </c>
      <c r="W733" s="0" t="n">
        <v>20250630</v>
      </c>
      <c r="X733" s="0" t="n">
        <v>0.538521901715605</v>
      </c>
      <c r="Y733" s="0" t="s">
        <v>7240</v>
      </c>
      <c r="Z733" s="0" t="s">
        <v>60</v>
      </c>
    </row>
    <row r="734" customFormat="false" ht="15" hidden="false" customHeight="false" outlineLevel="0" collapsed="false">
      <c r="A734" s="0" t="n">
        <v>734</v>
      </c>
      <c r="B734" s="0" t="n">
        <v>605109</v>
      </c>
      <c r="C734" s="0" t="n">
        <v>29744</v>
      </c>
      <c r="D734" s="0" t="n">
        <v>489906</v>
      </c>
      <c r="E734" s="0" t="s">
        <v>195</v>
      </c>
      <c r="F734" s="0" t="n">
        <v>44554</v>
      </c>
      <c r="G734" s="0" t="s">
        <v>7241</v>
      </c>
      <c r="H734" s="0" t="s">
        <v>7242</v>
      </c>
      <c r="I734" s="0" t="s">
        <v>7243</v>
      </c>
      <c r="J734" s="0" t="s">
        <v>7244</v>
      </c>
      <c r="K734" s="0" t="s">
        <v>395</v>
      </c>
      <c r="L734" s="0" t="n">
        <v>439729</v>
      </c>
      <c r="M734" s="0" t="s">
        <v>7245</v>
      </c>
      <c r="N734" s="0" t="n">
        <v>402053</v>
      </c>
      <c r="O734" s="0" t="n">
        <v>14</v>
      </c>
      <c r="P734" s="0" t="s">
        <v>531</v>
      </c>
      <c r="Q734" s="0" t="s">
        <v>7246</v>
      </c>
      <c r="R734" s="0" t="s">
        <v>7247</v>
      </c>
      <c r="S734" s="0" t="s">
        <v>352</v>
      </c>
      <c r="T734" s="0" t="s">
        <v>2730</v>
      </c>
      <c r="U734" s="0" t="n">
        <v>0</v>
      </c>
      <c r="V734" s="0" t="n">
        <v>15.2305620070175</v>
      </c>
      <c r="W734" s="0" t="n">
        <v>20250630</v>
      </c>
      <c r="X734" s="0" t="n">
        <v>-0.385522175114088</v>
      </c>
      <c r="Y734" s="0" t="s">
        <v>7248</v>
      </c>
      <c r="Z734" s="0" t="s">
        <v>158</v>
      </c>
    </row>
    <row r="735" customFormat="false" ht="15" hidden="false" customHeight="false" outlineLevel="0" collapsed="false">
      <c r="A735" s="0" t="n">
        <v>735</v>
      </c>
      <c r="B735" s="0" t="n">
        <v>621434</v>
      </c>
      <c r="C735" s="0" t="n">
        <v>30350</v>
      </c>
      <c r="D735" s="0" t="n">
        <v>477487</v>
      </c>
      <c r="E735" s="0" t="s">
        <v>208</v>
      </c>
      <c r="F735" s="0" t="n">
        <v>64425</v>
      </c>
      <c r="G735" s="0" t="s">
        <v>7249</v>
      </c>
      <c r="H735" s="0" t="s">
        <v>7250</v>
      </c>
      <c r="I735" s="0" t="s">
        <v>7251</v>
      </c>
      <c r="J735" s="0" t="s">
        <v>7252</v>
      </c>
      <c r="K735" s="0" t="s">
        <v>7253</v>
      </c>
      <c r="L735" s="0" t="n">
        <v>479059</v>
      </c>
      <c r="M735" s="0" t="s">
        <v>7254</v>
      </c>
      <c r="N735" s="0" t="n">
        <v>461052</v>
      </c>
      <c r="O735" s="0" t="n">
        <v>1787</v>
      </c>
      <c r="P735" s="0" t="s">
        <v>543</v>
      </c>
      <c r="Q735" s="0" t="s">
        <v>7255</v>
      </c>
      <c r="R735" s="0" t="s">
        <v>7256</v>
      </c>
      <c r="S735" s="0" t="s">
        <v>3632</v>
      </c>
      <c r="T735" s="0" t="s">
        <v>7257</v>
      </c>
      <c r="U735" s="0" t="n">
        <v>0</v>
      </c>
      <c r="V735" s="0" t="n">
        <v>20.0140311414907</v>
      </c>
      <c r="W735" s="0" t="n">
        <v>20250630</v>
      </c>
      <c r="X735" s="0" t="n">
        <v>0.75252389871844</v>
      </c>
      <c r="Y735" s="0" t="s">
        <v>6919</v>
      </c>
      <c r="Z735" s="0" t="s">
        <v>98</v>
      </c>
    </row>
    <row r="736" customFormat="false" ht="15" hidden="false" customHeight="false" outlineLevel="0" collapsed="false">
      <c r="A736" s="0" t="n">
        <v>736</v>
      </c>
      <c r="B736" s="0" t="n">
        <v>98909</v>
      </c>
      <c r="C736" s="0" t="n">
        <v>30878</v>
      </c>
      <c r="D736" s="0" t="n">
        <v>72725</v>
      </c>
      <c r="E736" s="0" t="s">
        <v>330</v>
      </c>
      <c r="F736" s="0" t="n">
        <v>11891</v>
      </c>
      <c r="G736" s="0" t="s">
        <v>7258</v>
      </c>
      <c r="H736" s="0" t="s">
        <v>7259</v>
      </c>
      <c r="I736" s="0" t="s">
        <v>7260</v>
      </c>
      <c r="J736" s="0" t="s">
        <v>61</v>
      </c>
      <c r="K736" s="0" t="s">
        <v>7261</v>
      </c>
      <c r="L736" s="0" t="n">
        <v>86036</v>
      </c>
      <c r="M736" s="0" t="s">
        <v>7262</v>
      </c>
      <c r="N736" s="0" t="n">
        <v>85860</v>
      </c>
      <c r="O736" s="0" t="n">
        <v>1353</v>
      </c>
      <c r="P736" s="0" t="s">
        <v>553</v>
      </c>
      <c r="Q736" s="0" t="s">
        <v>7263</v>
      </c>
      <c r="R736" s="0" t="s">
        <v>7264</v>
      </c>
      <c r="S736" s="0" t="s">
        <v>61</v>
      </c>
      <c r="T736" s="0" t="s">
        <v>7265</v>
      </c>
      <c r="U736" s="0" t="n">
        <v>0</v>
      </c>
      <c r="V736" s="0" t="n">
        <v>0</v>
      </c>
      <c r="W736" s="0" t="n">
        <v>20250630</v>
      </c>
      <c r="X736" s="0" t="n">
        <v>0.00201541794729682</v>
      </c>
      <c r="Y736" s="0" t="s">
        <v>195</v>
      </c>
      <c r="Z736" s="0" t="s">
        <v>60</v>
      </c>
    </row>
    <row r="737" customFormat="false" ht="15" hidden="false" customHeight="false" outlineLevel="0" collapsed="false">
      <c r="A737" s="0" t="n">
        <v>737</v>
      </c>
      <c r="B737" s="0" t="n">
        <v>993609</v>
      </c>
      <c r="C737" s="0" t="n">
        <v>33418</v>
      </c>
      <c r="D737" s="0" t="n">
        <v>817518</v>
      </c>
      <c r="E737" s="0" t="s">
        <v>1708</v>
      </c>
      <c r="F737" s="0" t="n">
        <v>69945</v>
      </c>
      <c r="G737" s="0" t="s">
        <v>7266</v>
      </c>
      <c r="H737" s="0" t="s">
        <v>7267</v>
      </c>
      <c r="I737" s="0" t="s">
        <v>7268</v>
      </c>
      <c r="J737" s="0" t="s">
        <v>7269</v>
      </c>
      <c r="K737" s="0" t="s">
        <v>7270</v>
      </c>
      <c r="L737" s="0" t="n">
        <v>629355</v>
      </c>
      <c r="M737" s="0" t="s">
        <v>7271</v>
      </c>
      <c r="N737" s="0" t="n">
        <v>528008</v>
      </c>
      <c r="O737" s="0" t="n">
        <v>1191</v>
      </c>
      <c r="P737" s="0" t="s">
        <v>564</v>
      </c>
      <c r="Q737" s="0" t="s">
        <v>7272</v>
      </c>
      <c r="R737" s="0" t="s">
        <v>7273</v>
      </c>
      <c r="S737" s="0" t="s">
        <v>293</v>
      </c>
      <c r="T737" s="0" t="s">
        <v>7274</v>
      </c>
      <c r="U737" s="0" t="n">
        <v>0</v>
      </c>
      <c r="V737" s="0" t="n">
        <v>12.4261039075517</v>
      </c>
      <c r="W737" s="0" t="n">
        <v>20250630</v>
      </c>
      <c r="X737" s="0" t="n">
        <v>0.618819302365185</v>
      </c>
      <c r="Y737" s="0" t="s">
        <v>3931</v>
      </c>
      <c r="Z737" s="0" t="s">
        <v>98</v>
      </c>
    </row>
    <row r="738" customFormat="false" ht="15" hidden="false" customHeight="false" outlineLevel="0" collapsed="false">
      <c r="A738" s="0" t="n">
        <v>738</v>
      </c>
      <c r="B738" s="0" t="n">
        <v>72604</v>
      </c>
      <c r="C738" s="0" t="n">
        <v>35206</v>
      </c>
      <c r="D738" s="0" t="n">
        <v>500</v>
      </c>
      <c r="E738" s="0" t="s">
        <v>61</v>
      </c>
      <c r="F738" s="0" t="n">
        <v>70119</v>
      </c>
      <c r="G738" s="0" t="s">
        <v>7275</v>
      </c>
      <c r="H738" s="0" t="s">
        <v>7276</v>
      </c>
      <c r="I738" s="0" t="s">
        <v>61</v>
      </c>
      <c r="J738" s="0" t="s">
        <v>61</v>
      </c>
      <c r="K738" s="0" t="s">
        <v>61</v>
      </c>
      <c r="L738" s="0" t="n">
        <v>0</v>
      </c>
      <c r="M738" s="0" t="s">
        <v>61</v>
      </c>
      <c r="N738" s="0" t="n">
        <v>0</v>
      </c>
      <c r="O738" s="0" t="n">
        <v>0</v>
      </c>
      <c r="P738" s="0" t="s">
        <v>1112</v>
      </c>
      <c r="Q738" s="0" t="s">
        <v>61</v>
      </c>
      <c r="R738" s="0" t="s">
        <v>7277</v>
      </c>
      <c r="S738" s="0" t="s">
        <v>61</v>
      </c>
      <c r="T738" s="0" t="s">
        <v>61</v>
      </c>
      <c r="U738" s="0" t="n">
        <v>0</v>
      </c>
      <c r="V738" s="0" t="n">
        <v>0</v>
      </c>
      <c r="W738" s="0" t="n">
        <v>20250630</v>
      </c>
      <c r="X738" s="0" t="n">
        <v>28.4880056721944</v>
      </c>
      <c r="Y738" s="0" t="s">
        <v>7278</v>
      </c>
      <c r="Z738" s="0" t="s">
        <v>158</v>
      </c>
    </row>
    <row r="739" customFormat="false" ht="15" hidden="false" customHeight="false" outlineLevel="0" collapsed="false">
      <c r="A739" s="0" t="n">
        <v>739</v>
      </c>
      <c r="B739" s="0" t="n">
        <v>6902692</v>
      </c>
      <c r="C739" s="0" t="n">
        <v>4255</v>
      </c>
      <c r="D739" s="0" t="n">
        <v>5545916</v>
      </c>
      <c r="E739" s="0" t="s">
        <v>7279</v>
      </c>
      <c r="F739" s="0" t="n">
        <v>687541</v>
      </c>
      <c r="G739" s="0" t="s">
        <v>7280</v>
      </c>
      <c r="H739" s="0" t="s">
        <v>7281</v>
      </c>
      <c r="I739" s="0" t="s">
        <v>7282</v>
      </c>
      <c r="J739" s="0" t="s">
        <v>7283</v>
      </c>
      <c r="K739" s="0" t="s">
        <v>1274</v>
      </c>
      <c r="L739" s="0" t="n">
        <v>4953936</v>
      </c>
      <c r="M739" s="0" t="s">
        <v>7284</v>
      </c>
      <c r="N739" s="0" t="n">
        <v>4456325</v>
      </c>
      <c r="O739" s="0" t="n">
        <v>18177</v>
      </c>
      <c r="P739" s="0" t="s">
        <v>575</v>
      </c>
      <c r="Q739" s="0" t="s">
        <v>7285</v>
      </c>
      <c r="R739" s="0" t="s">
        <v>7286</v>
      </c>
      <c r="S739" s="0" t="s">
        <v>7219</v>
      </c>
      <c r="T739" s="0" t="s">
        <v>7287</v>
      </c>
      <c r="U739" s="0" t="n">
        <v>0</v>
      </c>
      <c r="V739" s="0" t="n">
        <v>12.8539272598033</v>
      </c>
      <c r="W739" s="0" t="n">
        <v>20250630</v>
      </c>
      <c r="X739" s="0" t="n">
        <v>0.719073888795519</v>
      </c>
      <c r="Y739" s="0" t="s">
        <v>7288</v>
      </c>
      <c r="Z739" s="0" t="s">
        <v>60</v>
      </c>
    </row>
    <row r="740" customFormat="false" ht="15" hidden="false" customHeight="false" outlineLevel="0" collapsed="false">
      <c r="A740" s="0" t="n">
        <v>740</v>
      </c>
      <c r="B740" s="0" t="n">
        <v>3164056</v>
      </c>
      <c r="C740" s="0" t="n">
        <v>4256</v>
      </c>
      <c r="D740" s="0" t="n">
        <v>2706351</v>
      </c>
      <c r="E740" s="0" t="s">
        <v>172</v>
      </c>
      <c r="F740" s="0" t="n">
        <v>236733</v>
      </c>
      <c r="G740" s="0" t="s">
        <v>7289</v>
      </c>
      <c r="H740" s="0" t="s">
        <v>7290</v>
      </c>
      <c r="I740" s="0" t="s">
        <v>7291</v>
      </c>
      <c r="J740" s="0" t="s">
        <v>7292</v>
      </c>
      <c r="K740" s="0" t="s">
        <v>7293</v>
      </c>
      <c r="L740" s="0" t="n">
        <v>2394007</v>
      </c>
      <c r="M740" s="0" t="s">
        <v>7294</v>
      </c>
      <c r="N740" s="0" t="n">
        <v>1881786</v>
      </c>
      <c r="O740" s="0" t="n">
        <v>6039</v>
      </c>
      <c r="P740" s="0" t="s">
        <v>587</v>
      </c>
      <c r="Q740" s="0" t="s">
        <v>7295</v>
      </c>
      <c r="R740" s="0" t="s">
        <v>7296</v>
      </c>
      <c r="S740" s="0" t="s">
        <v>7297</v>
      </c>
      <c r="T740" s="0" t="s">
        <v>7298</v>
      </c>
      <c r="U740" s="0" t="n">
        <v>457</v>
      </c>
      <c r="V740" s="0" t="n">
        <v>13.2562418882408</v>
      </c>
      <c r="W740" s="0" t="n">
        <v>20250630</v>
      </c>
      <c r="X740" s="0" t="n">
        <v>1.00147521350966</v>
      </c>
      <c r="Y740" s="0" t="s">
        <v>7299</v>
      </c>
      <c r="Z740" s="0" t="s">
        <v>60</v>
      </c>
    </row>
    <row r="741" customFormat="false" ht="15" hidden="false" customHeight="false" outlineLevel="0" collapsed="false">
      <c r="A741" s="0" t="n">
        <v>741</v>
      </c>
      <c r="B741" s="0" t="n">
        <v>724753</v>
      </c>
      <c r="C741" s="0" t="n">
        <v>59086</v>
      </c>
      <c r="D741" s="0" t="n">
        <v>612986</v>
      </c>
      <c r="E741" s="0" t="s">
        <v>47</v>
      </c>
      <c r="F741" s="0" t="n">
        <v>105815</v>
      </c>
      <c r="G741" s="0" t="s">
        <v>7300</v>
      </c>
      <c r="H741" s="0" t="s">
        <v>7301</v>
      </c>
      <c r="I741" s="0" t="s">
        <v>7302</v>
      </c>
      <c r="J741" s="0" t="s">
        <v>7303</v>
      </c>
      <c r="K741" s="0" t="s">
        <v>61</v>
      </c>
      <c r="L741" s="0" t="n">
        <v>619103</v>
      </c>
      <c r="M741" s="0" t="s">
        <v>7304</v>
      </c>
      <c r="N741" s="0" t="n">
        <v>495338</v>
      </c>
      <c r="O741" s="0" t="n">
        <v>5998</v>
      </c>
      <c r="P741" s="0" t="s">
        <v>599</v>
      </c>
      <c r="Q741" s="0" t="s">
        <v>7305</v>
      </c>
      <c r="R741" s="0" t="s">
        <v>7306</v>
      </c>
      <c r="S741" s="0" t="s">
        <v>478</v>
      </c>
      <c r="T741" s="0" t="s">
        <v>7307</v>
      </c>
      <c r="U741" s="0" t="n">
        <v>7830</v>
      </c>
      <c r="V741" s="0" t="n">
        <v>16.7805900658004</v>
      </c>
      <c r="W741" s="0" t="n">
        <v>20250630</v>
      </c>
      <c r="X741" s="0" t="n">
        <v>1.55691795515022</v>
      </c>
      <c r="Y741" s="0" t="s">
        <v>7308</v>
      </c>
      <c r="Z741" s="0" t="s">
        <v>158</v>
      </c>
    </row>
    <row r="742" customFormat="false" ht="15" hidden="false" customHeight="false" outlineLevel="0" collapsed="false">
      <c r="A742" s="0" t="n">
        <v>742</v>
      </c>
      <c r="B742" s="0" t="n">
        <v>279006</v>
      </c>
      <c r="C742" s="0" t="n">
        <v>59176</v>
      </c>
      <c r="D742" s="0" t="n">
        <v>229104</v>
      </c>
      <c r="E742" s="0" t="s">
        <v>2210</v>
      </c>
      <c r="F742" s="0" t="n">
        <v>28607</v>
      </c>
      <c r="G742" s="0" t="s">
        <v>7309</v>
      </c>
      <c r="H742" s="0" t="s">
        <v>7310</v>
      </c>
      <c r="I742" s="0" t="s">
        <v>7311</v>
      </c>
      <c r="J742" s="0" t="s">
        <v>7312</v>
      </c>
      <c r="K742" s="0" t="s">
        <v>61</v>
      </c>
      <c r="L742" s="0" t="n">
        <v>209550</v>
      </c>
      <c r="M742" s="0" t="s">
        <v>7313</v>
      </c>
      <c r="N742" s="0" t="n">
        <v>180172</v>
      </c>
      <c r="O742" s="0" t="n">
        <v>0</v>
      </c>
      <c r="P742" s="0" t="s">
        <v>610</v>
      </c>
      <c r="Q742" s="0" t="s">
        <v>61</v>
      </c>
      <c r="R742" s="0" t="s">
        <v>7314</v>
      </c>
      <c r="S742" s="0" t="s">
        <v>61</v>
      </c>
      <c r="T742" s="0" t="s">
        <v>61</v>
      </c>
      <c r="U742" s="0" t="n">
        <v>0</v>
      </c>
      <c r="V742" s="0" t="n">
        <v>0</v>
      </c>
      <c r="W742" s="0" t="n">
        <v>20250630</v>
      </c>
      <c r="X742" s="0" t="n">
        <v>0.168301196808511</v>
      </c>
      <c r="Y742" s="0" t="s">
        <v>7315</v>
      </c>
      <c r="Z742" s="0" t="s">
        <v>158</v>
      </c>
    </row>
    <row r="743" customFormat="false" ht="15" hidden="false" customHeight="false" outlineLevel="0" collapsed="false">
      <c r="A743" s="0" t="n">
        <v>743</v>
      </c>
      <c r="B743" s="0" t="n">
        <v>145991</v>
      </c>
      <c r="C743" s="0" t="n">
        <v>59289</v>
      </c>
      <c r="D743" s="0" t="n">
        <v>129078</v>
      </c>
      <c r="E743" s="0" t="s">
        <v>259</v>
      </c>
      <c r="F743" s="0" t="n">
        <v>15698</v>
      </c>
      <c r="G743" s="0" t="s">
        <v>7316</v>
      </c>
      <c r="H743" s="0" t="s">
        <v>7317</v>
      </c>
      <c r="I743" s="0" t="s">
        <v>7318</v>
      </c>
      <c r="J743" s="0" t="s">
        <v>7319</v>
      </c>
      <c r="K743" s="0" t="s">
        <v>61</v>
      </c>
      <c r="L743" s="0" t="n">
        <v>106204</v>
      </c>
      <c r="M743" s="0" t="s">
        <v>7320</v>
      </c>
      <c r="N743" s="0" t="n">
        <v>38420</v>
      </c>
      <c r="O743" s="0" t="n">
        <v>2835</v>
      </c>
      <c r="P743" s="0" t="s">
        <v>2223</v>
      </c>
      <c r="Q743" s="0" t="s">
        <v>7321</v>
      </c>
      <c r="R743" s="0" t="s">
        <v>7322</v>
      </c>
      <c r="S743" s="0" t="s">
        <v>7323</v>
      </c>
      <c r="T743" s="0" t="s">
        <v>7324</v>
      </c>
      <c r="U743" s="0" t="n">
        <v>0</v>
      </c>
      <c r="V743" s="0" t="n">
        <v>0</v>
      </c>
      <c r="W743" s="0" t="n">
        <v>20250630</v>
      </c>
      <c r="X743" s="0" t="n">
        <v>-0.239988600541474</v>
      </c>
      <c r="Y743" s="0" t="s">
        <v>7325</v>
      </c>
      <c r="Z743" s="0" t="s">
        <v>158</v>
      </c>
    </row>
    <row r="744" customFormat="false" ht="15" hidden="false" customHeight="false" outlineLevel="0" collapsed="false">
      <c r="A744" s="0" t="n">
        <v>744</v>
      </c>
      <c r="B744" s="0" t="n">
        <v>269483</v>
      </c>
      <c r="C744" s="0" t="n">
        <v>59298</v>
      </c>
      <c r="D744" s="0" t="n">
        <v>242655</v>
      </c>
      <c r="E744" s="0" t="s">
        <v>1708</v>
      </c>
      <c r="F744" s="0" t="n">
        <v>25838</v>
      </c>
      <c r="G744" s="0" t="s">
        <v>7326</v>
      </c>
      <c r="H744" s="0" t="s">
        <v>7327</v>
      </c>
      <c r="I744" s="0" t="s">
        <v>7328</v>
      </c>
      <c r="J744" s="0" t="s">
        <v>7329</v>
      </c>
      <c r="K744" s="0" t="s">
        <v>61</v>
      </c>
      <c r="L744" s="0" t="n">
        <v>150271</v>
      </c>
      <c r="M744" s="0" t="s">
        <v>7330</v>
      </c>
      <c r="N744" s="0" t="n">
        <v>114258</v>
      </c>
      <c r="O744" s="0" t="n">
        <v>0</v>
      </c>
      <c r="P744" s="0" t="s">
        <v>1684</v>
      </c>
      <c r="Q744" s="0" t="s">
        <v>61</v>
      </c>
      <c r="R744" s="0" t="s">
        <v>7331</v>
      </c>
      <c r="S744" s="0" t="s">
        <v>61</v>
      </c>
      <c r="T744" s="0" t="s">
        <v>61</v>
      </c>
      <c r="U744" s="0" t="n">
        <v>0</v>
      </c>
      <c r="V744" s="0" t="n">
        <v>16.8779498144312</v>
      </c>
      <c r="W744" s="0" t="n">
        <v>20250630</v>
      </c>
      <c r="X744" s="0" t="n">
        <v>0.0611768333776824</v>
      </c>
      <c r="Y744" s="0" t="s">
        <v>3427</v>
      </c>
      <c r="Z744" s="0" t="s">
        <v>98</v>
      </c>
    </row>
    <row r="745" customFormat="false" ht="15" hidden="false" customHeight="false" outlineLevel="0" collapsed="false">
      <c r="A745" s="0" t="n">
        <v>745</v>
      </c>
      <c r="B745" s="0" t="n">
        <v>1166044</v>
      </c>
      <c r="C745" s="0" t="n">
        <v>6271</v>
      </c>
      <c r="D745" s="0" t="n">
        <v>934460</v>
      </c>
      <c r="E745" s="0" t="s">
        <v>1393</v>
      </c>
      <c r="F745" s="0" t="n">
        <v>118181</v>
      </c>
      <c r="G745" s="0" t="s">
        <v>7332</v>
      </c>
      <c r="H745" s="0" t="s">
        <v>7333</v>
      </c>
      <c r="I745" s="0" t="s">
        <v>7334</v>
      </c>
      <c r="J745" s="0" t="s">
        <v>7335</v>
      </c>
      <c r="K745" s="0" t="s">
        <v>7336</v>
      </c>
      <c r="L745" s="0" t="n">
        <v>943328</v>
      </c>
      <c r="M745" s="0" t="s">
        <v>7337</v>
      </c>
      <c r="N745" s="0" t="n">
        <v>758237</v>
      </c>
      <c r="O745" s="0" t="n">
        <v>8674</v>
      </c>
      <c r="P745" s="0" t="s">
        <v>621</v>
      </c>
      <c r="Q745" s="0" t="s">
        <v>7338</v>
      </c>
      <c r="R745" s="0" t="s">
        <v>7339</v>
      </c>
      <c r="S745" s="0" t="s">
        <v>3005</v>
      </c>
      <c r="T745" s="0" t="s">
        <v>7340</v>
      </c>
      <c r="U745" s="0" t="n">
        <v>557</v>
      </c>
      <c r="V745" s="0" t="n">
        <v>14.8461580612902</v>
      </c>
      <c r="W745" s="0" t="n">
        <v>20250630</v>
      </c>
      <c r="X745" s="0" t="n">
        <v>1.3603757386888</v>
      </c>
      <c r="Y745" s="0" t="s">
        <v>1718</v>
      </c>
      <c r="Z745" s="0" t="s">
        <v>98</v>
      </c>
    </row>
    <row r="746" customFormat="false" ht="15" hidden="false" customHeight="false" outlineLevel="0" collapsed="false">
      <c r="A746" s="0" t="n">
        <v>746</v>
      </c>
      <c r="B746" s="0" t="n">
        <v>552605</v>
      </c>
      <c r="C746" s="0" t="n">
        <v>6275</v>
      </c>
      <c r="D746" s="0" t="n">
        <v>506456</v>
      </c>
      <c r="E746" s="0" t="s">
        <v>794</v>
      </c>
      <c r="F746" s="0" t="n">
        <v>38291</v>
      </c>
      <c r="G746" s="0" t="s">
        <v>7341</v>
      </c>
      <c r="H746" s="0" t="s">
        <v>7342</v>
      </c>
      <c r="I746" s="0" t="s">
        <v>7343</v>
      </c>
      <c r="J746" s="0" t="s">
        <v>7344</v>
      </c>
      <c r="K746" s="0" t="s">
        <v>7345</v>
      </c>
      <c r="L746" s="0" t="n">
        <v>349565</v>
      </c>
      <c r="M746" s="0" t="s">
        <v>7346</v>
      </c>
      <c r="N746" s="0" t="n">
        <v>299164</v>
      </c>
      <c r="O746" s="0" t="n">
        <v>652</v>
      </c>
      <c r="P746" s="0" t="s">
        <v>633</v>
      </c>
      <c r="Q746" s="0" t="s">
        <v>7347</v>
      </c>
      <c r="R746" s="0" t="s">
        <v>7348</v>
      </c>
      <c r="S746" s="0" t="s">
        <v>534</v>
      </c>
      <c r="T746" s="0" t="s">
        <v>7349</v>
      </c>
      <c r="U746" s="0" t="n">
        <v>0</v>
      </c>
      <c r="V746" s="0" t="n">
        <v>15.9807175065868</v>
      </c>
      <c r="W746" s="0" t="n">
        <v>20250630</v>
      </c>
      <c r="X746" s="0" t="n">
        <v>0.80927276534914</v>
      </c>
      <c r="Y746" s="0" t="s">
        <v>7350</v>
      </c>
      <c r="Z746" s="0" t="s">
        <v>98</v>
      </c>
    </row>
    <row r="747" customFormat="false" ht="15" hidden="false" customHeight="false" outlineLevel="0" collapsed="false">
      <c r="A747" s="0" t="n">
        <v>747</v>
      </c>
      <c r="B747" s="0" t="n">
        <v>87770</v>
      </c>
      <c r="C747" s="0" t="n">
        <v>6280</v>
      </c>
      <c r="D747" s="0" t="n">
        <v>77256</v>
      </c>
      <c r="E747" s="0" t="s">
        <v>1187</v>
      </c>
      <c r="F747" s="0" t="n">
        <v>9949</v>
      </c>
      <c r="G747" s="0" t="s">
        <v>7351</v>
      </c>
      <c r="H747" s="0" t="s">
        <v>7352</v>
      </c>
      <c r="I747" s="0" t="s">
        <v>7353</v>
      </c>
      <c r="J747" s="0" t="s">
        <v>7354</v>
      </c>
      <c r="K747" s="0" t="s">
        <v>7355</v>
      </c>
      <c r="L747" s="0" t="n">
        <v>73100</v>
      </c>
      <c r="M747" s="0" t="s">
        <v>7356</v>
      </c>
      <c r="N747" s="0" t="n">
        <v>64947</v>
      </c>
      <c r="O747" s="0" t="n">
        <v>1455</v>
      </c>
      <c r="P747" s="0" t="s">
        <v>644</v>
      </c>
      <c r="Q747" s="0" t="s">
        <v>7357</v>
      </c>
      <c r="R747" s="0" t="s">
        <v>7358</v>
      </c>
      <c r="S747" s="0" t="s">
        <v>61</v>
      </c>
      <c r="T747" s="0" t="s">
        <v>7359</v>
      </c>
      <c r="U747" s="0" t="n">
        <v>0</v>
      </c>
      <c r="V747" s="0" t="n">
        <v>0</v>
      </c>
      <c r="W747" s="0" t="n">
        <v>20250630</v>
      </c>
      <c r="X747" s="0" t="n">
        <v>1.36654026169246</v>
      </c>
      <c r="Y747" s="0" t="s">
        <v>6202</v>
      </c>
      <c r="Z747" s="0" t="s">
        <v>98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7360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7361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23</v>
      </c>
      <c r="B4" s="3" t="s">
        <v>7362</v>
      </c>
      <c r="C4" s="3" t="s">
        <v>7363</v>
      </c>
      <c r="D4" s="3" t="s">
        <v>43</v>
      </c>
      <c r="E4" s="3" t="s">
        <v>7364</v>
      </c>
      <c r="F4" s="3" t="s">
        <v>46</v>
      </c>
      <c r="G4" s="3" t="s">
        <v>7365</v>
      </c>
    </row>
    <row r="5" customFormat="false" ht="15" hidden="false" customHeight="false" outlineLevel="0" collapsed="false">
      <c r="A5" s="4" t="s">
        <v>1079</v>
      </c>
      <c r="B5" s="4" t="s">
        <v>7366</v>
      </c>
      <c r="C5" s="4" t="s">
        <v>61</v>
      </c>
      <c r="D5" s="4"/>
      <c r="E5" s="4" t="s">
        <v>7367</v>
      </c>
      <c r="F5" s="4" t="s">
        <v>60</v>
      </c>
      <c r="G5" s="10" t="b">
        <f aca="false">COUNTIF(BankQuarter!$B$5:$B$750,A5)&gt;0</f>
        <v>0</v>
      </c>
    </row>
    <row r="6" customFormat="false" ht="15" hidden="false" customHeight="false" outlineLevel="0" collapsed="false">
      <c r="A6" s="4" t="s">
        <v>7368</v>
      </c>
      <c r="B6" s="4" t="s">
        <v>7369</v>
      </c>
      <c r="C6" s="4" t="s">
        <v>61</v>
      </c>
      <c r="D6" s="4"/>
      <c r="E6" s="4" t="s">
        <v>7367</v>
      </c>
      <c r="F6" s="4" t="s">
        <v>158</v>
      </c>
      <c r="G6" s="10" t="b">
        <f aca="false">COUNTIF(BankQuarter!$B$5:$B$750,A6)&gt;0</f>
        <v>0</v>
      </c>
    </row>
    <row r="7" customFormat="false" ht="15" hidden="false" customHeight="false" outlineLevel="0" collapsed="false">
      <c r="A7" s="4" t="s">
        <v>7370</v>
      </c>
      <c r="B7" s="4" t="s">
        <v>7371</v>
      </c>
      <c r="C7" s="4" t="s">
        <v>61</v>
      </c>
      <c r="D7" s="4"/>
      <c r="E7" s="4" t="s">
        <v>7372</v>
      </c>
      <c r="F7" s="4" t="s">
        <v>98</v>
      </c>
      <c r="G7" s="10" t="b">
        <f aca="false">COUNTIF(BankQuarter!$B$5:$B$750,A7)&gt;0</f>
        <v>0</v>
      </c>
    </row>
    <row r="8" customFormat="false" ht="15" hidden="false" customHeight="false" outlineLevel="0" collapsed="false">
      <c r="A8" s="4" t="s">
        <v>7373</v>
      </c>
      <c r="B8" s="4" t="s">
        <v>7374</v>
      </c>
      <c r="C8" s="4" t="s">
        <v>61</v>
      </c>
      <c r="D8" s="4" t="s">
        <v>7375</v>
      </c>
      <c r="E8" s="4" t="s">
        <v>7372</v>
      </c>
      <c r="F8" s="4" t="s">
        <v>60</v>
      </c>
      <c r="G8" s="10" t="b">
        <f aca="false">COUNTIF(BankQuarter!$B$5:$B$750,A8)&gt;0</f>
        <v>0</v>
      </c>
    </row>
    <row r="9" customFormat="false" ht="15" hidden="false" customHeight="false" outlineLevel="0" collapsed="false">
      <c r="A9" s="4" t="s">
        <v>7376</v>
      </c>
      <c r="B9" s="4" t="s">
        <v>7377</v>
      </c>
      <c r="C9" s="4" t="s">
        <v>61</v>
      </c>
      <c r="D9" s="4"/>
      <c r="E9" s="4" t="s">
        <v>7367</v>
      </c>
      <c r="F9" s="4" t="s">
        <v>60</v>
      </c>
      <c r="G9" s="10" t="b">
        <f aca="false">COUNTIF(BankQuarter!$B$5:$B$750,A9)&gt;0</f>
        <v>0</v>
      </c>
    </row>
    <row r="10" customFormat="false" ht="15" hidden="false" customHeight="false" outlineLevel="0" collapsed="false">
      <c r="A10" s="4" t="s">
        <v>7378</v>
      </c>
      <c r="B10" s="4" t="s">
        <v>7379</v>
      </c>
      <c r="C10" s="4" t="s">
        <v>61</v>
      </c>
      <c r="D10" s="4" t="s">
        <v>7380</v>
      </c>
      <c r="E10" s="4" t="s">
        <v>7367</v>
      </c>
      <c r="F10" s="4" t="s">
        <v>158</v>
      </c>
      <c r="G10" s="10" t="b">
        <f aca="false">COUNTIF(BankQuarter!$B$5:$B$750,A10)&gt;0</f>
        <v>0</v>
      </c>
    </row>
    <row r="11" customFormat="false" ht="15" hidden="false" customHeight="false" outlineLevel="0" collapsed="false">
      <c r="A11" s="4" t="s">
        <v>7381</v>
      </c>
      <c r="B11" s="4" t="s">
        <v>7382</v>
      </c>
      <c r="C11" s="4" t="s">
        <v>61</v>
      </c>
      <c r="D11" s="4" t="s">
        <v>7383</v>
      </c>
      <c r="E11" s="4" t="s">
        <v>7384</v>
      </c>
      <c r="F11" s="4" t="s">
        <v>158</v>
      </c>
      <c r="G11" s="10" t="b">
        <f aca="false">COUNTIF(BankQuarter!$B$5:$B$750,A11)&gt;0</f>
        <v>0</v>
      </c>
    </row>
    <row r="12" customFormat="false" ht="15" hidden="false" customHeight="false" outlineLevel="0" collapsed="false">
      <c r="A12" s="4" t="s">
        <v>7385</v>
      </c>
      <c r="B12" s="4" t="s">
        <v>7386</v>
      </c>
      <c r="C12" s="4" t="s">
        <v>61</v>
      </c>
      <c r="D12" s="4" t="s">
        <v>7387</v>
      </c>
      <c r="E12" s="4" t="s">
        <v>7388</v>
      </c>
      <c r="F12" s="4" t="s">
        <v>60</v>
      </c>
      <c r="G12" s="10" t="b">
        <f aca="false">COUNTIF(BankQuarter!$B$5:$B$750,A12)&gt;0</f>
        <v>0</v>
      </c>
    </row>
    <row r="13" customFormat="false" ht="15" hidden="false" customHeight="false" outlineLevel="0" collapsed="false">
      <c r="A13" s="4" t="s">
        <v>7389</v>
      </c>
      <c r="B13" s="4" t="s">
        <v>7390</v>
      </c>
      <c r="C13" s="4" t="s">
        <v>256</v>
      </c>
      <c r="D13" s="4" t="s">
        <v>7391</v>
      </c>
      <c r="E13" s="4" t="s">
        <v>7392</v>
      </c>
      <c r="F13" s="4" t="s">
        <v>60</v>
      </c>
      <c r="G13" s="10" t="b">
        <f aca="false">COUNTIF(BankQuarter!$B$5:$B$750,A13)&gt;0</f>
        <v>1</v>
      </c>
    </row>
    <row r="14" customFormat="false" ht="15" hidden="false" customHeight="false" outlineLevel="0" collapsed="false">
      <c r="A14" s="4" t="s">
        <v>7393</v>
      </c>
      <c r="B14" s="4" t="s">
        <v>7394</v>
      </c>
      <c r="C14" s="4" t="s">
        <v>61</v>
      </c>
      <c r="D14" s="4"/>
      <c r="E14" s="4" t="s">
        <v>7395</v>
      </c>
      <c r="F14" s="4" t="s">
        <v>60</v>
      </c>
      <c r="G14" s="10" t="b">
        <f aca="false">COUNTIF(BankQuarter!$B$5:$B$750,A14)&gt;0</f>
        <v>0</v>
      </c>
    </row>
    <row r="15" customFormat="false" ht="15" hidden="false" customHeight="false" outlineLevel="0" collapsed="false">
      <c r="A15" s="4" t="s">
        <v>7396</v>
      </c>
      <c r="B15" s="4" t="s">
        <v>7397</v>
      </c>
      <c r="C15" s="4" t="s">
        <v>61</v>
      </c>
      <c r="D15" s="4" t="s">
        <v>7398</v>
      </c>
      <c r="E15" s="4" t="s">
        <v>7399</v>
      </c>
      <c r="F15" s="4" t="s">
        <v>158</v>
      </c>
      <c r="G15" s="10" t="b">
        <f aca="false">COUNTIF(BankQuarter!$B$5:$B$750,A15)&gt;0</f>
        <v>0</v>
      </c>
    </row>
    <row r="16" customFormat="false" ht="15" hidden="false" customHeight="false" outlineLevel="0" collapsed="false">
      <c r="A16" s="4" t="s">
        <v>7400</v>
      </c>
      <c r="B16" s="4" t="s">
        <v>7401</v>
      </c>
      <c r="C16" s="4" t="s">
        <v>61</v>
      </c>
      <c r="D16" s="4" t="s">
        <v>7402</v>
      </c>
      <c r="E16" s="4" t="s">
        <v>7403</v>
      </c>
      <c r="F16" s="4" t="s">
        <v>60</v>
      </c>
      <c r="G16" s="10" t="b">
        <f aca="false">COUNTIF(BankQuarter!$B$5:$B$750,A16)&gt;0</f>
        <v>0</v>
      </c>
    </row>
    <row r="17" customFormat="false" ht="15" hidden="false" customHeight="false" outlineLevel="0" collapsed="false">
      <c r="A17" s="4" t="s">
        <v>951</v>
      </c>
      <c r="B17" s="4" t="s">
        <v>7404</v>
      </c>
      <c r="C17" s="4" t="s">
        <v>61</v>
      </c>
      <c r="D17" s="4" t="s">
        <v>7405</v>
      </c>
      <c r="E17" s="4" t="s">
        <v>7406</v>
      </c>
      <c r="F17" s="4" t="s">
        <v>60</v>
      </c>
      <c r="G17" s="10" t="b">
        <f aca="false">COUNTIF(BankQuarter!$B$5:$B$750,A17)&gt;0</f>
        <v>0</v>
      </c>
    </row>
    <row r="18" customFormat="false" ht="15" hidden="false" customHeight="false" outlineLevel="0" collapsed="false">
      <c r="A18" s="4" t="s">
        <v>7407</v>
      </c>
      <c r="B18" s="4" t="s">
        <v>7408</v>
      </c>
      <c r="C18" s="4" t="s">
        <v>256</v>
      </c>
      <c r="D18" s="4" t="s">
        <v>7391</v>
      </c>
      <c r="E18" s="4" t="s">
        <v>7409</v>
      </c>
      <c r="F18" s="4" t="s">
        <v>60</v>
      </c>
      <c r="G18" s="10" t="b">
        <f aca="false">COUNTIF(BankQuarter!$B$5:$B$750,A18)&gt;0</f>
        <v>1</v>
      </c>
    </row>
    <row r="19" customFormat="false" ht="15" hidden="false" customHeight="false" outlineLevel="0" collapsed="false">
      <c r="A19" s="4" t="s">
        <v>7410</v>
      </c>
      <c r="B19" s="4" t="s">
        <v>7411</v>
      </c>
      <c r="C19" s="4" t="s">
        <v>61</v>
      </c>
      <c r="D19" s="4"/>
      <c r="E19" s="4" t="s">
        <v>7412</v>
      </c>
      <c r="F19" s="4" t="s">
        <v>60</v>
      </c>
      <c r="G19" s="10" t="b">
        <f aca="false">COUNTIF(BankQuarter!$B$5:$B$750,A19)&gt;0</f>
        <v>0</v>
      </c>
    </row>
    <row r="20" customFormat="false" ht="15" hidden="false" customHeight="false" outlineLevel="0" collapsed="false">
      <c r="A20" s="4" t="s">
        <v>7413</v>
      </c>
      <c r="B20" s="4" t="s">
        <v>7414</v>
      </c>
      <c r="C20" s="4" t="s">
        <v>256</v>
      </c>
      <c r="D20" s="4" t="s">
        <v>7391</v>
      </c>
      <c r="E20" s="4" t="s">
        <v>7409</v>
      </c>
      <c r="F20" s="4" t="s">
        <v>60</v>
      </c>
      <c r="G20" s="10" t="b">
        <f aca="false">COUNTIF(BankQuarter!$B$5:$B$750,A20)&gt;0</f>
        <v>1</v>
      </c>
    </row>
    <row r="21" customFormat="false" ht="15" hidden="false" customHeight="false" outlineLevel="0" collapsed="false">
      <c r="A21" s="0" t="s">
        <v>7415</v>
      </c>
      <c r="B21" s="0" t="s">
        <v>7416</v>
      </c>
      <c r="C21" s="0" t="s">
        <v>61</v>
      </c>
      <c r="E21" s="0" t="s">
        <v>7395</v>
      </c>
      <c r="F21" s="0" t="s">
        <v>60</v>
      </c>
      <c r="G21" s="11" t="b">
        <f aca="false">COUNTIF(BankQuarter!$B$5:$B$750,A21)&gt;0</f>
        <v>0</v>
      </c>
    </row>
    <row r="22" customFormat="false" ht="15" hidden="false" customHeight="false" outlineLevel="0" collapsed="false">
      <c r="A22" s="0" t="s">
        <v>7417</v>
      </c>
      <c r="B22" s="0" t="s">
        <v>7418</v>
      </c>
      <c r="C22" s="0" t="s">
        <v>61</v>
      </c>
      <c r="D22" s="0" t="s">
        <v>7419</v>
      </c>
      <c r="E22" s="0" t="s">
        <v>7367</v>
      </c>
      <c r="F22" s="0" t="s">
        <v>60</v>
      </c>
      <c r="G22" s="11" t="b">
        <f aca="false">COUNTIF(BankQuarter!$B$5:$B$750,A22)&gt;0</f>
        <v>0</v>
      </c>
    </row>
    <row r="23" customFormat="false" ht="15" hidden="false" customHeight="false" outlineLevel="0" collapsed="false">
      <c r="A23" s="0" t="s">
        <v>7420</v>
      </c>
      <c r="B23" s="0" t="s">
        <v>7421</v>
      </c>
      <c r="C23" s="0" t="s">
        <v>61</v>
      </c>
      <c r="D23" s="0" t="s">
        <v>7422</v>
      </c>
      <c r="E23" s="0" t="s">
        <v>7367</v>
      </c>
      <c r="F23" s="0" t="s">
        <v>60</v>
      </c>
      <c r="G23" s="11" t="b">
        <f aca="false">COUNTIF(BankQuarter!$B$5:$B$750,A23)&gt;0</f>
        <v>0</v>
      </c>
    </row>
    <row r="24" customFormat="false" ht="15" hidden="false" customHeight="false" outlineLevel="0" collapsed="false">
      <c r="A24" s="0" t="s">
        <v>7423</v>
      </c>
      <c r="B24" s="0" t="s">
        <v>7424</v>
      </c>
      <c r="C24" s="0" t="s">
        <v>61</v>
      </c>
      <c r="E24" s="0" t="s">
        <v>7425</v>
      </c>
      <c r="F24" s="0" t="s">
        <v>60</v>
      </c>
      <c r="G24" s="11" t="b">
        <f aca="false">COUNTIF(BankQuarter!$B$5:$B$750,A24)&gt;0</f>
        <v>0</v>
      </c>
    </row>
    <row r="25" customFormat="false" ht="15" hidden="false" customHeight="false" outlineLevel="0" collapsed="false">
      <c r="A25" s="0" t="s">
        <v>7426</v>
      </c>
      <c r="B25" s="0" t="s">
        <v>7427</v>
      </c>
      <c r="C25" s="0" t="s">
        <v>61</v>
      </c>
      <c r="E25" s="0" t="s">
        <v>7428</v>
      </c>
      <c r="F25" s="0" t="s">
        <v>60</v>
      </c>
      <c r="G25" s="11" t="b">
        <f aca="false">COUNTIF(BankQuarter!$B$5:$B$750,A25)&gt;0</f>
        <v>0</v>
      </c>
    </row>
    <row r="26" customFormat="false" ht="15" hidden="false" customHeight="false" outlineLevel="0" collapsed="false">
      <c r="A26" s="0" t="s">
        <v>7429</v>
      </c>
      <c r="B26" s="0" t="s">
        <v>7430</v>
      </c>
      <c r="C26" s="0" t="s">
        <v>61</v>
      </c>
      <c r="E26" s="0" t="s">
        <v>7431</v>
      </c>
      <c r="F26" s="0" t="s">
        <v>98</v>
      </c>
      <c r="G26" s="11" t="b">
        <f aca="false">COUNTIF(BankQuarter!$B$5:$B$750,A26)&gt;0</f>
        <v>0</v>
      </c>
    </row>
    <row r="27" customFormat="false" ht="15" hidden="false" customHeight="false" outlineLevel="0" collapsed="false">
      <c r="A27" s="0" t="s">
        <v>7432</v>
      </c>
      <c r="B27" s="0" t="s">
        <v>7433</v>
      </c>
      <c r="C27" s="0" t="s">
        <v>61</v>
      </c>
      <c r="E27" s="0" t="s">
        <v>7434</v>
      </c>
      <c r="F27" s="0" t="s">
        <v>98</v>
      </c>
      <c r="G27" s="11" t="b">
        <f aca="false">COUNTIF(BankQuarter!$B$5:$B$750,A27)&gt;0</f>
        <v>0</v>
      </c>
    </row>
    <row r="28" customFormat="false" ht="15" hidden="false" customHeight="false" outlineLevel="0" collapsed="false">
      <c r="A28" s="0" t="s">
        <v>7435</v>
      </c>
      <c r="B28" s="0" t="s">
        <v>7436</v>
      </c>
      <c r="C28" s="0" t="s">
        <v>61</v>
      </c>
      <c r="D28" s="0" t="s">
        <v>7387</v>
      </c>
      <c r="E28" s="0" t="s">
        <v>7388</v>
      </c>
      <c r="F28" s="0" t="s">
        <v>98</v>
      </c>
      <c r="G28" s="11" t="b">
        <f aca="false">COUNTIF(BankQuarter!$B$5:$B$750,A28)&gt;0</f>
        <v>0</v>
      </c>
    </row>
    <row r="29" customFormat="false" ht="15" hidden="false" customHeight="false" outlineLevel="0" collapsed="false">
      <c r="A29" s="0" t="s">
        <v>7437</v>
      </c>
      <c r="B29" s="0" t="s">
        <v>7438</v>
      </c>
      <c r="C29" s="0" t="s">
        <v>61</v>
      </c>
      <c r="D29" s="0" t="s">
        <v>7439</v>
      </c>
      <c r="E29" s="0" t="s">
        <v>7440</v>
      </c>
      <c r="F29" s="0" t="s">
        <v>98</v>
      </c>
      <c r="G29" s="11" t="b">
        <f aca="false">COUNTIF(BankQuarter!$B$5:$B$750,A29)&gt;0</f>
        <v>0</v>
      </c>
    </row>
    <row r="30" customFormat="false" ht="15" hidden="false" customHeight="false" outlineLevel="0" collapsed="false">
      <c r="A30" s="0" t="s">
        <v>7441</v>
      </c>
      <c r="B30" s="0" t="s">
        <v>7442</v>
      </c>
      <c r="C30" s="0" t="s">
        <v>61</v>
      </c>
      <c r="E30" s="0" t="s">
        <v>7412</v>
      </c>
      <c r="F30" s="0" t="s">
        <v>98</v>
      </c>
      <c r="G30" s="11" t="b">
        <f aca="false">COUNTIF(BankQuarter!$B$5:$B$750,A30)&gt;0</f>
        <v>0</v>
      </c>
    </row>
    <row r="31" customFormat="false" ht="15" hidden="false" customHeight="false" outlineLevel="0" collapsed="false">
      <c r="A31" s="0" t="s">
        <v>7443</v>
      </c>
      <c r="B31" s="0" t="s">
        <v>7444</v>
      </c>
      <c r="C31" s="0" t="s">
        <v>256</v>
      </c>
      <c r="D31" s="0" t="s">
        <v>7391</v>
      </c>
      <c r="E31" s="0" t="s">
        <v>7409</v>
      </c>
      <c r="F31" s="0" t="s">
        <v>98</v>
      </c>
      <c r="G31" s="11" t="b">
        <f aca="false">COUNTIF(BankQuarter!$B$5:$B$750,A31)&gt;0</f>
        <v>1</v>
      </c>
    </row>
    <row r="32" customFormat="false" ht="15" hidden="false" customHeight="false" outlineLevel="0" collapsed="false">
      <c r="A32" s="0" t="s">
        <v>7445</v>
      </c>
      <c r="B32" s="0" t="s">
        <v>7446</v>
      </c>
      <c r="C32" s="0" t="s">
        <v>256</v>
      </c>
      <c r="D32" s="0" t="s">
        <v>7391</v>
      </c>
      <c r="E32" s="0" t="s">
        <v>7409</v>
      </c>
      <c r="F32" s="0" t="s">
        <v>98</v>
      </c>
      <c r="G32" s="11" t="b">
        <f aca="false">COUNTIF(BankQuarter!$B$5:$B$750,A32)&gt;0</f>
        <v>1</v>
      </c>
    </row>
    <row r="33" customFormat="false" ht="15" hidden="false" customHeight="false" outlineLevel="0" collapsed="false">
      <c r="A33" s="0" t="s">
        <v>7447</v>
      </c>
      <c r="B33" s="0" t="s">
        <v>7448</v>
      </c>
      <c r="C33" s="0" t="s">
        <v>256</v>
      </c>
      <c r="D33" s="0" t="s">
        <v>7391</v>
      </c>
      <c r="E33" s="0" t="s">
        <v>7409</v>
      </c>
      <c r="F33" s="0" t="s">
        <v>98</v>
      </c>
      <c r="G33" s="11" t="b">
        <f aca="false">COUNTIF(BankQuarter!$B$5:$B$750,A33)&gt;0</f>
        <v>1</v>
      </c>
    </row>
    <row r="34" customFormat="false" ht="15" hidden="false" customHeight="false" outlineLevel="0" collapsed="false">
      <c r="A34" s="0" t="s">
        <v>7449</v>
      </c>
      <c r="B34" s="0" t="s">
        <v>7450</v>
      </c>
      <c r="C34" s="0" t="s">
        <v>61</v>
      </c>
      <c r="E34" s="0" t="s">
        <v>7451</v>
      </c>
      <c r="F34" s="0" t="s">
        <v>98</v>
      </c>
      <c r="G34" s="11" t="b">
        <f aca="false">COUNTIF(BankQuarter!$B$5:$B$750,A34)&gt;0</f>
        <v>0</v>
      </c>
    </row>
    <row r="35" customFormat="false" ht="15" hidden="false" customHeight="false" outlineLevel="0" collapsed="false">
      <c r="A35" s="0" t="s">
        <v>7452</v>
      </c>
      <c r="B35" s="0" t="s">
        <v>7453</v>
      </c>
      <c r="C35" s="0" t="s">
        <v>61</v>
      </c>
      <c r="D35" s="0" t="s">
        <v>7454</v>
      </c>
      <c r="E35" s="0" t="s">
        <v>7455</v>
      </c>
      <c r="F35" s="0" t="s">
        <v>98</v>
      </c>
      <c r="G35" s="11" t="b">
        <f aca="false">COUNTIF(BankQuarter!$B$5:$B$750,A35)&gt;0</f>
        <v>0</v>
      </c>
    </row>
    <row r="36" customFormat="false" ht="15" hidden="false" customHeight="false" outlineLevel="0" collapsed="false">
      <c r="A36" s="0" t="s">
        <v>7456</v>
      </c>
      <c r="B36" s="0" t="s">
        <v>7457</v>
      </c>
      <c r="C36" s="0" t="s">
        <v>61</v>
      </c>
      <c r="D36" s="0" t="s">
        <v>7458</v>
      </c>
      <c r="E36" s="0" t="s">
        <v>7459</v>
      </c>
      <c r="F36" s="0" t="s">
        <v>98</v>
      </c>
      <c r="G36" s="11" t="b">
        <f aca="false">COUNTIF(BankQuarter!$B$5:$B$750,A36)&gt;0</f>
        <v>0</v>
      </c>
    </row>
    <row r="37" customFormat="false" ht="15" hidden="false" customHeight="false" outlineLevel="0" collapsed="false">
      <c r="A37" s="0" t="s">
        <v>7460</v>
      </c>
      <c r="B37" s="0" t="s">
        <v>7461</v>
      </c>
      <c r="C37" s="0" t="s">
        <v>61</v>
      </c>
      <c r="D37" s="0" t="s">
        <v>7462</v>
      </c>
      <c r="E37" s="0" t="s">
        <v>7463</v>
      </c>
      <c r="F37" s="0" t="s">
        <v>98</v>
      </c>
      <c r="G37" s="11" t="b">
        <f aca="false">COUNTIF(BankQuarter!$B$5:$B$750,A37)&gt;0</f>
        <v>0</v>
      </c>
    </row>
    <row r="38" customFormat="false" ht="15" hidden="false" customHeight="false" outlineLevel="0" collapsed="false">
      <c r="A38" s="0" t="s">
        <v>7464</v>
      </c>
      <c r="B38" s="0" t="s">
        <v>7465</v>
      </c>
      <c r="C38" s="0" t="s">
        <v>61</v>
      </c>
      <c r="D38" s="0" t="s">
        <v>7466</v>
      </c>
      <c r="E38" s="0" t="s">
        <v>7467</v>
      </c>
      <c r="F38" s="0" t="s">
        <v>98</v>
      </c>
      <c r="G38" s="11" t="b">
        <f aca="false">COUNTIF(BankQuarter!$B$5:$B$750,A38)&gt;0</f>
        <v>0</v>
      </c>
    </row>
    <row r="39" customFormat="false" ht="15" hidden="false" customHeight="false" outlineLevel="0" collapsed="false">
      <c r="A39" s="0" t="s">
        <v>7468</v>
      </c>
      <c r="B39" s="0" t="s">
        <v>7469</v>
      </c>
      <c r="C39" s="0" t="s">
        <v>61</v>
      </c>
      <c r="E39" s="0" t="s">
        <v>7425</v>
      </c>
      <c r="F39" s="0" t="s">
        <v>98</v>
      </c>
      <c r="G39" s="11" t="b">
        <f aca="false">COUNTIF(BankQuarter!$B$5:$B$750,A39)&gt;0</f>
        <v>0</v>
      </c>
    </row>
    <row r="40" customFormat="false" ht="15" hidden="false" customHeight="false" outlineLevel="0" collapsed="false">
      <c r="A40" s="0" t="s">
        <v>7470</v>
      </c>
      <c r="B40" s="0" t="s">
        <v>7471</v>
      </c>
      <c r="C40" s="0" t="s">
        <v>61</v>
      </c>
      <c r="E40" s="0" t="s">
        <v>7372</v>
      </c>
      <c r="F40" s="0" t="s">
        <v>98</v>
      </c>
      <c r="G40" s="11" t="b">
        <f aca="false">COUNTIF(BankQuarter!$B$5:$B$750,A40)&gt;0</f>
        <v>0</v>
      </c>
    </row>
    <row r="41" customFormat="false" ht="15" hidden="false" customHeight="false" outlineLevel="0" collapsed="false">
      <c r="A41" s="0" t="s">
        <v>7472</v>
      </c>
      <c r="B41" s="0" t="s">
        <v>7473</v>
      </c>
      <c r="C41" s="0" t="s">
        <v>61</v>
      </c>
      <c r="D41" s="0" t="s">
        <v>7474</v>
      </c>
      <c r="E41" s="0" t="s">
        <v>7434</v>
      </c>
      <c r="F41" s="0" t="s">
        <v>98</v>
      </c>
      <c r="G41" s="11" t="b">
        <f aca="false">COUNTIF(BankQuarter!$B$5:$B$750,A41)&gt;0</f>
        <v>0</v>
      </c>
    </row>
    <row r="42" customFormat="false" ht="15" hidden="false" customHeight="false" outlineLevel="0" collapsed="false">
      <c r="A42" s="0" t="s">
        <v>7475</v>
      </c>
      <c r="B42" s="0" t="s">
        <v>7476</v>
      </c>
      <c r="C42" s="0" t="s">
        <v>61</v>
      </c>
      <c r="D42" s="0" t="s">
        <v>7477</v>
      </c>
      <c r="E42" s="0" t="s">
        <v>7478</v>
      </c>
      <c r="F42" s="0" t="s">
        <v>98</v>
      </c>
      <c r="G42" s="11" t="b">
        <f aca="false">COUNTIF(BankQuarter!$B$5:$B$750,A42)&gt;0</f>
        <v>0</v>
      </c>
    </row>
    <row r="43" customFormat="false" ht="15" hidden="false" customHeight="false" outlineLevel="0" collapsed="false">
      <c r="A43" s="0" t="s">
        <v>7479</v>
      </c>
      <c r="B43" s="0" t="s">
        <v>7480</v>
      </c>
      <c r="C43" s="0" t="s">
        <v>256</v>
      </c>
      <c r="D43" s="0" t="s">
        <v>7391</v>
      </c>
      <c r="E43" s="0" t="s">
        <v>7409</v>
      </c>
      <c r="F43" s="0" t="s">
        <v>98</v>
      </c>
      <c r="G43" s="11" t="b">
        <f aca="false">COUNTIF(BankQuarter!$B$5:$B$750,A43)&gt;0</f>
        <v>1</v>
      </c>
    </row>
    <row r="44" customFormat="false" ht="15" hidden="false" customHeight="false" outlineLevel="0" collapsed="false">
      <c r="A44" s="0" t="s">
        <v>7481</v>
      </c>
      <c r="B44" s="0" t="s">
        <v>7482</v>
      </c>
      <c r="C44" s="0" t="s">
        <v>61</v>
      </c>
      <c r="E44" s="0" t="s">
        <v>7425</v>
      </c>
      <c r="F44" s="0" t="s">
        <v>98</v>
      </c>
      <c r="G44" s="11" t="b">
        <f aca="false">COUNTIF(BankQuarter!$B$5:$B$750,A44)&gt;0</f>
        <v>0</v>
      </c>
    </row>
    <row r="45" customFormat="false" ht="15" hidden="false" customHeight="false" outlineLevel="0" collapsed="false">
      <c r="A45" s="0" t="s">
        <v>7483</v>
      </c>
      <c r="B45" s="0" t="s">
        <v>7484</v>
      </c>
      <c r="C45" s="0" t="s">
        <v>61</v>
      </c>
      <c r="D45" s="0" t="s">
        <v>7485</v>
      </c>
      <c r="E45" s="0" t="s">
        <v>7486</v>
      </c>
      <c r="F45" s="0" t="s">
        <v>98</v>
      </c>
      <c r="G45" s="11" t="b">
        <f aca="false">COUNTIF(BankQuarter!$B$5:$B$750,A45)&gt;0</f>
        <v>0</v>
      </c>
    </row>
    <row r="46" customFormat="false" ht="15" hidden="false" customHeight="false" outlineLevel="0" collapsed="false">
      <c r="A46" s="0" t="s">
        <v>7487</v>
      </c>
      <c r="B46" s="0" t="s">
        <v>7488</v>
      </c>
      <c r="C46" s="0" t="s">
        <v>61</v>
      </c>
      <c r="D46" s="0" t="s">
        <v>7462</v>
      </c>
      <c r="E46" s="0" t="s">
        <v>7463</v>
      </c>
      <c r="F46" s="0" t="s">
        <v>98</v>
      </c>
      <c r="G46" s="11" t="b">
        <f aca="false">COUNTIF(BankQuarter!$B$5:$B$750,A46)&gt;0</f>
        <v>0</v>
      </c>
    </row>
    <row r="47" customFormat="false" ht="15" hidden="false" customHeight="false" outlineLevel="0" collapsed="false">
      <c r="A47" s="0" t="s">
        <v>7489</v>
      </c>
      <c r="B47" s="0" t="s">
        <v>7490</v>
      </c>
      <c r="C47" s="0" t="s">
        <v>256</v>
      </c>
      <c r="D47" s="0" t="s">
        <v>7391</v>
      </c>
      <c r="E47" s="0" t="s">
        <v>7409</v>
      </c>
      <c r="F47" s="0" t="s">
        <v>98</v>
      </c>
      <c r="G47" s="11" t="b">
        <f aca="false">COUNTIF(BankQuarter!$B$5:$B$750,A47)&gt;0</f>
        <v>1</v>
      </c>
    </row>
    <row r="48" customFormat="false" ht="15" hidden="false" customHeight="false" outlineLevel="0" collapsed="false">
      <c r="A48" s="0" t="s">
        <v>7491</v>
      </c>
      <c r="B48" s="0" t="s">
        <v>7492</v>
      </c>
      <c r="C48" s="0" t="s">
        <v>61</v>
      </c>
      <c r="D48" s="0" t="s">
        <v>7493</v>
      </c>
      <c r="E48" s="0" t="s">
        <v>7494</v>
      </c>
      <c r="F48" s="0" t="s">
        <v>98</v>
      </c>
      <c r="G48" s="11" t="b">
        <f aca="false">COUNTIF(BankQuarter!$B$5:$B$750,A48)&gt;0</f>
        <v>0</v>
      </c>
    </row>
    <row r="49" customFormat="false" ht="15" hidden="false" customHeight="false" outlineLevel="0" collapsed="false">
      <c r="A49" s="0" t="s">
        <v>7495</v>
      </c>
      <c r="B49" s="0" t="s">
        <v>7496</v>
      </c>
      <c r="C49" s="0" t="s">
        <v>61</v>
      </c>
      <c r="E49" s="0" t="s">
        <v>7425</v>
      </c>
      <c r="F49" s="0" t="s">
        <v>98</v>
      </c>
      <c r="G49" s="11" t="b">
        <f aca="false">COUNTIF(BankQuarter!$B$5:$B$750,A49)&gt;0</f>
        <v>0</v>
      </c>
    </row>
    <row r="50" customFormat="false" ht="15" hidden="false" customHeight="false" outlineLevel="0" collapsed="false">
      <c r="A50" s="0" t="s">
        <v>7497</v>
      </c>
      <c r="B50" s="0" t="s">
        <v>7498</v>
      </c>
      <c r="C50" s="0" t="s">
        <v>61</v>
      </c>
      <c r="D50" s="0" t="s">
        <v>7383</v>
      </c>
      <c r="E50" s="0" t="s">
        <v>7434</v>
      </c>
      <c r="F50" s="0" t="s">
        <v>98</v>
      </c>
      <c r="G50" s="11" t="b">
        <f aca="false">COUNTIF(BankQuarter!$B$5:$B$750,A50)&gt;0</f>
        <v>0</v>
      </c>
    </row>
    <row r="51" customFormat="false" ht="15" hidden="false" customHeight="false" outlineLevel="0" collapsed="false">
      <c r="A51" s="0" t="s">
        <v>7499</v>
      </c>
      <c r="B51" s="0" t="s">
        <v>7500</v>
      </c>
      <c r="C51" s="0" t="s">
        <v>61</v>
      </c>
      <c r="D51" s="0" t="s">
        <v>7501</v>
      </c>
      <c r="E51" s="0" t="s">
        <v>7502</v>
      </c>
      <c r="F51" s="0" t="s">
        <v>158</v>
      </c>
      <c r="G51" s="11" t="b">
        <f aca="false">COUNTIF(BankQuarter!$B$5:$B$750,A51)&gt;0</f>
        <v>1</v>
      </c>
    </row>
    <row r="52" customFormat="false" ht="15" hidden="false" customHeight="false" outlineLevel="0" collapsed="false">
      <c r="A52" s="0" t="s">
        <v>7503</v>
      </c>
      <c r="B52" s="0" t="s">
        <v>7504</v>
      </c>
      <c r="C52" s="0" t="s">
        <v>61</v>
      </c>
      <c r="E52" s="0" t="s">
        <v>7367</v>
      </c>
      <c r="F52" s="0" t="s">
        <v>60</v>
      </c>
      <c r="G52" s="11" t="b">
        <f aca="false">COUNTIF(BankQuarter!$B$5:$B$750,A52)&gt;0</f>
        <v>0</v>
      </c>
    </row>
    <row r="53" customFormat="false" ht="15" hidden="false" customHeight="false" outlineLevel="0" collapsed="false">
      <c r="A53" s="0" t="s">
        <v>7505</v>
      </c>
      <c r="B53" s="0" t="s">
        <v>7506</v>
      </c>
      <c r="C53" s="0" t="s">
        <v>61</v>
      </c>
      <c r="E53" s="0" t="s">
        <v>7428</v>
      </c>
      <c r="F53" s="0" t="s">
        <v>60</v>
      </c>
      <c r="G53" s="11" t="b">
        <f aca="false">COUNTIF(BankQuarter!$B$5:$B$750,A53)&gt;0</f>
        <v>0</v>
      </c>
    </row>
    <row r="54" customFormat="false" ht="15" hidden="false" customHeight="false" outlineLevel="0" collapsed="false">
      <c r="A54" s="0" t="s">
        <v>7507</v>
      </c>
      <c r="B54" s="0" t="s">
        <v>7508</v>
      </c>
      <c r="C54" s="0" t="s">
        <v>61</v>
      </c>
      <c r="E54" s="0" t="s">
        <v>7367</v>
      </c>
      <c r="F54" s="0" t="s">
        <v>60</v>
      </c>
      <c r="G54" s="11" t="b">
        <f aca="false">COUNTIF(BankQuarter!$B$5:$B$750,A54)&gt;0</f>
        <v>0</v>
      </c>
    </row>
    <row r="55" customFormat="false" ht="15" hidden="false" customHeight="false" outlineLevel="0" collapsed="false">
      <c r="A55" s="0" t="s">
        <v>7509</v>
      </c>
      <c r="B55" s="0" t="s">
        <v>7510</v>
      </c>
      <c r="C55" s="0" t="s">
        <v>61</v>
      </c>
      <c r="E55" s="0" t="s">
        <v>7367</v>
      </c>
      <c r="F55" s="0" t="s">
        <v>158</v>
      </c>
      <c r="G55" s="11" t="b">
        <f aca="false">COUNTIF(BankQuarter!$B$5:$B$750,A55)&gt;0</f>
        <v>0</v>
      </c>
    </row>
    <row r="56" customFormat="false" ht="15" hidden="false" customHeight="false" outlineLevel="0" collapsed="false">
      <c r="A56" s="0" t="s">
        <v>7511</v>
      </c>
      <c r="B56" s="0" t="s">
        <v>7512</v>
      </c>
      <c r="C56" s="0" t="s">
        <v>61</v>
      </c>
      <c r="D56" s="0" t="s">
        <v>7383</v>
      </c>
      <c r="E56" s="0" t="s">
        <v>7513</v>
      </c>
      <c r="F56" s="0" t="s">
        <v>158</v>
      </c>
      <c r="G56" s="11" t="b">
        <f aca="false">COUNTIF(BankQuarter!$B$5:$B$750,A56)&gt;0</f>
        <v>0</v>
      </c>
    </row>
    <row r="57" customFormat="false" ht="15" hidden="false" customHeight="false" outlineLevel="0" collapsed="false">
      <c r="A57" s="0" t="s">
        <v>7514</v>
      </c>
      <c r="B57" s="0" t="s">
        <v>7515</v>
      </c>
      <c r="C57" s="0" t="s">
        <v>61</v>
      </c>
      <c r="E57" s="0" t="s">
        <v>7367</v>
      </c>
      <c r="F57" s="0" t="s">
        <v>158</v>
      </c>
      <c r="G57" s="11" t="b">
        <f aca="false">COUNTIF(BankQuarter!$B$5:$B$750,A57)&gt;0</f>
        <v>0</v>
      </c>
    </row>
    <row r="58" customFormat="false" ht="15" hidden="false" customHeight="false" outlineLevel="0" collapsed="false">
      <c r="A58" s="0" t="s">
        <v>7516</v>
      </c>
      <c r="B58" s="0" t="s">
        <v>7517</v>
      </c>
      <c r="C58" s="0" t="s">
        <v>61</v>
      </c>
      <c r="D58" s="0" t="s">
        <v>7518</v>
      </c>
      <c r="E58" s="0" t="s">
        <v>7519</v>
      </c>
      <c r="F58" s="0" t="s">
        <v>158</v>
      </c>
      <c r="G58" s="11" t="b">
        <f aca="false">COUNTIF(BankQuarter!$B$5:$B$750,A58)&gt;0</f>
        <v>0</v>
      </c>
    </row>
    <row r="59" customFormat="false" ht="15" hidden="false" customHeight="false" outlineLevel="0" collapsed="false">
      <c r="A59" s="0" t="s">
        <v>7520</v>
      </c>
      <c r="B59" s="0" t="s">
        <v>7521</v>
      </c>
      <c r="C59" s="0" t="s">
        <v>61</v>
      </c>
      <c r="E59" s="0" t="s">
        <v>7522</v>
      </c>
      <c r="F59" s="0" t="s">
        <v>60</v>
      </c>
      <c r="G59" s="11" t="b">
        <f aca="false">COUNTIF(BankQuarter!$B$5:$B$750,A59)&gt;0</f>
        <v>0</v>
      </c>
    </row>
    <row r="60" customFormat="false" ht="15" hidden="false" customHeight="false" outlineLevel="0" collapsed="false">
      <c r="A60" s="0" t="s">
        <v>7523</v>
      </c>
      <c r="B60" s="0" t="s">
        <v>7524</v>
      </c>
      <c r="C60" s="0" t="s">
        <v>61</v>
      </c>
      <c r="E60" s="0" t="s">
        <v>7367</v>
      </c>
      <c r="F60" s="0" t="s">
        <v>60</v>
      </c>
      <c r="G60" s="11" t="b">
        <f aca="false">COUNTIF(BankQuarter!$B$5:$B$750,A60)&gt;0</f>
        <v>0</v>
      </c>
    </row>
    <row r="61" customFormat="false" ht="15" hidden="false" customHeight="false" outlineLevel="0" collapsed="false">
      <c r="A61" s="0" t="s">
        <v>7525</v>
      </c>
      <c r="B61" s="0" t="s">
        <v>7526</v>
      </c>
      <c r="C61" s="0" t="s">
        <v>256</v>
      </c>
      <c r="D61" s="0" t="s">
        <v>7391</v>
      </c>
      <c r="E61" s="0" t="s">
        <v>7409</v>
      </c>
      <c r="F61" s="0" t="s">
        <v>60</v>
      </c>
      <c r="G61" s="11" t="b">
        <f aca="false">COUNTIF(BankQuarter!$B$5:$B$750,A61)&gt;0</f>
        <v>1</v>
      </c>
    </row>
    <row r="62" customFormat="false" ht="15" hidden="false" customHeight="false" outlineLevel="0" collapsed="false">
      <c r="A62" s="0" t="s">
        <v>7527</v>
      </c>
      <c r="B62" s="0" t="s">
        <v>7528</v>
      </c>
      <c r="C62" s="0" t="s">
        <v>61</v>
      </c>
      <c r="D62" s="0" t="s">
        <v>7529</v>
      </c>
      <c r="E62" s="0" t="s">
        <v>7530</v>
      </c>
      <c r="F62" s="0" t="s">
        <v>158</v>
      </c>
      <c r="G62" s="11" t="b">
        <f aca="false">COUNTIF(BankQuarter!$B$5:$B$750,A62)&gt;0</f>
        <v>0</v>
      </c>
    </row>
    <row r="63" customFormat="false" ht="15" hidden="false" customHeight="false" outlineLevel="0" collapsed="false">
      <c r="A63" s="0" t="s">
        <v>7531</v>
      </c>
      <c r="B63" s="0" t="s">
        <v>7532</v>
      </c>
      <c r="C63" s="0" t="s">
        <v>61</v>
      </c>
      <c r="D63" s="0" t="s">
        <v>7383</v>
      </c>
      <c r="E63" s="0" t="s">
        <v>7513</v>
      </c>
      <c r="F63" s="0" t="s">
        <v>158</v>
      </c>
      <c r="G63" s="11" t="b">
        <f aca="false">COUNTIF(BankQuarter!$B$5:$B$750,A63)&gt;0</f>
        <v>0</v>
      </c>
    </row>
    <row r="64" customFormat="false" ht="15" hidden="false" customHeight="false" outlineLevel="0" collapsed="false">
      <c r="A64" s="0" t="s">
        <v>7533</v>
      </c>
      <c r="B64" s="0" t="s">
        <v>7534</v>
      </c>
      <c r="C64" s="0" t="s">
        <v>61</v>
      </c>
      <c r="D64" s="0" t="s">
        <v>7535</v>
      </c>
      <c r="E64" s="0" t="s">
        <v>7367</v>
      </c>
      <c r="F64" s="0" t="s">
        <v>158</v>
      </c>
      <c r="G64" s="11" t="b">
        <f aca="false">COUNTIF(BankQuarter!$B$5:$B$750,A64)&gt;0</f>
        <v>0</v>
      </c>
    </row>
    <row r="65" customFormat="false" ht="15" hidden="false" customHeight="false" outlineLevel="0" collapsed="false">
      <c r="A65" s="0" t="s">
        <v>7536</v>
      </c>
      <c r="B65" s="0" t="s">
        <v>7537</v>
      </c>
      <c r="C65" s="0" t="s">
        <v>256</v>
      </c>
      <c r="D65" s="0" t="s">
        <v>7391</v>
      </c>
      <c r="E65" s="0" t="s">
        <v>7409</v>
      </c>
      <c r="F65" s="0" t="s">
        <v>158</v>
      </c>
      <c r="G65" s="11" t="b">
        <f aca="false">COUNTIF(BankQuarter!$B$5:$B$750,A65)&gt;0</f>
        <v>1</v>
      </c>
    </row>
    <row r="66" customFormat="false" ht="15" hidden="false" customHeight="false" outlineLevel="0" collapsed="false">
      <c r="A66" s="0" t="s">
        <v>7538</v>
      </c>
      <c r="B66" s="0" t="s">
        <v>7539</v>
      </c>
      <c r="C66" s="0" t="s">
        <v>61</v>
      </c>
      <c r="D66" s="0" t="s">
        <v>7383</v>
      </c>
      <c r="E66" s="0" t="s">
        <v>7540</v>
      </c>
      <c r="F66" s="0" t="s">
        <v>158</v>
      </c>
      <c r="G66" s="11" t="b">
        <f aca="false">COUNTIF(BankQuarter!$B$5:$B$750,A66)&gt;0</f>
        <v>0</v>
      </c>
    </row>
    <row r="67" customFormat="false" ht="15" hidden="false" customHeight="false" outlineLevel="0" collapsed="false">
      <c r="A67" s="0" t="s">
        <v>7541</v>
      </c>
      <c r="B67" s="0" t="s">
        <v>7542</v>
      </c>
      <c r="C67" s="0" t="s">
        <v>61</v>
      </c>
      <c r="E67" s="0" t="s">
        <v>7543</v>
      </c>
      <c r="F67" s="0" t="s">
        <v>158</v>
      </c>
      <c r="G67" s="11" t="b">
        <f aca="false">COUNTIF(BankQuarter!$B$5:$B$750,A67)&gt;0</f>
        <v>0</v>
      </c>
    </row>
    <row r="68" customFormat="false" ht="15" hidden="false" customHeight="false" outlineLevel="0" collapsed="false">
      <c r="A68" s="0" t="s">
        <v>7544</v>
      </c>
      <c r="B68" s="0" t="s">
        <v>7545</v>
      </c>
      <c r="C68" s="0" t="s">
        <v>61</v>
      </c>
      <c r="D68" s="0" t="s">
        <v>7485</v>
      </c>
      <c r="E68" s="0" t="s">
        <v>7546</v>
      </c>
      <c r="F68" s="0" t="s">
        <v>158</v>
      </c>
      <c r="G68" s="11" t="b">
        <f aca="false">COUNTIF(BankQuarter!$B$5:$B$750,A68)&gt;0</f>
        <v>0</v>
      </c>
    </row>
    <row r="69" customFormat="false" ht="15" hidden="false" customHeight="false" outlineLevel="0" collapsed="false">
      <c r="A69" s="0" t="s">
        <v>7547</v>
      </c>
      <c r="B69" s="0" t="s">
        <v>7548</v>
      </c>
      <c r="C69" s="0" t="s">
        <v>61</v>
      </c>
      <c r="E69" s="0" t="s">
        <v>7549</v>
      </c>
      <c r="F69" s="0" t="s">
        <v>158</v>
      </c>
      <c r="G69" s="11" t="b">
        <f aca="false">COUNTIF(BankQuarter!$B$5:$B$750,A69)&gt;0</f>
        <v>0</v>
      </c>
    </row>
    <row r="70" customFormat="false" ht="15" hidden="false" customHeight="false" outlineLevel="0" collapsed="false">
      <c r="A70" s="0" t="s">
        <v>7550</v>
      </c>
      <c r="B70" s="0" t="s">
        <v>7551</v>
      </c>
      <c r="C70" s="0" t="s">
        <v>61</v>
      </c>
      <c r="D70" s="0" t="s">
        <v>7552</v>
      </c>
      <c r="E70" s="0" t="s">
        <v>7553</v>
      </c>
      <c r="F70" s="0" t="s">
        <v>158</v>
      </c>
      <c r="G70" s="11" t="b">
        <f aca="false">COUNTIF(BankQuarter!$B$5:$B$750,A70)&gt;0</f>
        <v>0</v>
      </c>
    </row>
    <row r="71" customFormat="false" ht="15" hidden="false" customHeight="false" outlineLevel="0" collapsed="false">
      <c r="A71" s="0" t="s">
        <v>7554</v>
      </c>
      <c r="B71" s="0" t="s">
        <v>7555</v>
      </c>
      <c r="C71" s="0" t="s">
        <v>61</v>
      </c>
      <c r="D71" s="0" t="s">
        <v>7518</v>
      </c>
      <c r="E71" s="0" t="s">
        <v>7513</v>
      </c>
      <c r="F71" s="0" t="s">
        <v>158</v>
      </c>
      <c r="G71" s="11" t="b">
        <f aca="false">COUNTIF(BankQuarter!$B$5:$B$750,A71)&gt;0</f>
        <v>0</v>
      </c>
    </row>
    <row r="72" customFormat="false" ht="15" hidden="false" customHeight="false" outlineLevel="0" collapsed="false">
      <c r="A72" s="0" t="s">
        <v>7556</v>
      </c>
      <c r="B72" s="0" t="s">
        <v>7557</v>
      </c>
      <c r="C72" s="0" t="s">
        <v>61</v>
      </c>
      <c r="E72" s="0" t="s">
        <v>7558</v>
      </c>
      <c r="F72" s="0" t="s">
        <v>158</v>
      </c>
      <c r="G72" s="11" t="b">
        <f aca="false">COUNTIF(BankQuarter!$B$5:$B$750,A72)&gt;0</f>
        <v>0</v>
      </c>
    </row>
    <row r="73" customFormat="false" ht="15" hidden="false" customHeight="false" outlineLevel="0" collapsed="false">
      <c r="A73" s="0" t="s">
        <v>7559</v>
      </c>
      <c r="B73" s="0" t="s">
        <v>7560</v>
      </c>
      <c r="C73" s="0" t="s">
        <v>61</v>
      </c>
      <c r="E73" s="0" t="s">
        <v>7367</v>
      </c>
      <c r="F73" s="0" t="s">
        <v>158</v>
      </c>
      <c r="G73" s="11" t="b">
        <f aca="false">COUNTIF(BankQuarter!$B$5:$B$750,A73)&gt;0</f>
        <v>0</v>
      </c>
    </row>
    <row r="74" customFormat="false" ht="15" hidden="false" customHeight="false" outlineLevel="0" collapsed="false">
      <c r="A74" s="0" t="s">
        <v>7561</v>
      </c>
      <c r="B74" s="0" t="s">
        <v>7562</v>
      </c>
      <c r="C74" s="0" t="s">
        <v>256</v>
      </c>
      <c r="D74" s="0" t="s">
        <v>7391</v>
      </c>
      <c r="E74" s="0" t="s">
        <v>7409</v>
      </c>
      <c r="F74" s="0" t="s">
        <v>158</v>
      </c>
      <c r="G74" s="11" t="b">
        <f aca="false">COUNTIF(BankQuarter!$B$5:$B$750,A74)&gt;0</f>
        <v>1</v>
      </c>
    </row>
    <row r="75" customFormat="false" ht="15" hidden="false" customHeight="false" outlineLevel="0" collapsed="false">
      <c r="A75" s="0" t="s">
        <v>7563</v>
      </c>
      <c r="B75" s="0" t="s">
        <v>7564</v>
      </c>
      <c r="C75" s="0" t="s">
        <v>61</v>
      </c>
      <c r="D75" s="0" t="s">
        <v>7565</v>
      </c>
      <c r="E75" s="0" t="s">
        <v>7566</v>
      </c>
      <c r="F75" s="0" t="s">
        <v>60</v>
      </c>
      <c r="G75" s="11" t="b">
        <f aca="false">COUNTIF(BankQuarter!$B$5:$B$750,A75)&gt;0</f>
        <v>0</v>
      </c>
    </row>
    <row r="76" customFormat="false" ht="15" hidden="false" customHeight="false" outlineLevel="0" collapsed="false">
      <c r="A76" s="0" t="s">
        <v>7567</v>
      </c>
      <c r="B76" s="0" t="s">
        <v>7568</v>
      </c>
      <c r="C76" s="0" t="s">
        <v>256</v>
      </c>
      <c r="D76" s="0" t="s">
        <v>7391</v>
      </c>
      <c r="E76" s="0" t="s">
        <v>7409</v>
      </c>
      <c r="F76" s="0" t="s">
        <v>60</v>
      </c>
      <c r="G76" s="11" t="b">
        <f aca="false">COUNTIF(BankQuarter!$B$5:$B$750,A76)&gt;0</f>
        <v>1</v>
      </c>
    </row>
    <row r="77" customFormat="false" ht="15" hidden="false" customHeight="false" outlineLevel="0" collapsed="false">
      <c r="A77" s="0" t="s">
        <v>7569</v>
      </c>
      <c r="B77" s="0" t="s">
        <v>7570</v>
      </c>
      <c r="C77" s="0" t="s">
        <v>61</v>
      </c>
      <c r="D77" s="0" t="s">
        <v>7571</v>
      </c>
      <c r="E77" s="0" t="s">
        <v>7412</v>
      </c>
      <c r="F77" s="0" t="s">
        <v>60</v>
      </c>
      <c r="G77" s="11" t="b">
        <f aca="false">COUNTIF(BankQuarter!$B$5:$B$750,A77)&gt;0</f>
        <v>0</v>
      </c>
    </row>
    <row r="78" customFormat="false" ht="15" hidden="false" customHeight="false" outlineLevel="0" collapsed="false">
      <c r="A78" s="0" t="s">
        <v>7572</v>
      </c>
      <c r="B78" s="0" t="s">
        <v>7573</v>
      </c>
      <c r="C78" s="0" t="s">
        <v>61</v>
      </c>
      <c r="D78" s="0" t="s">
        <v>7574</v>
      </c>
      <c r="E78" s="0" t="s">
        <v>7575</v>
      </c>
      <c r="F78" s="0" t="s">
        <v>60</v>
      </c>
      <c r="G78" s="11" t="b">
        <f aca="false">COUNTIF(BankQuarter!$B$5:$B$750,A78)&gt;0</f>
        <v>0</v>
      </c>
    </row>
    <row r="79" customFormat="false" ht="15" hidden="false" customHeight="false" outlineLevel="0" collapsed="false">
      <c r="A79" s="0" t="s">
        <v>6692</v>
      </c>
      <c r="B79" s="0" t="s">
        <v>7576</v>
      </c>
      <c r="C79" s="0" t="s">
        <v>61</v>
      </c>
      <c r="E79" s="0" t="s">
        <v>7372</v>
      </c>
      <c r="F79" s="0" t="s">
        <v>60</v>
      </c>
      <c r="G79" s="11" t="b">
        <f aca="false">COUNTIF(BankQuarter!$B$5:$B$750,A79)&gt;0</f>
        <v>0</v>
      </c>
    </row>
    <row r="80" customFormat="false" ht="15" hidden="false" customHeight="false" outlineLevel="0" collapsed="false">
      <c r="A80" s="0" t="s">
        <v>7577</v>
      </c>
      <c r="B80" s="0" t="s">
        <v>7578</v>
      </c>
      <c r="C80" s="0" t="s">
        <v>256</v>
      </c>
      <c r="D80" s="0" t="s">
        <v>7391</v>
      </c>
      <c r="E80" s="0" t="s">
        <v>7579</v>
      </c>
      <c r="F80" s="0" t="s">
        <v>60</v>
      </c>
      <c r="G80" s="11" t="b">
        <f aca="false">COUNTIF(BankQuarter!$B$5:$B$750,A80)&gt;0</f>
        <v>1</v>
      </c>
    </row>
    <row r="81" customFormat="false" ht="15" hidden="false" customHeight="false" outlineLevel="0" collapsed="false">
      <c r="A81" s="0" t="s">
        <v>7580</v>
      </c>
      <c r="B81" s="0" t="s">
        <v>7581</v>
      </c>
      <c r="C81" s="0" t="s">
        <v>61</v>
      </c>
      <c r="E81" s="0" t="s">
        <v>7582</v>
      </c>
      <c r="F81" s="0" t="s">
        <v>60</v>
      </c>
      <c r="G81" s="11" t="b">
        <f aca="false">COUNTIF(BankQuarter!$B$5:$B$750,A81)&gt;0</f>
        <v>0</v>
      </c>
    </row>
    <row r="82" customFormat="false" ht="15" hidden="false" customHeight="false" outlineLevel="0" collapsed="false">
      <c r="A82" s="0" t="s">
        <v>7583</v>
      </c>
      <c r="B82" s="0" t="s">
        <v>7584</v>
      </c>
      <c r="C82" s="0" t="s">
        <v>256</v>
      </c>
      <c r="D82" s="0" t="s">
        <v>7391</v>
      </c>
      <c r="E82" s="0" t="s">
        <v>7409</v>
      </c>
      <c r="F82" s="0" t="s">
        <v>60</v>
      </c>
      <c r="G82" s="11" t="b">
        <f aca="false">COUNTIF(BankQuarter!$B$5:$B$750,A82)&gt;0</f>
        <v>1</v>
      </c>
    </row>
    <row r="83" customFormat="false" ht="15" hidden="false" customHeight="false" outlineLevel="0" collapsed="false">
      <c r="A83" s="0" t="s">
        <v>7585</v>
      </c>
      <c r="B83" s="0" t="s">
        <v>7586</v>
      </c>
      <c r="C83" s="0" t="s">
        <v>61</v>
      </c>
      <c r="D83" s="0" t="s">
        <v>7501</v>
      </c>
      <c r="E83" s="0" t="s">
        <v>7587</v>
      </c>
      <c r="F83" s="0" t="s">
        <v>60</v>
      </c>
      <c r="G83" s="11" t="b">
        <f aca="false">COUNTIF(BankQuarter!$B$5:$B$750,A83)&gt;0</f>
        <v>1</v>
      </c>
    </row>
    <row r="84" customFormat="false" ht="15" hidden="false" customHeight="false" outlineLevel="0" collapsed="false">
      <c r="A84" s="0" t="s">
        <v>7588</v>
      </c>
      <c r="B84" s="0" t="s">
        <v>7589</v>
      </c>
      <c r="C84" s="0" t="s">
        <v>256</v>
      </c>
      <c r="D84" s="0" t="s">
        <v>7391</v>
      </c>
      <c r="E84" s="0" t="s">
        <v>7409</v>
      </c>
      <c r="F84" s="0" t="s">
        <v>60</v>
      </c>
      <c r="G84" s="11" t="b">
        <f aca="false">COUNTIF(BankQuarter!$B$5:$B$750,A84)&gt;0</f>
        <v>1</v>
      </c>
    </row>
    <row r="85" customFormat="false" ht="15" hidden="false" customHeight="false" outlineLevel="0" collapsed="false">
      <c r="A85" s="0" t="s">
        <v>7590</v>
      </c>
      <c r="B85" s="0" t="s">
        <v>7591</v>
      </c>
      <c r="C85" s="0" t="s">
        <v>256</v>
      </c>
      <c r="D85" s="0" t="s">
        <v>7391</v>
      </c>
      <c r="E85" s="0" t="s">
        <v>7592</v>
      </c>
      <c r="F85" s="0" t="s">
        <v>60</v>
      </c>
      <c r="G85" s="11" t="b">
        <f aca="false">COUNTIF(BankQuarter!$B$5:$B$750,A85)&gt;0</f>
        <v>1</v>
      </c>
    </row>
    <row r="86" customFormat="false" ht="15" hidden="false" customHeight="false" outlineLevel="0" collapsed="false">
      <c r="A86" s="0" t="s">
        <v>7593</v>
      </c>
      <c r="B86" s="0" t="s">
        <v>7594</v>
      </c>
      <c r="C86" s="0" t="s">
        <v>61</v>
      </c>
      <c r="E86" s="0" t="s">
        <v>7395</v>
      </c>
      <c r="F86" s="0" t="s">
        <v>60</v>
      </c>
      <c r="G86" s="11" t="b">
        <f aca="false">COUNTIF(BankQuarter!$B$5:$B$750,A86)&gt;0</f>
        <v>0</v>
      </c>
    </row>
    <row r="87" customFormat="false" ht="15" hidden="false" customHeight="false" outlineLevel="0" collapsed="false">
      <c r="A87" s="0" t="s">
        <v>7595</v>
      </c>
      <c r="B87" s="0" t="s">
        <v>7596</v>
      </c>
      <c r="C87" s="0" t="s">
        <v>61</v>
      </c>
      <c r="D87" s="0" t="s">
        <v>7574</v>
      </c>
      <c r="E87" s="0" t="s">
        <v>7597</v>
      </c>
      <c r="F87" s="0" t="s">
        <v>158</v>
      </c>
      <c r="G87" s="11" t="b">
        <f aca="false">COUNTIF(BankQuarter!$B$5:$B$750,A87)&gt;0</f>
        <v>0</v>
      </c>
    </row>
    <row r="88" customFormat="false" ht="15" hidden="false" customHeight="false" outlineLevel="0" collapsed="false">
      <c r="A88" s="0" t="s">
        <v>7598</v>
      </c>
      <c r="B88" s="0" t="s">
        <v>7570</v>
      </c>
      <c r="C88" s="0" t="s">
        <v>61</v>
      </c>
      <c r="E88" s="0" t="s">
        <v>7599</v>
      </c>
      <c r="F88" s="0" t="s">
        <v>60</v>
      </c>
      <c r="G88" s="11" t="b">
        <f aca="false">COUNTIF(BankQuarter!$B$5:$B$750,A88)&gt;0</f>
        <v>0</v>
      </c>
    </row>
    <row r="89" customFormat="false" ht="15" hidden="false" customHeight="false" outlineLevel="0" collapsed="false">
      <c r="A89" s="0" t="s">
        <v>7600</v>
      </c>
      <c r="B89" s="0" t="s">
        <v>7601</v>
      </c>
      <c r="C89" s="0" t="s">
        <v>61</v>
      </c>
      <c r="D89" s="0" t="s">
        <v>7602</v>
      </c>
      <c r="E89" s="0" t="s">
        <v>7603</v>
      </c>
      <c r="F89" s="0" t="s">
        <v>158</v>
      </c>
      <c r="G89" s="11" t="b">
        <f aca="false">COUNTIF(BankQuarter!$B$5:$B$750,A89)&gt;0</f>
        <v>0</v>
      </c>
    </row>
    <row r="90" customFormat="false" ht="15" hidden="false" customHeight="false" outlineLevel="0" collapsed="false">
      <c r="A90" s="0" t="s">
        <v>7604</v>
      </c>
      <c r="B90" s="0" t="s">
        <v>7605</v>
      </c>
      <c r="C90" s="0" t="s">
        <v>61</v>
      </c>
      <c r="D90" s="0" t="s">
        <v>7383</v>
      </c>
      <c r="E90" s="0" t="s">
        <v>7513</v>
      </c>
      <c r="F90" s="0" t="s">
        <v>158</v>
      </c>
      <c r="G90" s="11" t="b">
        <f aca="false">COUNTIF(BankQuarter!$B$5:$B$750,A90)&gt;0</f>
        <v>0</v>
      </c>
    </row>
    <row r="91" customFormat="false" ht="15" hidden="false" customHeight="false" outlineLevel="0" collapsed="false">
      <c r="A91" s="0" t="s">
        <v>7606</v>
      </c>
      <c r="B91" s="0" t="s">
        <v>7607</v>
      </c>
      <c r="C91" s="0" t="s">
        <v>256</v>
      </c>
      <c r="D91" s="0" t="s">
        <v>7391</v>
      </c>
      <c r="E91" s="0" t="s">
        <v>7409</v>
      </c>
      <c r="F91" s="0" t="s">
        <v>60</v>
      </c>
      <c r="G91" s="11" t="b">
        <f aca="false">COUNTIF(BankQuarter!$B$5:$B$750,A91)&gt;0</f>
        <v>1</v>
      </c>
    </row>
    <row r="92" customFormat="false" ht="15" hidden="false" customHeight="false" outlineLevel="0" collapsed="false">
      <c r="A92" s="0" t="s">
        <v>7608</v>
      </c>
      <c r="B92" s="0" t="s">
        <v>7609</v>
      </c>
      <c r="C92" s="0" t="s">
        <v>61</v>
      </c>
      <c r="D92" s="0" t="s">
        <v>7383</v>
      </c>
      <c r="E92" s="0" t="s">
        <v>7610</v>
      </c>
      <c r="F92" s="0" t="s">
        <v>158</v>
      </c>
      <c r="G92" s="11" t="b">
        <f aca="false">COUNTIF(BankQuarter!$B$5:$B$750,A92)&gt;0</f>
        <v>0</v>
      </c>
    </row>
    <row r="93" customFormat="false" ht="15" hidden="false" customHeight="false" outlineLevel="0" collapsed="false">
      <c r="A93" s="0" t="s">
        <v>7611</v>
      </c>
      <c r="B93" s="0" t="s">
        <v>7612</v>
      </c>
      <c r="C93" s="0" t="s">
        <v>256</v>
      </c>
      <c r="D93" s="0" t="s">
        <v>7391</v>
      </c>
      <c r="E93" s="0" t="s">
        <v>7409</v>
      </c>
      <c r="F93" s="0" t="s">
        <v>158</v>
      </c>
      <c r="G93" s="11" t="b">
        <f aca="false">COUNTIF(BankQuarter!$B$5:$B$750,A93)&gt;0</f>
        <v>1</v>
      </c>
    </row>
    <row r="94" customFormat="false" ht="15" hidden="false" customHeight="false" outlineLevel="0" collapsed="false">
      <c r="A94" s="0" t="s">
        <v>7613</v>
      </c>
      <c r="B94" s="0" t="s">
        <v>7614</v>
      </c>
      <c r="C94" s="0" t="s">
        <v>61</v>
      </c>
      <c r="D94" s="0" t="s">
        <v>7474</v>
      </c>
      <c r="E94" s="0" t="s">
        <v>7615</v>
      </c>
      <c r="F94" s="0" t="s">
        <v>158</v>
      </c>
      <c r="G94" s="11" t="b">
        <f aca="false">COUNTIF(BankQuarter!$B$5:$B$750,A94)&gt;0</f>
        <v>0</v>
      </c>
    </row>
    <row r="95" customFormat="false" ht="15" hidden="false" customHeight="false" outlineLevel="0" collapsed="false">
      <c r="A95" s="0" t="s">
        <v>7616</v>
      </c>
      <c r="B95" s="0" t="s">
        <v>7617</v>
      </c>
      <c r="C95" s="0" t="s">
        <v>256</v>
      </c>
      <c r="D95" s="0" t="s">
        <v>7391</v>
      </c>
      <c r="E95" s="0" t="s">
        <v>7409</v>
      </c>
      <c r="F95" s="0" t="s">
        <v>158</v>
      </c>
      <c r="G95" s="11" t="b">
        <f aca="false">COUNTIF(BankQuarter!$B$5:$B$750,A95)&gt;0</f>
        <v>1</v>
      </c>
    </row>
    <row r="96" customFormat="false" ht="15" hidden="false" customHeight="false" outlineLevel="0" collapsed="false">
      <c r="A96" s="0" t="s">
        <v>7618</v>
      </c>
      <c r="B96" s="0" t="s">
        <v>7619</v>
      </c>
      <c r="C96" s="0" t="s">
        <v>61</v>
      </c>
      <c r="D96" s="0" t="s">
        <v>7620</v>
      </c>
      <c r="E96" s="0" t="s">
        <v>7621</v>
      </c>
      <c r="F96" s="0" t="s">
        <v>158</v>
      </c>
      <c r="G96" s="11" t="b">
        <f aca="false">COUNTIF(BankQuarter!$B$5:$B$750,A96)&gt;0</f>
        <v>0</v>
      </c>
    </row>
    <row r="97" customFormat="false" ht="15" hidden="false" customHeight="false" outlineLevel="0" collapsed="false">
      <c r="A97" s="0" t="s">
        <v>7622</v>
      </c>
      <c r="B97" s="0" t="s">
        <v>7623</v>
      </c>
      <c r="C97" s="0" t="s">
        <v>61</v>
      </c>
      <c r="D97" s="0" t="s">
        <v>7624</v>
      </c>
      <c r="E97" s="0" t="s">
        <v>7625</v>
      </c>
      <c r="F97" s="0" t="s">
        <v>158</v>
      </c>
      <c r="G97" s="11" t="b">
        <f aca="false">COUNTIF(BankQuarter!$B$5:$B$750,A97)&gt;0</f>
        <v>0</v>
      </c>
    </row>
    <row r="98" customFormat="false" ht="15" hidden="false" customHeight="false" outlineLevel="0" collapsed="false">
      <c r="A98" s="0" t="s">
        <v>7626</v>
      </c>
      <c r="B98" s="0" t="s">
        <v>7627</v>
      </c>
      <c r="C98" s="0" t="s">
        <v>61</v>
      </c>
      <c r="E98" s="0" t="s">
        <v>7395</v>
      </c>
      <c r="F98" s="0" t="s">
        <v>158</v>
      </c>
      <c r="G98" s="11" t="b">
        <f aca="false">COUNTIF(BankQuarter!$B$5:$B$750,A98)&gt;0</f>
        <v>0</v>
      </c>
    </row>
    <row r="99" customFormat="false" ht="15" hidden="false" customHeight="false" outlineLevel="0" collapsed="false">
      <c r="A99" s="0" t="s">
        <v>7628</v>
      </c>
      <c r="B99" s="0" t="s">
        <v>7629</v>
      </c>
      <c r="C99" s="0" t="s">
        <v>61</v>
      </c>
      <c r="E99" s="0" t="s">
        <v>7395</v>
      </c>
      <c r="F99" s="0" t="s">
        <v>158</v>
      </c>
      <c r="G99" s="11" t="b">
        <f aca="false">COUNTIF(BankQuarter!$B$5:$B$750,A99)&gt;0</f>
        <v>0</v>
      </c>
    </row>
    <row r="100" customFormat="false" ht="15" hidden="false" customHeight="false" outlineLevel="0" collapsed="false">
      <c r="A100" s="0" t="s">
        <v>7630</v>
      </c>
      <c r="B100" s="0" t="s">
        <v>7631</v>
      </c>
      <c r="C100" s="0" t="s">
        <v>256</v>
      </c>
      <c r="D100" s="0" t="s">
        <v>7391</v>
      </c>
      <c r="E100" s="0" t="s">
        <v>7409</v>
      </c>
      <c r="F100" s="0" t="s">
        <v>158</v>
      </c>
      <c r="G100" s="11" t="b">
        <f aca="false">COUNTIF(BankQuarter!$B$5:$B$750,A100)&gt;0</f>
        <v>1</v>
      </c>
    </row>
    <row r="101" customFormat="false" ht="15" hidden="false" customHeight="false" outlineLevel="0" collapsed="false">
      <c r="A101" s="0" t="s">
        <v>2869</v>
      </c>
      <c r="B101" s="0" t="s">
        <v>7632</v>
      </c>
      <c r="C101" s="0" t="s">
        <v>256</v>
      </c>
      <c r="D101" s="0" t="s">
        <v>7391</v>
      </c>
      <c r="E101" s="0" t="s">
        <v>7409</v>
      </c>
      <c r="F101" s="0" t="s">
        <v>158</v>
      </c>
      <c r="G101" s="11" t="b">
        <f aca="false">COUNTIF(BankQuarter!$B$5:$B$750,A101)&gt;0</f>
        <v>1</v>
      </c>
    </row>
    <row r="102" customFormat="false" ht="15" hidden="false" customHeight="false" outlineLevel="0" collapsed="false">
      <c r="A102" s="0" t="s">
        <v>7633</v>
      </c>
      <c r="B102" s="0" t="s">
        <v>7634</v>
      </c>
      <c r="C102" s="0" t="s">
        <v>61</v>
      </c>
      <c r="D102" s="0" t="s">
        <v>7635</v>
      </c>
      <c r="E102" s="0" t="s">
        <v>7367</v>
      </c>
      <c r="F102" s="0" t="s">
        <v>158</v>
      </c>
      <c r="G102" s="11" t="b">
        <f aca="false">COUNTIF(BankQuarter!$B$5:$B$750,A102)&gt;0</f>
        <v>0</v>
      </c>
    </row>
    <row r="103" customFormat="false" ht="15" hidden="false" customHeight="false" outlineLevel="0" collapsed="false">
      <c r="A103" s="0" t="s">
        <v>7636</v>
      </c>
      <c r="B103" s="0" t="s">
        <v>7637</v>
      </c>
      <c r="C103" s="0" t="s">
        <v>61</v>
      </c>
      <c r="D103" s="0" t="s">
        <v>7638</v>
      </c>
      <c r="E103" s="0" t="s">
        <v>7639</v>
      </c>
      <c r="F103" s="0" t="s">
        <v>158</v>
      </c>
      <c r="G103" s="11" t="b">
        <f aca="false">COUNTIF(BankQuarter!$B$5:$B$750,A103)&gt;0</f>
        <v>0</v>
      </c>
    </row>
    <row r="104" customFormat="false" ht="15" hidden="false" customHeight="false" outlineLevel="0" collapsed="false">
      <c r="A104" s="0" t="s">
        <v>7640</v>
      </c>
      <c r="B104" s="0" t="s">
        <v>7641</v>
      </c>
      <c r="C104" s="0" t="s">
        <v>61</v>
      </c>
      <c r="E104" s="0" t="s">
        <v>7558</v>
      </c>
      <c r="F104" s="0" t="s">
        <v>158</v>
      </c>
      <c r="G104" s="11" t="b">
        <f aca="false">COUNTIF(BankQuarter!$B$5:$B$750,A104)&gt;0</f>
        <v>0</v>
      </c>
    </row>
    <row r="105" customFormat="false" ht="15" hidden="false" customHeight="false" outlineLevel="0" collapsed="false">
      <c r="A105" s="0" t="s">
        <v>7642</v>
      </c>
      <c r="B105" s="0" t="s">
        <v>7586</v>
      </c>
      <c r="C105" s="0" t="s">
        <v>61</v>
      </c>
      <c r="E105" s="0" t="s">
        <v>7643</v>
      </c>
      <c r="F105" s="0" t="s">
        <v>158</v>
      </c>
      <c r="G105" s="11" t="b">
        <f aca="false">COUNTIF(BankQuarter!$B$5:$B$750,A105)&gt;0</f>
        <v>0</v>
      </c>
    </row>
    <row r="106" customFormat="false" ht="15" hidden="false" customHeight="false" outlineLevel="0" collapsed="false">
      <c r="A106" s="0" t="s">
        <v>7644</v>
      </c>
      <c r="B106" s="0" t="s">
        <v>7645</v>
      </c>
      <c r="C106" s="0" t="s">
        <v>61</v>
      </c>
      <c r="E106" s="0" t="s">
        <v>7372</v>
      </c>
      <c r="F106" s="0" t="s">
        <v>158</v>
      </c>
      <c r="G106" s="11" t="b">
        <f aca="false">COUNTIF(BankQuarter!$B$5:$B$750,A106)&gt;0</f>
        <v>0</v>
      </c>
    </row>
    <row r="107" customFormat="false" ht="15" hidden="false" customHeight="false" outlineLevel="0" collapsed="false">
      <c r="A107" s="0" t="s">
        <v>7646</v>
      </c>
      <c r="B107" s="0" t="s">
        <v>7647</v>
      </c>
      <c r="C107" s="0" t="s">
        <v>61</v>
      </c>
      <c r="D107" s="0" t="s">
        <v>7485</v>
      </c>
      <c r="E107" s="0" t="s">
        <v>7648</v>
      </c>
      <c r="F107" s="0" t="s">
        <v>158</v>
      </c>
      <c r="G107" s="11" t="b">
        <f aca="false">COUNTIF(BankQuarter!$B$5:$B$750,A107)&gt;0</f>
        <v>0</v>
      </c>
    </row>
    <row r="108" customFormat="false" ht="15" hidden="false" customHeight="false" outlineLevel="0" collapsed="false">
      <c r="A108" s="0" t="s">
        <v>7649</v>
      </c>
      <c r="B108" s="0" t="s">
        <v>7650</v>
      </c>
      <c r="C108" s="0" t="s">
        <v>61</v>
      </c>
      <c r="D108" s="0" t="s">
        <v>7552</v>
      </c>
      <c r="E108" s="0" t="s">
        <v>7651</v>
      </c>
      <c r="F108" s="0" t="s">
        <v>158</v>
      </c>
      <c r="G108" s="11" t="b">
        <f aca="false">COUNTIF(BankQuarter!$B$5:$B$750,A108)&gt;0</f>
        <v>0</v>
      </c>
    </row>
    <row r="109" customFormat="false" ht="15" hidden="false" customHeight="false" outlineLevel="0" collapsed="false">
      <c r="A109" s="0" t="s">
        <v>7652</v>
      </c>
      <c r="B109" s="0" t="s">
        <v>7653</v>
      </c>
      <c r="C109" s="0" t="s">
        <v>256</v>
      </c>
      <c r="D109" s="0" t="s">
        <v>7391</v>
      </c>
      <c r="E109" s="0" t="s">
        <v>7409</v>
      </c>
      <c r="F109" s="0" t="s">
        <v>158</v>
      </c>
      <c r="G109" s="11" t="b">
        <f aca="false">COUNTIF(BankQuarter!$B$5:$B$750,A109)&gt;0</f>
        <v>1</v>
      </c>
    </row>
    <row r="110" customFormat="false" ht="15" hidden="false" customHeight="false" outlineLevel="0" collapsed="false">
      <c r="A110" s="0" t="s">
        <v>7654</v>
      </c>
      <c r="B110" s="0" t="s">
        <v>7655</v>
      </c>
      <c r="C110" s="0" t="s">
        <v>61</v>
      </c>
      <c r="D110" s="0" t="s">
        <v>7574</v>
      </c>
      <c r="E110" s="0" t="s">
        <v>7597</v>
      </c>
      <c r="F110" s="0" t="s">
        <v>158</v>
      </c>
      <c r="G110" s="11" t="b">
        <f aca="false">COUNTIF(BankQuarter!$B$5:$B$750,A110)&gt;0</f>
        <v>0</v>
      </c>
    </row>
    <row r="111" customFormat="false" ht="15" hidden="false" customHeight="false" outlineLevel="0" collapsed="false">
      <c r="A111" s="0" t="s">
        <v>7656</v>
      </c>
      <c r="B111" s="0" t="s">
        <v>7657</v>
      </c>
      <c r="C111" s="0" t="s">
        <v>256</v>
      </c>
      <c r="D111" s="0" t="s">
        <v>7391</v>
      </c>
      <c r="E111" s="0" t="s">
        <v>7409</v>
      </c>
      <c r="F111" s="0" t="s">
        <v>158</v>
      </c>
      <c r="G111" s="11" t="b">
        <f aca="false">COUNTIF(BankQuarter!$B$5:$B$750,A111)&gt;0</f>
        <v>1</v>
      </c>
    </row>
    <row r="112" customFormat="false" ht="15" hidden="false" customHeight="false" outlineLevel="0" collapsed="false">
      <c r="A112" s="0" t="s">
        <v>7658</v>
      </c>
      <c r="B112" s="0" t="s">
        <v>7659</v>
      </c>
      <c r="C112" s="0" t="s">
        <v>61</v>
      </c>
      <c r="D112" s="0" t="s">
        <v>7660</v>
      </c>
      <c r="E112" s="0" t="s">
        <v>7392</v>
      </c>
      <c r="F112" s="0" t="s">
        <v>158</v>
      </c>
      <c r="G112" s="11" t="b">
        <f aca="false">COUNTIF(BankQuarter!$B$5:$B$750,A112)&gt;0</f>
        <v>1</v>
      </c>
    </row>
    <row r="113" customFormat="false" ht="15" hidden="false" customHeight="false" outlineLevel="0" collapsed="false">
      <c r="A113" s="0" t="s">
        <v>6782</v>
      </c>
      <c r="B113" s="0" t="s">
        <v>7661</v>
      </c>
      <c r="C113" s="0" t="s">
        <v>61</v>
      </c>
      <c r="D113" s="0" t="s">
        <v>7662</v>
      </c>
      <c r="E113" s="0" t="s">
        <v>7663</v>
      </c>
      <c r="F113" s="0" t="s">
        <v>158</v>
      </c>
      <c r="G113" s="11" t="b">
        <f aca="false">COUNTIF(BankQuarter!$B$5:$B$750,A113)&gt;0</f>
        <v>0</v>
      </c>
    </row>
    <row r="114" customFormat="false" ht="15" hidden="false" customHeight="false" outlineLevel="0" collapsed="false">
      <c r="A114" s="0" t="s">
        <v>7664</v>
      </c>
      <c r="B114" s="0" t="s">
        <v>7665</v>
      </c>
      <c r="C114" s="0" t="s">
        <v>256</v>
      </c>
      <c r="D114" s="0" t="s">
        <v>7391</v>
      </c>
      <c r="E114" s="0" t="s">
        <v>7409</v>
      </c>
      <c r="F114" s="0" t="s">
        <v>158</v>
      </c>
      <c r="G114" s="11" t="b">
        <f aca="false">COUNTIF(BankQuarter!$B$5:$B$750,A114)&gt;0</f>
        <v>1</v>
      </c>
    </row>
    <row r="115" customFormat="false" ht="15" hidden="false" customHeight="false" outlineLevel="0" collapsed="false">
      <c r="A115" s="0" t="s">
        <v>7666</v>
      </c>
      <c r="B115" s="0" t="s">
        <v>7667</v>
      </c>
      <c r="C115" s="0" t="s">
        <v>61</v>
      </c>
      <c r="E115" s="0" t="s">
        <v>7582</v>
      </c>
      <c r="F115" s="0" t="s">
        <v>158</v>
      </c>
      <c r="G115" s="11" t="b">
        <f aca="false">COUNTIF(BankQuarter!$B$5:$B$750,A115)&gt;0</f>
        <v>0</v>
      </c>
    </row>
    <row r="116" customFormat="false" ht="15" hidden="false" customHeight="false" outlineLevel="0" collapsed="false">
      <c r="A116" s="0" t="s">
        <v>7668</v>
      </c>
      <c r="B116" s="0" t="s">
        <v>7669</v>
      </c>
      <c r="C116" s="0" t="s">
        <v>61</v>
      </c>
      <c r="D116" s="0" t="s">
        <v>7670</v>
      </c>
      <c r="E116" s="0" t="s">
        <v>7671</v>
      </c>
      <c r="F116" s="0" t="s">
        <v>158</v>
      </c>
      <c r="G116" s="11" t="b">
        <f aca="false">COUNTIF(BankQuarter!$B$5:$B$750,A116)&gt;0</f>
        <v>0</v>
      </c>
    </row>
    <row r="117" customFormat="false" ht="15" hidden="false" customHeight="false" outlineLevel="0" collapsed="false">
      <c r="A117" s="0" t="s">
        <v>7672</v>
      </c>
      <c r="B117" s="0" t="s">
        <v>7673</v>
      </c>
      <c r="C117" s="0" t="s">
        <v>61</v>
      </c>
      <c r="E117" s="0" t="s">
        <v>7367</v>
      </c>
      <c r="F117" s="0" t="s">
        <v>60</v>
      </c>
      <c r="G117" s="11" t="b">
        <f aca="false">COUNTIF(BankQuarter!$B$5:$B$750,A117)&gt;0</f>
        <v>0</v>
      </c>
    </row>
    <row r="118" customFormat="false" ht="15" hidden="false" customHeight="false" outlineLevel="0" collapsed="false">
      <c r="A118" s="0" t="s">
        <v>7674</v>
      </c>
      <c r="B118" s="0" t="s">
        <v>7675</v>
      </c>
      <c r="C118" s="0" t="s">
        <v>256</v>
      </c>
      <c r="D118" s="0" t="s">
        <v>7391</v>
      </c>
      <c r="E118" s="0" t="s">
        <v>7409</v>
      </c>
      <c r="F118" s="0" t="s">
        <v>60</v>
      </c>
      <c r="G118" s="11" t="b">
        <f aca="false">COUNTIF(BankQuarter!$B$5:$B$750,A118)&gt;0</f>
        <v>1</v>
      </c>
    </row>
    <row r="119" customFormat="false" ht="15" hidden="false" customHeight="false" outlineLevel="0" collapsed="false">
      <c r="A119" s="0" t="s">
        <v>7676</v>
      </c>
      <c r="B119" s="0" t="s">
        <v>7677</v>
      </c>
      <c r="C119" s="0" t="s">
        <v>61</v>
      </c>
      <c r="E119" s="0" t="s">
        <v>7395</v>
      </c>
      <c r="F119" s="0" t="s">
        <v>60</v>
      </c>
      <c r="G119" s="11" t="b">
        <f aca="false">COUNTIF(BankQuarter!$B$5:$B$750,A119)&gt;0</f>
        <v>0</v>
      </c>
    </row>
    <row r="120" customFormat="false" ht="15" hidden="false" customHeight="false" outlineLevel="0" collapsed="false">
      <c r="A120" s="0" t="s">
        <v>7678</v>
      </c>
      <c r="B120" s="0" t="s">
        <v>7679</v>
      </c>
      <c r="C120" s="0" t="s">
        <v>61</v>
      </c>
      <c r="E120" s="0" t="s">
        <v>7395</v>
      </c>
      <c r="F120" s="0" t="s">
        <v>60</v>
      </c>
      <c r="G120" s="11" t="b">
        <f aca="false">COUNTIF(BankQuarter!$B$5:$B$750,A120)&gt;0</f>
        <v>0</v>
      </c>
    </row>
    <row r="121" customFormat="false" ht="15" hidden="false" customHeight="false" outlineLevel="0" collapsed="false">
      <c r="A121" s="0" t="s">
        <v>7680</v>
      </c>
      <c r="B121" s="0" t="s">
        <v>7681</v>
      </c>
      <c r="C121" s="0" t="s">
        <v>61</v>
      </c>
      <c r="E121" s="0" t="s">
        <v>7425</v>
      </c>
      <c r="F121" s="0" t="s">
        <v>158</v>
      </c>
      <c r="G121" s="11" t="b">
        <f aca="false">COUNTIF(BankQuarter!$B$5:$B$750,A121)&gt;0</f>
        <v>0</v>
      </c>
    </row>
    <row r="122" customFormat="false" ht="15" hidden="false" customHeight="false" outlineLevel="0" collapsed="false">
      <c r="A122" s="0" t="s">
        <v>7682</v>
      </c>
      <c r="B122" s="0" t="s">
        <v>7683</v>
      </c>
      <c r="C122" s="0" t="s">
        <v>61</v>
      </c>
      <c r="D122" s="0" t="s">
        <v>7574</v>
      </c>
      <c r="E122" s="0" t="s">
        <v>7684</v>
      </c>
      <c r="F122" s="0" t="s">
        <v>158</v>
      </c>
      <c r="G122" s="11" t="b">
        <f aca="false">COUNTIF(BankQuarter!$B$5:$B$750,A122)&gt;0</f>
        <v>0</v>
      </c>
    </row>
    <row r="123" customFormat="false" ht="15" hidden="false" customHeight="false" outlineLevel="0" collapsed="false">
      <c r="A123" s="0" t="s">
        <v>7685</v>
      </c>
      <c r="B123" s="0" t="s">
        <v>7686</v>
      </c>
      <c r="C123" s="0" t="s">
        <v>61</v>
      </c>
      <c r="E123" s="0" t="s">
        <v>7367</v>
      </c>
      <c r="F123" s="0" t="s">
        <v>158</v>
      </c>
      <c r="G123" s="11" t="b">
        <f aca="false">COUNTIF(BankQuarter!$B$5:$B$750,A123)&gt;0</f>
        <v>0</v>
      </c>
    </row>
    <row r="124" customFormat="false" ht="15" hidden="false" customHeight="false" outlineLevel="0" collapsed="false">
      <c r="A124" s="0" t="s">
        <v>7687</v>
      </c>
      <c r="B124" s="0" t="s">
        <v>7688</v>
      </c>
      <c r="C124" s="0" t="s">
        <v>61</v>
      </c>
      <c r="D124" s="0" t="s">
        <v>7689</v>
      </c>
      <c r="E124" s="0" t="s">
        <v>7690</v>
      </c>
      <c r="F124" s="0" t="s">
        <v>158</v>
      </c>
      <c r="G124" s="11" t="b">
        <f aca="false">COUNTIF(BankQuarter!$B$5:$B$750,A124)&gt;0</f>
        <v>0</v>
      </c>
    </row>
    <row r="125" customFormat="false" ht="15" hidden="false" customHeight="false" outlineLevel="0" collapsed="false">
      <c r="A125" s="0" t="s">
        <v>7691</v>
      </c>
      <c r="B125" s="0" t="s">
        <v>7692</v>
      </c>
      <c r="C125" s="0" t="s">
        <v>256</v>
      </c>
      <c r="D125" s="0" t="s">
        <v>7391</v>
      </c>
      <c r="E125" s="0" t="s">
        <v>7409</v>
      </c>
      <c r="F125" s="0" t="s">
        <v>60</v>
      </c>
      <c r="G125" s="11" t="b">
        <f aca="false">COUNTIF(BankQuarter!$B$5:$B$750,A125)&gt;0</f>
        <v>1</v>
      </c>
    </row>
    <row r="126" customFormat="false" ht="15" hidden="false" customHeight="false" outlineLevel="0" collapsed="false">
      <c r="A126" s="0" t="s">
        <v>7693</v>
      </c>
      <c r="B126" s="0" t="s">
        <v>7694</v>
      </c>
      <c r="C126" s="0" t="s">
        <v>256</v>
      </c>
      <c r="D126" s="0" t="s">
        <v>7391</v>
      </c>
      <c r="E126" s="0" t="s">
        <v>7695</v>
      </c>
      <c r="F126" s="0" t="s">
        <v>60</v>
      </c>
      <c r="G126" s="11" t="b">
        <f aca="false">COUNTIF(BankQuarter!$B$5:$B$750,A126)&gt;0</f>
        <v>1</v>
      </c>
    </row>
    <row r="127" customFormat="false" ht="15" hidden="false" customHeight="false" outlineLevel="0" collapsed="false">
      <c r="A127" s="0" t="s">
        <v>7696</v>
      </c>
      <c r="B127" s="0" t="s">
        <v>7697</v>
      </c>
      <c r="C127" s="0" t="s">
        <v>61</v>
      </c>
      <c r="E127" s="0" t="s">
        <v>7367</v>
      </c>
      <c r="F127" s="0" t="s">
        <v>60</v>
      </c>
      <c r="G127" s="11" t="b">
        <f aca="false">COUNTIF(BankQuarter!$B$5:$B$750,A127)&gt;0</f>
        <v>0</v>
      </c>
    </row>
    <row r="128" customFormat="false" ht="15" hidden="false" customHeight="false" outlineLevel="0" collapsed="false">
      <c r="A128" s="0" t="s">
        <v>7698</v>
      </c>
      <c r="B128" s="0" t="s">
        <v>7699</v>
      </c>
      <c r="C128" s="0" t="s">
        <v>61</v>
      </c>
      <c r="E128" s="0" t="s">
        <v>7558</v>
      </c>
      <c r="F128" s="0" t="s">
        <v>60</v>
      </c>
      <c r="G128" s="11" t="b">
        <f aca="false">COUNTIF(BankQuarter!$B$5:$B$750,A128)&gt;0</f>
        <v>0</v>
      </c>
    </row>
    <row r="129" customFormat="false" ht="15" hidden="false" customHeight="false" outlineLevel="0" collapsed="false">
      <c r="A129" s="0" t="s">
        <v>7700</v>
      </c>
      <c r="B129" s="0" t="s">
        <v>7701</v>
      </c>
      <c r="C129" s="0" t="s">
        <v>61</v>
      </c>
      <c r="D129" s="0" t="s">
        <v>7702</v>
      </c>
      <c r="E129" s="0" t="s">
        <v>7703</v>
      </c>
      <c r="F129" s="0" t="s">
        <v>158</v>
      </c>
      <c r="G129" s="11" t="b">
        <f aca="false">COUNTIF(BankQuarter!$B$5:$B$750,A129)&gt;0</f>
        <v>0</v>
      </c>
    </row>
    <row r="130" customFormat="false" ht="15" hidden="false" customHeight="false" outlineLevel="0" collapsed="false">
      <c r="A130" s="0" t="s">
        <v>7704</v>
      </c>
      <c r="B130" s="0" t="s">
        <v>7705</v>
      </c>
      <c r="C130" s="0" t="s">
        <v>61</v>
      </c>
      <c r="D130" s="0" t="s">
        <v>7706</v>
      </c>
      <c r="E130" s="0" t="s">
        <v>7707</v>
      </c>
      <c r="F130" s="0" t="s">
        <v>60</v>
      </c>
      <c r="G130" s="11" t="b">
        <f aca="false">COUNTIF(BankQuarter!$B$5:$B$750,A130)&gt;0</f>
        <v>0</v>
      </c>
    </row>
    <row r="131" customFormat="false" ht="15" hidden="false" customHeight="false" outlineLevel="0" collapsed="false">
      <c r="A131" s="0" t="s">
        <v>7708</v>
      </c>
      <c r="B131" s="0" t="s">
        <v>7709</v>
      </c>
      <c r="C131" s="0" t="s">
        <v>256</v>
      </c>
      <c r="D131" s="0" t="s">
        <v>7391</v>
      </c>
      <c r="E131" s="0" t="s">
        <v>7409</v>
      </c>
      <c r="F131" s="0" t="s">
        <v>60</v>
      </c>
      <c r="G131" s="11" t="b">
        <f aca="false">COUNTIF(BankQuarter!$B$5:$B$750,A131)&gt;0</f>
        <v>1</v>
      </c>
    </row>
    <row r="132" customFormat="false" ht="15" hidden="false" customHeight="false" outlineLevel="0" collapsed="false">
      <c r="A132" s="0" t="s">
        <v>7710</v>
      </c>
      <c r="B132" s="0" t="s">
        <v>7711</v>
      </c>
      <c r="C132" s="0" t="s">
        <v>61</v>
      </c>
      <c r="D132" s="0" t="s">
        <v>7712</v>
      </c>
      <c r="E132" s="0" t="s">
        <v>7713</v>
      </c>
      <c r="F132" s="0" t="s">
        <v>158</v>
      </c>
      <c r="G132" s="11" t="b">
        <f aca="false">COUNTIF(BankQuarter!$B$5:$B$750,A132)&gt;0</f>
        <v>0</v>
      </c>
    </row>
    <row r="133" customFormat="false" ht="15" hidden="false" customHeight="false" outlineLevel="0" collapsed="false">
      <c r="A133" s="0" t="s">
        <v>7714</v>
      </c>
      <c r="B133" s="0" t="s">
        <v>7715</v>
      </c>
      <c r="C133" s="0" t="s">
        <v>61</v>
      </c>
      <c r="D133" s="0" t="s">
        <v>7454</v>
      </c>
      <c r="E133" s="0" t="s">
        <v>7716</v>
      </c>
      <c r="F133" s="0" t="s">
        <v>158</v>
      </c>
      <c r="G133" s="11" t="b">
        <f aca="false">COUNTIF(BankQuarter!$B$5:$B$750,A133)&gt;0</f>
        <v>0</v>
      </c>
    </row>
    <row r="134" customFormat="false" ht="15" hidden="false" customHeight="false" outlineLevel="0" collapsed="false">
      <c r="A134" s="0" t="s">
        <v>7717</v>
      </c>
      <c r="B134" s="0" t="s">
        <v>7612</v>
      </c>
      <c r="C134" s="0" t="s">
        <v>256</v>
      </c>
      <c r="D134" s="0" t="s">
        <v>7391</v>
      </c>
      <c r="E134" s="0" t="s">
        <v>7409</v>
      </c>
      <c r="F134" s="0" t="s">
        <v>60</v>
      </c>
      <c r="G134" s="11" t="b">
        <f aca="false">COUNTIF(BankQuarter!$B$5:$B$750,A134)&gt;0</f>
        <v>1</v>
      </c>
    </row>
    <row r="135" customFormat="false" ht="15" hidden="false" customHeight="false" outlineLevel="0" collapsed="false">
      <c r="A135" s="0" t="s">
        <v>7718</v>
      </c>
      <c r="B135" s="0" t="s">
        <v>7719</v>
      </c>
      <c r="C135" s="0" t="s">
        <v>61</v>
      </c>
      <c r="D135" s="0" t="s">
        <v>7720</v>
      </c>
      <c r="E135" s="0" t="s">
        <v>7721</v>
      </c>
      <c r="F135" s="0" t="s">
        <v>158</v>
      </c>
      <c r="G135" s="11" t="b">
        <f aca="false">COUNTIF(BankQuarter!$B$5:$B$750,A135)&gt;0</f>
        <v>0</v>
      </c>
    </row>
    <row r="136" customFormat="false" ht="15" hidden="false" customHeight="false" outlineLevel="0" collapsed="false">
      <c r="A136" s="0" t="s">
        <v>7722</v>
      </c>
      <c r="B136" s="0" t="s">
        <v>7723</v>
      </c>
      <c r="C136" s="0" t="s">
        <v>61</v>
      </c>
      <c r="D136" s="0" t="s">
        <v>7574</v>
      </c>
      <c r="E136" s="0" t="s">
        <v>7724</v>
      </c>
      <c r="F136" s="0" t="s">
        <v>158</v>
      </c>
      <c r="G136" s="11" t="b">
        <f aca="false">COUNTIF(BankQuarter!$B$5:$B$750,A136)&gt;0</f>
        <v>0</v>
      </c>
    </row>
    <row r="137" customFormat="false" ht="15" hidden="false" customHeight="false" outlineLevel="0" collapsed="false">
      <c r="A137" s="0" t="s">
        <v>7725</v>
      </c>
      <c r="B137" s="0" t="s">
        <v>7726</v>
      </c>
      <c r="C137" s="0" t="s">
        <v>61</v>
      </c>
      <c r="D137" s="0" t="s">
        <v>7727</v>
      </c>
      <c r="E137" s="0" t="s">
        <v>7728</v>
      </c>
      <c r="F137" s="0" t="s">
        <v>60</v>
      </c>
      <c r="G137" s="11" t="b">
        <f aca="false">COUNTIF(BankQuarter!$B$5:$B$750,A137)&gt;0</f>
        <v>0</v>
      </c>
    </row>
    <row r="138" customFormat="false" ht="15" hidden="false" customHeight="false" outlineLevel="0" collapsed="false">
      <c r="A138" s="0" t="s">
        <v>7729</v>
      </c>
      <c r="B138" s="0" t="s">
        <v>7730</v>
      </c>
      <c r="C138" s="0" t="s">
        <v>61</v>
      </c>
      <c r="E138" s="0" t="s">
        <v>7367</v>
      </c>
      <c r="F138" s="0" t="s">
        <v>158</v>
      </c>
      <c r="G138" s="11" t="b">
        <f aca="false">COUNTIF(BankQuarter!$B$5:$B$750,A138)&gt;0</f>
        <v>0</v>
      </c>
    </row>
    <row r="139" customFormat="false" ht="15" hidden="false" customHeight="false" outlineLevel="0" collapsed="false">
      <c r="A139" s="0" t="s">
        <v>7731</v>
      </c>
      <c r="B139" s="0" t="s">
        <v>7512</v>
      </c>
      <c r="C139" s="0" t="s">
        <v>61</v>
      </c>
      <c r="D139" s="0" t="s">
        <v>7732</v>
      </c>
      <c r="E139" s="0" t="s">
        <v>7733</v>
      </c>
      <c r="F139" s="0" t="s">
        <v>158</v>
      </c>
      <c r="G139" s="11" t="b">
        <f aca="false">COUNTIF(BankQuarter!$B$5:$B$750,A139)&gt;0</f>
        <v>0</v>
      </c>
    </row>
    <row r="140" customFormat="false" ht="15" hidden="false" customHeight="false" outlineLevel="0" collapsed="false">
      <c r="A140" s="0" t="s">
        <v>7734</v>
      </c>
      <c r="B140" s="0" t="s">
        <v>7735</v>
      </c>
      <c r="C140" s="0" t="s">
        <v>61</v>
      </c>
      <c r="E140" s="0" t="s">
        <v>7367</v>
      </c>
      <c r="F140" s="0" t="s">
        <v>60</v>
      </c>
      <c r="G140" s="11" t="b">
        <f aca="false">COUNTIF(BankQuarter!$B$5:$B$750,A140)&gt;0</f>
        <v>0</v>
      </c>
    </row>
    <row r="141" customFormat="false" ht="15" hidden="false" customHeight="false" outlineLevel="0" collapsed="false">
      <c r="A141" s="0" t="s">
        <v>7736</v>
      </c>
      <c r="B141" s="0" t="s">
        <v>7737</v>
      </c>
      <c r="C141" s="0" t="s">
        <v>61</v>
      </c>
      <c r="E141" s="0" t="s">
        <v>7367</v>
      </c>
      <c r="F141" s="0" t="s">
        <v>60</v>
      </c>
      <c r="G141" s="11" t="b">
        <f aca="false">COUNTIF(BankQuarter!$B$5:$B$750,A141)&gt;0</f>
        <v>0</v>
      </c>
    </row>
    <row r="142" customFormat="false" ht="15" hidden="false" customHeight="false" outlineLevel="0" collapsed="false">
      <c r="A142" s="0" t="s">
        <v>7738</v>
      </c>
      <c r="B142" s="0" t="s">
        <v>7739</v>
      </c>
      <c r="C142" s="0" t="s">
        <v>61</v>
      </c>
      <c r="E142" s="0" t="s">
        <v>7367</v>
      </c>
      <c r="F142" s="0" t="s">
        <v>158</v>
      </c>
      <c r="G142" s="11" t="b">
        <f aca="false">COUNTIF(BankQuarter!$B$5:$B$750,A142)&gt;0</f>
        <v>0</v>
      </c>
    </row>
    <row r="143" customFormat="false" ht="15" hidden="false" customHeight="false" outlineLevel="0" collapsed="false">
      <c r="A143" s="0" t="s">
        <v>7740</v>
      </c>
      <c r="B143" s="0" t="s">
        <v>7741</v>
      </c>
      <c r="C143" s="0" t="s">
        <v>61</v>
      </c>
      <c r="D143" s="0" t="s">
        <v>7375</v>
      </c>
      <c r="E143" s="0" t="s">
        <v>7367</v>
      </c>
      <c r="F143" s="0" t="s">
        <v>60</v>
      </c>
      <c r="G143" s="11" t="b">
        <f aca="false">COUNTIF(BankQuarter!$B$5:$B$750,A143)&gt;0</f>
        <v>0</v>
      </c>
    </row>
    <row r="144" customFormat="false" ht="15" hidden="false" customHeight="false" outlineLevel="0" collapsed="false">
      <c r="A144" s="0" t="s">
        <v>7742</v>
      </c>
      <c r="B144" s="0" t="s">
        <v>7743</v>
      </c>
      <c r="C144" s="0" t="s">
        <v>61</v>
      </c>
      <c r="D144" s="0" t="s">
        <v>7422</v>
      </c>
      <c r="E144" s="0" t="s">
        <v>7367</v>
      </c>
      <c r="F144" s="0" t="s">
        <v>60</v>
      </c>
      <c r="G144" s="11" t="b">
        <f aca="false">COUNTIF(BankQuarter!$B$5:$B$750,A144)&gt;0</f>
        <v>0</v>
      </c>
    </row>
    <row r="145" customFormat="false" ht="15" hidden="false" customHeight="false" outlineLevel="0" collapsed="false">
      <c r="A145" s="0" t="s">
        <v>7744</v>
      </c>
      <c r="B145" s="0" t="s">
        <v>7745</v>
      </c>
      <c r="C145" s="0" t="s">
        <v>61</v>
      </c>
      <c r="D145" s="0" t="s">
        <v>7746</v>
      </c>
      <c r="E145" s="0" t="s">
        <v>7747</v>
      </c>
      <c r="F145" s="0" t="s">
        <v>60</v>
      </c>
      <c r="G145" s="11" t="b">
        <f aca="false">COUNTIF(BankQuarter!$B$5:$B$750,A145)&gt;0</f>
        <v>0</v>
      </c>
    </row>
    <row r="146" customFormat="false" ht="15" hidden="false" customHeight="false" outlineLevel="0" collapsed="false">
      <c r="A146" s="0" t="s">
        <v>7748</v>
      </c>
      <c r="B146" s="0" t="s">
        <v>7749</v>
      </c>
      <c r="C146" s="0" t="s">
        <v>61</v>
      </c>
      <c r="E146" s="0" t="s">
        <v>7367</v>
      </c>
      <c r="F146" s="0" t="s">
        <v>158</v>
      </c>
      <c r="G146" s="11" t="b">
        <f aca="false">COUNTIF(BankQuarter!$B$5:$B$750,A146)&gt;0</f>
        <v>0</v>
      </c>
    </row>
    <row r="147" customFormat="false" ht="15" hidden="false" customHeight="false" outlineLevel="0" collapsed="false">
      <c r="A147" s="0" t="s">
        <v>7750</v>
      </c>
      <c r="B147" s="0" t="s">
        <v>7751</v>
      </c>
      <c r="C147" s="0" t="s">
        <v>61</v>
      </c>
      <c r="D147" s="0" t="s">
        <v>7752</v>
      </c>
      <c r="E147" s="0" t="s">
        <v>7367</v>
      </c>
      <c r="F147" s="0" t="s">
        <v>158</v>
      </c>
      <c r="G147" s="11" t="b">
        <f aca="false">COUNTIF(BankQuarter!$B$5:$B$750,A147)&gt;0</f>
        <v>0</v>
      </c>
    </row>
    <row r="148" customFormat="false" ht="15" hidden="false" customHeight="false" outlineLevel="0" collapsed="false">
      <c r="A148" s="0" t="s">
        <v>7753</v>
      </c>
      <c r="B148" s="0" t="s">
        <v>7754</v>
      </c>
      <c r="C148" s="0" t="s">
        <v>61</v>
      </c>
      <c r="E148" s="0" t="s">
        <v>7367</v>
      </c>
      <c r="F148" s="0" t="s">
        <v>158</v>
      </c>
      <c r="G148" s="11" t="b">
        <f aca="false">COUNTIF(BankQuarter!$B$5:$B$750,A148)&gt;0</f>
        <v>0</v>
      </c>
    </row>
    <row r="149" customFormat="false" ht="15" hidden="false" customHeight="false" outlineLevel="0" collapsed="false">
      <c r="A149" s="0" t="s">
        <v>7755</v>
      </c>
      <c r="B149" s="0" t="s">
        <v>7756</v>
      </c>
      <c r="C149" s="0" t="s">
        <v>61</v>
      </c>
      <c r="D149" s="0" t="s">
        <v>7757</v>
      </c>
      <c r="E149" s="0" t="s">
        <v>7758</v>
      </c>
      <c r="F149" s="0" t="s">
        <v>60</v>
      </c>
      <c r="G149" s="11" t="b">
        <f aca="false">COUNTIF(BankQuarter!$B$5:$B$750,A149)&gt;0</f>
        <v>0</v>
      </c>
    </row>
    <row r="150" customFormat="false" ht="15" hidden="false" customHeight="false" outlineLevel="0" collapsed="false">
      <c r="A150" s="0" t="s">
        <v>7759</v>
      </c>
      <c r="B150" s="0" t="s">
        <v>7760</v>
      </c>
      <c r="C150" s="0" t="s">
        <v>61</v>
      </c>
      <c r="E150" s="0" t="s">
        <v>7431</v>
      </c>
      <c r="F150" s="0" t="s">
        <v>158</v>
      </c>
      <c r="G150" s="11" t="b">
        <f aca="false">COUNTIF(BankQuarter!$B$5:$B$750,A150)&gt;0</f>
        <v>0</v>
      </c>
    </row>
    <row r="151" customFormat="false" ht="15" hidden="false" customHeight="false" outlineLevel="0" collapsed="false">
      <c r="A151" s="0" t="s">
        <v>7761</v>
      </c>
      <c r="B151" s="0" t="s">
        <v>7762</v>
      </c>
      <c r="C151" s="0" t="s">
        <v>61</v>
      </c>
      <c r="D151" s="0" t="s">
        <v>7763</v>
      </c>
      <c r="E151" s="0" t="s">
        <v>7367</v>
      </c>
      <c r="F151" s="0" t="s">
        <v>158</v>
      </c>
      <c r="G151" s="11" t="b">
        <f aca="false">COUNTIF(BankQuarter!$B$5:$B$750,A151)&gt;0</f>
        <v>0</v>
      </c>
    </row>
    <row r="152" customFormat="false" ht="15" hidden="false" customHeight="false" outlineLevel="0" collapsed="false">
      <c r="A152" s="0" t="s">
        <v>7764</v>
      </c>
      <c r="B152" s="0" t="s">
        <v>7765</v>
      </c>
      <c r="C152" s="0" t="s">
        <v>61</v>
      </c>
      <c r="D152" s="0" t="s">
        <v>7419</v>
      </c>
      <c r="E152" s="0" t="s">
        <v>7367</v>
      </c>
      <c r="F152" s="0" t="s">
        <v>158</v>
      </c>
      <c r="G152" s="11" t="b">
        <f aca="false">COUNTIF(BankQuarter!$B$5:$B$750,A152)&gt;0</f>
        <v>0</v>
      </c>
    </row>
    <row r="153" customFormat="false" ht="15" hidden="false" customHeight="false" outlineLevel="0" collapsed="false">
      <c r="A153" s="0" t="s">
        <v>7766</v>
      </c>
      <c r="B153" s="0" t="s">
        <v>7767</v>
      </c>
      <c r="C153" s="0" t="s">
        <v>61</v>
      </c>
      <c r="D153" s="0" t="s">
        <v>7768</v>
      </c>
      <c r="E153" s="0" t="s">
        <v>7367</v>
      </c>
      <c r="F153" s="0" t="s">
        <v>158</v>
      </c>
      <c r="G153" s="11" t="b">
        <f aca="false">COUNTIF(BankQuarter!$B$5:$B$750,A153)&gt;0</f>
        <v>0</v>
      </c>
    </row>
    <row r="154" customFormat="false" ht="15" hidden="false" customHeight="false" outlineLevel="0" collapsed="false">
      <c r="A154" s="0" t="s">
        <v>7769</v>
      </c>
      <c r="B154" s="0" t="s">
        <v>7770</v>
      </c>
      <c r="C154" s="0" t="s">
        <v>61</v>
      </c>
      <c r="D154" s="0" t="s">
        <v>7771</v>
      </c>
      <c r="E154" s="0" t="s">
        <v>7772</v>
      </c>
      <c r="F154" s="0" t="s">
        <v>158</v>
      </c>
      <c r="G154" s="11" t="b">
        <f aca="false">COUNTIF(BankQuarter!$B$5:$B$750,A154)&gt;0</f>
        <v>0</v>
      </c>
    </row>
    <row r="155" customFormat="false" ht="15" hidden="false" customHeight="false" outlineLevel="0" collapsed="false">
      <c r="A155" s="0" t="s">
        <v>7773</v>
      </c>
      <c r="B155" s="0" t="s">
        <v>7774</v>
      </c>
      <c r="C155" s="0" t="s">
        <v>61</v>
      </c>
      <c r="E155" s="0" t="s">
        <v>7775</v>
      </c>
      <c r="F155" s="0" t="s">
        <v>60</v>
      </c>
      <c r="G155" s="11" t="b">
        <f aca="false">COUNTIF(BankQuarter!$B$5:$B$750,A155)&gt;0</f>
        <v>0</v>
      </c>
    </row>
    <row r="156" customFormat="false" ht="15" hidden="false" customHeight="false" outlineLevel="0" collapsed="false">
      <c r="A156" s="0" t="s">
        <v>7776</v>
      </c>
      <c r="B156" s="0" t="s">
        <v>7777</v>
      </c>
      <c r="C156" s="0" t="s">
        <v>61</v>
      </c>
      <c r="E156" s="0" t="s">
        <v>7367</v>
      </c>
      <c r="F156" s="0" t="s">
        <v>158</v>
      </c>
      <c r="G156" s="11" t="b">
        <f aca="false">COUNTIF(BankQuarter!$B$5:$B$750,A156)&gt;0</f>
        <v>0</v>
      </c>
    </row>
    <row r="157" customFormat="false" ht="15" hidden="false" customHeight="false" outlineLevel="0" collapsed="false">
      <c r="A157" s="0" t="s">
        <v>7778</v>
      </c>
      <c r="B157" s="0" t="s">
        <v>7779</v>
      </c>
      <c r="C157" s="0" t="s">
        <v>61</v>
      </c>
      <c r="D157" s="0" t="s">
        <v>7780</v>
      </c>
      <c r="E157" s="0" t="s">
        <v>7781</v>
      </c>
      <c r="F157" s="0" t="s">
        <v>60</v>
      </c>
      <c r="G157" s="11" t="b">
        <f aca="false">COUNTIF(BankQuarter!$B$5:$B$750,A157)&gt;0</f>
        <v>0</v>
      </c>
    </row>
    <row r="158" customFormat="false" ht="15" hidden="false" customHeight="false" outlineLevel="0" collapsed="false">
      <c r="A158" s="0" t="s">
        <v>7782</v>
      </c>
      <c r="B158" s="0" t="s">
        <v>7783</v>
      </c>
      <c r="C158" s="0" t="s">
        <v>61</v>
      </c>
      <c r="D158" s="0" t="s">
        <v>7784</v>
      </c>
      <c r="E158" s="0" t="s">
        <v>7785</v>
      </c>
      <c r="F158" s="0" t="s">
        <v>158</v>
      </c>
      <c r="G158" s="11" t="b">
        <f aca="false">COUNTIF(BankQuarter!$B$5:$B$750,A158)&gt;0</f>
        <v>0</v>
      </c>
    </row>
    <row r="159" customFormat="false" ht="15" hidden="false" customHeight="false" outlineLevel="0" collapsed="false">
      <c r="A159" s="0" t="s">
        <v>7786</v>
      </c>
      <c r="B159" s="0" t="s">
        <v>7787</v>
      </c>
      <c r="C159" s="0" t="s">
        <v>61</v>
      </c>
      <c r="D159" s="0" t="s">
        <v>7788</v>
      </c>
      <c r="E159" s="0" t="s">
        <v>7789</v>
      </c>
      <c r="F159" s="0" t="s">
        <v>60</v>
      </c>
      <c r="G159" s="11" t="b">
        <f aca="false">COUNTIF(BankQuarter!$B$5:$B$750,A159)&gt;0</f>
        <v>0</v>
      </c>
    </row>
    <row r="160" customFormat="false" ht="15" hidden="false" customHeight="false" outlineLevel="0" collapsed="false">
      <c r="A160" s="0" t="s">
        <v>1003</v>
      </c>
      <c r="B160" s="0" t="s">
        <v>7790</v>
      </c>
      <c r="C160" s="0" t="s">
        <v>61</v>
      </c>
      <c r="D160" s="0" t="s">
        <v>7791</v>
      </c>
      <c r="E160" s="0" t="s">
        <v>7434</v>
      </c>
      <c r="F160" s="0" t="s">
        <v>98</v>
      </c>
      <c r="G160" s="11" t="b">
        <f aca="false">COUNTIF(BankQuarter!$B$5:$B$750,A160)&gt;0</f>
        <v>0</v>
      </c>
    </row>
    <row r="161" customFormat="false" ht="15" hidden="false" customHeight="false" outlineLevel="0" collapsed="false">
      <c r="A161" s="0" t="s">
        <v>7792</v>
      </c>
      <c r="B161" s="0" t="s">
        <v>7793</v>
      </c>
      <c r="C161" s="0" t="s">
        <v>61</v>
      </c>
      <c r="D161" s="0" t="s">
        <v>7383</v>
      </c>
      <c r="E161" s="0" t="s">
        <v>7434</v>
      </c>
      <c r="F161" s="0" t="s">
        <v>98</v>
      </c>
      <c r="G161" s="11" t="b">
        <f aca="false">COUNTIF(BankQuarter!$B$5:$B$750,A161)&gt;0</f>
        <v>0</v>
      </c>
    </row>
    <row r="162" customFormat="false" ht="15" hidden="false" customHeight="false" outlineLevel="0" collapsed="false">
      <c r="A162" s="0" t="s">
        <v>7794</v>
      </c>
      <c r="B162" s="0" t="s">
        <v>7795</v>
      </c>
      <c r="C162" s="0" t="s">
        <v>61</v>
      </c>
      <c r="D162" s="0" t="s">
        <v>7574</v>
      </c>
      <c r="E162" s="0" t="s">
        <v>7796</v>
      </c>
      <c r="F162" s="0" t="s">
        <v>158</v>
      </c>
      <c r="G162" s="11" t="b">
        <f aca="false">COUNTIF(BankQuarter!$B$5:$B$750,A162)&gt;0</f>
        <v>0</v>
      </c>
    </row>
    <row r="163" customFormat="false" ht="15" hidden="false" customHeight="false" outlineLevel="0" collapsed="false">
      <c r="A163" s="0" t="s">
        <v>7797</v>
      </c>
      <c r="B163" s="0" t="s">
        <v>7798</v>
      </c>
      <c r="C163" s="0" t="s">
        <v>61</v>
      </c>
      <c r="E163" s="0" t="s">
        <v>7367</v>
      </c>
      <c r="F163" s="0" t="s">
        <v>158</v>
      </c>
      <c r="G163" s="11" t="b">
        <f aca="false">COUNTIF(BankQuarter!$B$5:$B$750,A163)&gt;0</f>
        <v>0</v>
      </c>
    </row>
    <row r="164" customFormat="false" ht="15" hidden="false" customHeight="false" outlineLevel="0" collapsed="false">
      <c r="A164" s="0" t="s">
        <v>7799</v>
      </c>
      <c r="B164" s="0" t="s">
        <v>7800</v>
      </c>
      <c r="C164" s="0" t="s">
        <v>61</v>
      </c>
      <c r="E164" s="0" t="s">
        <v>7367</v>
      </c>
      <c r="F164" s="0" t="s">
        <v>158</v>
      </c>
      <c r="G164" s="11" t="b">
        <f aca="false">COUNTIF(BankQuarter!$B$5:$B$750,A164)&gt;0</f>
        <v>0</v>
      </c>
    </row>
    <row r="165" customFormat="false" ht="15" hidden="false" customHeight="false" outlineLevel="0" collapsed="false">
      <c r="A165" s="0" t="s">
        <v>7801</v>
      </c>
      <c r="B165" s="0" t="s">
        <v>7802</v>
      </c>
      <c r="C165" s="0" t="s">
        <v>61</v>
      </c>
      <c r="D165" s="0" t="s">
        <v>7635</v>
      </c>
      <c r="E165" s="0" t="s">
        <v>7367</v>
      </c>
      <c r="F165" s="0" t="s">
        <v>158</v>
      </c>
      <c r="G165" s="11" t="b">
        <f aca="false">COUNTIF(BankQuarter!$B$5:$B$750,A165)&gt;0</f>
        <v>0</v>
      </c>
    </row>
    <row r="166" customFormat="false" ht="15" hidden="false" customHeight="false" outlineLevel="0" collapsed="false">
      <c r="A166" s="0" t="s">
        <v>7803</v>
      </c>
      <c r="B166" s="0" t="s">
        <v>7804</v>
      </c>
      <c r="C166" s="0" t="s">
        <v>61</v>
      </c>
      <c r="D166" s="0" t="s">
        <v>7805</v>
      </c>
      <c r="E166" s="0" t="s">
        <v>7806</v>
      </c>
      <c r="F166" s="0" t="s">
        <v>60</v>
      </c>
      <c r="G166" s="11" t="b">
        <f aca="false">COUNTIF(BankQuarter!$B$5:$B$750,A166)&gt;0</f>
        <v>0</v>
      </c>
    </row>
    <row r="167" customFormat="false" ht="15" hidden="false" customHeight="false" outlineLevel="0" collapsed="false">
      <c r="A167" s="0" t="s">
        <v>7807</v>
      </c>
      <c r="B167" s="0" t="s">
        <v>7808</v>
      </c>
      <c r="C167" s="0" t="s">
        <v>61</v>
      </c>
      <c r="D167" s="0" t="s">
        <v>7809</v>
      </c>
      <c r="E167" s="0" t="s">
        <v>7810</v>
      </c>
      <c r="F167" s="0" t="s">
        <v>158</v>
      </c>
      <c r="G167" s="11" t="b">
        <f aca="false">COUNTIF(BankQuarter!$B$5:$B$750,A167)&gt;0</f>
        <v>0</v>
      </c>
    </row>
    <row r="168" customFormat="false" ht="15" hidden="false" customHeight="false" outlineLevel="0" collapsed="false">
      <c r="A168" s="0" t="s">
        <v>7811</v>
      </c>
      <c r="B168" s="0" t="s">
        <v>7812</v>
      </c>
      <c r="C168" s="0" t="s">
        <v>61</v>
      </c>
      <c r="D168" s="0" t="s">
        <v>7383</v>
      </c>
      <c r="E168" s="0" t="s">
        <v>7813</v>
      </c>
      <c r="F168" s="0" t="s">
        <v>158</v>
      </c>
      <c r="G168" s="11" t="b">
        <f aca="false">COUNTIF(BankQuarter!$B$5:$B$750,A168)&gt;0</f>
        <v>0</v>
      </c>
    </row>
    <row r="169" customFormat="false" ht="15" hidden="false" customHeight="false" outlineLevel="0" collapsed="false">
      <c r="A169" s="0" t="s">
        <v>7814</v>
      </c>
      <c r="B169" s="0" t="s">
        <v>7815</v>
      </c>
      <c r="C169" s="0" t="s">
        <v>256</v>
      </c>
      <c r="D169" s="0" t="s">
        <v>7391</v>
      </c>
      <c r="E169" s="0" t="s">
        <v>7409</v>
      </c>
      <c r="F169" s="0" t="s">
        <v>158</v>
      </c>
      <c r="G169" s="11" t="b">
        <f aca="false">COUNTIF(BankQuarter!$B$5:$B$750,A169)&gt;0</f>
        <v>1</v>
      </c>
    </row>
    <row r="170" customFormat="false" ht="15" hidden="false" customHeight="false" outlineLevel="0" collapsed="false">
      <c r="A170" s="0" t="s">
        <v>7816</v>
      </c>
      <c r="B170" s="0" t="s">
        <v>7817</v>
      </c>
      <c r="C170" s="0" t="s">
        <v>61</v>
      </c>
      <c r="D170" s="0" t="s">
        <v>7818</v>
      </c>
      <c r="E170" s="0" t="s">
        <v>7367</v>
      </c>
      <c r="F170" s="0" t="s">
        <v>158</v>
      </c>
      <c r="G170" s="11" t="b">
        <f aca="false">COUNTIF(BankQuarter!$B$5:$B$750,A170)&gt;0</f>
        <v>0</v>
      </c>
    </row>
    <row r="171" customFormat="false" ht="15" hidden="false" customHeight="false" outlineLevel="0" collapsed="false">
      <c r="A171" s="0" t="s">
        <v>7819</v>
      </c>
      <c r="B171" s="0" t="s">
        <v>7820</v>
      </c>
      <c r="C171" s="0" t="s">
        <v>61</v>
      </c>
      <c r="D171" s="0" t="s">
        <v>7638</v>
      </c>
      <c r="E171" s="0" t="s">
        <v>7821</v>
      </c>
      <c r="F171" s="0" t="s">
        <v>60</v>
      </c>
      <c r="G171" s="11" t="b">
        <f aca="false">COUNTIF(BankQuarter!$B$5:$B$750,A171)&gt;0</f>
        <v>0</v>
      </c>
    </row>
    <row r="172" customFormat="false" ht="15" hidden="false" customHeight="false" outlineLevel="0" collapsed="false">
      <c r="A172" s="0" t="s">
        <v>7822</v>
      </c>
      <c r="B172" s="0" t="s">
        <v>7823</v>
      </c>
      <c r="C172" s="0" t="s">
        <v>61</v>
      </c>
      <c r="D172" s="0" t="s">
        <v>7824</v>
      </c>
      <c r="E172" s="0" t="s">
        <v>7825</v>
      </c>
      <c r="F172" s="0" t="s">
        <v>158</v>
      </c>
      <c r="G172" s="11" t="b">
        <f aca="false">COUNTIF(BankQuarter!$B$5:$B$750,A172)&gt;0</f>
        <v>0</v>
      </c>
    </row>
    <row r="173" customFormat="false" ht="15" hidden="false" customHeight="false" outlineLevel="0" collapsed="false">
      <c r="A173" s="0" t="s">
        <v>7826</v>
      </c>
      <c r="B173" s="0" t="s">
        <v>7827</v>
      </c>
      <c r="C173" s="0" t="s">
        <v>61</v>
      </c>
      <c r="D173" s="0" t="s">
        <v>7828</v>
      </c>
      <c r="E173" s="0" t="s">
        <v>7829</v>
      </c>
      <c r="F173" s="0" t="s">
        <v>158</v>
      </c>
      <c r="G173" s="11" t="b">
        <f aca="false">COUNTIF(BankQuarter!$B$5:$B$750,A173)&gt;0</f>
        <v>0</v>
      </c>
    </row>
    <row r="174" customFormat="false" ht="15" hidden="false" customHeight="false" outlineLevel="0" collapsed="false">
      <c r="A174" s="0" t="s">
        <v>7830</v>
      </c>
      <c r="B174" s="0" t="s">
        <v>7831</v>
      </c>
      <c r="C174" s="0" t="s">
        <v>61</v>
      </c>
      <c r="D174" s="0" t="s">
        <v>7832</v>
      </c>
      <c r="E174" s="0" t="s">
        <v>7833</v>
      </c>
      <c r="F174" s="0" t="s">
        <v>158</v>
      </c>
      <c r="G174" s="11" t="b">
        <f aca="false">COUNTIF(BankQuarter!$B$5:$B$750,A174)&gt;0</f>
        <v>0</v>
      </c>
    </row>
    <row r="175" customFormat="false" ht="15" hidden="false" customHeight="false" outlineLevel="0" collapsed="false">
      <c r="A175" s="0" t="s">
        <v>7834</v>
      </c>
      <c r="B175" s="0" t="s">
        <v>7835</v>
      </c>
      <c r="C175" s="0" t="s">
        <v>61</v>
      </c>
      <c r="D175" s="0" t="s">
        <v>7635</v>
      </c>
      <c r="E175" s="0" t="s">
        <v>7367</v>
      </c>
      <c r="F175" s="0" t="s">
        <v>158</v>
      </c>
      <c r="G175" s="11" t="b">
        <f aca="false">COUNTIF(BankQuarter!$B$5:$B$750,A175)&gt;0</f>
        <v>0</v>
      </c>
    </row>
    <row r="176" customFormat="false" ht="15" hidden="false" customHeight="false" outlineLevel="0" collapsed="false">
      <c r="A176" s="0" t="s">
        <v>7836</v>
      </c>
      <c r="B176" s="0" t="s">
        <v>7837</v>
      </c>
      <c r="C176" s="0" t="s">
        <v>61</v>
      </c>
      <c r="D176" s="0" t="s">
        <v>7383</v>
      </c>
      <c r="E176" s="0" t="s">
        <v>7838</v>
      </c>
      <c r="F176" s="0" t="s">
        <v>158</v>
      </c>
      <c r="G176" s="11" t="b">
        <f aca="false">COUNTIF(BankQuarter!$B$5:$B$750,A176)&gt;0</f>
        <v>0</v>
      </c>
    </row>
    <row r="177" customFormat="false" ht="15" hidden="false" customHeight="false" outlineLevel="0" collapsed="false">
      <c r="A177" s="0" t="s">
        <v>7839</v>
      </c>
      <c r="B177" s="0" t="s">
        <v>7840</v>
      </c>
      <c r="C177" s="0" t="s">
        <v>61</v>
      </c>
      <c r="D177" s="0" t="s">
        <v>7771</v>
      </c>
      <c r="E177" s="0" t="s">
        <v>7841</v>
      </c>
      <c r="F177" s="0" t="s">
        <v>158</v>
      </c>
      <c r="G177" s="11" t="b">
        <f aca="false">COUNTIF(BankQuarter!$B$5:$B$750,A177)&gt;0</f>
        <v>0</v>
      </c>
    </row>
    <row r="178" customFormat="false" ht="15" hidden="false" customHeight="false" outlineLevel="0" collapsed="false">
      <c r="A178" s="0" t="s">
        <v>7842</v>
      </c>
      <c r="B178" s="0" t="s">
        <v>7843</v>
      </c>
      <c r="C178" s="0" t="s">
        <v>61</v>
      </c>
      <c r="D178" s="0" t="s">
        <v>7383</v>
      </c>
      <c r="E178" s="0" t="s">
        <v>7813</v>
      </c>
      <c r="F178" s="0" t="s">
        <v>158</v>
      </c>
      <c r="G178" s="11" t="b">
        <f aca="false">COUNTIF(BankQuarter!$B$5:$B$750,A178)&gt;0</f>
        <v>0</v>
      </c>
    </row>
    <row r="179" customFormat="false" ht="15" hidden="false" customHeight="false" outlineLevel="0" collapsed="false">
      <c r="A179" s="0" t="s">
        <v>7844</v>
      </c>
      <c r="B179" s="0" t="s">
        <v>7845</v>
      </c>
      <c r="C179" s="0" t="s">
        <v>61</v>
      </c>
      <c r="D179" s="0" t="s">
        <v>7602</v>
      </c>
      <c r="E179" s="0" t="s">
        <v>7846</v>
      </c>
      <c r="F179" s="0" t="s">
        <v>158</v>
      </c>
      <c r="G179" s="11" t="b">
        <f aca="false">COUNTIF(BankQuarter!$B$5:$B$750,A179)&gt;0</f>
        <v>0</v>
      </c>
    </row>
    <row r="180" customFormat="false" ht="15" hidden="false" customHeight="false" outlineLevel="0" collapsed="false">
      <c r="A180" s="0" t="s">
        <v>7847</v>
      </c>
      <c r="B180" s="0" t="s">
        <v>7848</v>
      </c>
      <c r="C180" s="0" t="s">
        <v>61</v>
      </c>
      <c r="D180" s="0" t="s">
        <v>7383</v>
      </c>
      <c r="E180" s="0" t="s">
        <v>7434</v>
      </c>
      <c r="F180" s="0" t="s">
        <v>98</v>
      </c>
      <c r="G180" s="11" t="b">
        <f aca="false">COUNTIF(BankQuarter!$B$5:$B$750,A180)&gt;0</f>
        <v>0</v>
      </c>
    </row>
    <row r="181" customFormat="false" ht="15" hidden="false" customHeight="false" outlineLevel="0" collapsed="false">
      <c r="A181" s="0" t="s">
        <v>7849</v>
      </c>
      <c r="B181" s="0" t="s">
        <v>7850</v>
      </c>
      <c r="C181" s="0" t="s">
        <v>61</v>
      </c>
      <c r="D181" s="0" t="s">
        <v>7851</v>
      </c>
      <c r="E181" s="0" t="s">
        <v>7852</v>
      </c>
      <c r="F181" s="0" t="s">
        <v>60</v>
      </c>
      <c r="G181" s="11" t="b">
        <f aca="false">COUNTIF(BankQuarter!$B$5:$B$750,A181)&gt;0</f>
        <v>0</v>
      </c>
    </row>
    <row r="182" customFormat="false" ht="15" hidden="false" customHeight="false" outlineLevel="0" collapsed="false">
      <c r="A182" s="0" t="s">
        <v>7853</v>
      </c>
      <c r="B182" s="0" t="s">
        <v>7631</v>
      </c>
      <c r="C182" s="0" t="s">
        <v>61</v>
      </c>
      <c r="D182" s="0" t="s">
        <v>7454</v>
      </c>
      <c r="E182" s="0" t="s">
        <v>7854</v>
      </c>
      <c r="F182" s="0" t="s">
        <v>158</v>
      </c>
      <c r="G182" s="11" t="b">
        <f aca="false">COUNTIF(BankQuarter!$B$5:$B$750,A182)&gt;0</f>
        <v>0</v>
      </c>
    </row>
    <row r="183" customFormat="false" ht="15" hidden="false" customHeight="false" outlineLevel="0" collapsed="false">
      <c r="A183" s="0" t="s">
        <v>7855</v>
      </c>
      <c r="B183" s="0" t="s">
        <v>7623</v>
      </c>
      <c r="C183" s="0" t="s">
        <v>61</v>
      </c>
      <c r="D183" s="0" t="s">
        <v>7856</v>
      </c>
      <c r="E183" s="0" t="s">
        <v>7367</v>
      </c>
      <c r="F183" s="0" t="s">
        <v>158</v>
      </c>
      <c r="G183" s="11" t="b">
        <f aca="false">COUNTIF(BankQuarter!$B$5:$B$750,A183)&gt;0</f>
        <v>0</v>
      </c>
    </row>
    <row r="184" customFormat="false" ht="15" hidden="false" customHeight="false" outlineLevel="0" collapsed="false">
      <c r="A184" s="0" t="s">
        <v>7857</v>
      </c>
      <c r="B184" s="0" t="s">
        <v>7858</v>
      </c>
      <c r="C184" s="0" t="s">
        <v>61</v>
      </c>
      <c r="D184" s="0" t="s">
        <v>7552</v>
      </c>
      <c r="E184" s="0" t="s">
        <v>7651</v>
      </c>
      <c r="F184" s="0" t="s">
        <v>158</v>
      </c>
      <c r="G184" s="11" t="b">
        <f aca="false">COUNTIF(BankQuarter!$B$5:$B$750,A184)&gt;0</f>
        <v>0</v>
      </c>
    </row>
    <row r="185" customFormat="false" ht="15" hidden="false" customHeight="false" outlineLevel="0" collapsed="false">
      <c r="A185" s="0" t="s">
        <v>7859</v>
      </c>
      <c r="B185" s="0" t="s">
        <v>7860</v>
      </c>
      <c r="C185" s="0" t="s">
        <v>61</v>
      </c>
      <c r="D185" s="0" t="s">
        <v>7861</v>
      </c>
      <c r="E185" s="0" t="s">
        <v>7862</v>
      </c>
      <c r="F185" s="0" t="s">
        <v>158</v>
      </c>
      <c r="G185" s="11" t="b">
        <f aca="false">COUNTIF(BankQuarter!$B$5:$B$750,A185)&gt;0</f>
        <v>0</v>
      </c>
    </row>
    <row r="186" customFormat="false" ht="15" hidden="false" customHeight="false" outlineLevel="0" collapsed="false">
      <c r="A186" s="0" t="s">
        <v>7863</v>
      </c>
      <c r="B186" s="0" t="s">
        <v>7551</v>
      </c>
      <c r="C186" s="0" t="s">
        <v>61</v>
      </c>
      <c r="D186" s="0" t="s">
        <v>7383</v>
      </c>
      <c r="E186" s="0" t="s">
        <v>7864</v>
      </c>
      <c r="F186" s="0" t="s">
        <v>158</v>
      </c>
      <c r="G186" s="11" t="b">
        <f aca="false">COUNTIF(BankQuarter!$B$5:$B$750,A186)&gt;0</f>
        <v>0</v>
      </c>
    </row>
    <row r="187" customFormat="false" ht="15" hidden="false" customHeight="false" outlineLevel="0" collapsed="false">
      <c r="A187" s="0" t="s">
        <v>7865</v>
      </c>
      <c r="B187" s="0" t="s">
        <v>7866</v>
      </c>
      <c r="C187" s="0" t="s">
        <v>61</v>
      </c>
      <c r="D187" s="0" t="s">
        <v>7867</v>
      </c>
      <c r="E187" s="0" t="s">
        <v>7868</v>
      </c>
      <c r="F187" s="0" t="s">
        <v>158</v>
      </c>
      <c r="G187" s="11" t="b">
        <f aca="false">COUNTIF(BankQuarter!$B$5:$B$750,A187)&gt;0</f>
        <v>0</v>
      </c>
    </row>
    <row r="188" customFormat="false" ht="15" hidden="false" customHeight="false" outlineLevel="0" collapsed="false">
      <c r="A188" s="0" t="s">
        <v>7869</v>
      </c>
      <c r="B188" s="0" t="s">
        <v>7870</v>
      </c>
      <c r="C188" s="0" t="s">
        <v>61</v>
      </c>
      <c r="D188" s="0" t="s">
        <v>7871</v>
      </c>
      <c r="E188" s="0" t="s">
        <v>7872</v>
      </c>
      <c r="F188" s="0" t="s">
        <v>158</v>
      </c>
      <c r="G188" s="11" t="b">
        <f aca="false">COUNTIF(BankQuarter!$B$5:$B$750,A188)&gt;0</f>
        <v>0</v>
      </c>
    </row>
    <row r="189" customFormat="false" ht="15" hidden="false" customHeight="false" outlineLevel="0" collapsed="false">
      <c r="A189" s="0" t="s">
        <v>7873</v>
      </c>
      <c r="B189" s="0" t="s">
        <v>7874</v>
      </c>
      <c r="C189" s="0" t="s">
        <v>61</v>
      </c>
      <c r="D189" s="0" t="s">
        <v>7638</v>
      </c>
      <c r="E189" s="0" t="s">
        <v>7875</v>
      </c>
      <c r="F189" s="0" t="s">
        <v>60</v>
      </c>
      <c r="G189" s="11" t="b">
        <f aca="false">COUNTIF(BankQuarter!$B$5:$B$750,A189)&gt;0</f>
        <v>0</v>
      </c>
    </row>
    <row r="190" customFormat="false" ht="15" hidden="false" customHeight="false" outlineLevel="0" collapsed="false">
      <c r="A190" s="0" t="s">
        <v>7876</v>
      </c>
      <c r="B190" s="0" t="s">
        <v>7877</v>
      </c>
      <c r="C190" s="0" t="s">
        <v>256</v>
      </c>
      <c r="D190" s="0" t="s">
        <v>7391</v>
      </c>
      <c r="E190" s="0" t="s">
        <v>7409</v>
      </c>
      <c r="F190" s="0" t="s">
        <v>158</v>
      </c>
      <c r="G190" s="11" t="b">
        <f aca="false">COUNTIF(BankQuarter!$B$5:$B$750,A190)&gt;0</f>
        <v>1</v>
      </c>
    </row>
    <row r="191" customFormat="false" ht="15" hidden="false" customHeight="false" outlineLevel="0" collapsed="false">
      <c r="A191" s="0" t="s">
        <v>7878</v>
      </c>
      <c r="B191" s="0" t="s">
        <v>7879</v>
      </c>
      <c r="C191" s="0" t="s">
        <v>61</v>
      </c>
      <c r="E191" s="0" t="s">
        <v>7880</v>
      </c>
      <c r="F191" s="0" t="s">
        <v>158</v>
      </c>
      <c r="G191" s="11" t="b">
        <f aca="false">COUNTIF(BankQuarter!$B$5:$B$750,A191)&gt;0</f>
        <v>0</v>
      </c>
    </row>
    <row r="192" customFormat="false" ht="15" hidden="false" customHeight="false" outlineLevel="0" collapsed="false">
      <c r="A192" s="0" t="s">
        <v>7881</v>
      </c>
      <c r="B192" s="0" t="s">
        <v>7882</v>
      </c>
      <c r="C192" s="0" t="s">
        <v>256</v>
      </c>
      <c r="D192" s="0" t="s">
        <v>7391</v>
      </c>
      <c r="E192" s="0" t="s">
        <v>7409</v>
      </c>
      <c r="F192" s="0" t="s">
        <v>158</v>
      </c>
      <c r="G192" s="11" t="b">
        <f aca="false">COUNTIF(BankQuarter!$B$5:$B$750,A192)&gt;0</f>
        <v>1</v>
      </c>
    </row>
    <row r="193" customFormat="false" ht="15" hidden="false" customHeight="false" outlineLevel="0" collapsed="false">
      <c r="A193" s="0" t="s">
        <v>7883</v>
      </c>
      <c r="B193" s="0" t="s">
        <v>7884</v>
      </c>
      <c r="C193" s="0" t="s">
        <v>61</v>
      </c>
      <c r="E193" s="0" t="s">
        <v>7880</v>
      </c>
      <c r="F193" s="0" t="s">
        <v>98</v>
      </c>
      <c r="G193" s="11" t="b">
        <f aca="false">COUNTIF(BankQuarter!$B$5:$B$750,A193)&gt;0</f>
        <v>0</v>
      </c>
    </row>
    <row r="194" customFormat="false" ht="15" hidden="false" customHeight="false" outlineLevel="0" collapsed="false">
      <c r="A194" s="0" t="s">
        <v>7885</v>
      </c>
      <c r="B194" s="0" t="s">
        <v>7886</v>
      </c>
      <c r="C194" s="0" t="s">
        <v>61</v>
      </c>
      <c r="E194" s="0" t="s">
        <v>7880</v>
      </c>
      <c r="F194" s="0" t="s">
        <v>60</v>
      </c>
      <c r="G194" s="11" t="b">
        <f aca="false">COUNTIF(BankQuarter!$B$5:$B$750,A194)&gt;0</f>
        <v>0</v>
      </c>
    </row>
    <row r="195" customFormat="false" ht="15" hidden="false" customHeight="false" outlineLevel="0" collapsed="false">
      <c r="A195" s="0" t="s">
        <v>7887</v>
      </c>
      <c r="B195" s="0" t="s">
        <v>7888</v>
      </c>
      <c r="C195" s="0" t="s">
        <v>61</v>
      </c>
      <c r="E195" s="0" t="s">
        <v>7367</v>
      </c>
      <c r="F195" s="0" t="s">
        <v>60</v>
      </c>
      <c r="G195" s="11" t="b">
        <f aca="false">COUNTIF(BankQuarter!$B$5:$B$750,A195)&gt;0</f>
        <v>0</v>
      </c>
    </row>
    <row r="196" customFormat="false" ht="15" hidden="false" customHeight="false" outlineLevel="0" collapsed="false">
      <c r="A196" s="0" t="s">
        <v>7889</v>
      </c>
      <c r="B196" s="0" t="s">
        <v>7890</v>
      </c>
      <c r="C196" s="0" t="s">
        <v>61</v>
      </c>
      <c r="D196" s="0" t="s">
        <v>7891</v>
      </c>
      <c r="E196" s="0" t="s">
        <v>7892</v>
      </c>
      <c r="F196" s="0" t="s">
        <v>60</v>
      </c>
      <c r="G196" s="11" t="b">
        <f aca="false">COUNTIF(BankQuarter!$B$5:$B$750,A196)&gt;0</f>
        <v>0</v>
      </c>
    </row>
    <row r="197" customFormat="false" ht="15" hidden="false" customHeight="false" outlineLevel="0" collapsed="false">
      <c r="A197" s="0" t="s">
        <v>7893</v>
      </c>
      <c r="B197" s="0" t="s">
        <v>7894</v>
      </c>
      <c r="C197" s="0" t="s">
        <v>256</v>
      </c>
      <c r="D197" s="0" t="s">
        <v>7391</v>
      </c>
      <c r="E197" s="0" t="s">
        <v>7409</v>
      </c>
      <c r="F197" s="0" t="s">
        <v>60</v>
      </c>
      <c r="G197" s="11" t="b">
        <f aca="false">COUNTIF(BankQuarter!$B$5:$B$750,A197)&gt;0</f>
        <v>1</v>
      </c>
    </row>
    <row r="198" customFormat="false" ht="15" hidden="false" customHeight="false" outlineLevel="0" collapsed="false">
      <c r="A198" s="0" t="s">
        <v>7895</v>
      </c>
      <c r="B198" s="0" t="s">
        <v>7896</v>
      </c>
      <c r="C198" s="0" t="s">
        <v>61</v>
      </c>
      <c r="D198" s="0" t="s">
        <v>7635</v>
      </c>
      <c r="E198" s="0" t="s">
        <v>7367</v>
      </c>
      <c r="F198" s="0" t="s">
        <v>60</v>
      </c>
      <c r="G198" s="11" t="b">
        <f aca="false">COUNTIF(BankQuarter!$B$5:$B$750,A198)&gt;0</f>
        <v>0</v>
      </c>
    </row>
    <row r="199" customFormat="false" ht="15" hidden="false" customHeight="false" outlineLevel="0" collapsed="false">
      <c r="A199" s="0" t="s">
        <v>7897</v>
      </c>
      <c r="B199" s="0" t="s">
        <v>7898</v>
      </c>
      <c r="C199" s="0" t="s">
        <v>256</v>
      </c>
      <c r="D199" s="0" t="s">
        <v>7391</v>
      </c>
      <c r="E199" s="0" t="s">
        <v>7409</v>
      </c>
      <c r="F199" s="0" t="s">
        <v>60</v>
      </c>
      <c r="G199" s="11" t="b">
        <f aca="false">COUNTIF(BankQuarter!$B$5:$B$750,A199)&gt;0</f>
        <v>1</v>
      </c>
    </row>
    <row r="200" customFormat="false" ht="15" hidden="false" customHeight="false" outlineLevel="0" collapsed="false">
      <c r="A200" s="0" t="s">
        <v>7899</v>
      </c>
      <c r="B200" s="0" t="s">
        <v>7900</v>
      </c>
      <c r="C200" s="0" t="s">
        <v>61</v>
      </c>
      <c r="D200" s="0" t="s">
        <v>7901</v>
      </c>
      <c r="E200" s="0" t="s">
        <v>7775</v>
      </c>
      <c r="F200" s="0" t="s">
        <v>60</v>
      </c>
      <c r="G200" s="11" t="b">
        <f aca="false">COUNTIF(BankQuarter!$B$5:$B$750,A200)&gt;0</f>
        <v>0</v>
      </c>
    </row>
    <row r="201" customFormat="false" ht="15" hidden="false" customHeight="false" outlineLevel="0" collapsed="false">
      <c r="A201" s="0" t="s">
        <v>7902</v>
      </c>
      <c r="B201" s="0" t="s">
        <v>7903</v>
      </c>
      <c r="C201" s="0" t="s">
        <v>61</v>
      </c>
      <c r="D201" s="0" t="s">
        <v>7871</v>
      </c>
      <c r="E201" s="0" t="s">
        <v>7904</v>
      </c>
      <c r="F201" s="0" t="s">
        <v>60</v>
      </c>
      <c r="G201" s="11" t="b">
        <f aca="false">COUNTIF(BankQuarter!$B$5:$B$750,A201)&gt;0</f>
        <v>0</v>
      </c>
    </row>
    <row r="202" customFormat="false" ht="15" hidden="false" customHeight="false" outlineLevel="0" collapsed="false">
      <c r="A202" s="0" t="s">
        <v>7905</v>
      </c>
      <c r="B202" s="0" t="s">
        <v>7906</v>
      </c>
      <c r="C202" s="0" t="s">
        <v>61</v>
      </c>
      <c r="D202" s="0" t="s">
        <v>7907</v>
      </c>
      <c r="E202" s="0" t="s">
        <v>7908</v>
      </c>
      <c r="F202" s="0" t="s">
        <v>158</v>
      </c>
      <c r="G202" s="11" t="b">
        <f aca="false">COUNTIF(BankQuarter!$B$5:$B$750,A202)&gt;0</f>
        <v>0</v>
      </c>
    </row>
    <row r="203" customFormat="false" ht="15" hidden="false" customHeight="false" outlineLevel="0" collapsed="false">
      <c r="A203" s="0" t="s">
        <v>7909</v>
      </c>
      <c r="B203" s="0" t="s">
        <v>7910</v>
      </c>
      <c r="C203" s="0" t="s">
        <v>61</v>
      </c>
      <c r="D203" s="0" t="s">
        <v>7720</v>
      </c>
      <c r="E203" s="0" t="s">
        <v>7911</v>
      </c>
      <c r="F203" s="0" t="s">
        <v>158</v>
      </c>
      <c r="G203" s="11" t="b">
        <f aca="false">COUNTIF(BankQuarter!$B$5:$B$750,A203)&gt;0</f>
        <v>0</v>
      </c>
    </row>
    <row r="204" customFormat="false" ht="15" hidden="false" customHeight="false" outlineLevel="0" collapsed="false">
      <c r="A204" s="0" t="s">
        <v>7912</v>
      </c>
      <c r="B204" s="0" t="s">
        <v>7913</v>
      </c>
      <c r="C204" s="0" t="s">
        <v>61</v>
      </c>
      <c r="E204" s="0" t="s">
        <v>7880</v>
      </c>
      <c r="F204" s="0" t="s">
        <v>158</v>
      </c>
      <c r="G204" s="11" t="b">
        <f aca="false">COUNTIF(BankQuarter!$B$5:$B$750,A204)&gt;0</f>
        <v>0</v>
      </c>
    </row>
    <row r="205" customFormat="false" ht="15" hidden="false" customHeight="false" outlineLevel="0" collapsed="false">
      <c r="A205" s="0" t="s">
        <v>7914</v>
      </c>
      <c r="B205" s="0" t="s">
        <v>7915</v>
      </c>
      <c r="C205" s="0" t="s">
        <v>256</v>
      </c>
      <c r="D205" s="0" t="s">
        <v>7391</v>
      </c>
      <c r="E205" s="0" t="s">
        <v>7409</v>
      </c>
      <c r="F205" s="0" t="s">
        <v>98</v>
      </c>
      <c r="G205" s="11" t="b">
        <f aca="false">COUNTIF(BankQuarter!$B$5:$B$750,A205)&gt;0</f>
        <v>1</v>
      </c>
    </row>
    <row r="206" customFormat="false" ht="15" hidden="false" customHeight="false" outlineLevel="0" collapsed="false">
      <c r="A206" s="0" t="s">
        <v>7916</v>
      </c>
      <c r="B206" s="0" t="s">
        <v>7917</v>
      </c>
      <c r="C206" s="0" t="s">
        <v>61</v>
      </c>
      <c r="D206" s="0" t="s">
        <v>7518</v>
      </c>
      <c r="E206" s="0" t="s">
        <v>7918</v>
      </c>
      <c r="F206" s="0" t="s">
        <v>158</v>
      </c>
      <c r="G206" s="11" t="b">
        <f aca="false">COUNTIF(BankQuarter!$B$5:$B$750,A206)&gt;0</f>
        <v>0</v>
      </c>
    </row>
    <row r="207" customFormat="false" ht="15" hidden="false" customHeight="false" outlineLevel="0" collapsed="false">
      <c r="A207" s="0" t="s">
        <v>7919</v>
      </c>
      <c r="B207" s="0" t="s">
        <v>7920</v>
      </c>
      <c r="C207" s="0" t="s">
        <v>61</v>
      </c>
      <c r="D207" s="0" t="s">
        <v>7574</v>
      </c>
      <c r="E207" s="0" t="s">
        <v>7921</v>
      </c>
      <c r="F207" s="0" t="s">
        <v>158</v>
      </c>
      <c r="G207" s="11" t="b">
        <f aca="false">COUNTIF(BankQuarter!$B$5:$B$750,A207)&gt;0</f>
        <v>0</v>
      </c>
    </row>
    <row r="208" customFormat="false" ht="15" hidden="false" customHeight="false" outlineLevel="0" collapsed="false">
      <c r="A208" s="0" t="s">
        <v>7922</v>
      </c>
      <c r="B208" s="0" t="s">
        <v>7923</v>
      </c>
      <c r="C208" s="0" t="s">
        <v>256</v>
      </c>
      <c r="D208" s="0" t="s">
        <v>7391</v>
      </c>
      <c r="E208" s="0" t="s">
        <v>7409</v>
      </c>
      <c r="F208" s="0" t="s">
        <v>60</v>
      </c>
      <c r="G208" s="11" t="b">
        <f aca="false">COUNTIF(BankQuarter!$B$5:$B$750,A208)&gt;0</f>
        <v>1</v>
      </c>
    </row>
    <row r="209" customFormat="false" ht="15" hidden="false" customHeight="false" outlineLevel="0" collapsed="false">
      <c r="A209" s="0" t="s">
        <v>7924</v>
      </c>
      <c r="B209" s="0" t="s">
        <v>7925</v>
      </c>
      <c r="C209" s="0" t="s">
        <v>61</v>
      </c>
      <c r="E209" s="0" t="s">
        <v>7880</v>
      </c>
      <c r="F209" s="0" t="s">
        <v>98</v>
      </c>
      <c r="G209" s="11" t="b">
        <f aca="false">COUNTIF(BankQuarter!$B$5:$B$750,A209)&gt;0</f>
        <v>0</v>
      </c>
    </row>
    <row r="210" customFormat="false" ht="15" hidden="false" customHeight="false" outlineLevel="0" collapsed="false">
      <c r="A210" s="0" t="s">
        <v>7926</v>
      </c>
      <c r="B210" s="0" t="s">
        <v>7927</v>
      </c>
      <c r="C210" s="0" t="s">
        <v>61</v>
      </c>
      <c r="D210" s="0" t="s">
        <v>7485</v>
      </c>
      <c r="E210" s="0" t="s">
        <v>7781</v>
      </c>
      <c r="F210" s="0" t="s">
        <v>158</v>
      </c>
      <c r="G210" s="11" t="b">
        <f aca="false">COUNTIF(BankQuarter!$B$5:$B$750,A210)&gt;0</f>
        <v>0</v>
      </c>
    </row>
    <row r="211" customFormat="false" ht="15" hidden="false" customHeight="false" outlineLevel="0" collapsed="false">
      <c r="A211" s="0" t="s">
        <v>7928</v>
      </c>
      <c r="B211" s="0" t="s">
        <v>7929</v>
      </c>
      <c r="C211" s="0" t="s">
        <v>61</v>
      </c>
      <c r="D211" s="0" t="s">
        <v>7851</v>
      </c>
      <c r="E211" s="0" t="s">
        <v>7930</v>
      </c>
      <c r="F211" s="0" t="s">
        <v>60</v>
      </c>
      <c r="G211" s="11" t="b">
        <f aca="false">COUNTIF(BankQuarter!$B$5:$B$750,A211)&gt;0</f>
        <v>0</v>
      </c>
    </row>
    <row r="212" customFormat="false" ht="15" hidden="false" customHeight="false" outlineLevel="0" collapsed="false">
      <c r="A212" s="0" t="s">
        <v>7931</v>
      </c>
      <c r="B212" s="0" t="s">
        <v>7932</v>
      </c>
      <c r="C212" s="0" t="s">
        <v>61</v>
      </c>
      <c r="D212" s="0" t="s">
        <v>7933</v>
      </c>
      <c r="E212" s="0" t="s">
        <v>7934</v>
      </c>
      <c r="F212" s="0" t="s">
        <v>60</v>
      </c>
      <c r="G212" s="11" t="b">
        <f aca="false">COUNTIF(BankQuarter!$B$5:$B$750,A212)&gt;0</f>
        <v>0</v>
      </c>
    </row>
    <row r="213" customFormat="false" ht="15" hidden="false" customHeight="false" outlineLevel="0" collapsed="false">
      <c r="A213" s="0" t="s">
        <v>7935</v>
      </c>
      <c r="B213" s="0" t="s">
        <v>7936</v>
      </c>
      <c r="C213" s="0" t="s">
        <v>256</v>
      </c>
      <c r="D213" s="0" t="s">
        <v>7391</v>
      </c>
      <c r="E213" s="0" t="s">
        <v>7937</v>
      </c>
      <c r="F213" s="0" t="s">
        <v>60</v>
      </c>
      <c r="G213" s="11" t="b">
        <f aca="false">COUNTIF(BankQuarter!$B$5:$B$750,A213)&gt;0</f>
        <v>1</v>
      </c>
    </row>
    <row r="214" customFormat="false" ht="15" hidden="false" customHeight="false" outlineLevel="0" collapsed="false">
      <c r="A214" s="0" t="s">
        <v>7938</v>
      </c>
      <c r="B214" s="0" t="s">
        <v>7939</v>
      </c>
      <c r="C214" s="0" t="s">
        <v>256</v>
      </c>
      <c r="D214" s="0" t="s">
        <v>7391</v>
      </c>
      <c r="E214" s="0" t="s">
        <v>7409</v>
      </c>
      <c r="F214" s="0" t="s">
        <v>158</v>
      </c>
      <c r="G214" s="11" t="b">
        <f aca="false">COUNTIF(BankQuarter!$B$5:$B$750,A214)&gt;0</f>
        <v>1</v>
      </c>
    </row>
    <row r="215" customFormat="false" ht="15" hidden="false" customHeight="false" outlineLevel="0" collapsed="false">
      <c r="A215" s="0" t="s">
        <v>7940</v>
      </c>
      <c r="B215" s="0" t="s">
        <v>7941</v>
      </c>
      <c r="C215" s="0" t="s">
        <v>61</v>
      </c>
      <c r="D215" s="0" t="s">
        <v>7867</v>
      </c>
      <c r="E215" s="0" t="s">
        <v>7942</v>
      </c>
      <c r="F215" s="0" t="s">
        <v>60</v>
      </c>
      <c r="G215" s="11" t="b">
        <f aca="false">COUNTIF(BankQuarter!$B$5:$B$750,A215)&gt;0</f>
        <v>0</v>
      </c>
    </row>
    <row r="216" customFormat="false" ht="15" hidden="false" customHeight="false" outlineLevel="0" collapsed="false">
      <c r="A216" s="0" t="s">
        <v>7943</v>
      </c>
      <c r="B216" s="0" t="s">
        <v>7944</v>
      </c>
      <c r="C216" s="0" t="s">
        <v>61</v>
      </c>
      <c r="D216" s="0" t="s">
        <v>7907</v>
      </c>
      <c r="E216" s="0" t="s">
        <v>7945</v>
      </c>
      <c r="F216" s="0" t="s">
        <v>60</v>
      </c>
      <c r="G216" s="11" t="b">
        <f aca="false">COUNTIF(BankQuarter!$B$5:$B$750,A216)&gt;0</f>
        <v>0</v>
      </c>
    </row>
    <row r="217" customFormat="false" ht="15" hidden="false" customHeight="false" outlineLevel="0" collapsed="false">
      <c r="A217" s="0" t="s">
        <v>7946</v>
      </c>
      <c r="B217" s="0" t="s">
        <v>7947</v>
      </c>
      <c r="C217" s="0" t="s">
        <v>61</v>
      </c>
      <c r="D217" s="0" t="s">
        <v>7702</v>
      </c>
      <c r="E217" s="0" t="s">
        <v>7948</v>
      </c>
      <c r="F217" s="0" t="s">
        <v>60</v>
      </c>
      <c r="G217" s="11" t="b">
        <f aca="false">COUNTIF(BankQuarter!$B$5:$B$750,A217)&gt;0</f>
        <v>0</v>
      </c>
    </row>
    <row r="218" customFormat="false" ht="15" hidden="false" customHeight="false" outlineLevel="0" collapsed="false">
      <c r="A218" s="0" t="s">
        <v>7949</v>
      </c>
      <c r="B218" s="0" t="s">
        <v>7950</v>
      </c>
      <c r="C218" s="0" t="s">
        <v>61</v>
      </c>
      <c r="D218" s="0" t="s">
        <v>7375</v>
      </c>
      <c r="E218" s="0" t="s">
        <v>7951</v>
      </c>
      <c r="F218" s="0" t="s">
        <v>158</v>
      </c>
      <c r="G218" s="11" t="b">
        <f aca="false">COUNTIF(BankQuarter!$B$5:$B$750,A218)&gt;0</f>
        <v>0</v>
      </c>
    </row>
    <row r="219" customFormat="false" ht="15" hidden="false" customHeight="false" outlineLevel="0" collapsed="false">
      <c r="A219" s="0" t="s">
        <v>7952</v>
      </c>
      <c r="B219" s="0" t="s">
        <v>7953</v>
      </c>
      <c r="C219" s="0" t="s">
        <v>61</v>
      </c>
      <c r="E219" s="0" t="s">
        <v>7880</v>
      </c>
      <c r="F219" s="0" t="s">
        <v>98</v>
      </c>
      <c r="G219" s="11" t="b">
        <f aca="false">COUNTIF(BankQuarter!$B$5:$B$750,A219)&gt;0</f>
        <v>0</v>
      </c>
    </row>
    <row r="220" customFormat="false" ht="15" hidden="false" customHeight="false" outlineLevel="0" collapsed="false">
      <c r="A220" s="0" t="s">
        <v>7954</v>
      </c>
      <c r="B220" s="0" t="s">
        <v>7955</v>
      </c>
      <c r="C220" s="0" t="s">
        <v>61</v>
      </c>
      <c r="E220" s="0" t="s">
        <v>7956</v>
      </c>
      <c r="F220" s="0" t="s">
        <v>60</v>
      </c>
      <c r="G220" s="11" t="b">
        <f aca="false">COUNTIF(BankQuarter!$B$5:$B$750,A220)&gt;0</f>
        <v>0</v>
      </c>
    </row>
    <row r="221" customFormat="false" ht="15" hidden="false" customHeight="false" outlineLevel="0" collapsed="false">
      <c r="A221" s="0" t="s">
        <v>7957</v>
      </c>
      <c r="B221" s="0" t="s">
        <v>7958</v>
      </c>
      <c r="C221" s="0" t="s">
        <v>61</v>
      </c>
      <c r="D221" s="0" t="s">
        <v>7959</v>
      </c>
      <c r="E221" s="0" t="s">
        <v>7960</v>
      </c>
      <c r="F221" s="0" t="s">
        <v>60</v>
      </c>
      <c r="G221" s="11" t="b">
        <f aca="false">COUNTIF(BankQuarter!$B$5:$B$750,A221)&gt;0</f>
        <v>0</v>
      </c>
    </row>
    <row r="222" customFormat="false" ht="15" hidden="false" customHeight="false" outlineLevel="0" collapsed="false">
      <c r="A222" s="0" t="s">
        <v>7961</v>
      </c>
      <c r="B222" s="0" t="s">
        <v>7962</v>
      </c>
      <c r="C222" s="0" t="s">
        <v>256</v>
      </c>
      <c r="D222" s="0" t="s">
        <v>7391</v>
      </c>
      <c r="E222" s="0" t="s">
        <v>7409</v>
      </c>
      <c r="F222" s="0" t="s">
        <v>98</v>
      </c>
      <c r="G222" s="11" t="b">
        <f aca="false">COUNTIF(BankQuarter!$B$5:$B$750,A222)&gt;0</f>
        <v>1</v>
      </c>
    </row>
    <row r="223" customFormat="false" ht="15" hidden="false" customHeight="false" outlineLevel="0" collapsed="false">
      <c r="A223" s="0" t="s">
        <v>7963</v>
      </c>
      <c r="B223" s="0" t="s">
        <v>7964</v>
      </c>
      <c r="C223" s="0" t="s">
        <v>61</v>
      </c>
      <c r="D223" s="0" t="s">
        <v>7712</v>
      </c>
      <c r="E223" s="0" t="s">
        <v>7965</v>
      </c>
      <c r="F223" s="0" t="s">
        <v>98</v>
      </c>
      <c r="G223" s="11" t="b">
        <f aca="false">COUNTIF(BankQuarter!$B$5:$B$750,A223)&gt;0</f>
        <v>0</v>
      </c>
    </row>
    <row r="224" customFormat="false" ht="15" hidden="false" customHeight="false" outlineLevel="0" collapsed="false">
      <c r="A224" s="0" t="s">
        <v>7966</v>
      </c>
      <c r="B224" s="0" t="s">
        <v>7967</v>
      </c>
      <c r="C224" s="0" t="s">
        <v>61</v>
      </c>
      <c r="E224" s="0" t="s">
        <v>7960</v>
      </c>
      <c r="F224" s="0" t="s">
        <v>158</v>
      </c>
      <c r="G224" s="11" t="b">
        <f aca="false">COUNTIF(BankQuarter!$B$5:$B$750,A224)&gt;0</f>
        <v>0</v>
      </c>
    </row>
    <row r="225" customFormat="false" ht="15" hidden="false" customHeight="false" outlineLevel="0" collapsed="false">
      <c r="A225" s="0" t="s">
        <v>7968</v>
      </c>
      <c r="B225" s="0" t="s">
        <v>7969</v>
      </c>
      <c r="C225" s="0" t="s">
        <v>61</v>
      </c>
      <c r="D225" s="0" t="s">
        <v>7398</v>
      </c>
      <c r="E225" s="0" t="s">
        <v>7970</v>
      </c>
      <c r="F225" s="0" t="s">
        <v>158</v>
      </c>
      <c r="G225" s="11" t="b">
        <f aca="false">COUNTIF(BankQuarter!$B$5:$B$750,A225)&gt;0</f>
        <v>0</v>
      </c>
    </row>
    <row r="226" customFormat="false" ht="15" hidden="false" customHeight="false" outlineLevel="0" collapsed="false">
      <c r="A226" s="0" t="s">
        <v>7971</v>
      </c>
      <c r="B226" s="0" t="s">
        <v>7972</v>
      </c>
      <c r="C226" s="0" t="s">
        <v>61</v>
      </c>
      <c r="D226" s="0" t="s">
        <v>7973</v>
      </c>
      <c r="E226" s="0" t="s">
        <v>7970</v>
      </c>
      <c r="F226" s="0" t="s">
        <v>158</v>
      </c>
      <c r="G226" s="11" t="b">
        <f aca="false">COUNTIF(BankQuarter!$B$5:$B$750,A226)&gt;0</f>
        <v>0</v>
      </c>
    </row>
    <row r="227" customFormat="false" ht="15" hidden="false" customHeight="false" outlineLevel="0" collapsed="false">
      <c r="A227" s="0" t="s">
        <v>7974</v>
      </c>
      <c r="B227" s="0" t="s">
        <v>7975</v>
      </c>
      <c r="C227" s="0" t="s">
        <v>61</v>
      </c>
      <c r="D227" s="0" t="s">
        <v>7458</v>
      </c>
      <c r="E227" s="0" t="s">
        <v>7976</v>
      </c>
      <c r="F227" s="0" t="s">
        <v>158</v>
      </c>
      <c r="G227" s="11" t="b">
        <f aca="false">COUNTIF(BankQuarter!$B$5:$B$750,A227)&gt;0</f>
        <v>0</v>
      </c>
    </row>
    <row r="228" customFormat="false" ht="15" hidden="false" customHeight="false" outlineLevel="0" collapsed="false">
      <c r="A228" s="0" t="s">
        <v>7977</v>
      </c>
      <c r="B228" s="0" t="s">
        <v>7978</v>
      </c>
      <c r="C228" s="0" t="s">
        <v>61</v>
      </c>
      <c r="E228" s="0" t="s">
        <v>7880</v>
      </c>
      <c r="F228" s="0" t="s">
        <v>158</v>
      </c>
      <c r="G228" s="11" t="b">
        <f aca="false">COUNTIF(BankQuarter!$B$5:$B$750,A228)&gt;0</f>
        <v>0</v>
      </c>
    </row>
    <row r="229" customFormat="false" ht="15" hidden="false" customHeight="false" outlineLevel="0" collapsed="false">
      <c r="A229" s="0" t="s">
        <v>7979</v>
      </c>
      <c r="B229" s="0" t="s">
        <v>7980</v>
      </c>
      <c r="C229" s="0" t="s">
        <v>61</v>
      </c>
      <c r="E229" s="0" t="s">
        <v>7367</v>
      </c>
      <c r="F229" s="0" t="s">
        <v>60</v>
      </c>
      <c r="G229" s="11" t="b">
        <f aca="false">COUNTIF(BankQuarter!$B$5:$B$750,A229)&gt;0</f>
        <v>0</v>
      </c>
    </row>
    <row r="230" customFormat="false" ht="15" hidden="false" customHeight="false" outlineLevel="0" collapsed="false">
      <c r="A230" s="0" t="s">
        <v>7981</v>
      </c>
      <c r="B230" s="0" t="s">
        <v>7982</v>
      </c>
      <c r="C230" s="0" t="s">
        <v>256</v>
      </c>
      <c r="D230" s="0" t="s">
        <v>7391</v>
      </c>
      <c r="E230" s="0" t="s">
        <v>7409</v>
      </c>
      <c r="F230" s="0" t="s">
        <v>60</v>
      </c>
      <c r="G230" s="11" t="b">
        <f aca="false">COUNTIF(BankQuarter!$B$5:$B$750,A230)&gt;0</f>
        <v>1</v>
      </c>
    </row>
    <row r="231" customFormat="false" ht="15" hidden="false" customHeight="false" outlineLevel="0" collapsed="false">
      <c r="A231" s="0" t="s">
        <v>7983</v>
      </c>
      <c r="B231" s="0" t="s">
        <v>7984</v>
      </c>
      <c r="C231" s="0" t="s">
        <v>61</v>
      </c>
      <c r="E231" s="0" t="s">
        <v>7960</v>
      </c>
      <c r="F231" s="0" t="s">
        <v>60</v>
      </c>
      <c r="G231" s="11" t="b">
        <f aca="false">COUNTIF(BankQuarter!$B$5:$B$750,A231)&gt;0</f>
        <v>0</v>
      </c>
    </row>
    <row r="232" customFormat="false" ht="15" hidden="false" customHeight="false" outlineLevel="0" collapsed="false">
      <c r="A232" s="0" t="s">
        <v>856</v>
      </c>
      <c r="B232" s="0" t="s">
        <v>7985</v>
      </c>
      <c r="C232" s="0" t="s">
        <v>61</v>
      </c>
      <c r="D232" s="0" t="s">
        <v>7689</v>
      </c>
      <c r="E232" s="0" t="s">
        <v>7367</v>
      </c>
      <c r="F232" s="0" t="s">
        <v>158</v>
      </c>
      <c r="G232" s="11" t="b">
        <f aca="false">COUNTIF(BankQuarter!$B$5:$B$750,A232)&gt;0</f>
        <v>0</v>
      </c>
    </row>
    <row r="233" customFormat="false" ht="15" hidden="false" customHeight="false" outlineLevel="0" collapsed="false">
      <c r="A233" s="0" t="s">
        <v>7986</v>
      </c>
      <c r="B233" s="0" t="s">
        <v>7987</v>
      </c>
      <c r="C233" s="0" t="s">
        <v>61</v>
      </c>
      <c r="E233" s="0" t="s">
        <v>7988</v>
      </c>
      <c r="F233" s="0" t="s">
        <v>158</v>
      </c>
      <c r="G233" s="11" t="b">
        <f aca="false">COUNTIF(BankQuarter!$B$5:$B$750,A233)&gt;0</f>
        <v>0</v>
      </c>
    </row>
    <row r="234" customFormat="false" ht="15" hidden="false" customHeight="false" outlineLevel="0" collapsed="false">
      <c r="A234" s="0" t="s">
        <v>7989</v>
      </c>
      <c r="B234" s="0" t="s">
        <v>7990</v>
      </c>
      <c r="C234" s="0" t="s">
        <v>61</v>
      </c>
      <c r="E234" s="0" t="s">
        <v>7880</v>
      </c>
      <c r="F234" s="0" t="s">
        <v>60</v>
      </c>
      <c r="G234" s="11" t="b">
        <f aca="false">COUNTIF(BankQuarter!$B$5:$B$750,A234)&gt;0</f>
        <v>0</v>
      </c>
    </row>
    <row r="235" customFormat="false" ht="15" hidden="false" customHeight="false" outlineLevel="0" collapsed="false">
      <c r="A235" s="0" t="s">
        <v>7991</v>
      </c>
      <c r="B235" s="0" t="s">
        <v>7992</v>
      </c>
      <c r="C235" s="0" t="s">
        <v>61</v>
      </c>
      <c r="D235" s="0" t="s">
        <v>7993</v>
      </c>
      <c r="E235" s="0" t="s">
        <v>7994</v>
      </c>
      <c r="F235" s="0" t="s">
        <v>60</v>
      </c>
      <c r="G235" s="11" t="b">
        <f aca="false">COUNTIF(BankQuarter!$B$5:$B$750,A235)&gt;0</f>
        <v>0</v>
      </c>
    </row>
    <row r="236" customFormat="false" ht="15" hidden="false" customHeight="false" outlineLevel="0" collapsed="false">
      <c r="A236" s="0" t="s">
        <v>7995</v>
      </c>
      <c r="B236" s="0" t="s">
        <v>7996</v>
      </c>
      <c r="C236" s="0" t="s">
        <v>61</v>
      </c>
      <c r="D236" s="0" t="s">
        <v>7997</v>
      </c>
      <c r="E236" s="0" t="s">
        <v>7998</v>
      </c>
      <c r="F236" s="0" t="s">
        <v>158</v>
      </c>
      <c r="G236" s="11" t="b">
        <f aca="false">COUNTIF(BankQuarter!$B$5:$B$750,A236)&gt;0</f>
        <v>0</v>
      </c>
    </row>
    <row r="237" customFormat="false" ht="15" hidden="false" customHeight="false" outlineLevel="0" collapsed="false">
      <c r="A237" s="0" t="s">
        <v>7999</v>
      </c>
      <c r="B237" s="0" t="s">
        <v>8000</v>
      </c>
      <c r="C237" s="0" t="s">
        <v>61</v>
      </c>
      <c r="D237" s="0" t="s">
        <v>8001</v>
      </c>
      <c r="E237" s="0" t="s">
        <v>8002</v>
      </c>
      <c r="F237" s="0" t="s">
        <v>98</v>
      </c>
      <c r="G237" s="11" t="b">
        <f aca="false">COUNTIF(BankQuarter!$B$5:$B$750,A237)&gt;0</f>
        <v>0</v>
      </c>
    </row>
    <row r="238" customFormat="false" ht="15" hidden="false" customHeight="false" outlineLevel="0" collapsed="false">
      <c r="A238" s="0" t="s">
        <v>8003</v>
      </c>
      <c r="B238" s="0" t="s">
        <v>8004</v>
      </c>
      <c r="C238" s="0" t="s">
        <v>61</v>
      </c>
      <c r="D238" s="0" t="s">
        <v>7383</v>
      </c>
      <c r="E238" s="0" t="s">
        <v>8005</v>
      </c>
      <c r="F238" s="0" t="s">
        <v>60</v>
      </c>
      <c r="G238" s="11" t="b">
        <f aca="false">COUNTIF(BankQuarter!$B$5:$B$750,A238)&gt;0</f>
        <v>0</v>
      </c>
    </row>
    <row r="239" customFormat="false" ht="15" hidden="false" customHeight="false" outlineLevel="0" collapsed="false">
      <c r="A239" s="0" t="s">
        <v>8006</v>
      </c>
      <c r="B239" s="0" t="s">
        <v>8007</v>
      </c>
      <c r="C239" s="0" t="s">
        <v>61</v>
      </c>
      <c r="D239" s="0" t="s">
        <v>8008</v>
      </c>
      <c r="E239" s="0" t="s">
        <v>8009</v>
      </c>
      <c r="F239" s="0" t="s">
        <v>60</v>
      </c>
      <c r="G239" s="11" t="b">
        <f aca="false">COUNTIF(BankQuarter!$B$5:$B$750,A239)&gt;0</f>
        <v>0</v>
      </c>
    </row>
    <row r="240" customFormat="false" ht="15" hidden="false" customHeight="false" outlineLevel="0" collapsed="false">
      <c r="A240" s="0" t="s">
        <v>8010</v>
      </c>
      <c r="B240" s="0" t="s">
        <v>8011</v>
      </c>
      <c r="C240" s="0" t="s">
        <v>61</v>
      </c>
      <c r="D240" s="0" t="s">
        <v>7485</v>
      </c>
      <c r="E240" s="0" t="s">
        <v>7546</v>
      </c>
      <c r="F240" s="0" t="s">
        <v>158</v>
      </c>
      <c r="G240" s="11" t="b">
        <f aca="false">COUNTIF(BankQuarter!$B$5:$B$750,A240)&gt;0</f>
        <v>0</v>
      </c>
    </row>
    <row r="241" customFormat="false" ht="15" hidden="false" customHeight="false" outlineLevel="0" collapsed="false">
      <c r="A241" s="0" t="s">
        <v>8012</v>
      </c>
      <c r="B241" s="0" t="s">
        <v>8013</v>
      </c>
      <c r="C241" s="0" t="s">
        <v>61</v>
      </c>
      <c r="D241" s="0" t="s">
        <v>8001</v>
      </c>
      <c r="E241" s="0" t="s">
        <v>8014</v>
      </c>
      <c r="F241" s="0" t="s">
        <v>158</v>
      </c>
      <c r="G241" s="11" t="b">
        <f aca="false">COUNTIF(BankQuarter!$B$5:$B$750,A241)&gt;0</f>
        <v>0</v>
      </c>
    </row>
    <row r="242" customFormat="false" ht="15" hidden="false" customHeight="false" outlineLevel="0" collapsed="false">
      <c r="A242" s="0" t="s">
        <v>8015</v>
      </c>
      <c r="B242" s="0" t="s">
        <v>8016</v>
      </c>
      <c r="C242" s="0" t="s">
        <v>61</v>
      </c>
      <c r="D242" s="0" t="s">
        <v>7973</v>
      </c>
      <c r="E242" s="0" t="s">
        <v>8017</v>
      </c>
      <c r="F242" s="0" t="s">
        <v>158</v>
      </c>
      <c r="G242" s="11" t="b">
        <f aca="false">COUNTIF(BankQuarter!$B$5:$B$750,A242)&gt;0</f>
        <v>0</v>
      </c>
    </row>
    <row r="243" customFormat="false" ht="15" hidden="false" customHeight="false" outlineLevel="0" collapsed="false">
      <c r="A243" s="0" t="s">
        <v>8018</v>
      </c>
      <c r="B243" s="0" t="s">
        <v>8019</v>
      </c>
      <c r="C243" s="0" t="s">
        <v>61</v>
      </c>
      <c r="D243" s="0" t="s">
        <v>7639</v>
      </c>
      <c r="E243" s="0" t="s">
        <v>8020</v>
      </c>
      <c r="F243" s="0" t="s">
        <v>158</v>
      </c>
      <c r="G243" s="11" t="b">
        <f aca="false">COUNTIF(BankQuarter!$B$5:$B$750,A243)&gt;0</f>
        <v>0</v>
      </c>
    </row>
    <row r="244" customFormat="false" ht="15" hidden="false" customHeight="false" outlineLevel="0" collapsed="false">
      <c r="A244" s="0" t="s">
        <v>8021</v>
      </c>
      <c r="B244" s="0" t="s">
        <v>8022</v>
      </c>
      <c r="C244" s="0" t="s">
        <v>61</v>
      </c>
      <c r="D244" s="0" t="s">
        <v>7383</v>
      </c>
      <c r="E244" s="0" t="s">
        <v>8023</v>
      </c>
      <c r="F244" s="0" t="s">
        <v>60</v>
      </c>
      <c r="G244" s="11" t="b">
        <f aca="false">COUNTIF(BankQuarter!$B$5:$B$750,A244)&gt;0</f>
        <v>0</v>
      </c>
    </row>
    <row r="245" customFormat="false" ht="15" hidden="false" customHeight="false" outlineLevel="0" collapsed="false">
      <c r="A245" s="0" t="s">
        <v>8024</v>
      </c>
      <c r="B245" s="0" t="s">
        <v>8025</v>
      </c>
      <c r="C245" s="0" t="s">
        <v>61</v>
      </c>
      <c r="D245" s="0" t="s">
        <v>7383</v>
      </c>
      <c r="E245" s="0" t="s">
        <v>8026</v>
      </c>
      <c r="F245" s="0" t="s">
        <v>158</v>
      </c>
      <c r="G245" s="11" t="b">
        <f aca="false">COUNTIF(BankQuarter!$B$5:$B$750,A245)&gt;0</f>
        <v>0</v>
      </c>
    </row>
    <row r="246" customFormat="false" ht="15" hidden="false" customHeight="false" outlineLevel="0" collapsed="false">
      <c r="A246" s="0" t="s">
        <v>8027</v>
      </c>
      <c r="B246" s="0" t="s">
        <v>8028</v>
      </c>
      <c r="C246" s="0" t="s">
        <v>61</v>
      </c>
      <c r="D246" s="0" t="s">
        <v>8029</v>
      </c>
      <c r="E246" s="0" t="s">
        <v>8030</v>
      </c>
      <c r="F246" s="0" t="s">
        <v>158</v>
      </c>
      <c r="G246" s="11" t="b">
        <f aca="false">COUNTIF(BankQuarter!$B$5:$B$750,A246)&gt;0</f>
        <v>0</v>
      </c>
    </row>
    <row r="247" customFormat="false" ht="15" hidden="false" customHeight="false" outlineLevel="0" collapsed="false">
      <c r="A247" s="0" t="s">
        <v>8031</v>
      </c>
      <c r="B247" s="0" t="s">
        <v>8032</v>
      </c>
      <c r="C247" s="0" t="s">
        <v>256</v>
      </c>
      <c r="D247" s="0" t="s">
        <v>7391</v>
      </c>
      <c r="E247" s="0" t="s">
        <v>7409</v>
      </c>
      <c r="F247" s="0" t="s">
        <v>98</v>
      </c>
      <c r="G247" s="11" t="b">
        <f aca="false">COUNTIF(BankQuarter!$B$5:$B$750,A247)&gt;0</f>
        <v>1</v>
      </c>
    </row>
    <row r="248" customFormat="false" ht="15" hidden="false" customHeight="false" outlineLevel="0" collapsed="false">
      <c r="A248" s="0" t="s">
        <v>8033</v>
      </c>
      <c r="B248" s="0" t="s">
        <v>8034</v>
      </c>
      <c r="C248" s="0" t="s">
        <v>61</v>
      </c>
      <c r="D248" s="0" t="s">
        <v>7973</v>
      </c>
      <c r="E248" s="0" t="s">
        <v>8035</v>
      </c>
      <c r="F248" s="0" t="s">
        <v>158</v>
      </c>
      <c r="G248" s="11" t="b">
        <f aca="false">COUNTIF(BankQuarter!$B$5:$B$750,A248)&gt;0</f>
        <v>0</v>
      </c>
    </row>
    <row r="249" customFormat="false" ht="15" hidden="false" customHeight="false" outlineLevel="0" collapsed="false">
      <c r="A249" s="0" t="s">
        <v>8036</v>
      </c>
      <c r="B249" s="0" t="s">
        <v>8037</v>
      </c>
      <c r="C249" s="0" t="s">
        <v>61</v>
      </c>
      <c r="D249" s="0" t="s">
        <v>7993</v>
      </c>
      <c r="E249" s="0" t="s">
        <v>7395</v>
      </c>
      <c r="F249" s="0" t="s">
        <v>158</v>
      </c>
      <c r="G249" s="11" t="b">
        <f aca="false">COUNTIF(BankQuarter!$B$5:$B$750,A249)&gt;0</f>
        <v>0</v>
      </c>
    </row>
    <row r="250" customFormat="false" ht="15" hidden="false" customHeight="false" outlineLevel="0" collapsed="false">
      <c r="A250" s="0" t="s">
        <v>8038</v>
      </c>
      <c r="B250" s="0" t="s">
        <v>8039</v>
      </c>
      <c r="C250" s="0" t="s">
        <v>61</v>
      </c>
      <c r="D250" s="0" t="s">
        <v>7466</v>
      </c>
      <c r="E250" s="0" t="s">
        <v>7467</v>
      </c>
      <c r="F250" s="0" t="s">
        <v>60</v>
      </c>
      <c r="G250" s="11" t="b">
        <f aca="false">COUNTIF(BankQuarter!$B$5:$B$750,A250)&gt;0</f>
        <v>0</v>
      </c>
    </row>
    <row r="251" customFormat="false" ht="15" hidden="false" customHeight="false" outlineLevel="0" collapsed="false">
      <c r="A251" s="0" t="s">
        <v>8040</v>
      </c>
      <c r="B251" s="0" t="s">
        <v>8041</v>
      </c>
      <c r="C251" s="0" t="s">
        <v>61</v>
      </c>
      <c r="D251" s="0" t="s">
        <v>8042</v>
      </c>
      <c r="E251" s="0" t="s">
        <v>8005</v>
      </c>
      <c r="F251" s="0" t="s">
        <v>60</v>
      </c>
      <c r="G251" s="11" t="b">
        <f aca="false">COUNTIF(BankQuarter!$B$5:$B$750,A251)&gt;0</f>
        <v>0</v>
      </c>
    </row>
    <row r="252" customFormat="false" ht="15" hidden="false" customHeight="false" outlineLevel="0" collapsed="false">
      <c r="A252" s="0" t="s">
        <v>8043</v>
      </c>
      <c r="B252" s="0" t="s">
        <v>8044</v>
      </c>
      <c r="C252" s="0" t="s">
        <v>61</v>
      </c>
      <c r="D252" s="0" t="s">
        <v>7466</v>
      </c>
      <c r="E252" s="0" t="s">
        <v>7467</v>
      </c>
      <c r="F252" s="0" t="s">
        <v>60</v>
      </c>
      <c r="G252" s="11" t="b">
        <f aca="false">COUNTIF(BankQuarter!$B$5:$B$750,A252)&gt;0</f>
        <v>0</v>
      </c>
    </row>
    <row r="253" customFormat="false" ht="15" hidden="false" customHeight="false" outlineLevel="0" collapsed="false">
      <c r="A253" s="0" t="s">
        <v>8045</v>
      </c>
      <c r="B253" s="0" t="s">
        <v>8046</v>
      </c>
      <c r="C253" s="0" t="s">
        <v>61</v>
      </c>
      <c r="D253" s="0" t="s">
        <v>7458</v>
      </c>
      <c r="E253" s="0" t="s">
        <v>8047</v>
      </c>
      <c r="F253" s="0" t="s">
        <v>98</v>
      </c>
      <c r="G253" s="11" t="b">
        <f aca="false">COUNTIF(BankQuarter!$B$5:$B$750,A253)&gt;0</f>
        <v>0</v>
      </c>
    </row>
    <row r="254" customFormat="false" ht="15" hidden="false" customHeight="false" outlineLevel="0" collapsed="false">
      <c r="A254" s="0" t="s">
        <v>8048</v>
      </c>
      <c r="B254" s="0" t="s">
        <v>8049</v>
      </c>
      <c r="C254" s="0" t="s">
        <v>61</v>
      </c>
      <c r="D254" s="0" t="s">
        <v>8050</v>
      </c>
      <c r="E254" s="0" t="s">
        <v>8051</v>
      </c>
      <c r="F254" s="0" t="s">
        <v>60</v>
      </c>
      <c r="G254" s="11" t="b">
        <f aca="false">COUNTIF(BankQuarter!$B$5:$B$750,A254)&gt;0</f>
        <v>0</v>
      </c>
    </row>
    <row r="255" customFormat="false" ht="15" hidden="false" customHeight="false" outlineLevel="0" collapsed="false">
      <c r="A255" s="0" t="s">
        <v>8052</v>
      </c>
      <c r="B255" s="0" t="s">
        <v>8053</v>
      </c>
      <c r="C255" s="0" t="s">
        <v>61</v>
      </c>
      <c r="D255" s="0" t="s">
        <v>8054</v>
      </c>
      <c r="E255" s="0" t="s">
        <v>8055</v>
      </c>
      <c r="F255" s="0" t="s">
        <v>158</v>
      </c>
      <c r="G255" s="11" t="b">
        <f aca="false">COUNTIF(BankQuarter!$B$5:$B$750,A255)&gt;0</f>
        <v>0</v>
      </c>
    </row>
    <row r="256" customFormat="false" ht="15" hidden="false" customHeight="false" outlineLevel="0" collapsed="false">
      <c r="A256" s="0" t="s">
        <v>8056</v>
      </c>
      <c r="B256" s="0" t="s">
        <v>8057</v>
      </c>
      <c r="C256" s="0" t="s">
        <v>61</v>
      </c>
      <c r="D256" s="0" t="s">
        <v>8058</v>
      </c>
      <c r="E256" s="0" t="s">
        <v>8059</v>
      </c>
      <c r="F256" s="0" t="s">
        <v>158</v>
      </c>
      <c r="G256" s="11" t="b">
        <f aca="false">COUNTIF(BankQuarter!$B$5:$B$750,A256)&gt;0</f>
        <v>0</v>
      </c>
    </row>
    <row r="257" customFormat="false" ht="15" hidden="false" customHeight="false" outlineLevel="0" collapsed="false">
      <c r="A257" s="0" t="s">
        <v>8060</v>
      </c>
      <c r="B257" s="0" t="s">
        <v>7386</v>
      </c>
      <c r="C257" s="0" t="s">
        <v>61</v>
      </c>
      <c r="D257" s="0" t="s">
        <v>7620</v>
      </c>
      <c r="E257" s="0" t="s">
        <v>8061</v>
      </c>
      <c r="F257" s="0" t="s">
        <v>158</v>
      </c>
      <c r="G257" s="11" t="b">
        <f aca="false">COUNTIF(BankQuarter!$B$5:$B$750,A257)&gt;0</f>
        <v>0</v>
      </c>
    </row>
    <row r="258" customFormat="false" ht="15" hidden="false" customHeight="false" outlineLevel="0" collapsed="false">
      <c r="A258" s="0" t="s">
        <v>8062</v>
      </c>
      <c r="B258" s="0" t="s">
        <v>8063</v>
      </c>
      <c r="C258" s="0" t="s">
        <v>61</v>
      </c>
      <c r="D258" s="0" t="s">
        <v>8064</v>
      </c>
      <c r="E258" s="0" t="s">
        <v>8065</v>
      </c>
      <c r="F258" s="0" t="s">
        <v>158</v>
      </c>
      <c r="G258" s="11" t="b">
        <f aca="false">COUNTIF(BankQuarter!$B$5:$B$750,A258)&gt;0</f>
        <v>0</v>
      </c>
    </row>
    <row r="259" customFormat="false" ht="15" hidden="false" customHeight="false" outlineLevel="0" collapsed="false">
      <c r="A259" s="0" t="s">
        <v>8066</v>
      </c>
      <c r="B259" s="0" t="s">
        <v>8067</v>
      </c>
      <c r="C259" s="0" t="s">
        <v>61</v>
      </c>
      <c r="D259" s="0" t="s">
        <v>8068</v>
      </c>
      <c r="E259" s="0" t="s">
        <v>8069</v>
      </c>
      <c r="F259" s="0" t="s">
        <v>158</v>
      </c>
      <c r="G259" s="11" t="b">
        <f aca="false">COUNTIF(BankQuarter!$B$5:$B$750,A259)&gt;0</f>
        <v>0</v>
      </c>
    </row>
    <row r="260" customFormat="false" ht="15" hidden="false" customHeight="false" outlineLevel="0" collapsed="false">
      <c r="A260" s="0" t="s">
        <v>8070</v>
      </c>
      <c r="B260" s="0" t="s">
        <v>8071</v>
      </c>
      <c r="C260" s="0" t="s">
        <v>61</v>
      </c>
      <c r="D260" s="0" t="s">
        <v>8072</v>
      </c>
      <c r="E260" s="0" t="s">
        <v>8073</v>
      </c>
      <c r="F260" s="0" t="s">
        <v>158</v>
      </c>
      <c r="G260" s="11" t="b">
        <f aca="false">COUNTIF(BankQuarter!$B$5:$B$750,A260)&gt;0</f>
        <v>0</v>
      </c>
    </row>
    <row r="261" customFormat="false" ht="15" hidden="false" customHeight="false" outlineLevel="0" collapsed="false">
      <c r="A261" s="0" t="s">
        <v>8074</v>
      </c>
      <c r="B261" s="0" t="s">
        <v>8075</v>
      </c>
      <c r="C261" s="0" t="s">
        <v>61</v>
      </c>
      <c r="D261" s="0" t="s">
        <v>7462</v>
      </c>
      <c r="E261" s="0" t="s">
        <v>8076</v>
      </c>
      <c r="F261" s="0" t="s">
        <v>158</v>
      </c>
      <c r="G261" s="11" t="b">
        <f aca="false">COUNTIF(BankQuarter!$B$5:$B$750,A261)&gt;0</f>
        <v>0</v>
      </c>
    </row>
    <row r="262" customFormat="false" ht="15" hidden="false" customHeight="false" outlineLevel="0" collapsed="false">
      <c r="A262" s="0" t="s">
        <v>8077</v>
      </c>
      <c r="B262" s="0" t="s">
        <v>8078</v>
      </c>
      <c r="C262" s="0" t="s">
        <v>256</v>
      </c>
      <c r="D262" s="0" t="s">
        <v>7391</v>
      </c>
      <c r="E262" s="0" t="s">
        <v>7409</v>
      </c>
      <c r="F262" s="0" t="s">
        <v>158</v>
      </c>
      <c r="G262" s="11" t="b">
        <f aca="false">COUNTIF(BankQuarter!$B$5:$B$750,A262)&gt;0</f>
        <v>1</v>
      </c>
    </row>
    <row r="263" customFormat="false" ht="15" hidden="false" customHeight="false" outlineLevel="0" collapsed="false">
      <c r="A263" s="0" t="s">
        <v>8079</v>
      </c>
      <c r="B263" s="0" t="s">
        <v>8080</v>
      </c>
      <c r="C263" s="0" t="s">
        <v>61</v>
      </c>
      <c r="D263" s="0" t="s">
        <v>7571</v>
      </c>
      <c r="E263" s="0" t="s">
        <v>7558</v>
      </c>
      <c r="F263" s="0" t="s">
        <v>60</v>
      </c>
      <c r="G263" s="11" t="b">
        <f aca="false">COUNTIF(BankQuarter!$B$5:$B$750,A263)&gt;0</f>
        <v>0</v>
      </c>
    </row>
    <row r="264" customFormat="false" ht="15" hidden="false" customHeight="false" outlineLevel="0" collapsed="false">
      <c r="A264" s="0" t="s">
        <v>8081</v>
      </c>
      <c r="B264" s="0" t="s">
        <v>8082</v>
      </c>
      <c r="C264" s="0" t="s">
        <v>61</v>
      </c>
      <c r="E264" s="0" t="s">
        <v>7690</v>
      </c>
      <c r="F264" s="0" t="s">
        <v>60</v>
      </c>
      <c r="G264" s="11" t="b">
        <f aca="false">COUNTIF(BankQuarter!$B$5:$B$750,A264)&gt;0</f>
        <v>0</v>
      </c>
    </row>
    <row r="265" customFormat="false" ht="15" hidden="false" customHeight="false" outlineLevel="0" collapsed="false">
      <c r="A265" s="0" t="s">
        <v>8083</v>
      </c>
      <c r="B265" s="0" t="s">
        <v>8084</v>
      </c>
      <c r="C265" s="0" t="s">
        <v>61</v>
      </c>
      <c r="D265" s="0" t="s">
        <v>8050</v>
      </c>
      <c r="E265" s="0" t="s">
        <v>8085</v>
      </c>
      <c r="F265" s="0" t="s">
        <v>60</v>
      </c>
      <c r="G265" s="11" t="b">
        <f aca="false">COUNTIF(BankQuarter!$B$5:$B$750,A265)&gt;0</f>
        <v>0</v>
      </c>
    </row>
    <row r="266" customFormat="false" ht="15" hidden="false" customHeight="false" outlineLevel="0" collapsed="false">
      <c r="A266" s="0" t="s">
        <v>8086</v>
      </c>
      <c r="B266" s="0" t="s">
        <v>8087</v>
      </c>
      <c r="C266" s="0" t="s">
        <v>61</v>
      </c>
      <c r="E266" s="0" t="s">
        <v>7582</v>
      </c>
      <c r="F266" s="0" t="s">
        <v>60</v>
      </c>
      <c r="G266" s="11" t="b">
        <f aca="false">COUNTIF(BankQuarter!$B$5:$B$750,A266)&gt;0</f>
        <v>0</v>
      </c>
    </row>
    <row r="267" customFormat="false" ht="15" hidden="false" customHeight="false" outlineLevel="0" collapsed="false">
      <c r="A267" s="0" t="s">
        <v>8088</v>
      </c>
      <c r="B267" s="0" t="s">
        <v>8089</v>
      </c>
      <c r="C267" s="0" t="s">
        <v>256</v>
      </c>
      <c r="D267" s="0" t="s">
        <v>7391</v>
      </c>
      <c r="E267" s="0" t="s">
        <v>7502</v>
      </c>
      <c r="F267" s="0" t="s">
        <v>60</v>
      </c>
      <c r="G267" s="11" t="b">
        <f aca="false">COUNTIF(BankQuarter!$B$5:$B$750,A267)&gt;0</f>
        <v>1</v>
      </c>
    </row>
    <row r="268" customFormat="false" ht="15" hidden="false" customHeight="false" outlineLevel="0" collapsed="false">
      <c r="A268" s="0" t="s">
        <v>8090</v>
      </c>
      <c r="B268" s="0" t="s">
        <v>8091</v>
      </c>
      <c r="C268" s="0" t="s">
        <v>256</v>
      </c>
      <c r="D268" s="0" t="s">
        <v>7391</v>
      </c>
      <c r="E268" s="0" t="s">
        <v>7409</v>
      </c>
      <c r="F268" s="0" t="s">
        <v>60</v>
      </c>
      <c r="G268" s="11" t="b">
        <f aca="false">COUNTIF(BankQuarter!$B$5:$B$750,A268)&gt;0</f>
        <v>1</v>
      </c>
    </row>
    <row r="269" customFormat="false" ht="15" hidden="false" customHeight="false" outlineLevel="0" collapsed="false">
      <c r="A269" s="0" t="s">
        <v>8092</v>
      </c>
      <c r="B269" s="0" t="s">
        <v>8093</v>
      </c>
      <c r="C269" s="0" t="s">
        <v>61</v>
      </c>
      <c r="D269" s="0" t="s">
        <v>7380</v>
      </c>
      <c r="E269" s="0" t="s">
        <v>7367</v>
      </c>
      <c r="F269" s="0" t="s">
        <v>60</v>
      </c>
      <c r="G269" s="11" t="b">
        <f aca="false">COUNTIF(BankQuarter!$B$5:$B$750,A269)&gt;0</f>
        <v>0</v>
      </c>
    </row>
    <row r="270" customFormat="false" ht="15" hidden="false" customHeight="false" outlineLevel="0" collapsed="false">
      <c r="A270" s="0" t="s">
        <v>8094</v>
      </c>
      <c r="B270" s="0" t="s">
        <v>8095</v>
      </c>
      <c r="C270" s="0" t="s">
        <v>61</v>
      </c>
      <c r="E270" s="0" t="s">
        <v>7367</v>
      </c>
      <c r="F270" s="0" t="s">
        <v>60</v>
      </c>
      <c r="G270" s="11" t="b">
        <f aca="false">COUNTIF(BankQuarter!$B$5:$B$750,A270)&gt;0</f>
        <v>0</v>
      </c>
    </row>
    <row r="271" customFormat="false" ht="15" hidden="false" customHeight="false" outlineLevel="0" collapsed="false">
      <c r="A271" s="0" t="s">
        <v>8096</v>
      </c>
      <c r="B271" s="0" t="s">
        <v>8097</v>
      </c>
      <c r="C271" s="0" t="s">
        <v>61</v>
      </c>
      <c r="D271" s="0" t="s">
        <v>7422</v>
      </c>
      <c r="E271" s="0" t="s">
        <v>7367</v>
      </c>
      <c r="F271" s="0" t="s">
        <v>60</v>
      </c>
      <c r="G271" s="11" t="b">
        <f aca="false">COUNTIF(BankQuarter!$B$5:$B$750,A271)&gt;0</f>
        <v>0</v>
      </c>
    </row>
    <row r="272" customFormat="false" ht="15" hidden="false" customHeight="false" outlineLevel="0" collapsed="false">
      <c r="A272" s="0" t="s">
        <v>8098</v>
      </c>
      <c r="B272" s="0" t="s">
        <v>8099</v>
      </c>
      <c r="C272" s="0" t="s">
        <v>61</v>
      </c>
      <c r="E272" s="0" t="s">
        <v>7367</v>
      </c>
      <c r="F272" s="0" t="s">
        <v>60</v>
      </c>
      <c r="G272" s="11" t="b">
        <f aca="false">COUNTIF(BankQuarter!$B$5:$B$750,A272)&gt;0</f>
        <v>0</v>
      </c>
    </row>
    <row r="273" customFormat="false" ht="15" hidden="false" customHeight="false" outlineLevel="0" collapsed="false">
      <c r="A273" s="0" t="s">
        <v>8100</v>
      </c>
      <c r="B273" s="0" t="s">
        <v>8101</v>
      </c>
      <c r="C273" s="0" t="s">
        <v>61</v>
      </c>
      <c r="E273" s="0" t="s">
        <v>7431</v>
      </c>
      <c r="F273" s="0" t="s">
        <v>60</v>
      </c>
      <c r="G273" s="11" t="b">
        <f aca="false">COUNTIF(BankQuarter!$B$5:$B$750,A273)&gt;0</f>
        <v>0</v>
      </c>
    </row>
    <row r="274" customFormat="false" ht="15" hidden="false" customHeight="false" outlineLevel="0" collapsed="false">
      <c r="A274" s="0" t="s">
        <v>8102</v>
      </c>
      <c r="B274" s="0" t="s">
        <v>8103</v>
      </c>
      <c r="C274" s="0" t="s">
        <v>61</v>
      </c>
      <c r="D274" s="0" t="s">
        <v>7466</v>
      </c>
      <c r="E274" s="0" t="s">
        <v>7467</v>
      </c>
      <c r="F274" s="0" t="s">
        <v>158</v>
      </c>
      <c r="G274" s="11" t="b">
        <f aca="false">COUNTIF(BankQuarter!$B$5:$B$750,A274)&gt;0</f>
        <v>0</v>
      </c>
    </row>
    <row r="275" customFormat="false" ht="15" hidden="false" customHeight="false" outlineLevel="0" collapsed="false">
      <c r="A275" s="0" t="s">
        <v>8104</v>
      </c>
      <c r="B275" s="0" t="s">
        <v>8105</v>
      </c>
      <c r="C275" s="0" t="s">
        <v>61</v>
      </c>
      <c r="E275" s="0" t="s">
        <v>7425</v>
      </c>
      <c r="F275" s="0" t="s">
        <v>60</v>
      </c>
      <c r="G275" s="11" t="b">
        <f aca="false">COUNTIF(BankQuarter!$B$5:$B$750,A275)&gt;0</f>
        <v>0</v>
      </c>
    </row>
    <row r="276" customFormat="false" ht="15" hidden="false" customHeight="false" outlineLevel="0" collapsed="false">
      <c r="A276" s="0" t="s">
        <v>8106</v>
      </c>
      <c r="B276" s="0" t="s">
        <v>8107</v>
      </c>
      <c r="C276" s="0" t="s">
        <v>61</v>
      </c>
      <c r="D276" s="0" t="s">
        <v>7901</v>
      </c>
      <c r="E276" s="0" t="s">
        <v>7367</v>
      </c>
      <c r="F276" s="0" t="s">
        <v>60</v>
      </c>
      <c r="G276" s="11" t="b">
        <f aca="false">COUNTIF(BankQuarter!$B$5:$B$750,A276)&gt;0</f>
        <v>0</v>
      </c>
    </row>
    <row r="277" customFormat="false" ht="15" hidden="false" customHeight="false" outlineLevel="0" collapsed="false">
      <c r="A277" s="0" t="s">
        <v>8108</v>
      </c>
      <c r="B277" s="0" t="s">
        <v>8109</v>
      </c>
      <c r="C277" s="0" t="s">
        <v>61</v>
      </c>
      <c r="E277" s="0" t="s">
        <v>7367</v>
      </c>
      <c r="F277" s="0" t="s">
        <v>60</v>
      </c>
      <c r="G277" s="11" t="b">
        <f aca="false">COUNTIF(BankQuarter!$B$5:$B$750,A277)&gt;0</f>
        <v>0</v>
      </c>
    </row>
    <row r="278" customFormat="false" ht="15" hidden="false" customHeight="false" outlineLevel="0" collapsed="false">
      <c r="A278" s="0" t="s">
        <v>8110</v>
      </c>
      <c r="B278" s="0" t="s">
        <v>8111</v>
      </c>
      <c r="C278" s="0" t="s">
        <v>61</v>
      </c>
      <c r="E278" s="0" t="s">
        <v>7431</v>
      </c>
      <c r="F278" s="0" t="s">
        <v>60</v>
      </c>
      <c r="G278" s="11" t="b">
        <f aca="false">COUNTIF(BankQuarter!$B$5:$B$750,A278)&gt;0</f>
        <v>0</v>
      </c>
    </row>
    <row r="279" customFormat="false" ht="15" hidden="false" customHeight="false" outlineLevel="0" collapsed="false">
      <c r="A279" s="0" t="s">
        <v>8112</v>
      </c>
      <c r="B279" s="0" t="s">
        <v>8113</v>
      </c>
      <c r="C279" s="0" t="s">
        <v>61</v>
      </c>
      <c r="E279" s="0" t="s">
        <v>8114</v>
      </c>
      <c r="F279" s="0" t="s">
        <v>60</v>
      </c>
      <c r="G279" s="11" t="b">
        <f aca="false">COUNTIF(BankQuarter!$B$5:$B$750,A279)&gt;0</f>
        <v>0</v>
      </c>
    </row>
    <row r="280" customFormat="false" ht="15" hidden="false" customHeight="false" outlineLevel="0" collapsed="false">
      <c r="A280" s="0" t="s">
        <v>8115</v>
      </c>
      <c r="B280" s="0" t="s">
        <v>8116</v>
      </c>
      <c r="C280" s="0" t="s">
        <v>61</v>
      </c>
      <c r="D280" s="0" t="s">
        <v>7574</v>
      </c>
      <c r="E280" s="0" t="s">
        <v>8117</v>
      </c>
      <c r="F280" s="0" t="s">
        <v>60</v>
      </c>
      <c r="G280" s="11" t="b">
        <f aca="false">COUNTIF(BankQuarter!$B$5:$B$750,A280)&gt;0</f>
        <v>0</v>
      </c>
    </row>
    <row r="281" customFormat="false" ht="15" hidden="false" customHeight="false" outlineLevel="0" collapsed="false">
      <c r="A281" s="0" t="s">
        <v>8118</v>
      </c>
      <c r="B281" s="0" t="s">
        <v>8119</v>
      </c>
      <c r="C281" s="0" t="s">
        <v>61</v>
      </c>
      <c r="D281" s="0" t="s">
        <v>7871</v>
      </c>
      <c r="E281" s="0" t="s">
        <v>7904</v>
      </c>
      <c r="F281" s="0" t="s">
        <v>60</v>
      </c>
      <c r="G281" s="11" t="b">
        <f aca="false">COUNTIF(BankQuarter!$B$5:$B$750,A281)&gt;0</f>
        <v>0</v>
      </c>
    </row>
    <row r="282" customFormat="false" ht="15" hidden="false" customHeight="false" outlineLevel="0" collapsed="false">
      <c r="A282" s="0" t="s">
        <v>8120</v>
      </c>
      <c r="B282" s="0" t="s">
        <v>8121</v>
      </c>
      <c r="C282" s="0" t="s">
        <v>61</v>
      </c>
      <c r="E282" s="0" t="s">
        <v>7367</v>
      </c>
      <c r="F282" s="0" t="s">
        <v>60</v>
      </c>
      <c r="G282" s="11" t="b">
        <f aca="false">COUNTIF(BankQuarter!$B$5:$B$750,A282)&gt;0</f>
        <v>0</v>
      </c>
    </row>
    <row r="283" customFormat="false" ht="15" hidden="false" customHeight="false" outlineLevel="0" collapsed="false">
      <c r="A283" s="0" t="s">
        <v>8122</v>
      </c>
      <c r="B283" s="0" t="s">
        <v>8123</v>
      </c>
      <c r="C283" s="0" t="s">
        <v>61</v>
      </c>
      <c r="D283" s="0" t="s">
        <v>8124</v>
      </c>
      <c r="E283" s="0" t="s">
        <v>8125</v>
      </c>
      <c r="F283" s="0" t="s">
        <v>60</v>
      </c>
      <c r="G283" s="11" t="b">
        <f aca="false">COUNTIF(BankQuarter!$B$5:$B$750,A283)&gt;0</f>
        <v>0</v>
      </c>
    </row>
    <row r="284" customFormat="false" ht="15" hidden="false" customHeight="false" outlineLevel="0" collapsed="false">
      <c r="A284" s="0" t="s">
        <v>8126</v>
      </c>
      <c r="B284" s="0" t="s">
        <v>8127</v>
      </c>
      <c r="C284" s="0" t="s">
        <v>61</v>
      </c>
      <c r="D284" s="0" t="s">
        <v>8128</v>
      </c>
      <c r="E284" s="0" t="s">
        <v>7409</v>
      </c>
      <c r="F284" s="0" t="s">
        <v>158</v>
      </c>
      <c r="G284" s="11" t="b">
        <f aca="false">COUNTIF(BankQuarter!$B$5:$B$750,A284)&gt;0</f>
        <v>0</v>
      </c>
    </row>
    <row r="285" customFormat="false" ht="15" hidden="false" customHeight="false" outlineLevel="0" collapsed="false">
      <c r="A285" s="0" t="s">
        <v>8129</v>
      </c>
      <c r="B285" s="0" t="s">
        <v>8130</v>
      </c>
      <c r="C285" s="0" t="s">
        <v>61</v>
      </c>
      <c r="D285" s="0" t="s">
        <v>8131</v>
      </c>
      <c r="E285" s="0" t="s">
        <v>8132</v>
      </c>
      <c r="F285" s="0" t="s">
        <v>158</v>
      </c>
      <c r="G285" s="11" t="b">
        <f aca="false">COUNTIF(BankQuarter!$B$5:$B$750,A285)&gt;0</f>
        <v>0</v>
      </c>
    </row>
    <row r="286" customFormat="false" ht="15" hidden="false" customHeight="false" outlineLevel="0" collapsed="false">
      <c r="A286" s="0" t="s">
        <v>8133</v>
      </c>
      <c r="B286" s="0" t="s">
        <v>8134</v>
      </c>
      <c r="C286" s="0" t="s">
        <v>61</v>
      </c>
      <c r="D286" s="0" t="s">
        <v>8135</v>
      </c>
      <c r="E286" s="0" t="s">
        <v>8136</v>
      </c>
      <c r="F286" s="0" t="s">
        <v>158</v>
      </c>
      <c r="G286" s="11" t="b">
        <f aca="false">COUNTIF(BankQuarter!$B$5:$B$750,A286)&gt;0</f>
        <v>0</v>
      </c>
    </row>
    <row r="287" customFormat="false" ht="15" hidden="false" customHeight="false" outlineLevel="0" collapsed="false">
      <c r="A287" s="0" t="s">
        <v>8137</v>
      </c>
      <c r="B287" s="0" t="s">
        <v>8138</v>
      </c>
      <c r="C287" s="0" t="s">
        <v>61</v>
      </c>
      <c r="D287" s="0" t="s">
        <v>8139</v>
      </c>
      <c r="E287" s="0" t="s">
        <v>8140</v>
      </c>
      <c r="F287" s="0" t="s">
        <v>158</v>
      </c>
      <c r="G287" s="11" t="b">
        <f aca="false">COUNTIF(BankQuarter!$B$5:$B$750,A287)&gt;0</f>
        <v>0</v>
      </c>
    </row>
    <row r="288" customFormat="false" ht="15" hidden="false" customHeight="false" outlineLevel="0" collapsed="false">
      <c r="A288" s="0" t="s">
        <v>8141</v>
      </c>
      <c r="B288" s="0" t="s">
        <v>8142</v>
      </c>
      <c r="C288" s="0" t="s">
        <v>61</v>
      </c>
      <c r="E288" s="0" t="s">
        <v>8143</v>
      </c>
      <c r="F288" s="0" t="s">
        <v>60</v>
      </c>
      <c r="G288" s="11" t="b">
        <f aca="false">COUNTIF(BankQuarter!$B$5:$B$750,A288)&gt;0</f>
        <v>0</v>
      </c>
    </row>
    <row r="289" customFormat="false" ht="15" hidden="false" customHeight="false" outlineLevel="0" collapsed="false">
      <c r="A289" s="0" t="s">
        <v>8144</v>
      </c>
      <c r="B289" s="0" t="s">
        <v>8145</v>
      </c>
      <c r="C289" s="0" t="s">
        <v>61</v>
      </c>
      <c r="E289" s="0" t="s">
        <v>8143</v>
      </c>
      <c r="F289" s="0" t="s">
        <v>60</v>
      </c>
      <c r="G289" s="11" t="b">
        <f aca="false">COUNTIF(BankQuarter!$B$5:$B$750,A289)&gt;0</f>
        <v>0</v>
      </c>
    </row>
    <row r="290" customFormat="false" ht="15" hidden="false" customHeight="false" outlineLevel="0" collapsed="false">
      <c r="A290" s="0" t="s">
        <v>8146</v>
      </c>
      <c r="B290" s="0" t="s">
        <v>7637</v>
      </c>
      <c r="C290" s="0" t="s">
        <v>256</v>
      </c>
      <c r="D290" s="0" t="s">
        <v>7391</v>
      </c>
      <c r="E290" s="0" t="s">
        <v>7409</v>
      </c>
      <c r="F290" s="0" t="s">
        <v>158</v>
      </c>
      <c r="G290" s="11" t="b">
        <f aca="false">COUNTIF(BankQuarter!$B$5:$B$750,A290)&gt;0</f>
        <v>1</v>
      </c>
    </row>
    <row r="291" customFormat="false" ht="15" hidden="false" customHeight="false" outlineLevel="0" collapsed="false">
      <c r="A291" s="0" t="s">
        <v>8147</v>
      </c>
      <c r="B291" s="0" t="s">
        <v>8148</v>
      </c>
      <c r="C291" s="0" t="s">
        <v>256</v>
      </c>
      <c r="D291" s="0" t="s">
        <v>7391</v>
      </c>
      <c r="E291" s="0" t="s">
        <v>7409</v>
      </c>
      <c r="F291" s="0" t="s">
        <v>158</v>
      </c>
      <c r="G291" s="11" t="b">
        <f aca="false">COUNTIF(BankQuarter!$B$5:$B$750,A291)&gt;0</f>
        <v>1</v>
      </c>
    </row>
    <row r="292" customFormat="false" ht="15" hidden="false" customHeight="false" outlineLevel="0" collapsed="false">
      <c r="A292" s="0" t="s">
        <v>8149</v>
      </c>
      <c r="B292" s="0" t="s">
        <v>8150</v>
      </c>
      <c r="C292" s="0" t="s">
        <v>256</v>
      </c>
      <c r="D292" s="0" t="s">
        <v>7391</v>
      </c>
      <c r="E292" s="0" t="s">
        <v>7409</v>
      </c>
      <c r="F292" s="0" t="s">
        <v>158</v>
      </c>
      <c r="G292" s="11" t="b">
        <f aca="false">COUNTIF(BankQuarter!$B$5:$B$750,A292)&gt;0</f>
        <v>1</v>
      </c>
    </row>
    <row r="293" customFormat="false" ht="15" hidden="false" customHeight="false" outlineLevel="0" collapsed="false">
      <c r="A293" s="0" t="s">
        <v>8151</v>
      </c>
      <c r="B293" s="0" t="s">
        <v>8152</v>
      </c>
      <c r="C293" s="0" t="s">
        <v>256</v>
      </c>
      <c r="D293" s="0" t="s">
        <v>7391</v>
      </c>
      <c r="E293" s="0" t="s">
        <v>8153</v>
      </c>
      <c r="F293" s="0" t="s">
        <v>98</v>
      </c>
      <c r="G293" s="11" t="b">
        <f aca="false">COUNTIF(BankQuarter!$B$5:$B$750,A293)&gt;0</f>
        <v>1</v>
      </c>
    </row>
    <row r="294" customFormat="false" ht="15" hidden="false" customHeight="false" outlineLevel="0" collapsed="false">
      <c r="A294" s="0" t="s">
        <v>8154</v>
      </c>
      <c r="B294" s="0" t="s">
        <v>8155</v>
      </c>
      <c r="C294" s="0" t="s">
        <v>61</v>
      </c>
      <c r="D294" s="0" t="s">
        <v>7383</v>
      </c>
      <c r="E294" s="0" t="s">
        <v>7549</v>
      </c>
      <c r="F294" s="0" t="s">
        <v>158</v>
      </c>
      <c r="G294" s="11" t="b">
        <f aca="false">COUNTIF(BankQuarter!$B$5:$B$750,A294)&gt;0</f>
        <v>0</v>
      </c>
    </row>
    <row r="295" customFormat="false" ht="15" hidden="false" customHeight="false" outlineLevel="0" collapsed="false">
      <c r="A295" s="0" t="s">
        <v>8156</v>
      </c>
      <c r="B295" s="0" t="s">
        <v>8157</v>
      </c>
      <c r="C295" s="0" t="s">
        <v>61</v>
      </c>
      <c r="D295" s="0" t="s">
        <v>8158</v>
      </c>
      <c r="E295" s="0" t="s">
        <v>8159</v>
      </c>
      <c r="F295" s="0" t="s">
        <v>98</v>
      </c>
      <c r="G295" s="11" t="b">
        <f aca="false">COUNTIF(BankQuarter!$B$5:$B$750,A295)&gt;0</f>
        <v>0</v>
      </c>
    </row>
    <row r="296" customFormat="false" ht="15" hidden="false" customHeight="false" outlineLevel="0" collapsed="false">
      <c r="A296" s="0" t="s">
        <v>8160</v>
      </c>
      <c r="B296" s="0" t="s">
        <v>8161</v>
      </c>
      <c r="C296" s="0" t="s">
        <v>61</v>
      </c>
      <c r="E296" s="0" t="s">
        <v>7367</v>
      </c>
      <c r="F296" s="0" t="s">
        <v>158</v>
      </c>
      <c r="G296" s="11" t="b">
        <f aca="false">COUNTIF(BankQuarter!$B$5:$B$750,A296)&gt;0</f>
        <v>0</v>
      </c>
    </row>
    <row r="297" customFormat="false" ht="15" hidden="false" customHeight="false" outlineLevel="0" collapsed="false">
      <c r="A297" s="0" t="s">
        <v>8162</v>
      </c>
      <c r="B297" s="0" t="s">
        <v>8163</v>
      </c>
      <c r="C297" s="0" t="s">
        <v>61</v>
      </c>
      <c r="D297" s="0" t="s">
        <v>7419</v>
      </c>
      <c r="E297" s="0" t="s">
        <v>8164</v>
      </c>
      <c r="F297" s="0" t="s">
        <v>158</v>
      </c>
      <c r="G297" s="11" t="b">
        <f aca="false">COUNTIF(BankQuarter!$B$5:$B$750,A297)&gt;0</f>
        <v>0</v>
      </c>
    </row>
    <row r="298" customFormat="false" ht="15" hidden="false" customHeight="false" outlineLevel="0" collapsed="false">
      <c r="A298" s="0" t="s">
        <v>8165</v>
      </c>
      <c r="B298" s="0" t="s">
        <v>7623</v>
      </c>
      <c r="C298" s="0" t="s">
        <v>61</v>
      </c>
      <c r="D298" s="0" t="s">
        <v>8166</v>
      </c>
      <c r="E298" s="0" t="s">
        <v>8167</v>
      </c>
      <c r="F298" s="0" t="s">
        <v>158</v>
      </c>
      <c r="G298" s="11" t="b">
        <f aca="false">COUNTIF(BankQuarter!$B$5:$B$750,A298)&gt;0</f>
        <v>0</v>
      </c>
    </row>
    <row r="299" customFormat="false" ht="15" hidden="false" customHeight="false" outlineLevel="0" collapsed="false">
      <c r="A299" s="0" t="s">
        <v>8168</v>
      </c>
      <c r="B299" s="0" t="s">
        <v>8169</v>
      </c>
      <c r="C299" s="0" t="s">
        <v>61</v>
      </c>
      <c r="D299" s="0" t="s">
        <v>8170</v>
      </c>
      <c r="E299" s="0" t="s">
        <v>8114</v>
      </c>
      <c r="F299" s="0" t="s">
        <v>158</v>
      </c>
      <c r="G299" s="11" t="b">
        <f aca="false">COUNTIF(BankQuarter!$B$5:$B$750,A299)&gt;0</f>
        <v>0</v>
      </c>
    </row>
    <row r="300" customFormat="false" ht="15" hidden="false" customHeight="false" outlineLevel="0" collapsed="false">
      <c r="A300" s="0" t="s">
        <v>3686</v>
      </c>
      <c r="B300" s="0" t="s">
        <v>8171</v>
      </c>
      <c r="C300" s="0" t="s">
        <v>61</v>
      </c>
      <c r="D300" s="0" t="s">
        <v>7405</v>
      </c>
      <c r="E300" s="0" t="s">
        <v>8172</v>
      </c>
      <c r="F300" s="0" t="s">
        <v>158</v>
      </c>
      <c r="G300" s="11" t="b">
        <f aca="false">COUNTIF(BankQuarter!$B$5:$B$750,A300)&gt;0</f>
        <v>0</v>
      </c>
    </row>
    <row r="301" customFormat="false" ht="15" hidden="false" customHeight="false" outlineLevel="0" collapsed="false">
      <c r="A301" s="0" t="s">
        <v>8173</v>
      </c>
      <c r="B301" s="0" t="s">
        <v>8174</v>
      </c>
      <c r="C301" s="0" t="s">
        <v>61</v>
      </c>
      <c r="D301" s="0" t="s">
        <v>7824</v>
      </c>
      <c r="E301" s="0" t="s">
        <v>8175</v>
      </c>
      <c r="F301" s="0" t="s">
        <v>158</v>
      </c>
      <c r="G301" s="11" t="b">
        <f aca="false">COUNTIF(BankQuarter!$B$5:$B$750,A301)&gt;0</f>
        <v>0</v>
      </c>
    </row>
    <row r="302" customFormat="false" ht="15" hidden="false" customHeight="false" outlineLevel="0" collapsed="false">
      <c r="A302" s="0" t="s">
        <v>8176</v>
      </c>
      <c r="B302" s="0" t="s">
        <v>8177</v>
      </c>
      <c r="C302" s="0" t="s">
        <v>61</v>
      </c>
      <c r="D302" s="0" t="s">
        <v>7383</v>
      </c>
      <c r="E302" s="0" t="s">
        <v>7610</v>
      </c>
      <c r="F302" s="0" t="s">
        <v>158</v>
      </c>
      <c r="G302" s="11" t="b">
        <f aca="false">COUNTIF(BankQuarter!$B$5:$B$750,A302)&gt;0</f>
        <v>0</v>
      </c>
    </row>
    <row r="303" customFormat="false" ht="15" hidden="false" customHeight="false" outlineLevel="0" collapsed="false">
      <c r="A303" s="0" t="s">
        <v>8178</v>
      </c>
      <c r="B303" s="0" t="s">
        <v>8179</v>
      </c>
      <c r="C303" s="0" t="s">
        <v>61</v>
      </c>
      <c r="D303" s="0" t="s">
        <v>8180</v>
      </c>
      <c r="E303" s="0" t="s">
        <v>8181</v>
      </c>
      <c r="F303" s="0" t="s">
        <v>158</v>
      </c>
      <c r="G303" s="11" t="b">
        <f aca="false">COUNTIF(BankQuarter!$B$5:$B$750,A303)&gt;0</f>
        <v>0</v>
      </c>
    </row>
    <row r="304" customFormat="false" ht="15" hidden="false" customHeight="false" outlineLevel="0" collapsed="false">
      <c r="A304" s="0" t="s">
        <v>8182</v>
      </c>
      <c r="B304" s="0" t="s">
        <v>8183</v>
      </c>
      <c r="C304" s="0" t="s">
        <v>61</v>
      </c>
      <c r="E304" s="0" t="s">
        <v>7367</v>
      </c>
      <c r="F304" s="0" t="s">
        <v>158</v>
      </c>
      <c r="G304" s="11" t="b">
        <f aca="false">COUNTIF(BankQuarter!$B$5:$B$750,A304)&gt;0</f>
        <v>0</v>
      </c>
    </row>
    <row r="305" customFormat="false" ht="15" hidden="false" customHeight="false" outlineLevel="0" collapsed="false">
      <c r="A305" s="0" t="s">
        <v>8184</v>
      </c>
      <c r="B305" s="0" t="s">
        <v>8185</v>
      </c>
      <c r="C305" s="0" t="s">
        <v>61</v>
      </c>
      <c r="D305" s="0" t="s">
        <v>7462</v>
      </c>
      <c r="E305" s="0" t="s">
        <v>7463</v>
      </c>
      <c r="F305" s="0" t="s">
        <v>158</v>
      </c>
      <c r="G305" s="11" t="b">
        <f aca="false">COUNTIF(BankQuarter!$B$5:$B$750,A305)&gt;0</f>
        <v>0</v>
      </c>
    </row>
    <row r="306" customFormat="false" ht="15" hidden="false" customHeight="false" outlineLevel="0" collapsed="false">
      <c r="A306" s="0" t="s">
        <v>8186</v>
      </c>
      <c r="B306" s="0" t="s">
        <v>8187</v>
      </c>
      <c r="C306" s="0" t="s">
        <v>61</v>
      </c>
      <c r="E306" s="0" t="s">
        <v>8188</v>
      </c>
      <c r="F306" s="0" t="s">
        <v>158</v>
      </c>
      <c r="G306" s="11" t="b">
        <f aca="false">COUNTIF(BankQuarter!$B$5:$B$750,A306)&gt;0</f>
        <v>0</v>
      </c>
    </row>
    <row r="307" customFormat="false" ht="15" hidden="false" customHeight="false" outlineLevel="0" collapsed="false">
      <c r="A307" s="0" t="s">
        <v>8189</v>
      </c>
      <c r="B307" s="0" t="s">
        <v>8190</v>
      </c>
      <c r="C307" s="0" t="s">
        <v>61</v>
      </c>
      <c r="D307" s="0" t="s">
        <v>7689</v>
      </c>
      <c r="E307" s="0" t="s">
        <v>7367</v>
      </c>
      <c r="F307" s="0" t="s">
        <v>158</v>
      </c>
      <c r="G307" s="11" t="b">
        <f aca="false">COUNTIF(BankQuarter!$B$5:$B$750,A307)&gt;0</f>
        <v>0</v>
      </c>
    </row>
    <row r="308" customFormat="false" ht="15" hidden="false" customHeight="false" outlineLevel="0" collapsed="false">
      <c r="A308" s="0" t="s">
        <v>8191</v>
      </c>
      <c r="B308" s="0" t="s">
        <v>8192</v>
      </c>
      <c r="C308" s="0" t="s">
        <v>61</v>
      </c>
      <c r="D308" s="0" t="s">
        <v>7571</v>
      </c>
      <c r="E308" s="0" t="s">
        <v>8193</v>
      </c>
      <c r="F308" s="0" t="s">
        <v>158</v>
      </c>
      <c r="G308" s="11" t="b">
        <f aca="false">COUNTIF(BankQuarter!$B$5:$B$750,A308)&gt;0</f>
        <v>0</v>
      </c>
    </row>
    <row r="309" customFormat="false" ht="15" hidden="false" customHeight="false" outlineLevel="0" collapsed="false">
      <c r="A309" s="0" t="s">
        <v>8194</v>
      </c>
      <c r="B309" s="0" t="s">
        <v>8195</v>
      </c>
      <c r="C309" s="0" t="s">
        <v>61</v>
      </c>
      <c r="D309" s="0" t="s">
        <v>7635</v>
      </c>
      <c r="E309" s="0" t="s">
        <v>7367</v>
      </c>
      <c r="F309" s="0" t="s">
        <v>158</v>
      </c>
      <c r="G309" s="11" t="b">
        <f aca="false">COUNTIF(BankQuarter!$B$5:$B$750,A309)&gt;0</f>
        <v>0</v>
      </c>
    </row>
    <row r="310" customFormat="false" ht="15" hidden="false" customHeight="false" outlineLevel="0" collapsed="false">
      <c r="A310" s="0" t="s">
        <v>8196</v>
      </c>
      <c r="B310" s="0" t="s">
        <v>8197</v>
      </c>
      <c r="C310" s="0" t="s">
        <v>61</v>
      </c>
      <c r="D310" s="0" t="s">
        <v>7689</v>
      </c>
      <c r="E310" s="0" t="s">
        <v>7367</v>
      </c>
      <c r="F310" s="0" t="s">
        <v>158</v>
      </c>
      <c r="G310" s="11" t="b">
        <f aca="false">COUNTIF(BankQuarter!$B$5:$B$750,A310)&gt;0</f>
        <v>0</v>
      </c>
    </row>
    <row r="311" customFormat="false" ht="15" hidden="false" customHeight="false" outlineLevel="0" collapsed="false">
      <c r="A311" s="0" t="s">
        <v>8198</v>
      </c>
      <c r="B311" s="0" t="s">
        <v>8199</v>
      </c>
      <c r="C311" s="0" t="s">
        <v>61</v>
      </c>
      <c r="D311" s="0" t="s">
        <v>7535</v>
      </c>
      <c r="E311" s="0" t="s">
        <v>7367</v>
      </c>
      <c r="F311" s="0" t="s">
        <v>158</v>
      </c>
      <c r="G311" s="11" t="b">
        <f aca="false">COUNTIF(BankQuarter!$B$5:$B$750,A311)&gt;0</f>
        <v>0</v>
      </c>
    </row>
    <row r="312" customFormat="false" ht="15" hidden="false" customHeight="false" outlineLevel="0" collapsed="false">
      <c r="A312" s="0" t="s">
        <v>8200</v>
      </c>
      <c r="B312" s="0" t="s">
        <v>8201</v>
      </c>
      <c r="C312" s="0" t="s">
        <v>61</v>
      </c>
      <c r="E312" s="0" t="s">
        <v>8164</v>
      </c>
      <c r="F312" s="0" t="s">
        <v>158</v>
      </c>
      <c r="G312" s="11" t="b">
        <f aca="false">COUNTIF(BankQuarter!$B$5:$B$750,A312)&gt;0</f>
        <v>0</v>
      </c>
    </row>
    <row r="313" customFormat="false" ht="15" hidden="false" customHeight="false" outlineLevel="0" collapsed="false">
      <c r="A313" s="0" t="s">
        <v>8202</v>
      </c>
      <c r="B313" s="0" t="s">
        <v>8203</v>
      </c>
      <c r="C313" s="0" t="s">
        <v>61</v>
      </c>
      <c r="D313" s="0" t="s">
        <v>8124</v>
      </c>
      <c r="E313" s="0" t="s">
        <v>8204</v>
      </c>
      <c r="F313" s="0" t="s">
        <v>158</v>
      </c>
      <c r="G313" s="11" t="b">
        <f aca="false">COUNTIF(BankQuarter!$B$5:$B$750,A313)&gt;0</f>
        <v>0</v>
      </c>
    </row>
    <row r="314" customFormat="false" ht="15" hidden="false" customHeight="false" outlineLevel="0" collapsed="false">
      <c r="A314" s="0" t="s">
        <v>8205</v>
      </c>
      <c r="B314" s="0" t="s">
        <v>8206</v>
      </c>
      <c r="C314" s="0" t="s">
        <v>61</v>
      </c>
      <c r="D314" s="0" t="s">
        <v>7574</v>
      </c>
      <c r="E314" s="0" t="s">
        <v>7597</v>
      </c>
      <c r="F314" s="0" t="s">
        <v>158</v>
      </c>
      <c r="G314" s="11" t="b">
        <f aca="false">COUNTIF(BankQuarter!$B$5:$B$750,A314)&gt;0</f>
        <v>0</v>
      </c>
    </row>
    <row r="315" customFormat="false" ht="15" hidden="false" customHeight="false" outlineLevel="0" collapsed="false">
      <c r="A315" s="0" t="s">
        <v>8207</v>
      </c>
      <c r="B315" s="0" t="s">
        <v>8208</v>
      </c>
      <c r="C315" s="0" t="s">
        <v>61</v>
      </c>
      <c r="E315" s="0" t="s">
        <v>7543</v>
      </c>
      <c r="F315" s="0" t="s">
        <v>158</v>
      </c>
      <c r="G315" s="11" t="b">
        <f aca="false">COUNTIF(BankQuarter!$B$5:$B$750,A315)&gt;0</f>
        <v>0</v>
      </c>
    </row>
    <row r="316" customFormat="false" ht="15" hidden="false" customHeight="false" outlineLevel="0" collapsed="false">
      <c r="A316" s="0" t="s">
        <v>8209</v>
      </c>
      <c r="B316" s="0" t="s">
        <v>8210</v>
      </c>
      <c r="C316" s="0" t="s">
        <v>61</v>
      </c>
      <c r="D316" s="0" t="s">
        <v>8211</v>
      </c>
      <c r="E316" s="0" t="s">
        <v>7412</v>
      </c>
      <c r="F316" s="0" t="s">
        <v>158</v>
      </c>
      <c r="G316" s="11" t="b">
        <f aca="false">COUNTIF(BankQuarter!$B$5:$B$750,A316)&gt;0</f>
        <v>0</v>
      </c>
    </row>
    <row r="317" customFormat="false" ht="15" hidden="false" customHeight="false" outlineLevel="0" collapsed="false">
      <c r="A317" s="0" t="s">
        <v>3547</v>
      </c>
      <c r="B317" s="0" t="s">
        <v>8185</v>
      </c>
      <c r="C317" s="0" t="s">
        <v>61</v>
      </c>
      <c r="D317" s="0" t="s">
        <v>7383</v>
      </c>
      <c r="E317" s="0" t="s">
        <v>7690</v>
      </c>
      <c r="F317" s="0" t="s">
        <v>158</v>
      </c>
      <c r="G317" s="11" t="b">
        <f aca="false">COUNTIF(BankQuarter!$B$5:$B$750,A317)&gt;0</f>
        <v>0</v>
      </c>
    </row>
    <row r="318" customFormat="false" ht="15" hidden="false" customHeight="false" outlineLevel="0" collapsed="false">
      <c r="A318" s="0" t="s">
        <v>8212</v>
      </c>
      <c r="B318" s="0" t="s">
        <v>8213</v>
      </c>
      <c r="C318" s="0" t="s">
        <v>61</v>
      </c>
      <c r="D318" s="0" t="s">
        <v>7851</v>
      </c>
      <c r="E318" s="0" t="s">
        <v>7384</v>
      </c>
      <c r="F318" s="0" t="s">
        <v>158</v>
      </c>
      <c r="G318" s="11" t="b">
        <f aca="false">COUNTIF(BankQuarter!$B$5:$B$750,A318)&gt;0</f>
        <v>0</v>
      </c>
    </row>
    <row r="319" customFormat="false" ht="15" hidden="false" customHeight="false" outlineLevel="0" collapsed="false">
      <c r="A319" s="0" t="s">
        <v>8214</v>
      </c>
      <c r="B319" s="0" t="s">
        <v>8215</v>
      </c>
      <c r="C319" s="0" t="s">
        <v>61</v>
      </c>
      <c r="D319" s="0" t="s">
        <v>8216</v>
      </c>
      <c r="E319" s="0" t="s">
        <v>7582</v>
      </c>
      <c r="F319" s="0" t="s">
        <v>158</v>
      </c>
      <c r="G319" s="11" t="b">
        <f aca="false">COUNTIF(BankQuarter!$B$5:$B$750,A319)&gt;0</f>
        <v>0</v>
      </c>
    </row>
    <row r="320" customFormat="false" ht="15" hidden="false" customHeight="false" outlineLevel="0" collapsed="false">
      <c r="A320" s="0" t="s">
        <v>8217</v>
      </c>
      <c r="B320" s="0" t="s">
        <v>8218</v>
      </c>
      <c r="C320" s="0" t="s">
        <v>61</v>
      </c>
      <c r="E320" s="0" t="s">
        <v>7431</v>
      </c>
      <c r="F320" s="0" t="s">
        <v>158</v>
      </c>
      <c r="G320" s="11" t="b">
        <f aca="false">COUNTIF(BankQuarter!$B$5:$B$750,A320)&gt;0</f>
        <v>0</v>
      </c>
    </row>
    <row r="321" customFormat="false" ht="15" hidden="false" customHeight="false" outlineLevel="0" collapsed="false">
      <c r="A321" s="0" t="s">
        <v>8219</v>
      </c>
      <c r="B321" s="0" t="s">
        <v>8220</v>
      </c>
      <c r="C321" s="0" t="s">
        <v>61</v>
      </c>
      <c r="D321" s="0" t="s">
        <v>7791</v>
      </c>
      <c r="E321" s="0" t="s">
        <v>7412</v>
      </c>
      <c r="F321" s="0" t="s">
        <v>158</v>
      </c>
      <c r="G321" s="11" t="b">
        <f aca="false">COUNTIF(BankQuarter!$B$5:$B$750,A321)&gt;0</f>
        <v>0</v>
      </c>
    </row>
    <row r="322" customFormat="false" ht="15" hidden="false" customHeight="false" outlineLevel="0" collapsed="false">
      <c r="A322" s="0" t="s">
        <v>8221</v>
      </c>
      <c r="B322" s="0" t="s">
        <v>8222</v>
      </c>
      <c r="C322" s="0" t="s">
        <v>61</v>
      </c>
      <c r="E322" s="0" t="s">
        <v>8223</v>
      </c>
      <c r="F322" s="0" t="s">
        <v>158</v>
      </c>
      <c r="G322" s="11" t="b">
        <f aca="false">COUNTIF(BankQuarter!$B$5:$B$750,A322)&gt;0</f>
        <v>0</v>
      </c>
    </row>
    <row r="323" customFormat="false" ht="15" hidden="false" customHeight="false" outlineLevel="0" collapsed="false">
      <c r="A323" s="0" t="s">
        <v>8224</v>
      </c>
      <c r="B323" s="0" t="s">
        <v>8225</v>
      </c>
      <c r="C323" s="0" t="s">
        <v>61</v>
      </c>
      <c r="D323" s="0" t="s">
        <v>7635</v>
      </c>
      <c r="E323" s="0" t="s">
        <v>7367</v>
      </c>
      <c r="F323" s="0" t="s">
        <v>158</v>
      </c>
      <c r="G323" s="11" t="b">
        <f aca="false">COUNTIF(BankQuarter!$B$5:$B$750,A323)&gt;0</f>
        <v>0</v>
      </c>
    </row>
    <row r="324" customFormat="false" ht="15" hidden="false" customHeight="false" outlineLevel="0" collapsed="false">
      <c r="A324" s="0" t="s">
        <v>8226</v>
      </c>
      <c r="B324" s="0" t="s">
        <v>8227</v>
      </c>
      <c r="C324" s="0" t="s">
        <v>61</v>
      </c>
      <c r="E324" s="0" t="s">
        <v>7412</v>
      </c>
      <c r="F324" s="0" t="s">
        <v>158</v>
      </c>
      <c r="G324" s="11" t="b">
        <f aca="false">COUNTIF(BankQuarter!$B$5:$B$750,A324)&gt;0</f>
        <v>0</v>
      </c>
    </row>
    <row r="325" customFormat="false" ht="15" hidden="false" customHeight="false" outlineLevel="0" collapsed="false">
      <c r="A325" s="0" t="s">
        <v>8228</v>
      </c>
      <c r="B325" s="0" t="s">
        <v>8229</v>
      </c>
      <c r="C325" s="0" t="s">
        <v>61</v>
      </c>
      <c r="D325" s="0" t="s">
        <v>7809</v>
      </c>
      <c r="E325" s="0" t="s">
        <v>7810</v>
      </c>
      <c r="F325" s="0" t="s">
        <v>158</v>
      </c>
      <c r="G325" s="11" t="b">
        <f aca="false">COUNTIF(BankQuarter!$B$5:$B$750,A325)&gt;0</f>
        <v>0</v>
      </c>
    </row>
    <row r="326" customFormat="false" ht="15" hidden="false" customHeight="false" outlineLevel="0" collapsed="false">
      <c r="A326" s="0" t="s">
        <v>5703</v>
      </c>
      <c r="B326" s="0" t="s">
        <v>8230</v>
      </c>
      <c r="C326" s="0" t="s">
        <v>61</v>
      </c>
      <c r="D326" s="0" t="s">
        <v>7907</v>
      </c>
      <c r="E326" s="0" t="s">
        <v>8231</v>
      </c>
      <c r="F326" s="0" t="s">
        <v>158</v>
      </c>
      <c r="G326" s="11" t="b">
        <f aca="false">COUNTIF(BankQuarter!$B$5:$B$750,A326)&gt;0</f>
        <v>0</v>
      </c>
    </row>
    <row r="327" customFormat="false" ht="15" hidden="false" customHeight="false" outlineLevel="0" collapsed="false">
      <c r="A327" s="0" t="s">
        <v>8232</v>
      </c>
      <c r="B327" s="0" t="s">
        <v>8233</v>
      </c>
      <c r="C327" s="0" t="s">
        <v>61</v>
      </c>
      <c r="E327" s="0" t="s">
        <v>7582</v>
      </c>
      <c r="F327" s="0" t="s">
        <v>158</v>
      </c>
      <c r="G327" s="11" t="b">
        <f aca="false">COUNTIF(BankQuarter!$B$5:$B$750,A327)&gt;0</f>
        <v>0</v>
      </c>
    </row>
    <row r="328" customFormat="false" ht="15" hidden="false" customHeight="false" outlineLevel="0" collapsed="false">
      <c r="A328" s="0" t="s">
        <v>8234</v>
      </c>
      <c r="B328" s="0" t="s">
        <v>8235</v>
      </c>
      <c r="C328" s="0" t="s">
        <v>61</v>
      </c>
      <c r="D328" s="0" t="s">
        <v>7574</v>
      </c>
      <c r="E328" s="0" t="s">
        <v>8236</v>
      </c>
      <c r="F328" s="0" t="s">
        <v>158</v>
      </c>
      <c r="G328" s="11" t="b">
        <f aca="false">COUNTIF(BankQuarter!$B$5:$B$750,A328)&gt;0</f>
        <v>0</v>
      </c>
    </row>
    <row r="329" customFormat="false" ht="15" hidden="false" customHeight="false" outlineLevel="0" collapsed="false">
      <c r="A329" s="0" t="s">
        <v>6702</v>
      </c>
      <c r="B329" s="0" t="s">
        <v>8237</v>
      </c>
      <c r="C329" s="0" t="s">
        <v>61</v>
      </c>
      <c r="D329" s="0" t="s">
        <v>7851</v>
      </c>
      <c r="E329" s="0" t="s">
        <v>7582</v>
      </c>
      <c r="F329" s="0" t="s">
        <v>158</v>
      </c>
      <c r="G329" s="11" t="b">
        <f aca="false">COUNTIF(BankQuarter!$B$5:$B$750,A329)&gt;0</f>
        <v>0</v>
      </c>
    </row>
    <row r="330" customFormat="false" ht="15" hidden="false" customHeight="false" outlineLevel="0" collapsed="false">
      <c r="A330" s="0" t="s">
        <v>8238</v>
      </c>
      <c r="B330" s="0" t="s">
        <v>8019</v>
      </c>
      <c r="C330" s="0" t="s">
        <v>61</v>
      </c>
      <c r="D330" s="0" t="s">
        <v>7809</v>
      </c>
      <c r="E330" s="0" t="s">
        <v>8239</v>
      </c>
      <c r="F330" s="0" t="s">
        <v>158</v>
      </c>
      <c r="G330" s="11" t="b">
        <f aca="false">COUNTIF(BankQuarter!$B$5:$B$750,A330)&gt;0</f>
        <v>0</v>
      </c>
    </row>
    <row r="331" customFormat="false" ht="15" hidden="false" customHeight="false" outlineLevel="0" collapsed="false">
      <c r="A331" s="0" t="s">
        <v>8240</v>
      </c>
      <c r="B331" s="0" t="s">
        <v>8241</v>
      </c>
      <c r="C331" s="0" t="s">
        <v>61</v>
      </c>
      <c r="E331" s="0" t="s">
        <v>7367</v>
      </c>
      <c r="F331" s="0" t="s">
        <v>158</v>
      </c>
      <c r="G331" s="11" t="b">
        <f aca="false">COUNTIF(BankQuarter!$B$5:$B$750,A331)&gt;0</f>
        <v>0</v>
      </c>
    </row>
    <row r="332" customFormat="false" ht="15" hidden="false" customHeight="false" outlineLevel="0" collapsed="false">
      <c r="A332" s="0" t="s">
        <v>8242</v>
      </c>
      <c r="B332" s="0" t="s">
        <v>8243</v>
      </c>
      <c r="C332" s="0" t="s">
        <v>61</v>
      </c>
      <c r="E332" s="0" t="s">
        <v>7431</v>
      </c>
      <c r="F332" s="0" t="s">
        <v>158</v>
      </c>
      <c r="G332" s="11" t="b">
        <f aca="false">COUNTIF(BankQuarter!$B$5:$B$750,A332)&gt;0</f>
        <v>0</v>
      </c>
    </row>
    <row r="333" customFormat="false" ht="15" hidden="false" customHeight="false" outlineLevel="0" collapsed="false">
      <c r="A333" s="0" t="s">
        <v>8244</v>
      </c>
      <c r="B333" s="0" t="s">
        <v>8245</v>
      </c>
      <c r="C333" s="0" t="s">
        <v>61</v>
      </c>
      <c r="D333" s="0" t="s">
        <v>7635</v>
      </c>
      <c r="E333" s="0" t="s">
        <v>7425</v>
      </c>
      <c r="F333" s="0" t="s">
        <v>158</v>
      </c>
      <c r="G333" s="11" t="b">
        <f aca="false">COUNTIF(BankQuarter!$B$5:$B$750,A333)&gt;0</f>
        <v>0</v>
      </c>
    </row>
    <row r="334" customFormat="false" ht="15" hidden="false" customHeight="false" outlineLevel="0" collapsed="false">
      <c r="A334" s="0" t="s">
        <v>8246</v>
      </c>
      <c r="B334" s="0" t="s">
        <v>8247</v>
      </c>
      <c r="C334" s="0" t="s">
        <v>61</v>
      </c>
      <c r="E334" s="0" t="s">
        <v>7549</v>
      </c>
      <c r="F334" s="0" t="s">
        <v>158</v>
      </c>
      <c r="G334" s="11" t="b">
        <f aca="false">COUNTIF(BankQuarter!$B$5:$B$750,A334)&gt;0</f>
        <v>0</v>
      </c>
    </row>
    <row r="335" customFormat="false" ht="15" hidden="false" customHeight="false" outlineLevel="0" collapsed="false">
      <c r="A335" s="0" t="s">
        <v>8248</v>
      </c>
      <c r="B335" s="0" t="s">
        <v>8249</v>
      </c>
      <c r="C335" s="0" t="s">
        <v>61</v>
      </c>
      <c r="E335" s="0" t="s">
        <v>7425</v>
      </c>
      <c r="F335" s="0" t="s">
        <v>98</v>
      </c>
      <c r="G335" s="11" t="b">
        <f aca="false">COUNTIF(BankQuarter!$B$5:$B$750,A335)&gt;0</f>
        <v>0</v>
      </c>
    </row>
    <row r="336" customFormat="false" ht="15" hidden="false" customHeight="false" outlineLevel="0" collapsed="false">
      <c r="A336" s="0" t="s">
        <v>8250</v>
      </c>
      <c r="B336" s="0" t="s">
        <v>8251</v>
      </c>
      <c r="C336" s="0" t="s">
        <v>61</v>
      </c>
      <c r="E336" s="0" t="s">
        <v>7425</v>
      </c>
      <c r="F336" s="0" t="s">
        <v>98</v>
      </c>
      <c r="G336" s="11" t="b">
        <f aca="false">COUNTIF(BankQuarter!$B$5:$B$750,A336)&gt;0</f>
        <v>0</v>
      </c>
    </row>
    <row r="337" customFormat="false" ht="15" hidden="false" customHeight="false" outlineLevel="0" collapsed="false">
      <c r="A337" s="0" t="s">
        <v>8252</v>
      </c>
      <c r="B337" s="0" t="s">
        <v>8253</v>
      </c>
      <c r="C337" s="0" t="s">
        <v>61</v>
      </c>
      <c r="E337" s="0" t="s">
        <v>7425</v>
      </c>
      <c r="F337" s="0" t="s">
        <v>98</v>
      </c>
      <c r="G337" s="11" t="b">
        <f aca="false">COUNTIF(BankQuarter!$B$5:$B$750,A337)&gt;0</f>
        <v>0</v>
      </c>
    </row>
    <row r="338" customFormat="false" ht="15" hidden="false" customHeight="false" outlineLevel="0" collapsed="false">
      <c r="A338" s="0" t="s">
        <v>8254</v>
      </c>
      <c r="B338" s="0" t="s">
        <v>8255</v>
      </c>
      <c r="C338" s="0" t="s">
        <v>61</v>
      </c>
      <c r="D338" s="0" t="s">
        <v>7670</v>
      </c>
      <c r="E338" s="0" t="s">
        <v>7434</v>
      </c>
      <c r="F338" s="0" t="s">
        <v>98</v>
      </c>
      <c r="G338" s="11" t="b">
        <f aca="false">COUNTIF(BankQuarter!$B$5:$B$750,A338)&gt;0</f>
        <v>0</v>
      </c>
    </row>
    <row r="339" customFormat="false" ht="15" hidden="false" customHeight="false" outlineLevel="0" collapsed="false">
      <c r="A339" s="0" t="s">
        <v>8256</v>
      </c>
      <c r="B339" s="0" t="s">
        <v>8257</v>
      </c>
      <c r="C339" s="0" t="s">
        <v>61</v>
      </c>
      <c r="D339" s="0" t="s">
        <v>7867</v>
      </c>
      <c r="E339" s="0" t="s">
        <v>8258</v>
      </c>
      <c r="F339" s="0" t="s">
        <v>98</v>
      </c>
      <c r="G339" s="11" t="b">
        <f aca="false">COUNTIF(BankQuarter!$B$5:$B$750,A339)&gt;0</f>
        <v>0</v>
      </c>
    </row>
    <row r="340" customFormat="false" ht="15" hidden="false" customHeight="false" outlineLevel="0" collapsed="false">
      <c r="A340" s="0" t="s">
        <v>8259</v>
      </c>
      <c r="B340" s="0" t="s">
        <v>8260</v>
      </c>
      <c r="C340" s="0" t="s">
        <v>61</v>
      </c>
      <c r="D340" s="0" t="s">
        <v>7780</v>
      </c>
      <c r="E340" s="0" t="s">
        <v>8261</v>
      </c>
      <c r="F340" s="0" t="s">
        <v>98</v>
      </c>
      <c r="G340" s="11" t="b">
        <f aca="false">COUNTIF(BankQuarter!$B$5:$B$750,A340)&gt;0</f>
        <v>0</v>
      </c>
    </row>
    <row r="341" customFormat="false" ht="15" hidden="false" customHeight="false" outlineLevel="0" collapsed="false">
      <c r="A341" s="0" t="s">
        <v>8262</v>
      </c>
      <c r="B341" s="0" t="s">
        <v>8263</v>
      </c>
      <c r="C341" s="0" t="s">
        <v>61</v>
      </c>
      <c r="D341" s="0" t="s">
        <v>7462</v>
      </c>
      <c r="E341" s="0" t="s">
        <v>7463</v>
      </c>
      <c r="F341" s="0" t="s">
        <v>98</v>
      </c>
      <c r="G341" s="11" t="b">
        <f aca="false">COUNTIF(BankQuarter!$B$5:$B$750,A341)&gt;0</f>
        <v>0</v>
      </c>
    </row>
    <row r="342" customFormat="false" ht="15" hidden="false" customHeight="false" outlineLevel="0" collapsed="false">
      <c r="A342" s="0" t="s">
        <v>8264</v>
      </c>
      <c r="B342" s="0" t="s">
        <v>8265</v>
      </c>
      <c r="C342" s="0" t="s">
        <v>61</v>
      </c>
      <c r="D342" s="0" t="s">
        <v>8266</v>
      </c>
      <c r="E342" s="0" t="s">
        <v>8267</v>
      </c>
      <c r="F342" s="0" t="s">
        <v>98</v>
      </c>
      <c r="G342" s="11" t="b">
        <f aca="false">COUNTIF(BankQuarter!$B$5:$B$750,A342)&gt;0</f>
        <v>0</v>
      </c>
    </row>
    <row r="343" customFormat="false" ht="15" hidden="false" customHeight="false" outlineLevel="0" collapsed="false">
      <c r="A343" s="0" t="s">
        <v>8268</v>
      </c>
      <c r="B343" s="0" t="s">
        <v>8269</v>
      </c>
      <c r="C343" s="0" t="s">
        <v>61</v>
      </c>
      <c r="D343" s="0" t="s">
        <v>7670</v>
      </c>
      <c r="E343" s="0" t="s">
        <v>7434</v>
      </c>
      <c r="F343" s="0" t="s">
        <v>98</v>
      </c>
      <c r="G343" s="11" t="b">
        <f aca="false">COUNTIF(BankQuarter!$B$5:$B$750,A343)&gt;0</f>
        <v>0</v>
      </c>
    </row>
    <row r="344" customFormat="false" ht="15" hidden="false" customHeight="false" outlineLevel="0" collapsed="false">
      <c r="A344" s="0" t="s">
        <v>8270</v>
      </c>
      <c r="B344" s="0" t="s">
        <v>8271</v>
      </c>
      <c r="C344" s="0" t="s">
        <v>256</v>
      </c>
      <c r="D344" s="0" t="s">
        <v>7391</v>
      </c>
      <c r="E344" s="0" t="s">
        <v>7409</v>
      </c>
      <c r="F344" s="0" t="s">
        <v>98</v>
      </c>
      <c r="G344" s="11" t="b">
        <f aca="false">COUNTIF(BankQuarter!$B$5:$B$750,A344)&gt;0</f>
        <v>1</v>
      </c>
    </row>
    <row r="345" customFormat="false" ht="15" hidden="false" customHeight="false" outlineLevel="0" collapsed="false">
      <c r="A345" s="0" t="s">
        <v>2605</v>
      </c>
      <c r="B345" s="0" t="s">
        <v>8272</v>
      </c>
      <c r="C345" s="0" t="s">
        <v>61</v>
      </c>
      <c r="E345" s="0" t="s">
        <v>7425</v>
      </c>
      <c r="F345" s="0" t="s">
        <v>98</v>
      </c>
      <c r="G345" s="11" t="b">
        <f aca="false">COUNTIF(BankQuarter!$B$5:$B$750,A345)&gt;0</f>
        <v>0</v>
      </c>
    </row>
    <row r="346" customFormat="false" ht="15" hidden="false" customHeight="false" outlineLevel="0" collapsed="false">
      <c r="A346" s="0" t="s">
        <v>8273</v>
      </c>
      <c r="B346" s="0" t="s">
        <v>8274</v>
      </c>
      <c r="C346" s="0" t="s">
        <v>61</v>
      </c>
      <c r="E346" s="0" t="s">
        <v>7425</v>
      </c>
      <c r="F346" s="0" t="s">
        <v>98</v>
      </c>
      <c r="G346" s="11" t="b">
        <f aca="false">COUNTIF(BankQuarter!$B$5:$B$750,A346)&gt;0</f>
        <v>0</v>
      </c>
    </row>
    <row r="347" customFormat="false" ht="15" hidden="false" customHeight="false" outlineLevel="0" collapsed="false">
      <c r="A347" s="0" t="s">
        <v>8275</v>
      </c>
      <c r="B347" s="0" t="s">
        <v>8276</v>
      </c>
      <c r="C347" s="0" t="s">
        <v>61</v>
      </c>
      <c r="D347" s="0" t="s">
        <v>7405</v>
      </c>
      <c r="E347" s="0" t="s">
        <v>8277</v>
      </c>
      <c r="F347" s="0" t="s">
        <v>98</v>
      </c>
      <c r="G347" s="11" t="b">
        <f aca="false">COUNTIF(BankQuarter!$B$5:$B$750,A347)&gt;0</f>
        <v>0</v>
      </c>
    </row>
    <row r="348" customFormat="false" ht="15" hidden="false" customHeight="false" outlineLevel="0" collapsed="false">
      <c r="A348" s="0" t="s">
        <v>8278</v>
      </c>
      <c r="B348" s="0" t="s">
        <v>8279</v>
      </c>
      <c r="C348" s="0" t="s">
        <v>256</v>
      </c>
      <c r="D348" s="0" t="s">
        <v>7391</v>
      </c>
      <c r="E348" s="0" t="s">
        <v>7409</v>
      </c>
      <c r="F348" s="0" t="s">
        <v>98</v>
      </c>
      <c r="G348" s="11" t="b">
        <f aca="false">COUNTIF(BankQuarter!$B$5:$B$750,A348)&gt;0</f>
        <v>1</v>
      </c>
    </row>
    <row r="349" customFormat="false" ht="15" hidden="false" customHeight="false" outlineLevel="0" collapsed="false">
      <c r="A349" s="0" t="s">
        <v>8280</v>
      </c>
      <c r="B349" s="0" t="s">
        <v>8281</v>
      </c>
      <c r="C349" s="0" t="s">
        <v>61</v>
      </c>
      <c r="E349" s="0" t="s">
        <v>7582</v>
      </c>
      <c r="F349" s="0" t="s">
        <v>98</v>
      </c>
      <c r="G349" s="11" t="b">
        <f aca="false">COUNTIF(BankQuarter!$B$5:$B$750,A349)&gt;0</f>
        <v>0</v>
      </c>
    </row>
    <row r="350" customFormat="false" ht="15" hidden="false" customHeight="false" outlineLevel="0" collapsed="false">
      <c r="A350" s="0" t="s">
        <v>8282</v>
      </c>
      <c r="B350" s="0" t="s">
        <v>8283</v>
      </c>
      <c r="C350" s="0" t="s">
        <v>61</v>
      </c>
      <c r="E350" s="0" t="s">
        <v>7425</v>
      </c>
      <c r="F350" s="0" t="s">
        <v>98</v>
      </c>
      <c r="G350" s="11" t="b">
        <f aca="false">COUNTIF(BankQuarter!$B$5:$B$750,A350)&gt;0</f>
        <v>0</v>
      </c>
    </row>
    <row r="351" customFormat="false" ht="15" hidden="false" customHeight="false" outlineLevel="0" collapsed="false">
      <c r="A351" s="0" t="s">
        <v>2634</v>
      </c>
      <c r="B351" s="0" t="s">
        <v>8284</v>
      </c>
      <c r="C351" s="0" t="s">
        <v>256</v>
      </c>
      <c r="D351" s="0" t="s">
        <v>7391</v>
      </c>
      <c r="E351" s="0" t="s">
        <v>7409</v>
      </c>
      <c r="F351" s="0" t="s">
        <v>98</v>
      </c>
      <c r="G351" s="11" t="b">
        <f aca="false">COUNTIF(BankQuarter!$B$5:$B$750,A351)&gt;0</f>
        <v>1</v>
      </c>
    </row>
    <row r="352" customFormat="false" ht="15" hidden="false" customHeight="false" outlineLevel="0" collapsed="false">
      <c r="A352" s="0" t="s">
        <v>8285</v>
      </c>
      <c r="B352" s="0" t="s">
        <v>8286</v>
      </c>
      <c r="C352" s="0" t="s">
        <v>61</v>
      </c>
      <c r="D352" s="0" t="s">
        <v>8287</v>
      </c>
      <c r="E352" s="0" t="s">
        <v>8288</v>
      </c>
      <c r="F352" s="0" t="s">
        <v>98</v>
      </c>
      <c r="G352" s="11" t="b">
        <f aca="false">COUNTIF(BankQuarter!$B$5:$B$750,A352)&gt;0</f>
        <v>0</v>
      </c>
    </row>
    <row r="353" customFormat="false" ht="15" hidden="false" customHeight="false" outlineLevel="0" collapsed="false">
      <c r="A353" s="0" t="s">
        <v>8289</v>
      </c>
      <c r="B353" s="0" t="s">
        <v>8290</v>
      </c>
      <c r="C353" s="0" t="s">
        <v>61</v>
      </c>
      <c r="E353" s="0" t="s">
        <v>7425</v>
      </c>
      <c r="F353" s="0" t="s">
        <v>98</v>
      </c>
      <c r="G353" s="11" t="b">
        <f aca="false">COUNTIF(BankQuarter!$B$5:$B$750,A353)&gt;0</f>
        <v>0</v>
      </c>
    </row>
    <row r="354" customFormat="false" ht="15" hidden="false" customHeight="false" outlineLevel="0" collapsed="false">
      <c r="A354" s="0" t="s">
        <v>8291</v>
      </c>
      <c r="B354" s="0" t="s">
        <v>8292</v>
      </c>
      <c r="C354" s="0" t="s">
        <v>61</v>
      </c>
      <c r="D354" s="0" t="s">
        <v>8293</v>
      </c>
      <c r="E354" s="0" t="s">
        <v>7384</v>
      </c>
      <c r="F354" s="0" t="s">
        <v>98</v>
      </c>
      <c r="G354" s="11" t="b">
        <f aca="false">COUNTIF(BankQuarter!$B$5:$B$750,A354)&gt;0</f>
        <v>0</v>
      </c>
    </row>
    <row r="355" customFormat="false" ht="15" hidden="false" customHeight="false" outlineLevel="0" collapsed="false">
      <c r="A355" s="0" t="s">
        <v>8294</v>
      </c>
      <c r="B355" s="0" t="s">
        <v>8295</v>
      </c>
      <c r="C355" s="0" t="s">
        <v>61</v>
      </c>
      <c r="E355" s="0" t="s">
        <v>7425</v>
      </c>
      <c r="F355" s="0" t="s">
        <v>98</v>
      </c>
      <c r="G355" s="11" t="b">
        <f aca="false">COUNTIF(BankQuarter!$B$5:$B$750,A355)&gt;0</f>
        <v>0</v>
      </c>
    </row>
    <row r="356" customFormat="false" ht="15" hidden="false" customHeight="false" outlineLevel="0" collapsed="false">
      <c r="A356" s="0" t="s">
        <v>8296</v>
      </c>
      <c r="B356" s="0" t="s">
        <v>8297</v>
      </c>
      <c r="C356" s="0" t="s">
        <v>61</v>
      </c>
      <c r="E356" s="0" t="s">
        <v>8298</v>
      </c>
      <c r="F356" s="0" t="s">
        <v>98</v>
      </c>
      <c r="G356" s="11" t="b">
        <f aca="false">COUNTIF(BankQuarter!$B$5:$B$750,A356)&gt;0</f>
        <v>0</v>
      </c>
    </row>
    <row r="357" customFormat="false" ht="15" hidden="false" customHeight="false" outlineLevel="0" collapsed="false">
      <c r="A357" s="0" t="s">
        <v>8299</v>
      </c>
      <c r="B357" s="0" t="s">
        <v>8300</v>
      </c>
      <c r="C357" s="0" t="s">
        <v>61</v>
      </c>
      <c r="D357" s="0" t="s">
        <v>8301</v>
      </c>
      <c r="E357" s="0" t="s">
        <v>8302</v>
      </c>
      <c r="F357" s="0" t="s">
        <v>98</v>
      </c>
      <c r="G357" s="11" t="b">
        <f aca="false">COUNTIF(BankQuarter!$B$5:$B$750,A357)&gt;0</f>
        <v>0</v>
      </c>
    </row>
    <row r="358" customFormat="false" ht="15" hidden="false" customHeight="false" outlineLevel="0" collapsed="false">
      <c r="A358" s="0" t="s">
        <v>534</v>
      </c>
      <c r="B358" s="0" t="s">
        <v>8303</v>
      </c>
      <c r="C358" s="0" t="s">
        <v>61</v>
      </c>
      <c r="D358" s="0" t="s">
        <v>8304</v>
      </c>
      <c r="E358" s="0" t="s">
        <v>8305</v>
      </c>
      <c r="F358" s="0" t="s">
        <v>60</v>
      </c>
      <c r="G358" s="11" t="b">
        <f aca="false">COUNTIF(BankQuarter!$B$5:$B$750,A358)&gt;0</f>
        <v>0</v>
      </c>
    </row>
    <row r="359" customFormat="false" ht="15" hidden="false" customHeight="false" outlineLevel="0" collapsed="false">
      <c r="A359" s="0" t="s">
        <v>120</v>
      </c>
      <c r="B359" s="0" t="s">
        <v>8306</v>
      </c>
      <c r="C359" s="0" t="s">
        <v>61</v>
      </c>
      <c r="D359" s="0" t="s">
        <v>7477</v>
      </c>
      <c r="E359" s="0" t="s">
        <v>8307</v>
      </c>
      <c r="F359" s="0" t="s">
        <v>60</v>
      </c>
      <c r="G359" s="11" t="b">
        <f aca="false">COUNTIF(BankQuarter!$B$5:$B$750,A359)&gt;0</f>
        <v>0</v>
      </c>
    </row>
  </sheetData>
  <autoFilter ref="A4:G359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7" min="17" style="0" width="17"/>
    <col collapsed="false" customWidth="true" hidden="false" outlineLevel="0" max="18" min="18" style="0" width="13"/>
    <col collapsed="false" customWidth="true" hidden="false" outlineLevel="0" max="19" min="19" style="0" width="12"/>
    <col collapsed="false" customWidth="true" hidden="false" outlineLevel="0" max="20" min="20" style="0" width="15"/>
    <col collapsed="false" customWidth="true" hidden="false" outlineLevel="0" max="21" min="21" style="0" width="21"/>
    <col collapsed="false" customWidth="true" hidden="false" outlineLevel="0" max="22" min="22" style="0" width="18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20"/>
    <col collapsed="false" customWidth="true" hidden="false" outlineLevel="0" max="26" min="26" style="0" width="18"/>
    <col collapsed="false" customWidth="true" hidden="false" outlineLevel="0" max="27" min="27" style="0" width="21"/>
    <col collapsed="false" customWidth="true" hidden="false" outlineLevel="0" max="28" min="28" style="0" width="14"/>
    <col collapsed="false" customWidth="true" hidden="false" outlineLevel="0" max="29" min="29" style="0" width="18"/>
  </cols>
  <sheetData>
    <row r="1" customFormat="false" ht="27.75" hidden="false" customHeight="true" outlineLevel="0" collapsed="false">
      <c r="A1" s="1" t="s">
        <v>8308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30" hidden="false" customHeight="true" outlineLevel="0" collapsed="false">
      <c r="A2" s="2" t="s">
        <v>8309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customFormat="false" ht="30" hidden="false" customHeight="true" outlineLevel="0" collapsed="false">
      <c r="A4" s="3" t="s">
        <v>21</v>
      </c>
      <c r="B4" s="3" t="s">
        <v>23</v>
      </c>
      <c r="C4" s="3" t="s">
        <v>8310</v>
      </c>
      <c r="D4" s="3" t="s">
        <v>43</v>
      </c>
      <c r="E4" s="3" t="s">
        <v>8311</v>
      </c>
      <c r="F4" s="3" t="s">
        <v>8312</v>
      </c>
      <c r="G4" s="3" t="s">
        <v>8313</v>
      </c>
      <c r="H4" s="3" t="s">
        <v>8314</v>
      </c>
      <c r="I4" s="3" t="s">
        <v>8315</v>
      </c>
      <c r="J4" s="3" t="s">
        <v>8316</v>
      </c>
      <c r="K4" s="3" t="s">
        <v>8317</v>
      </c>
      <c r="L4" s="3" t="s">
        <v>8318</v>
      </c>
      <c r="M4" s="3" t="s">
        <v>8319</v>
      </c>
      <c r="N4" s="3" t="s">
        <v>8320</v>
      </c>
      <c r="O4" s="3" t="s">
        <v>8321</v>
      </c>
      <c r="P4" s="3" t="s">
        <v>8322</v>
      </c>
      <c r="Q4" s="3" t="s">
        <v>8323</v>
      </c>
      <c r="R4" s="3" t="s">
        <v>8324</v>
      </c>
      <c r="S4" s="3" t="s">
        <v>8325</v>
      </c>
      <c r="T4" s="3" t="s">
        <v>8326</v>
      </c>
      <c r="U4" s="3" t="s">
        <v>8327</v>
      </c>
      <c r="V4" s="3" t="s">
        <v>8328</v>
      </c>
      <c r="W4" s="3" t="s">
        <v>8329</v>
      </c>
      <c r="X4" s="3" t="s">
        <v>8330</v>
      </c>
      <c r="Y4" s="3" t="s">
        <v>8331</v>
      </c>
      <c r="Z4" s="3" t="s">
        <v>8332</v>
      </c>
      <c r="AA4" s="3" t="s">
        <v>8333</v>
      </c>
      <c r="AB4" s="3" t="s">
        <v>8334</v>
      </c>
      <c r="AC4" s="3" t="s">
        <v>8335</v>
      </c>
    </row>
    <row r="5" customFormat="false" ht="15" hidden="false" customHeight="false" outlineLevel="0" collapsed="false">
      <c r="A5" s="4" t="n">
        <f aca="false">RawFinancials!A5</f>
        <v>2</v>
      </c>
      <c r="B5" s="4" t="n">
        <f aca="false">RawFinancials!C5</f>
        <v>11971</v>
      </c>
      <c r="C5" s="4" t="str">
        <f aca="false">RawFinancials!P5</f>
        <v>BAR HARBOR BANK &amp; TRUST</v>
      </c>
      <c r="D5" s="4" t="n">
        <f aca="false">RawFinancials!W5</f>
        <v>20220331</v>
      </c>
      <c r="E5" s="4" t="str">
        <f aca="false">RawFinancials!Z5</f>
        <v>ME</v>
      </c>
      <c r="F5" s="4" t="n">
        <f aca="false">RawFinancials!B5</f>
        <v>3688993</v>
      </c>
      <c r="G5" s="4" t="n">
        <f aca="false">RawFinancials!U5</f>
        <v>843</v>
      </c>
      <c r="H5" s="4" t="n">
        <f aca="false">RawFinancials!O5</f>
        <v>9213</v>
      </c>
      <c r="I5" s="4" t="n">
        <f aca="false">IF(AND(ISNUMBER(G5),ISNUMBER(H5)),G5+H5,"")</f>
        <v>10056</v>
      </c>
      <c r="J5" s="4" t="n">
        <f aca="false">RawFinancials!D5</f>
        <v>3055632</v>
      </c>
      <c r="K5" s="4" t="n">
        <f aca="false">RawFinancials!F5</f>
        <v>461681</v>
      </c>
      <c r="L5" s="4" t="n">
        <f aca="false">RawFinancials!L5</f>
        <v>2657406</v>
      </c>
      <c r="M5" s="4" t="n">
        <f aca="false">RawFinancials!N5</f>
        <v>2317079</v>
      </c>
      <c r="N5" s="12" t="n">
        <f aca="false">RawFinancials!X5</f>
        <v>1.11623429129291</v>
      </c>
      <c r="O5" s="12" t="n">
        <f aca="false">RawFinancials!V5</f>
        <v>13.6789606326397</v>
      </c>
      <c r="P5" s="12" t="n">
        <f aca="false">IF(AND(ISNUMBER(L5),L5&lt;&gt;0,ISNUMBER(M5)),100*M5/L5,"")</f>
        <v>87.193262903749</v>
      </c>
      <c r="Q5" s="12" t="n">
        <f aca="false">IF(AND(ISNUMBER(F5),F5&lt;&gt;0,ISNUMBER(K5)),100*K5/F5,"")</f>
        <v>12.5150955829951</v>
      </c>
      <c r="R5" s="10" t="b">
        <f aca="false">AND(ISNUMBER(F5),F5&gt;0,ISNUMBER(G5),G5&gt;=0,ISNUMBER(H5),H5&gt;=0)</f>
        <v>1</v>
      </c>
      <c r="S5" s="12" t="n">
        <f aca="false">IF(R5,100*I5/F5,"")</f>
        <v>0.272594716227437</v>
      </c>
      <c r="T5" s="10" t="b">
        <f aca="false">NOT(AND(OR(AND(ISBLANK(RawFinancials!B5),ISBLANK(_RawBaseline!B2)),AND(ISNUMBER(RawFinancials!B5),ISNUMBER(_RawBaseline!B2),RawFinancials!B5=_RawBaseline!B2)),OR(AND(ISBLANK(RawFinancials!U5),ISBLANK(_RawBaseline!U2)),AND(ISNUMBER(RawFinancials!U5),ISNUMBER(_RawBaseline!U2),RawFinancials!U5=_RawBaseline!U2)),OR(AND(ISBLANK(RawFinancials!O5),ISBLANK(_RawBaseline!O2)),AND(ISNUMBER(RawFinancials!O5),ISNUMBER(_RawBaseline!O2),RawFinancials!O5=_RawBaseline!O2))))</f>
        <v>0</v>
      </c>
      <c r="U5" s="12" t="n">
        <f aca="false">IF(AND(D5=WF_START_PERIOD,R5,COUNTIFS($B$5:$B$750,B5,$D$5:$D$750,WF_END_PERIOD,$R$5:$R$750,TRUE())&gt;0),SUMIFS($S$5:$S$750,$B$5:$B$750,B5,$D$5:$D$750,WF_END_PERIOD,$R$5:$R$750,TRUE()),0)</f>
        <v>0</v>
      </c>
      <c r="V5" s="4" t="str">
        <f aca="false">IF(AND(D5=WF_START_PERIOD,COUNTIFS($B$5:$B$750,B5,$D$5:$D$750,WF_END_PERIOD)&gt;0),INDEX($E$5:$E$750,MATCH(B5&amp;"|"&amp;WF_END_PERIOD,$AC$5:$AC$750,0)),"")</f>
        <v/>
      </c>
      <c r="W5" s="10" t="b">
        <f aca="false">COUNTIFS($B$5:$B$750,B5,$D$5:$D$750,WF_START_PERIOD,$R$5:$R$750,TRUE())&gt;0</f>
        <v>1</v>
      </c>
      <c r="X5" s="10" t="b">
        <f aca="false">COUNTIFS($B$5:$B$750,B5,$D$5:$D$750,WF_END_PERIOD,$R$5:$R$750,TRUE())&gt;0</f>
        <v>1</v>
      </c>
      <c r="Y5" s="4" t="str">
        <f aca="false">IF(AND(D5=WF_END_PERIOD,COUNTIFS($B$5:$B$750,B5,$D$5:$D$750,WF_START_PERIOD)&gt;0),INDEX($E$5:$E$750,MATCH(B5&amp;"|"&amp;WF_START_PERIOD,$AC$5:$AC$750,0)),"")</f>
        <v/>
      </c>
      <c r="Z5" s="4" t="str">
        <f aca="false">IF(AND(D5=WF_END_PERIOD,R5),1+COUNTIFS($D$5:$D$750,WF_END_PERIOD,$E$5:$E$750,E5,$R$5:$R$750,TRUE(),$S$5:$S$750,"&gt;"&amp;S5)+COUNTIFS($D$5:$D$750,WF_END_PERIOD,$E$5:$E$750,E5,$R$5:$R$750,TRUE(),$S$5:$S$750,S5,$B$5:$B$750,"&lt;"&amp;B5),"")</f>
        <v/>
      </c>
      <c r="AA5" s="4" t="str">
        <f aca="false">IF(AND(D5=WF_END_PERIOD,R5,Z5&lt;&gt;1),1+COUNTIFS($D$5:$D$750,WF_END_PERIOD,$R$5:$R$750,TRUE(),$Z$5:$Z$750,"&lt;&gt;1",$S$5:$S$750,"&gt;"&amp;S5)+COUNTIFS($D$5:$D$750,WF_END_PERIOD,$R$5:$R$750,TRUE(),$Z$5:$Z$750,"&lt;&gt;1",$S$5:$S$750,S5,$B$5:$B$750,"&lt;"&amp;B5),"")</f>
        <v/>
      </c>
      <c r="AB5" s="10" t="b">
        <f aca="false">OR(D5=WF_START_PERIOD,D5=WF_END_PERIOD)</f>
        <v>0</v>
      </c>
      <c r="AC5" s="4" t="str">
        <f aca="false">B5&amp;"|"&amp;D5</f>
        <v>11971|20220331</v>
      </c>
    </row>
    <row r="6" customFormat="false" ht="15" hidden="false" customHeight="false" outlineLevel="0" collapsed="false">
      <c r="A6" s="4" t="n">
        <f aca="false">RawFinancials!A6</f>
        <v>3</v>
      </c>
      <c r="B6" s="4" t="n">
        <f aca="false">RawFinancials!C6</f>
        <v>12874</v>
      </c>
      <c r="C6" s="4" t="str">
        <f aca="false">RawFinancials!P6</f>
        <v>KATAHDIN TRUST COMPANY</v>
      </c>
      <c r="D6" s="4" t="n">
        <f aca="false">RawFinancials!W6</f>
        <v>20220331</v>
      </c>
      <c r="E6" s="4" t="str">
        <f aca="false">RawFinancials!Z6</f>
        <v>ME</v>
      </c>
      <c r="F6" s="4" t="n">
        <f aca="false">RawFinancials!B6</f>
        <v>964163</v>
      </c>
      <c r="G6" s="4" t="n">
        <f aca="false">RawFinancials!U6</f>
        <v>0</v>
      </c>
      <c r="H6" s="4" t="n">
        <f aca="false">RawFinancials!O6</f>
        <v>1069</v>
      </c>
      <c r="I6" s="4" t="n">
        <f aca="false">IF(AND(ISNUMBER(G6),ISNUMBER(H6)),G6+H6,"")</f>
        <v>1069</v>
      </c>
      <c r="J6" s="4" t="n">
        <f aca="false">RawFinancials!D6</f>
        <v>854194</v>
      </c>
      <c r="K6" s="4" t="n">
        <f aca="false">RawFinancials!F6</f>
        <v>97916</v>
      </c>
      <c r="L6" s="4" t="n">
        <f aca="false">RawFinancials!L6</f>
        <v>732906</v>
      </c>
      <c r="M6" s="4" t="n">
        <f aca="false">RawFinancials!N6</f>
        <v>577596</v>
      </c>
      <c r="N6" s="12" t="n">
        <f aca="false">RawFinancials!X6</f>
        <v>0.831497320164808</v>
      </c>
      <c r="O6" s="12" t="n">
        <f aca="false">RawFinancials!V6</f>
        <v>15.6016028760784</v>
      </c>
      <c r="P6" s="12" t="n">
        <f aca="false">IF(AND(ISNUMBER(L6),L6&lt;&gt;0,ISNUMBER(M6)),100*M6/L6,"")</f>
        <v>78.8090150715099</v>
      </c>
      <c r="Q6" s="12" t="n">
        <f aca="false">IF(AND(ISNUMBER(F6),F6&lt;&gt;0,ISNUMBER(K6)),100*K6/F6,"")</f>
        <v>10.1555442388891</v>
      </c>
      <c r="R6" s="10" t="b">
        <f aca="false">AND(ISNUMBER(F6),F6&gt;0,ISNUMBER(G6),G6&gt;=0,ISNUMBER(H6),H6&gt;=0)</f>
        <v>1</v>
      </c>
      <c r="S6" s="12" t="n">
        <f aca="false">IF(R6,100*I6/F6,"")</f>
        <v>0.11087336892206</v>
      </c>
      <c r="T6" s="10" t="b">
        <f aca="false">NOT(AND(OR(AND(ISBLANK(RawFinancials!B6),ISBLANK(_RawBaseline!B3)),AND(ISNUMBER(RawFinancials!B6),ISNUMBER(_RawBaseline!B3),RawFinancials!B6=_RawBaseline!B3)),OR(AND(ISBLANK(RawFinancials!U6),ISBLANK(_RawBaseline!U3)),AND(ISNUMBER(RawFinancials!U6),ISNUMBER(_RawBaseline!U3),RawFinancials!U6=_RawBaseline!U3)),OR(AND(ISBLANK(RawFinancials!O6),ISBLANK(_RawBaseline!O3)),AND(ISNUMBER(RawFinancials!O6),ISNUMBER(_RawBaseline!O3),RawFinancials!O6=_RawBaseline!O3))))</f>
        <v>0</v>
      </c>
      <c r="U6" s="12" t="n">
        <f aca="false">IF(AND(D6=WF_START_PERIOD,R6,COUNTIFS($B$5:$B$750,B6,$D$5:$D$750,WF_END_PERIOD,$R$5:$R$750,TRUE())&gt;0),SUMIFS($S$5:$S$750,$B$5:$B$750,B6,$D$5:$D$750,WF_END_PERIOD,$R$5:$R$750,TRUE()),0)</f>
        <v>0</v>
      </c>
      <c r="V6" s="4" t="str">
        <f aca="false">IF(AND(D6=WF_START_PERIOD,COUNTIFS($B$5:$B$750,B6,$D$5:$D$750,WF_END_PERIOD)&gt;0),INDEX($E$5:$E$750,MATCH(B6&amp;"|"&amp;WF_END_PERIOD,$AC$5:$AC$750,0)),"")</f>
        <v/>
      </c>
      <c r="W6" s="10" t="b">
        <f aca="false">COUNTIFS($B$5:$B$750,B6,$D$5:$D$750,WF_START_PERIOD,$R$5:$R$750,TRUE())&gt;0</f>
        <v>1</v>
      </c>
      <c r="X6" s="10" t="b">
        <f aca="false">COUNTIFS($B$5:$B$750,B6,$D$5:$D$750,WF_END_PERIOD,$R$5:$R$750,TRUE())&gt;0</f>
        <v>1</v>
      </c>
      <c r="Y6" s="4" t="str">
        <f aca="false">IF(AND(D6=WF_END_PERIOD,COUNTIFS($B$5:$B$750,B6,$D$5:$D$750,WF_START_PERIOD)&gt;0),INDEX($E$5:$E$750,MATCH(B6&amp;"|"&amp;WF_START_PERIOD,$AC$5:$AC$750,0)),"")</f>
        <v/>
      </c>
      <c r="Z6" s="4" t="str">
        <f aca="false">IF(AND(D6=WF_END_PERIOD,R6),1+COUNTIFS($D$5:$D$750,WF_END_PERIOD,$E$5:$E$750,E6,$R$5:$R$750,TRUE(),$S$5:$S$750,"&gt;"&amp;S6)+COUNTIFS($D$5:$D$750,WF_END_PERIOD,$E$5:$E$750,E6,$R$5:$R$750,TRUE(),$S$5:$S$750,S6,$B$5:$B$750,"&lt;"&amp;B6),"")</f>
        <v/>
      </c>
      <c r="AA6" s="4" t="str">
        <f aca="false">IF(AND(D6=WF_END_PERIOD,R6,Z6&lt;&gt;1),1+COUNTIFS($D$5:$D$750,WF_END_PERIOD,$R$5:$R$750,TRUE(),$Z$5:$Z$750,"&lt;&gt;1",$S$5:$S$750,"&gt;"&amp;S6)+COUNTIFS($D$5:$D$750,WF_END_PERIOD,$R$5:$R$750,TRUE(),$Z$5:$Z$750,"&lt;&gt;1",$S$5:$S$750,S6,$B$5:$B$750,"&lt;"&amp;B6),"")</f>
        <v/>
      </c>
      <c r="AB6" s="10" t="b">
        <f aca="false">OR(D6=WF_START_PERIOD,D6=WF_END_PERIOD)</f>
        <v>0</v>
      </c>
      <c r="AC6" s="4" t="str">
        <f aca="false">B6&amp;"|"&amp;D6</f>
        <v>12874|20220331</v>
      </c>
    </row>
    <row r="7" customFormat="false" ht="15" hidden="false" customHeight="false" outlineLevel="0" collapsed="false">
      <c r="A7" s="4" t="n">
        <f aca="false">RawFinancials!A7</f>
        <v>4</v>
      </c>
      <c r="B7" s="4" t="n">
        <f aca="false">RawFinancials!C7</f>
        <v>13063</v>
      </c>
      <c r="C7" s="4" t="str">
        <f aca="false">RawFinancials!P7</f>
        <v>KENNEBUNK SAVINGS BANK</v>
      </c>
      <c r="D7" s="4" t="n">
        <f aca="false">RawFinancials!W7</f>
        <v>20220331</v>
      </c>
      <c r="E7" s="4" t="str">
        <f aca="false">RawFinancials!Z7</f>
        <v>ME</v>
      </c>
      <c r="F7" s="4" t="n">
        <f aca="false">RawFinancials!B7</f>
        <v>1784835</v>
      </c>
      <c r="G7" s="4" t="n">
        <f aca="false">RawFinancials!U7</f>
        <v>1196</v>
      </c>
      <c r="H7" s="4" t="n">
        <f aca="false">RawFinancials!O7</f>
        <v>408</v>
      </c>
      <c r="I7" s="4" t="n">
        <f aca="false">IF(AND(ISNUMBER(G7),ISNUMBER(H7)),G7+H7,"")</f>
        <v>1604</v>
      </c>
      <c r="J7" s="4" t="n">
        <f aca="false">RawFinancials!D7</f>
        <v>1619076</v>
      </c>
      <c r="K7" s="4" t="n">
        <f aca="false">RawFinancials!F7</f>
        <v>148181</v>
      </c>
      <c r="L7" s="4" t="n">
        <f aca="false">RawFinancials!L7</f>
        <v>1223389</v>
      </c>
      <c r="M7" s="4" t="n">
        <f aca="false">RawFinancials!N7</f>
        <v>1160807</v>
      </c>
      <c r="N7" s="12" t="n">
        <f aca="false">RawFinancials!X7</f>
        <v>0.482373134010048</v>
      </c>
      <c r="O7" s="12" t="n">
        <f aca="false">RawFinancials!V7</f>
        <v>0</v>
      </c>
      <c r="P7" s="12" t="n">
        <f aca="false">IF(AND(ISNUMBER(L7),L7&lt;&gt;0,ISNUMBER(M7)),100*M7/L7,"")</f>
        <v>94.8845379515428</v>
      </c>
      <c r="Q7" s="12" t="n">
        <f aca="false">IF(AND(ISNUMBER(F7),F7&lt;&gt;0,ISNUMBER(K7)),100*K7/F7,"")</f>
        <v>8.30222401510504</v>
      </c>
      <c r="R7" s="10" t="b">
        <f aca="false">AND(ISNUMBER(F7),F7&gt;0,ISNUMBER(G7),G7&gt;=0,ISNUMBER(H7),H7&gt;=0)</f>
        <v>1</v>
      </c>
      <c r="S7" s="12" t="n">
        <f aca="false">IF(R7,100*I7/F7,"")</f>
        <v>0.0898682511268549</v>
      </c>
      <c r="T7" s="10" t="b">
        <f aca="false">NOT(AND(OR(AND(ISBLANK(RawFinancials!B7),ISBLANK(_RawBaseline!B4)),AND(ISNUMBER(RawFinancials!B7),ISNUMBER(_RawBaseline!B4),RawFinancials!B7=_RawBaseline!B4)),OR(AND(ISBLANK(RawFinancials!U7),ISBLANK(_RawBaseline!U4)),AND(ISNUMBER(RawFinancials!U7),ISNUMBER(_RawBaseline!U4),RawFinancials!U7=_RawBaseline!U4)),OR(AND(ISBLANK(RawFinancials!O7),ISBLANK(_RawBaseline!O4)),AND(ISNUMBER(RawFinancials!O7),ISNUMBER(_RawBaseline!O4),RawFinancials!O7=_RawBaseline!O4))))</f>
        <v>0</v>
      </c>
      <c r="U7" s="12" t="n">
        <f aca="false">IF(AND(D7=WF_START_PERIOD,R7,COUNTIFS($B$5:$B$750,B7,$D$5:$D$750,WF_END_PERIOD,$R$5:$R$750,TRUE())&gt;0),SUMIFS($S$5:$S$750,$B$5:$B$750,B7,$D$5:$D$750,WF_END_PERIOD,$R$5:$R$750,TRUE()),0)</f>
        <v>0</v>
      </c>
      <c r="V7" s="4" t="str">
        <f aca="false">IF(AND(D7=WF_START_PERIOD,COUNTIFS($B$5:$B$750,B7,$D$5:$D$750,WF_END_PERIOD)&gt;0),INDEX($E$5:$E$750,MATCH(B7&amp;"|"&amp;WF_END_PERIOD,$AC$5:$AC$750,0)),"")</f>
        <v/>
      </c>
      <c r="W7" s="10" t="b">
        <f aca="false">COUNTIFS($B$5:$B$750,B7,$D$5:$D$750,WF_START_PERIOD,$R$5:$R$750,TRUE())&gt;0</f>
        <v>1</v>
      </c>
      <c r="X7" s="10" t="b">
        <f aca="false">COUNTIFS($B$5:$B$750,B7,$D$5:$D$750,WF_END_PERIOD,$R$5:$R$750,TRUE())&gt;0</f>
        <v>1</v>
      </c>
      <c r="Y7" s="4" t="str">
        <f aca="false">IF(AND(D7=WF_END_PERIOD,COUNTIFS($B$5:$B$750,B7,$D$5:$D$750,WF_START_PERIOD)&gt;0),INDEX($E$5:$E$750,MATCH(B7&amp;"|"&amp;WF_START_PERIOD,$AC$5:$AC$750,0)),"")</f>
        <v/>
      </c>
      <c r="Z7" s="4" t="str">
        <f aca="false">IF(AND(D7=WF_END_PERIOD,R7),1+COUNTIFS($D$5:$D$750,WF_END_PERIOD,$E$5:$E$750,E7,$R$5:$R$750,TRUE(),$S$5:$S$750,"&gt;"&amp;S7)+COUNTIFS($D$5:$D$750,WF_END_PERIOD,$E$5:$E$750,E7,$R$5:$R$750,TRUE(),$S$5:$S$750,S7,$B$5:$B$750,"&lt;"&amp;B7),"")</f>
        <v/>
      </c>
      <c r="AA7" s="4" t="str">
        <f aca="false">IF(AND(D7=WF_END_PERIOD,R7,Z7&lt;&gt;1),1+COUNTIFS($D$5:$D$750,WF_END_PERIOD,$R$5:$R$750,TRUE(),$Z$5:$Z$750,"&lt;&gt;1",$S$5:$S$750,"&gt;"&amp;S7)+COUNTIFS($D$5:$D$750,WF_END_PERIOD,$R$5:$R$750,TRUE(),$Z$5:$Z$750,"&lt;&gt;1",$S$5:$S$750,S7,$B$5:$B$750,"&lt;"&amp;B7),"")</f>
        <v/>
      </c>
      <c r="AB7" s="10" t="b">
        <f aca="false">OR(D7=WF_START_PERIOD,D7=WF_END_PERIOD)</f>
        <v>0</v>
      </c>
      <c r="AC7" s="4" t="str">
        <f aca="false">B7&amp;"|"&amp;D7</f>
        <v>13063|20220331</v>
      </c>
    </row>
    <row r="8" customFormat="false" ht="15" hidden="false" customHeight="false" outlineLevel="0" collapsed="false">
      <c r="A8" s="4" t="n">
        <f aca="false">RawFinancials!A8</f>
        <v>5</v>
      </c>
      <c r="B8" s="4" t="n">
        <f aca="false">RawFinancials!C8</f>
        <v>14134</v>
      </c>
      <c r="C8" s="4" t="str">
        <f aca="false">RawFinancials!P8</f>
        <v>PASSUMPSIC SAVINGS BANK</v>
      </c>
      <c r="D8" s="4" t="n">
        <f aca="false">RawFinancials!W8</f>
        <v>20220331</v>
      </c>
      <c r="E8" s="4" t="str">
        <f aca="false">RawFinancials!Z8</f>
        <v>VT</v>
      </c>
      <c r="F8" s="4" t="n">
        <f aca="false">RawFinancials!B8</f>
        <v>869402</v>
      </c>
      <c r="G8" s="4" t="n">
        <f aca="false">RawFinancials!U8</f>
        <v>0</v>
      </c>
      <c r="H8" s="4" t="n">
        <f aca="false">RawFinancials!O8</f>
        <v>8014</v>
      </c>
      <c r="I8" s="4" t="n">
        <f aca="false">IF(AND(ISNUMBER(G8),ISNUMBER(H8)),G8+H8,"")</f>
        <v>8014</v>
      </c>
      <c r="J8" s="4" t="n">
        <f aca="false">RawFinancials!D8</f>
        <v>737795</v>
      </c>
      <c r="K8" s="4" t="n">
        <f aca="false">RawFinancials!F8</f>
        <v>101808</v>
      </c>
      <c r="L8" s="4" t="n">
        <f aca="false">RawFinancials!L8</f>
        <v>596388</v>
      </c>
      <c r="M8" s="4" t="n">
        <f aca="false">RawFinancials!N8</f>
        <v>516229</v>
      </c>
      <c r="N8" s="12" t="n">
        <f aca="false">RawFinancials!X8</f>
        <v>-0.387293393035349</v>
      </c>
      <c r="O8" s="12" t="n">
        <f aca="false">RawFinancials!V8</f>
        <v>17.5709830780352</v>
      </c>
      <c r="P8" s="12" t="n">
        <f aca="false">IF(AND(ISNUMBER(L8),L8&lt;&gt;0,ISNUMBER(M8)),100*M8/L8,"")</f>
        <v>86.5592533719659</v>
      </c>
      <c r="Q8" s="12" t="n">
        <f aca="false">IF(AND(ISNUMBER(F8),F8&lt;&gt;0,ISNUMBER(K8)),100*K8/F8,"")</f>
        <v>11.7101179891466</v>
      </c>
      <c r="R8" s="10" t="b">
        <f aca="false">AND(ISNUMBER(F8),F8&gt;0,ISNUMBER(G8),G8&gt;=0,ISNUMBER(H8),H8&gt;=0)</f>
        <v>1</v>
      </c>
      <c r="S8" s="12" t="n">
        <f aca="false">IF(R8,100*I8/F8,"")</f>
        <v>0.921783018672605</v>
      </c>
      <c r="T8" s="10" t="b">
        <f aca="false">NOT(AND(OR(AND(ISBLANK(RawFinancials!B8),ISBLANK(_RawBaseline!B5)),AND(ISNUMBER(RawFinancials!B8),ISNUMBER(_RawBaseline!B5),RawFinancials!B8=_RawBaseline!B5)),OR(AND(ISBLANK(RawFinancials!U8),ISBLANK(_RawBaseline!U5)),AND(ISNUMBER(RawFinancials!U8),ISNUMBER(_RawBaseline!U5),RawFinancials!U8=_RawBaseline!U5)),OR(AND(ISBLANK(RawFinancials!O8),ISBLANK(_RawBaseline!O5)),AND(ISNUMBER(RawFinancials!O8),ISNUMBER(_RawBaseline!O5),RawFinancials!O8=_RawBaseline!O5))))</f>
        <v>0</v>
      </c>
      <c r="U8" s="12" t="n">
        <f aca="false">IF(AND(D8=WF_START_PERIOD,R8,COUNTIFS($B$5:$B$750,B8,$D$5:$D$750,WF_END_PERIOD,$R$5:$R$750,TRUE())&gt;0),SUMIFS($S$5:$S$750,$B$5:$B$750,B8,$D$5:$D$750,WF_END_PERIOD,$R$5:$R$750,TRUE()),0)</f>
        <v>0</v>
      </c>
      <c r="V8" s="4" t="str">
        <f aca="false">IF(AND(D8=WF_START_PERIOD,COUNTIFS($B$5:$B$750,B8,$D$5:$D$750,WF_END_PERIOD)&gt;0),INDEX($E$5:$E$750,MATCH(B8&amp;"|"&amp;WF_END_PERIOD,$AC$5:$AC$750,0)),"")</f>
        <v/>
      </c>
      <c r="W8" s="10" t="b">
        <f aca="false">COUNTIFS($B$5:$B$750,B8,$D$5:$D$750,WF_START_PERIOD,$R$5:$R$750,TRUE())&gt;0</f>
        <v>1</v>
      </c>
      <c r="X8" s="10" t="b">
        <f aca="false">COUNTIFS($B$5:$B$750,B8,$D$5:$D$750,WF_END_PERIOD,$R$5:$R$750,TRUE())&gt;0</f>
        <v>1</v>
      </c>
      <c r="Y8" s="4" t="str">
        <f aca="false">IF(AND(D8=WF_END_PERIOD,COUNTIFS($B$5:$B$750,B8,$D$5:$D$750,WF_START_PERIOD)&gt;0),INDEX($E$5:$E$750,MATCH(B8&amp;"|"&amp;WF_START_PERIOD,$AC$5:$AC$750,0)),"")</f>
        <v/>
      </c>
      <c r="Z8" s="4" t="str">
        <f aca="false">IF(AND(D8=WF_END_PERIOD,R8),1+COUNTIFS($D$5:$D$750,WF_END_PERIOD,$E$5:$E$750,E8,$R$5:$R$750,TRUE(),$S$5:$S$750,"&gt;"&amp;S8)+COUNTIFS($D$5:$D$750,WF_END_PERIOD,$E$5:$E$750,E8,$R$5:$R$750,TRUE(),$S$5:$S$750,S8,$B$5:$B$750,"&lt;"&amp;B8),"")</f>
        <v/>
      </c>
      <c r="AA8" s="4" t="str">
        <f aca="false">IF(AND(D8=WF_END_PERIOD,R8,Z8&lt;&gt;1),1+COUNTIFS($D$5:$D$750,WF_END_PERIOD,$R$5:$R$750,TRUE(),$Z$5:$Z$750,"&lt;&gt;1",$S$5:$S$750,"&gt;"&amp;S8)+COUNTIFS($D$5:$D$750,WF_END_PERIOD,$R$5:$R$750,TRUE(),$Z$5:$Z$750,"&lt;&gt;1",$S$5:$S$750,S8,$B$5:$B$750,"&lt;"&amp;B8),"")</f>
        <v/>
      </c>
      <c r="AB8" s="10" t="b">
        <f aca="false">OR(D8=WF_START_PERIOD,D8=WF_END_PERIOD)</f>
        <v>0</v>
      </c>
      <c r="AC8" s="4" t="str">
        <f aca="false">B8&amp;"|"&amp;D8</f>
        <v>14134|20220331</v>
      </c>
    </row>
    <row r="9" customFormat="false" ht="15" hidden="false" customHeight="false" outlineLevel="0" collapsed="false">
      <c r="A9" s="4" t="n">
        <f aca="false">RawFinancials!A9</f>
        <v>6</v>
      </c>
      <c r="B9" s="4" t="n">
        <f aca="false">RawFinancials!C9</f>
        <v>14136</v>
      </c>
      <c r="C9" s="4" t="str">
        <f aca="false">RawFinancials!P9</f>
        <v>WELLS RIVER SAVINGS BANK</v>
      </c>
      <c r="D9" s="4" t="n">
        <f aca="false">RawFinancials!W9</f>
        <v>20220331</v>
      </c>
      <c r="E9" s="4" t="str">
        <f aca="false">RawFinancials!Z9</f>
        <v>VT</v>
      </c>
      <c r="F9" s="4" t="n">
        <f aca="false">RawFinancials!B9</f>
        <v>222692</v>
      </c>
      <c r="G9" s="4" t="n">
        <f aca="false">RawFinancials!U9</f>
        <v>639</v>
      </c>
      <c r="H9" s="4" t="n">
        <f aca="false">RawFinancials!O9</f>
        <v>174</v>
      </c>
      <c r="I9" s="4" t="n">
        <f aca="false">IF(AND(ISNUMBER(G9),ISNUMBER(H9)),G9+H9,"")</f>
        <v>813</v>
      </c>
      <c r="J9" s="4" t="n">
        <f aca="false">RawFinancials!D9</f>
        <v>199279</v>
      </c>
      <c r="K9" s="4" t="n">
        <f aca="false">RawFinancials!F9</f>
        <v>18834</v>
      </c>
      <c r="L9" s="4" t="n">
        <f aca="false">RawFinancials!L9</f>
        <v>121199</v>
      </c>
      <c r="M9" s="4" t="n">
        <f aca="false">RawFinancials!N9</f>
        <v>96809</v>
      </c>
      <c r="N9" s="12" t="n">
        <f aca="false">RawFinancials!X9</f>
        <v>0.199549216522136</v>
      </c>
      <c r="O9" s="12" t="n">
        <f aca="false">RawFinancials!V9</f>
        <v>17.2762204998947</v>
      </c>
      <c r="P9" s="12" t="n">
        <f aca="false">IF(AND(ISNUMBER(L9),L9&lt;&gt;0,ISNUMBER(M9)),100*M9/L9,"")</f>
        <v>79.8760715847491</v>
      </c>
      <c r="Q9" s="12" t="n">
        <f aca="false">IF(AND(ISNUMBER(F9),F9&lt;&gt;0,ISNUMBER(K9)),100*K9/F9,"")</f>
        <v>8.45742101198067</v>
      </c>
      <c r="R9" s="10" t="b">
        <f aca="false">AND(ISNUMBER(F9),F9&gt;0,ISNUMBER(G9),G9&gt;=0,ISNUMBER(H9),H9&gt;=0)</f>
        <v>1</v>
      </c>
      <c r="S9" s="12" t="n">
        <f aca="false">IF(R9,100*I9/F9,"")</f>
        <v>0.365078224633126</v>
      </c>
      <c r="T9" s="10" t="b">
        <f aca="false">NOT(AND(OR(AND(ISBLANK(RawFinancials!B9),ISBLANK(_RawBaseline!B6)),AND(ISNUMBER(RawFinancials!B9),ISNUMBER(_RawBaseline!B6),RawFinancials!B9=_RawBaseline!B6)),OR(AND(ISBLANK(RawFinancials!U9),ISBLANK(_RawBaseline!U6)),AND(ISNUMBER(RawFinancials!U9),ISNUMBER(_RawBaseline!U6),RawFinancials!U9=_RawBaseline!U6)),OR(AND(ISBLANK(RawFinancials!O9),ISBLANK(_RawBaseline!O6)),AND(ISNUMBER(RawFinancials!O9),ISNUMBER(_RawBaseline!O6),RawFinancials!O9=_RawBaseline!O6))))</f>
        <v>0</v>
      </c>
      <c r="U9" s="12" t="n">
        <f aca="false">IF(AND(D9=WF_START_PERIOD,R9,COUNTIFS($B$5:$B$750,B9,$D$5:$D$750,WF_END_PERIOD,$R$5:$R$750,TRUE())&gt;0),SUMIFS($S$5:$S$750,$B$5:$B$750,B9,$D$5:$D$750,WF_END_PERIOD,$R$5:$R$750,TRUE()),0)</f>
        <v>0</v>
      </c>
      <c r="V9" s="4" t="str">
        <f aca="false">IF(AND(D9=WF_START_PERIOD,COUNTIFS($B$5:$B$750,B9,$D$5:$D$750,WF_END_PERIOD)&gt;0),INDEX($E$5:$E$750,MATCH(B9&amp;"|"&amp;WF_END_PERIOD,$AC$5:$AC$750,0)),"")</f>
        <v/>
      </c>
      <c r="W9" s="10" t="b">
        <f aca="false">COUNTIFS($B$5:$B$750,B9,$D$5:$D$750,WF_START_PERIOD,$R$5:$R$750,TRUE())&gt;0</f>
        <v>1</v>
      </c>
      <c r="X9" s="10" t="b">
        <f aca="false">COUNTIFS($B$5:$B$750,B9,$D$5:$D$750,WF_END_PERIOD,$R$5:$R$750,TRUE())&gt;0</f>
        <v>1</v>
      </c>
      <c r="Y9" s="4" t="str">
        <f aca="false">IF(AND(D9=WF_END_PERIOD,COUNTIFS($B$5:$B$750,B9,$D$5:$D$750,WF_START_PERIOD)&gt;0),INDEX($E$5:$E$750,MATCH(B9&amp;"|"&amp;WF_START_PERIOD,$AC$5:$AC$750,0)),"")</f>
        <v/>
      </c>
      <c r="Z9" s="4" t="str">
        <f aca="false">IF(AND(D9=WF_END_PERIOD,R9),1+COUNTIFS($D$5:$D$750,WF_END_PERIOD,$E$5:$E$750,E9,$R$5:$R$750,TRUE(),$S$5:$S$750,"&gt;"&amp;S9)+COUNTIFS($D$5:$D$750,WF_END_PERIOD,$E$5:$E$750,E9,$R$5:$R$750,TRUE(),$S$5:$S$750,S9,$B$5:$B$750,"&lt;"&amp;B9),"")</f>
        <v/>
      </c>
      <c r="AA9" s="4" t="str">
        <f aca="false">IF(AND(D9=WF_END_PERIOD,R9,Z9&lt;&gt;1),1+COUNTIFS($D$5:$D$750,WF_END_PERIOD,$R$5:$R$750,TRUE(),$Z$5:$Z$750,"&lt;&gt;1",$S$5:$S$750,"&gt;"&amp;S9)+COUNTIFS($D$5:$D$750,WF_END_PERIOD,$R$5:$R$750,TRUE(),$Z$5:$Z$750,"&lt;&gt;1",$S$5:$S$750,S9,$B$5:$B$750,"&lt;"&amp;B9),"")</f>
        <v/>
      </c>
      <c r="AB9" s="10" t="b">
        <f aca="false">OR(D9=WF_START_PERIOD,D9=WF_END_PERIOD)</f>
        <v>0</v>
      </c>
      <c r="AC9" s="4" t="str">
        <f aca="false">B9&amp;"|"&amp;D9</f>
        <v>14136|20220331</v>
      </c>
    </row>
    <row r="10" customFormat="false" ht="15" hidden="false" customHeight="false" outlineLevel="0" collapsed="false">
      <c r="A10" s="4" t="n">
        <f aca="false">RawFinancials!A10</f>
        <v>7</v>
      </c>
      <c r="B10" s="4" t="n">
        <f aca="false">RawFinancials!C10</f>
        <v>14140</v>
      </c>
      <c r="C10" s="4" t="str">
        <f aca="false">RawFinancials!P10</f>
        <v>NORTHFIELD SAVINGS BANK</v>
      </c>
      <c r="D10" s="4" t="n">
        <f aca="false">RawFinancials!W10</f>
        <v>20220331</v>
      </c>
      <c r="E10" s="4" t="str">
        <f aca="false">RawFinancials!Z10</f>
        <v>VT</v>
      </c>
      <c r="F10" s="4" t="n">
        <f aca="false">RawFinancials!B10</f>
        <v>1414510</v>
      </c>
      <c r="G10" s="4" t="n">
        <f aca="false">RawFinancials!U10</f>
        <v>0</v>
      </c>
      <c r="H10" s="4" t="n">
        <f aca="false">RawFinancials!O10</f>
        <v>5589</v>
      </c>
      <c r="I10" s="4" t="n">
        <f aca="false">IF(AND(ISNUMBER(G10),ISNUMBER(H10)),G10+H10,"")</f>
        <v>5589</v>
      </c>
      <c r="J10" s="4" t="n">
        <f aca="false">RawFinancials!D10</f>
        <v>1199427</v>
      </c>
      <c r="K10" s="4" t="n">
        <f aca="false">RawFinancials!F10</f>
        <v>123854</v>
      </c>
      <c r="L10" s="4" t="n">
        <f aca="false">RawFinancials!L10</f>
        <v>957867</v>
      </c>
      <c r="M10" s="4" t="n">
        <f aca="false">RawFinancials!N10</f>
        <v>866005</v>
      </c>
      <c r="N10" s="12" t="n">
        <f aca="false">RawFinancials!X10</f>
        <v>0.662126324527825</v>
      </c>
      <c r="O10" s="12" t="n">
        <f aca="false">RawFinancials!V10</f>
        <v>0</v>
      </c>
      <c r="P10" s="12" t="n">
        <f aca="false">IF(AND(ISNUMBER(L10),L10&lt;&gt;0,ISNUMBER(M10)),100*M10/L10,"")</f>
        <v>90.4097332928267</v>
      </c>
      <c r="Q10" s="12" t="n">
        <f aca="false">IF(AND(ISNUMBER(F10),F10&lt;&gt;0,ISNUMBER(K10)),100*K10/F10,"")</f>
        <v>8.75596496313211</v>
      </c>
      <c r="R10" s="10" t="b">
        <f aca="false">AND(ISNUMBER(F10),F10&gt;0,ISNUMBER(G10),G10&gt;=0,ISNUMBER(H10),H10&gt;=0)</f>
        <v>1</v>
      </c>
      <c r="S10" s="12" t="n">
        <f aca="false">IF(R10,100*I10/F10,"")</f>
        <v>0.395119157870924</v>
      </c>
      <c r="T10" s="10" t="b">
        <f aca="false">NOT(AND(OR(AND(ISBLANK(RawFinancials!B10),ISBLANK(_RawBaseline!B7)),AND(ISNUMBER(RawFinancials!B10),ISNUMBER(_RawBaseline!B7),RawFinancials!B10=_RawBaseline!B7)),OR(AND(ISBLANK(RawFinancials!U10),ISBLANK(_RawBaseline!U7)),AND(ISNUMBER(RawFinancials!U10),ISNUMBER(_RawBaseline!U7),RawFinancials!U10=_RawBaseline!U7)),OR(AND(ISBLANK(RawFinancials!O10),ISBLANK(_RawBaseline!O7)),AND(ISNUMBER(RawFinancials!O10),ISNUMBER(_RawBaseline!O7),RawFinancials!O10=_RawBaseline!O7))))</f>
        <v>0</v>
      </c>
      <c r="U10" s="12" t="n">
        <f aca="false">IF(AND(D10=WF_START_PERIOD,R10,COUNTIFS($B$5:$B$750,B10,$D$5:$D$750,WF_END_PERIOD,$R$5:$R$750,TRUE())&gt;0),SUMIFS($S$5:$S$750,$B$5:$B$750,B10,$D$5:$D$750,WF_END_PERIOD,$R$5:$R$750,TRUE()),0)</f>
        <v>0</v>
      </c>
      <c r="V10" s="4" t="str">
        <f aca="false">IF(AND(D10=WF_START_PERIOD,COUNTIFS($B$5:$B$750,B10,$D$5:$D$750,WF_END_PERIOD)&gt;0),INDEX($E$5:$E$750,MATCH(B10&amp;"|"&amp;WF_END_PERIOD,$AC$5:$AC$750,0)),"")</f>
        <v/>
      </c>
      <c r="W10" s="10" t="b">
        <f aca="false">COUNTIFS($B$5:$B$750,B10,$D$5:$D$750,WF_START_PERIOD,$R$5:$R$750,TRUE())&gt;0</f>
        <v>1</v>
      </c>
      <c r="X10" s="10" t="b">
        <f aca="false">COUNTIFS($B$5:$B$750,B10,$D$5:$D$750,WF_END_PERIOD,$R$5:$R$750,TRUE())&gt;0</f>
        <v>1</v>
      </c>
      <c r="Y10" s="4" t="str">
        <f aca="false">IF(AND(D10=WF_END_PERIOD,COUNTIFS($B$5:$B$750,B10,$D$5:$D$750,WF_START_PERIOD)&gt;0),INDEX($E$5:$E$750,MATCH(B10&amp;"|"&amp;WF_START_PERIOD,$AC$5:$AC$750,0)),"")</f>
        <v/>
      </c>
      <c r="Z10" s="4" t="str">
        <f aca="false">IF(AND(D10=WF_END_PERIOD,R10),1+COUNTIFS($D$5:$D$750,WF_END_PERIOD,$E$5:$E$750,E10,$R$5:$R$750,TRUE(),$S$5:$S$750,"&gt;"&amp;S10)+COUNTIFS($D$5:$D$750,WF_END_PERIOD,$E$5:$E$750,E10,$R$5:$R$750,TRUE(),$S$5:$S$750,S10,$B$5:$B$750,"&lt;"&amp;B10),"")</f>
        <v/>
      </c>
      <c r="AA10" s="4" t="str">
        <f aca="false">IF(AND(D10=WF_END_PERIOD,R10,Z10&lt;&gt;1),1+COUNTIFS($D$5:$D$750,WF_END_PERIOD,$R$5:$R$750,TRUE(),$Z$5:$Z$750,"&lt;&gt;1",$S$5:$S$750,"&gt;"&amp;S10)+COUNTIFS($D$5:$D$750,WF_END_PERIOD,$R$5:$R$750,TRUE(),$Z$5:$Z$750,"&lt;&gt;1",$S$5:$S$750,S10,$B$5:$B$750,"&lt;"&amp;B10),"")</f>
        <v/>
      </c>
      <c r="AB10" s="10" t="b">
        <f aca="false">OR(D10=WF_START_PERIOD,D10=WF_END_PERIOD)</f>
        <v>0</v>
      </c>
      <c r="AC10" s="4" t="str">
        <f aca="false">B10&amp;"|"&amp;D10</f>
        <v>14140|20220331</v>
      </c>
    </row>
    <row r="11" customFormat="false" ht="15" hidden="false" customHeight="false" outlineLevel="0" collapsed="false">
      <c r="A11" s="4" t="n">
        <f aca="false">RawFinancials!A11</f>
        <v>8</v>
      </c>
      <c r="B11" s="4" t="n">
        <f aca="false">RawFinancials!C11</f>
        <v>14158</v>
      </c>
      <c r="C11" s="4" t="str">
        <f aca="false">RawFinancials!P11</f>
        <v>UNION BANK</v>
      </c>
      <c r="D11" s="4" t="n">
        <f aca="false">RawFinancials!W11</f>
        <v>20220331</v>
      </c>
      <c r="E11" s="4" t="str">
        <f aca="false">RawFinancials!Z11</f>
        <v>VT</v>
      </c>
      <c r="F11" s="4" t="n">
        <f aca="false">RawFinancials!B11</f>
        <v>1232701</v>
      </c>
      <c r="G11" s="4" t="n">
        <f aca="false">RawFinancials!U11</f>
        <v>229</v>
      </c>
      <c r="H11" s="4" t="n">
        <f aca="false">RawFinancials!O11</f>
        <v>4405</v>
      </c>
      <c r="I11" s="4" t="n">
        <f aca="false">IF(AND(ISNUMBER(G11),ISNUMBER(H11)),G11+H11,"")</f>
        <v>4634</v>
      </c>
      <c r="J11" s="4" t="n">
        <f aca="false">RawFinancials!D11</f>
        <v>1137254</v>
      </c>
      <c r="K11" s="4" t="n">
        <f aca="false">RawFinancials!F11</f>
        <v>85105</v>
      </c>
      <c r="L11" s="4" t="n">
        <f aca="false">RawFinancials!L11</f>
        <v>830963</v>
      </c>
      <c r="M11" s="4" t="n">
        <f aca="false">RawFinancials!N11</f>
        <v>698008</v>
      </c>
      <c r="N11" s="12" t="n">
        <f aca="false">RawFinancials!X11</f>
        <v>0.88329131873326</v>
      </c>
      <c r="O11" s="12" t="n">
        <f aca="false">RawFinancials!V11</f>
        <v>14.788125615083</v>
      </c>
      <c r="P11" s="12" t="n">
        <f aca="false">IF(AND(ISNUMBER(L11),L11&lt;&gt;0,ISNUMBER(M11)),100*M11/L11,"")</f>
        <v>83.9998892850825</v>
      </c>
      <c r="Q11" s="12" t="n">
        <f aca="false">IF(AND(ISNUMBER(F11),F11&lt;&gt;0,ISNUMBER(K11)),100*K11/F11,"")</f>
        <v>6.90394507670554</v>
      </c>
      <c r="R11" s="10" t="b">
        <f aca="false">AND(ISNUMBER(F11),F11&gt;0,ISNUMBER(G11),G11&gt;=0,ISNUMBER(H11),H11&gt;=0)</f>
        <v>1</v>
      </c>
      <c r="S11" s="12" t="n">
        <f aca="false">IF(R11,100*I11/F11,"")</f>
        <v>0.375922466194154</v>
      </c>
      <c r="T11" s="10" t="b">
        <f aca="false">NOT(AND(OR(AND(ISBLANK(RawFinancials!B11),ISBLANK(_RawBaseline!B8)),AND(ISNUMBER(RawFinancials!B11),ISNUMBER(_RawBaseline!B8),RawFinancials!B11=_RawBaseline!B8)),OR(AND(ISBLANK(RawFinancials!U11),ISBLANK(_RawBaseline!U8)),AND(ISNUMBER(RawFinancials!U11),ISNUMBER(_RawBaseline!U8),RawFinancials!U11=_RawBaseline!U8)),OR(AND(ISBLANK(RawFinancials!O11),ISBLANK(_RawBaseline!O8)),AND(ISNUMBER(RawFinancials!O11),ISNUMBER(_RawBaseline!O8),RawFinancials!O11=_RawBaseline!O8))))</f>
        <v>0</v>
      </c>
      <c r="U11" s="12" t="n">
        <f aca="false">IF(AND(D11=WF_START_PERIOD,R11,COUNTIFS($B$5:$B$750,B11,$D$5:$D$750,WF_END_PERIOD,$R$5:$R$750,TRUE())&gt;0),SUMIFS($S$5:$S$750,$B$5:$B$750,B11,$D$5:$D$750,WF_END_PERIOD,$R$5:$R$750,TRUE()),0)</f>
        <v>0</v>
      </c>
      <c r="V11" s="4" t="str">
        <f aca="false">IF(AND(D11=WF_START_PERIOD,COUNTIFS($B$5:$B$750,B11,$D$5:$D$750,WF_END_PERIOD)&gt;0),INDEX($E$5:$E$750,MATCH(B11&amp;"|"&amp;WF_END_PERIOD,$AC$5:$AC$750,0)),"")</f>
        <v/>
      </c>
      <c r="W11" s="10" t="b">
        <f aca="false">COUNTIFS($B$5:$B$750,B11,$D$5:$D$750,WF_START_PERIOD,$R$5:$R$750,TRUE())&gt;0</f>
        <v>1</v>
      </c>
      <c r="X11" s="10" t="b">
        <f aca="false">COUNTIFS($B$5:$B$750,B11,$D$5:$D$750,WF_END_PERIOD,$R$5:$R$750,TRUE())&gt;0</f>
        <v>1</v>
      </c>
      <c r="Y11" s="4" t="str">
        <f aca="false">IF(AND(D11=WF_END_PERIOD,COUNTIFS($B$5:$B$750,B11,$D$5:$D$750,WF_START_PERIOD)&gt;0),INDEX($E$5:$E$750,MATCH(B11&amp;"|"&amp;WF_START_PERIOD,$AC$5:$AC$750,0)),"")</f>
        <v/>
      </c>
      <c r="Z11" s="4" t="str">
        <f aca="false">IF(AND(D11=WF_END_PERIOD,R11),1+COUNTIFS($D$5:$D$750,WF_END_PERIOD,$E$5:$E$750,E11,$R$5:$R$750,TRUE(),$S$5:$S$750,"&gt;"&amp;S11)+COUNTIFS($D$5:$D$750,WF_END_PERIOD,$E$5:$E$750,E11,$R$5:$R$750,TRUE(),$S$5:$S$750,S11,$B$5:$B$750,"&lt;"&amp;B11),"")</f>
        <v/>
      </c>
      <c r="AA11" s="4" t="str">
        <f aca="false">IF(AND(D11=WF_END_PERIOD,R11,Z11&lt;&gt;1),1+COUNTIFS($D$5:$D$750,WF_END_PERIOD,$R$5:$R$750,TRUE(),$Z$5:$Z$750,"&lt;&gt;1",$S$5:$S$750,"&gt;"&amp;S11)+COUNTIFS($D$5:$D$750,WF_END_PERIOD,$R$5:$R$750,TRUE(),$Z$5:$Z$750,"&lt;&gt;1",$S$5:$S$750,S11,$B$5:$B$750,"&lt;"&amp;B11),"")</f>
        <v/>
      </c>
      <c r="AB11" s="10" t="b">
        <f aca="false">OR(D11=WF_START_PERIOD,D11=WF_END_PERIOD)</f>
        <v>0</v>
      </c>
      <c r="AC11" s="4" t="str">
        <f aca="false">B11&amp;"|"&amp;D11</f>
        <v>14158|20220331</v>
      </c>
    </row>
    <row r="12" customFormat="false" ht="15" hidden="false" customHeight="false" outlineLevel="0" collapsed="false">
      <c r="A12" s="4" t="n">
        <f aca="false">RawFinancials!A12</f>
        <v>9</v>
      </c>
      <c r="B12" s="4" t="n">
        <f aca="false">RawFinancials!C12</f>
        <v>14168</v>
      </c>
      <c r="C12" s="4" t="str">
        <f aca="false">RawFinancials!P12</f>
        <v>PEOPLES TRUST COMPANY OF ST. ALBANS</v>
      </c>
      <c r="D12" s="4" t="n">
        <f aca="false">RawFinancials!W12</f>
        <v>20220331</v>
      </c>
      <c r="E12" s="4" t="str">
        <f aca="false">RawFinancials!Z12</f>
        <v>VT</v>
      </c>
      <c r="F12" s="4" t="n">
        <f aca="false">RawFinancials!B12</f>
        <v>384095</v>
      </c>
      <c r="G12" s="4" t="n">
        <f aca="false">RawFinancials!U12</f>
        <v>0</v>
      </c>
      <c r="H12" s="4" t="n">
        <f aca="false">RawFinancials!O12</f>
        <v>1188</v>
      </c>
      <c r="I12" s="4" t="n">
        <f aca="false">IF(AND(ISNUMBER(G12),ISNUMBER(H12)),G12+H12,"")</f>
        <v>1188</v>
      </c>
      <c r="J12" s="4" t="n">
        <f aca="false">RawFinancials!D12</f>
        <v>345364</v>
      </c>
      <c r="K12" s="4" t="n">
        <f aca="false">RawFinancials!F12</f>
        <v>34244</v>
      </c>
      <c r="L12" s="4" t="n">
        <f aca="false">RawFinancials!L12</f>
        <v>191155</v>
      </c>
      <c r="M12" s="4" t="n">
        <f aca="false">RawFinancials!N12</f>
        <v>161619</v>
      </c>
      <c r="N12" s="12" t="n">
        <f aca="false">RawFinancials!X12</f>
        <v>0.135788316459894</v>
      </c>
      <c r="O12" s="12" t="n">
        <f aca="false">RawFinancials!V12</f>
        <v>19.8246428808378</v>
      </c>
      <c r="P12" s="12" t="n">
        <f aca="false">IF(AND(ISNUMBER(L12),L12&lt;&gt;0,ISNUMBER(M12)),100*M12/L12,"")</f>
        <v>84.548664696189</v>
      </c>
      <c r="Q12" s="12" t="n">
        <f aca="false">IF(AND(ISNUMBER(F12),F12&lt;&gt;0,ISNUMBER(K12)),100*K12/F12,"")</f>
        <v>8.91550267511944</v>
      </c>
      <c r="R12" s="10" t="b">
        <f aca="false">AND(ISNUMBER(F12),F12&gt;0,ISNUMBER(G12),G12&gt;=0,ISNUMBER(H12),H12&gt;=0)</f>
        <v>1</v>
      </c>
      <c r="S12" s="12" t="n">
        <f aca="false">IF(R12,100*I12/F12,"")</f>
        <v>0.309298480844583</v>
      </c>
      <c r="T12" s="10" t="b">
        <f aca="false">NOT(AND(OR(AND(ISBLANK(RawFinancials!B12),ISBLANK(_RawBaseline!B9)),AND(ISNUMBER(RawFinancials!B12),ISNUMBER(_RawBaseline!B9),RawFinancials!B12=_RawBaseline!B9)),OR(AND(ISBLANK(RawFinancials!U12),ISBLANK(_RawBaseline!U9)),AND(ISNUMBER(RawFinancials!U12),ISNUMBER(_RawBaseline!U9),RawFinancials!U12=_RawBaseline!U9)),OR(AND(ISBLANK(RawFinancials!O12),ISBLANK(_RawBaseline!O9)),AND(ISNUMBER(RawFinancials!O12),ISNUMBER(_RawBaseline!O9),RawFinancials!O12=_RawBaseline!O9))))</f>
        <v>0</v>
      </c>
      <c r="U12" s="12" t="n">
        <f aca="false">IF(AND(D12=WF_START_PERIOD,R12,COUNTIFS($B$5:$B$750,B12,$D$5:$D$750,WF_END_PERIOD,$R$5:$R$750,TRUE())&gt;0),SUMIFS($S$5:$S$750,$B$5:$B$750,B12,$D$5:$D$750,WF_END_PERIOD,$R$5:$R$750,TRUE()),0)</f>
        <v>0</v>
      </c>
      <c r="V12" s="4" t="str">
        <f aca="false">IF(AND(D12=WF_START_PERIOD,COUNTIFS($B$5:$B$750,B12,$D$5:$D$750,WF_END_PERIOD)&gt;0),INDEX($E$5:$E$750,MATCH(B12&amp;"|"&amp;WF_END_PERIOD,$AC$5:$AC$750,0)),"")</f>
        <v/>
      </c>
      <c r="W12" s="10" t="b">
        <f aca="false">COUNTIFS($B$5:$B$750,B12,$D$5:$D$750,WF_START_PERIOD,$R$5:$R$750,TRUE())&gt;0</f>
        <v>1</v>
      </c>
      <c r="X12" s="10" t="b">
        <f aca="false">COUNTIFS($B$5:$B$750,B12,$D$5:$D$750,WF_END_PERIOD,$R$5:$R$750,TRUE())&gt;0</f>
        <v>1</v>
      </c>
      <c r="Y12" s="4" t="str">
        <f aca="false">IF(AND(D12=WF_END_PERIOD,COUNTIFS($B$5:$B$750,B12,$D$5:$D$750,WF_START_PERIOD)&gt;0),INDEX($E$5:$E$750,MATCH(B12&amp;"|"&amp;WF_START_PERIOD,$AC$5:$AC$750,0)),"")</f>
        <v/>
      </c>
      <c r="Z12" s="4" t="str">
        <f aca="false">IF(AND(D12=WF_END_PERIOD,R12),1+COUNTIFS($D$5:$D$750,WF_END_PERIOD,$E$5:$E$750,E12,$R$5:$R$750,TRUE(),$S$5:$S$750,"&gt;"&amp;S12)+COUNTIFS($D$5:$D$750,WF_END_PERIOD,$E$5:$E$750,E12,$R$5:$R$750,TRUE(),$S$5:$S$750,S12,$B$5:$B$750,"&lt;"&amp;B12),"")</f>
        <v/>
      </c>
      <c r="AA12" s="4" t="str">
        <f aca="false">IF(AND(D12=WF_END_PERIOD,R12,Z12&lt;&gt;1),1+COUNTIFS($D$5:$D$750,WF_END_PERIOD,$R$5:$R$750,TRUE(),$Z$5:$Z$750,"&lt;&gt;1",$S$5:$S$750,"&gt;"&amp;S12)+COUNTIFS($D$5:$D$750,WF_END_PERIOD,$R$5:$R$750,TRUE(),$Z$5:$Z$750,"&lt;&gt;1",$S$5:$S$750,S12,$B$5:$B$750,"&lt;"&amp;B12),"")</f>
        <v/>
      </c>
      <c r="AB12" s="10" t="b">
        <f aca="false">OR(D12=WF_START_PERIOD,D12=WF_END_PERIOD)</f>
        <v>0</v>
      </c>
      <c r="AC12" s="4" t="str">
        <f aca="false">B12&amp;"|"&amp;D12</f>
        <v>14168|20220331</v>
      </c>
    </row>
    <row r="13" customFormat="false" ht="15" hidden="false" customHeight="false" outlineLevel="0" collapsed="false">
      <c r="A13" s="4" t="n">
        <f aca="false">RawFinancials!A13</f>
        <v>10</v>
      </c>
      <c r="B13" s="4" t="n">
        <f aca="false">RawFinancials!C13</f>
        <v>14240</v>
      </c>
      <c r="C13" s="4" t="str">
        <f aca="false">RawFinancials!P13</f>
        <v>NORTHWAY BANK</v>
      </c>
      <c r="D13" s="4" t="n">
        <f aca="false">RawFinancials!W13</f>
        <v>20220331</v>
      </c>
      <c r="E13" s="4" t="str">
        <f aca="false">RawFinancials!Z13</f>
        <v>NH</v>
      </c>
      <c r="F13" s="4" t="n">
        <f aca="false">RawFinancials!B13</f>
        <v>1221074</v>
      </c>
      <c r="G13" s="4" t="n">
        <f aca="false">RawFinancials!U13</f>
        <v>0</v>
      </c>
      <c r="H13" s="4" t="n">
        <f aca="false">RawFinancials!O13</f>
        <v>2204</v>
      </c>
      <c r="I13" s="4" t="n">
        <f aca="false">IF(AND(ISNUMBER(G13),ISNUMBER(H13)),G13+H13,"")</f>
        <v>2204</v>
      </c>
      <c r="J13" s="4" t="n">
        <f aca="false">RawFinancials!D13</f>
        <v>1020645</v>
      </c>
      <c r="K13" s="4" t="n">
        <f aca="false">RawFinancials!F13</f>
        <v>102113</v>
      </c>
      <c r="L13" s="4" t="n">
        <f aca="false">RawFinancials!L13</f>
        <v>824670</v>
      </c>
      <c r="M13" s="4" t="n">
        <f aca="false">RawFinancials!N13</f>
        <v>705835</v>
      </c>
      <c r="N13" s="12" t="n">
        <f aca="false">RawFinancials!X13</f>
        <v>0.06981188133279</v>
      </c>
      <c r="O13" s="12" t="n">
        <f aca="false">RawFinancials!V13</f>
        <v>15.1069923364339</v>
      </c>
      <c r="P13" s="12" t="n">
        <f aca="false">IF(AND(ISNUMBER(L13),L13&lt;&gt;0,ISNUMBER(M13)),100*M13/L13,"")</f>
        <v>85.5899935731869</v>
      </c>
      <c r="Q13" s="12" t="n">
        <f aca="false">IF(AND(ISNUMBER(F13),F13&lt;&gt;0,ISNUMBER(K13)),100*K13/F13,"")</f>
        <v>8.36255624147267</v>
      </c>
      <c r="R13" s="10" t="b">
        <f aca="false">AND(ISNUMBER(F13),F13&gt;0,ISNUMBER(G13),G13&gt;=0,ISNUMBER(H13),H13&gt;=0)</f>
        <v>1</v>
      </c>
      <c r="S13" s="12" t="n">
        <f aca="false">IF(R13,100*I13/F13,"")</f>
        <v>0.180496841305277</v>
      </c>
      <c r="T13" s="10" t="b">
        <f aca="false">NOT(AND(OR(AND(ISBLANK(RawFinancials!B13),ISBLANK(_RawBaseline!B10)),AND(ISNUMBER(RawFinancials!B13),ISNUMBER(_RawBaseline!B10),RawFinancials!B13=_RawBaseline!B10)),OR(AND(ISBLANK(RawFinancials!U13),ISBLANK(_RawBaseline!U10)),AND(ISNUMBER(RawFinancials!U13),ISNUMBER(_RawBaseline!U10),RawFinancials!U13=_RawBaseline!U10)),OR(AND(ISBLANK(RawFinancials!O13),ISBLANK(_RawBaseline!O10)),AND(ISNUMBER(RawFinancials!O13),ISNUMBER(_RawBaseline!O10),RawFinancials!O13=_RawBaseline!O10))))</f>
        <v>0</v>
      </c>
      <c r="U13" s="12" t="n">
        <f aca="false">IF(AND(D13=WF_START_PERIOD,R13,COUNTIFS($B$5:$B$750,B13,$D$5:$D$750,WF_END_PERIOD,$R$5:$R$750,TRUE())&gt;0),SUMIFS($S$5:$S$750,$B$5:$B$750,B13,$D$5:$D$750,WF_END_PERIOD,$R$5:$R$750,TRUE()),0)</f>
        <v>0</v>
      </c>
      <c r="V13" s="4" t="str">
        <f aca="false">IF(AND(D13=WF_START_PERIOD,COUNTIFS($B$5:$B$750,B13,$D$5:$D$750,WF_END_PERIOD)&gt;0),INDEX($E$5:$E$750,MATCH(B13&amp;"|"&amp;WF_END_PERIOD,$AC$5:$AC$750,0)),"")</f>
        <v/>
      </c>
      <c r="W13" s="10" t="b">
        <f aca="false">COUNTIFS($B$5:$B$750,B13,$D$5:$D$750,WF_START_PERIOD,$R$5:$R$750,TRUE())&gt;0</f>
        <v>1</v>
      </c>
      <c r="X13" s="10" t="b">
        <f aca="false">COUNTIFS($B$5:$B$750,B13,$D$5:$D$750,WF_END_PERIOD,$R$5:$R$750,TRUE())&gt;0</f>
        <v>0</v>
      </c>
      <c r="Y13" s="4" t="str">
        <f aca="false">IF(AND(D13=WF_END_PERIOD,COUNTIFS($B$5:$B$750,B13,$D$5:$D$750,WF_START_PERIOD)&gt;0),INDEX($E$5:$E$750,MATCH(B13&amp;"|"&amp;WF_START_PERIOD,$AC$5:$AC$750,0)),"")</f>
        <v/>
      </c>
      <c r="Z13" s="4" t="str">
        <f aca="false">IF(AND(D13=WF_END_PERIOD,R13),1+COUNTIFS($D$5:$D$750,WF_END_PERIOD,$E$5:$E$750,E13,$R$5:$R$750,TRUE(),$S$5:$S$750,"&gt;"&amp;S13)+COUNTIFS($D$5:$D$750,WF_END_PERIOD,$E$5:$E$750,E13,$R$5:$R$750,TRUE(),$S$5:$S$750,S13,$B$5:$B$750,"&lt;"&amp;B13),"")</f>
        <v/>
      </c>
      <c r="AA13" s="4" t="str">
        <f aca="false">IF(AND(D13=WF_END_PERIOD,R13,Z13&lt;&gt;1),1+COUNTIFS($D$5:$D$750,WF_END_PERIOD,$R$5:$R$750,TRUE(),$Z$5:$Z$750,"&lt;&gt;1",$S$5:$S$750,"&gt;"&amp;S13)+COUNTIFS($D$5:$D$750,WF_END_PERIOD,$R$5:$R$750,TRUE(),$Z$5:$Z$750,"&lt;&gt;1",$S$5:$S$750,S13,$B$5:$B$750,"&lt;"&amp;B13),"")</f>
        <v/>
      </c>
      <c r="AB13" s="10" t="b">
        <f aca="false">OR(D13=WF_START_PERIOD,D13=WF_END_PERIOD)</f>
        <v>0</v>
      </c>
      <c r="AC13" s="4" t="str">
        <f aca="false">B13&amp;"|"&amp;D13</f>
        <v>14240|20220331</v>
      </c>
    </row>
    <row r="14" customFormat="false" ht="15" hidden="false" customHeight="false" outlineLevel="0" collapsed="false">
      <c r="A14" s="4" t="n">
        <f aca="false">RawFinancials!A14</f>
        <v>11</v>
      </c>
      <c r="B14" s="4" t="n">
        <f aca="false">RawFinancials!C14</f>
        <v>17115</v>
      </c>
      <c r="C14" s="4" t="str">
        <f aca="false">RawFinancials!P14</f>
        <v>PARTNERS BANK OF NEW ENGLAND</v>
      </c>
      <c r="D14" s="4" t="n">
        <f aca="false">RawFinancials!W14</f>
        <v>20220331</v>
      </c>
      <c r="E14" s="4" t="str">
        <f aca="false">RawFinancials!Z14</f>
        <v>ME</v>
      </c>
      <c r="F14" s="4" t="n">
        <f aca="false">RawFinancials!B14</f>
        <v>836644</v>
      </c>
      <c r="G14" s="4" t="n">
        <f aca="false">RawFinancials!U14</f>
        <v>0</v>
      </c>
      <c r="H14" s="4" t="n">
        <f aca="false">RawFinancials!O14</f>
        <v>164</v>
      </c>
      <c r="I14" s="4" t="n">
        <f aca="false">IF(AND(ISNUMBER(G14),ISNUMBER(H14)),G14+H14,"")</f>
        <v>164</v>
      </c>
      <c r="J14" s="4" t="n">
        <f aca="false">RawFinancials!D14</f>
        <v>738943</v>
      </c>
      <c r="K14" s="4" t="n">
        <f aca="false">RawFinancials!F14</f>
        <v>83239</v>
      </c>
      <c r="L14" s="4" t="n">
        <f aca="false">RawFinancials!L14</f>
        <v>656481</v>
      </c>
      <c r="M14" s="4" t="n">
        <f aca="false">RawFinancials!N14</f>
        <v>608827</v>
      </c>
      <c r="N14" s="12" t="n">
        <f aca="false">RawFinancials!X14</f>
        <v>1.11496929665211</v>
      </c>
      <c r="O14" s="12" t="n">
        <f aca="false">RawFinancials!V14</f>
        <v>15.6064687872223</v>
      </c>
      <c r="P14" s="12" t="n">
        <f aca="false">IF(AND(ISNUMBER(L14),L14&lt;&gt;0,ISNUMBER(M14)),100*M14/L14,"")</f>
        <v>92.7409932656086</v>
      </c>
      <c r="Q14" s="12" t="n">
        <f aca="false">IF(AND(ISNUMBER(F14),F14&lt;&gt;0,ISNUMBER(K14)),100*K14/F14,"")</f>
        <v>9.94915400098489</v>
      </c>
      <c r="R14" s="10" t="b">
        <f aca="false">AND(ISNUMBER(F14),F14&gt;0,ISNUMBER(G14),G14&gt;=0,ISNUMBER(H14),H14&gt;=0)</f>
        <v>1</v>
      </c>
      <c r="S14" s="12" t="n">
        <f aca="false">IF(R14,100*I14/F14,"")</f>
        <v>0.019602124679075</v>
      </c>
      <c r="T14" s="10" t="b">
        <f aca="false">NOT(AND(OR(AND(ISBLANK(RawFinancials!B14),ISBLANK(_RawBaseline!B11)),AND(ISNUMBER(RawFinancials!B14),ISNUMBER(_RawBaseline!B11),RawFinancials!B14=_RawBaseline!B11)),OR(AND(ISBLANK(RawFinancials!U14),ISBLANK(_RawBaseline!U11)),AND(ISNUMBER(RawFinancials!U14),ISNUMBER(_RawBaseline!U11),RawFinancials!U14=_RawBaseline!U11)),OR(AND(ISBLANK(RawFinancials!O14),ISBLANK(_RawBaseline!O11)),AND(ISNUMBER(RawFinancials!O14),ISNUMBER(_RawBaseline!O11),RawFinancials!O14=_RawBaseline!O11))))</f>
        <v>0</v>
      </c>
      <c r="U14" s="12" t="n">
        <f aca="false">IF(AND(D14=WF_START_PERIOD,R14,COUNTIFS($B$5:$B$750,B14,$D$5:$D$750,WF_END_PERIOD,$R$5:$R$750,TRUE())&gt;0),SUMIFS($S$5:$S$750,$B$5:$B$750,B14,$D$5:$D$750,WF_END_PERIOD,$R$5:$R$750,TRUE()),0)</f>
        <v>0</v>
      </c>
      <c r="V14" s="4" t="str">
        <f aca="false">IF(AND(D14=WF_START_PERIOD,COUNTIFS($B$5:$B$750,B14,$D$5:$D$750,WF_END_PERIOD)&gt;0),INDEX($E$5:$E$750,MATCH(B14&amp;"|"&amp;WF_END_PERIOD,$AC$5:$AC$750,0)),"")</f>
        <v/>
      </c>
      <c r="W14" s="10" t="b">
        <f aca="false">COUNTIFS($B$5:$B$750,B14,$D$5:$D$750,WF_START_PERIOD,$R$5:$R$750,TRUE())&gt;0</f>
        <v>1</v>
      </c>
      <c r="X14" s="10" t="b">
        <f aca="false">COUNTIFS($B$5:$B$750,B14,$D$5:$D$750,WF_END_PERIOD,$R$5:$R$750,TRUE())&gt;0</f>
        <v>1</v>
      </c>
      <c r="Y14" s="4" t="str">
        <f aca="false">IF(AND(D14=WF_END_PERIOD,COUNTIFS($B$5:$B$750,B14,$D$5:$D$750,WF_START_PERIOD)&gt;0),INDEX($E$5:$E$750,MATCH(B14&amp;"|"&amp;WF_START_PERIOD,$AC$5:$AC$750,0)),"")</f>
        <v/>
      </c>
      <c r="Z14" s="4" t="str">
        <f aca="false">IF(AND(D14=WF_END_PERIOD,R14),1+COUNTIFS($D$5:$D$750,WF_END_PERIOD,$E$5:$E$750,E14,$R$5:$R$750,TRUE(),$S$5:$S$750,"&gt;"&amp;S14)+COUNTIFS($D$5:$D$750,WF_END_PERIOD,$E$5:$E$750,E14,$R$5:$R$750,TRUE(),$S$5:$S$750,S14,$B$5:$B$750,"&lt;"&amp;B14),"")</f>
        <v/>
      </c>
      <c r="AA14" s="4" t="str">
        <f aca="false">IF(AND(D14=WF_END_PERIOD,R14,Z14&lt;&gt;1),1+COUNTIFS($D$5:$D$750,WF_END_PERIOD,$R$5:$R$750,TRUE(),$Z$5:$Z$750,"&lt;&gt;1",$S$5:$S$750,"&gt;"&amp;S14)+COUNTIFS($D$5:$D$750,WF_END_PERIOD,$R$5:$R$750,TRUE(),$Z$5:$Z$750,"&lt;&gt;1",$S$5:$S$750,S14,$B$5:$B$750,"&lt;"&amp;B14),"")</f>
        <v/>
      </c>
      <c r="AB14" s="10" t="b">
        <f aca="false">OR(D14=WF_START_PERIOD,D14=WF_END_PERIOD)</f>
        <v>0</v>
      </c>
      <c r="AC14" s="4" t="str">
        <f aca="false">B14&amp;"|"&amp;D14</f>
        <v>17115|20220331</v>
      </c>
    </row>
    <row r="15" customFormat="false" ht="15" hidden="false" customHeight="false" outlineLevel="0" collapsed="false">
      <c r="A15" s="4" t="n">
        <f aca="false">RawFinancials!A15</f>
        <v>12</v>
      </c>
      <c r="B15" s="4" t="n">
        <f aca="false">RawFinancials!C15</f>
        <v>17180</v>
      </c>
      <c r="C15" s="4" t="str">
        <f aca="false">RawFinancials!P15</f>
        <v>MEREDITH VILLAGE SAVINGS BANK</v>
      </c>
      <c r="D15" s="4" t="n">
        <f aca="false">RawFinancials!W15</f>
        <v>20220331</v>
      </c>
      <c r="E15" s="4" t="str">
        <f aca="false">RawFinancials!Z15</f>
        <v>NH</v>
      </c>
      <c r="F15" s="4" t="n">
        <f aca="false">RawFinancials!B15</f>
        <v>1291920</v>
      </c>
      <c r="G15" s="4" t="n">
        <f aca="false">RawFinancials!U15</f>
        <v>0</v>
      </c>
      <c r="H15" s="4" t="n">
        <f aca="false">RawFinancials!O15</f>
        <v>5753</v>
      </c>
      <c r="I15" s="4" t="n">
        <f aca="false">IF(AND(ISNUMBER(G15),ISNUMBER(H15)),G15+H15,"")</f>
        <v>5753</v>
      </c>
      <c r="J15" s="4" t="n">
        <f aca="false">RawFinancials!D15</f>
        <v>1121172</v>
      </c>
      <c r="K15" s="4" t="n">
        <f aca="false">RawFinancials!F15</f>
        <v>126979</v>
      </c>
      <c r="L15" s="4" t="n">
        <f aca="false">RawFinancials!L15</f>
        <v>1143017</v>
      </c>
      <c r="M15" s="4" t="n">
        <f aca="false">RawFinancials!N15</f>
        <v>937482</v>
      </c>
      <c r="N15" s="12" t="n">
        <f aca="false">RawFinancials!X15</f>
        <v>0.802789289525275</v>
      </c>
      <c r="O15" s="12" t="n">
        <f aca="false">RawFinancials!V15</f>
        <v>16.0569431386633</v>
      </c>
      <c r="P15" s="12" t="n">
        <f aca="false">IF(AND(ISNUMBER(L15),L15&lt;&gt;0,ISNUMBER(M15)),100*M15/L15,"")</f>
        <v>82.0182027038968</v>
      </c>
      <c r="Q15" s="12" t="n">
        <f aca="false">IF(AND(ISNUMBER(F15),F15&lt;&gt;0,ISNUMBER(K15)),100*K15/F15,"")</f>
        <v>9.82870456375008</v>
      </c>
      <c r="R15" s="10" t="b">
        <f aca="false">AND(ISNUMBER(F15),F15&gt;0,ISNUMBER(G15),G15&gt;=0,ISNUMBER(H15),H15&gt;=0)</f>
        <v>1</v>
      </c>
      <c r="S15" s="12" t="n">
        <f aca="false">IF(R15,100*I15/F15,"")</f>
        <v>0.445306210910892</v>
      </c>
      <c r="T15" s="10" t="b">
        <f aca="false">NOT(AND(OR(AND(ISBLANK(RawFinancials!B15),ISBLANK(_RawBaseline!B12)),AND(ISNUMBER(RawFinancials!B15),ISNUMBER(_RawBaseline!B12),RawFinancials!B15=_RawBaseline!B12)),OR(AND(ISBLANK(RawFinancials!U15),ISBLANK(_RawBaseline!U12)),AND(ISNUMBER(RawFinancials!U15),ISNUMBER(_RawBaseline!U12),RawFinancials!U15=_RawBaseline!U12)),OR(AND(ISBLANK(RawFinancials!O15),ISBLANK(_RawBaseline!O12)),AND(ISNUMBER(RawFinancials!O15),ISNUMBER(_RawBaseline!O12),RawFinancials!O15=_RawBaseline!O12))))</f>
        <v>0</v>
      </c>
      <c r="U15" s="12" t="n">
        <f aca="false">IF(AND(D15=WF_START_PERIOD,R15,COUNTIFS($B$5:$B$750,B15,$D$5:$D$750,WF_END_PERIOD,$R$5:$R$750,TRUE())&gt;0),SUMIFS($S$5:$S$750,$B$5:$B$750,B15,$D$5:$D$750,WF_END_PERIOD,$R$5:$R$750,TRUE()),0)</f>
        <v>0</v>
      </c>
      <c r="V15" s="4" t="str">
        <f aca="false">IF(AND(D15=WF_START_PERIOD,COUNTIFS($B$5:$B$750,B15,$D$5:$D$750,WF_END_PERIOD)&gt;0),INDEX($E$5:$E$750,MATCH(B15&amp;"|"&amp;WF_END_PERIOD,$AC$5:$AC$750,0)),"")</f>
        <v/>
      </c>
      <c r="W15" s="10" t="b">
        <f aca="false">COUNTIFS($B$5:$B$750,B15,$D$5:$D$750,WF_START_PERIOD,$R$5:$R$750,TRUE())&gt;0</f>
        <v>1</v>
      </c>
      <c r="X15" s="10" t="b">
        <f aca="false">COUNTIFS($B$5:$B$750,B15,$D$5:$D$750,WF_END_PERIOD,$R$5:$R$750,TRUE())&gt;0</f>
        <v>1</v>
      </c>
      <c r="Y15" s="4" t="str">
        <f aca="false">IF(AND(D15=WF_END_PERIOD,COUNTIFS($B$5:$B$750,B15,$D$5:$D$750,WF_START_PERIOD)&gt;0),INDEX($E$5:$E$750,MATCH(B15&amp;"|"&amp;WF_START_PERIOD,$AC$5:$AC$750,0)),"")</f>
        <v/>
      </c>
      <c r="Z15" s="4" t="str">
        <f aca="false">IF(AND(D15=WF_END_PERIOD,R15),1+COUNTIFS($D$5:$D$750,WF_END_PERIOD,$E$5:$E$750,E15,$R$5:$R$750,TRUE(),$S$5:$S$750,"&gt;"&amp;S15)+COUNTIFS($D$5:$D$750,WF_END_PERIOD,$E$5:$E$750,E15,$R$5:$R$750,TRUE(),$S$5:$S$750,S15,$B$5:$B$750,"&lt;"&amp;B15),"")</f>
        <v/>
      </c>
      <c r="AA15" s="4" t="str">
        <f aca="false">IF(AND(D15=WF_END_PERIOD,R15,Z15&lt;&gt;1),1+COUNTIFS($D$5:$D$750,WF_END_PERIOD,$R$5:$R$750,TRUE(),$Z$5:$Z$750,"&lt;&gt;1",$S$5:$S$750,"&gt;"&amp;S15)+COUNTIFS($D$5:$D$750,WF_END_PERIOD,$R$5:$R$750,TRUE(),$Z$5:$Z$750,"&lt;&gt;1",$S$5:$S$750,S15,$B$5:$B$750,"&lt;"&amp;B15),"")</f>
        <v/>
      </c>
      <c r="AB15" s="10" t="b">
        <f aca="false">OR(D15=WF_START_PERIOD,D15=WF_END_PERIOD)</f>
        <v>0</v>
      </c>
      <c r="AC15" s="4" t="str">
        <f aca="false">B15&amp;"|"&amp;D15</f>
        <v>17180|20220331</v>
      </c>
    </row>
    <row r="16" customFormat="false" ht="15" hidden="false" customHeight="false" outlineLevel="0" collapsed="false">
      <c r="A16" s="4" t="n">
        <f aca="false">RawFinancials!A16</f>
        <v>13</v>
      </c>
      <c r="B16" s="4" t="n">
        <f aca="false">RawFinancials!C16</f>
        <v>17443</v>
      </c>
      <c r="C16" s="4" t="str">
        <f aca="false">RawFinancials!P16</f>
        <v>PISCATAQUA SAVINGS BANK</v>
      </c>
      <c r="D16" s="4" t="n">
        <f aca="false">RawFinancials!W16</f>
        <v>20220331</v>
      </c>
      <c r="E16" s="4" t="str">
        <f aca="false">RawFinancials!Z16</f>
        <v>NH</v>
      </c>
      <c r="F16" s="4" t="n">
        <f aca="false">RawFinancials!B16</f>
        <v>352255</v>
      </c>
      <c r="G16" s="4" t="n">
        <f aca="false">RawFinancials!U16</f>
        <v>0</v>
      </c>
      <c r="H16" s="4" t="n">
        <f aca="false">RawFinancials!O16</f>
        <v>842</v>
      </c>
      <c r="I16" s="4" t="n">
        <f aca="false">IF(AND(ISNUMBER(G16),ISNUMBER(H16)),G16+H16,"")</f>
        <v>842</v>
      </c>
      <c r="J16" s="4" t="n">
        <f aca="false">RawFinancials!D16</f>
        <v>302135</v>
      </c>
      <c r="K16" s="4" t="n">
        <f aca="false">RawFinancials!F16</f>
        <v>42822</v>
      </c>
      <c r="L16" s="4" t="n">
        <f aca="false">RawFinancials!L16</f>
        <v>188952</v>
      </c>
      <c r="M16" s="4" t="n">
        <f aca="false">RawFinancials!N16</f>
        <v>186037</v>
      </c>
      <c r="N16" s="12" t="n">
        <f aca="false">RawFinancials!X16</f>
        <v>0.619253411177981</v>
      </c>
      <c r="O16" s="12" t="n">
        <f aca="false">RawFinancials!V16</f>
        <v>0</v>
      </c>
      <c r="P16" s="12" t="n">
        <f aca="false">IF(AND(ISNUMBER(L16),L16&lt;&gt;0,ISNUMBER(M16)),100*M16/L16,"")</f>
        <v>98.4572801558068</v>
      </c>
      <c r="Q16" s="12" t="n">
        <f aca="false">IF(AND(ISNUMBER(F16),F16&lt;&gt;0,ISNUMBER(K16)),100*K16/F16,"")</f>
        <v>12.1565343288243</v>
      </c>
      <c r="R16" s="10" t="b">
        <f aca="false">AND(ISNUMBER(F16),F16&gt;0,ISNUMBER(G16),G16&gt;=0,ISNUMBER(H16),H16&gt;=0)</f>
        <v>1</v>
      </c>
      <c r="S16" s="12" t="n">
        <f aca="false">IF(R16,100*I16/F16,"")</f>
        <v>0.239031383514783</v>
      </c>
      <c r="T16" s="10" t="b">
        <f aca="false">NOT(AND(OR(AND(ISBLANK(RawFinancials!B16),ISBLANK(_RawBaseline!B13)),AND(ISNUMBER(RawFinancials!B16),ISNUMBER(_RawBaseline!B13),RawFinancials!B16=_RawBaseline!B13)),OR(AND(ISBLANK(RawFinancials!U16),ISBLANK(_RawBaseline!U13)),AND(ISNUMBER(RawFinancials!U16),ISNUMBER(_RawBaseline!U13),RawFinancials!U16=_RawBaseline!U13)),OR(AND(ISBLANK(RawFinancials!O16),ISBLANK(_RawBaseline!O13)),AND(ISNUMBER(RawFinancials!O16),ISNUMBER(_RawBaseline!O13),RawFinancials!O16=_RawBaseline!O13))))</f>
        <v>0</v>
      </c>
      <c r="U16" s="12" t="n">
        <f aca="false">IF(AND(D16=WF_START_PERIOD,R16,COUNTIFS($B$5:$B$750,B16,$D$5:$D$750,WF_END_PERIOD,$R$5:$R$750,TRUE())&gt;0),SUMIFS($S$5:$S$750,$B$5:$B$750,B16,$D$5:$D$750,WF_END_PERIOD,$R$5:$R$750,TRUE()),0)</f>
        <v>0</v>
      </c>
      <c r="V16" s="4" t="str">
        <f aca="false">IF(AND(D16=WF_START_PERIOD,COUNTIFS($B$5:$B$750,B16,$D$5:$D$750,WF_END_PERIOD)&gt;0),INDEX($E$5:$E$750,MATCH(B16&amp;"|"&amp;WF_END_PERIOD,$AC$5:$AC$750,0)),"")</f>
        <v/>
      </c>
      <c r="W16" s="10" t="b">
        <f aca="false">COUNTIFS($B$5:$B$750,B16,$D$5:$D$750,WF_START_PERIOD,$R$5:$R$750,TRUE())&gt;0</f>
        <v>1</v>
      </c>
      <c r="X16" s="10" t="b">
        <f aca="false">COUNTIFS($B$5:$B$750,B16,$D$5:$D$750,WF_END_PERIOD,$R$5:$R$750,TRUE())&gt;0</f>
        <v>1</v>
      </c>
      <c r="Y16" s="4" t="str">
        <f aca="false">IF(AND(D16=WF_END_PERIOD,COUNTIFS($B$5:$B$750,B16,$D$5:$D$750,WF_START_PERIOD)&gt;0),INDEX($E$5:$E$750,MATCH(B16&amp;"|"&amp;WF_START_PERIOD,$AC$5:$AC$750,0)),"")</f>
        <v/>
      </c>
      <c r="Z16" s="4" t="str">
        <f aca="false">IF(AND(D16=WF_END_PERIOD,R16),1+COUNTIFS($D$5:$D$750,WF_END_PERIOD,$E$5:$E$750,E16,$R$5:$R$750,TRUE(),$S$5:$S$750,"&gt;"&amp;S16)+COUNTIFS($D$5:$D$750,WF_END_PERIOD,$E$5:$E$750,E16,$R$5:$R$750,TRUE(),$S$5:$S$750,S16,$B$5:$B$750,"&lt;"&amp;B16),"")</f>
        <v/>
      </c>
      <c r="AA16" s="4" t="str">
        <f aca="false">IF(AND(D16=WF_END_PERIOD,R16,Z16&lt;&gt;1),1+COUNTIFS($D$5:$D$750,WF_END_PERIOD,$R$5:$R$750,TRUE(),$Z$5:$Z$750,"&lt;&gt;1",$S$5:$S$750,"&gt;"&amp;S16)+COUNTIFS($D$5:$D$750,WF_END_PERIOD,$R$5:$R$750,TRUE(),$Z$5:$Z$750,"&lt;&gt;1",$S$5:$S$750,S16,$B$5:$B$750,"&lt;"&amp;B16),"")</f>
        <v/>
      </c>
      <c r="AB16" s="10" t="b">
        <f aca="false">OR(D16=WF_START_PERIOD,D16=WF_END_PERIOD)</f>
        <v>0</v>
      </c>
      <c r="AC16" s="4" t="str">
        <f aca="false">B16&amp;"|"&amp;D16</f>
        <v>17443|20220331</v>
      </c>
    </row>
    <row r="17" customFormat="false" ht="15" hidden="false" customHeight="false" outlineLevel="0" collapsed="false">
      <c r="A17" s="4" t="n">
        <f aca="false">RawFinancials!A17</f>
        <v>14</v>
      </c>
      <c r="B17" s="4" t="n">
        <f aca="false">RawFinancials!C17</f>
        <v>17658</v>
      </c>
      <c r="C17" s="4" t="str">
        <f aca="false">RawFinancials!P17</f>
        <v>NORWAY SAVINGS BANK</v>
      </c>
      <c r="D17" s="4" t="n">
        <f aca="false">RawFinancials!W17</f>
        <v>20220331</v>
      </c>
      <c r="E17" s="4" t="str">
        <f aca="false">RawFinancials!Z17</f>
        <v>ME</v>
      </c>
      <c r="F17" s="4" t="n">
        <f aca="false">RawFinancials!B17</f>
        <v>1753308</v>
      </c>
      <c r="G17" s="4" t="n">
        <f aca="false">RawFinancials!U17</f>
        <v>152</v>
      </c>
      <c r="H17" s="4" t="n">
        <f aca="false">RawFinancials!O17</f>
        <v>1019</v>
      </c>
      <c r="I17" s="4" t="n">
        <f aca="false">IF(AND(ISNUMBER(G17),ISNUMBER(H17)),G17+H17,"")</f>
        <v>1171</v>
      </c>
      <c r="J17" s="4" t="n">
        <f aca="false">RawFinancials!D17</f>
        <v>1508978</v>
      </c>
      <c r="K17" s="4" t="n">
        <f aca="false">RawFinancials!F17</f>
        <v>215496</v>
      </c>
      <c r="L17" s="4" t="n">
        <f aca="false">RawFinancials!L17</f>
        <v>1075938</v>
      </c>
      <c r="M17" s="4" t="n">
        <f aca="false">RawFinancials!N17</f>
        <v>932001</v>
      </c>
      <c r="N17" s="12" t="n">
        <f aca="false">RawFinancials!X17</f>
        <v>0.857754399438039</v>
      </c>
      <c r="O17" s="12" t="n">
        <f aca="false">RawFinancials!V17</f>
        <v>0</v>
      </c>
      <c r="P17" s="12" t="n">
        <f aca="false">IF(AND(ISNUMBER(L17),L17&lt;&gt;0,ISNUMBER(M17)),100*M17/L17,"")</f>
        <v>86.6221845496674</v>
      </c>
      <c r="Q17" s="12" t="n">
        <f aca="false">IF(AND(ISNUMBER(F17),F17&lt;&gt;0,ISNUMBER(K17)),100*K17/F17,"")</f>
        <v>12.2908239738825</v>
      </c>
      <c r="R17" s="10" t="b">
        <f aca="false">AND(ISNUMBER(F17),F17&gt;0,ISNUMBER(G17),G17&gt;=0,ISNUMBER(H17),H17&gt;=0)</f>
        <v>1</v>
      </c>
      <c r="S17" s="12" t="n">
        <f aca="false">IF(R17,100*I17/F17,"")</f>
        <v>0.0667880372416027</v>
      </c>
      <c r="T17" s="10" t="b">
        <f aca="false">NOT(AND(OR(AND(ISBLANK(RawFinancials!B17),ISBLANK(_RawBaseline!B14)),AND(ISNUMBER(RawFinancials!B17),ISNUMBER(_RawBaseline!B14),RawFinancials!B17=_RawBaseline!B14)),OR(AND(ISBLANK(RawFinancials!U17),ISBLANK(_RawBaseline!U14)),AND(ISNUMBER(RawFinancials!U17),ISNUMBER(_RawBaseline!U14),RawFinancials!U17=_RawBaseline!U14)),OR(AND(ISBLANK(RawFinancials!O17),ISBLANK(_RawBaseline!O14)),AND(ISNUMBER(RawFinancials!O17),ISNUMBER(_RawBaseline!O14),RawFinancials!O17=_RawBaseline!O14))))</f>
        <v>0</v>
      </c>
      <c r="U17" s="12" t="n">
        <f aca="false">IF(AND(D17=WF_START_PERIOD,R17,COUNTIFS($B$5:$B$750,B17,$D$5:$D$750,WF_END_PERIOD,$R$5:$R$750,TRUE())&gt;0),SUMIFS($S$5:$S$750,$B$5:$B$750,B17,$D$5:$D$750,WF_END_PERIOD,$R$5:$R$750,TRUE()),0)</f>
        <v>0</v>
      </c>
      <c r="V17" s="4" t="str">
        <f aca="false">IF(AND(D17=WF_START_PERIOD,COUNTIFS($B$5:$B$750,B17,$D$5:$D$750,WF_END_PERIOD)&gt;0),INDEX($E$5:$E$750,MATCH(B17&amp;"|"&amp;WF_END_PERIOD,$AC$5:$AC$750,0)),"")</f>
        <v/>
      </c>
      <c r="W17" s="10" t="b">
        <f aca="false">COUNTIFS($B$5:$B$750,B17,$D$5:$D$750,WF_START_PERIOD,$R$5:$R$750,TRUE())&gt;0</f>
        <v>1</v>
      </c>
      <c r="X17" s="10" t="b">
        <f aca="false">COUNTIFS($B$5:$B$750,B17,$D$5:$D$750,WF_END_PERIOD,$R$5:$R$750,TRUE())&gt;0</f>
        <v>1</v>
      </c>
      <c r="Y17" s="4" t="str">
        <f aca="false">IF(AND(D17=WF_END_PERIOD,COUNTIFS($B$5:$B$750,B17,$D$5:$D$750,WF_START_PERIOD)&gt;0),INDEX($E$5:$E$750,MATCH(B17&amp;"|"&amp;WF_START_PERIOD,$AC$5:$AC$750,0)),"")</f>
        <v/>
      </c>
      <c r="Z17" s="4" t="str">
        <f aca="false">IF(AND(D17=WF_END_PERIOD,R17),1+COUNTIFS($D$5:$D$750,WF_END_PERIOD,$E$5:$E$750,E17,$R$5:$R$750,TRUE(),$S$5:$S$750,"&gt;"&amp;S17)+COUNTIFS($D$5:$D$750,WF_END_PERIOD,$E$5:$E$750,E17,$R$5:$R$750,TRUE(),$S$5:$S$750,S17,$B$5:$B$750,"&lt;"&amp;B17),"")</f>
        <v/>
      </c>
      <c r="AA17" s="4" t="str">
        <f aca="false">IF(AND(D17=WF_END_PERIOD,R17,Z17&lt;&gt;1),1+COUNTIFS($D$5:$D$750,WF_END_PERIOD,$R$5:$R$750,TRUE(),$Z$5:$Z$750,"&lt;&gt;1",$S$5:$S$750,"&gt;"&amp;S17)+COUNTIFS($D$5:$D$750,WF_END_PERIOD,$R$5:$R$750,TRUE(),$Z$5:$Z$750,"&lt;&gt;1",$S$5:$S$750,S17,$B$5:$B$750,"&lt;"&amp;B17),"")</f>
        <v/>
      </c>
      <c r="AB17" s="10" t="b">
        <f aca="false">OR(D17=WF_START_PERIOD,D17=WF_END_PERIOD)</f>
        <v>0</v>
      </c>
      <c r="AC17" s="4" t="str">
        <f aca="false">B17&amp;"|"&amp;D17</f>
        <v>17658|20220331</v>
      </c>
    </row>
    <row r="18" customFormat="false" ht="15" hidden="false" customHeight="false" outlineLevel="0" collapsed="false">
      <c r="A18" s="4" t="n">
        <f aca="false">RawFinancials!A18</f>
        <v>15</v>
      </c>
      <c r="B18" s="4" t="n">
        <f aca="false">RawFinancials!C18</f>
        <v>17741</v>
      </c>
      <c r="C18" s="4" t="str">
        <f aca="false">RawFinancials!P18</f>
        <v>MAINE COMMUNITY BANK</v>
      </c>
      <c r="D18" s="4" t="n">
        <f aca="false">RawFinancials!W18</f>
        <v>20220331</v>
      </c>
      <c r="E18" s="4" t="str">
        <f aca="false">RawFinancials!Z18</f>
        <v>ME</v>
      </c>
      <c r="F18" s="4" t="n">
        <f aca="false">RawFinancials!B18</f>
        <v>1002149</v>
      </c>
      <c r="G18" s="4" t="n">
        <f aca="false">RawFinancials!U18</f>
        <v>0</v>
      </c>
      <c r="H18" s="4" t="n">
        <f aca="false">RawFinancials!O18</f>
        <v>1717</v>
      </c>
      <c r="I18" s="4" t="n">
        <f aca="false">IF(AND(ISNUMBER(G18),ISNUMBER(H18)),G18+H18,"")</f>
        <v>1717</v>
      </c>
      <c r="J18" s="4" t="n">
        <f aca="false">RawFinancials!D18</f>
        <v>846927</v>
      </c>
      <c r="K18" s="4" t="n">
        <f aca="false">RawFinancials!F18</f>
        <v>129919</v>
      </c>
      <c r="L18" s="4" t="n">
        <f aca="false">RawFinancials!L18</f>
        <v>796765</v>
      </c>
      <c r="M18" s="4" t="n">
        <f aca="false">RawFinancials!N18</f>
        <v>747285</v>
      </c>
      <c r="N18" s="12" t="n">
        <f aca="false">RawFinancials!X18</f>
        <v>0.582462366574648</v>
      </c>
      <c r="O18" s="12" t="n">
        <f aca="false">RawFinancials!V18</f>
        <v>0</v>
      </c>
      <c r="P18" s="12" t="n">
        <f aca="false">IF(AND(ISNUMBER(L18),L18&lt;&gt;0,ISNUMBER(M18)),100*M18/L18,"")</f>
        <v>93.78988785903</v>
      </c>
      <c r="Q18" s="12" t="n">
        <f aca="false">IF(AND(ISNUMBER(F18),F18&lt;&gt;0,ISNUMBER(K18)),100*K18/F18,"")</f>
        <v>12.9640402774438</v>
      </c>
      <c r="R18" s="10" t="b">
        <f aca="false">AND(ISNUMBER(F18),F18&gt;0,ISNUMBER(G18),G18&gt;=0,ISNUMBER(H18),H18&gt;=0)</f>
        <v>1</v>
      </c>
      <c r="S18" s="12" t="n">
        <f aca="false">IF(R18,100*I18/F18,"")</f>
        <v>0.171331807944727</v>
      </c>
      <c r="T18" s="10" t="b">
        <f aca="false">NOT(AND(OR(AND(ISBLANK(RawFinancials!B18),ISBLANK(_RawBaseline!B15)),AND(ISNUMBER(RawFinancials!B18),ISNUMBER(_RawBaseline!B15),RawFinancials!B18=_RawBaseline!B15)),OR(AND(ISBLANK(RawFinancials!U18),ISBLANK(_RawBaseline!U15)),AND(ISNUMBER(RawFinancials!U18),ISNUMBER(_RawBaseline!U15),RawFinancials!U18=_RawBaseline!U15)),OR(AND(ISBLANK(RawFinancials!O18),ISBLANK(_RawBaseline!O15)),AND(ISNUMBER(RawFinancials!O18),ISNUMBER(_RawBaseline!O15),RawFinancials!O18=_RawBaseline!O15))))</f>
        <v>0</v>
      </c>
      <c r="U18" s="12" t="n">
        <f aca="false">IF(AND(D18=WF_START_PERIOD,R18,COUNTIFS($B$5:$B$750,B18,$D$5:$D$750,WF_END_PERIOD,$R$5:$R$750,TRUE())&gt;0),SUMIFS($S$5:$S$750,$B$5:$B$750,B18,$D$5:$D$750,WF_END_PERIOD,$R$5:$R$750,TRUE()),0)</f>
        <v>0</v>
      </c>
      <c r="V18" s="4" t="str">
        <f aca="false">IF(AND(D18=WF_START_PERIOD,COUNTIFS($B$5:$B$750,B18,$D$5:$D$750,WF_END_PERIOD)&gt;0),INDEX($E$5:$E$750,MATCH(B18&amp;"|"&amp;WF_END_PERIOD,$AC$5:$AC$750,0)),"")</f>
        <v/>
      </c>
      <c r="W18" s="10" t="b">
        <f aca="false">COUNTIFS($B$5:$B$750,B18,$D$5:$D$750,WF_START_PERIOD,$R$5:$R$750,TRUE())&gt;0</f>
        <v>1</v>
      </c>
      <c r="X18" s="10" t="b">
        <f aca="false">COUNTIFS($B$5:$B$750,B18,$D$5:$D$750,WF_END_PERIOD,$R$5:$R$750,TRUE())&gt;0</f>
        <v>1</v>
      </c>
      <c r="Y18" s="4" t="str">
        <f aca="false">IF(AND(D18=WF_END_PERIOD,COUNTIFS($B$5:$B$750,B18,$D$5:$D$750,WF_START_PERIOD)&gt;0),INDEX($E$5:$E$750,MATCH(B18&amp;"|"&amp;WF_START_PERIOD,$AC$5:$AC$750,0)),"")</f>
        <v/>
      </c>
      <c r="Z18" s="4" t="str">
        <f aca="false">IF(AND(D18=WF_END_PERIOD,R18),1+COUNTIFS($D$5:$D$750,WF_END_PERIOD,$E$5:$E$750,E18,$R$5:$R$750,TRUE(),$S$5:$S$750,"&gt;"&amp;S18)+COUNTIFS($D$5:$D$750,WF_END_PERIOD,$E$5:$E$750,E18,$R$5:$R$750,TRUE(),$S$5:$S$750,S18,$B$5:$B$750,"&lt;"&amp;B18),"")</f>
        <v/>
      </c>
      <c r="AA18" s="4" t="str">
        <f aca="false">IF(AND(D18=WF_END_PERIOD,R18,Z18&lt;&gt;1),1+COUNTIFS($D$5:$D$750,WF_END_PERIOD,$R$5:$R$750,TRUE(),$Z$5:$Z$750,"&lt;&gt;1",$S$5:$S$750,"&gt;"&amp;S18)+COUNTIFS($D$5:$D$750,WF_END_PERIOD,$R$5:$R$750,TRUE(),$Z$5:$Z$750,"&lt;&gt;1",$S$5:$S$750,S18,$B$5:$B$750,"&lt;"&amp;B18),"")</f>
        <v/>
      </c>
      <c r="AB18" s="10" t="b">
        <f aca="false">OR(D18=WF_START_PERIOD,D18=WF_END_PERIOD)</f>
        <v>0</v>
      </c>
      <c r="AC18" s="4" t="str">
        <f aca="false">B18&amp;"|"&amp;D18</f>
        <v>17741|20220331</v>
      </c>
    </row>
    <row r="19" customFormat="false" ht="15" hidden="false" customHeight="false" outlineLevel="0" collapsed="false">
      <c r="A19" s="4" t="n">
        <f aca="false">RawFinancials!A19</f>
        <v>16</v>
      </c>
      <c r="B19" s="4" t="n">
        <f aca="false">RawFinancials!C19</f>
        <v>17743</v>
      </c>
      <c r="C19" s="4" t="str">
        <f aca="false">RawFinancials!P19</f>
        <v>SACO &amp; BIDDEFORD SAVINGS INSTITUTION</v>
      </c>
      <c r="D19" s="4" t="n">
        <f aca="false">RawFinancials!W19</f>
        <v>20220331</v>
      </c>
      <c r="E19" s="4" t="str">
        <f aca="false">RawFinancials!Z19</f>
        <v>ME</v>
      </c>
      <c r="F19" s="4" t="n">
        <f aca="false">RawFinancials!B19</f>
        <v>1158500</v>
      </c>
      <c r="G19" s="4" t="n">
        <f aca="false">RawFinancials!U19</f>
        <v>35</v>
      </c>
      <c r="H19" s="4" t="n">
        <f aca="false">RawFinancials!O19</f>
        <v>3568</v>
      </c>
      <c r="I19" s="4" t="n">
        <f aca="false">IF(AND(ISNUMBER(G19),ISNUMBER(H19)),G19+H19,"")</f>
        <v>3603</v>
      </c>
      <c r="J19" s="4" t="n">
        <f aca="false">RawFinancials!D19</f>
        <v>899083</v>
      </c>
      <c r="K19" s="4" t="n">
        <f aca="false">RawFinancials!F19</f>
        <v>126783</v>
      </c>
      <c r="L19" s="4" t="n">
        <f aca="false">RawFinancials!L19</f>
        <v>918017</v>
      </c>
      <c r="M19" s="4" t="n">
        <f aca="false">RawFinancials!N19</f>
        <v>873409</v>
      </c>
      <c r="N19" s="12" t="n">
        <f aca="false">RawFinancials!X19</f>
        <v>0.398424271744013</v>
      </c>
      <c r="O19" s="12" t="n">
        <f aca="false">RawFinancials!V19</f>
        <v>0</v>
      </c>
      <c r="P19" s="12" t="n">
        <f aca="false">IF(AND(ISNUMBER(L19),L19&lt;&gt;0,ISNUMBER(M19)),100*M19/L19,"")</f>
        <v>95.1408307253569</v>
      </c>
      <c r="Q19" s="12" t="n">
        <f aca="false">IF(AND(ISNUMBER(F19),F19&lt;&gt;0,ISNUMBER(K19)),100*K19/F19,"")</f>
        <v>10.9437203280104</v>
      </c>
      <c r="R19" s="10" t="b">
        <f aca="false">AND(ISNUMBER(F19),F19&gt;0,ISNUMBER(G19),G19&gt;=0,ISNUMBER(H19),H19&gt;=0)</f>
        <v>1</v>
      </c>
      <c r="S19" s="12" t="n">
        <f aca="false">IF(R19,100*I19/F19,"")</f>
        <v>0.311005610703496</v>
      </c>
      <c r="T19" s="10" t="b">
        <f aca="false">NOT(AND(OR(AND(ISBLANK(RawFinancials!B19),ISBLANK(_RawBaseline!B16)),AND(ISNUMBER(RawFinancials!B19),ISNUMBER(_RawBaseline!B16),RawFinancials!B19=_RawBaseline!B16)),OR(AND(ISBLANK(RawFinancials!U19),ISBLANK(_RawBaseline!U16)),AND(ISNUMBER(RawFinancials!U19),ISNUMBER(_RawBaseline!U16),RawFinancials!U19=_RawBaseline!U16)),OR(AND(ISBLANK(RawFinancials!O19),ISBLANK(_RawBaseline!O16)),AND(ISNUMBER(RawFinancials!O19),ISNUMBER(_RawBaseline!O16),RawFinancials!O19=_RawBaseline!O16))))</f>
        <v>0</v>
      </c>
      <c r="U19" s="12" t="n">
        <f aca="false">IF(AND(D19=WF_START_PERIOD,R19,COUNTIFS($B$5:$B$750,B19,$D$5:$D$750,WF_END_PERIOD,$R$5:$R$750,TRUE())&gt;0),SUMIFS($S$5:$S$750,$B$5:$B$750,B19,$D$5:$D$750,WF_END_PERIOD,$R$5:$R$750,TRUE()),0)</f>
        <v>0</v>
      </c>
      <c r="V19" s="4" t="str">
        <f aca="false">IF(AND(D19=WF_START_PERIOD,COUNTIFS($B$5:$B$750,B19,$D$5:$D$750,WF_END_PERIOD)&gt;0),INDEX($E$5:$E$750,MATCH(B19&amp;"|"&amp;WF_END_PERIOD,$AC$5:$AC$750,0)),"")</f>
        <v/>
      </c>
      <c r="W19" s="10" t="b">
        <f aca="false">COUNTIFS($B$5:$B$750,B19,$D$5:$D$750,WF_START_PERIOD,$R$5:$R$750,TRUE())&gt;0</f>
        <v>1</v>
      </c>
      <c r="X19" s="10" t="b">
        <f aca="false">COUNTIFS($B$5:$B$750,B19,$D$5:$D$750,WF_END_PERIOD,$R$5:$R$750,TRUE())&gt;0</f>
        <v>1</v>
      </c>
      <c r="Y19" s="4" t="str">
        <f aca="false">IF(AND(D19=WF_END_PERIOD,COUNTIFS($B$5:$B$750,B19,$D$5:$D$750,WF_START_PERIOD)&gt;0),INDEX($E$5:$E$750,MATCH(B19&amp;"|"&amp;WF_START_PERIOD,$AC$5:$AC$750,0)),"")</f>
        <v/>
      </c>
      <c r="Z19" s="4" t="str">
        <f aca="false">IF(AND(D19=WF_END_PERIOD,R19),1+COUNTIFS($D$5:$D$750,WF_END_PERIOD,$E$5:$E$750,E19,$R$5:$R$750,TRUE(),$S$5:$S$750,"&gt;"&amp;S19)+COUNTIFS($D$5:$D$750,WF_END_PERIOD,$E$5:$E$750,E19,$R$5:$R$750,TRUE(),$S$5:$S$750,S19,$B$5:$B$750,"&lt;"&amp;B19),"")</f>
        <v/>
      </c>
      <c r="AA19" s="4" t="str">
        <f aca="false">IF(AND(D19=WF_END_PERIOD,R19,Z19&lt;&gt;1),1+COUNTIFS($D$5:$D$750,WF_END_PERIOD,$R$5:$R$750,TRUE(),$Z$5:$Z$750,"&lt;&gt;1",$S$5:$S$750,"&gt;"&amp;S19)+COUNTIFS($D$5:$D$750,WF_END_PERIOD,$R$5:$R$750,TRUE(),$Z$5:$Z$750,"&lt;&gt;1",$S$5:$S$750,S19,$B$5:$B$750,"&lt;"&amp;B19),"")</f>
        <v/>
      </c>
      <c r="AB19" s="10" t="b">
        <f aca="false">OR(D19=WF_START_PERIOD,D19=WF_END_PERIOD)</f>
        <v>0</v>
      </c>
      <c r="AC19" s="4" t="str">
        <f aca="false">B19&amp;"|"&amp;D19</f>
        <v>17743|20220331</v>
      </c>
    </row>
    <row r="20" customFormat="false" ht="15" hidden="false" customHeight="false" outlineLevel="0" collapsed="false">
      <c r="A20" s="4" t="n">
        <f aca="false">RawFinancials!A20</f>
        <v>17</v>
      </c>
      <c r="B20" s="4" t="n">
        <f aca="false">RawFinancials!C20</f>
        <v>17748</v>
      </c>
      <c r="C20" s="4" t="str">
        <f aca="false">RawFinancials!P20</f>
        <v>GORHAM SAVINGS BANK</v>
      </c>
      <c r="D20" s="4" t="n">
        <f aca="false">RawFinancials!W20</f>
        <v>20220331</v>
      </c>
      <c r="E20" s="4" t="str">
        <f aca="false">RawFinancials!Z20</f>
        <v>ME</v>
      </c>
      <c r="F20" s="4" t="n">
        <f aca="false">RawFinancials!B20</f>
        <v>1547967</v>
      </c>
      <c r="G20" s="4" t="n">
        <f aca="false">RawFinancials!U20</f>
        <v>0</v>
      </c>
      <c r="H20" s="4" t="n">
        <f aca="false">RawFinancials!O20</f>
        <v>7767</v>
      </c>
      <c r="I20" s="4" t="n">
        <f aca="false">IF(AND(ISNUMBER(G20),ISNUMBER(H20)),G20+H20,"")</f>
        <v>7767</v>
      </c>
      <c r="J20" s="4" t="n">
        <f aca="false">RawFinancials!D20</f>
        <v>1360876</v>
      </c>
      <c r="K20" s="4" t="n">
        <f aca="false">RawFinancials!F20</f>
        <v>122781</v>
      </c>
      <c r="L20" s="4" t="n">
        <f aca="false">RawFinancials!L20</f>
        <v>1135646</v>
      </c>
      <c r="M20" s="4" t="n">
        <f aca="false">RawFinancials!N20</f>
        <v>958834</v>
      </c>
      <c r="N20" s="12" t="n">
        <f aca="false">RawFinancials!X20</f>
        <v>-0.306198776629676</v>
      </c>
      <c r="O20" s="12" t="n">
        <f aca="false">RawFinancials!V20</f>
        <v>0</v>
      </c>
      <c r="P20" s="12" t="n">
        <f aca="false">IF(AND(ISNUMBER(L20),L20&lt;&gt;0,ISNUMBER(M20)),100*M20/L20,"")</f>
        <v>84.4307116830421</v>
      </c>
      <c r="Q20" s="12" t="n">
        <f aca="false">IF(AND(ISNUMBER(F20),F20&lt;&gt;0,ISNUMBER(K20)),100*K20/F20,"")</f>
        <v>7.93175823515618</v>
      </c>
      <c r="R20" s="10" t="b">
        <f aca="false">AND(ISNUMBER(F20),F20&gt;0,ISNUMBER(G20),G20&gt;=0,ISNUMBER(H20),H20&gt;=0)</f>
        <v>1</v>
      </c>
      <c r="S20" s="12" t="n">
        <f aca="false">IF(R20,100*I20/F20,"")</f>
        <v>0.501754882371523</v>
      </c>
      <c r="T20" s="10" t="b">
        <f aca="false">NOT(AND(OR(AND(ISBLANK(RawFinancials!B20),ISBLANK(_RawBaseline!B17)),AND(ISNUMBER(RawFinancials!B20),ISNUMBER(_RawBaseline!B17),RawFinancials!B20=_RawBaseline!B17)),OR(AND(ISBLANK(RawFinancials!U20),ISBLANK(_RawBaseline!U17)),AND(ISNUMBER(RawFinancials!U20),ISNUMBER(_RawBaseline!U17),RawFinancials!U20=_RawBaseline!U17)),OR(AND(ISBLANK(RawFinancials!O20),ISBLANK(_RawBaseline!O17)),AND(ISNUMBER(RawFinancials!O20),ISNUMBER(_RawBaseline!O17),RawFinancials!O20=_RawBaseline!O17))))</f>
        <v>0</v>
      </c>
      <c r="U20" s="12" t="n">
        <f aca="false">IF(AND(D20=WF_START_PERIOD,R20,COUNTIFS($B$5:$B$750,B20,$D$5:$D$750,WF_END_PERIOD,$R$5:$R$750,TRUE())&gt;0),SUMIFS($S$5:$S$750,$B$5:$B$750,B20,$D$5:$D$750,WF_END_PERIOD,$R$5:$R$750,TRUE()),0)</f>
        <v>0</v>
      </c>
      <c r="V20" s="4" t="str">
        <f aca="false">IF(AND(D20=WF_START_PERIOD,COUNTIFS($B$5:$B$750,B20,$D$5:$D$750,WF_END_PERIOD)&gt;0),INDEX($E$5:$E$750,MATCH(B20&amp;"|"&amp;WF_END_PERIOD,$AC$5:$AC$750,0)),"")</f>
        <v/>
      </c>
      <c r="W20" s="10" t="b">
        <f aca="false">COUNTIFS($B$5:$B$750,B20,$D$5:$D$750,WF_START_PERIOD,$R$5:$R$750,TRUE())&gt;0</f>
        <v>1</v>
      </c>
      <c r="X20" s="10" t="b">
        <f aca="false">COUNTIFS($B$5:$B$750,B20,$D$5:$D$750,WF_END_PERIOD,$R$5:$R$750,TRUE())&gt;0</f>
        <v>0</v>
      </c>
      <c r="Y20" s="4" t="str">
        <f aca="false">IF(AND(D20=WF_END_PERIOD,COUNTIFS($B$5:$B$750,B20,$D$5:$D$750,WF_START_PERIOD)&gt;0),INDEX($E$5:$E$750,MATCH(B20&amp;"|"&amp;WF_START_PERIOD,$AC$5:$AC$750,0)),"")</f>
        <v/>
      </c>
      <c r="Z20" s="4" t="str">
        <f aca="false">IF(AND(D20=WF_END_PERIOD,R20),1+COUNTIFS($D$5:$D$750,WF_END_PERIOD,$E$5:$E$750,E20,$R$5:$R$750,TRUE(),$S$5:$S$750,"&gt;"&amp;S20)+COUNTIFS($D$5:$D$750,WF_END_PERIOD,$E$5:$E$750,E20,$R$5:$R$750,TRUE(),$S$5:$S$750,S20,$B$5:$B$750,"&lt;"&amp;B20),"")</f>
        <v/>
      </c>
      <c r="AA20" s="4" t="str">
        <f aca="false">IF(AND(D20=WF_END_PERIOD,R20,Z20&lt;&gt;1),1+COUNTIFS($D$5:$D$750,WF_END_PERIOD,$R$5:$R$750,TRUE(),$Z$5:$Z$750,"&lt;&gt;1",$S$5:$S$750,"&gt;"&amp;S20)+COUNTIFS($D$5:$D$750,WF_END_PERIOD,$R$5:$R$750,TRUE(),$Z$5:$Z$750,"&lt;&gt;1",$S$5:$S$750,S20,$B$5:$B$750,"&lt;"&amp;B20),"")</f>
        <v/>
      </c>
      <c r="AB20" s="10" t="b">
        <f aca="false">OR(D20=WF_START_PERIOD,D20=WF_END_PERIOD)</f>
        <v>0</v>
      </c>
      <c r="AC20" s="4" t="str">
        <f aca="false">B20&amp;"|"&amp;D20</f>
        <v>17748|20220331</v>
      </c>
    </row>
    <row r="21" customFormat="false" ht="15" hidden="false" customHeight="false" outlineLevel="0" collapsed="false">
      <c r="A21" s="0" t="n">
        <f aca="false">RawFinancials!A21</f>
        <v>18</v>
      </c>
      <c r="B21" s="0" t="n">
        <f aca="false">RawFinancials!C21</f>
        <v>17749</v>
      </c>
      <c r="C21" s="0" t="str">
        <f aca="false">RawFinancials!P21</f>
        <v>BATH SAVINGS INSTITUTION</v>
      </c>
      <c r="D21" s="0" t="n">
        <f aca="false">RawFinancials!W21</f>
        <v>20220331</v>
      </c>
      <c r="E21" s="0" t="str">
        <f aca="false">RawFinancials!Z21</f>
        <v>ME</v>
      </c>
      <c r="F21" s="0" t="n">
        <f aca="false">RawFinancials!B21</f>
        <v>1206621</v>
      </c>
      <c r="G21" s="0" t="n">
        <f aca="false">RawFinancials!U21</f>
        <v>27</v>
      </c>
      <c r="H21" s="0" t="n">
        <f aca="false">RawFinancials!O21</f>
        <v>225</v>
      </c>
      <c r="I21" s="0" t="n">
        <f aca="false">IF(AND(ISNUMBER(G21),ISNUMBER(H21)),G21+H21,"")</f>
        <v>252</v>
      </c>
      <c r="J21" s="0" t="n">
        <f aca="false">RawFinancials!D21</f>
        <v>984705</v>
      </c>
      <c r="K21" s="0" t="n">
        <f aca="false">RawFinancials!F21</f>
        <v>164326</v>
      </c>
      <c r="L21" s="0" t="n">
        <f aca="false">RawFinancials!L21</f>
        <v>665780</v>
      </c>
      <c r="M21" s="0" t="n">
        <f aca="false">RawFinancials!N21</f>
        <v>595069</v>
      </c>
      <c r="N21" s="13" t="n">
        <f aca="false">RawFinancials!X21</f>
        <v>0.178286406605462</v>
      </c>
      <c r="O21" s="13" t="n">
        <f aca="false">RawFinancials!V21</f>
        <v>0</v>
      </c>
      <c r="P21" s="13" t="n">
        <f aca="false">IF(AND(ISNUMBER(L21),L21&lt;&gt;0,ISNUMBER(M21)),100*M21/L21,"")</f>
        <v>89.37922436841</v>
      </c>
      <c r="Q21" s="13" t="n">
        <f aca="false">IF(AND(ISNUMBER(F21),F21&lt;&gt;0,ISNUMBER(K21)),100*K21/F21,"")</f>
        <v>13.6186921991247</v>
      </c>
      <c r="R21" s="11" t="b">
        <f aca="false">AND(ISNUMBER(F21),F21&gt;0,ISNUMBER(G21),G21&gt;=0,ISNUMBER(H21),H21&gt;=0)</f>
        <v>1</v>
      </c>
      <c r="S21" s="13" t="n">
        <f aca="false">IF(R21,100*I21/F21,"")</f>
        <v>0.0208847682909547</v>
      </c>
      <c r="T21" s="11" t="b">
        <f aca="false">NOT(AND(OR(AND(ISBLANK(RawFinancials!B21),ISBLANK(_RawBaseline!B18)),AND(ISNUMBER(RawFinancials!B21),ISNUMBER(_RawBaseline!B18),RawFinancials!B21=_RawBaseline!B18)),OR(AND(ISBLANK(RawFinancials!U21),ISBLANK(_RawBaseline!U18)),AND(ISNUMBER(RawFinancials!U21),ISNUMBER(_RawBaseline!U18),RawFinancials!U21=_RawBaseline!U18)),OR(AND(ISBLANK(RawFinancials!O21),ISBLANK(_RawBaseline!O18)),AND(ISNUMBER(RawFinancials!O21),ISNUMBER(_RawBaseline!O18),RawFinancials!O21=_RawBaseline!O18))))</f>
        <v>0</v>
      </c>
      <c r="U21" s="13" t="n">
        <f aca="false">IF(AND(D21=WF_START_PERIOD,R21,COUNTIFS($B$5:$B$750,B21,$D$5:$D$750,WF_END_PERIOD,$R$5:$R$750,TRUE())&gt;0),SUMIFS($S$5:$S$750,$B$5:$B$750,B21,$D$5:$D$750,WF_END_PERIOD,$R$5:$R$750,TRUE()),0)</f>
        <v>0</v>
      </c>
      <c r="V21" s="0" t="str">
        <f aca="false">IF(AND(D21=WF_START_PERIOD,COUNTIFS($B$5:$B$750,B21,$D$5:$D$750,WF_END_PERIOD)&gt;0),INDEX($E$5:$E$750,MATCH(B21&amp;"|"&amp;WF_END_PERIOD,$AC$5:$AC$750,0)),"")</f>
        <v/>
      </c>
      <c r="W21" s="11" t="b">
        <f aca="false">COUNTIFS($B$5:$B$750,B21,$D$5:$D$750,WF_START_PERIOD,$R$5:$R$750,TRUE())&gt;0</f>
        <v>1</v>
      </c>
      <c r="X21" s="11" t="b">
        <f aca="false">COUNTIFS($B$5:$B$750,B21,$D$5:$D$750,WF_END_PERIOD,$R$5:$R$750,TRUE())&gt;0</f>
        <v>1</v>
      </c>
      <c r="Y21" s="0" t="str">
        <f aca="false">IF(AND(D21=WF_END_PERIOD,COUNTIFS($B$5:$B$750,B21,$D$5:$D$750,WF_START_PERIOD)&gt;0),INDEX($E$5:$E$750,MATCH(B21&amp;"|"&amp;WF_START_PERIOD,$AC$5:$AC$750,0)),"")</f>
        <v/>
      </c>
      <c r="Z21" s="0" t="str">
        <f aca="false">IF(AND(D21=WF_END_PERIOD,R21),1+COUNTIFS($D$5:$D$750,WF_END_PERIOD,$E$5:$E$750,E21,$R$5:$R$750,TRUE(),$S$5:$S$750,"&gt;"&amp;S21)+COUNTIFS($D$5:$D$750,WF_END_PERIOD,$E$5:$E$750,E21,$R$5:$R$750,TRUE(),$S$5:$S$750,S21,$B$5:$B$750,"&lt;"&amp;B21),"")</f>
        <v/>
      </c>
      <c r="AA21" s="0" t="str">
        <f aca="false">IF(AND(D21=WF_END_PERIOD,R21,Z21&lt;&gt;1),1+COUNTIFS($D$5:$D$750,WF_END_PERIOD,$R$5:$R$750,TRUE(),$Z$5:$Z$750,"&lt;&gt;1",$S$5:$S$750,"&gt;"&amp;S21)+COUNTIFS($D$5:$D$750,WF_END_PERIOD,$R$5:$R$750,TRUE(),$Z$5:$Z$750,"&lt;&gt;1",$S$5:$S$750,S21,$B$5:$B$750,"&lt;"&amp;B21),"")</f>
        <v/>
      </c>
      <c r="AB21" s="11" t="b">
        <f aca="false">OR(D21=WF_START_PERIOD,D21=WF_END_PERIOD)</f>
        <v>0</v>
      </c>
      <c r="AC21" s="0" t="str">
        <f aca="false">B21&amp;"|"&amp;D21</f>
        <v>17749|20220331</v>
      </c>
    </row>
    <row r="22" customFormat="false" ht="15" hidden="false" customHeight="false" outlineLevel="0" collapsed="false">
      <c r="A22" s="0" t="n">
        <f aca="false">RawFinancials!A22</f>
        <v>19</v>
      </c>
      <c r="B22" s="0" t="n">
        <f aca="false">RawFinancials!C22</f>
        <v>17751</v>
      </c>
      <c r="C22" s="0" t="str">
        <f aca="false">RawFinancials!P22</f>
        <v>ANDROSCOGGIN SAVINGS BANK</v>
      </c>
      <c r="D22" s="0" t="n">
        <f aca="false">RawFinancials!W22</f>
        <v>20220331</v>
      </c>
      <c r="E22" s="0" t="str">
        <f aca="false">RawFinancials!Z22</f>
        <v>ME</v>
      </c>
      <c r="F22" s="0" t="n">
        <f aca="false">RawFinancials!B22</f>
        <v>1361626</v>
      </c>
      <c r="G22" s="0" t="n">
        <f aca="false">RawFinancials!U22</f>
        <v>0</v>
      </c>
      <c r="H22" s="0" t="n">
        <f aca="false">RawFinancials!O22</f>
        <v>2344</v>
      </c>
      <c r="I22" s="0" t="n">
        <f aca="false">IF(AND(ISNUMBER(G22),ISNUMBER(H22)),G22+H22,"")</f>
        <v>2344</v>
      </c>
      <c r="J22" s="0" t="n">
        <f aca="false">RawFinancials!D22</f>
        <v>1200633</v>
      </c>
      <c r="K22" s="0" t="n">
        <f aca="false">RawFinancials!F22</f>
        <v>129404</v>
      </c>
      <c r="L22" s="0" t="n">
        <f aca="false">RawFinancials!L22</f>
        <v>1081029</v>
      </c>
      <c r="M22" s="0" t="n">
        <f aca="false">RawFinancials!N22</f>
        <v>913702</v>
      </c>
      <c r="N22" s="13" t="n">
        <f aca="false">RawFinancials!X22</f>
        <v>0.508705684917139</v>
      </c>
      <c r="O22" s="13" t="n">
        <f aca="false">RawFinancials!V22</f>
        <v>13.7738528053916</v>
      </c>
      <c r="P22" s="13" t="n">
        <f aca="false">IF(AND(ISNUMBER(L22),L22&lt;&gt;0,ISNUMBER(M22)),100*M22/L22,"")</f>
        <v>84.5215068235912</v>
      </c>
      <c r="Q22" s="13" t="n">
        <f aca="false">IF(AND(ISNUMBER(F22),F22&lt;&gt;0,ISNUMBER(K22)),100*K22/F22,"")</f>
        <v>9.50363756273749</v>
      </c>
      <c r="R22" s="11" t="b">
        <f aca="false">AND(ISNUMBER(F22),F22&gt;0,ISNUMBER(G22),G22&gt;=0,ISNUMBER(H22),H22&gt;=0)</f>
        <v>1</v>
      </c>
      <c r="S22" s="13" t="n">
        <f aca="false">IF(R22,100*I22/F22,"")</f>
        <v>0.172147124100157</v>
      </c>
      <c r="T22" s="11" t="b">
        <f aca="false">NOT(AND(OR(AND(ISBLANK(RawFinancials!B22),ISBLANK(_RawBaseline!B19)),AND(ISNUMBER(RawFinancials!B22),ISNUMBER(_RawBaseline!B19),RawFinancials!B22=_RawBaseline!B19)),OR(AND(ISBLANK(RawFinancials!U22),ISBLANK(_RawBaseline!U19)),AND(ISNUMBER(RawFinancials!U22),ISNUMBER(_RawBaseline!U19),RawFinancials!U22=_RawBaseline!U19)),OR(AND(ISBLANK(RawFinancials!O22),ISBLANK(_RawBaseline!O19)),AND(ISNUMBER(RawFinancials!O22),ISNUMBER(_RawBaseline!O19),RawFinancials!O22=_RawBaseline!O19))))</f>
        <v>0</v>
      </c>
      <c r="U22" s="13" t="n">
        <f aca="false">IF(AND(D22=WF_START_PERIOD,R22,COUNTIFS($B$5:$B$750,B22,$D$5:$D$750,WF_END_PERIOD,$R$5:$R$750,TRUE())&gt;0),SUMIFS($S$5:$S$750,$B$5:$B$750,B22,$D$5:$D$750,WF_END_PERIOD,$R$5:$R$750,TRUE()),0)</f>
        <v>0</v>
      </c>
      <c r="V22" s="0" t="str">
        <f aca="false">IF(AND(D22=WF_START_PERIOD,COUNTIFS($B$5:$B$750,B22,$D$5:$D$750,WF_END_PERIOD)&gt;0),INDEX($E$5:$E$750,MATCH(B22&amp;"|"&amp;WF_END_PERIOD,$AC$5:$AC$750,0)),"")</f>
        <v/>
      </c>
      <c r="W22" s="11" t="b">
        <f aca="false">COUNTIFS($B$5:$B$750,B22,$D$5:$D$750,WF_START_PERIOD,$R$5:$R$750,TRUE())&gt;0</f>
        <v>1</v>
      </c>
      <c r="X22" s="11" t="b">
        <f aca="false">COUNTIFS($B$5:$B$750,B22,$D$5:$D$750,WF_END_PERIOD,$R$5:$R$750,TRUE())&gt;0</f>
        <v>1</v>
      </c>
      <c r="Y22" s="0" t="str">
        <f aca="false">IF(AND(D22=WF_END_PERIOD,COUNTIFS($B$5:$B$750,B22,$D$5:$D$750,WF_START_PERIOD)&gt;0),INDEX($E$5:$E$750,MATCH(B22&amp;"|"&amp;WF_START_PERIOD,$AC$5:$AC$750,0)),"")</f>
        <v/>
      </c>
      <c r="Z22" s="0" t="str">
        <f aca="false">IF(AND(D22=WF_END_PERIOD,R22),1+COUNTIFS($D$5:$D$750,WF_END_PERIOD,$E$5:$E$750,E22,$R$5:$R$750,TRUE(),$S$5:$S$750,"&gt;"&amp;S22)+COUNTIFS($D$5:$D$750,WF_END_PERIOD,$E$5:$E$750,E22,$R$5:$R$750,TRUE(),$S$5:$S$750,S22,$B$5:$B$750,"&lt;"&amp;B22),"")</f>
        <v/>
      </c>
      <c r="AA22" s="0" t="str">
        <f aca="false">IF(AND(D22=WF_END_PERIOD,R22,Z22&lt;&gt;1),1+COUNTIFS($D$5:$D$750,WF_END_PERIOD,$R$5:$R$750,TRUE(),$Z$5:$Z$750,"&lt;&gt;1",$S$5:$S$750,"&gt;"&amp;S22)+COUNTIFS($D$5:$D$750,WF_END_PERIOD,$R$5:$R$750,TRUE(),$Z$5:$Z$750,"&lt;&gt;1",$S$5:$S$750,S22,$B$5:$B$750,"&lt;"&amp;B22),"")</f>
        <v/>
      </c>
      <c r="AB22" s="11" t="b">
        <f aca="false">OR(D22=WF_START_PERIOD,D22=WF_END_PERIOD)</f>
        <v>0</v>
      </c>
      <c r="AC22" s="0" t="str">
        <f aca="false">B22&amp;"|"&amp;D22</f>
        <v>17751|20220331</v>
      </c>
    </row>
    <row r="23" customFormat="false" ht="15" hidden="false" customHeight="false" outlineLevel="0" collapsed="false">
      <c r="A23" s="0" t="n">
        <f aca="false">RawFinancials!A23</f>
        <v>20</v>
      </c>
      <c r="B23" s="0" t="n">
        <f aca="false">RawFinancials!C23</f>
        <v>17897</v>
      </c>
      <c r="C23" s="0" t="str">
        <f aca="false">RawFinancials!P23</f>
        <v>KENNEBEC SAVINGS BANK</v>
      </c>
      <c r="D23" s="0" t="n">
        <f aca="false">RawFinancials!W23</f>
        <v>20220331</v>
      </c>
      <c r="E23" s="0" t="str">
        <f aca="false">RawFinancials!Z23</f>
        <v>ME</v>
      </c>
      <c r="F23" s="0" t="n">
        <f aca="false">RawFinancials!B23</f>
        <v>1471217</v>
      </c>
      <c r="G23" s="0" t="n">
        <f aca="false">RawFinancials!U23</f>
        <v>0</v>
      </c>
      <c r="H23" s="0" t="n">
        <f aca="false">RawFinancials!O23</f>
        <v>3293</v>
      </c>
      <c r="I23" s="0" t="n">
        <f aca="false">IF(AND(ISNUMBER(G23),ISNUMBER(H23)),G23+H23,"")</f>
        <v>3293</v>
      </c>
      <c r="J23" s="0" t="n">
        <f aca="false">RawFinancials!D23</f>
        <v>1215413</v>
      </c>
      <c r="K23" s="0" t="n">
        <f aca="false">RawFinancials!F23</f>
        <v>198845</v>
      </c>
      <c r="L23" s="0" t="n">
        <f aca="false">RawFinancials!L23</f>
        <v>1226087</v>
      </c>
      <c r="M23" s="0" t="n">
        <f aca="false">RawFinancials!N23</f>
        <v>1160300</v>
      </c>
      <c r="N23" s="13" t="n">
        <f aca="false">RawFinancials!X23</f>
        <v>-0.20422436033401</v>
      </c>
      <c r="O23" s="13" t="n">
        <f aca="false">RawFinancials!V23</f>
        <v>0</v>
      </c>
      <c r="P23" s="13" t="n">
        <f aca="false">IF(AND(ISNUMBER(L23),L23&lt;&gt;0,ISNUMBER(M23)),100*M23/L23,"")</f>
        <v>94.634393807291</v>
      </c>
      <c r="Q23" s="13" t="n">
        <f aca="false">IF(AND(ISNUMBER(F23),F23&lt;&gt;0,ISNUMBER(K23)),100*K23/F23,"")</f>
        <v>13.515681235331</v>
      </c>
      <c r="R23" s="11" t="b">
        <f aca="false">AND(ISNUMBER(F23),F23&gt;0,ISNUMBER(G23),G23&gt;=0,ISNUMBER(H23),H23&gt;=0)</f>
        <v>1</v>
      </c>
      <c r="S23" s="13" t="n">
        <f aca="false">IF(R23,100*I23/F23,"")</f>
        <v>0.223828299972064</v>
      </c>
      <c r="T23" s="11" t="b">
        <f aca="false">NOT(AND(OR(AND(ISBLANK(RawFinancials!B23),ISBLANK(_RawBaseline!B20)),AND(ISNUMBER(RawFinancials!B23),ISNUMBER(_RawBaseline!B20),RawFinancials!B23=_RawBaseline!B20)),OR(AND(ISBLANK(RawFinancials!U23),ISBLANK(_RawBaseline!U20)),AND(ISNUMBER(RawFinancials!U23),ISNUMBER(_RawBaseline!U20),RawFinancials!U23=_RawBaseline!U20)),OR(AND(ISBLANK(RawFinancials!O23),ISBLANK(_RawBaseline!O20)),AND(ISNUMBER(RawFinancials!O23),ISNUMBER(_RawBaseline!O20),RawFinancials!O23=_RawBaseline!O20))))</f>
        <v>0</v>
      </c>
      <c r="U23" s="13" t="n">
        <f aca="false">IF(AND(D23=WF_START_PERIOD,R23,COUNTIFS($B$5:$B$750,B23,$D$5:$D$750,WF_END_PERIOD,$R$5:$R$750,TRUE())&gt;0),SUMIFS($S$5:$S$750,$B$5:$B$750,B23,$D$5:$D$750,WF_END_PERIOD,$R$5:$R$750,TRUE()),0)</f>
        <v>0</v>
      </c>
      <c r="V23" s="0" t="str">
        <f aca="false">IF(AND(D23=WF_START_PERIOD,COUNTIFS($B$5:$B$750,B23,$D$5:$D$750,WF_END_PERIOD)&gt;0),INDEX($E$5:$E$750,MATCH(B23&amp;"|"&amp;WF_END_PERIOD,$AC$5:$AC$750,0)),"")</f>
        <v/>
      </c>
      <c r="W23" s="11" t="b">
        <f aca="false">COUNTIFS($B$5:$B$750,B23,$D$5:$D$750,WF_START_PERIOD,$R$5:$R$750,TRUE())&gt;0</f>
        <v>1</v>
      </c>
      <c r="X23" s="11" t="b">
        <f aca="false">COUNTIFS($B$5:$B$750,B23,$D$5:$D$750,WF_END_PERIOD,$R$5:$R$750,TRUE())&gt;0</f>
        <v>1</v>
      </c>
      <c r="Y23" s="0" t="str">
        <f aca="false">IF(AND(D23=WF_END_PERIOD,COUNTIFS($B$5:$B$750,B23,$D$5:$D$750,WF_START_PERIOD)&gt;0),INDEX($E$5:$E$750,MATCH(B23&amp;"|"&amp;WF_START_PERIOD,$AC$5:$AC$750,0)),"")</f>
        <v/>
      </c>
      <c r="Z23" s="0" t="str">
        <f aca="false">IF(AND(D23=WF_END_PERIOD,R23),1+COUNTIFS($D$5:$D$750,WF_END_PERIOD,$E$5:$E$750,E23,$R$5:$R$750,TRUE(),$S$5:$S$750,"&gt;"&amp;S23)+COUNTIFS($D$5:$D$750,WF_END_PERIOD,$E$5:$E$750,E23,$R$5:$R$750,TRUE(),$S$5:$S$750,S23,$B$5:$B$750,"&lt;"&amp;B23),"")</f>
        <v/>
      </c>
      <c r="AA23" s="0" t="str">
        <f aca="false">IF(AND(D23=WF_END_PERIOD,R23,Z23&lt;&gt;1),1+COUNTIFS($D$5:$D$750,WF_END_PERIOD,$R$5:$R$750,TRUE(),$Z$5:$Z$750,"&lt;&gt;1",$S$5:$S$750,"&gt;"&amp;S23)+COUNTIFS($D$5:$D$750,WF_END_PERIOD,$R$5:$R$750,TRUE(),$Z$5:$Z$750,"&lt;&gt;1",$S$5:$S$750,S23,$B$5:$B$750,"&lt;"&amp;B23),"")</f>
        <v/>
      </c>
      <c r="AB23" s="11" t="b">
        <f aca="false">OR(D23=WF_START_PERIOD,D23=WF_END_PERIOD)</f>
        <v>0</v>
      </c>
      <c r="AC23" s="0" t="str">
        <f aca="false">B23&amp;"|"&amp;D23</f>
        <v>17897|20220331</v>
      </c>
    </row>
    <row r="24" customFormat="false" ht="15" hidden="false" customHeight="false" outlineLevel="0" collapsed="false">
      <c r="A24" s="0" t="n">
        <f aca="false">RawFinancials!A24</f>
        <v>21</v>
      </c>
      <c r="B24" s="0" t="n">
        <f aca="false">RawFinancials!C24</f>
        <v>17951</v>
      </c>
      <c r="C24" s="0" t="str">
        <f aca="false">RawFinancials!P24</f>
        <v>FRANKLIN SAVINGS BANK</v>
      </c>
      <c r="D24" s="0" t="n">
        <f aca="false">RawFinancials!W24</f>
        <v>20220331</v>
      </c>
      <c r="E24" s="0" t="str">
        <f aca="false">RawFinancials!Z24</f>
        <v>NH</v>
      </c>
      <c r="F24" s="0" t="n">
        <f aca="false">RawFinancials!B24</f>
        <v>702702</v>
      </c>
      <c r="G24" s="0" t="n">
        <f aca="false">RawFinancials!U24</f>
        <v>0</v>
      </c>
      <c r="H24" s="0" t="n">
        <f aca="false">RawFinancials!O24</f>
        <v>1046</v>
      </c>
      <c r="I24" s="0" t="n">
        <f aca="false">IF(AND(ISNUMBER(G24),ISNUMBER(H24)),G24+H24,"")</f>
        <v>1046</v>
      </c>
      <c r="J24" s="0" t="n">
        <f aca="false">RawFinancials!D24</f>
        <v>626605</v>
      </c>
      <c r="K24" s="0" t="n">
        <f aca="false">RawFinancials!F24</f>
        <v>57001</v>
      </c>
      <c r="L24" s="0" t="n">
        <f aca="false">RawFinancials!L24</f>
        <v>455133</v>
      </c>
      <c r="M24" s="0" t="n">
        <f aca="false">RawFinancials!N24</f>
        <v>417998</v>
      </c>
      <c r="N24" s="13" t="n">
        <f aca="false">RawFinancials!X24</f>
        <v>0.914855176699387</v>
      </c>
      <c r="O24" s="13" t="n">
        <f aca="false">RawFinancials!V24</f>
        <v>15.5380723051999</v>
      </c>
      <c r="P24" s="13" t="n">
        <f aca="false">IF(AND(ISNUMBER(L24),L24&lt;&gt;0,ISNUMBER(M24)),100*M24/L24,"")</f>
        <v>91.8408465217859</v>
      </c>
      <c r="Q24" s="13" t="n">
        <f aca="false">IF(AND(ISNUMBER(F24),F24&lt;&gt;0,ISNUMBER(K24)),100*K24/F24,"")</f>
        <v>8.11168888091965</v>
      </c>
      <c r="R24" s="11" t="b">
        <f aca="false">AND(ISNUMBER(F24),F24&gt;0,ISNUMBER(G24),G24&gt;=0,ISNUMBER(H24),H24&gt;=0)</f>
        <v>1</v>
      </c>
      <c r="S24" s="13" t="n">
        <f aca="false">IF(R24,100*I24/F24,"")</f>
        <v>0.148853995007841</v>
      </c>
      <c r="T24" s="11" t="b">
        <f aca="false">NOT(AND(OR(AND(ISBLANK(RawFinancials!B24),ISBLANK(_RawBaseline!B21)),AND(ISNUMBER(RawFinancials!B24),ISNUMBER(_RawBaseline!B21),RawFinancials!B24=_RawBaseline!B21)),OR(AND(ISBLANK(RawFinancials!U24),ISBLANK(_RawBaseline!U21)),AND(ISNUMBER(RawFinancials!U24),ISNUMBER(_RawBaseline!U21),RawFinancials!U24=_RawBaseline!U21)),OR(AND(ISBLANK(RawFinancials!O24),ISBLANK(_RawBaseline!O21)),AND(ISNUMBER(RawFinancials!O24),ISNUMBER(_RawBaseline!O21),RawFinancials!O24=_RawBaseline!O21))))</f>
        <v>0</v>
      </c>
      <c r="U24" s="13" t="n">
        <f aca="false">IF(AND(D24=WF_START_PERIOD,R24,COUNTIFS($B$5:$B$750,B24,$D$5:$D$750,WF_END_PERIOD,$R$5:$R$750,TRUE())&gt;0),SUMIFS($S$5:$S$750,$B$5:$B$750,B24,$D$5:$D$750,WF_END_PERIOD,$R$5:$R$750,TRUE()),0)</f>
        <v>0</v>
      </c>
      <c r="V24" s="0" t="str">
        <f aca="false">IF(AND(D24=WF_START_PERIOD,COUNTIFS($B$5:$B$750,B24,$D$5:$D$750,WF_END_PERIOD)&gt;0),INDEX($E$5:$E$750,MATCH(B24&amp;"|"&amp;WF_END_PERIOD,$AC$5:$AC$750,0)),"")</f>
        <v/>
      </c>
      <c r="W24" s="11" t="b">
        <f aca="false">COUNTIFS($B$5:$B$750,B24,$D$5:$D$750,WF_START_PERIOD,$R$5:$R$750,TRUE())&gt;0</f>
        <v>1</v>
      </c>
      <c r="X24" s="11" t="b">
        <f aca="false">COUNTIFS($B$5:$B$750,B24,$D$5:$D$750,WF_END_PERIOD,$R$5:$R$750,TRUE())&gt;0</f>
        <v>1</v>
      </c>
      <c r="Y24" s="0" t="str">
        <f aca="false">IF(AND(D24=WF_END_PERIOD,COUNTIFS($B$5:$B$750,B24,$D$5:$D$750,WF_START_PERIOD)&gt;0),INDEX($E$5:$E$750,MATCH(B24&amp;"|"&amp;WF_START_PERIOD,$AC$5:$AC$750,0)),"")</f>
        <v/>
      </c>
      <c r="Z24" s="0" t="str">
        <f aca="false">IF(AND(D24=WF_END_PERIOD,R24),1+COUNTIFS($D$5:$D$750,WF_END_PERIOD,$E$5:$E$750,E24,$R$5:$R$750,TRUE(),$S$5:$S$750,"&gt;"&amp;S24)+COUNTIFS($D$5:$D$750,WF_END_PERIOD,$E$5:$E$750,E24,$R$5:$R$750,TRUE(),$S$5:$S$750,S24,$B$5:$B$750,"&lt;"&amp;B24),"")</f>
        <v/>
      </c>
      <c r="AA24" s="0" t="str">
        <f aca="false">IF(AND(D24=WF_END_PERIOD,R24,Z24&lt;&gt;1),1+COUNTIFS($D$5:$D$750,WF_END_PERIOD,$R$5:$R$750,TRUE(),$Z$5:$Z$750,"&lt;&gt;1",$S$5:$S$750,"&gt;"&amp;S24)+COUNTIFS($D$5:$D$750,WF_END_PERIOD,$R$5:$R$750,TRUE(),$Z$5:$Z$750,"&lt;&gt;1",$S$5:$S$750,S24,$B$5:$B$750,"&lt;"&amp;B24),"")</f>
        <v/>
      </c>
      <c r="AB24" s="11" t="b">
        <f aca="false">OR(D24=WF_START_PERIOD,D24=WF_END_PERIOD)</f>
        <v>0</v>
      </c>
      <c r="AC24" s="0" t="str">
        <f aca="false">B24&amp;"|"&amp;D24</f>
        <v>17951|20220331</v>
      </c>
    </row>
    <row r="25" customFormat="false" ht="15" hidden="false" customHeight="false" outlineLevel="0" collapsed="false">
      <c r="A25" s="0" t="n">
        <f aca="false">RawFinancials!A25</f>
        <v>22</v>
      </c>
      <c r="B25" s="0" t="n">
        <f aca="false">RawFinancials!C25</f>
        <v>17960</v>
      </c>
      <c r="C25" s="0" t="str">
        <f aca="false">RawFinancials!P25</f>
        <v>MERRIMACK COUNTY SAVINGS BANK</v>
      </c>
      <c r="D25" s="0" t="n">
        <f aca="false">RawFinancials!W25</f>
        <v>20220331</v>
      </c>
      <c r="E25" s="0" t="str">
        <f aca="false">RawFinancials!Z25</f>
        <v>NH</v>
      </c>
      <c r="F25" s="0" t="n">
        <f aca="false">RawFinancials!B25</f>
        <v>1150436</v>
      </c>
      <c r="G25" s="0" t="n">
        <f aca="false">RawFinancials!U25</f>
        <v>0</v>
      </c>
      <c r="H25" s="0" t="n">
        <f aca="false">RawFinancials!O25</f>
        <v>462</v>
      </c>
      <c r="I25" s="0" t="n">
        <f aca="false">IF(AND(ISNUMBER(G25),ISNUMBER(H25)),G25+H25,"")</f>
        <v>462</v>
      </c>
      <c r="J25" s="0" t="n">
        <f aca="false">RawFinancials!D25</f>
        <v>962644</v>
      </c>
      <c r="K25" s="0" t="n">
        <f aca="false">RawFinancials!F25</f>
        <v>107341</v>
      </c>
      <c r="L25" s="0" t="n">
        <f aca="false">RawFinancials!L25</f>
        <v>940745</v>
      </c>
      <c r="M25" s="0" t="n">
        <f aca="false">RawFinancials!N25</f>
        <v>701328</v>
      </c>
      <c r="N25" s="13" t="n">
        <f aca="false">RawFinancials!X25</f>
        <v>0.833049601017634</v>
      </c>
      <c r="O25" s="13" t="n">
        <f aca="false">RawFinancials!V25</f>
        <v>14.4388795444508</v>
      </c>
      <c r="P25" s="13" t="n">
        <f aca="false">IF(AND(ISNUMBER(L25),L25&lt;&gt;0,ISNUMBER(M25)),100*M25/L25,"")</f>
        <v>74.5502766424483</v>
      </c>
      <c r="Q25" s="13" t="n">
        <f aca="false">IF(AND(ISNUMBER(F25),F25&lt;&gt;0,ISNUMBER(K25)),100*K25/F25,"")</f>
        <v>9.33046253768137</v>
      </c>
      <c r="R25" s="11" t="b">
        <f aca="false">AND(ISNUMBER(F25),F25&gt;0,ISNUMBER(G25),G25&gt;=0,ISNUMBER(H25),H25&gt;=0)</f>
        <v>1</v>
      </c>
      <c r="S25" s="13" t="n">
        <f aca="false">IF(R25,100*I25/F25,"")</f>
        <v>0.0401586876627644</v>
      </c>
      <c r="T25" s="11" t="b">
        <f aca="false">NOT(AND(OR(AND(ISBLANK(RawFinancials!B25),ISBLANK(_RawBaseline!B22)),AND(ISNUMBER(RawFinancials!B25),ISNUMBER(_RawBaseline!B22),RawFinancials!B25=_RawBaseline!B22)),OR(AND(ISBLANK(RawFinancials!U25),ISBLANK(_RawBaseline!U22)),AND(ISNUMBER(RawFinancials!U25),ISNUMBER(_RawBaseline!U22),RawFinancials!U25=_RawBaseline!U22)),OR(AND(ISBLANK(RawFinancials!O25),ISBLANK(_RawBaseline!O22)),AND(ISNUMBER(RawFinancials!O25),ISNUMBER(_RawBaseline!O22),RawFinancials!O25=_RawBaseline!O22))))</f>
        <v>0</v>
      </c>
      <c r="U25" s="13" t="n">
        <f aca="false">IF(AND(D25=WF_START_PERIOD,R25,COUNTIFS($B$5:$B$750,B25,$D$5:$D$750,WF_END_PERIOD,$R$5:$R$750,TRUE())&gt;0),SUMIFS($S$5:$S$750,$B$5:$B$750,B25,$D$5:$D$750,WF_END_PERIOD,$R$5:$R$750,TRUE()),0)</f>
        <v>0</v>
      </c>
      <c r="V25" s="0" t="str">
        <f aca="false">IF(AND(D25=WF_START_PERIOD,COUNTIFS($B$5:$B$750,B25,$D$5:$D$750,WF_END_PERIOD)&gt;0),INDEX($E$5:$E$750,MATCH(B25&amp;"|"&amp;WF_END_PERIOD,$AC$5:$AC$750,0)),"")</f>
        <v/>
      </c>
      <c r="W25" s="11" t="b">
        <f aca="false">COUNTIFS($B$5:$B$750,B25,$D$5:$D$750,WF_START_PERIOD,$R$5:$R$750,TRUE())&gt;0</f>
        <v>1</v>
      </c>
      <c r="X25" s="11" t="b">
        <f aca="false">COUNTIFS($B$5:$B$750,B25,$D$5:$D$750,WF_END_PERIOD,$R$5:$R$750,TRUE())&gt;0</f>
        <v>1</v>
      </c>
      <c r="Y25" s="0" t="str">
        <f aca="false">IF(AND(D25=WF_END_PERIOD,COUNTIFS($B$5:$B$750,B25,$D$5:$D$750,WF_START_PERIOD)&gt;0),INDEX($E$5:$E$750,MATCH(B25&amp;"|"&amp;WF_START_PERIOD,$AC$5:$AC$750,0)),"")</f>
        <v/>
      </c>
      <c r="Z25" s="0" t="str">
        <f aca="false">IF(AND(D25=WF_END_PERIOD,R25),1+COUNTIFS($D$5:$D$750,WF_END_PERIOD,$E$5:$E$750,E25,$R$5:$R$750,TRUE(),$S$5:$S$750,"&gt;"&amp;S25)+COUNTIFS($D$5:$D$750,WF_END_PERIOD,$E$5:$E$750,E25,$R$5:$R$750,TRUE(),$S$5:$S$750,S25,$B$5:$B$750,"&lt;"&amp;B25),"")</f>
        <v/>
      </c>
      <c r="AA25" s="0" t="str">
        <f aca="false">IF(AND(D25=WF_END_PERIOD,R25,Z25&lt;&gt;1),1+COUNTIFS($D$5:$D$750,WF_END_PERIOD,$R$5:$R$750,TRUE(),$Z$5:$Z$750,"&lt;&gt;1",$S$5:$S$750,"&gt;"&amp;S25)+COUNTIFS($D$5:$D$750,WF_END_PERIOD,$R$5:$R$750,TRUE(),$Z$5:$Z$750,"&lt;&gt;1",$S$5:$S$750,S25,$B$5:$B$750,"&lt;"&amp;B25),"")</f>
        <v/>
      </c>
      <c r="AB25" s="11" t="b">
        <f aca="false">OR(D25=WF_START_PERIOD,D25=WF_END_PERIOD)</f>
        <v>0</v>
      </c>
      <c r="AC25" s="0" t="str">
        <f aca="false">B25&amp;"|"&amp;D25</f>
        <v>17960|20220331</v>
      </c>
    </row>
    <row r="26" customFormat="false" ht="15" hidden="false" customHeight="false" outlineLevel="0" collapsed="false">
      <c r="A26" s="0" t="n">
        <f aca="false">RawFinancials!A26</f>
        <v>23</v>
      </c>
      <c r="B26" s="0" t="n">
        <f aca="false">RawFinancials!C26</f>
        <v>18012</v>
      </c>
      <c r="C26" s="0" t="str">
        <f aca="false">RawFinancials!P26</f>
        <v>BANK OF NEW HAMPSHIRE</v>
      </c>
      <c r="D26" s="0" t="n">
        <f aca="false">RawFinancials!W26</f>
        <v>20220331</v>
      </c>
      <c r="E26" s="0" t="str">
        <f aca="false">RawFinancials!Z26</f>
        <v>NH</v>
      </c>
      <c r="F26" s="0" t="n">
        <f aca="false">RawFinancials!B26</f>
        <v>2361388</v>
      </c>
      <c r="G26" s="0" t="n">
        <f aca="false">RawFinancials!U26</f>
        <v>0</v>
      </c>
      <c r="H26" s="0" t="n">
        <f aca="false">RawFinancials!O26</f>
        <v>1611</v>
      </c>
      <c r="I26" s="0" t="n">
        <f aca="false">IF(AND(ISNUMBER(G26),ISNUMBER(H26)),G26+H26,"")</f>
        <v>1611</v>
      </c>
      <c r="J26" s="0" t="n">
        <f aca="false">RawFinancials!D26</f>
        <v>1985720</v>
      </c>
      <c r="K26" s="0" t="n">
        <f aca="false">RawFinancials!F26</f>
        <v>235718</v>
      </c>
      <c r="L26" s="0" t="n">
        <f aca="false">RawFinancials!L26</f>
        <v>1846391</v>
      </c>
      <c r="M26" s="0" t="n">
        <f aca="false">RawFinancials!N26</f>
        <v>1710167</v>
      </c>
      <c r="N26" s="13" t="n">
        <f aca="false">RawFinancials!X26</f>
        <v>1.38990310237064</v>
      </c>
      <c r="O26" s="13" t="n">
        <f aca="false">RawFinancials!V26</f>
        <v>12.5879724374004</v>
      </c>
      <c r="P26" s="13" t="n">
        <f aca="false">IF(AND(ISNUMBER(L26),L26&lt;&gt;0,ISNUMBER(M26)),100*M26/L26,"")</f>
        <v>92.6221477466041</v>
      </c>
      <c r="Q26" s="13" t="n">
        <f aca="false">IF(AND(ISNUMBER(F26),F26&lt;&gt;0,ISNUMBER(K26)),100*K26/F26,"")</f>
        <v>9.98217997211809</v>
      </c>
      <c r="R26" s="11" t="b">
        <f aca="false">AND(ISNUMBER(F26),F26&gt;0,ISNUMBER(G26),G26&gt;=0,ISNUMBER(H26),H26&gt;=0)</f>
        <v>1</v>
      </c>
      <c r="S26" s="13" t="n">
        <f aca="false">IF(R26,100*I26/F26,"")</f>
        <v>0.0682225877322998</v>
      </c>
      <c r="T26" s="11" t="b">
        <f aca="false">NOT(AND(OR(AND(ISBLANK(RawFinancials!B26),ISBLANK(_RawBaseline!B23)),AND(ISNUMBER(RawFinancials!B26),ISNUMBER(_RawBaseline!B23),RawFinancials!B26=_RawBaseline!B23)),OR(AND(ISBLANK(RawFinancials!U26),ISBLANK(_RawBaseline!U23)),AND(ISNUMBER(RawFinancials!U26),ISNUMBER(_RawBaseline!U23),RawFinancials!U26=_RawBaseline!U23)),OR(AND(ISBLANK(RawFinancials!O26),ISBLANK(_RawBaseline!O23)),AND(ISNUMBER(RawFinancials!O26),ISNUMBER(_RawBaseline!O23),RawFinancials!O26=_RawBaseline!O23))))</f>
        <v>0</v>
      </c>
      <c r="U26" s="13" t="n">
        <f aca="false">IF(AND(D26=WF_START_PERIOD,R26,COUNTIFS($B$5:$B$750,B26,$D$5:$D$750,WF_END_PERIOD,$R$5:$R$750,TRUE())&gt;0),SUMIFS($S$5:$S$750,$B$5:$B$750,B26,$D$5:$D$750,WF_END_PERIOD,$R$5:$R$750,TRUE()),0)</f>
        <v>0</v>
      </c>
      <c r="V26" s="0" t="str">
        <f aca="false">IF(AND(D26=WF_START_PERIOD,COUNTIFS($B$5:$B$750,B26,$D$5:$D$750,WF_END_PERIOD)&gt;0),INDEX($E$5:$E$750,MATCH(B26&amp;"|"&amp;WF_END_PERIOD,$AC$5:$AC$750,0)),"")</f>
        <v/>
      </c>
      <c r="W26" s="11" t="b">
        <f aca="false">COUNTIFS($B$5:$B$750,B26,$D$5:$D$750,WF_START_PERIOD,$R$5:$R$750,TRUE())&gt;0</f>
        <v>1</v>
      </c>
      <c r="X26" s="11" t="b">
        <f aca="false">COUNTIFS($B$5:$B$750,B26,$D$5:$D$750,WF_END_PERIOD,$R$5:$R$750,TRUE())&gt;0</f>
        <v>1</v>
      </c>
      <c r="Y26" s="0" t="str">
        <f aca="false">IF(AND(D26=WF_END_PERIOD,COUNTIFS($B$5:$B$750,B26,$D$5:$D$750,WF_START_PERIOD)&gt;0),INDEX($E$5:$E$750,MATCH(B26&amp;"|"&amp;WF_START_PERIOD,$AC$5:$AC$750,0)),"")</f>
        <v/>
      </c>
      <c r="Z26" s="0" t="str">
        <f aca="false">IF(AND(D26=WF_END_PERIOD,R26),1+COUNTIFS($D$5:$D$750,WF_END_PERIOD,$E$5:$E$750,E26,$R$5:$R$750,TRUE(),$S$5:$S$750,"&gt;"&amp;S26)+COUNTIFS($D$5:$D$750,WF_END_PERIOD,$E$5:$E$750,E26,$R$5:$R$750,TRUE(),$S$5:$S$750,S26,$B$5:$B$750,"&lt;"&amp;B26),"")</f>
        <v/>
      </c>
      <c r="AA26" s="0" t="str">
        <f aca="false">IF(AND(D26=WF_END_PERIOD,R26,Z26&lt;&gt;1),1+COUNTIFS($D$5:$D$750,WF_END_PERIOD,$R$5:$R$750,TRUE(),$Z$5:$Z$750,"&lt;&gt;1",$S$5:$S$750,"&gt;"&amp;S26)+COUNTIFS($D$5:$D$750,WF_END_PERIOD,$R$5:$R$750,TRUE(),$Z$5:$Z$750,"&lt;&gt;1",$S$5:$S$750,S26,$B$5:$B$750,"&lt;"&amp;B26),"")</f>
        <v/>
      </c>
      <c r="AB26" s="11" t="b">
        <f aca="false">OR(D26=WF_START_PERIOD,D26=WF_END_PERIOD)</f>
        <v>0</v>
      </c>
      <c r="AC26" s="0" t="str">
        <f aca="false">B26&amp;"|"&amp;D26</f>
        <v>18012|20220331</v>
      </c>
    </row>
    <row r="27" customFormat="false" ht="15" hidden="false" customHeight="false" outlineLevel="0" collapsed="false">
      <c r="A27" s="0" t="n">
        <f aca="false">RawFinancials!A27</f>
        <v>24</v>
      </c>
      <c r="B27" s="0" t="n">
        <f aca="false">RawFinancials!C27</f>
        <v>18013</v>
      </c>
      <c r="C27" s="0" t="str">
        <f aca="false">RawFinancials!P27</f>
        <v>MASCOMA BANK</v>
      </c>
      <c r="D27" s="0" t="n">
        <f aca="false">RawFinancials!W27</f>
        <v>20220331</v>
      </c>
      <c r="E27" s="0" t="str">
        <f aca="false">RawFinancials!Z27</f>
        <v>NH</v>
      </c>
      <c r="F27" s="0" t="n">
        <f aca="false">RawFinancials!B27</f>
        <v>2600482</v>
      </c>
      <c r="G27" s="0" t="n">
        <f aca="false">RawFinancials!U27</f>
        <v>210</v>
      </c>
      <c r="H27" s="0" t="n">
        <f aca="false">RawFinancials!O27</f>
        <v>1382</v>
      </c>
      <c r="I27" s="0" t="n">
        <f aca="false">IF(AND(ISNUMBER(G27),ISNUMBER(H27)),G27+H27,"")</f>
        <v>1592</v>
      </c>
      <c r="J27" s="0" t="n">
        <f aca="false">RawFinancials!D27</f>
        <v>2300252</v>
      </c>
      <c r="K27" s="0" t="n">
        <f aca="false">RawFinancials!F27</f>
        <v>212897</v>
      </c>
      <c r="L27" s="0" t="n">
        <f aca="false">RawFinancials!L27</f>
        <v>1930494</v>
      </c>
      <c r="M27" s="0" t="n">
        <f aca="false">RawFinancials!N27</f>
        <v>1765339</v>
      </c>
      <c r="N27" s="13" t="n">
        <f aca="false">RawFinancials!X27</f>
        <v>0.731150038080731</v>
      </c>
      <c r="O27" s="13" t="n">
        <f aca="false">RawFinancials!V27</f>
        <v>14.3274834905896</v>
      </c>
      <c r="P27" s="13" t="n">
        <f aca="false">IF(AND(ISNUMBER(L27),L27&lt;&gt;0,ISNUMBER(M27)),100*M27/L27,"")</f>
        <v>91.4449358557965</v>
      </c>
      <c r="Q27" s="13" t="n">
        <f aca="false">IF(AND(ISNUMBER(F27),F27&lt;&gt;0,ISNUMBER(K27)),100*K27/F27,"")</f>
        <v>8.18682844180425</v>
      </c>
      <c r="R27" s="11" t="b">
        <f aca="false">AND(ISNUMBER(F27),F27&gt;0,ISNUMBER(G27),G27&gt;=0,ISNUMBER(H27),H27&gt;=0)</f>
        <v>1</v>
      </c>
      <c r="S27" s="13" t="n">
        <f aca="false">IF(R27,100*I27/F27,"")</f>
        <v>0.0612194200921214</v>
      </c>
      <c r="T27" s="11" t="b">
        <f aca="false">NOT(AND(OR(AND(ISBLANK(RawFinancials!B27),ISBLANK(_RawBaseline!B24)),AND(ISNUMBER(RawFinancials!B27),ISNUMBER(_RawBaseline!B24),RawFinancials!B27=_RawBaseline!B24)),OR(AND(ISBLANK(RawFinancials!U27),ISBLANK(_RawBaseline!U24)),AND(ISNUMBER(RawFinancials!U27),ISNUMBER(_RawBaseline!U24),RawFinancials!U27=_RawBaseline!U24)),OR(AND(ISBLANK(RawFinancials!O27),ISBLANK(_RawBaseline!O24)),AND(ISNUMBER(RawFinancials!O27),ISNUMBER(_RawBaseline!O24),RawFinancials!O27=_RawBaseline!O24))))</f>
        <v>0</v>
      </c>
      <c r="U27" s="13" t="n">
        <f aca="false">IF(AND(D27=WF_START_PERIOD,R27,COUNTIFS($B$5:$B$750,B27,$D$5:$D$750,WF_END_PERIOD,$R$5:$R$750,TRUE())&gt;0),SUMIFS($S$5:$S$750,$B$5:$B$750,B27,$D$5:$D$750,WF_END_PERIOD,$R$5:$R$750,TRUE()),0)</f>
        <v>0</v>
      </c>
      <c r="V27" s="0" t="str">
        <f aca="false">IF(AND(D27=WF_START_PERIOD,COUNTIFS($B$5:$B$750,B27,$D$5:$D$750,WF_END_PERIOD)&gt;0),INDEX($E$5:$E$750,MATCH(B27&amp;"|"&amp;WF_END_PERIOD,$AC$5:$AC$750,0)),"")</f>
        <v/>
      </c>
      <c r="W27" s="11" t="b">
        <f aca="false">COUNTIFS($B$5:$B$750,B27,$D$5:$D$750,WF_START_PERIOD,$R$5:$R$750,TRUE())&gt;0</f>
        <v>1</v>
      </c>
      <c r="X27" s="11" t="b">
        <f aca="false">COUNTIFS($B$5:$B$750,B27,$D$5:$D$750,WF_END_PERIOD,$R$5:$R$750,TRUE())&gt;0</f>
        <v>1</v>
      </c>
      <c r="Y27" s="0" t="str">
        <f aca="false">IF(AND(D27=WF_END_PERIOD,COUNTIFS($B$5:$B$750,B27,$D$5:$D$750,WF_START_PERIOD)&gt;0),INDEX($E$5:$E$750,MATCH(B27&amp;"|"&amp;WF_START_PERIOD,$AC$5:$AC$750,0)),"")</f>
        <v/>
      </c>
      <c r="Z27" s="0" t="str">
        <f aca="false">IF(AND(D27=WF_END_PERIOD,R27),1+COUNTIFS($D$5:$D$750,WF_END_PERIOD,$E$5:$E$750,E27,$R$5:$R$750,TRUE(),$S$5:$S$750,"&gt;"&amp;S27)+COUNTIFS($D$5:$D$750,WF_END_PERIOD,$E$5:$E$750,E27,$R$5:$R$750,TRUE(),$S$5:$S$750,S27,$B$5:$B$750,"&lt;"&amp;B27),"")</f>
        <v/>
      </c>
      <c r="AA27" s="0" t="str">
        <f aca="false">IF(AND(D27=WF_END_PERIOD,R27,Z27&lt;&gt;1),1+COUNTIFS($D$5:$D$750,WF_END_PERIOD,$R$5:$R$750,TRUE(),$Z$5:$Z$750,"&lt;&gt;1",$S$5:$S$750,"&gt;"&amp;S27)+COUNTIFS($D$5:$D$750,WF_END_PERIOD,$R$5:$R$750,TRUE(),$Z$5:$Z$750,"&lt;&gt;1",$S$5:$S$750,S27,$B$5:$B$750,"&lt;"&amp;B27),"")</f>
        <v/>
      </c>
      <c r="AB27" s="11" t="b">
        <f aca="false">OR(D27=WF_START_PERIOD,D27=WF_END_PERIOD)</f>
        <v>0</v>
      </c>
      <c r="AC27" s="0" t="str">
        <f aca="false">B27&amp;"|"&amp;D27</f>
        <v>18013|20220331</v>
      </c>
    </row>
    <row r="28" customFormat="false" ht="15" hidden="false" customHeight="false" outlineLevel="0" collapsed="false">
      <c r="A28" s="0" t="n">
        <f aca="false">RawFinancials!A28</f>
        <v>25</v>
      </c>
      <c r="B28" s="0" t="n">
        <f aca="false">RawFinancials!C28</f>
        <v>18028</v>
      </c>
      <c r="C28" s="0" t="str">
        <f aca="false">RawFinancials!P28</f>
        <v>SUGAR RIVER BANK</v>
      </c>
      <c r="D28" s="0" t="n">
        <f aca="false">RawFinancials!W28</f>
        <v>20220331</v>
      </c>
      <c r="E28" s="0" t="str">
        <f aca="false">RawFinancials!Z28</f>
        <v>NH</v>
      </c>
      <c r="F28" s="0" t="n">
        <f aca="false">RawFinancials!B28</f>
        <v>376087</v>
      </c>
      <c r="G28" s="0" t="n">
        <f aca="false">RawFinancials!U28</f>
        <v>46</v>
      </c>
      <c r="H28" s="0" t="n">
        <f aca="false">RawFinancials!O28</f>
        <v>1080</v>
      </c>
      <c r="I28" s="0" t="n">
        <f aca="false">IF(AND(ISNUMBER(G28),ISNUMBER(H28)),G28+H28,"")</f>
        <v>1126</v>
      </c>
      <c r="J28" s="0" t="n">
        <f aca="false">RawFinancials!D28</f>
        <v>329792</v>
      </c>
      <c r="K28" s="0" t="n">
        <f aca="false">RawFinancials!F28</f>
        <v>41683</v>
      </c>
      <c r="L28" s="0" t="n">
        <f aca="false">RawFinancials!L28</f>
        <v>230734</v>
      </c>
      <c r="M28" s="0" t="n">
        <f aca="false">RawFinancials!N28</f>
        <v>205024</v>
      </c>
      <c r="N28" s="13" t="n">
        <f aca="false">RawFinancials!X28</f>
        <v>0.799467731204258</v>
      </c>
      <c r="O28" s="13" t="n">
        <f aca="false">RawFinancials!V28</f>
        <v>0</v>
      </c>
      <c r="P28" s="13" t="n">
        <f aca="false">IF(AND(ISNUMBER(L28),L28&lt;&gt;0,ISNUMBER(M28)),100*M28/L28,"")</f>
        <v>88.8572988809625</v>
      </c>
      <c r="Q28" s="13" t="n">
        <f aca="false">IF(AND(ISNUMBER(F28),F28&lt;&gt;0,ISNUMBER(K28)),100*K28/F28,"")</f>
        <v>11.0833397591515</v>
      </c>
      <c r="R28" s="11" t="b">
        <f aca="false">AND(ISNUMBER(F28),F28&gt;0,ISNUMBER(G28),G28&gt;=0,ISNUMBER(H28),H28&gt;=0)</f>
        <v>1</v>
      </c>
      <c r="S28" s="13" t="n">
        <f aca="false">IF(R28,100*I28/F28,"")</f>
        <v>0.299398809318057</v>
      </c>
      <c r="T28" s="11" t="b">
        <f aca="false">NOT(AND(OR(AND(ISBLANK(RawFinancials!B28),ISBLANK(_RawBaseline!B25)),AND(ISNUMBER(RawFinancials!B28),ISNUMBER(_RawBaseline!B25),RawFinancials!B28=_RawBaseline!B25)),OR(AND(ISBLANK(RawFinancials!U28),ISBLANK(_RawBaseline!U25)),AND(ISNUMBER(RawFinancials!U28),ISNUMBER(_RawBaseline!U25),RawFinancials!U28=_RawBaseline!U25)),OR(AND(ISBLANK(RawFinancials!O28),ISBLANK(_RawBaseline!O25)),AND(ISNUMBER(RawFinancials!O28),ISNUMBER(_RawBaseline!O25),RawFinancials!O28=_RawBaseline!O25))))</f>
        <v>0</v>
      </c>
      <c r="U28" s="13" t="n">
        <f aca="false">IF(AND(D28=WF_START_PERIOD,R28,COUNTIFS($B$5:$B$750,B28,$D$5:$D$750,WF_END_PERIOD,$R$5:$R$750,TRUE())&gt;0),SUMIFS($S$5:$S$750,$B$5:$B$750,B28,$D$5:$D$750,WF_END_PERIOD,$R$5:$R$750,TRUE()),0)</f>
        <v>0</v>
      </c>
      <c r="V28" s="0" t="str">
        <f aca="false">IF(AND(D28=WF_START_PERIOD,COUNTIFS($B$5:$B$750,B28,$D$5:$D$750,WF_END_PERIOD)&gt;0),INDEX($E$5:$E$750,MATCH(B28&amp;"|"&amp;WF_END_PERIOD,$AC$5:$AC$750,0)),"")</f>
        <v/>
      </c>
      <c r="W28" s="11" t="b">
        <f aca="false">COUNTIFS($B$5:$B$750,B28,$D$5:$D$750,WF_START_PERIOD,$R$5:$R$750,TRUE())&gt;0</f>
        <v>1</v>
      </c>
      <c r="X28" s="11" t="b">
        <f aca="false">COUNTIFS($B$5:$B$750,B28,$D$5:$D$750,WF_END_PERIOD,$R$5:$R$750,TRUE())&gt;0</f>
        <v>1</v>
      </c>
      <c r="Y28" s="0" t="str">
        <f aca="false">IF(AND(D28=WF_END_PERIOD,COUNTIFS($B$5:$B$750,B28,$D$5:$D$750,WF_START_PERIOD)&gt;0),INDEX($E$5:$E$750,MATCH(B28&amp;"|"&amp;WF_START_PERIOD,$AC$5:$AC$750,0)),"")</f>
        <v/>
      </c>
      <c r="Z28" s="0" t="str">
        <f aca="false">IF(AND(D28=WF_END_PERIOD,R28),1+COUNTIFS($D$5:$D$750,WF_END_PERIOD,$E$5:$E$750,E28,$R$5:$R$750,TRUE(),$S$5:$S$750,"&gt;"&amp;S28)+COUNTIFS($D$5:$D$750,WF_END_PERIOD,$E$5:$E$750,E28,$R$5:$R$750,TRUE(),$S$5:$S$750,S28,$B$5:$B$750,"&lt;"&amp;B28),"")</f>
        <v/>
      </c>
      <c r="AA28" s="0" t="str">
        <f aca="false">IF(AND(D28=WF_END_PERIOD,R28,Z28&lt;&gt;1),1+COUNTIFS($D$5:$D$750,WF_END_PERIOD,$R$5:$R$750,TRUE(),$Z$5:$Z$750,"&lt;&gt;1",$S$5:$S$750,"&gt;"&amp;S28)+COUNTIFS($D$5:$D$750,WF_END_PERIOD,$R$5:$R$750,TRUE(),$Z$5:$Z$750,"&lt;&gt;1",$S$5:$S$750,S28,$B$5:$B$750,"&lt;"&amp;B28),"")</f>
        <v/>
      </c>
      <c r="AB28" s="11" t="b">
        <f aca="false">OR(D28=WF_START_PERIOD,D28=WF_END_PERIOD)</f>
        <v>0</v>
      </c>
      <c r="AC28" s="0" t="str">
        <f aca="false">B28&amp;"|"&amp;D28</f>
        <v>18028|20220331</v>
      </c>
    </row>
    <row r="29" customFormat="false" ht="15" hidden="false" customHeight="false" outlineLevel="0" collapsed="false">
      <c r="A29" s="0" t="n">
        <f aca="false">RawFinancials!A29</f>
        <v>26</v>
      </c>
      <c r="B29" s="0" t="n">
        <f aca="false">RawFinancials!C29</f>
        <v>18030</v>
      </c>
      <c r="C29" s="0" t="str">
        <f aca="false">RawFinancials!P29</f>
        <v>SAVINGS BANK OF WALPOLE</v>
      </c>
      <c r="D29" s="0" t="n">
        <f aca="false">RawFinancials!W29</f>
        <v>20220331</v>
      </c>
      <c r="E29" s="0" t="str">
        <f aca="false">RawFinancials!Z29</f>
        <v>NH</v>
      </c>
      <c r="F29" s="0" t="n">
        <f aca="false">RawFinancials!B29</f>
        <v>675480</v>
      </c>
      <c r="G29" s="0" t="n">
        <f aca="false">RawFinancials!U29</f>
        <v>120</v>
      </c>
      <c r="H29" s="0" t="n">
        <f aca="false">RawFinancials!O29</f>
        <v>602</v>
      </c>
      <c r="I29" s="0" t="n">
        <f aca="false">IF(AND(ISNUMBER(G29),ISNUMBER(H29)),G29+H29,"")</f>
        <v>722</v>
      </c>
      <c r="J29" s="0" t="n">
        <f aca="false">RawFinancials!D29</f>
        <v>625612</v>
      </c>
      <c r="K29" s="0" t="n">
        <f aca="false">RawFinancials!F29</f>
        <v>47946</v>
      </c>
      <c r="L29" s="0" t="n">
        <f aca="false">RawFinancials!L29</f>
        <v>485470</v>
      </c>
      <c r="M29" s="0" t="n">
        <f aca="false">RawFinancials!N29</f>
        <v>383166</v>
      </c>
      <c r="N29" s="13" t="n">
        <f aca="false">RawFinancials!X29</f>
        <v>0.354625753802855</v>
      </c>
      <c r="O29" s="13" t="n">
        <f aca="false">RawFinancials!V29</f>
        <v>14.5080691206684</v>
      </c>
      <c r="P29" s="13" t="n">
        <f aca="false">IF(AND(ISNUMBER(L29),L29&lt;&gt;0,ISNUMBER(M29)),100*M29/L29,"")</f>
        <v>78.9268131913403</v>
      </c>
      <c r="Q29" s="13" t="n">
        <f aca="false">IF(AND(ISNUMBER(F29),F29&lt;&gt;0,ISNUMBER(K29)),100*K29/F29,"")</f>
        <v>7.09806359921833</v>
      </c>
      <c r="R29" s="11" t="b">
        <f aca="false">AND(ISNUMBER(F29),F29&gt;0,ISNUMBER(G29),G29&gt;=0,ISNUMBER(H29),H29&gt;=0)</f>
        <v>1</v>
      </c>
      <c r="S29" s="13" t="n">
        <f aca="false">IF(R29,100*I29/F29,"")</f>
        <v>0.106886954462012</v>
      </c>
      <c r="T29" s="11" t="b">
        <f aca="false">NOT(AND(OR(AND(ISBLANK(RawFinancials!B29),ISBLANK(_RawBaseline!B26)),AND(ISNUMBER(RawFinancials!B29),ISNUMBER(_RawBaseline!B26),RawFinancials!B29=_RawBaseline!B26)),OR(AND(ISBLANK(RawFinancials!U29),ISBLANK(_RawBaseline!U26)),AND(ISNUMBER(RawFinancials!U29),ISNUMBER(_RawBaseline!U26),RawFinancials!U29=_RawBaseline!U26)),OR(AND(ISBLANK(RawFinancials!O29),ISBLANK(_RawBaseline!O26)),AND(ISNUMBER(RawFinancials!O29),ISNUMBER(_RawBaseline!O26),RawFinancials!O29=_RawBaseline!O26))))</f>
        <v>0</v>
      </c>
      <c r="U29" s="13" t="n">
        <f aca="false">IF(AND(D29=WF_START_PERIOD,R29,COUNTIFS($B$5:$B$750,B29,$D$5:$D$750,WF_END_PERIOD,$R$5:$R$750,TRUE())&gt;0),SUMIFS($S$5:$S$750,$B$5:$B$750,B29,$D$5:$D$750,WF_END_PERIOD,$R$5:$R$750,TRUE()),0)</f>
        <v>0</v>
      </c>
      <c r="V29" s="0" t="str">
        <f aca="false">IF(AND(D29=WF_START_PERIOD,COUNTIFS($B$5:$B$750,B29,$D$5:$D$750,WF_END_PERIOD)&gt;0),INDEX($E$5:$E$750,MATCH(B29&amp;"|"&amp;WF_END_PERIOD,$AC$5:$AC$750,0)),"")</f>
        <v/>
      </c>
      <c r="W29" s="11" t="b">
        <f aca="false">COUNTIFS($B$5:$B$750,B29,$D$5:$D$750,WF_START_PERIOD,$R$5:$R$750,TRUE())&gt;0</f>
        <v>1</v>
      </c>
      <c r="X29" s="11" t="b">
        <f aca="false">COUNTIFS($B$5:$B$750,B29,$D$5:$D$750,WF_END_PERIOD,$R$5:$R$750,TRUE())&gt;0</f>
        <v>1</v>
      </c>
      <c r="Y29" s="0" t="str">
        <f aca="false">IF(AND(D29=WF_END_PERIOD,COUNTIFS($B$5:$B$750,B29,$D$5:$D$750,WF_START_PERIOD)&gt;0),INDEX($E$5:$E$750,MATCH(B29&amp;"|"&amp;WF_START_PERIOD,$AC$5:$AC$750,0)),"")</f>
        <v/>
      </c>
      <c r="Z29" s="0" t="str">
        <f aca="false">IF(AND(D29=WF_END_PERIOD,R29),1+COUNTIFS($D$5:$D$750,WF_END_PERIOD,$E$5:$E$750,E29,$R$5:$R$750,TRUE(),$S$5:$S$750,"&gt;"&amp;S29)+COUNTIFS($D$5:$D$750,WF_END_PERIOD,$E$5:$E$750,E29,$R$5:$R$750,TRUE(),$S$5:$S$750,S29,$B$5:$B$750,"&lt;"&amp;B29),"")</f>
        <v/>
      </c>
      <c r="AA29" s="0" t="str">
        <f aca="false">IF(AND(D29=WF_END_PERIOD,R29,Z29&lt;&gt;1),1+COUNTIFS($D$5:$D$750,WF_END_PERIOD,$R$5:$R$750,TRUE(),$Z$5:$Z$750,"&lt;&gt;1",$S$5:$S$750,"&gt;"&amp;S29)+COUNTIFS($D$5:$D$750,WF_END_PERIOD,$R$5:$R$750,TRUE(),$Z$5:$Z$750,"&lt;&gt;1",$S$5:$S$750,S29,$B$5:$B$750,"&lt;"&amp;B29),"")</f>
        <v/>
      </c>
      <c r="AB29" s="11" t="b">
        <f aca="false">OR(D29=WF_START_PERIOD,D29=WF_END_PERIOD)</f>
        <v>0</v>
      </c>
      <c r="AC29" s="0" t="str">
        <f aca="false">B29&amp;"|"&amp;D29</f>
        <v>18030|20220331</v>
      </c>
    </row>
    <row r="30" customFormat="false" ht="15" hidden="false" customHeight="false" outlineLevel="0" collapsed="false">
      <c r="A30" s="0" t="n">
        <f aca="false">RawFinancials!A30</f>
        <v>27</v>
      </c>
      <c r="B30" s="0" t="n">
        <f aca="false">RawFinancials!C30</f>
        <v>18031</v>
      </c>
      <c r="C30" s="0" t="str">
        <f aca="false">RawFinancials!P30</f>
        <v>WOODSVILLE GUARANTY SAVINGS BANK</v>
      </c>
      <c r="D30" s="0" t="n">
        <f aca="false">RawFinancials!W30</f>
        <v>20220331</v>
      </c>
      <c r="E30" s="0" t="str">
        <f aca="false">RawFinancials!Z30</f>
        <v>NH</v>
      </c>
      <c r="F30" s="0" t="n">
        <f aca="false">RawFinancials!B30</f>
        <v>618579</v>
      </c>
      <c r="G30" s="0" t="n">
        <f aca="false">RawFinancials!U30</f>
        <v>0</v>
      </c>
      <c r="H30" s="0" t="n">
        <f aca="false">RawFinancials!O30</f>
        <v>602</v>
      </c>
      <c r="I30" s="0" t="n">
        <f aca="false">IF(AND(ISNUMBER(G30),ISNUMBER(H30)),G30+H30,"")</f>
        <v>602</v>
      </c>
      <c r="J30" s="0" t="n">
        <f aca="false">RawFinancials!D30</f>
        <v>539167</v>
      </c>
      <c r="K30" s="0" t="n">
        <f aca="false">RawFinancials!F30</f>
        <v>45852</v>
      </c>
      <c r="L30" s="0" t="n">
        <f aca="false">RawFinancials!L30</f>
        <v>414273</v>
      </c>
      <c r="M30" s="0" t="n">
        <f aca="false">RawFinancials!N30</f>
        <v>368428</v>
      </c>
      <c r="N30" s="13" t="n">
        <f aca="false">RawFinancials!X30</f>
        <v>0.474826734203215</v>
      </c>
      <c r="O30" s="13" t="n">
        <f aca="false">RawFinancials!V30</f>
        <v>0</v>
      </c>
      <c r="P30" s="13" t="n">
        <f aca="false">IF(AND(ISNUMBER(L30),L30&lt;&gt;0,ISNUMBER(M30)),100*M30/L30,"")</f>
        <v>88.9336258940361</v>
      </c>
      <c r="Q30" s="13" t="n">
        <f aca="false">IF(AND(ISNUMBER(F30),F30&lt;&gt;0,ISNUMBER(K30)),100*K30/F30,"")</f>
        <v>7.41247278035627</v>
      </c>
      <c r="R30" s="11" t="b">
        <f aca="false">AND(ISNUMBER(F30),F30&gt;0,ISNUMBER(G30),G30&gt;=0,ISNUMBER(H30),H30&gt;=0)</f>
        <v>1</v>
      </c>
      <c r="S30" s="13" t="n">
        <f aca="false">IF(R30,100*I30/F30,"")</f>
        <v>0.0973198249536438</v>
      </c>
      <c r="T30" s="11" t="b">
        <f aca="false">NOT(AND(OR(AND(ISBLANK(RawFinancials!B30),ISBLANK(_RawBaseline!B27)),AND(ISNUMBER(RawFinancials!B30),ISNUMBER(_RawBaseline!B27),RawFinancials!B30=_RawBaseline!B27)),OR(AND(ISBLANK(RawFinancials!U30),ISBLANK(_RawBaseline!U27)),AND(ISNUMBER(RawFinancials!U30),ISNUMBER(_RawBaseline!U27),RawFinancials!U30=_RawBaseline!U27)),OR(AND(ISBLANK(RawFinancials!O30),ISBLANK(_RawBaseline!O27)),AND(ISNUMBER(RawFinancials!O30),ISNUMBER(_RawBaseline!O27),RawFinancials!O30=_RawBaseline!O27))))</f>
        <v>0</v>
      </c>
      <c r="U30" s="13" t="n">
        <f aca="false">IF(AND(D30=WF_START_PERIOD,R30,COUNTIFS($B$5:$B$750,B30,$D$5:$D$750,WF_END_PERIOD,$R$5:$R$750,TRUE())&gt;0),SUMIFS($S$5:$S$750,$B$5:$B$750,B30,$D$5:$D$750,WF_END_PERIOD,$R$5:$R$750,TRUE()),0)</f>
        <v>0</v>
      </c>
      <c r="V30" s="0" t="str">
        <f aca="false">IF(AND(D30=WF_START_PERIOD,COUNTIFS($B$5:$B$750,B30,$D$5:$D$750,WF_END_PERIOD)&gt;0),INDEX($E$5:$E$750,MATCH(B30&amp;"|"&amp;WF_END_PERIOD,$AC$5:$AC$750,0)),"")</f>
        <v/>
      </c>
      <c r="W30" s="11" t="b">
        <f aca="false">COUNTIFS($B$5:$B$750,B30,$D$5:$D$750,WF_START_PERIOD,$R$5:$R$750,TRUE())&gt;0</f>
        <v>1</v>
      </c>
      <c r="X30" s="11" t="b">
        <f aca="false">COUNTIFS($B$5:$B$750,B30,$D$5:$D$750,WF_END_PERIOD,$R$5:$R$750,TRUE())&gt;0</f>
        <v>1</v>
      </c>
      <c r="Y30" s="0" t="str">
        <f aca="false">IF(AND(D30=WF_END_PERIOD,COUNTIFS($B$5:$B$750,B30,$D$5:$D$750,WF_START_PERIOD)&gt;0),INDEX($E$5:$E$750,MATCH(B30&amp;"|"&amp;WF_START_PERIOD,$AC$5:$AC$750,0)),"")</f>
        <v/>
      </c>
      <c r="Z30" s="0" t="str">
        <f aca="false">IF(AND(D30=WF_END_PERIOD,R30),1+COUNTIFS($D$5:$D$750,WF_END_PERIOD,$E$5:$E$750,E30,$R$5:$R$750,TRUE(),$S$5:$S$750,"&gt;"&amp;S30)+COUNTIFS($D$5:$D$750,WF_END_PERIOD,$E$5:$E$750,E30,$R$5:$R$750,TRUE(),$S$5:$S$750,S30,$B$5:$B$750,"&lt;"&amp;B30),"")</f>
        <v/>
      </c>
      <c r="AA30" s="0" t="str">
        <f aca="false">IF(AND(D30=WF_END_PERIOD,R30,Z30&lt;&gt;1),1+COUNTIFS($D$5:$D$750,WF_END_PERIOD,$R$5:$R$750,TRUE(),$Z$5:$Z$750,"&lt;&gt;1",$S$5:$S$750,"&gt;"&amp;S30)+COUNTIFS($D$5:$D$750,WF_END_PERIOD,$R$5:$R$750,TRUE(),$Z$5:$Z$750,"&lt;&gt;1",$S$5:$S$750,S30,$B$5:$B$750,"&lt;"&amp;B30),"")</f>
        <v/>
      </c>
      <c r="AB30" s="11" t="b">
        <f aca="false">OR(D30=WF_START_PERIOD,D30=WF_END_PERIOD)</f>
        <v>0</v>
      </c>
      <c r="AC30" s="0" t="str">
        <f aca="false">B30&amp;"|"&amp;D30</f>
        <v>18031|20220331</v>
      </c>
    </row>
    <row r="31" customFormat="false" ht="15" hidden="false" customHeight="false" outlineLevel="0" collapsed="false">
      <c r="A31" s="0" t="n">
        <f aca="false">RawFinancials!A31</f>
        <v>28</v>
      </c>
      <c r="B31" s="0" t="n">
        <f aca="false">RawFinancials!C31</f>
        <v>18038</v>
      </c>
      <c r="C31" s="0" t="str">
        <f aca="false">RawFinancials!P31</f>
        <v>CLAREMONT SAVINGS BANK</v>
      </c>
      <c r="D31" s="0" t="n">
        <f aca="false">RawFinancials!W31</f>
        <v>20220331</v>
      </c>
      <c r="E31" s="0" t="str">
        <f aca="false">RawFinancials!Z31</f>
        <v>NH</v>
      </c>
      <c r="F31" s="0" t="n">
        <f aca="false">RawFinancials!B31</f>
        <v>483496</v>
      </c>
      <c r="G31" s="0" t="n">
        <f aca="false">RawFinancials!U31</f>
        <v>0</v>
      </c>
      <c r="H31" s="0" t="n">
        <f aca="false">RawFinancials!O31</f>
        <v>2487</v>
      </c>
      <c r="I31" s="0" t="n">
        <f aca="false">IF(AND(ISNUMBER(G31),ISNUMBER(H31)),G31+H31,"")</f>
        <v>2487</v>
      </c>
      <c r="J31" s="0" t="n">
        <f aca="false">RawFinancials!D31</f>
        <v>404536</v>
      </c>
      <c r="K31" s="0" t="n">
        <f aca="false">RawFinancials!F31</f>
        <v>69131</v>
      </c>
      <c r="L31" s="0" t="n">
        <f aca="false">RawFinancials!L31</f>
        <v>356852</v>
      </c>
      <c r="M31" s="0" t="n">
        <f aca="false">RawFinancials!N31</f>
        <v>335633</v>
      </c>
      <c r="N31" s="13" t="n">
        <f aca="false">RawFinancials!X31</f>
        <v>-0.708233314868386</v>
      </c>
      <c r="O31" s="13" t="n">
        <f aca="false">RawFinancials!V31</f>
        <v>0</v>
      </c>
      <c r="P31" s="13" t="n">
        <f aca="false">IF(AND(ISNUMBER(L31),L31&lt;&gt;0,ISNUMBER(M31)),100*M31/L31,"")</f>
        <v>94.0538374452154</v>
      </c>
      <c r="Q31" s="13" t="n">
        <f aca="false">IF(AND(ISNUMBER(F31),F31&lt;&gt;0,ISNUMBER(K31)),100*K31/F31,"")</f>
        <v>14.2981534490461</v>
      </c>
      <c r="R31" s="11" t="b">
        <f aca="false">AND(ISNUMBER(F31),F31&gt;0,ISNUMBER(G31),G31&gt;=0,ISNUMBER(H31),H31&gt;=0)</f>
        <v>1</v>
      </c>
      <c r="S31" s="13" t="n">
        <f aca="false">IF(R31,100*I31/F31,"")</f>
        <v>0.514378609130169</v>
      </c>
      <c r="T31" s="11" t="b">
        <f aca="false">NOT(AND(OR(AND(ISBLANK(RawFinancials!B31),ISBLANK(_RawBaseline!B28)),AND(ISNUMBER(RawFinancials!B31),ISNUMBER(_RawBaseline!B28),RawFinancials!B31=_RawBaseline!B28)),OR(AND(ISBLANK(RawFinancials!U31),ISBLANK(_RawBaseline!U28)),AND(ISNUMBER(RawFinancials!U31),ISNUMBER(_RawBaseline!U28),RawFinancials!U31=_RawBaseline!U28)),OR(AND(ISBLANK(RawFinancials!O31),ISBLANK(_RawBaseline!O28)),AND(ISNUMBER(RawFinancials!O31),ISNUMBER(_RawBaseline!O28),RawFinancials!O31=_RawBaseline!O28))))</f>
        <v>0</v>
      </c>
      <c r="U31" s="13" t="n">
        <f aca="false">IF(AND(D31=WF_START_PERIOD,R31,COUNTIFS($B$5:$B$750,B31,$D$5:$D$750,WF_END_PERIOD,$R$5:$R$750,TRUE())&gt;0),SUMIFS($S$5:$S$750,$B$5:$B$750,B31,$D$5:$D$750,WF_END_PERIOD,$R$5:$R$750,TRUE()),0)</f>
        <v>0</v>
      </c>
      <c r="V31" s="0" t="str">
        <f aca="false">IF(AND(D31=WF_START_PERIOD,COUNTIFS($B$5:$B$750,B31,$D$5:$D$750,WF_END_PERIOD)&gt;0),INDEX($E$5:$E$750,MATCH(B31&amp;"|"&amp;WF_END_PERIOD,$AC$5:$AC$750,0)),"")</f>
        <v/>
      </c>
      <c r="W31" s="11" t="b">
        <f aca="false">COUNTIFS($B$5:$B$750,B31,$D$5:$D$750,WF_START_PERIOD,$R$5:$R$750,TRUE())&gt;0</f>
        <v>1</v>
      </c>
      <c r="X31" s="11" t="b">
        <f aca="false">COUNTIFS($B$5:$B$750,B31,$D$5:$D$750,WF_END_PERIOD,$R$5:$R$750,TRUE())&gt;0</f>
        <v>1</v>
      </c>
      <c r="Y31" s="0" t="str">
        <f aca="false">IF(AND(D31=WF_END_PERIOD,COUNTIFS($B$5:$B$750,B31,$D$5:$D$750,WF_START_PERIOD)&gt;0),INDEX($E$5:$E$750,MATCH(B31&amp;"|"&amp;WF_START_PERIOD,$AC$5:$AC$750,0)),"")</f>
        <v/>
      </c>
      <c r="Z31" s="0" t="str">
        <f aca="false">IF(AND(D31=WF_END_PERIOD,R31),1+COUNTIFS($D$5:$D$750,WF_END_PERIOD,$E$5:$E$750,E31,$R$5:$R$750,TRUE(),$S$5:$S$750,"&gt;"&amp;S31)+COUNTIFS($D$5:$D$750,WF_END_PERIOD,$E$5:$E$750,E31,$R$5:$R$750,TRUE(),$S$5:$S$750,S31,$B$5:$B$750,"&lt;"&amp;B31),"")</f>
        <v/>
      </c>
      <c r="AA31" s="0" t="str">
        <f aca="false">IF(AND(D31=WF_END_PERIOD,R31,Z31&lt;&gt;1),1+COUNTIFS($D$5:$D$750,WF_END_PERIOD,$R$5:$R$750,TRUE(),$Z$5:$Z$750,"&lt;&gt;1",$S$5:$S$750,"&gt;"&amp;S31)+COUNTIFS($D$5:$D$750,WF_END_PERIOD,$R$5:$R$750,TRUE(),$Z$5:$Z$750,"&lt;&gt;1",$S$5:$S$750,S31,$B$5:$B$750,"&lt;"&amp;B31),"")</f>
        <v/>
      </c>
      <c r="AB31" s="11" t="b">
        <f aca="false">OR(D31=WF_START_PERIOD,D31=WF_END_PERIOD)</f>
        <v>0</v>
      </c>
      <c r="AC31" s="0" t="str">
        <f aca="false">B31&amp;"|"&amp;D31</f>
        <v>18038|20220331</v>
      </c>
    </row>
    <row r="32" customFormat="false" ht="15" hidden="false" customHeight="false" outlineLevel="0" collapsed="false">
      <c r="A32" s="0" t="n">
        <f aca="false">RawFinancials!A32</f>
        <v>29</v>
      </c>
      <c r="B32" s="0" t="n">
        <f aca="false">RawFinancials!C32</f>
        <v>18408</v>
      </c>
      <c r="C32" s="0" t="str">
        <f aca="false">RawFinancials!P32</f>
        <v>BANGOR SAVINGS BANK</v>
      </c>
      <c r="D32" s="0" t="n">
        <f aca="false">RawFinancials!W32</f>
        <v>20220331</v>
      </c>
      <c r="E32" s="0" t="str">
        <f aca="false">RawFinancials!Z32</f>
        <v>ME</v>
      </c>
      <c r="F32" s="0" t="n">
        <f aca="false">RawFinancials!B32</f>
        <v>6919263</v>
      </c>
      <c r="G32" s="0" t="n">
        <f aca="false">RawFinancials!U32</f>
        <v>0</v>
      </c>
      <c r="H32" s="0" t="n">
        <f aca="false">RawFinancials!O32</f>
        <v>4978</v>
      </c>
      <c r="I32" s="0" t="n">
        <f aca="false">IF(AND(ISNUMBER(G32),ISNUMBER(H32)),G32+H32,"")</f>
        <v>4978</v>
      </c>
      <c r="J32" s="0" t="n">
        <f aca="false">RawFinancials!D32</f>
        <v>5759296</v>
      </c>
      <c r="K32" s="0" t="n">
        <f aca="false">RawFinancials!F32</f>
        <v>446779</v>
      </c>
      <c r="L32" s="0" t="n">
        <f aca="false">RawFinancials!L32</f>
        <v>3977154</v>
      </c>
      <c r="M32" s="0" t="n">
        <f aca="false">RawFinancials!N32</f>
        <v>3596517</v>
      </c>
      <c r="N32" s="13" t="n">
        <f aca="false">RawFinancials!X32</f>
        <v>0.599350000296493</v>
      </c>
      <c r="O32" s="13" t="n">
        <f aca="false">RawFinancials!V32</f>
        <v>13.1233075612294</v>
      </c>
      <c r="P32" s="13" t="n">
        <f aca="false">IF(AND(ISNUMBER(L32),L32&lt;&gt;0,ISNUMBER(M32)),100*M32/L32,"")</f>
        <v>90.4294125900078</v>
      </c>
      <c r="Q32" s="13" t="n">
        <f aca="false">IF(AND(ISNUMBER(F32),F32&lt;&gt;0,ISNUMBER(K32)),100*K32/F32,"")</f>
        <v>6.45703162316565</v>
      </c>
      <c r="R32" s="11" t="b">
        <f aca="false">AND(ISNUMBER(F32),F32&gt;0,ISNUMBER(G32),G32&gt;=0,ISNUMBER(H32),H32&gt;=0)</f>
        <v>1</v>
      </c>
      <c r="S32" s="13" t="n">
        <f aca="false">IF(R32,100*I32/F32,"")</f>
        <v>0.0719440784372555</v>
      </c>
      <c r="T32" s="11" t="b">
        <f aca="false">NOT(AND(OR(AND(ISBLANK(RawFinancials!B32),ISBLANK(_RawBaseline!B29)),AND(ISNUMBER(RawFinancials!B32),ISNUMBER(_RawBaseline!B29),RawFinancials!B32=_RawBaseline!B29)),OR(AND(ISBLANK(RawFinancials!U32),ISBLANK(_RawBaseline!U29)),AND(ISNUMBER(RawFinancials!U32),ISNUMBER(_RawBaseline!U29),RawFinancials!U32=_RawBaseline!U29)),OR(AND(ISBLANK(RawFinancials!O32),ISBLANK(_RawBaseline!O29)),AND(ISNUMBER(RawFinancials!O32),ISNUMBER(_RawBaseline!O29),RawFinancials!O32=_RawBaseline!O29))))</f>
        <v>0</v>
      </c>
      <c r="U32" s="13" t="n">
        <f aca="false">IF(AND(D32=WF_START_PERIOD,R32,COUNTIFS($B$5:$B$750,B32,$D$5:$D$750,WF_END_PERIOD,$R$5:$R$750,TRUE())&gt;0),SUMIFS($S$5:$S$750,$B$5:$B$750,B32,$D$5:$D$750,WF_END_PERIOD,$R$5:$R$750,TRUE()),0)</f>
        <v>0</v>
      </c>
      <c r="V32" s="0" t="str">
        <f aca="false">IF(AND(D32=WF_START_PERIOD,COUNTIFS($B$5:$B$750,B32,$D$5:$D$750,WF_END_PERIOD)&gt;0),INDEX($E$5:$E$750,MATCH(B32&amp;"|"&amp;WF_END_PERIOD,$AC$5:$AC$750,0)),"")</f>
        <v/>
      </c>
      <c r="W32" s="11" t="b">
        <f aca="false">COUNTIFS($B$5:$B$750,B32,$D$5:$D$750,WF_START_PERIOD,$R$5:$R$750,TRUE())&gt;0</f>
        <v>1</v>
      </c>
      <c r="X32" s="11" t="b">
        <f aca="false">COUNTIFS($B$5:$B$750,B32,$D$5:$D$750,WF_END_PERIOD,$R$5:$R$750,TRUE())&gt;0</f>
        <v>1</v>
      </c>
      <c r="Y32" s="0" t="str">
        <f aca="false">IF(AND(D32=WF_END_PERIOD,COUNTIFS($B$5:$B$750,B32,$D$5:$D$750,WF_START_PERIOD)&gt;0),INDEX($E$5:$E$750,MATCH(B32&amp;"|"&amp;WF_START_PERIOD,$AC$5:$AC$750,0)),"")</f>
        <v/>
      </c>
      <c r="Z32" s="0" t="str">
        <f aca="false">IF(AND(D32=WF_END_PERIOD,R32),1+COUNTIFS($D$5:$D$750,WF_END_PERIOD,$E$5:$E$750,E32,$R$5:$R$750,TRUE(),$S$5:$S$750,"&gt;"&amp;S32)+COUNTIFS($D$5:$D$750,WF_END_PERIOD,$E$5:$E$750,E32,$R$5:$R$750,TRUE(),$S$5:$S$750,S32,$B$5:$B$750,"&lt;"&amp;B32),"")</f>
        <v/>
      </c>
      <c r="AA32" s="0" t="str">
        <f aca="false">IF(AND(D32=WF_END_PERIOD,R32,Z32&lt;&gt;1),1+COUNTIFS($D$5:$D$750,WF_END_PERIOD,$R$5:$R$750,TRUE(),$Z$5:$Z$750,"&lt;&gt;1",$S$5:$S$750,"&gt;"&amp;S32)+COUNTIFS($D$5:$D$750,WF_END_PERIOD,$R$5:$R$750,TRUE(),$Z$5:$Z$750,"&lt;&gt;1",$S$5:$S$750,S32,$B$5:$B$750,"&lt;"&amp;B32),"")</f>
        <v/>
      </c>
      <c r="AB32" s="11" t="b">
        <f aca="false">OR(D32=WF_START_PERIOD,D32=WF_END_PERIOD)</f>
        <v>0</v>
      </c>
      <c r="AC32" s="0" t="str">
        <f aca="false">B32&amp;"|"&amp;D32</f>
        <v>18408|20220331</v>
      </c>
    </row>
    <row r="33" customFormat="false" ht="15" hidden="false" customHeight="false" outlineLevel="0" collapsed="false">
      <c r="A33" s="0" t="n">
        <f aca="false">RawFinancials!A33</f>
        <v>30</v>
      </c>
      <c r="B33" s="0" t="n">
        <f aca="false">RawFinancials!C33</f>
        <v>19531</v>
      </c>
      <c r="C33" s="0" t="str">
        <f aca="false">RawFinancials!P33</f>
        <v>MACHIAS SAVINGS BANK</v>
      </c>
      <c r="D33" s="0" t="n">
        <f aca="false">RawFinancials!W33</f>
        <v>20220331</v>
      </c>
      <c r="E33" s="0" t="str">
        <f aca="false">RawFinancials!Z33</f>
        <v>ME</v>
      </c>
      <c r="F33" s="0" t="n">
        <f aca="false">RawFinancials!B33</f>
        <v>2173098</v>
      </c>
      <c r="G33" s="0" t="n">
        <f aca="false">RawFinancials!U33</f>
        <v>418</v>
      </c>
      <c r="H33" s="0" t="n">
        <f aca="false">RawFinancials!O33</f>
        <v>5998</v>
      </c>
      <c r="I33" s="0" t="n">
        <f aca="false">IF(AND(ISNUMBER(G33),ISNUMBER(H33)),G33+H33,"")</f>
        <v>6416</v>
      </c>
      <c r="J33" s="0" t="n">
        <f aca="false">RawFinancials!D33</f>
        <v>1922538</v>
      </c>
      <c r="K33" s="0" t="n">
        <f aca="false">RawFinancials!F33</f>
        <v>230604</v>
      </c>
      <c r="L33" s="0" t="n">
        <f aca="false">RawFinancials!L33</f>
        <v>1643228</v>
      </c>
      <c r="M33" s="0" t="n">
        <f aca="false">RawFinancials!N33</f>
        <v>1345130</v>
      </c>
      <c r="N33" s="13" t="n">
        <f aca="false">RawFinancials!X33</f>
        <v>0.72578440299364</v>
      </c>
      <c r="O33" s="13" t="n">
        <f aca="false">RawFinancials!V33</f>
        <v>15.6563181861576</v>
      </c>
      <c r="P33" s="13" t="n">
        <f aca="false">IF(AND(ISNUMBER(L33),L33&lt;&gt;0,ISNUMBER(M33)),100*M33/L33,"")</f>
        <v>81.8589994815084</v>
      </c>
      <c r="Q33" s="13" t="n">
        <f aca="false">IF(AND(ISNUMBER(F33),F33&lt;&gt;0,ISNUMBER(K33)),100*K33/F33,"")</f>
        <v>10.6117625620198</v>
      </c>
      <c r="R33" s="11" t="b">
        <f aca="false">AND(ISNUMBER(F33),F33&gt;0,ISNUMBER(G33),G33&gt;=0,ISNUMBER(H33),H33&gt;=0)</f>
        <v>1</v>
      </c>
      <c r="S33" s="13" t="n">
        <f aca="false">IF(R33,100*I33/F33,"")</f>
        <v>0.295246693890473</v>
      </c>
      <c r="T33" s="11" t="b">
        <f aca="false">NOT(AND(OR(AND(ISBLANK(RawFinancials!B33),ISBLANK(_RawBaseline!B30)),AND(ISNUMBER(RawFinancials!B33),ISNUMBER(_RawBaseline!B30),RawFinancials!B33=_RawBaseline!B30)),OR(AND(ISBLANK(RawFinancials!U33),ISBLANK(_RawBaseline!U30)),AND(ISNUMBER(RawFinancials!U33),ISNUMBER(_RawBaseline!U30),RawFinancials!U33=_RawBaseline!U30)),OR(AND(ISBLANK(RawFinancials!O33),ISBLANK(_RawBaseline!O30)),AND(ISNUMBER(RawFinancials!O33),ISNUMBER(_RawBaseline!O30),RawFinancials!O33=_RawBaseline!O30))))</f>
        <v>0</v>
      </c>
      <c r="U33" s="13" t="n">
        <f aca="false">IF(AND(D33=WF_START_PERIOD,R33,COUNTIFS($B$5:$B$750,B33,$D$5:$D$750,WF_END_PERIOD,$R$5:$R$750,TRUE())&gt;0),SUMIFS($S$5:$S$750,$B$5:$B$750,B33,$D$5:$D$750,WF_END_PERIOD,$R$5:$R$750,TRUE()),0)</f>
        <v>0</v>
      </c>
      <c r="V33" s="0" t="str">
        <f aca="false">IF(AND(D33=WF_START_PERIOD,COUNTIFS($B$5:$B$750,B33,$D$5:$D$750,WF_END_PERIOD)&gt;0),INDEX($E$5:$E$750,MATCH(B33&amp;"|"&amp;WF_END_PERIOD,$AC$5:$AC$750,0)),"")</f>
        <v/>
      </c>
      <c r="W33" s="11" t="b">
        <f aca="false">COUNTIFS($B$5:$B$750,B33,$D$5:$D$750,WF_START_PERIOD,$R$5:$R$750,TRUE())&gt;0</f>
        <v>1</v>
      </c>
      <c r="X33" s="11" t="b">
        <f aca="false">COUNTIFS($B$5:$B$750,B33,$D$5:$D$750,WF_END_PERIOD,$R$5:$R$750,TRUE())&gt;0</f>
        <v>1</v>
      </c>
      <c r="Y33" s="0" t="str">
        <f aca="false">IF(AND(D33=WF_END_PERIOD,COUNTIFS($B$5:$B$750,B33,$D$5:$D$750,WF_START_PERIOD)&gt;0),INDEX($E$5:$E$750,MATCH(B33&amp;"|"&amp;WF_START_PERIOD,$AC$5:$AC$750,0)),"")</f>
        <v/>
      </c>
      <c r="Z33" s="0" t="str">
        <f aca="false">IF(AND(D33=WF_END_PERIOD,R33),1+COUNTIFS($D$5:$D$750,WF_END_PERIOD,$E$5:$E$750,E33,$R$5:$R$750,TRUE(),$S$5:$S$750,"&gt;"&amp;S33)+COUNTIFS($D$5:$D$750,WF_END_PERIOD,$E$5:$E$750,E33,$R$5:$R$750,TRUE(),$S$5:$S$750,S33,$B$5:$B$750,"&lt;"&amp;B33),"")</f>
        <v/>
      </c>
      <c r="AA33" s="0" t="str">
        <f aca="false">IF(AND(D33=WF_END_PERIOD,R33,Z33&lt;&gt;1),1+COUNTIFS($D$5:$D$750,WF_END_PERIOD,$R$5:$R$750,TRUE(),$Z$5:$Z$750,"&lt;&gt;1",$S$5:$S$750,"&gt;"&amp;S33)+COUNTIFS($D$5:$D$750,WF_END_PERIOD,$R$5:$R$750,TRUE(),$Z$5:$Z$750,"&lt;&gt;1",$S$5:$S$750,S33,$B$5:$B$750,"&lt;"&amp;B33),"")</f>
        <v/>
      </c>
      <c r="AB33" s="11" t="b">
        <f aca="false">OR(D33=WF_START_PERIOD,D33=WF_END_PERIOD)</f>
        <v>0</v>
      </c>
      <c r="AC33" s="0" t="str">
        <f aca="false">B33&amp;"|"&amp;D33</f>
        <v>19531|20220331</v>
      </c>
    </row>
    <row r="34" customFormat="false" ht="15" hidden="false" customHeight="false" outlineLevel="0" collapsed="false">
      <c r="A34" s="0" t="n">
        <f aca="false">RawFinancials!A34</f>
        <v>31</v>
      </c>
      <c r="B34" s="0" t="n">
        <f aca="false">RawFinancials!C34</f>
        <v>19532</v>
      </c>
      <c r="C34" s="0" t="str">
        <f aca="false">RawFinancials!P34</f>
        <v>SKOWHEGAN SAVINGS BANK</v>
      </c>
      <c r="D34" s="0" t="n">
        <f aca="false">RawFinancials!W34</f>
        <v>20220331</v>
      </c>
      <c r="E34" s="0" t="str">
        <f aca="false">RawFinancials!Z34</f>
        <v>ME</v>
      </c>
      <c r="F34" s="0" t="n">
        <f aca="false">RawFinancials!B34</f>
        <v>770032</v>
      </c>
      <c r="G34" s="0" t="n">
        <f aca="false">RawFinancials!U34</f>
        <v>0</v>
      </c>
      <c r="H34" s="0" t="n">
        <f aca="false">RawFinancials!O34</f>
        <v>2804</v>
      </c>
      <c r="I34" s="0" t="n">
        <f aca="false">IF(AND(ISNUMBER(G34),ISNUMBER(H34)),G34+H34,"")</f>
        <v>2804</v>
      </c>
      <c r="J34" s="0" t="n">
        <f aca="false">RawFinancials!D34</f>
        <v>660375</v>
      </c>
      <c r="K34" s="0" t="n">
        <f aca="false">RawFinancials!F34</f>
        <v>96137</v>
      </c>
      <c r="L34" s="0" t="n">
        <f aca="false">RawFinancials!L34</f>
        <v>500389</v>
      </c>
      <c r="M34" s="0" t="n">
        <f aca="false">RawFinancials!N34</f>
        <v>433748</v>
      </c>
      <c r="N34" s="13" t="n">
        <f aca="false">RawFinancials!X34</f>
        <v>0.746105488016068</v>
      </c>
      <c r="O34" s="13" t="n">
        <f aca="false">RawFinancials!V34</f>
        <v>21.7967561638214</v>
      </c>
      <c r="P34" s="13" t="n">
        <f aca="false">IF(AND(ISNUMBER(L34),L34&lt;&gt;0,ISNUMBER(M34)),100*M34/L34,"")</f>
        <v>86.6821612785253</v>
      </c>
      <c r="Q34" s="13" t="n">
        <f aca="false">IF(AND(ISNUMBER(F34),F34&lt;&gt;0,ISNUMBER(K34)),100*K34/F34,"")</f>
        <v>12.4848058262514</v>
      </c>
      <c r="R34" s="11" t="b">
        <f aca="false">AND(ISNUMBER(F34),F34&gt;0,ISNUMBER(G34),G34&gt;=0,ISNUMBER(H34),H34&gt;=0)</f>
        <v>1</v>
      </c>
      <c r="S34" s="13" t="n">
        <f aca="false">IF(R34,100*I34/F34,"")</f>
        <v>0.364140711035386</v>
      </c>
      <c r="T34" s="11" t="b">
        <f aca="false">NOT(AND(OR(AND(ISBLANK(RawFinancials!B34),ISBLANK(_RawBaseline!B31)),AND(ISNUMBER(RawFinancials!B34),ISNUMBER(_RawBaseline!B31),RawFinancials!B34=_RawBaseline!B31)),OR(AND(ISBLANK(RawFinancials!U34),ISBLANK(_RawBaseline!U31)),AND(ISNUMBER(RawFinancials!U34),ISNUMBER(_RawBaseline!U31),RawFinancials!U34=_RawBaseline!U31)),OR(AND(ISBLANK(RawFinancials!O34),ISBLANK(_RawBaseline!O31)),AND(ISNUMBER(RawFinancials!O34),ISNUMBER(_RawBaseline!O31),RawFinancials!O34=_RawBaseline!O31))))</f>
        <v>0</v>
      </c>
      <c r="U34" s="13" t="n">
        <f aca="false">IF(AND(D34=WF_START_PERIOD,R34,COUNTIFS($B$5:$B$750,B34,$D$5:$D$750,WF_END_PERIOD,$R$5:$R$750,TRUE())&gt;0),SUMIFS($S$5:$S$750,$B$5:$B$750,B34,$D$5:$D$750,WF_END_PERIOD,$R$5:$R$750,TRUE()),0)</f>
        <v>0</v>
      </c>
      <c r="V34" s="0" t="str">
        <f aca="false">IF(AND(D34=WF_START_PERIOD,COUNTIFS($B$5:$B$750,B34,$D$5:$D$750,WF_END_PERIOD)&gt;0),INDEX($E$5:$E$750,MATCH(B34&amp;"|"&amp;WF_END_PERIOD,$AC$5:$AC$750,0)),"")</f>
        <v/>
      </c>
      <c r="W34" s="11" t="b">
        <f aca="false">COUNTIFS($B$5:$B$750,B34,$D$5:$D$750,WF_START_PERIOD,$R$5:$R$750,TRUE())&gt;0</f>
        <v>1</v>
      </c>
      <c r="X34" s="11" t="b">
        <f aca="false">COUNTIFS($B$5:$B$750,B34,$D$5:$D$750,WF_END_PERIOD,$R$5:$R$750,TRUE())&gt;0</f>
        <v>1</v>
      </c>
      <c r="Y34" s="0" t="str">
        <f aca="false">IF(AND(D34=WF_END_PERIOD,COUNTIFS($B$5:$B$750,B34,$D$5:$D$750,WF_START_PERIOD)&gt;0),INDEX($E$5:$E$750,MATCH(B34&amp;"|"&amp;WF_START_PERIOD,$AC$5:$AC$750,0)),"")</f>
        <v/>
      </c>
      <c r="Z34" s="0" t="str">
        <f aca="false">IF(AND(D34=WF_END_PERIOD,R34),1+COUNTIFS($D$5:$D$750,WF_END_PERIOD,$E$5:$E$750,E34,$R$5:$R$750,TRUE(),$S$5:$S$750,"&gt;"&amp;S34)+COUNTIFS($D$5:$D$750,WF_END_PERIOD,$E$5:$E$750,E34,$R$5:$R$750,TRUE(),$S$5:$S$750,S34,$B$5:$B$750,"&lt;"&amp;B34),"")</f>
        <v/>
      </c>
      <c r="AA34" s="0" t="str">
        <f aca="false">IF(AND(D34=WF_END_PERIOD,R34,Z34&lt;&gt;1),1+COUNTIFS($D$5:$D$750,WF_END_PERIOD,$R$5:$R$750,TRUE(),$Z$5:$Z$750,"&lt;&gt;1",$S$5:$S$750,"&gt;"&amp;S34)+COUNTIFS($D$5:$D$750,WF_END_PERIOD,$R$5:$R$750,TRUE(),$Z$5:$Z$750,"&lt;&gt;1",$S$5:$S$750,S34,$B$5:$B$750,"&lt;"&amp;B34),"")</f>
        <v/>
      </c>
      <c r="AB34" s="11" t="b">
        <f aca="false">OR(D34=WF_START_PERIOD,D34=WF_END_PERIOD)</f>
        <v>0</v>
      </c>
      <c r="AC34" s="0" t="str">
        <f aca="false">B34&amp;"|"&amp;D34</f>
        <v>19532|20220331</v>
      </c>
    </row>
    <row r="35" customFormat="false" ht="15" hidden="false" customHeight="false" outlineLevel="0" collapsed="false">
      <c r="A35" s="0" t="n">
        <f aca="false">RawFinancials!A35</f>
        <v>32</v>
      </c>
      <c r="B35" s="0" t="n">
        <f aca="false">RawFinancials!C35</f>
        <v>19690</v>
      </c>
      <c r="C35" s="0" t="str">
        <f aca="false">RawFinancials!P35</f>
        <v>NORTHEAST BANK</v>
      </c>
      <c r="D35" s="0" t="n">
        <f aca="false">RawFinancials!W35</f>
        <v>20220331</v>
      </c>
      <c r="E35" s="0" t="str">
        <f aca="false">RawFinancials!Z35</f>
        <v>ME</v>
      </c>
      <c r="F35" s="0" t="n">
        <f aca="false">RawFinancials!B35</f>
        <v>1566116</v>
      </c>
      <c r="G35" s="0" t="n">
        <f aca="false">RawFinancials!U35</f>
        <v>0</v>
      </c>
      <c r="H35" s="0" t="n">
        <f aca="false">RawFinancials!O35</f>
        <v>17912</v>
      </c>
      <c r="I35" s="0" t="n">
        <f aca="false">IF(AND(ISNUMBER(G35),ISNUMBER(H35)),G35+H35,"")</f>
        <v>17912</v>
      </c>
      <c r="J35" s="0" t="n">
        <f aca="false">RawFinancials!D35</f>
        <v>1284535</v>
      </c>
      <c r="K35" s="0" t="n">
        <f aca="false">RawFinancials!F35</f>
        <v>247469</v>
      </c>
      <c r="L35" s="0" t="n">
        <f aca="false">RawFinancials!L35</f>
        <v>1232325</v>
      </c>
      <c r="M35" s="0" t="n">
        <f aca="false">RawFinancials!N35</f>
        <v>894476</v>
      </c>
      <c r="N35" s="13" t="n">
        <f aca="false">RawFinancials!X35</f>
        <v>2.79887682741086</v>
      </c>
      <c r="O35" s="13" t="n">
        <f aca="false">RawFinancials!V35</f>
        <v>20.6019537877709</v>
      </c>
      <c r="P35" s="13" t="n">
        <f aca="false">IF(AND(ISNUMBER(L35),L35&lt;&gt;0,ISNUMBER(M35)),100*M35/L35,"")</f>
        <v>72.5844237518512</v>
      </c>
      <c r="Q35" s="13" t="n">
        <f aca="false">IF(AND(ISNUMBER(F35),F35&lt;&gt;0,ISNUMBER(K35)),100*K35/F35,"")</f>
        <v>15.8014476577725</v>
      </c>
      <c r="R35" s="11" t="b">
        <f aca="false">AND(ISNUMBER(F35),F35&gt;0,ISNUMBER(G35),G35&gt;=0,ISNUMBER(H35),H35&gt;=0)</f>
        <v>1</v>
      </c>
      <c r="S35" s="13" t="n">
        <f aca="false">IF(R35,100*I35/F35,"")</f>
        <v>1.14372115475482</v>
      </c>
      <c r="T35" s="11" t="b">
        <f aca="false">NOT(AND(OR(AND(ISBLANK(RawFinancials!B35),ISBLANK(_RawBaseline!B32)),AND(ISNUMBER(RawFinancials!B35),ISNUMBER(_RawBaseline!B32),RawFinancials!B35=_RawBaseline!B32)),OR(AND(ISBLANK(RawFinancials!U35),ISBLANK(_RawBaseline!U32)),AND(ISNUMBER(RawFinancials!U35),ISNUMBER(_RawBaseline!U32),RawFinancials!U35=_RawBaseline!U32)),OR(AND(ISBLANK(RawFinancials!O35),ISBLANK(_RawBaseline!O32)),AND(ISNUMBER(RawFinancials!O35),ISNUMBER(_RawBaseline!O32),RawFinancials!O35=_RawBaseline!O32))))</f>
        <v>0</v>
      </c>
      <c r="U35" s="13" t="n">
        <f aca="false">IF(AND(D35=WF_START_PERIOD,R35,COUNTIFS($B$5:$B$750,B35,$D$5:$D$750,WF_END_PERIOD,$R$5:$R$750,TRUE())&gt;0),SUMIFS($S$5:$S$750,$B$5:$B$750,B35,$D$5:$D$750,WF_END_PERIOD,$R$5:$R$750,TRUE()),0)</f>
        <v>0</v>
      </c>
      <c r="V35" s="0" t="str">
        <f aca="false">IF(AND(D35=WF_START_PERIOD,COUNTIFS($B$5:$B$750,B35,$D$5:$D$750,WF_END_PERIOD)&gt;0),INDEX($E$5:$E$750,MATCH(B35&amp;"|"&amp;WF_END_PERIOD,$AC$5:$AC$750,0)),"")</f>
        <v/>
      </c>
      <c r="W35" s="11" t="b">
        <f aca="false">COUNTIFS($B$5:$B$750,B35,$D$5:$D$750,WF_START_PERIOD,$R$5:$R$750,TRUE())&gt;0</f>
        <v>1</v>
      </c>
      <c r="X35" s="11" t="b">
        <f aca="false">COUNTIFS($B$5:$B$750,B35,$D$5:$D$750,WF_END_PERIOD,$R$5:$R$750,TRUE())&gt;0</f>
        <v>1</v>
      </c>
      <c r="Y35" s="0" t="str">
        <f aca="false">IF(AND(D35=WF_END_PERIOD,COUNTIFS($B$5:$B$750,B35,$D$5:$D$750,WF_START_PERIOD)&gt;0),INDEX($E$5:$E$750,MATCH(B35&amp;"|"&amp;WF_START_PERIOD,$AC$5:$AC$750,0)),"")</f>
        <v/>
      </c>
      <c r="Z35" s="0" t="str">
        <f aca="false">IF(AND(D35=WF_END_PERIOD,R35),1+COUNTIFS($D$5:$D$750,WF_END_PERIOD,$E$5:$E$750,E35,$R$5:$R$750,TRUE(),$S$5:$S$750,"&gt;"&amp;S35)+COUNTIFS($D$5:$D$750,WF_END_PERIOD,$E$5:$E$750,E35,$R$5:$R$750,TRUE(),$S$5:$S$750,S35,$B$5:$B$750,"&lt;"&amp;B35),"")</f>
        <v/>
      </c>
      <c r="AA35" s="0" t="str">
        <f aca="false">IF(AND(D35=WF_END_PERIOD,R35,Z35&lt;&gt;1),1+COUNTIFS($D$5:$D$750,WF_END_PERIOD,$R$5:$R$750,TRUE(),$Z$5:$Z$750,"&lt;&gt;1",$S$5:$S$750,"&gt;"&amp;S35)+COUNTIFS($D$5:$D$750,WF_END_PERIOD,$R$5:$R$750,TRUE(),$Z$5:$Z$750,"&lt;&gt;1",$S$5:$S$750,S35,$B$5:$B$750,"&lt;"&amp;B35),"")</f>
        <v/>
      </c>
      <c r="AB35" s="11" t="b">
        <f aca="false">OR(D35=WF_START_PERIOD,D35=WF_END_PERIOD)</f>
        <v>0</v>
      </c>
      <c r="AC35" s="0" t="str">
        <f aca="false">B35&amp;"|"&amp;D35</f>
        <v>19690|20220331</v>
      </c>
    </row>
    <row r="36" customFormat="false" ht="15" hidden="false" customHeight="false" outlineLevel="0" collapsed="false">
      <c r="A36" s="0" t="n">
        <f aca="false">RawFinancials!A36</f>
        <v>33</v>
      </c>
      <c r="B36" s="0" t="n">
        <f aca="false">RawFinancials!C36</f>
        <v>19836</v>
      </c>
      <c r="C36" s="0" t="str">
        <f aca="false">RawFinancials!P36</f>
        <v>FRANKLIN SAVINGS BANK</v>
      </c>
      <c r="D36" s="0" t="n">
        <f aca="false">RawFinancials!W36</f>
        <v>20220331</v>
      </c>
      <c r="E36" s="0" t="str">
        <f aca="false">RawFinancials!Z36</f>
        <v>ME</v>
      </c>
      <c r="F36" s="0" t="n">
        <f aca="false">RawFinancials!B36</f>
        <v>568589</v>
      </c>
      <c r="G36" s="0" t="n">
        <f aca="false">RawFinancials!U36</f>
        <v>91</v>
      </c>
      <c r="H36" s="0" t="n">
        <f aca="false">RawFinancials!O36</f>
        <v>1696</v>
      </c>
      <c r="I36" s="0" t="n">
        <f aca="false">IF(AND(ISNUMBER(G36),ISNUMBER(H36)),G36+H36,"")</f>
        <v>1787</v>
      </c>
      <c r="J36" s="0" t="n">
        <f aca="false">RawFinancials!D36</f>
        <v>449964</v>
      </c>
      <c r="K36" s="0" t="n">
        <f aca="false">RawFinancials!F36</f>
        <v>112557</v>
      </c>
      <c r="L36" s="0" t="n">
        <f aca="false">RawFinancials!L36</f>
        <v>427806</v>
      </c>
      <c r="M36" s="0" t="n">
        <f aca="false">RawFinancials!N36</f>
        <v>366535</v>
      </c>
      <c r="N36" s="13" t="n">
        <f aca="false">RawFinancials!X36</f>
        <v>0.707485161136119</v>
      </c>
      <c r="O36" s="13" t="n">
        <f aca="false">RawFinancials!V36</f>
        <v>31.7038496016565</v>
      </c>
      <c r="P36" s="13" t="n">
        <f aca="false">IF(AND(ISNUMBER(L36),L36&lt;&gt;0,ISNUMBER(M36)),100*M36/L36,"")</f>
        <v>85.6778539805426</v>
      </c>
      <c r="Q36" s="13" t="n">
        <f aca="false">IF(AND(ISNUMBER(F36),F36&lt;&gt;0,ISNUMBER(K36)),100*K36/F36,"")</f>
        <v>19.7958455052771</v>
      </c>
      <c r="R36" s="11" t="b">
        <f aca="false">AND(ISNUMBER(F36),F36&gt;0,ISNUMBER(G36),G36&gt;=0,ISNUMBER(H36),H36&gt;=0)</f>
        <v>1</v>
      </c>
      <c r="S36" s="13" t="n">
        <f aca="false">IF(R36,100*I36/F36,"")</f>
        <v>0.314286769529484</v>
      </c>
      <c r="T36" s="11" t="b">
        <f aca="false">NOT(AND(OR(AND(ISBLANK(RawFinancials!B36),ISBLANK(_RawBaseline!B33)),AND(ISNUMBER(RawFinancials!B36),ISNUMBER(_RawBaseline!B33),RawFinancials!B36=_RawBaseline!B33)),OR(AND(ISBLANK(RawFinancials!U36),ISBLANK(_RawBaseline!U33)),AND(ISNUMBER(RawFinancials!U36),ISNUMBER(_RawBaseline!U33),RawFinancials!U36=_RawBaseline!U33)),OR(AND(ISBLANK(RawFinancials!O36),ISBLANK(_RawBaseline!O33)),AND(ISNUMBER(RawFinancials!O36),ISNUMBER(_RawBaseline!O33),RawFinancials!O36=_RawBaseline!O33))))</f>
        <v>0</v>
      </c>
      <c r="U36" s="13" t="n">
        <f aca="false">IF(AND(D36=WF_START_PERIOD,R36,COUNTIFS($B$5:$B$750,B36,$D$5:$D$750,WF_END_PERIOD,$R$5:$R$750,TRUE())&gt;0),SUMIFS($S$5:$S$750,$B$5:$B$750,B36,$D$5:$D$750,WF_END_PERIOD,$R$5:$R$750,TRUE()),0)</f>
        <v>0</v>
      </c>
      <c r="V36" s="0" t="str">
        <f aca="false">IF(AND(D36=WF_START_PERIOD,COUNTIFS($B$5:$B$750,B36,$D$5:$D$750,WF_END_PERIOD)&gt;0),INDEX($E$5:$E$750,MATCH(B36&amp;"|"&amp;WF_END_PERIOD,$AC$5:$AC$750,0)),"")</f>
        <v/>
      </c>
      <c r="W36" s="11" t="b">
        <f aca="false">COUNTIFS($B$5:$B$750,B36,$D$5:$D$750,WF_START_PERIOD,$R$5:$R$750,TRUE())&gt;0</f>
        <v>1</v>
      </c>
      <c r="X36" s="11" t="b">
        <f aca="false">COUNTIFS($B$5:$B$750,B36,$D$5:$D$750,WF_END_PERIOD,$R$5:$R$750,TRUE())&gt;0</f>
        <v>1</v>
      </c>
      <c r="Y36" s="0" t="str">
        <f aca="false">IF(AND(D36=WF_END_PERIOD,COUNTIFS($B$5:$B$750,B36,$D$5:$D$750,WF_START_PERIOD)&gt;0),INDEX($E$5:$E$750,MATCH(B36&amp;"|"&amp;WF_START_PERIOD,$AC$5:$AC$750,0)),"")</f>
        <v/>
      </c>
      <c r="Z36" s="0" t="str">
        <f aca="false">IF(AND(D36=WF_END_PERIOD,R36),1+COUNTIFS($D$5:$D$750,WF_END_PERIOD,$E$5:$E$750,E36,$R$5:$R$750,TRUE(),$S$5:$S$750,"&gt;"&amp;S36)+COUNTIFS($D$5:$D$750,WF_END_PERIOD,$E$5:$E$750,E36,$R$5:$R$750,TRUE(),$S$5:$S$750,S36,$B$5:$B$750,"&lt;"&amp;B36),"")</f>
        <v/>
      </c>
      <c r="AA36" s="0" t="str">
        <f aca="false">IF(AND(D36=WF_END_PERIOD,R36,Z36&lt;&gt;1),1+COUNTIFS($D$5:$D$750,WF_END_PERIOD,$R$5:$R$750,TRUE(),$Z$5:$Z$750,"&lt;&gt;1",$S$5:$S$750,"&gt;"&amp;S36)+COUNTIFS($D$5:$D$750,WF_END_PERIOD,$R$5:$R$750,TRUE(),$Z$5:$Z$750,"&lt;&gt;1",$S$5:$S$750,S36,$B$5:$B$750,"&lt;"&amp;B36),"")</f>
        <v/>
      </c>
      <c r="AB36" s="11" t="b">
        <f aca="false">OR(D36=WF_START_PERIOD,D36=WF_END_PERIOD)</f>
        <v>0</v>
      </c>
      <c r="AC36" s="0" t="str">
        <f aca="false">B36&amp;"|"&amp;D36</f>
        <v>19836|20220331</v>
      </c>
    </row>
    <row r="37" customFormat="false" ht="15" hidden="false" customHeight="false" outlineLevel="0" collapsed="false">
      <c r="A37" s="0" t="n">
        <f aca="false">RawFinancials!A37</f>
        <v>34</v>
      </c>
      <c r="B37" s="0" t="n">
        <f aca="false">RawFinancials!C37</f>
        <v>24540</v>
      </c>
      <c r="C37" s="0" t="str">
        <f aca="false">RawFinancials!P37</f>
        <v>BANK OF NEW ENGLAND</v>
      </c>
      <c r="D37" s="0" t="n">
        <f aca="false">RawFinancials!W37</f>
        <v>20220331</v>
      </c>
      <c r="E37" s="0" t="str">
        <f aca="false">RawFinancials!Z37</f>
        <v>NH</v>
      </c>
      <c r="F37" s="0" t="n">
        <f aca="false">RawFinancials!B37</f>
        <v>1244446</v>
      </c>
      <c r="G37" s="0" t="n">
        <f aca="false">RawFinancials!U37</f>
        <v>0</v>
      </c>
      <c r="H37" s="0" t="n">
        <f aca="false">RawFinancials!O37</f>
        <v>815</v>
      </c>
      <c r="I37" s="0" t="n">
        <f aca="false">IF(AND(ISNUMBER(G37),ISNUMBER(H37)),G37+H37,"")</f>
        <v>815</v>
      </c>
      <c r="J37" s="0" t="n">
        <f aca="false">RawFinancials!D37</f>
        <v>1040872</v>
      </c>
      <c r="K37" s="0" t="n">
        <f aca="false">RawFinancials!F37</f>
        <v>192853</v>
      </c>
      <c r="L37" s="0" t="n">
        <f aca="false">RawFinancials!L37</f>
        <v>1020810</v>
      </c>
      <c r="M37" s="0" t="n">
        <f aca="false">RawFinancials!N37</f>
        <v>977701</v>
      </c>
      <c r="N37" s="13" t="n">
        <f aca="false">RawFinancials!X37</f>
        <v>2.22850033777255</v>
      </c>
      <c r="O37" s="13" t="n">
        <f aca="false">RawFinancials!V37</f>
        <v>0</v>
      </c>
      <c r="P37" s="13" t="n">
        <f aca="false">IF(AND(ISNUMBER(L37),L37&lt;&gt;0,ISNUMBER(M37)),100*M37/L37,"")</f>
        <v>95.7769810248724</v>
      </c>
      <c r="Q37" s="13" t="n">
        <f aca="false">IF(AND(ISNUMBER(F37),F37&lt;&gt;0,ISNUMBER(K37)),100*K37/F37,"")</f>
        <v>15.4970967000577</v>
      </c>
      <c r="R37" s="11" t="b">
        <f aca="false">AND(ISNUMBER(F37),F37&gt;0,ISNUMBER(G37),G37&gt;=0,ISNUMBER(H37),H37&gt;=0)</f>
        <v>1</v>
      </c>
      <c r="S37" s="13" t="n">
        <f aca="false">IF(R37,100*I37/F37,"")</f>
        <v>0.0654909895648345</v>
      </c>
      <c r="T37" s="11" t="b">
        <f aca="false">NOT(AND(OR(AND(ISBLANK(RawFinancials!B37),ISBLANK(_RawBaseline!B34)),AND(ISNUMBER(RawFinancials!B37),ISNUMBER(_RawBaseline!B34),RawFinancials!B37=_RawBaseline!B34)),OR(AND(ISBLANK(RawFinancials!U37),ISBLANK(_RawBaseline!U34)),AND(ISNUMBER(RawFinancials!U37),ISNUMBER(_RawBaseline!U34),RawFinancials!U37=_RawBaseline!U34)),OR(AND(ISBLANK(RawFinancials!O37),ISBLANK(_RawBaseline!O34)),AND(ISNUMBER(RawFinancials!O37),ISNUMBER(_RawBaseline!O34),RawFinancials!O37=_RawBaseline!O34))))</f>
        <v>0</v>
      </c>
      <c r="U37" s="13" t="n">
        <f aca="false">IF(AND(D37=WF_START_PERIOD,R37,COUNTIFS($B$5:$B$750,B37,$D$5:$D$750,WF_END_PERIOD,$R$5:$R$750,TRUE())&gt;0),SUMIFS($S$5:$S$750,$B$5:$B$750,B37,$D$5:$D$750,WF_END_PERIOD,$R$5:$R$750,TRUE()),0)</f>
        <v>0</v>
      </c>
      <c r="V37" s="0" t="str">
        <f aca="false">IF(AND(D37=WF_START_PERIOD,COUNTIFS($B$5:$B$750,B37,$D$5:$D$750,WF_END_PERIOD)&gt;0),INDEX($E$5:$E$750,MATCH(B37&amp;"|"&amp;WF_END_PERIOD,$AC$5:$AC$750,0)),"")</f>
        <v/>
      </c>
      <c r="W37" s="11" t="b">
        <f aca="false">COUNTIFS($B$5:$B$750,B37,$D$5:$D$750,WF_START_PERIOD,$R$5:$R$750,TRUE())&gt;0</f>
        <v>1</v>
      </c>
      <c r="X37" s="11" t="b">
        <f aca="false">COUNTIFS($B$5:$B$750,B37,$D$5:$D$750,WF_END_PERIOD,$R$5:$R$750,TRUE())&gt;0</f>
        <v>1</v>
      </c>
      <c r="Y37" s="0" t="str">
        <f aca="false">IF(AND(D37=WF_END_PERIOD,COUNTIFS($B$5:$B$750,B37,$D$5:$D$750,WF_START_PERIOD)&gt;0),INDEX($E$5:$E$750,MATCH(B37&amp;"|"&amp;WF_START_PERIOD,$AC$5:$AC$750,0)),"")</f>
        <v/>
      </c>
      <c r="Z37" s="0" t="str">
        <f aca="false">IF(AND(D37=WF_END_PERIOD,R37),1+COUNTIFS($D$5:$D$750,WF_END_PERIOD,$E$5:$E$750,E37,$R$5:$R$750,TRUE(),$S$5:$S$750,"&gt;"&amp;S37)+COUNTIFS($D$5:$D$750,WF_END_PERIOD,$E$5:$E$750,E37,$R$5:$R$750,TRUE(),$S$5:$S$750,S37,$B$5:$B$750,"&lt;"&amp;B37),"")</f>
        <v/>
      </c>
      <c r="AA37" s="0" t="str">
        <f aca="false">IF(AND(D37=WF_END_PERIOD,R37,Z37&lt;&gt;1),1+COUNTIFS($D$5:$D$750,WF_END_PERIOD,$R$5:$R$750,TRUE(),$Z$5:$Z$750,"&lt;&gt;1",$S$5:$S$750,"&gt;"&amp;S37)+COUNTIFS($D$5:$D$750,WF_END_PERIOD,$R$5:$R$750,TRUE(),$Z$5:$Z$750,"&lt;&gt;1",$S$5:$S$750,S37,$B$5:$B$750,"&lt;"&amp;B37),"")</f>
        <v/>
      </c>
      <c r="AB37" s="11" t="b">
        <f aca="false">OR(D37=WF_START_PERIOD,D37=WF_END_PERIOD)</f>
        <v>0</v>
      </c>
      <c r="AC37" s="0" t="str">
        <f aca="false">B37&amp;"|"&amp;D37</f>
        <v>24540|20220331</v>
      </c>
    </row>
    <row r="38" customFormat="false" ht="15" hidden="false" customHeight="false" outlineLevel="0" collapsed="false">
      <c r="A38" s="0" t="n">
        <f aca="false">RawFinancials!A38</f>
        <v>35</v>
      </c>
      <c r="B38" s="0" t="n">
        <f aca="false">RawFinancials!C38</f>
        <v>27824</v>
      </c>
      <c r="C38" s="0" t="str">
        <f aca="false">RawFinancials!P38</f>
        <v>SALEM CO-OPERATIVE BANK</v>
      </c>
      <c r="D38" s="0" t="n">
        <f aca="false">RawFinancials!W38</f>
        <v>20220331</v>
      </c>
      <c r="E38" s="0" t="str">
        <f aca="false">RawFinancials!Z38</f>
        <v>NH</v>
      </c>
      <c r="F38" s="0" t="n">
        <f aca="false">RawFinancials!B38</f>
        <v>458925</v>
      </c>
      <c r="G38" s="0" t="n">
        <f aca="false">RawFinancials!U38</f>
        <v>0</v>
      </c>
      <c r="H38" s="0" t="n">
        <f aca="false">RawFinancials!O38</f>
        <v>916</v>
      </c>
      <c r="I38" s="0" t="n">
        <f aca="false">IF(AND(ISNUMBER(G38),ISNUMBER(H38)),G38+H38,"")</f>
        <v>916</v>
      </c>
      <c r="J38" s="0" t="n">
        <f aca="false">RawFinancials!D38</f>
        <v>369032</v>
      </c>
      <c r="K38" s="0" t="n">
        <f aca="false">RawFinancials!F38</f>
        <v>69307</v>
      </c>
      <c r="L38" s="0" t="n">
        <f aca="false">RawFinancials!L38</f>
        <v>364112</v>
      </c>
      <c r="M38" s="0" t="n">
        <f aca="false">RawFinancials!N38</f>
        <v>321326</v>
      </c>
      <c r="N38" s="13" t="n">
        <f aca="false">RawFinancials!X38</f>
        <v>0.26632984641793</v>
      </c>
      <c r="O38" s="13" t="n">
        <f aca="false">RawFinancials!V38</f>
        <v>25.9429561741573</v>
      </c>
      <c r="P38" s="13" t="n">
        <f aca="false">IF(AND(ISNUMBER(L38),L38&lt;&gt;0,ISNUMBER(M38)),100*M38/L38,"")</f>
        <v>88.2492200202136</v>
      </c>
      <c r="Q38" s="13" t="n">
        <f aca="false">IF(AND(ISNUMBER(F38),F38&lt;&gt;0,ISNUMBER(K38)),100*K38/F38,"")</f>
        <v>15.1020319224274</v>
      </c>
      <c r="R38" s="11" t="b">
        <f aca="false">AND(ISNUMBER(F38),F38&gt;0,ISNUMBER(G38),G38&gt;=0,ISNUMBER(H38),H38&gt;=0)</f>
        <v>1</v>
      </c>
      <c r="S38" s="13" t="n">
        <f aca="false">IF(R38,100*I38/F38,"")</f>
        <v>0.199596884022444</v>
      </c>
      <c r="T38" s="11" t="b">
        <f aca="false">NOT(AND(OR(AND(ISBLANK(RawFinancials!B38),ISBLANK(_RawBaseline!B35)),AND(ISNUMBER(RawFinancials!B38),ISNUMBER(_RawBaseline!B35),RawFinancials!B38=_RawBaseline!B35)),OR(AND(ISBLANK(RawFinancials!U38),ISBLANK(_RawBaseline!U35)),AND(ISNUMBER(RawFinancials!U38),ISNUMBER(_RawBaseline!U35),RawFinancials!U38=_RawBaseline!U35)),OR(AND(ISBLANK(RawFinancials!O38),ISBLANK(_RawBaseline!O35)),AND(ISNUMBER(RawFinancials!O38),ISNUMBER(_RawBaseline!O35),RawFinancials!O38=_RawBaseline!O35))))</f>
        <v>0</v>
      </c>
      <c r="U38" s="13" t="n">
        <f aca="false">IF(AND(D38=WF_START_PERIOD,R38,COUNTIFS($B$5:$B$750,B38,$D$5:$D$750,WF_END_PERIOD,$R$5:$R$750,TRUE())&gt;0),SUMIFS($S$5:$S$750,$B$5:$B$750,B38,$D$5:$D$750,WF_END_PERIOD,$R$5:$R$750,TRUE()),0)</f>
        <v>0</v>
      </c>
      <c r="V38" s="0" t="str">
        <f aca="false">IF(AND(D38=WF_START_PERIOD,COUNTIFS($B$5:$B$750,B38,$D$5:$D$750,WF_END_PERIOD)&gt;0),INDEX($E$5:$E$750,MATCH(B38&amp;"|"&amp;WF_END_PERIOD,$AC$5:$AC$750,0)),"")</f>
        <v/>
      </c>
      <c r="W38" s="11" t="b">
        <f aca="false">COUNTIFS($B$5:$B$750,B38,$D$5:$D$750,WF_START_PERIOD,$R$5:$R$750,TRUE())&gt;0</f>
        <v>1</v>
      </c>
      <c r="X38" s="11" t="b">
        <f aca="false">COUNTIFS($B$5:$B$750,B38,$D$5:$D$750,WF_END_PERIOD,$R$5:$R$750,TRUE())&gt;0</f>
        <v>1</v>
      </c>
      <c r="Y38" s="0" t="str">
        <f aca="false">IF(AND(D38=WF_END_PERIOD,COUNTIFS($B$5:$B$750,B38,$D$5:$D$750,WF_START_PERIOD)&gt;0),INDEX($E$5:$E$750,MATCH(B38&amp;"|"&amp;WF_START_PERIOD,$AC$5:$AC$750,0)),"")</f>
        <v/>
      </c>
      <c r="Z38" s="0" t="str">
        <f aca="false">IF(AND(D38=WF_END_PERIOD,R38),1+COUNTIFS($D$5:$D$750,WF_END_PERIOD,$E$5:$E$750,E38,$R$5:$R$750,TRUE(),$S$5:$S$750,"&gt;"&amp;S38)+COUNTIFS($D$5:$D$750,WF_END_PERIOD,$E$5:$E$750,E38,$R$5:$R$750,TRUE(),$S$5:$S$750,S38,$B$5:$B$750,"&lt;"&amp;B38),"")</f>
        <v/>
      </c>
      <c r="AA38" s="0" t="str">
        <f aca="false">IF(AND(D38=WF_END_PERIOD,R38,Z38&lt;&gt;1),1+COUNTIFS($D$5:$D$750,WF_END_PERIOD,$R$5:$R$750,TRUE(),$Z$5:$Z$750,"&lt;&gt;1",$S$5:$S$750,"&gt;"&amp;S38)+COUNTIFS($D$5:$D$750,WF_END_PERIOD,$R$5:$R$750,TRUE(),$Z$5:$Z$750,"&lt;&gt;1",$S$5:$S$750,S38,$B$5:$B$750,"&lt;"&amp;B38),"")</f>
        <v/>
      </c>
      <c r="AB38" s="11" t="b">
        <f aca="false">OR(D38=WF_START_PERIOD,D38=WF_END_PERIOD)</f>
        <v>0</v>
      </c>
      <c r="AC38" s="0" t="str">
        <f aca="false">B38&amp;"|"&amp;D38</f>
        <v>27824|20220331</v>
      </c>
    </row>
    <row r="39" customFormat="false" ht="15" hidden="false" customHeight="false" outlineLevel="0" collapsed="false">
      <c r="A39" s="0" t="n">
        <f aca="false">RawFinancials!A39</f>
        <v>36</v>
      </c>
      <c r="B39" s="0" t="n">
        <f aca="false">RawFinancials!C39</f>
        <v>28155</v>
      </c>
      <c r="C39" s="0" t="str">
        <f aca="false">RawFinancials!P39</f>
        <v>PROFILE BANK</v>
      </c>
      <c r="D39" s="0" t="n">
        <f aca="false">RawFinancials!W39</f>
        <v>20220331</v>
      </c>
      <c r="E39" s="0" t="str">
        <f aca="false">RawFinancials!Z39</f>
        <v>NH</v>
      </c>
      <c r="F39" s="0" t="n">
        <f aca="false">RawFinancials!B39</f>
        <v>281830</v>
      </c>
      <c r="G39" s="0" t="n">
        <f aca="false">RawFinancials!U39</f>
        <v>0</v>
      </c>
      <c r="H39" s="0" t="n">
        <f aca="false">RawFinancials!O39</f>
        <v>206</v>
      </c>
      <c r="I39" s="0" t="n">
        <f aca="false">IF(AND(ISNUMBER(G39),ISNUMBER(H39)),G39+H39,"")</f>
        <v>206</v>
      </c>
      <c r="J39" s="0" t="n">
        <f aca="false">RawFinancials!D39</f>
        <v>253420</v>
      </c>
      <c r="K39" s="0" t="n">
        <f aca="false">RawFinancials!F39</f>
        <v>27480</v>
      </c>
      <c r="L39" s="0" t="n">
        <f aca="false">RawFinancials!L39</f>
        <v>147197</v>
      </c>
      <c r="M39" s="0" t="n">
        <f aca="false">RawFinancials!N39</f>
        <v>137297</v>
      </c>
      <c r="N39" s="13" t="n">
        <f aca="false">RawFinancials!X39</f>
        <v>0.225168568578782</v>
      </c>
      <c r="O39" s="13" t="n">
        <f aca="false">RawFinancials!V39</f>
        <v>19.3787051455993</v>
      </c>
      <c r="P39" s="13" t="n">
        <f aca="false">IF(AND(ISNUMBER(L39),L39&lt;&gt;0,ISNUMBER(M39)),100*M39/L39,"")</f>
        <v>93.2743194494453</v>
      </c>
      <c r="Q39" s="13" t="n">
        <f aca="false">IF(AND(ISNUMBER(F39),F39&lt;&gt;0,ISNUMBER(K39)),100*K39/F39,"")</f>
        <v>9.7505588475322</v>
      </c>
      <c r="R39" s="11" t="b">
        <f aca="false">AND(ISNUMBER(F39),F39&gt;0,ISNUMBER(G39),G39&gt;=0,ISNUMBER(H39),H39&gt;=0)</f>
        <v>1</v>
      </c>
      <c r="S39" s="13" t="n">
        <f aca="false">IF(R39,100*I39/F39,"")</f>
        <v>0.0730937089734947</v>
      </c>
      <c r="T39" s="11" t="b">
        <f aca="false">NOT(AND(OR(AND(ISBLANK(RawFinancials!B39),ISBLANK(_RawBaseline!B36)),AND(ISNUMBER(RawFinancials!B39),ISNUMBER(_RawBaseline!B36),RawFinancials!B39=_RawBaseline!B36)),OR(AND(ISBLANK(RawFinancials!U39),ISBLANK(_RawBaseline!U36)),AND(ISNUMBER(RawFinancials!U39),ISNUMBER(_RawBaseline!U36),RawFinancials!U39=_RawBaseline!U36)),OR(AND(ISBLANK(RawFinancials!O39),ISBLANK(_RawBaseline!O36)),AND(ISNUMBER(RawFinancials!O39),ISNUMBER(_RawBaseline!O36),RawFinancials!O39=_RawBaseline!O36))))</f>
        <v>0</v>
      </c>
      <c r="U39" s="13" t="n">
        <f aca="false">IF(AND(D39=WF_START_PERIOD,R39,COUNTIFS($B$5:$B$750,B39,$D$5:$D$750,WF_END_PERIOD,$R$5:$R$750,TRUE())&gt;0),SUMIFS($S$5:$S$750,$B$5:$B$750,B39,$D$5:$D$750,WF_END_PERIOD,$R$5:$R$750,TRUE()),0)</f>
        <v>0</v>
      </c>
      <c r="V39" s="0" t="str">
        <f aca="false">IF(AND(D39=WF_START_PERIOD,COUNTIFS($B$5:$B$750,B39,$D$5:$D$750,WF_END_PERIOD)&gt;0),INDEX($E$5:$E$750,MATCH(B39&amp;"|"&amp;WF_END_PERIOD,$AC$5:$AC$750,0)),"")</f>
        <v/>
      </c>
      <c r="W39" s="11" t="b">
        <f aca="false">COUNTIFS($B$5:$B$750,B39,$D$5:$D$750,WF_START_PERIOD,$R$5:$R$750,TRUE())&gt;0</f>
        <v>1</v>
      </c>
      <c r="X39" s="11" t="b">
        <f aca="false">COUNTIFS($B$5:$B$750,B39,$D$5:$D$750,WF_END_PERIOD,$R$5:$R$750,TRUE())&gt;0</f>
        <v>1</v>
      </c>
      <c r="Y39" s="0" t="str">
        <f aca="false">IF(AND(D39=WF_END_PERIOD,COUNTIFS($B$5:$B$750,B39,$D$5:$D$750,WF_START_PERIOD)&gt;0),INDEX($E$5:$E$750,MATCH(B39&amp;"|"&amp;WF_START_PERIOD,$AC$5:$AC$750,0)),"")</f>
        <v/>
      </c>
      <c r="Z39" s="0" t="str">
        <f aca="false">IF(AND(D39=WF_END_PERIOD,R39),1+COUNTIFS($D$5:$D$750,WF_END_PERIOD,$E$5:$E$750,E39,$R$5:$R$750,TRUE(),$S$5:$S$750,"&gt;"&amp;S39)+COUNTIFS($D$5:$D$750,WF_END_PERIOD,$E$5:$E$750,E39,$R$5:$R$750,TRUE(),$S$5:$S$750,S39,$B$5:$B$750,"&lt;"&amp;B39),"")</f>
        <v/>
      </c>
      <c r="AA39" s="0" t="str">
        <f aca="false">IF(AND(D39=WF_END_PERIOD,R39,Z39&lt;&gt;1),1+COUNTIFS($D$5:$D$750,WF_END_PERIOD,$R$5:$R$750,TRUE(),$Z$5:$Z$750,"&lt;&gt;1",$S$5:$S$750,"&gt;"&amp;S39)+COUNTIFS($D$5:$D$750,WF_END_PERIOD,$R$5:$R$750,TRUE(),$Z$5:$Z$750,"&lt;&gt;1",$S$5:$S$750,S39,$B$5:$B$750,"&lt;"&amp;B39),"")</f>
        <v/>
      </c>
      <c r="AB39" s="11" t="b">
        <f aca="false">OR(D39=WF_START_PERIOD,D39=WF_END_PERIOD)</f>
        <v>0</v>
      </c>
      <c r="AC39" s="0" t="str">
        <f aca="false">B39&amp;"|"&amp;D39</f>
        <v>28155|20220331</v>
      </c>
    </row>
    <row r="40" customFormat="false" ht="15" hidden="false" customHeight="false" outlineLevel="0" collapsed="false">
      <c r="A40" s="0" t="n">
        <f aca="false">RawFinancials!A40</f>
        <v>37</v>
      </c>
      <c r="B40" s="0" t="n">
        <f aca="false">RawFinancials!C40</f>
        <v>28288</v>
      </c>
      <c r="C40" s="0" t="str">
        <f aca="false">RawFinancials!P40</f>
        <v>AUBURN SAVINGS BANK, FSB</v>
      </c>
      <c r="D40" s="0" t="n">
        <f aca="false">RawFinancials!W40</f>
        <v>20220331</v>
      </c>
      <c r="E40" s="0" t="str">
        <f aca="false">RawFinancials!Z40</f>
        <v>ME</v>
      </c>
      <c r="F40" s="0" t="n">
        <f aca="false">RawFinancials!B40</f>
        <v>92044</v>
      </c>
      <c r="G40" s="0" t="n">
        <f aca="false">RawFinancials!U40</f>
        <v>0</v>
      </c>
      <c r="H40" s="0" t="n">
        <f aca="false">RawFinancials!O40</f>
        <v>606</v>
      </c>
      <c r="I40" s="0" t="n">
        <f aca="false">IF(AND(ISNUMBER(G40),ISNUMBER(H40)),G40+H40,"")</f>
        <v>606</v>
      </c>
      <c r="J40" s="0" t="n">
        <f aca="false">RawFinancials!D40</f>
        <v>76920</v>
      </c>
      <c r="K40" s="0" t="n">
        <f aca="false">RawFinancials!F40</f>
        <v>7147</v>
      </c>
      <c r="L40" s="0" t="n">
        <f aca="false">RawFinancials!L40</f>
        <v>74646</v>
      </c>
      <c r="M40" s="0" t="n">
        <f aca="false">RawFinancials!N40</f>
        <v>70352</v>
      </c>
      <c r="N40" s="13" t="n">
        <f aca="false">RawFinancials!X40</f>
        <v>0.00432537644291855</v>
      </c>
      <c r="O40" s="13" t="n">
        <f aca="false">RawFinancials!V40</f>
        <v>14.4674296503636</v>
      </c>
      <c r="P40" s="13" t="n">
        <f aca="false">IF(AND(ISNUMBER(L40),L40&lt;&gt;0,ISNUMBER(M40)),100*M40/L40,"")</f>
        <v>94.2475149371701</v>
      </c>
      <c r="Q40" s="13" t="n">
        <f aca="false">IF(AND(ISNUMBER(F40),F40&lt;&gt;0,ISNUMBER(K40)),100*K40/F40,"")</f>
        <v>7.76476467776281</v>
      </c>
      <c r="R40" s="11" t="b">
        <f aca="false">AND(ISNUMBER(F40),F40&gt;0,ISNUMBER(G40),G40&gt;=0,ISNUMBER(H40),H40&gt;=0)</f>
        <v>1</v>
      </c>
      <c r="S40" s="13" t="n">
        <f aca="false">IF(R40,100*I40/F40,"")</f>
        <v>0.658380774412238</v>
      </c>
      <c r="T40" s="11" t="b">
        <f aca="false">NOT(AND(OR(AND(ISBLANK(RawFinancials!B40),ISBLANK(_RawBaseline!B37)),AND(ISNUMBER(RawFinancials!B40),ISNUMBER(_RawBaseline!B37),RawFinancials!B40=_RawBaseline!B37)),OR(AND(ISBLANK(RawFinancials!U40),ISBLANK(_RawBaseline!U37)),AND(ISNUMBER(RawFinancials!U40),ISNUMBER(_RawBaseline!U37),RawFinancials!U40=_RawBaseline!U37)),OR(AND(ISBLANK(RawFinancials!O40),ISBLANK(_RawBaseline!O37)),AND(ISNUMBER(RawFinancials!O40),ISNUMBER(_RawBaseline!O37),RawFinancials!O40=_RawBaseline!O37))))</f>
        <v>0</v>
      </c>
      <c r="U40" s="13" t="n">
        <f aca="false">IF(AND(D40=WF_START_PERIOD,R40,COUNTIFS($B$5:$B$750,B40,$D$5:$D$750,WF_END_PERIOD,$R$5:$R$750,TRUE())&gt;0),SUMIFS($S$5:$S$750,$B$5:$B$750,B40,$D$5:$D$750,WF_END_PERIOD,$R$5:$R$750,TRUE()),0)</f>
        <v>0</v>
      </c>
      <c r="V40" s="0" t="str">
        <f aca="false">IF(AND(D40=WF_START_PERIOD,COUNTIFS($B$5:$B$750,B40,$D$5:$D$750,WF_END_PERIOD)&gt;0),INDEX($E$5:$E$750,MATCH(B40&amp;"|"&amp;WF_END_PERIOD,$AC$5:$AC$750,0)),"")</f>
        <v/>
      </c>
      <c r="W40" s="11" t="b">
        <f aca="false">COUNTIFS($B$5:$B$750,B40,$D$5:$D$750,WF_START_PERIOD,$R$5:$R$750,TRUE())&gt;0</f>
        <v>1</v>
      </c>
      <c r="X40" s="11" t="b">
        <f aca="false">COUNTIFS($B$5:$B$750,B40,$D$5:$D$750,WF_END_PERIOD,$R$5:$R$750,TRUE())&gt;0</f>
        <v>1</v>
      </c>
      <c r="Y40" s="0" t="str">
        <f aca="false">IF(AND(D40=WF_END_PERIOD,COUNTIFS($B$5:$B$750,B40,$D$5:$D$750,WF_START_PERIOD)&gt;0),INDEX($E$5:$E$750,MATCH(B40&amp;"|"&amp;WF_START_PERIOD,$AC$5:$AC$750,0)),"")</f>
        <v/>
      </c>
      <c r="Z40" s="0" t="str">
        <f aca="false">IF(AND(D40=WF_END_PERIOD,R40),1+COUNTIFS($D$5:$D$750,WF_END_PERIOD,$E$5:$E$750,E40,$R$5:$R$750,TRUE(),$S$5:$S$750,"&gt;"&amp;S40)+COUNTIFS($D$5:$D$750,WF_END_PERIOD,$E$5:$E$750,E40,$R$5:$R$750,TRUE(),$S$5:$S$750,S40,$B$5:$B$750,"&lt;"&amp;B40),"")</f>
        <v/>
      </c>
      <c r="AA40" s="0" t="str">
        <f aca="false">IF(AND(D40=WF_END_PERIOD,R40,Z40&lt;&gt;1),1+COUNTIFS($D$5:$D$750,WF_END_PERIOD,$R$5:$R$750,TRUE(),$Z$5:$Z$750,"&lt;&gt;1",$S$5:$S$750,"&gt;"&amp;S40)+COUNTIFS($D$5:$D$750,WF_END_PERIOD,$R$5:$R$750,TRUE(),$Z$5:$Z$750,"&lt;&gt;1",$S$5:$S$750,S40,$B$5:$B$750,"&lt;"&amp;B40),"")</f>
        <v/>
      </c>
      <c r="AB40" s="11" t="b">
        <f aca="false">OR(D40=WF_START_PERIOD,D40=WF_END_PERIOD)</f>
        <v>0</v>
      </c>
      <c r="AC40" s="0" t="str">
        <f aca="false">B40&amp;"|"&amp;D40</f>
        <v>28288|20220331</v>
      </c>
    </row>
    <row r="41" customFormat="false" ht="15" hidden="false" customHeight="false" outlineLevel="0" collapsed="false">
      <c r="A41" s="0" t="n">
        <f aca="false">RawFinancials!A41</f>
        <v>38</v>
      </c>
      <c r="B41" s="0" t="n">
        <f aca="false">RawFinancials!C41</f>
        <v>28369</v>
      </c>
      <c r="C41" s="0" t="str">
        <f aca="false">RawFinancials!P41</f>
        <v>ROCKLAND SAVINGS BANK, FSB</v>
      </c>
      <c r="D41" s="0" t="n">
        <f aca="false">RawFinancials!W41</f>
        <v>20220331</v>
      </c>
      <c r="E41" s="0" t="str">
        <f aca="false">RawFinancials!Z41</f>
        <v>ME</v>
      </c>
      <c r="F41" s="0" t="n">
        <f aca="false">RawFinancials!B41</f>
        <v>85281</v>
      </c>
      <c r="G41" s="0" t="n">
        <f aca="false">RawFinancials!U41</f>
        <v>0</v>
      </c>
      <c r="H41" s="0" t="n">
        <f aca="false">RawFinancials!O41</f>
        <v>440</v>
      </c>
      <c r="I41" s="0" t="n">
        <f aca="false">IF(AND(ISNUMBER(G41),ISNUMBER(H41)),G41+H41,"")</f>
        <v>440</v>
      </c>
      <c r="J41" s="0" t="n">
        <f aca="false">RawFinancials!D41</f>
        <v>75519</v>
      </c>
      <c r="K41" s="0" t="n">
        <f aca="false">RawFinancials!F41</f>
        <v>9337</v>
      </c>
      <c r="L41" s="0" t="n">
        <f aca="false">RawFinancials!L41</f>
        <v>72385</v>
      </c>
      <c r="M41" s="0" t="n">
        <f aca="false">RawFinancials!N41</f>
        <v>61802</v>
      </c>
      <c r="N41" s="13" t="n">
        <f aca="false">RawFinancials!X41</f>
        <v>-0.0793086154815083</v>
      </c>
      <c r="O41" s="13" t="n">
        <f aca="false">RawFinancials!V41</f>
        <v>0</v>
      </c>
      <c r="P41" s="13" t="n">
        <f aca="false">IF(AND(ISNUMBER(L41),L41&lt;&gt;0,ISNUMBER(M41)),100*M41/L41,"")</f>
        <v>85.3795675899703</v>
      </c>
      <c r="Q41" s="13" t="n">
        <f aca="false">IF(AND(ISNUMBER(F41),F41&lt;&gt;0,ISNUMBER(K41)),100*K41/F41,"")</f>
        <v>10.948511391752</v>
      </c>
      <c r="R41" s="11" t="b">
        <f aca="false">AND(ISNUMBER(F41),F41&gt;0,ISNUMBER(G41),G41&gt;=0,ISNUMBER(H41),H41&gt;=0)</f>
        <v>1</v>
      </c>
      <c r="S41" s="13" t="n">
        <f aca="false">IF(R41,100*I41/F41,"")</f>
        <v>0.515941417197266</v>
      </c>
      <c r="T41" s="11" t="b">
        <f aca="false">NOT(AND(OR(AND(ISBLANK(RawFinancials!B41),ISBLANK(_RawBaseline!B38)),AND(ISNUMBER(RawFinancials!B41),ISNUMBER(_RawBaseline!B38),RawFinancials!B41=_RawBaseline!B38)),OR(AND(ISBLANK(RawFinancials!U41),ISBLANK(_RawBaseline!U38)),AND(ISNUMBER(RawFinancials!U41),ISNUMBER(_RawBaseline!U38),RawFinancials!U41=_RawBaseline!U38)),OR(AND(ISBLANK(RawFinancials!O41),ISBLANK(_RawBaseline!O38)),AND(ISNUMBER(RawFinancials!O41),ISNUMBER(_RawBaseline!O38),RawFinancials!O41=_RawBaseline!O38))))</f>
        <v>0</v>
      </c>
      <c r="U41" s="13" t="n">
        <f aca="false">IF(AND(D41=WF_START_PERIOD,R41,COUNTIFS($B$5:$B$750,B41,$D$5:$D$750,WF_END_PERIOD,$R$5:$R$750,TRUE())&gt;0),SUMIFS($S$5:$S$750,$B$5:$B$750,B41,$D$5:$D$750,WF_END_PERIOD,$R$5:$R$750,TRUE()),0)</f>
        <v>0</v>
      </c>
      <c r="V41" s="0" t="str">
        <f aca="false">IF(AND(D41=WF_START_PERIOD,COUNTIFS($B$5:$B$750,B41,$D$5:$D$750,WF_END_PERIOD)&gt;0),INDEX($E$5:$E$750,MATCH(B41&amp;"|"&amp;WF_END_PERIOD,$AC$5:$AC$750,0)),"")</f>
        <v/>
      </c>
      <c r="W41" s="11" t="b">
        <f aca="false">COUNTIFS($B$5:$B$750,B41,$D$5:$D$750,WF_START_PERIOD,$R$5:$R$750,TRUE())&gt;0</f>
        <v>1</v>
      </c>
      <c r="X41" s="11" t="b">
        <f aca="false">COUNTIFS($B$5:$B$750,B41,$D$5:$D$750,WF_END_PERIOD,$R$5:$R$750,TRUE())&gt;0</f>
        <v>1</v>
      </c>
      <c r="Y41" s="0" t="str">
        <f aca="false">IF(AND(D41=WF_END_PERIOD,COUNTIFS($B$5:$B$750,B41,$D$5:$D$750,WF_START_PERIOD)&gt;0),INDEX($E$5:$E$750,MATCH(B41&amp;"|"&amp;WF_START_PERIOD,$AC$5:$AC$750,0)),"")</f>
        <v/>
      </c>
      <c r="Z41" s="0" t="str">
        <f aca="false">IF(AND(D41=WF_END_PERIOD,R41),1+COUNTIFS($D$5:$D$750,WF_END_PERIOD,$E$5:$E$750,E41,$R$5:$R$750,TRUE(),$S$5:$S$750,"&gt;"&amp;S41)+COUNTIFS($D$5:$D$750,WF_END_PERIOD,$E$5:$E$750,E41,$R$5:$R$750,TRUE(),$S$5:$S$750,S41,$B$5:$B$750,"&lt;"&amp;B41),"")</f>
        <v/>
      </c>
      <c r="AA41" s="0" t="str">
        <f aca="false">IF(AND(D41=WF_END_PERIOD,R41,Z41&lt;&gt;1),1+COUNTIFS($D$5:$D$750,WF_END_PERIOD,$R$5:$R$750,TRUE(),$Z$5:$Z$750,"&lt;&gt;1",$S$5:$S$750,"&gt;"&amp;S41)+COUNTIFS($D$5:$D$750,WF_END_PERIOD,$R$5:$R$750,TRUE(),$Z$5:$Z$750,"&lt;&gt;1",$S$5:$S$750,S41,$B$5:$B$750,"&lt;"&amp;B41),"")</f>
        <v/>
      </c>
      <c r="AB41" s="11" t="b">
        <f aca="false">OR(D41=WF_START_PERIOD,D41=WF_END_PERIOD)</f>
        <v>0</v>
      </c>
      <c r="AC41" s="0" t="str">
        <f aca="false">B41&amp;"|"&amp;D41</f>
        <v>28369|20220331</v>
      </c>
    </row>
    <row r="42" customFormat="false" ht="15" hidden="false" customHeight="false" outlineLevel="0" collapsed="false">
      <c r="A42" s="0" t="n">
        <f aca="false">RawFinancials!A42</f>
        <v>39</v>
      </c>
      <c r="B42" s="0" t="n">
        <f aca="false">RawFinancials!C42</f>
        <v>28837</v>
      </c>
      <c r="C42" s="0" t="str">
        <f aca="false">RawFinancials!P42</f>
        <v>THE BRATTLEBORO SAVINGS AND LOAN ASSOCIATION</v>
      </c>
      <c r="D42" s="0" t="n">
        <f aca="false">RawFinancials!W42</f>
        <v>20220331</v>
      </c>
      <c r="E42" s="0" t="str">
        <f aca="false">RawFinancials!Z42</f>
        <v>VT</v>
      </c>
      <c r="F42" s="0" t="n">
        <f aca="false">RawFinancials!B42</f>
        <v>300452</v>
      </c>
      <c r="G42" s="0" t="n">
        <f aca="false">RawFinancials!U42</f>
        <v>0</v>
      </c>
      <c r="H42" s="0" t="n">
        <f aca="false">RawFinancials!O42</f>
        <v>71</v>
      </c>
      <c r="I42" s="0" t="n">
        <f aca="false">IF(AND(ISNUMBER(G42),ISNUMBER(H42)),G42+H42,"")</f>
        <v>71</v>
      </c>
      <c r="J42" s="0" t="n">
        <f aca="false">RawFinancials!D42</f>
        <v>273714</v>
      </c>
      <c r="K42" s="0" t="n">
        <f aca="false">RawFinancials!F42</f>
        <v>22104</v>
      </c>
      <c r="L42" s="0" t="n">
        <f aca="false">RawFinancials!L42</f>
        <v>189360</v>
      </c>
      <c r="M42" s="0" t="n">
        <f aca="false">RawFinancials!N42</f>
        <v>180942</v>
      </c>
      <c r="N42" s="13" t="n">
        <f aca="false">RawFinancials!X42</f>
        <v>0.308720697205283</v>
      </c>
      <c r="O42" s="13" t="n">
        <f aca="false">RawFinancials!V42</f>
        <v>14.5340591975845</v>
      </c>
      <c r="P42" s="13" t="n">
        <f aca="false">IF(AND(ISNUMBER(L42),L42&lt;&gt;0,ISNUMBER(M42)),100*M42/L42,"")</f>
        <v>95.5544993662864</v>
      </c>
      <c r="Q42" s="13" t="n">
        <f aca="false">IF(AND(ISNUMBER(F42),F42&lt;&gt;0,ISNUMBER(K42)),100*K42/F42,"")</f>
        <v>7.35691558052534</v>
      </c>
      <c r="R42" s="11" t="b">
        <f aca="false">AND(ISNUMBER(F42),F42&gt;0,ISNUMBER(G42),G42&gt;=0,ISNUMBER(H42),H42&gt;=0)</f>
        <v>1</v>
      </c>
      <c r="S42" s="13" t="n">
        <f aca="false">IF(R42,100*I42/F42,"")</f>
        <v>0.0236310625324511</v>
      </c>
      <c r="T42" s="11" t="b">
        <f aca="false">NOT(AND(OR(AND(ISBLANK(RawFinancials!B42),ISBLANK(_RawBaseline!B39)),AND(ISNUMBER(RawFinancials!B42),ISNUMBER(_RawBaseline!B39),RawFinancials!B42=_RawBaseline!B39)),OR(AND(ISBLANK(RawFinancials!U42),ISBLANK(_RawBaseline!U39)),AND(ISNUMBER(RawFinancials!U42),ISNUMBER(_RawBaseline!U39),RawFinancials!U42=_RawBaseline!U39)),OR(AND(ISBLANK(RawFinancials!O42),ISBLANK(_RawBaseline!O39)),AND(ISNUMBER(RawFinancials!O42),ISNUMBER(_RawBaseline!O39),RawFinancials!O42=_RawBaseline!O39))))</f>
        <v>0</v>
      </c>
      <c r="U42" s="13" t="n">
        <f aca="false">IF(AND(D42=WF_START_PERIOD,R42,COUNTIFS($B$5:$B$750,B42,$D$5:$D$750,WF_END_PERIOD,$R$5:$R$750,TRUE())&gt;0),SUMIFS($S$5:$S$750,$B$5:$B$750,B42,$D$5:$D$750,WF_END_PERIOD,$R$5:$R$750,TRUE()),0)</f>
        <v>0</v>
      </c>
      <c r="V42" s="0" t="str">
        <f aca="false">IF(AND(D42=WF_START_PERIOD,COUNTIFS($B$5:$B$750,B42,$D$5:$D$750,WF_END_PERIOD)&gt;0),INDEX($E$5:$E$750,MATCH(B42&amp;"|"&amp;WF_END_PERIOD,$AC$5:$AC$750,0)),"")</f>
        <v/>
      </c>
      <c r="W42" s="11" t="b">
        <f aca="false">COUNTIFS($B$5:$B$750,B42,$D$5:$D$750,WF_START_PERIOD,$R$5:$R$750,TRUE())&gt;0</f>
        <v>1</v>
      </c>
      <c r="X42" s="11" t="b">
        <f aca="false">COUNTIFS($B$5:$B$750,B42,$D$5:$D$750,WF_END_PERIOD,$R$5:$R$750,TRUE())&gt;0</f>
        <v>1</v>
      </c>
      <c r="Y42" s="0" t="str">
        <f aca="false">IF(AND(D42=WF_END_PERIOD,COUNTIFS($B$5:$B$750,B42,$D$5:$D$750,WF_START_PERIOD)&gt;0),INDEX($E$5:$E$750,MATCH(B42&amp;"|"&amp;WF_START_PERIOD,$AC$5:$AC$750,0)),"")</f>
        <v/>
      </c>
      <c r="Z42" s="0" t="str">
        <f aca="false">IF(AND(D42=WF_END_PERIOD,R42),1+COUNTIFS($D$5:$D$750,WF_END_PERIOD,$E$5:$E$750,E42,$R$5:$R$750,TRUE(),$S$5:$S$750,"&gt;"&amp;S42)+COUNTIFS($D$5:$D$750,WF_END_PERIOD,$E$5:$E$750,E42,$R$5:$R$750,TRUE(),$S$5:$S$750,S42,$B$5:$B$750,"&lt;"&amp;B42),"")</f>
        <v/>
      </c>
      <c r="AA42" s="0" t="str">
        <f aca="false">IF(AND(D42=WF_END_PERIOD,R42,Z42&lt;&gt;1),1+COUNTIFS($D$5:$D$750,WF_END_PERIOD,$R$5:$R$750,TRUE(),$Z$5:$Z$750,"&lt;&gt;1",$S$5:$S$750,"&gt;"&amp;S42)+COUNTIFS($D$5:$D$750,WF_END_PERIOD,$R$5:$R$750,TRUE(),$Z$5:$Z$750,"&lt;&gt;1",$S$5:$S$750,S42,$B$5:$B$750,"&lt;"&amp;B42),"")</f>
        <v/>
      </c>
      <c r="AB42" s="11" t="b">
        <f aca="false">OR(D42=WF_START_PERIOD,D42=WF_END_PERIOD)</f>
        <v>0</v>
      </c>
      <c r="AC42" s="0" t="str">
        <f aca="false">B42&amp;"|"&amp;D42</f>
        <v>28837|20220331</v>
      </c>
    </row>
    <row r="43" customFormat="false" ht="15" hidden="false" customHeight="false" outlineLevel="0" collapsed="false">
      <c r="A43" s="0" t="n">
        <f aca="false">RawFinancials!A43</f>
        <v>40</v>
      </c>
      <c r="B43" s="0" t="n">
        <f aca="false">RawFinancials!C43</f>
        <v>29636</v>
      </c>
      <c r="C43" s="0" t="str">
        <f aca="false">RawFinancials!P43</f>
        <v>FIRST FEDERAL SAVINGS AND LOAN ASSOCIATION OF BATH</v>
      </c>
      <c r="D43" s="0" t="n">
        <f aca="false">RawFinancials!W43</f>
        <v>20220331</v>
      </c>
      <c r="E43" s="0" t="str">
        <f aca="false">RawFinancials!Z43</f>
        <v>ME</v>
      </c>
      <c r="F43" s="0" t="n">
        <f aca="false">RawFinancials!B43</f>
        <v>179872</v>
      </c>
      <c r="G43" s="0" t="n">
        <f aca="false">RawFinancials!U43</f>
        <v>0</v>
      </c>
      <c r="H43" s="0" t="n">
        <f aca="false">RawFinancials!O43</f>
        <v>1233</v>
      </c>
      <c r="I43" s="0" t="n">
        <f aca="false">IF(AND(ISNUMBER(G43),ISNUMBER(H43)),G43+H43,"")</f>
        <v>1233</v>
      </c>
      <c r="J43" s="0" t="n">
        <f aca="false">RawFinancials!D43</f>
        <v>154524</v>
      </c>
      <c r="K43" s="0" t="n">
        <f aca="false">RawFinancials!F43</f>
        <v>24006</v>
      </c>
      <c r="L43" s="0" t="n">
        <f aca="false">RawFinancials!L43</f>
        <v>108632</v>
      </c>
      <c r="M43" s="0" t="n">
        <f aca="false">RawFinancials!N43</f>
        <v>105234</v>
      </c>
      <c r="N43" s="13" t="n">
        <f aca="false">RawFinancials!X43</f>
        <v>0.0400102248352357</v>
      </c>
      <c r="O43" s="13" t="n">
        <f aca="false">RawFinancials!V43</f>
        <v>31.9768238739019</v>
      </c>
      <c r="P43" s="13" t="n">
        <f aca="false">IF(AND(ISNUMBER(L43),L43&lt;&gt;0,ISNUMBER(M43)),100*M43/L43,"")</f>
        <v>96.87200824803</v>
      </c>
      <c r="Q43" s="13" t="n">
        <f aca="false">IF(AND(ISNUMBER(F43),F43&lt;&gt;0,ISNUMBER(K43)),100*K43/F43,"")</f>
        <v>13.3461572673901</v>
      </c>
      <c r="R43" s="11" t="b">
        <f aca="false">AND(ISNUMBER(F43),F43&gt;0,ISNUMBER(G43),G43&gt;=0,ISNUMBER(H43),H43&gt;=0)</f>
        <v>1</v>
      </c>
      <c r="S43" s="13" t="n">
        <f aca="false">IF(R43,100*I43/F43,"")</f>
        <v>0.685487457747732</v>
      </c>
      <c r="T43" s="11" t="b">
        <f aca="false">NOT(AND(OR(AND(ISBLANK(RawFinancials!B43),ISBLANK(_RawBaseline!B40)),AND(ISNUMBER(RawFinancials!B43),ISNUMBER(_RawBaseline!B40),RawFinancials!B43=_RawBaseline!B40)),OR(AND(ISBLANK(RawFinancials!U43),ISBLANK(_RawBaseline!U40)),AND(ISNUMBER(RawFinancials!U43),ISNUMBER(_RawBaseline!U40),RawFinancials!U43=_RawBaseline!U40)),OR(AND(ISBLANK(RawFinancials!O43),ISBLANK(_RawBaseline!O40)),AND(ISNUMBER(RawFinancials!O43),ISNUMBER(_RawBaseline!O40),RawFinancials!O43=_RawBaseline!O40))))</f>
        <v>0</v>
      </c>
      <c r="U43" s="13" t="n">
        <f aca="false">IF(AND(D43=WF_START_PERIOD,R43,COUNTIFS($B$5:$B$750,B43,$D$5:$D$750,WF_END_PERIOD,$R$5:$R$750,TRUE())&gt;0),SUMIFS($S$5:$S$750,$B$5:$B$750,B43,$D$5:$D$750,WF_END_PERIOD,$R$5:$R$750,TRUE()),0)</f>
        <v>0</v>
      </c>
      <c r="V43" s="0" t="str">
        <f aca="false">IF(AND(D43=WF_START_PERIOD,COUNTIFS($B$5:$B$750,B43,$D$5:$D$750,WF_END_PERIOD)&gt;0),INDEX($E$5:$E$750,MATCH(B43&amp;"|"&amp;WF_END_PERIOD,$AC$5:$AC$750,0)),"")</f>
        <v/>
      </c>
      <c r="W43" s="11" t="b">
        <f aca="false">COUNTIFS($B$5:$B$750,B43,$D$5:$D$750,WF_START_PERIOD,$R$5:$R$750,TRUE())&gt;0</f>
        <v>1</v>
      </c>
      <c r="X43" s="11" t="b">
        <f aca="false">COUNTIFS($B$5:$B$750,B43,$D$5:$D$750,WF_END_PERIOD,$R$5:$R$750,TRUE())&gt;0</f>
        <v>1</v>
      </c>
      <c r="Y43" s="0" t="str">
        <f aca="false">IF(AND(D43=WF_END_PERIOD,COUNTIFS($B$5:$B$750,B43,$D$5:$D$750,WF_START_PERIOD)&gt;0),INDEX($E$5:$E$750,MATCH(B43&amp;"|"&amp;WF_START_PERIOD,$AC$5:$AC$750,0)),"")</f>
        <v/>
      </c>
      <c r="Z43" s="0" t="str">
        <f aca="false">IF(AND(D43=WF_END_PERIOD,R43),1+COUNTIFS($D$5:$D$750,WF_END_PERIOD,$E$5:$E$750,E43,$R$5:$R$750,TRUE(),$S$5:$S$750,"&gt;"&amp;S43)+COUNTIFS($D$5:$D$750,WF_END_PERIOD,$E$5:$E$750,E43,$R$5:$R$750,TRUE(),$S$5:$S$750,S43,$B$5:$B$750,"&lt;"&amp;B43),"")</f>
        <v/>
      </c>
      <c r="AA43" s="0" t="str">
        <f aca="false">IF(AND(D43=WF_END_PERIOD,R43,Z43&lt;&gt;1),1+COUNTIFS($D$5:$D$750,WF_END_PERIOD,$R$5:$R$750,TRUE(),$Z$5:$Z$750,"&lt;&gt;1",$S$5:$S$750,"&gt;"&amp;S43)+COUNTIFS($D$5:$D$750,WF_END_PERIOD,$R$5:$R$750,TRUE(),$Z$5:$Z$750,"&lt;&gt;1",$S$5:$S$750,S43,$B$5:$B$750,"&lt;"&amp;B43),"")</f>
        <v/>
      </c>
      <c r="AB43" s="11" t="b">
        <f aca="false">OR(D43=WF_START_PERIOD,D43=WF_END_PERIOD)</f>
        <v>0</v>
      </c>
      <c r="AC43" s="0" t="str">
        <f aca="false">B43&amp;"|"&amp;D43</f>
        <v>29636|20220331</v>
      </c>
    </row>
    <row r="44" customFormat="false" ht="15" hidden="false" customHeight="false" outlineLevel="0" collapsed="false">
      <c r="A44" s="0" t="n">
        <f aca="false">RawFinancials!A44</f>
        <v>41</v>
      </c>
      <c r="B44" s="0" t="n">
        <f aca="false">RawFinancials!C44</f>
        <v>29743</v>
      </c>
      <c r="C44" s="0" t="str">
        <f aca="false">RawFinancials!P44</f>
        <v>AROOSTOOK COUNTY FEDERAL SAVINGS AND LOAN ASSOCIATION</v>
      </c>
      <c r="D44" s="0" t="n">
        <f aca="false">RawFinancials!W44</f>
        <v>20220331</v>
      </c>
      <c r="E44" s="0" t="str">
        <f aca="false">RawFinancials!Z44</f>
        <v>ME</v>
      </c>
      <c r="F44" s="0" t="n">
        <f aca="false">RawFinancials!B44</f>
        <v>172820</v>
      </c>
      <c r="G44" s="0" t="n">
        <f aca="false">RawFinancials!U44</f>
        <v>0</v>
      </c>
      <c r="H44" s="0" t="n">
        <f aca="false">RawFinancials!O44</f>
        <v>442</v>
      </c>
      <c r="I44" s="0" t="n">
        <f aca="false">IF(AND(ISNUMBER(G44),ISNUMBER(H44)),G44+H44,"")</f>
        <v>442</v>
      </c>
      <c r="J44" s="0" t="n">
        <f aca="false">RawFinancials!D44</f>
        <v>154916</v>
      </c>
      <c r="K44" s="0" t="n">
        <f aca="false">RawFinancials!F44</f>
        <v>15360</v>
      </c>
      <c r="L44" s="0" t="n">
        <f aca="false">RawFinancials!L44</f>
        <v>116977</v>
      </c>
      <c r="M44" s="0" t="n">
        <f aca="false">RawFinancials!N44</f>
        <v>77243</v>
      </c>
      <c r="N44" s="13" t="n">
        <f aca="false">RawFinancials!X44</f>
        <v>0.608807104275382</v>
      </c>
      <c r="O44" s="13" t="n">
        <f aca="false">RawFinancials!V44</f>
        <v>17.2715138879417</v>
      </c>
      <c r="P44" s="13" t="n">
        <f aca="false">IF(AND(ISNUMBER(L44),L44&lt;&gt;0,ISNUMBER(M44)),100*M44/L44,"")</f>
        <v>66.0326388948255</v>
      </c>
      <c r="Q44" s="13" t="n">
        <f aca="false">IF(AND(ISNUMBER(F44),F44&lt;&gt;0,ISNUMBER(K44)),100*K44/F44,"")</f>
        <v>8.88786020136558</v>
      </c>
      <c r="R44" s="11" t="b">
        <f aca="false">AND(ISNUMBER(F44),F44&gt;0,ISNUMBER(G44),G44&gt;=0,ISNUMBER(H44),H44&gt;=0)</f>
        <v>1</v>
      </c>
      <c r="S44" s="13" t="n">
        <f aca="false">IF(R44,100*I44/F44,"")</f>
        <v>0.255757435482004</v>
      </c>
      <c r="T44" s="11" t="b">
        <f aca="false">NOT(AND(OR(AND(ISBLANK(RawFinancials!B44),ISBLANK(_RawBaseline!B41)),AND(ISNUMBER(RawFinancials!B44),ISNUMBER(_RawBaseline!B41),RawFinancials!B44=_RawBaseline!B41)),OR(AND(ISBLANK(RawFinancials!U44),ISBLANK(_RawBaseline!U41)),AND(ISNUMBER(RawFinancials!U44),ISNUMBER(_RawBaseline!U41),RawFinancials!U44=_RawBaseline!U41)),OR(AND(ISBLANK(RawFinancials!O44),ISBLANK(_RawBaseline!O41)),AND(ISNUMBER(RawFinancials!O44),ISNUMBER(_RawBaseline!O41),RawFinancials!O44=_RawBaseline!O41))))</f>
        <v>0</v>
      </c>
      <c r="U44" s="13" t="n">
        <f aca="false">IF(AND(D44=WF_START_PERIOD,R44,COUNTIFS($B$5:$B$750,B44,$D$5:$D$750,WF_END_PERIOD,$R$5:$R$750,TRUE())&gt;0),SUMIFS($S$5:$S$750,$B$5:$B$750,B44,$D$5:$D$750,WF_END_PERIOD,$R$5:$R$750,TRUE()),0)</f>
        <v>0</v>
      </c>
      <c r="V44" s="0" t="str">
        <f aca="false">IF(AND(D44=WF_START_PERIOD,COUNTIFS($B$5:$B$750,B44,$D$5:$D$750,WF_END_PERIOD)&gt;0),INDEX($E$5:$E$750,MATCH(B44&amp;"|"&amp;WF_END_PERIOD,$AC$5:$AC$750,0)),"")</f>
        <v/>
      </c>
      <c r="W44" s="11" t="b">
        <f aca="false">COUNTIFS($B$5:$B$750,B44,$D$5:$D$750,WF_START_PERIOD,$R$5:$R$750,TRUE())&gt;0</f>
        <v>1</v>
      </c>
      <c r="X44" s="11" t="b">
        <f aca="false">COUNTIFS($B$5:$B$750,B44,$D$5:$D$750,WF_END_PERIOD,$R$5:$R$750,TRUE())&gt;0</f>
        <v>1</v>
      </c>
      <c r="Y44" s="0" t="str">
        <f aca="false">IF(AND(D44=WF_END_PERIOD,COUNTIFS($B$5:$B$750,B44,$D$5:$D$750,WF_START_PERIOD)&gt;0),INDEX($E$5:$E$750,MATCH(B44&amp;"|"&amp;WF_START_PERIOD,$AC$5:$AC$750,0)),"")</f>
        <v/>
      </c>
      <c r="Z44" s="0" t="str">
        <f aca="false">IF(AND(D44=WF_END_PERIOD,R44),1+COUNTIFS($D$5:$D$750,WF_END_PERIOD,$E$5:$E$750,E44,$R$5:$R$750,TRUE(),$S$5:$S$750,"&gt;"&amp;S44)+COUNTIFS($D$5:$D$750,WF_END_PERIOD,$E$5:$E$750,E44,$R$5:$R$750,TRUE(),$S$5:$S$750,S44,$B$5:$B$750,"&lt;"&amp;B44),"")</f>
        <v/>
      </c>
      <c r="AA44" s="0" t="str">
        <f aca="false">IF(AND(D44=WF_END_PERIOD,R44,Z44&lt;&gt;1),1+COUNTIFS($D$5:$D$750,WF_END_PERIOD,$R$5:$R$750,TRUE(),$Z$5:$Z$750,"&lt;&gt;1",$S$5:$S$750,"&gt;"&amp;S44)+COUNTIFS($D$5:$D$750,WF_END_PERIOD,$R$5:$R$750,TRUE(),$Z$5:$Z$750,"&lt;&gt;1",$S$5:$S$750,S44,$B$5:$B$750,"&lt;"&amp;B44),"")</f>
        <v/>
      </c>
      <c r="AB44" s="11" t="b">
        <f aca="false">OR(D44=WF_START_PERIOD,D44=WF_END_PERIOD)</f>
        <v>0</v>
      </c>
      <c r="AC44" s="0" t="str">
        <f aca="false">B44&amp;"|"&amp;D44</f>
        <v>29743|20220331</v>
      </c>
    </row>
    <row r="45" customFormat="false" ht="15" hidden="false" customHeight="false" outlineLevel="0" collapsed="false">
      <c r="A45" s="0" t="n">
        <f aca="false">RawFinancials!A45</f>
        <v>42</v>
      </c>
      <c r="B45" s="0" t="n">
        <f aca="false">RawFinancials!C45</f>
        <v>29744</v>
      </c>
      <c r="C45" s="0" t="str">
        <f aca="false">RawFinancials!P45</f>
        <v>FIRST SEACOAST BANK</v>
      </c>
      <c r="D45" s="0" t="n">
        <f aca="false">RawFinancials!W45</f>
        <v>20220331</v>
      </c>
      <c r="E45" s="0" t="str">
        <f aca="false">RawFinancials!Z45</f>
        <v>NH</v>
      </c>
      <c r="F45" s="0" t="n">
        <f aca="false">RawFinancials!B45</f>
        <v>499707</v>
      </c>
      <c r="G45" s="0" t="n">
        <f aca="false">RawFinancials!U45</f>
        <v>0</v>
      </c>
      <c r="H45" s="0" t="n">
        <f aca="false">RawFinancials!O45</f>
        <v>795</v>
      </c>
      <c r="I45" s="0" t="n">
        <f aca="false">IF(AND(ISNUMBER(G45),ISNUMBER(H45)),G45+H45,"")</f>
        <v>795</v>
      </c>
      <c r="J45" s="0" t="n">
        <f aca="false">RawFinancials!D45</f>
        <v>400905</v>
      </c>
      <c r="K45" s="0" t="n">
        <f aca="false">RawFinancials!F45</f>
        <v>46362</v>
      </c>
      <c r="L45" s="0" t="n">
        <f aca="false">RawFinancials!L45</f>
        <v>379456</v>
      </c>
      <c r="M45" s="0" t="n">
        <f aca="false">RawFinancials!N45</f>
        <v>345285</v>
      </c>
      <c r="N45" s="13" t="n">
        <f aca="false">RawFinancials!X45</f>
        <v>0.319298839198795</v>
      </c>
      <c r="O45" s="13" t="n">
        <f aca="false">RawFinancials!V45</f>
        <v>17.2969821518877</v>
      </c>
      <c r="P45" s="13" t="n">
        <f aca="false">IF(AND(ISNUMBER(L45),L45&lt;&gt;0,ISNUMBER(M45)),100*M45/L45,"")</f>
        <v>90.994739838084</v>
      </c>
      <c r="Q45" s="13" t="n">
        <f aca="false">IF(AND(ISNUMBER(F45),F45&lt;&gt;0,ISNUMBER(K45)),100*K45/F45,"")</f>
        <v>9.27783681237205</v>
      </c>
      <c r="R45" s="11" t="b">
        <f aca="false">AND(ISNUMBER(F45),F45&gt;0,ISNUMBER(G45),G45&gt;=0,ISNUMBER(H45),H45&gt;=0)</f>
        <v>1</v>
      </c>
      <c r="S45" s="13" t="n">
        <f aca="false">IF(R45,100*I45/F45,"")</f>
        <v>0.159093228631978</v>
      </c>
      <c r="T45" s="11" t="b">
        <f aca="false">NOT(AND(OR(AND(ISBLANK(RawFinancials!B45),ISBLANK(_RawBaseline!B42)),AND(ISNUMBER(RawFinancials!B45),ISNUMBER(_RawBaseline!B42),RawFinancials!B45=_RawBaseline!B42)),OR(AND(ISBLANK(RawFinancials!U45),ISBLANK(_RawBaseline!U42)),AND(ISNUMBER(RawFinancials!U45),ISNUMBER(_RawBaseline!U42),RawFinancials!U45=_RawBaseline!U42)),OR(AND(ISBLANK(RawFinancials!O45),ISBLANK(_RawBaseline!O42)),AND(ISNUMBER(RawFinancials!O45),ISNUMBER(_RawBaseline!O42),RawFinancials!O45=_RawBaseline!O42))))</f>
        <v>0</v>
      </c>
      <c r="U45" s="13" t="n">
        <f aca="false">IF(AND(D45=WF_START_PERIOD,R45,COUNTIFS($B$5:$B$750,B45,$D$5:$D$750,WF_END_PERIOD,$R$5:$R$750,TRUE())&gt;0),SUMIFS($S$5:$S$750,$B$5:$B$750,B45,$D$5:$D$750,WF_END_PERIOD,$R$5:$R$750,TRUE()),0)</f>
        <v>0</v>
      </c>
      <c r="V45" s="0" t="str">
        <f aca="false">IF(AND(D45=WF_START_PERIOD,COUNTIFS($B$5:$B$750,B45,$D$5:$D$750,WF_END_PERIOD)&gt;0),INDEX($E$5:$E$750,MATCH(B45&amp;"|"&amp;WF_END_PERIOD,$AC$5:$AC$750,0)),"")</f>
        <v/>
      </c>
      <c r="W45" s="11" t="b">
        <f aca="false">COUNTIFS($B$5:$B$750,B45,$D$5:$D$750,WF_START_PERIOD,$R$5:$R$750,TRUE())&gt;0</f>
        <v>1</v>
      </c>
      <c r="X45" s="11" t="b">
        <f aca="false">COUNTIFS($B$5:$B$750,B45,$D$5:$D$750,WF_END_PERIOD,$R$5:$R$750,TRUE())&gt;0</f>
        <v>1</v>
      </c>
      <c r="Y45" s="0" t="str">
        <f aca="false">IF(AND(D45=WF_END_PERIOD,COUNTIFS($B$5:$B$750,B45,$D$5:$D$750,WF_START_PERIOD)&gt;0),INDEX($E$5:$E$750,MATCH(B45&amp;"|"&amp;WF_START_PERIOD,$AC$5:$AC$750,0)),"")</f>
        <v/>
      </c>
      <c r="Z45" s="0" t="str">
        <f aca="false">IF(AND(D45=WF_END_PERIOD,R45),1+COUNTIFS($D$5:$D$750,WF_END_PERIOD,$E$5:$E$750,E45,$R$5:$R$750,TRUE(),$S$5:$S$750,"&gt;"&amp;S45)+COUNTIFS($D$5:$D$750,WF_END_PERIOD,$E$5:$E$750,E45,$R$5:$R$750,TRUE(),$S$5:$S$750,S45,$B$5:$B$750,"&lt;"&amp;B45),"")</f>
        <v/>
      </c>
      <c r="AA45" s="0" t="str">
        <f aca="false">IF(AND(D45=WF_END_PERIOD,R45,Z45&lt;&gt;1),1+COUNTIFS($D$5:$D$750,WF_END_PERIOD,$R$5:$R$750,TRUE(),$Z$5:$Z$750,"&lt;&gt;1",$S$5:$S$750,"&gt;"&amp;S45)+COUNTIFS($D$5:$D$750,WF_END_PERIOD,$R$5:$R$750,TRUE(),$Z$5:$Z$750,"&lt;&gt;1",$S$5:$S$750,S45,$B$5:$B$750,"&lt;"&amp;B45),"")</f>
        <v/>
      </c>
      <c r="AB45" s="11" t="b">
        <f aca="false">OR(D45=WF_START_PERIOD,D45=WF_END_PERIOD)</f>
        <v>0</v>
      </c>
      <c r="AC45" s="0" t="str">
        <f aca="false">B45&amp;"|"&amp;D45</f>
        <v>29744|20220331</v>
      </c>
    </row>
    <row r="46" customFormat="false" ht="15" hidden="false" customHeight="false" outlineLevel="0" collapsed="false">
      <c r="A46" s="0" t="n">
        <f aca="false">RawFinancials!A46</f>
        <v>43</v>
      </c>
      <c r="B46" s="0" t="n">
        <f aca="false">RawFinancials!C46</f>
        <v>30350</v>
      </c>
      <c r="C46" s="0" t="str">
        <f aca="false">RawFinancials!P46</f>
        <v>THE BANK OF BENNINGTON</v>
      </c>
      <c r="D46" s="0" t="n">
        <f aca="false">RawFinancials!W46</f>
        <v>20220331</v>
      </c>
      <c r="E46" s="0" t="str">
        <f aca="false">RawFinancials!Z46</f>
        <v>VT</v>
      </c>
      <c r="F46" s="0" t="n">
        <f aca="false">RawFinancials!B46</f>
        <v>558084</v>
      </c>
      <c r="G46" s="0" t="n">
        <f aca="false">RawFinancials!U46</f>
        <v>0</v>
      </c>
      <c r="H46" s="0" t="n">
        <f aca="false">RawFinancials!O46</f>
        <v>2750</v>
      </c>
      <c r="I46" s="0" t="n">
        <f aca="false">IF(AND(ISNUMBER(G46),ISNUMBER(H46)),G46+H46,"")</f>
        <v>2750</v>
      </c>
      <c r="J46" s="0" t="n">
        <f aca="false">RawFinancials!D46</f>
        <v>471489</v>
      </c>
      <c r="K46" s="0" t="n">
        <f aca="false">RawFinancials!F46</f>
        <v>51735</v>
      </c>
      <c r="L46" s="0" t="n">
        <f aca="false">RawFinancials!L46</f>
        <v>367722</v>
      </c>
      <c r="M46" s="0" t="n">
        <f aca="false">RawFinancials!N46</f>
        <v>353740</v>
      </c>
      <c r="N46" s="13" t="n">
        <f aca="false">RawFinancials!X46</f>
        <v>0.631458667705776</v>
      </c>
      <c r="O46" s="13" t="n">
        <f aca="false">RawFinancials!V46</f>
        <v>21.5752243865437</v>
      </c>
      <c r="P46" s="13" t="n">
        <f aca="false">IF(AND(ISNUMBER(L46),L46&lt;&gt;0,ISNUMBER(M46)),100*M46/L46,"")</f>
        <v>96.1976710667298</v>
      </c>
      <c r="Q46" s="13" t="n">
        <f aca="false">IF(AND(ISNUMBER(F46),F46&lt;&gt;0,ISNUMBER(K46)),100*K46/F46,"")</f>
        <v>9.27010987593266</v>
      </c>
      <c r="R46" s="11" t="b">
        <f aca="false">AND(ISNUMBER(F46),F46&gt;0,ISNUMBER(G46),G46&gt;=0,ISNUMBER(H46),H46&gt;=0)</f>
        <v>1</v>
      </c>
      <c r="S46" s="13" t="n">
        <f aca="false">IF(R46,100*I46/F46,"")</f>
        <v>0.492757362690921</v>
      </c>
      <c r="T46" s="11" t="b">
        <f aca="false">NOT(AND(OR(AND(ISBLANK(RawFinancials!B46),ISBLANK(_RawBaseline!B43)),AND(ISNUMBER(RawFinancials!B46),ISNUMBER(_RawBaseline!B43),RawFinancials!B46=_RawBaseline!B43)),OR(AND(ISBLANK(RawFinancials!U46),ISBLANK(_RawBaseline!U43)),AND(ISNUMBER(RawFinancials!U46),ISNUMBER(_RawBaseline!U43),RawFinancials!U46=_RawBaseline!U43)),OR(AND(ISBLANK(RawFinancials!O46),ISBLANK(_RawBaseline!O43)),AND(ISNUMBER(RawFinancials!O46),ISNUMBER(_RawBaseline!O43),RawFinancials!O46=_RawBaseline!O43))))</f>
        <v>0</v>
      </c>
      <c r="U46" s="13" t="n">
        <f aca="false">IF(AND(D46=WF_START_PERIOD,R46,COUNTIFS($B$5:$B$750,B46,$D$5:$D$750,WF_END_PERIOD,$R$5:$R$750,TRUE())&gt;0),SUMIFS($S$5:$S$750,$B$5:$B$750,B46,$D$5:$D$750,WF_END_PERIOD,$R$5:$R$750,TRUE()),0)</f>
        <v>0</v>
      </c>
      <c r="V46" s="0" t="str">
        <f aca="false">IF(AND(D46=WF_START_PERIOD,COUNTIFS($B$5:$B$750,B46,$D$5:$D$750,WF_END_PERIOD)&gt;0),INDEX($E$5:$E$750,MATCH(B46&amp;"|"&amp;WF_END_PERIOD,$AC$5:$AC$750,0)),"")</f>
        <v/>
      </c>
      <c r="W46" s="11" t="b">
        <f aca="false">COUNTIFS($B$5:$B$750,B46,$D$5:$D$750,WF_START_PERIOD,$R$5:$R$750,TRUE())&gt;0</f>
        <v>1</v>
      </c>
      <c r="X46" s="11" t="b">
        <f aca="false">COUNTIFS($B$5:$B$750,B46,$D$5:$D$750,WF_END_PERIOD,$R$5:$R$750,TRUE())&gt;0</f>
        <v>1</v>
      </c>
      <c r="Y46" s="0" t="str">
        <f aca="false">IF(AND(D46=WF_END_PERIOD,COUNTIFS($B$5:$B$750,B46,$D$5:$D$750,WF_START_PERIOD)&gt;0),INDEX($E$5:$E$750,MATCH(B46&amp;"|"&amp;WF_START_PERIOD,$AC$5:$AC$750,0)),"")</f>
        <v/>
      </c>
      <c r="Z46" s="0" t="str">
        <f aca="false">IF(AND(D46=WF_END_PERIOD,R46),1+COUNTIFS($D$5:$D$750,WF_END_PERIOD,$E$5:$E$750,E46,$R$5:$R$750,TRUE(),$S$5:$S$750,"&gt;"&amp;S46)+COUNTIFS($D$5:$D$750,WF_END_PERIOD,$E$5:$E$750,E46,$R$5:$R$750,TRUE(),$S$5:$S$750,S46,$B$5:$B$750,"&lt;"&amp;B46),"")</f>
        <v/>
      </c>
      <c r="AA46" s="0" t="str">
        <f aca="false">IF(AND(D46=WF_END_PERIOD,R46,Z46&lt;&gt;1),1+COUNTIFS($D$5:$D$750,WF_END_PERIOD,$R$5:$R$750,TRUE(),$Z$5:$Z$750,"&lt;&gt;1",$S$5:$S$750,"&gt;"&amp;S46)+COUNTIFS($D$5:$D$750,WF_END_PERIOD,$R$5:$R$750,TRUE(),$Z$5:$Z$750,"&lt;&gt;1",$S$5:$S$750,S46,$B$5:$B$750,"&lt;"&amp;B46),"")</f>
        <v/>
      </c>
      <c r="AB46" s="11" t="b">
        <f aca="false">OR(D46=WF_START_PERIOD,D46=WF_END_PERIOD)</f>
        <v>0</v>
      </c>
      <c r="AC46" s="0" t="str">
        <f aca="false">B46&amp;"|"&amp;D46</f>
        <v>30350|20220331</v>
      </c>
    </row>
    <row r="47" customFormat="false" ht="15" hidden="false" customHeight="false" outlineLevel="0" collapsed="false">
      <c r="A47" s="0" t="n">
        <f aca="false">RawFinancials!A47</f>
        <v>44</v>
      </c>
      <c r="B47" s="0" t="n">
        <f aca="false">RawFinancials!C47</f>
        <v>30878</v>
      </c>
      <c r="C47" s="0" t="str">
        <f aca="false">RawFinancials!P47</f>
        <v>BAR HARBOR SAVINGS AND LOAN ASSOCIATION</v>
      </c>
      <c r="D47" s="0" t="n">
        <f aca="false">RawFinancials!W47</f>
        <v>20220331</v>
      </c>
      <c r="E47" s="0" t="str">
        <f aca="false">RawFinancials!Z47</f>
        <v>ME</v>
      </c>
      <c r="F47" s="0" t="n">
        <f aca="false">RawFinancials!B47</f>
        <v>100633</v>
      </c>
      <c r="G47" s="0" t="n">
        <f aca="false">RawFinancials!U47</f>
        <v>0</v>
      </c>
      <c r="H47" s="0" t="n">
        <f aca="false">RawFinancials!O47</f>
        <v>539</v>
      </c>
      <c r="I47" s="0" t="n">
        <f aca="false">IF(AND(ISNUMBER(G47),ISNUMBER(H47)),G47+H47,"")</f>
        <v>539</v>
      </c>
      <c r="J47" s="0" t="n">
        <f aca="false">RawFinancials!D47</f>
        <v>78705</v>
      </c>
      <c r="K47" s="0" t="n">
        <f aca="false">RawFinancials!F47</f>
        <v>12369</v>
      </c>
      <c r="L47" s="0" t="n">
        <f aca="false">RawFinancials!L47</f>
        <v>68876</v>
      </c>
      <c r="M47" s="0" t="n">
        <f aca="false">RawFinancials!N47</f>
        <v>68753</v>
      </c>
      <c r="N47" s="13" t="n">
        <f aca="false">RawFinancials!X47</f>
        <v>0.175102599179207</v>
      </c>
      <c r="O47" s="13" t="n">
        <f aca="false">RawFinancials!V47</f>
        <v>0</v>
      </c>
      <c r="P47" s="13" t="n">
        <f aca="false">IF(AND(ISNUMBER(L47),L47&lt;&gt;0,ISNUMBER(M47)),100*M47/L47,"")</f>
        <v>99.8214182008247</v>
      </c>
      <c r="Q47" s="13" t="n">
        <f aca="false">IF(AND(ISNUMBER(F47),F47&lt;&gt;0,ISNUMBER(K47)),100*K47/F47,"")</f>
        <v>12.2911967247324</v>
      </c>
      <c r="R47" s="11" t="b">
        <f aca="false">AND(ISNUMBER(F47),F47&gt;0,ISNUMBER(G47),G47&gt;=0,ISNUMBER(H47),H47&gt;=0)</f>
        <v>1</v>
      </c>
      <c r="S47" s="13" t="n">
        <f aca="false">IF(R47,100*I47/F47,"")</f>
        <v>0.535609591287152</v>
      </c>
      <c r="T47" s="11" t="b">
        <f aca="false">NOT(AND(OR(AND(ISBLANK(RawFinancials!B47),ISBLANK(_RawBaseline!B44)),AND(ISNUMBER(RawFinancials!B47),ISNUMBER(_RawBaseline!B44),RawFinancials!B47=_RawBaseline!B44)),OR(AND(ISBLANK(RawFinancials!U47),ISBLANK(_RawBaseline!U44)),AND(ISNUMBER(RawFinancials!U47),ISNUMBER(_RawBaseline!U44),RawFinancials!U47=_RawBaseline!U44)),OR(AND(ISBLANK(RawFinancials!O47),ISBLANK(_RawBaseline!O44)),AND(ISNUMBER(RawFinancials!O47),ISNUMBER(_RawBaseline!O44),RawFinancials!O47=_RawBaseline!O44))))</f>
        <v>0</v>
      </c>
      <c r="U47" s="13" t="n">
        <f aca="false">IF(AND(D47=WF_START_PERIOD,R47,COUNTIFS($B$5:$B$750,B47,$D$5:$D$750,WF_END_PERIOD,$R$5:$R$750,TRUE())&gt;0),SUMIFS($S$5:$S$750,$B$5:$B$750,B47,$D$5:$D$750,WF_END_PERIOD,$R$5:$R$750,TRUE()),0)</f>
        <v>0</v>
      </c>
      <c r="V47" s="0" t="str">
        <f aca="false">IF(AND(D47=WF_START_PERIOD,COUNTIFS($B$5:$B$750,B47,$D$5:$D$750,WF_END_PERIOD)&gt;0),INDEX($E$5:$E$750,MATCH(B47&amp;"|"&amp;WF_END_PERIOD,$AC$5:$AC$750,0)),"")</f>
        <v/>
      </c>
      <c r="W47" s="11" t="b">
        <f aca="false">COUNTIFS($B$5:$B$750,B47,$D$5:$D$750,WF_START_PERIOD,$R$5:$R$750,TRUE())&gt;0</f>
        <v>1</v>
      </c>
      <c r="X47" s="11" t="b">
        <f aca="false">COUNTIFS($B$5:$B$750,B47,$D$5:$D$750,WF_END_PERIOD,$R$5:$R$750,TRUE())&gt;0</f>
        <v>1</v>
      </c>
      <c r="Y47" s="0" t="str">
        <f aca="false">IF(AND(D47=WF_END_PERIOD,COUNTIFS($B$5:$B$750,B47,$D$5:$D$750,WF_START_PERIOD)&gt;0),INDEX($E$5:$E$750,MATCH(B47&amp;"|"&amp;WF_START_PERIOD,$AC$5:$AC$750,0)),"")</f>
        <v/>
      </c>
      <c r="Z47" s="0" t="str">
        <f aca="false">IF(AND(D47=WF_END_PERIOD,R47),1+COUNTIFS($D$5:$D$750,WF_END_PERIOD,$E$5:$E$750,E47,$R$5:$R$750,TRUE(),$S$5:$S$750,"&gt;"&amp;S47)+COUNTIFS($D$5:$D$750,WF_END_PERIOD,$E$5:$E$750,E47,$R$5:$R$750,TRUE(),$S$5:$S$750,S47,$B$5:$B$750,"&lt;"&amp;B47),"")</f>
        <v/>
      </c>
      <c r="AA47" s="0" t="str">
        <f aca="false">IF(AND(D47=WF_END_PERIOD,R47,Z47&lt;&gt;1),1+COUNTIFS($D$5:$D$750,WF_END_PERIOD,$R$5:$R$750,TRUE(),$Z$5:$Z$750,"&lt;&gt;1",$S$5:$S$750,"&gt;"&amp;S47)+COUNTIFS($D$5:$D$750,WF_END_PERIOD,$R$5:$R$750,TRUE(),$Z$5:$Z$750,"&lt;&gt;1",$S$5:$S$750,S47,$B$5:$B$750,"&lt;"&amp;B47),"")</f>
        <v/>
      </c>
      <c r="AB47" s="11" t="b">
        <f aca="false">OR(D47=WF_START_PERIOD,D47=WF_END_PERIOD)</f>
        <v>0</v>
      </c>
      <c r="AC47" s="0" t="str">
        <f aca="false">B47&amp;"|"&amp;D47</f>
        <v>30878|20220331</v>
      </c>
    </row>
    <row r="48" customFormat="false" ht="15" hidden="false" customHeight="false" outlineLevel="0" collapsed="false">
      <c r="A48" s="0" t="n">
        <f aca="false">RawFinancials!A48</f>
        <v>45</v>
      </c>
      <c r="B48" s="0" t="n">
        <f aca="false">RawFinancials!C48</f>
        <v>33418</v>
      </c>
      <c r="C48" s="0" t="str">
        <f aca="false">RawFinancials!P48</f>
        <v>LEDYARD NATIONAL BANK</v>
      </c>
      <c r="D48" s="0" t="n">
        <f aca="false">RawFinancials!W48</f>
        <v>20220331</v>
      </c>
      <c r="E48" s="0" t="str">
        <f aca="false">RawFinancials!Z48</f>
        <v>VT</v>
      </c>
      <c r="F48" s="0" t="n">
        <f aca="false">RawFinancials!B48</f>
        <v>757509</v>
      </c>
      <c r="G48" s="0" t="n">
        <f aca="false">RawFinancials!U48</f>
        <v>0</v>
      </c>
      <c r="H48" s="0" t="n">
        <f aca="false">RawFinancials!O48</f>
        <v>1659</v>
      </c>
      <c r="I48" s="0" t="n">
        <f aca="false">IF(AND(ISNUMBER(G48),ISNUMBER(H48)),G48+H48,"")</f>
        <v>1659</v>
      </c>
      <c r="J48" s="0" t="n">
        <f aca="false">RawFinancials!D48</f>
        <v>686918</v>
      </c>
      <c r="K48" s="0" t="n">
        <f aca="false">RawFinancials!F48</f>
        <v>49895</v>
      </c>
      <c r="L48" s="0" t="n">
        <f aca="false">RawFinancials!L48</f>
        <v>358959</v>
      </c>
      <c r="M48" s="0" t="n">
        <f aca="false">RawFinancials!N48</f>
        <v>303204</v>
      </c>
      <c r="N48" s="13" t="n">
        <f aca="false">RawFinancials!X48</f>
        <v>1.08763023716891</v>
      </c>
      <c r="O48" s="13" t="n">
        <f aca="false">RawFinancials!V48</f>
        <v>15.1005735502168</v>
      </c>
      <c r="P48" s="13" t="n">
        <f aca="false">IF(AND(ISNUMBER(L48),L48&lt;&gt;0,ISNUMBER(M48)),100*M48/L48,"")</f>
        <v>84.4675854345482</v>
      </c>
      <c r="Q48" s="13" t="n">
        <f aca="false">IF(AND(ISNUMBER(F48),F48&lt;&gt;0,ISNUMBER(K48)),100*K48/F48,"")</f>
        <v>6.58672042180357</v>
      </c>
      <c r="R48" s="11" t="b">
        <f aca="false">AND(ISNUMBER(F48),F48&gt;0,ISNUMBER(G48),G48&gt;=0,ISNUMBER(H48),H48&gt;=0)</f>
        <v>1</v>
      </c>
      <c r="S48" s="13" t="n">
        <f aca="false">IF(R48,100*I48/F48,"")</f>
        <v>0.219007298923181</v>
      </c>
      <c r="T48" s="11" t="b">
        <f aca="false">NOT(AND(OR(AND(ISBLANK(RawFinancials!B48),ISBLANK(_RawBaseline!B45)),AND(ISNUMBER(RawFinancials!B48),ISNUMBER(_RawBaseline!B45),RawFinancials!B48=_RawBaseline!B45)),OR(AND(ISBLANK(RawFinancials!U48),ISBLANK(_RawBaseline!U45)),AND(ISNUMBER(RawFinancials!U48),ISNUMBER(_RawBaseline!U45),RawFinancials!U48=_RawBaseline!U45)),OR(AND(ISBLANK(RawFinancials!O48),ISBLANK(_RawBaseline!O45)),AND(ISNUMBER(RawFinancials!O48),ISNUMBER(_RawBaseline!O45),RawFinancials!O48=_RawBaseline!O45))))</f>
        <v>0</v>
      </c>
      <c r="U48" s="13" t="n">
        <f aca="false">IF(AND(D48=WF_START_PERIOD,R48,COUNTIFS($B$5:$B$750,B48,$D$5:$D$750,WF_END_PERIOD,$R$5:$R$750,TRUE())&gt;0),SUMIFS($S$5:$S$750,$B$5:$B$750,B48,$D$5:$D$750,WF_END_PERIOD,$R$5:$R$750,TRUE()),0)</f>
        <v>0</v>
      </c>
      <c r="V48" s="0" t="str">
        <f aca="false">IF(AND(D48=WF_START_PERIOD,COUNTIFS($B$5:$B$750,B48,$D$5:$D$750,WF_END_PERIOD)&gt;0),INDEX($E$5:$E$750,MATCH(B48&amp;"|"&amp;WF_END_PERIOD,$AC$5:$AC$750,0)),"")</f>
        <v/>
      </c>
      <c r="W48" s="11" t="b">
        <f aca="false">COUNTIFS($B$5:$B$750,B48,$D$5:$D$750,WF_START_PERIOD,$R$5:$R$750,TRUE())&gt;0</f>
        <v>1</v>
      </c>
      <c r="X48" s="11" t="b">
        <f aca="false">COUNTIFS($B$5:$B$750,B48,$D$5:$D$750,WF_END_PERIOD,$R$5:$R$750,TRUE())&gt;0</f>
        <v>1</v>
      </c>
      <c r="Y48" s="0" t="str">
        <f aca="false">IF(AND(D48=WF_END_PERIOD,COUNTIFS($B$5:$B$750,B48,$D$5:$D$750,WF_START_PERIOD)&gt;0),INDEX($E$5:$E$750,MATCH(B48&amp;"|"&amp;WF_START_PERIOD,$AC$5:$AC$750,0)),"")</f>
        <v/>
      </c>
      <c r="Z48" s="0" t="str">
        <f aca="false">IF(AND(D48=WF_END_PERIOD,R48),1+COUNTIFS($D$5:$D$750,WF_END_PERIOD,$E$5:$E$750,E48,$R$5:$R$750,TRUE(),$S$5:$S$750,"&gt;"&amp;S48)+COUNTIFS($D$5:$D$750,WF_END_PERIOD,$E$5:$E$750,E48,$R$5:$R$750,TRUE(),$S$5:$S$750,S48,$B$5:$B$750,"&lt;"&amp;B48),"")</f>
        <v/>
      </c>
      <c r="AA48" s="0" t="str">
        <f aca="false">IF(AND(D48=WF_END_PERIOD,R48,Z48&lt;&gt;1),1+COUNTIFS($D$5:$D$750,WF_END_PERIOD,$R$5:$R$750,TRUE(),$Z$5:$Z$750,"&lt;&gt;1",$S$5:$S$750,"&gt;"&amp;S48)+COUNTIFS($D$5:$D$750,WF_END_PERIOD,$R$5:$R$750,TRUE(),$Z$5:$Z$750,"&lt;&gt;1",$S$5:$S$750,S48,$B$5:$B$750,"&lt;"&amp;B48),"")</f>
        <v/>
      </c>
      <c r="AB48" s="11" t="b">
        <f aca="false">OR(D48=WF_START_PERIOD,D48=WF_END_PERIOD)</f>
        <v>0</v>
      </c>
      <c r="AC48" s="0" t="str">
        <f aca="false">B48&amp;"|"&amp;D48</f>
        <v>33418|20220331</v>
      </c>
    </row>
    <row r="49" customFormat="false" ht="15" hidden="false" customHeight="false" outlineLevel="0" collapsed="false">
      <c r="A49" s="0" t="n">
        <f aca="false">RawFinancials!A49</f>
        <v>46</v>
      </c>
      <c r="B49" s="0" t="n">
        <f aca="false">RawFinancials!C49</f>
        <v>4255</v>
      </c>
      <c r="C49" s="0" t="str">
        <f aca="false">RawFinancials!P49</f>
        <v>THE CAMDEN NATIONAL BANK</v>
      </c>
      <c r="D49" s="0" t="n">
        <f aca="false">RawFinancials!W49</f>
        <v>20220331</v>
      </c>
      <c r="E49" s="0" t="str">
        <f aca="false">RawFinancials!Z49</f>
        <v>ME</v>
      </c>
      <c r="F49" s="0" t="n">
        <f aca="false">RawFinancials!B49</f>
        <v>5406954</v>
      </c>
      <c r="G49" s="0" t="n">
        <f aca="false">RawFinancials!U49</f>
        <v>0</v>
      </c>
      <c r="H49" s="0" t="n">
        <f aca="false">RawFinancials!O49</f>
        <v>4452</v>
      </c>
      <c r="I49" s="0" t="n">
        <f aca="false">IF(AND(ISNUMBER(G49),ISNUMBER(H49)),G49+H49,"")</f>
        <v>4452</v>
      </c>
      <c r="J49" s="0" t="n">
        <f aca="false">RawFinancials!D49</f>
        <v>4617834</v>
      </c>
      <c r="K49" s="0" t="n">
        <f aca="false">RawFinancials!F49</f>
        <v>494704</v>
      </c>
      <c r="L49" s="0" t="n">
        <f aca="false">RawFinancials!L49</f>
        <v>3540923</v>
      </c>
      <c r="M49" s="0" t="n">
        <f aca="false">RawFinancials!N49</f>
        <v>3145490</v>
      </c>
      <c r="N49" s="13" t="n">
        <f aca="false">RawFinancials!X49</f>
        <v>1.27683285497104</v>
      </c>
      <c r="O49" s="13" t="n">
        <f aca="false">RawFinancials!V49</f>
        <v>13.5561410868159</v>
      </c>
      <c r="P49" s="13" t="n">
        <f aca="false">IF(AND(ISNUMBER(L49),L49&lt;&gt;0,ISNUMBER(M49)),100*M49/L49,"")</f>
        <v>88.832488026427</v>
      </c>
      <c r="Q49" s="13" t="n">
        <f aca="false">IF(AND(ISNUMBER(F49),F49&lt;&gt;0,ISNUMBER(K49)),100*K49/F49,"")</f>
        <v>9.14940278759538</v>
      </c>
      <c r="R49" s="11" t="b">
        <f aca="false">AND(ISNUMBER(F49),F49&gt;0,ISNUMBER(G49),G49&gt;=0,ISNUMBER(H49),H49&gt;=0)</f>
        <v>1</v>
      </c>
      <c r="S49" s="13" t="n">
        <f aca="false">IF(R49,100*I49/F49,"")</f>
        <v>0.0823384108686702</v>
      </c>
      <c r="T49" s="11" t="b">
        <f aca="false">NOT(AND(OR(AND(ISBLANK(RawFinancials!B49),ISBLANK(_RawBaseline!B46)),AND(ISNUMBER(RawFinancials!B49),ISNUMBER(_RawBaseline!B46),RawFinancials!B49=_RawBaseline!B46)),OR(AND(ISBLANK(RawFinancials!U49),ISBLANK(_RawBaseline!U46)),AND(ISNUMBER(RawFinancials!U49),ISNUMBER(_RawBaseline!U46),RawFinancials!U49=_RawBaseline!U46)),OR(AND(ISBLANK(RawFinancials!O49),ISBLANK(_RawBaseline!O46)),AND(ISNUMBER(RawFinancials!O49),ISNUMBER(_RawBaseline!O46),RawFinancials!O49=_RawBaseline!O46))))</f>
        <v>0</v>
      </c>
      <c r="U49" s="13" t="n">
        <f aca="false">IF(AND(D49=WF_START_PERIOD,R49,COUNTIFS($B$5:$B$750,B49,$D$5:$D$750,WF_END_PERIOD,$R$5:$R$750,TRUE())&gt;0),SUMIFS($S$5:$S$750,$B$5:$B$750,B49,$D$5:$D$750,WF_END_PERIOD,$R$5:$R$750,TRUE()),0)</f>
        <v>0</v>
      </c>
      <c r="V49" s="0" t="str">
        <f aca="false">IF(AND(D49=WF_START_PERIOD,COUNTIFS($B$5:$B$750,B49,$D$5:$D$750,WF_END_PERIOD)&gt;0),INDEX($E$5:$E$750,MATCH(B49&amp;"|"&amp;WF_END_PERIOD,$AC$5:$AC$750,0)),"")</f>
        <v/>
      </c>
      <c r="W49" s="11" t="b">
        <f aca="false">COUNTIFS($B$5:$B$750,B49,$D$5:$D$750,WF_START_PERIOD,$R$5:$R$750,TRUE())&gt;0</f>
        <v>1</v>
      </c>
      <c r="X49" s="11" t="b">
        <f aca="false">COUNTIFS($B$5:$B$750,B49,$D$5:$D$750,WF_END_PERIOD,$R$5:$R$750,TRUE())&gt;0</f>
        <v>1</v>
      </c>
      <c r="Y49" s="0" t="str">
        <f aca="false">IF(AND(D49=WF_END_PERIOD,COUNTIFS($B$5:$B$750,B49,$D$5:$D$750,WF_START_PERIOD)&gt;0),INDEX($E$5:$E$750,MATCH(B49&amp;"|"&amp;WF_START_PERIOD,$AC$5:$AC$750,0)),"")</f>
        <v/>
      </c>
      <c r="Z49" s="0" t="str">
        <f aca="false">IF(AND(D49=WF_END_PERIOD,R49),1+COUNTIFS($D$5:$D$750,WF_END_PERIOD,$E$5:$E$750,E49,$R$5:$R$750,TRUE(),$S$5:$S$750,"&gt;"&amp;S49)+COUNTIFS($D$5:$D$750,WF_END_PERIOD,$E$5:$E$750,E49,$R$5:$R$750,TRUE(),$S$5:$S$750,S49,$B$5:$B$750,"&lt;"&amp;B49),"")</f>
        <v/>
      </c>
      <c r="AA49" s="0" t="str">
        <f aca="false">IF(AND(D49=WF_END_PERIOD,R49,Z49&lt;&gt;1),1+COUNTIFS($D$5:$D$750,WF_END_PERIOD,$R$5:$R$750,TRUE(),$Z$5:$Z$750,"&lt;&gt;1",$S$5:$S$750,"&gt;"&amp;S49)+COUNTIFS($D$5:$D$750,WF_END_PERIOD,$R$5:$R$750,TRUE(),$Z$5:$Z$750,"&lt;&gt;1",$S$5:$S$750,S49,$B$5:$B$750,"&lt;"&amp;B49),"")</f>
        <v/>
      </c>
      <c r="AB49" s="11" t="b">
        <f aca="false">OR(D49=WF_START_PERIOD,D49=WF_END_PERIOD)</f>
        <v>0</v>
      </c>
      <c r="AC49" s="0" t="str">
        <f aca="false">B49&amp;"|"&amp;D49</f>
        <v>4255|20220331</v>
      </c>
    </row>
    <row r="50" customFormat="false" ht="15" hidden="false" customHeight="false" outlineLevel="0" collapsed="false">
      <c r="A50" s="0" t="n">
        <f aca="false">RawFinancials!A50</f>
        <v>47</v>
      </c>
      <c r="B50" s="0" t="n">
        <f aca="false">RawFinancials!C50</f>
        <v>4256</v>
      </c>
      <c r="C50" s="0" t="str">
        <f aca="false">RawFinancials!P50</f>
        <v>FIRST NATIONAL BANK</v>
      </c>
      <c r="D50" s="0" t="n">
        <f aca="false">RawFinancials!W50</f>
        <v>20220331</v>
      </c>
      <c r="E50" s="0" t="str">
        <f aca="false">RawFinancials!Z50</f>
        <v>ME</v>
      </c>
      <c r="F50" s="0" t="n">
        <f aca="false">RawFinancials!B50</f>
        <v>2514032</v>
      </c>
      <c r="G50" s="0" t="n">
        <f aca="false">RawFinancials!U50</f>
        <v>46</v>
      </c>
      <c r="H50" s="0" t="n">
        <f aca="false">RawFinancials!O50</f>
        <v>5049</v>
      </c>
      <c r="I50" s="0" t="n">
        <f aca="false">IF(AND(ISNUMBER(G50),ISNUMBER(H50)),G50+H50,"")</f>
        <v>5095</v>
      </c>
      <c r="J50" s="0" t="n">
        <f aca="false">RawFinancials!D50</f>
        <v>2159436</v>
      </c>
      <c r="K50" s="0" t="n">
        <f aca="false">RawFinancials!F50</f>
        <v>204756</v>
      </c>
      <c r="L50" s="0" t="n">
        <f aca="false">RawFinancials!L50</f>
        <v>1707748</v>
      </c>
      <c r="M50" s="0" t="n">
        <f aca="false">RawFinancials!N50</f>
        <v>1367138</v>
      </c>
      <c r="N50" s="13" t="n">
        <f aca="false">RawFinancials!X50</f>
        <v>1.58060734186442</v>
      </c>
      <c r="O50" s="13" t="n">
        <f aca="false">RawFinancials!V50</f>
        <v>14.0050565438216</v>
      </c>
      <c r="P50" s="13" t="n">
        <f aca="false">IF(AND(ISNUMBER(L50),L50&lt;&gt;0,ISNUMBER(M50)),100*M50/L50,"")</f>
        <v>80.0550198272813</v>
      </c>
      <c r="Q50" s="13" t="n">
        <f aca="false">IF(AND(ISNUMBER(F50),F50&lt;&gt;0,ISNUMBER(K50)),100*K50/F50,"")</f>
        <v>8.14452640220968</v>
      </c>
      <c r="R50" s="11" t="b">
        <f aca="false">AND(ISNUMBER(F50),F50&gt;0,ISNUMBER(G50),G50&gt;=0,ISNUMBER(H50),H50&gt;=0)</f>
        <v>1</v>
      </c>
      <c r="S50" s="13" t="n">
        <f aca="false">IF(R50,100*I50/F50,"")</f>
        <v>0.202662495942772</v>
      </c>
      <c r="T50" s="11" t="b">
        <f aca="false">NOT(AND(OR(AND(ISBLANK(RawFinancials!B50),ISBLANK(_RawBaseline!B47)),AND(ISNUMBER(RawFinancials!B50),ISNUMBER(_RawBaseline!B47),RawFinancials!B50=_RawBaseline!B47)),OR(AND(ISBLANK(RawFinancials!U50),ISBLANK(_RawBaseline!U47)),AND(ISNUMBER(RawFinancials!U50),ISNUMBER(_RawBaseline!U47),RawFinancials!U50=_RawBaseline!U47)),OR(AND(ISBLANK(RawFinancials!O50),ISBLANK(_RawBaseline!O47)),AND(ISNUMBER(RawFinancials!O50),ISNUMBER(_RawBaseline!O47),RawFinancials!O50=_RawBaseline!O47))))</f>
        <v>0</v>
      </c>
      <c r="U50" s="13" t="n">
        <f aca="false">IF(AND(D50=WF_START_PERIOD,R50,COUNTIFS($B$5:$B$750,B50,$D$5:$D$750,WF_END_PERIOD,$R$5:$R$750,TRUE())&gt;0),SUMIFS($S$5:$S$750,$B$5:$B$750,B50,$D$5:$D$750,WF_END_PERIOD,$R$5:$R$750,TRUE()),0)</f>
        <v>0</v>
      </c>
      <c r="V50" s="0" t="str">
        <f aca="false">IF(AND(D50=WF_START_PERIOD,COUNTIFS($B$5:$B$750,B50,$D$5:$D$750,WF_END_PERIOD)&gt;0),INDEX($E$5:$E$750,MATCH(B50&amp;"|"&amp;WF_END_PERIOD,$AC$5:$AC$750,0)),"")</f>
        <v/>
      </c>
      <c r="W50" s="11" t="b">
        <f aca="false">COUNTIFS($B$5:$B$750,B50,$D$5:$D$750,WF_START_PERIOD,$R$5:$R$750,TRUE())&gt;0</f>
        <v>1</v>
      </c>
      <c r="X50" s="11" t="b">
        <f aca="false">COUNTIFS($B$5:$B$750,B50,$D$5:$D$750,WF_END_PERIOD,$R$5:$R$750,TRUE())&gt;0</f>
        <v>1</v>
      </c>
      <c r="Y50" s="0" t="str">
        <f aca="false">IF(AND(D50=WF_END_PERIOD,COUNTIFS($B$5:$B$750,B50,$D$5:$D$750,WF_START_PERIOD)&gt;0),INDEX($E$5:$E$750,MATCH(B50&amp;"|"&amp;WF_START_PERIOD,$AC$5:$AC$750,0)),"")</f>
        <v/>
      </c>
      <c r="Z50" s="0" t="str">
        <f aca="false">IF(AND(D50=WF_END_PERIOD,R50),1+COUNTIFS($D$5:$D$750,WF_END_PERIOD,$E$5:$E$750,E50,$R$5:$R$750,TRUE(),$S$5:$S$750,"&gt;"&amp;S50)+COUNTIFS($D$5:$D$750,WF_END_PERIOD,$E$5:$E$750,E50,$R$5:$R$750,TRUE(),$S$5:$S$750,S50,$B$5:$B$750,"&lt;"&amp;B50),"")</f>
        <v/>
      </c>
      <c r="AA50" s="0" t="str">
        <f aca="false">IF(AND(D50=WF_END_PERIOD,R50,Z50&lt;&gt;1),1+COUNTIFS($D$5:$D$750,WF_END_PERIOD,$R$5:$R$750,TRUE(),$Z$5:$Z$750,"&lt;&gt;1",$S$5:$S$750,"&gt;"&amp;S50)+COUNTIFS($D$5:$D$750,WF_END_PERIOD,$R$5:$R$750,TRUE(),$Z$5:$Z$750,"&lt;&gt;1",$S$5:$S$750,S50,$B$5:$B$750,"&lt;"&amp;B50),"")</f>
        <v/>
      </c>
      <c r="AB50" s="11" t="b">
        <f aca="false">OR(D50=WF_START_PERIOD,D50=WF_END_PERIOD)</f>
        <v>0</v>
      </c>
      <c r="AC50" s="0" t="str">
        <f aca="false">B50&amp;"|"&amp;D50</f>
        <v>4256|20220331</v>
      </c>
    </row>
    <row r="51" customFormat="false" ht="15" hidden="false" customHeight="false" outlineLevel="0" collapsed="false">
      <c r="A51" s="0" t="n">
        <f aca="false">RawFinancials!A51</f>
        <v>48</v>
      </c>
      <c r="B51" s="0" t="n">
        <f aca="false">RawFinancials!C51</f>
        <v>59086</v>
      </c>
      <c r="C51" s="0" t="str">
        <f aca="false">RawFinancials!P51</f>
        <v>PRIMARY BANK</v>
      </c>
      <c r="D51" s="0" t="n">
        <f aca="false">RawFinancials!W51</f>
        <v>20220331</v>
      </c>
      <c r="E51" s="0" t="str">
        <f aca="false">RawFinancials!Z51</f>
        <v>NH</v>
      </c>
      <c r="F51" s="0" t="n">
        <f aca="false">RawFinancials!B51</f>
        <v>702304</v>
      </c>
      <c r="G51" s="0" t="n">
        <f aca="false">RawFinancials!U51</f>
        <v>341</v>
      </c>
      <c r="H51" s="0" t="n">
        <f aca="false">RawFinancials!O51</f>
        <v>2111</v>
      </c>
      <c r="I51" s="0" t="n">
        <f aca="false">IF(AND(ISNUMBER(G51),ISNUMBER(H51)),G51+H51,"")</f>
        <v>2452</v>
      </c>
      <c r="J51" s="0" t="n">
        <f aca="false">RawFinancials!D51</f>
        <v>631646</v>
      </c>
      <c r="K51" s="0" t="n">
        <f aca="false">RawFinancials!F51</f>
        <v>66816</v>
      </c>
      <c r="L51" s="0" t="n">
        <f aca="false">RawFinancials!L51</f>
        <v>518583</v>
      </c>
      <c r="M51" s="0" t="n">
        <f aca="false">RawFinancials!N51</f>
        <v>404171</v>
      </c>
      <c r="N51" s="13" t="n">
        <f aca="false">RawFinancials!X51</f>
        <v>1.1291386821763</v>
      </c>
      <c r="O51" s="13" t="n">
        <f aca="false">RawFinancials!V51</f>
        <v>13.608114424605</v>
      </c>
      <c r="P51" s="13" t="n">
        <f aca="false">IF(AND(ISNUMBER(L51),L51&lt;&gt;0,ISNUMBER(M51)),100*M51/L51,"")</f>
        <v>77.9375721919153</v>
      </c>
      <c r="Q51" s="13" t="n">
        <f aca="false">IF(AND(ISNUMBER(F51),F51&lt;&gt;0,ISNUMBER(K51)),100*K51/F51,"")</f>
        <v>9.51382876930788</v>
      </c>
      <c r="R51" s="11" t="b">
        <f aca="false">AND(ISNUMBER(F51),F51&gt;0,ISNUMBER(G51),G51&gt;=0,ISNUMBER(H51),H51&gt;=0)</f>
        <v>1</v>
      </c>
      <c r="S51" s="13" t="n">
        <f aca="false">IF(R51,100*I51/F51,"")</f>
        <v>0.349136556249146</v>
      </c>
      <c r="T51" s="11" t="b">
        <f aca="false">NOT(AND(OR(AND(ISBLANK(RawFinancials!B51),ISBLANK(_RawBaseline!B48)),AND(ISNUMBER(RawFinancials!B51),ISNUMBER(_RawBaseline!B48),RawFinancials!B51=_RawBaseline!B48)),OR(AND(ISBLANK(RawFinancials!U51),ISBLANK(_RawBaseline!U48)),AND(ISNUMBER(RawFinancials!U51),ISNUMBER(_RawBaseline!U48),RawFinancials!U51=_RawBaseline!U48)),OR(AND(ISBLANK(RawFinancials!O51),ISBLANK(_RawBaseline!O48)),AND(ISNUMBER(RawFinancials!O51),ISNUMBER(_RawBaseline!O48),RawFinancials!O51=_RawBaseline!O48))))</f>
        <v>0</v>
      </c>
      <c r="U51" s="13" t="n">
        <f aca="false">IF(AND(D51=WF_START_PERIOD,R51,COUNTIFS($B$5:$B$750,B51,$D$5:$D$750,WF_END_PERIOD,$R$5:$R$750,TRUE())&gt;0),SUMIFS($S$5:$S$750,$B$5:$B$750,B51,$D$5:$D$750,WF_END_PERIOD,$R$5:$R$750,TRUE()),0)</f>
        <v>0</v>
      </c>
      <c r="V51" s="0" t="str">
        <f aca="false">IF(AND(D51=WF_START_PERIOD,COUNTIFS($B$5:$B$750,B51,$D$5:$D$750,WF_END_PERIOD)&gt;0),INDEX($E$5:$E$750,MATCH(B51&amp;"|"&amp;WF_END_PERIOD,$AC$5:$AC$750,0)),"")</f>
        <v/>
      </c>
      <c r="W51" s="11" t="b">
        <f aca="false">COUNTIFS($B$5:$B$750,B51,$D$5:$D$750,WF_START_PERIOD,$R$5:$R$750,TRUE())&gt;0</f>
        <v>1</v>
      </c>
      <c r="X51" s="11" t="b">
        <f aca="false">COUNTIFS($B$5:$B$750,B51,$D$5:$D$750,WF_END_PERIOD,$R$5:$R$750,TRUE())&gt;0</f>
        <v>1</v>
      </c>
      <c r="Y51" s="0" t="str">
        <f aca="false">IF(AND(D51=WF_END_PERIOD,COUNTIFS($B$5:$B$750,B51,$D$5:$D$750,WF_START_PERIOD)&gt;0),INDEX($E$5:$E$750,MATCH(B51&amp;"|"&amp;WF_START_PERIOD,$AC$5:$AC$750,0)),"")</f>
        <v/>
      </c>
      <c r="Z51" s="0" t="str">
        <f aca="false">IF(AND(D51=WF_END_PERIOD,R51),1+COUNTIFS($D$5:$D$750,WF_END_PERIOD,$E$5:$E$750,E51,$R$5:$R$750,TRUE(),$S$5:$S$750,"&gt;"&amp;S51)+COUNTIFS($D$5:$D$750,WF_END_PERIOD,$E$5:$E$750,E51,$R$5:$R$750,TRUE(),$S$5:$S$750,S51,$B$5:$B$750,"&lt;"&amp;B51),"")</f>
        <v/>
      </c>
      <c r="AA51" s="0" t="str">
        <f aca="false">IF(AND(D51=WF_END_PERIOD,R51,Z51&lt;&gt;1),1+COUNTIFS($D$5:$D$750,WF_END_PERIOD,$R$5:$R$750,TRUE(),$Z$5:$Z$750,"&lt;&gt;1",$S$5:$S$750,"&gt;"&amp;S51)+COUNTIFS($D$5:$D$750,WF_END_PERIOD,$R$5:$R$750,TRUE(),$Z$5:$Z$750,"&lt;&gt;1",$S$5:$S$750,S51,$B$5:$B$750,"&lt;"&amp;B51),"")</f>
        <v/>
      </c>
      <c r="AB51" s="11" t="b">
        <f aca="false">OR(D51=WF_START_PERIOD,D51=WF_END_PERIOD)</f>
        <v>0</v>
      </c>
      <c r="AC51" s="0" t="str">
        <f aca="false">B51&amp;"|"&amp;D51</f>
        <v>59086|20220331</v>
      </c>
    </row>
    <row r="52" customFormat="false" ht="15" hidden="false" customHeight="false" outlineLevel="0" collapsed="false">
      <c r="A52" s="0" t="n">
        <f aca="false">RawFinancials!A52</f>
        <v>49</v>
      </c>
      <c r="B52" s="0" t="n">
        <f aca="false">RawFinancials!C52</f>
        <v>59176</v>
      </c>
      <c r="C52" s="0" t="str">
        <f aca="false">RawFinancials!P52</f>
        <v>THE MILLYARD BANK</v>
      </c>
      <c r="D52" s="0" t="n">
        <f aca="false">RawFinancials!W52</f>
        <v>20220331</v>
      </c>
      <c r="E52" s="0" t="str">
        <f aca="false">RawFinancials!Z52</f>
        <v>NH</v>
      </c>
      <c r="F52" s="0" t="n">
        <f aca="false">RawFinancials!B52</f>
        <v>146747</v>
      </c>
      <c r="G52" s="0" t="n">
        <f aca="false">RawFinancials!U52</f>
        <v>0</v>
      </c>
      <c r="H52" s="0" t="n">
        <f aca="false">RawFinancials!O52</f>
        <v>42</v>
      </c>
      <c r="I52" s="0" t="n">
        <f aca="false">IF(AND(ISNUMBER(G52),ISNUMBER(H52)),G52+H52,"")</f>
        <v>42</v>
      </c>
      <c r="J52" s="0" t="n">
        <f aca="false">RawFinancials!D52</f>
        <v>124821</v>
      </c>
      <c r="K52" s="0" t="n">
        <f aca="false">RawFinancials!F52</f>
        <v>21476</v>
      </c>
      <c r="L52" s="0" t="n">
        <f aca="false">RawFinancials!L52</f>
        <v>112552</v>
      </c>
      <c r="M52" s="0" t="n">
        <f aca="false">RawFinancials!N52</f>
        <v>97793</v>
      </c>
      <c r="N52" s="13" t="n">
        <f aca="false">RawFinancials!X52</f>
        <v>0.0319579317407631</v>
      </c>
      <c r="O52" s="13" t="n">
        <f aca="false">RawFinancials!V52</f>
        <v>19.8448295690792</v>
      </c>
      <c r="P52" s="13" t="n">
        <f aca="false">IF(AND(ISNUMBER(L52),L52&lt;&gt;0,ISNUMBER(M52)),100*M52/L52,"")</f>
        <v>86.8869500319852</v>
      </c>
      <c r="Q52" s="13" t="n">
        <f aca="false">IF(AND(ISNUMBER(F52),F52&lt;&gt;0,ISNUMBER(K52)),100*K52/F52,"")</f>
        <v>14.6347114421419</v>
      </c>
      <c r="R52" s="11" t="b">
        <f aca="false">AND(ISNUMBER(F52),F52&gt;0,ISNUMBER(G52),G52&gt;=0,ISNUMBER(H52),H52&gt;=0)</f>
        <v>1</v>
      </c>
      <c r="S52" s="13" t="n">
        <f aca="false">IF(R52,100*I52/F52,"")</f>
        <v>0.0286206873053623</v>
      </c>
      <c r="T52" s="11" t="b">
        <f aca="false">NOT(AND(OR(AND(ISBLANK(RawFinancials!B52),ISBLANK(_RawBaseline!B49)),AND(ISNUMBER(RawFinancials!B52),ISNUMBER(_RawBaseline!B49),RawFinancials!B52=_RawBaseline!B49)),OR(AND(ISBLANK(RawFinancials!U52),ISBLANK(_RawBaseline!U49)),AND(ISNUMBER(RawFinancials!U52),ISNUMBER(_RawBaseline!U49),RawFinancials!U52=_RawBaseline!U49)),OR(AND(ISBLANK(RawFinancials!O52),ISBLANK(_RawBaseline!O49)),AND(ISNUMBER(RawFinancials!O52),ISNUMBER(_RawBaseline!O49),RawFinancials!O52=_RawBaseline!O49))))</f>
        <v>0</v>
      </c>
      <c r="U52" s="13" t="n">
        <f aca="false">IF(AND(D52=WF_START_PERIOD,R52,COUNTIFS($B$5:$B$750,B52,$D$5:$D$750,WF_END_PERIOD,$R$5:$R$750,TRUE())&gt;0),SUMIFS($S$5:$S$750,$B$5:$B$750,B52,$D$5:$D$750,WF_END_PERIOD,$R$5:$R$750,TRUE()),0)</f>
        <v>0</v>
      </c>
      <c r="V52" s="0" t="str">
        <f aca="false">IF(AND(D52=WF_START_PERIOD,COUNTIFS($B$5:$B$750,B52,$D$5:$D$750,WF_END_PERIOD)&gt;0),INDEX($E$5:$E$750,MATCH(B52&amp;"|"&amp;WF_END_PERIOD,$AC$5:$AC$750,0)),"")</f>
        <v/>
      </c>
      <c r="W52" s="11" t="b">
        <f aca="false">COUNTIFS($B$5:$B$750,B52,$D$5:$D$750,WF_START_PERIOD,$R$5:$R$750,TRUE())&gt;0</f>
        <v>1</v>
      </c>
      <c r="X52" s="11" t="b">
        <f aca="false">COUNTIFS($B$5:$B$750,B52,$D$5:$D$750,WF_END_PERIOD,$R$5:$R$750,TRUE())&gt;0</f>
        <v>1</v>
      </c>
      <c r="Y52" s="0" t="str">
        <f aca="false">IF(AND(D52=WF_END_PERIOD,COUNTIFS($B$5:$B$750,B52,$D$5:$D$750,WF_START_PERIOD)&gt;0),INDEX($E$5:$E$750,MATCH(B52&amp;"|"&amp;WF_START_PERIOD,$AC$5:$AC$750,0)),"")</f>
        <v/>
      </c>
      <c r="Z52" s="0" t="str">
        <f aca="false">IF(AND(D52=WF_END_PERIOD,R52),1+COUNTIFS($D$5:$D$750,WF_END_PERIOD,$E$5:$E$750,E52,$R$5:$R$750,TRUE(),$S$5:$S$750,"&gt;"&amp;S52)+COUNTIFS($D$5:$D$750,WF_END_PERIOD,$E$5:$E$750,E52,$R$5:$R$750,TRUE(),$S$5:$S$750,S52,$B$5:$B$750,"&lt;"&amp;B52),"")</f>
        <v/>
      </c>
      <c r="AA52" s="0" t="str">
        <f aca="false">IF(AND(D52=WF_END_PERIOD,R52,Z52&lt;&gt;1),1+COUNTIFS($D$5:$D$750,WF_END_PERIOD,$R$5:$R$750,TRUE(),$Z$5:$Z$750,"&lt;&gt;1",$S$5:$S$750,"&gt;"&amp;S52)+COUNTIFS($D$5:$D$750,WF_END_PERIOD,$R$5:$R$750,TRUE(),$Z$5:$Z$750,"&lt;&gt;1",$S$5:$S$750,S52,$B$5:$B$750,"&lt;"&amp;B52),"")</f>
        <v/>
      </c>
      <c r="AB52" s="11" t="b">
        <f aca="false">OR(D52=WF_START_PERIOD,D52=WF_END_PERIOD)</f>
        <v>0</v>
      </c>
      <c r="AC52" s="0" t="str">
        <f aca="false">B52&amp;"|"&amp;D52</f>
        <v>59176|20220331</v>
      </c>
    </row>
    <row r="53" customFormat="false" ht="15" hidden="false" customHeight="false" outlineLevel="0" collapsed="false">
      <c r="A53" s="0" t="n">
        <f aca="false">RawFinancials!A53</f>
        <v>50</v>
      </c>
      <c r="B53" s="0" t="n">
        <f aca="false">RawFinancials!C53</f>
        <v>6271</v>
      </c>
      <c r="C53" s="0" t="str">
        <f aca="false">RawFinancials!P53</f>
        <v>COMMUNITY NATIONAL BANK</v>
      </c>
      <c r="D53" s="0" t="n">
        <f aca="false">RawFinancials!W53</f>
        <v>20220331</v>
      </c>
      <c r="E53" s="0" t="str">
        <f aca="false">RawFinancials!Z53</f>
        <v>VT</v>
      </c>
      <c r="F53" s="0" t="n">
        <f aca="false">RawFinancials!B53</f>
        <v>1004765</v>
      </c>
      <c r="G53" s="0" t="n">
        <f aca="false">RawFinancials!U53</f>
        <v>654</v>
      </c>
      <c r="H53" s="0" t="n">
        <f aca="false">RawFinancials!O53</f>
        <v>5415</v>
      </c>
      <c r="I53" s="0" t="n">
        <f aca="false">IF(AND(ISNUMBER(G53),ISNUMBER(H53)),G53+H53,"")</f>
        <v>6069</v>
      </c>
      <c r="J53" s="0" t="n">
        <f aca="false">RawFinancials!D53</f>
        <v>878431</v>
      </c>
      <c r="K53" s="0" t="n">
        <f aca="false">RawFinancials!F53</f>
        <v>89733</v>
      </c>
      <c r="L53" s="0" t="n">
        <f aca="false">RawFinancials!L53</f>
        <v>696813</v>
      </c>
      <c r="M53" s="0" t="n">
        <f aca="false">RawFinancials!N53</f>
        <v>523731</v>
      </c>
      <c r="N53" s="13" t="n">
        <f aca="false">RawFinancials!X53</f>
        <v>1.00825483937611</v>
      </c>
      <c r="O53" s="13" t="n">
        <f aca="false">RawFinancials!V53</f>
        <v>15.2204500210179</v>
      </c>
      <c r="P53" s="13" t="n">
        <f aca="false">IF(AND(ISNUMBER(L53),L53&lt;&gt;0,ISNUMBER(M53)),100*M53/L53,"")</f>
        <v>75.1609111770303</v>
      </c>
      <c r="Q53" s="13" t="n">
        <f aca="false">IF(AND(ISNUMBER(F53),F53&lt;&gt;0,ISNUMBER(K53)),100*K53/F53,"")</f>
        <v>8.93074500007464</v>
      </c>
      <c r="R53" s="11" t="b">
        <f aca="false">AND(ISNUMBER(F53),F53&gt;0,ISNUMBER(G53),G53&gt;=0,ISNUMBER(H53),H53&gt;=0)</f>
        <v>1</v>
      </c>
      <c r="S53" s="13" t="n">
        <f aca="false">IF(R53,100*I53/F53,"")</f>
        <v>0.60402183595169</v>
      </c>
      <c r="T53" s="11" t="b">
        <f aca="false">NOT(AND(OR(AND(ISBLANK(RawFinancials!B53),ISBLANK(_RawBaseline!B50)),AND(ISNUMBER(RawFinancials!B53),ISNUMBER(_RawBaseline!B50),RawFinancials!B53=_RawBaseline!B50)),OR(AND(ISBLANK(RawFinancials!U53),ISBLANK(_RawBaseline!U50)),AND(ISNUMBER(RawFinancials!U53),ISNUMBER(_RawBaseline!U50),RawFinancials!U53=_RawBaseline!U50)),OR(AND(ISBLANK(RawFinancials!O53),ISBLANK(_RawBaseline!O50)),AND(ISNUMBER(RawFinancials!O53),ISNUMBER(_RawBaseline!O50),RawFinancials!O53=_RawBaseline!O50))))</f>
        <v>0</v>
      </c>
      <c r="U53" s="13" t="n">
        <f aca="false">IF(AND(D53=WF_START_PERIOD,R53,COUNTIFS($B$5:$B$750,B53,$D$5:$D$750,WF_END_PERIOD,$R$5:$R$750,TRUE())&gt;0),SUMIFS($S$5:$S$750,$B$5:$B$750,B53,$D$5:$D$750,WF_END_PERIOD,$R$5:$R$750,TRUE()),0)</f>
        <v>0</v>
      </c>
      <c r="V53" s="0" t="str">
        <f aca="false">IF(AND(D53=WF_START_PERIOD,COUNTIFS($B$5:$B$750,B53,$D$5:$D$750,WF_END_PERIOD)&gt;0),INDEX($E$5:$E$750,MATCH(B53&amp;"|"&amp;WF_END_PERIOD,$AC$5:$AC$750,0)),"")</f>
        <v/>
      </c>
      <c r="W53" s="11" t="b">
        <f aca="false">COUNTIFS($B$5:$B$750,B53,$D$5:$D$750,WF_START_PERIOD,$R$5:$R$750,TRUE())&gt;0</f>
        <v>1</v>
      </c>
      <c r="X53" s="11" t="b">
        <f aca="false">COUNTIFS($B$5:$B$750,B53,$D$5:$D$750,WF_END_PERIOD,$R$5:$R$750,TRUE())&gt;0</f>
        <v>1</v>
      </c>
      <c r="Y53" s="0" t="str">
        <f aca="false">IF(AND(D53=WF_END_PERIOD,COUNTIFS($B$5:$B$750,B53,$D$5:$D$750,WF_START_PERIOD)&gt;0),INDEX($E$5:$E$750,MATCH(B53&amp;"|"&amp;WF_START_PERIOD,$AC$5:$AC$750,0)),"")</f>
        <v/>
      </c>
      <c r="Z53" s="0" t="str">
        <f aca="false">IF(AND(D53=WF_END_PERIOD,R53),1+COUNTIFS($D$5:$D$750,WF_END_PERIOD,$E$5:$E$750,E53,$R$5:$R$750,TRUE(),$S$5:$S$750,"&gt;"&amp;S53)+COUNTIFS($D$5:$D$750,WF_END_PERIOD,$E$5:$E$750,E53,$R$5:$R$750,TRUE(),$S$5:$S$750,S53,$B$5:$B$750,"&lt;"&amp;B53),"")</f>
        <v/>
      </c>
      <c r="AA53" s="0" t="str">
        <f aca="false">IF(AND(D53=WF_END_PERIOD,R53,Z53&lt;&gt;1),1+COUNTIFS($D$5:$D$750,WF_END_PERIOD,$R$5:$R$750,TRUE(),$Z$5:$Z$750,"&lt;&gt;1",$S$5:$S$750,"&gt;"&amp;S53)+COUNTIFS($D$5:$D$750,WF_END_PERIOD,$R$5:$R$750,TRUE(),$Z$5:$Z$750,"&lt;&gt;1",$S$5:$S$750,S53,$B$5:$B$750,"&lt;"&amp;B53),"")</f>
        <v/>
      </c>
      <c r="AB53" s="11" t="b">
        <f aca="false">OR(D53=WF_START_PERIOD,D53=WF_END_PERIOD)</f>
        <v>0</v>
      </c>
      <c r="AC53" s="0" t="str">
        <f aca="false">B53&amp;"|"&amp;D53</f>
        <v>6271|20220331</v>
      </c>
    </row>
    <row r="54" customFormat="false" ht="15" hidden="false" customHeight="false" outlineLevel="0" collapsed="false">
      <c r="A54" s="0" t="n">
        <f aca="false">RawFinancials!A54</f>
        <v>51</v>
      </c>
      <c r="B54" s="0" t="n">
        <f aca="false">RawFinancials!C54</f>
        <v>6275</v>
      </c>
      <c r="C54" s="0" t="str">
        <f aca="false">RawFinancials!P54</f>
        <v>THE NATIONAL BANK OF MIDDLEBURY</v>
      </c>
      <c r="D54" s="0" t="n">
        <f aca="false">RawFinancials!W54</f>
        <v>20220331</v>
      </c>
      <c r="E54" s="0" t="str">
        <f aca="false">RawFinancials!Z54</f>
        <v>VT</v>
      </c>
      <c r="F54" s="0" t="n">
        <f aca="false">RawFinancials!B54</f>
        <v>531651</v>
      </c>
      <c r="G54" s="0" t="n">
        <f aca="false">RawFinancials!U54</f>
        <v>242</v>
      </c>
      <c r="H54" s="0" t="n">
        <f aca="false">RawFinancials!O54</f>
        <v>1559</v>
      </c>
      <c r="I54" s="0" t="n">
        <f aca="false">IF(AND(ISNUMBER(G54),ISNUMBER(H54)),G54+H54,"")</f>
        <v>1801</v>
      </c>
      <c r="J54" s="0" t="n">
        <f aca="false">RawFinancials!D54</f>
        <v>472420</v>
      </c>
      <c r="K54" s="0" t="n">
        <f aca="false">RawFinancials!F54</f>
        <v>32835</v>
      </c>
      <c r="L54" s="0" t="n">
        <f aca="false">RawFinancials!L54</f>
        <v>284192</v>
      </c>
      <c r="M54" s="0" t="n">
        <f aca="false">RawFinancials!N54</f>
        <v>237696</v>
      </c>
      <c r="N54" s="13" t="n">
        <f aca="false">RawFinancials!X54</f>
        <v>0.470223643178008</v>
      </c>
      <c r="O54" s="13" t="n">
        <f aca="false">RawFinancials!V54</f>
        <v>16.2466459160674</v>
      </c>
      <c r="P54" s="13" t="n">
        <f aca="false">IF(AND(ISNUMBER(L54),L54&lt;&gt;0,ISNUMBER(M54)),100*M54/L54,"")</f>
        <v>83.6392298164621</v>
      </c>
      <c r="Q54" s="13" t="n">
        <f aca="false">IF(AND(ISNUMBER(F54),F54&lt;&gt;0,ISNUMBER(K54)),100*K54/F54,"")</f>
        <v>6.17604405897854</v>
      </c>
      <c r="R54" s="11" t="b">
        <f aca="false">AND(ISNUMBER(F54),F54&gt;0,ISNUMBER(G54),G54&gt;=0,ISNUMBER(H54),H54&gt;=0)</f>
        <v>1</v>
      </c>
      <c r="S54" s="13" t="n">
        <f aca="false">IF(R54,100*I54/F54,"")</f>
        <v>0.338756063658302</v>
      </c>
      <c r="T54" s="11" t="b">
        <f aca="false">NOT(AND(OR(AND(ISBLANK(RawFinancials!B54),ISBLANK(_RawBaseline!B51)),AND(ISNUMBER(RawFinancials!B54),ISNUMBER(_RawBaseline!B51),RawFinancials!B54=_RawBaseline!B51)),OR(AND(ISBLANK(RawFinancials!U54),ISBLANK(_RawBaseline!U51)),AND(ISNUMBER(RawFinancials!U54),ISNUMBER(_RawBaseline!U51),RawFinancials!U54=_RawBaseline!U51)),OR(AND(ISBLANK(RawFinancials!O54),ISBLANK(_RawBaseline!O51)),AND(ISNUMBER(RawFinancials!O54),ISNUMBER(_RawBaseline!O51),RawFinancials!O54=_RawBaseline!O51))))</f>
        <v>0</v>
      </c>
      <c r="U54" s="13" t="n">
        <f aca="false">IF(AND(D54=WF_START_PERIOD,R54,COUNTIFS($B$5:$B$750,B54,$D$5:$D$750,WF_END_PERIOD,$R$5:$R$750,TRUE())&gt;0),SUMIFS($S$5:$S$750,$B$5:$B$750,B54,$D$5:$D$750,WF_END_PERIOD,$R$5:$R$750,TRUE()),0)</f>
        <v>0</v>
      </c>
      <c r="V54" s="0" t="str">
        <f aca="false">IF(AND(D54=WF_START_PERIOD,COUNTIFS($B$5:$B$750,B54,$D$5:$D$750,WF_END_PERIOD)&gt;0),INDEX($E$5:$E$750,MATCH(B54&amp;"|"&amp;WF_END_PERIOD,$AC$5:$AC$750,0)),"")</f>
        <v/>
      </c>
      <c r="W54" s="11" t="b">
        <f aca="false">COUNTIFS($B$5:$B$750,B54,$D$5:$D$750,WF_START_PERIOD,$R$5:$R$750,TRUE())&gt;0</f>
        <v>1</v>
      </c>
      <c r="X54" s="11" t="b">
        <f aca="false">COUNTIFS($B$5:$B$750,B54,$D$5:$D$750,WF_END_PERIOD,$R$5:$R$750,TRUE())&gt;0</f>
        <v>1</v>
      </c>
      <c r="Y54" s="0" t="str">
        <f aca="false">IF(AND(D54=WF_END_PERIOD,COUNTIFS($B$5:$B$750,B54,$D$5:$D$750,WF_START_PERIOD)&gt;0),INDEX($E$5:$E$750,MATCH(B54&amp;"|"&amp;WF_START_PERIOD,$AC$5:$AC$750,0)),"")</f>
        <v/>
      </c>
      <c r="Z54" s="0" t="str">
        <f aca="false">IF(AND(D54=WF_END_PERIOD,R54),1+COUNTIFS($D$5:$D$750,WF_END_PERIOD,$E$5:$E$750,E54,$R$5:$R$750,TRUE(),$S$5:$S$750,"&gt;"&amp;S54)+COUNTIFS($D$5:$D$750,WF_END_PERIOD,$E$5:$E$750,E54,$R$5:$R$750,TRUE(),$S$5:$S$750,S54,$B$5:$B$750,"&lt;"&amp;B54),"")</f>
        <v/>
      </c>
      <c r="AA54" s="0" t="str">
        <f aca="false">IF(AND(D54=WF_END_PERIOD,R54,Z54&lt;&gt;1),1+COUNTIFS($D$5:$D$750,WF_END_PERIOD,$R$5:$R$750,TRUE(),$Z$5:$Z$750,"&lt;&gt;1",$S$5:$S$750,"&gt;"&amp;S54)+COUNTIFS($D$5:$D$750,WF_END_PERIOD,$R$5:$R$750,TRUE(),$Z$5:$Z$750,"&lt;&gt;1",$S$5:$S$750,S54,$B$5:$B$750,"&lt;"&amp;B54),"")</f>
        <v/>
      </c>
      <c r="AB54" s="11" t="b">
        <f aca="false">OR(D54=WF_START_PERIOD,D54=WF_END_PERIOD)</f>
        <v>0</v>
      </c>
      <c r="AC54" s="0" t="str">
        <f aca="false">B54&amp;"|"&amp;D54</f>
        <v>6275|20220331</v>
      </c>
    </row>
    <row r="55" customFormat="false" ht="15" hidden="false" customHeight="false" outlineLevel="0" collapsed="false">
      <c r="A55" s="0" t="n">
        <f aca="false">RawFinancials!A55</f>
        <v>52</v>
      </c>
      <c r="B55" s="0" t="n">
        <f aca="false">RawFinancials!C55</f>
        <v>6280</v>
      </c>
      <c r="C55" s="0" t="str">
        <f aca="false">RawFinancials!P55</f>
        <v>THE FIRST NATIONAL BANK OF ORWELL</v>
      </c>
      <c r="D55" s="0" t="n">
        <f aca="false">RawFinancials!W55</f>
        <v>20220331</v>
      </c>
      <c r="E55" s="0" t="str">
        <f aca="false">RawFinancials!Z55</f>
        <v>VT</v>
      </c>
      <c r="F55" s="0" t="n">
        <f aca="false">RawFinancials!B55</f>
        <v>83998</v>
      </c>
      <c r="G55" s="0" t="n">
        <f aca="false">RawFinancials!U55</f>
        <v>0</v>
      </c>
      <c r="H55" s="0" t="n">
        <f aca="false">RawFinancials!O55</f>
        <v>836</v>
      </c>
      <c r="I55" s="0" t="n">
        <f aca="false">IF(AND(ISNUMBER(G55),ISNUMBER(H55)),G55+H55,"")</f>
        <v>836</v>
      </c>
      <c r="J55" s="0" t="n">
        <f aca="false">RawFinancials!D55</f>
        <v>75709</v>
      </c>
      <c r="K55" s="0" t="n">
        <f aca="false">RawFinancials!F55</f>
        <v>8131</v>
      </c>
      <c r="L55" s="0" t="n">
        <f aca="false">RawFinancials!L55</f>
        <v>61955</v>
      </c>
      <c r="M55" s="0" t="n">
        <f aca="false">RawFinancials!N55</f>
        <v>53939</v>
      </c>
      <c r="N55" s="13" t="n">
        <f aca="false">RawFinancials!X55</f>
        <v>1.18573807471095</v>
      </c>
      <c r="O55" s="13" t="n">
        <f aca="false">RawFinancials!V55</f>
        <v>0</v>
      </c>
      <c r="P55" s="13" t="n">
        <f aca="false">IF(AND(ISNUMBER(L55),L55&lt;&gt;0,ISNUMBER(M55)),100*M55/L55,"")</f>
        <v>87.0615769510128</v>
      </c>
      <c r="Q55" s="13" t="n">
        <f aca="false">IF(AND(ISNUMBER(F55),F55&lt;&gt;0,ISNUMBER(K55)),100*K55/F55,"")</f>
        <v>9.67999238077097</v>
      </c>
      <c r="R55" s="11" t="b">
        <f aca="false">AND(ISNUMBER(F55),F55&gt;0,ISNUMBER(G55),G55&gt;=0,ISNUMBER(H55),H55&gt;=0)</f>
        <v>1</v>
      </c>
      <c r="S55" s="13" t="n">
        <f aca="false">IF(R55,100*I55/F55,"")</f>
        <v>0.995261791947427</v>
      </c>
      <c r="T55" s="11" t="b">
        <f aca="false">NOT(AND(OR(AND(ISBLANK(RawFinancials!B55),ISBLANK(_RawBaseline!B52)),AND(ISNUMBER(RawFinancials!B55),ISNUMBER(_RawBaseline!B52),RawFinancials!B55=_RawBaseline!B52)),OR(AND(ISBLANK(RawFinancials!U55),ISBLANK(_RawBaseline!U52)),AND(ISNUMBER(RawFinancials!U55),ISNUMBER(_RawBaseline!U52),RawFinancials!U55=_RawBaseline!U52)),OR(AND(ISBLANK(RawFinancials!O55),ISBLANK(_RawBaseline!O52)),AND(ISNUMBER(RawFinancials!O55),ISNUMBER(_RawBaseline!O52),RawFinancials!O55=_RawBaseline!O52))))</f>
        <v>0</v>
      </c>
      <c r="U55" s="13" t="n">
        <f aca="false">IF(AND(D55=WF_START_PERIOD,R55,COUNTIFS($B$5:$B$750,B55,$D$5:$D$750,WF_END_PERIOD,$R$5:$R$750,TRUE())&gt;0),SUMIFS($S$5:$S$750,$B$5:$B$750,B55,$D$5:$D$750,WF_END_PERIOD,$R$5:$R$750,TRUE()),0)</f>
        <v>0</v>
      </c>
      <c r="V55" s="0" t="str">
        <f aca="false">IF(AND(D55=WF_START_PERIOD,COUNTIFS($B$5:$B$750,B55,$D$5:$D$750,WF_END_PERIOD)&gt;0),INDEX($E$5:$E$750,MATCH(B55&amp;"|"&amp;WF_END_PERIOD,$AC$5:$AC$750,0)),"")</f>
        <v/>
      </c>
      <c r="W55" s="11" t="b">
        <f aca="false">COUNTIFS($B$5:$B$750,B55,$D$5:$D$750,WF_START_PERIOD,$R$5:$R$750,TRUE())&gt;0</f>
        <v>1</v>
      </c>
      <c r="X55" s="11" t="b">
        <f aca="false">COUNTIFS($B$5:$B$750,B55,$D$5:$D$750,WF_END_PERIOD,$R$5:$R$750,TRUE())&gt;0</f>
        <v>1</v>
      </c>
      <c r="Y55" s="0" t="str">
        <f aca="false">IF(AND(D55=WF_END_PERIOD,COUNTIFS($B$5:$B$750,B55,$D$5:$D$750,WF_START_PERIOD)&gt;0),INDEX($E$5:$E$750,MATCH(B55&amp;"|"&amp;WF_START_PERIOD,$AC$5:$AC$750,0)),"")</f>
        <v/>
      </c>
      <c r="Z55" s="0" t="str">
        <f aca="false">IF(AND(D55=WF_END_PERIOD,R55),1+COUNTIFS($D$5:$D$750,WF_END_PERIOD,$E$5:$E$750,E55,$R$5:$R$750,TRUE(),$S$5:$S$750,"&gt;"&amp;S55)+COUNTIFS($D$5:$D$750,WF_END_PERIOD,$E$5:$E$750,E55,$R$5:$R$750,TRUE(),$S$5:$S$750,S55,$B$5:$B$750,"&lt;"&amp;B55),"")</f>
        <v/>
      </c>
      <c r="AA55" s="0" t="str">
        <f aca="false">IF(AND(D55=WF_END_PERIOD,R55,Z55&lt;&gt;1),1+COUNTIFS($D$5:$D$750,WF_END_PERIOD,$R$5:$R$750,TRUE(),$Z$5:$Z$750,"&lt;&gt;1",$S$5:$S$750,"&gt;"&amp;S55)+COUNTIFS($D$5:$D$750,WF_END_PERIOD,$R$5:$R$750,TRUE(),$Z$5:$Z$750,"&lt;&gt;1",$S$5:$S$750,S55,$B$5:$B$750,"&lt;"&amp;B55),"")</f>
        <v/>
      </c>
      <c r="AB55" s="11" t="b">
        <f aca="false">OR(D55=WF_START_PERIOD,D55=WF_END_PERIOD)</f>
        <v>0</v>
      </c>
      <c r="AC55" s="0" t="str">
        <f aca="false">B55&amp;"|"&amp;D55</f>
        <v>6280|20220331</v>
      </c>
    </row>
    <row r="56" customFormat="false" ht="15" hidden="false" customHeight="false" outlineLevel="0" collapsed="false">
      <c r="A56" s="0" t="n">
        <f aca="false">RawFinancials!A56</f>
        <v>53</v>
      </c>
      <c r="B56" s="0" t="n">
        <f aca="false">RawFinancials!C56</f>
        <v>11971</v>
      </c>
      <c r="C56" s="0" t="str">
        <f aca="false">RawFinancials!P56</f>
        <v>BAR HARBOR BANK &amp; TRUST</v>
      </c>
      <c r="D56" s="0" t="n">
        <f aca="false">RawFinancials!W56</f>
        <v>20220630</v>
      </c>
      <c r="E56" s="0" t="str">
        <f aca="false">RawFinancials!Z56</f>
        <v>ME</v>
      </c>
      <c r="F56" s="0" t="n">
        <f aca="false">RawFinancials!B56</f>
        <v>3712836</v>
      </c>
      <c r="G56" s="0" t="n">
        <f aca="false">RawFinancials!U56</f>
        <v>719</v>
      </c>
      <c r="H56" s="0" t="n">
        <f aca="false">RawFinancials!O56</f>
        <v>7878</v>
      </c>
      <c r="I56" s="0" t="n">
        <f aca="false">IF(AND(ISNUMBER(G56),ISNUMBER(H56)),G56+H56,"")</f>
        <v>8597</v>
      </c>
      <c r="J56" s="0" t="n">
        <f aca="false">RawFinancials!D56</f>
        <v>3085621</v>
      </c>
      <c r="K56" s="0" t="n">
        <f aca="false">RawFinancials!F56</f>
        <v>448597</v>
      </c>
      <c r="L56" s="0" t="n">
        <f aca="false">RawFinancials!L56</f>
        <v>2730813</v>
      </c>
      <c r="M56" s="0" t="n">
        <f aca="false">RawFinancials!N56</f>
        <v>2376853</v>
      </c>
      <c r="N56" s="13" t="n">
        <f aca="false">RawFinancials!X56</f>
        <v>1.16360424384539</v>
      </c>
      <c r="O56" s="13" t="n">
        <f aca="false">RawFinancials!V56</f>
        <v>13.5693025113801</v>
      </c>
      <c r="P56" s="13" t="n">
        <f aca="false">IF(AND(ISNUMBER(L56),L56&lt;&gt;0,ISNUMBER(M56)),100*M56/L56,"")</f>
        <v>87.0382922594846</v>
      </c>
      <c r="Q56" s="13" t="n">
        <f aca="false">IF(AND(ISNUMBER(F56),F56&lt;&gt;0,ISNUMBER(K56)),100*K56/F56,"")</f>
        <v>12.0823273637726</v>
      </c>
      <c r="R56" s="11" t="b">
        <f aca="false">AND(ISNUMBER(F56),F56&gt;0,ISNUMBER(G56),G56&gt;=0,ISNUMBER(H56),H56&gt;=0)</f>
        <v>1</v>
      </c>
      <c r="S56" s="13" t="n">
        <f aca="false">IF(R56,100*I56/F56,"")</f>
        <v>0.231548067299498</v>
      </c>
      <c r="T56" s="11" t="b">
        <f aca="false">NOT(AND(OR(AND(ISBLANK(RawFinancials!B56),ISBLANK(_RawBaseline!B53)),AND(ISNUMBER(RawFinancials!B56),ISNUMBER(_RawBaseline!B53),RawFinancials!B56=_RawBaseline!B53)),OR(AND(ISBLANK(RawFinancials!U56),ISBLANK(_RawBaseline!U53)),AND(ISNUMBER(RawFinancials!U56),ISNUMBER(_RawBaseline!U53),RawFinancials!U56=_RawBaseline!U53)),OR(AND(ISBLANK(RawFinancials!O56),ISBLANK(_RawBaseline!O53)),AND(ISNUMBER(RawFinancials!O56),ISNUMBER(_RawBaseline!O53),RawFinancials!O56=_RawBaseline!O53))))</f>
        <v>0</v>
      </c>
      <c r="U56" s="13" t="n">
        <f aca="false">IF(AND(D56=WF_START_PERIOD,R56,COUNTIFS($B$5:$B$750,B56,$D$5:$D$750,WF_END_PERIOD,$R$5:$R$750,TRUE())&gt;0),SUMIFS($S$5:$S$750,$B$5:$B$750,B56,$D$5:$D$750,WF_END_PERIOD,$R$5:$R$750,TRUE()),0)</f>
        <v>0</v>
      </c>
      <c r="V56" s="0" t="str">
        <f aca="false">IF(AND(D56=WF_START_PERIOD,COUNTIFS($B$5:$B$750,B56,$D$5:$D$750,WF_END_PERIOD)&gt;0),INDEX($E$5:$E$750,MATCH(B56&amp;"|"&amp;WF_END_PERIOD,$AC$5:$AC$750,0)),"")</f>
        <v/>
      </c>
      <c r="W56" s="11" t="b">
        <f aca="false">COUNTIFS($B$5:$B$750,B56,$D$5:$D$750,WF_START_PERIOD,$R$5:$R$750,TRUE())&gt;0</f>
        <v>1</v>
      </c>
      <c r="X56" s="11" t="b">
        <f aca="false">COUNTIFS($B$5:$B$750,B56,$D$5:$D$750,WF_END_PERIOD,$R$5:$R$750,TRUE())&gt;0</f>
        <v>1</v>
      </c>
      <c r="Y56" s="0" t="str">
        <f aca="false">IF(AND(D56=WF_END_PERIOD,COUNTIFS($B$5:$B$750,B56,$D$5:$D$750,WF_START_PERIOD)&gt;0),INDEX($E$5:$E$750,MATCH(B56&amp;"|"&amp;WF_START_PERIOD,$AC$5:$AC$750,0)),"")</f>
        <v/>
      </c>
      <c r="Z56" s="0" t="str">
        <f aca="false">IF(AND(D56=WF_END_PERIOD,R56),1+COUNTIFS($D$5:$D$750,WF_END_PERIOD,$E$5:$E$750,E56,$R$5:$R$750,TRUE(),$S$5:$S$750,"&gt;"&amp;S56)+COUNTIFS($D$5:$D$750,WF_END_PERIOD,$E$5:$E$750,E56,$R$5:$R$750,TRUE(),$S$5:$S$750,S56,$B$5:$B$750,"&lt;"&amp;B56),"")</f>
        <v/>
      </c>
      <c r="AA56" s="0" t="str">
        <f aca="false">IF(AND(D56=WF_END_PERIOD,R56,Z56&lt;&gt;1),1+COUNTIFS($D$5:$D$750,WF_END_PERIOD,$R$5:$R$750,TRUE(),$Z$5:$Z$750,"&lt;&gt;1",$S$5:$S$750,"&gt;"&amp;S56)+COUNTIFS($D$5:$D$750,WF_END_PERIOD,$R$5:$R$750,TRUE(),$Z$5:$Z$750,"&lt;&gt;1",$S$5:$S$750,S56,$B$5:$B$750,"&lt;"&amp;B56),"")</f>
        <v/>
      </c>
      <c r="AB56" s="11" t="b">
        <f aca="false">OR(D56=WF_START_PERIOD,D56=WF_END_PERIOD)</f>
        <v>0</v>
      </c>
      <c r="AC56" s="0" t="str">
        <f aca="false">B56&amp;"|"&amp;D56</f>
        <v>11971|20220630</v>
      </c>
    </row>
    <row r="57" customFormat="false" ht="15" hidden="false" customHeight="false" outlineLevel="0" collapsed="false">
      <c r="A57" s="0" t="n">
        <f aca="false">RawFinancials!A57</f>
        <v>54</v>
      </c>
      <c r="B57" s="0" t="n">
        <f aca="false">RawFinancials!C57</f>
        <v>12874</v>
      </c>
      <c r="C57" s="0" t="str">
        <f aca="false">RawFinancials!P57</f>
        <v>KATAHDIN TRUST COMPANY</v>
      </c>
      <c r="D57" s="0" t="n">
        <f aca="false">RawFinancials!W57</f>
        <v>20220630</v>
      </c>
      <c r="E57" s="0" t="str">
        <f aca="false">RawFinancials!Z57</f>
        <v>ME</v>
      </c>
      <c r="F57" s="0" t="n">
        <f aca="false">RawFinancials!B57</f>
        <v>964224</v>
      </c>
      <c r="G57" s="0" t="n">
        <f aca="false">RawFinancials!U57</f>
        <v>42</v>
      </c>
      <c r="H57" s="0" t="n">
        <f aca="false">RawFinancials!O57</f>
        <v>891</v>
      </c>
      <c r="I57" s="0" t="n">
        <f aca="false">IF(AND(ISNUMBER(G57),ISNUMBER(H57)),G57+H57,"")</f>
        <v>933</v>
      </c>
      <c r="J57" s="0" t="n">
        <f aca="false">RawFinancials!D57</f>
        <v>854371</v>
      </c>
      <c r="K57" s="0" t="n">
        <f aca="false">RawFinancials!F57</f>
        <v>94455</v>
      </c>
      <c r="L57" s="0" t="n">
        <f aca="false">RawFinancials!L57</f>
        <v>738684</v>
      </c>
      <c r="M57" s="0" t="n">
        <f aca="false">RawFinancials!N57</f>
        <v>583137</v>
      </c>
      <c r="N57" s="13" t="n">
        <f aca="false">RawFinancials!X57</f>
        <v>0.905775942828036</v>
      </c>
      <c r="O57" s="13" t="n">
        <f aca="false">RawFinancials!V57</f>
        <v>15.2920846966426</v>
      </c>
      <c r="P57" s="13" t="n">
        <f aca="false">IF(AND(ISNUMBER(L57),L57&lt;&gt;0,ISNUMBER(M57)),100*M57/L57,"")</f>
        <v>78.9426872654613</v>
      </c>
      <c r="Q57" s="13" t="n">
        <f aca="false">IF(AND(ISNUMBER(F57),F57&lt;&gt;0,ISNUMBER(K57)),100*K57/F57,"")</f>
        <v>9.79596027479092</v>
      </c>
      <c r="R57" s="11" t="b">
        <f aca="false">AND(ISNUMBER(F57),F57&gt;0,ISNUMBER(G57),G57&gt;=0,ISNUMBER(H57),H57&gt;=0)</f>
        <v>1</v>
      </c>
      <c r="S57" s="13" t="n">
        <f aca="false">IF(R57,100*I57/F57,"")</f>
        <v>0.0967617483074472</v>
      </c>
      <c r="T57" s="11" t="b">
        <f aca="false">NOT(AND(OR(AND(ISBLANK(RawFinancials!B57),ISBLANK(_RawBaseline!B54)),AND(ISNUMBER(RawFinancials!B57),ISNUMBER(_RawBaseline!B54),RawFinancials!B57=_RawBaseline!B54)),OR(AND(ISBLANK(RawFinancials!U57),ISBLANK(_RawBaseline!U54)),AND(ISNUMBER(RawFinancials!U57),ISNUMBER(_RawBaseline!U54),RawFinancials!U57=_RawBaseline!U54)),OR(AND(ISBLANK(RawFinancials!O57),ISBLANK(_RawBaseline!O54)),AND(ISNUMBER(RawFinancials!O57),ISNUMBER(_RawBaseline!O54),RawFinancials!O57=_RawBaseline!O54))))</f>
        <v>0</v>
      </c>
      <c r="U57" s="13" t="n">
        <f aca="false">IF(AND(D57=WF_START_PERIOD,R57,COUNTIFS($B$5:$B$750,B57,$D$5:$D$750,WF_END_PERIOD,$R$5:$R$750,TRUE())&gt;0),SUMIFS($S$5:$S$750,$B$5:$B$750,B57,$D$5:$D$750,WF_END_PERIOD,$R$5:$R$750,TRUE()),0)</f>
        <v>0</v>
      </c>
      <c r="V57" s="0" t="str">
        <f aca="false">IF(AND(D57=WF_START_PERIOD,COUNTIFS($B$5:$B$750,B57,$D$5:$D$750,WF_END_PERIOD)&gt;0),INDEX($E$5:$E$750,MATCH(B57&amp;"|"&amp;WF_END_PERIOD,$AC$5:$AC$750,0)),"")</f>
        <v/>
      </c>
      <c r="W57" s="11" t="b">
        <f aca="false">COUNTIFS($B$5:$B$750,B57,$D$5:$D$750,WF_START_PERIOD,$R$5:$R$750,TRUE())&gt;0</f>
        <v>1</v>
      </c>
      <c r="X57" s="11" t="b">
        <f aca="false">COUNTIFS($B$5:$B$750,B57,$D$5:$D$750,WF_END_PERIOD,$R$5:$R$750,TRUE())&gt;0</f>
        <v>1</v>
      </c>
      <c r="Y57" s="0" t="str">
        <f aca="false">IF(AND(D57=WF_END_PERIOD,COUNTIFS($B$5:$B$750,B57,$D$5:$D$750,WF_START_PERIOD)&gt;0),INDEX($E$5:$E$750,MATCH(B57&amp;"|"&amp;WF_START_PERIOD,$AC$5:$AC$750,0)),"")</f>
        <v/>
      </c>
      <c r="Z57" s="0" t="str">
        <f aca="false">IF(AND(D57=WF_END_PERIOD,R57),1+COUNTIFS($D$5:$D$750,WF_END_PERIOD,$E$5:$E$750,E57,$R$5:$R$750,TRUE(),$S$5:$S$750,"&gt;"&amp;S57)+COUNTIFS($D$5:$D$750,WF_END_PERIOD,$E$5:$E$750,E57,$R$5:$R$750,TRUE(),$S$5:$S$750,S57,$B$5:$B$750,"&lt;"&amp;B57),"")</f>
        <v/>
      </c>
      <c r="AA57" s="0" t="str">
        <f aca="false">IF(AND(D57=WF_END_PERIOD,R57,Z57&lt;&gt;1),1+COUNTIFS($D$5:$D$750,WF_END_PERIOD,$R$5:$R$750,TRUE(),$Z$5:$Z$750,"&lt;&gt;1",$S$5:$S$750,"&gt;"&amp;S57)+COUNTIFS($D$5:$D$750,WF_END_PERIOD,$R$5:$R$750,TRUE(),$Z$5:$Z$750,"&lt;&gt;1",$S$5:$S$750,S57,$B$5:$B$750,"&lt;"&amp;B57),"")</f>
        <v/>
      </c>
      <c r="AB57" s="11" t="b">
        <f aca="false">OR(D57=WF_START_PERIOD,D57=WF_END_PERIOD)</f>
        <v>0</v>
      </c>
      <c r="AC57" s="0" t="str">
        <f aca="false">B57&amp;"|"&amp;D57</f>
        <v>12874|20220630</v>
      </c>
    </row>
    <row r="58" customFormat="false" ht="15" hidden="false" customHeight="false" outlineLevel="0" collapsed="false">
      <c r="A58" s="0" t="n">
        <f aca="false">RawFinancials!A58</f>
        <v>55</v>
      </c>
      <c r="B58" s="0" t="n">
        <f aca="false">RawFinancials!C58</f>
        <v>13063</v>
      </c>
      <c r="C58" s="0" t="str">
        <f aca="false">RawFinancials!P58</f>
        <v>KENNEBUNK SAVINGS BANK</v>
      </c>
      <c r="D58" s="0" t="n">
        <f aca="false">RawFinancials!W58</f>
        <v>20220630</v>
      </c>
      <c r="E58" s="0" t="str">
        <f aca="false">RawFinancials!Z58</f>
        <v>ME</v>
      </c>
      <c r="F58" s="0" t="n">
        <f aca="false">RawFinancials!B58</f>
        <v>1796670</v>
      </c>
      <c r="G58" s="0" t="n">
        <f aca="false">RawFinancials!U58</f>
        <v>967</v>
      </c>
      <c r="H58" s="0" t="n">
        <f aca="false">RawFinancials!O58</f>
        <v>499</v>
      </c>
      <c r="I58" s="0" t="n">
        <f aca="false">IF(AND(ISNUMBER(G58),ISNUMBER(H58)),G58+H58,"")</f>
        <v>1466</v>
      </c>
      <c r="J58" s="0" t="n">
        <f aca="false">RawFinancials!D58</f>
        <v>1641103</v>
      </c>
      <c r="K58" s="0" t="n">
        <f aca="false">RawFinancials!F58</f>
        <v>138141</v>
      </c>
      <c r="L58" s="0" t="n">
        <f aca="false">RawFinancials!L58</f>
        <v>1263224</v>
      </c>
      <c r="M58" s="0" t="n">
        <f aca="false">RawFinancials!N58</f>
        <v>1203684</v>
      </c>
      <c r="N58" s="13" t="n">
        <f aca="false">RawFinancials!X58</f>
        <v>0.589885287137242</v>
      </c>
      <c r="O58" s="13" t="n">
        <f aca="false">RawFinancials!V58</f>
        <v>0</v>
      </c>
      <c r="P58" s="13" t="n">
        <f aca="false">IF(AND(ISNUMBER(L58),L58&lt;&gt;0,ISNUMBER(M58)),100*M58/L58,"")</f>
        <v>95.2866633312857</v>
      </c>
      <c r="Q58" s="13" t="n">
        <f aca="false">IF(AND(ISNUMBER(F58),F58&lt;&gt;0,ISNUMBER(K58)),100*K58/F58,"")</f>
        <v>7.68872413965837</v>
      </c>
      <c r="R58" s="11" t="b">
        <f aca="false">AND(ISNUMBER(F58),F58&gt;0,ISNUMBER(G58),G58&gt;=0,ISNUMBER(H58),H58&gt;=0)</f>
        <v>1</v>
      </c>
      <c r="S58" s="13" t="n">
        <f aca="false">IF(R58,100*I58/F58,"")</f>
        <v>0.0815953959269092</v>
      </c>
      <c r="T58" s="11" t="b">
        <f aca="false">NOT(AND(OR(AND(ISBLANK(RawFinancials!B58),ISBLANK(_RawBaseline!B55)),AND(ISNUMBER(RawFinancials!B58),ISNUMBER(_RawBaseline!B55),RawFinancials!B58=_RawBaseline!B55)),OR(AND(ISBLANK(RawFinancials!U58),ISBLANK(_RawBaseline!U55)),AND(ISNUMBER(RawFinancials!U58),ISNUMBER(_RawBaseline!U55),RawFinancials!U58=_RawBaseline!U55)),OR(AND(ISBLANK(RawFinancials!O58),ISBLANK(_RawBaseline!O55)),AND(ISNUMBER(RawFinancials!O58),ISNUMBER(_RawBaseline!O55),RawFinancials!O58=_RawBaseline!O55))))</f>
        <v>0</v>
      </c>
      <c r="U58" s="13" t="n">
        <f aca="false">IF(AND(D58=WF_START_PERIOD,R58,COUNTIFS($B$5:$B$750,B58,$D$5:$D$750,WF_END_PERIOD,$R$5:$R$750,TRUE())&gt;0),SUMIFS($S$5:$S$750,$B$5:$B$750,B58,$D$5:$D$750,WF_END_PERIOD,$R$5:$R$750,TRUE()),0)</f>
        <v>0</v>
      </c>
      <c r="V58" s="0" t="str">
        <f aca="false">IF(AND(D58=WF_START_PERIOD,COUNTIFS($B$5:$B$750,B58,$D$5:$D$750,WF_END_PERIOD)&gt;0),INDEX($E$5:$E$750,MATCH(B58&amp;"|"&amp;WF_END_PERIOD,$AC$5:$AC$750,0)),"")</f>
        <v/>
      </c>
      <c r="W58" s="11" t="b">
        <f aca="false">COUNTIFS($B$5:$B$750,B58,$D$5:$D$750,WF_START_PERIOD,$R$5:$R$750,TRUE())&gt;0</f>
        <v>1</v>
      </c>
      <c r="X58" s="11" t="b">
        <f aca="false">COUNTIFS($B$5:$B$750,B58,$D$5:$D$750,WF_END_PERIOD,$R$5:$R$750,TRUE())&gt;0</f>
        <v>1</v>
      </c>
      <c r="Y58" s="0" t="str">
        <f aca="false">IF(AND(D58=WF_END_PERIOD,COUNTIFS($B$5:$B$750,B58,$D$5:$D$750,WF_START_PERIOD)&gt;0),INDEX($E$5:$E$750,MATCH(B58&amp;"|"&amp;WF_START_PERIOD,$AC$5:$AC$750,0)),"")</f>
        <v/>
      </c>
      <c r="Z58" s="0" t="str">
        <f aca="false">IF(AND(D58=WF_END_PERIOD,R58),1+COUNTIFS($D$5:$D$750,WF_END_PERIOD,$E$5:$E$750,E58,$R$5:$R$750,TRUE(),$S$5:$S$750,"&gt;"&amp;S58)+COUNTIFS($D$5:$D$750,WF_END_PERIOD,$E$5:$E$750,E58,$R$5:$R$750,TRUE(),$S$5:$S$750,S58,$B$5:$B$750,"&lt;"&amp;B58),"")</f>
        <v/>
      </c>
      <c r="AA58" s="0" t="str">
        <f aca="false">IF(AND(D58=WF_END_PERIOD,R58,Z58&lt;&gt;1),1+COUNTIFS($D$5:$D$750,WF_END_PERIOD,$R$5:$R$750,TRUE(),$Z$5:$Z$750,"&lt;&gt;1",$S$5:$S$750,"&gt;"&amp;S58)+COUNTIFS($D$5:$D$750,WF_END_PERIOD,$R$5:$R$750,TRUE(),$Z$5:$Z$750,"&lt;&gt;1",$S$5:$S$750,S58,$B$5:$B$750,"&lt;"&amp;B58),"")</f>
        <v/>
      </c>
      <c r="AB58" s="11" t="b">
        <f aca="false">OR(D58=WF_START_PERIOD,D58=WF_END_PERIOD)</f>
        <v>0</v>
      </c>
      <c r="AC58" s="0" t="str">
        <f aca="false">B58&amp;"|"&amp;D58</f>
        <v>13063|20220630</v>
      </c>
    </row>
    <row r="59" customFormat="false" ht="15" hidden="false" customHeight="false" outlineLevel="0" collapsed="false">
      <c r="A59" s="0" t="n">
        <f aca="false">RawFinancials!A59</f>
        <v>56</v>
      </c>
      <c r="B59" s="0" t="n">
        <f aca="false">RawFinancials!C59</f>
        <v>14134</v>
      </c>
      <c r="C59" s="0" t="str">
        <f aca="false">RawFinancials!P59</f>
        <v>PASSUMPSIC SAVINGS BANK</v>
      </c>
      <c r="D59" s="0" t="n">
        <f aca="false">RawFinancials!W59</f>
        <v>20220630</v>
      </c>
      <c r="E59" s="0" t="str">
        <f aca="false">RawFinancials!Z59</f>
        <v>VT</v>
      </c>
      <c r="F59" s="0" t="n">
        <f aca="false">RawFinancials!B59</f>
        <v>842061</v>
      </c>
      <c r="G59" s="0" t="n">
        <f aca="false">RawFinancials!U59</f>
        <v>0</v>
      </c>
      <c r="H59" s="0" t="n">
        <f aca="false">RawFinancials!O59</f>
        <v>8858</v>
      </c>
      <c r="I59" s="0" t="n">
        <f aca="false">IF(AND(ISNUMBER(G59),ISNUMBER(H59)),G59+H59,"")</f>
        <v>8858</v>
      </c>
      <c r="J59" s="0" t="n">
        <f aca="false">RawFinancials!D59</f>
        <v>714430</v>
      </c>
      <c r="K59" s="0" t="n">
        <f aca="false">RawFinancials!F59</f>
        <v>95205</v>
      </c>
      <c r="L59" s="0" t="n">
        <f aca="false">RawFinancials!L59</f>
        <v>618484</v>
      </c>
      <c r="M59" s="0" t="n">
        <f aca="false">RawFinancials!N59</f>
        <v>541392</v>
      </c>
      <c r="N59" s="13" t="n">
        <f aca="false">RawFinancials!X59</f>
        <v>-0.908691372525263</v>
      </c>
      <c r="O59" s="13" t="n">
        <f aca="false">RawFinancials!V59</f>
        <v>17.3850644480774</v>
      </c>
      <c r="P59" s="13" t="n">
        <f aca="false">IF(AND(ISNUMBER(L59),L59&lt;&gt;0,ISNUMBER(M59)),100*M59/L59,"")</f>
        <v>87.5353283189218</v>
      </c>
      <c r="Q59" s="13" t="n">
        <f aca="false">IF(AND(ISNUMBER(F59),F59&lt;&gt;0,ISNUMBER(K59)),100*K59/F59,"")</f>
        <v>11.3061880315084</v>
      </c>
      <c r="R59" s="11" t="b">
        <f aca="false">AND(ISNUMBER(F59),F59&gt;0,ISNUMBER(G59),G59&gt;=0,ISNUMBER(H59),H59&gt;=0)</f>
        <v>1</v>
      </c>
      <c r="S59" s="13" t="n">
        <f aca="false">IF(R59,100*I59/F59,"")</f>
        <v>1.05194279274304</v>
      </c>
      <c r="T59" s="11" t="b">
        <f aca="false">NOT(AND(OR(AND(ISBLANK(RawFinancials!B59),ISBLANK(_RawBaseline!B56)),AND(ISNUMBER(RawFinancials!B59),ISNUMBER(_RawBaseline!B56),RawFinancials!B59=_RawBaseline!B56)),OR(AND(ISBLANK(RawFinancials!U59),ISBLANK(_RawBaseline!U56)),AND(ISNUMBER(RawFinancials!U59),ISNUMBER(_RawBaseline!U56),RawFinancials!U59=_RawBaseline!U56)),OR(AND(ISBLANK(RawFinancials!O59),ISBLANK(_RawBaseline!O56)),AND(ISNUMBER(RawFinancials!O59),ISNUMBER(_RawBaseline!O56),RawFinancials!O59=_RawBaseline!O56))))</f>
        <v>0</v>
      </c>
      <c r="U59" s="13" t="n">
        <f aca="false">IF(AND(D59=WF_START_PERIOD,R59,COUNTIFS($B$5:$B$750,B59,$D$5:$D$750,WF_END_PERIOD,$R$5:$R$750,TRUE())&gt;0),SUMIFS($S$5:$S$750,$B$5:$B$750,B59,$D$5:$D$750,WF_END_PERIOD,$R$5:$R$750,TRUE()),0)</f>
        <v>0</v>
      </c>
      <c r="V59" s="0" t="str">
        <f aca="false">IF(AND(D59=WF_START_PERIOD,COUNTIFS($B$5:$B$750,B59,$D$5:$D$750,WF_END_PERIOD)&gt;0),INDEX($E$5:$E$750,MATCH(B59&amp;"|"&amp;WF_END_PERIOD,$AC$5:$AC$750,0)),"")</f>
        <v/>
      </c>
      <c r="W59" s="11" t="b">
        <f aca="false">COUNTIFS($B$5:$B$750,B59,$D$5:$D$750,WF_START_PERIOD,$R$5:$R$750,TRUE())&gt;0</f>
        <v>1</v>
      </c>
      <c r="X59" s="11" t="b">
        <f aca="false">COUNTIFS($B$5:$B$750,B59,$D$5:$D$750,WF_END_PERIOD,$R$5:$R$750,TRUE())&gt;0</f>
        <v>1</v>
      </c>
      <c r="Y59" s="0" t="str">
        <f aca="false">IF(AND(D59=WF_END_PERIOD,COUNTIFS($B$5:$B$750,B59,$D$5:$D$750,WF_START_PERIOD)&gt;0),INDEX($E$5:$E$750,MATCH(B59&amp;"|"&amp;WF_START_PERIOD,$AC$5:$AC$750,0)),"")</f>
        <v/>
      </c>
      <c r="Z59" s="0" t="str">
        <f aca="false">IF(AND(D59=WF_END_PERIOD,R59),1+COUNTIFS($D$5:$D$750,WF_END_PERIOD,$E$5:$E$750,E59,$R$5:$R$750,TRUE(),$S$5:$S$750,"&gt;"&amp;S59)+COUNTIFS($D$5:$D$750,WF_END_PERIOD,$E$5:$E$750,E59,$R$5:$R$750,TRUE(),$S$5:$S$750,S59,$B$5:$B$750,"&lt;"&amp;B59),"")</f>
        <v/>
      </c>
      <c r="AA59" s="0" t="str">
        <f aca="false">IF(AND(D59=WF_END_PERIOD,R59,Z59&lt;&gt;1),1+COUNTIFS($D$5:$D$750,WF_END_PERIOD,$R$5:$R$750,TRUE(),$Z$5:$Z$750,"&lt;&gt;1",$S$5:$S$750,"&gt;"&amp;S59)+COUNTIFS($D$5:$D$750,WF_END_PERIOD,$R$5:$R$750,TRUE(),$Z$5:$Z$750,"&lt;&gt;1",$S$5:$S$750,S59,$B$5:$B$750,"&lt;"&amp;B59),"")</f>
        <v/>
      </c>
      <c r="AB59" s="11" t="b">
        <f aca="false">OR(D59=WF_START_PERIOD,D59=WF_END_PERIOD)</f>
        <v>0</v>
      </c>
      <c r="AC59" s="0" t="str">
        <f aca="false">B59&amp;"|"&amp;D59</f>
        <v>14134|20220630</v>
      </c>
    </row>
    <row r="60" customFormat="false" ht="15" hidden="false" customHeight="false" outlineLevel="0" collapsed="false">
      <c r="A60" s="0" t="n">
        <f aca="false">RawFinancials!A60</f>
        <v>57</v>
      </c>
      <c r="B60" s="0" t="n">
        <f aca="false">RawFinancials!C60</f>
        <v>14136</v>
      </c>
      <c r="C60" s="0" t="str">
        <f aca="false">RawFinancials!P60</f>
        <v>WELLS RIVER SAVINGS BANK</v>
      </c>
      <c r="D60" s="0" t="n">
        <f aca="false">RawFinancials!W60</f>
        <v>20220630</v>
      </c>
      <c r="E60" s="0" t="str">
        <f aca="false">RawFinancials!Z60</f>
        <v>VT</v>
      </c>
      <c r="F60" s="0" t="n">
        <f aca="false">RawFinancials!B60</f>
        <v>222750</v>
      </c>
      <c r="G60" s="0" t="n">
        <f aca="false">RawFinancials!U60</f>
        <v>717</v>
      </c>
      <c r="H60" s="0" t="n">
        <f aca="false">RawFinancials!O60</f>
        <v>126</v>
      </c>
      <c r="I60" s="0" t="n">
        <f aca="false">IF(AND(ISNUMBER(G60),ISNUMBER(H60)),G60+H60,"")</f>
        <v>843</v>
      </c>
      <c r="J60" s="0" t="n">
        <f aca="false">RawFinancials!D60</f>
        <v>202215</v>
      </c>
      <c r="K60" s="0" t="n">
        <f aca="false">RawFinancials!F60</f>
        <v>16002</v>
      </c>
      <c r="L60" s="0" t="n">
        <f aca="false">RawFinancials!L60</f>
        <v>128959</v>
      </c>
      <c r="M60" s="0" t="n">
        <f aca="false">RawFinancials!N60</f>
        <v>102631</v>
      </c>
      <c r="N60" s="13" t="n">
        <f aca="false">RawFinancials!X60</f>
        <v>0.311791935041849</v>
      </c>
      <c r="O60" s="13" t="n">
        <f aca="false">RawFinancials!V60</f>
        <v>16.7839694709842</v>
      </c>
      <c r="P60" s="13" t="n">
        <f aca="false">IF(AND(ISNUMBER(L60),L60&lt;&gt;0,ISNUMBER(M60)),100*M60/L60,"")</f>
        <v>79.5842089346226</v>
      </c>
      <c r="Q60" s="13" t="n">
        <f aca="false">IF(AND(ISNUMBER(F60),F60&lt;&gt;0,ISNUMBER(K60)),100*K60/F60,"")</f>
        <v>7.18383838383838</v>
      </c>
      <c r="R60" s="11" t="b">
        <f aca="false">AND(ISNUMBER(F60),F60&gt;0,ISNUMBER(G60),G60&gt;=0,ISNUMBER(H60),H60&gt;=0)</f>
        <v>1</v>
      </c>
      <c r="S60" s="13" t="n">
        <f aca="false">IF(R60,100*I60/F60,"")</f>
        <v>0.378451178451178</v>
      </c>
      <c r="T60" s="11" t="b">
        <f aca="false">NOT(AND(OR(AND(ISBLANK(RawFinancials!B60),ISBLANK(_RawBaseline!B57)),AND(ISNUMBER(RawFinancials!B60),ISNUMBER(_RawBaseline!B57),RawFinancials!B60=_RawBaseline!B57)),OR(AND(ISBLANK(RawFinancials!U60),ISBLANK(_RawBaseline!U57)),AND(ISNUMBER(RawFinancials!U60),ISNUMBER(_RawBaseline!U57),RawFinancials!U60=_RawBaseline!U57)),OR(AND(ISBLANK(RawFinancials!O60),ISBLANK(_RawBaseline!O57)),AND(ISNUMBER(RawFinancials!O60),ISNUMBER(_RawBaseline!O57),RawFinancials!O60=_RawBaseline!O57))))</f>
        <v>0</v>
      </c>
      <c r="U60" s="13" t="n">
        <f aca="false">IF(AND(D60=WF_START_PERIOD,R60,COUNTIFS($B$5:$B$750,B60,$D$5:$D$750,WF_END_PERIOD,$R$5:$R$750,TRUE())&gt;0),SUMIFS($S$5:$S$750,$B$5:$B$750,B60,$D$5:$D$750,WF_END_PERIOD,$R$5:$R$750,TRUE()),0)</f>
        <v>0</v>
      </c>
      <c r="V60" s="0" t="str">
        <f aca="false">IF(AND(D60=WF_START_PERIOD,COUNTIFS($B$5:$B$750,B60,$D$5:$D$750,WF_END_PERIOD)&gt;0),INDEX($E$5:$E$750,MATCH(B60&amp;"|"&amp;WF_END_PERIOD,$AC$5:$AC$750,0)),"")</f>
        <v/>
      </c>
      <c r="W60" s="11" t="b">
        <f aca="false">COUNTIFS($B$5:$B$750,B60,$D$5:$D$750,WF_START_PERIOD,$R$5:$R$750,TRUE())&gt;0</f>
        <v>1</v>
      </c>
      <c r="X60" s="11" t="b">
        <f aca="false">COUNTIFS($B$5:$B$750,B60,$D$5:$D$750,WF_END_PERIOD,$R$5:$R$750,TRUE())&gt;0</f>
        <v>1</v>
      </c>
      <c r="Y60" s="0" t="str">
        <f aca="false">IF(AND(D60=WF_END_PERIOD,COUNTIFS($B$5:$B$750,B60,$D$5:$D$750,WF_START_PERIOD)&gt;0),INDEX($E$5:$E$750,MATCH(B60&amp;"|"&amp;WF_START_PERIOD,$AC$5:$AC$750,0)),"")</f>
        <v/>
      </c>
      <c r="Z60" s="0" t="str">
        <f aca="false">IF(AND(D60=WF_END_PERIOD,R60),1+COUNTIFS($D$5:$D$750,WF_END_PERIOD,$E$5:$E$750,E60,$R$5:$R$750,TRUE(),$S$5:$S$750,"&gt;"&amp;S60)+COUNTIFS($D$5:$D$750,WF_END_PERIOD,$E$5:$E$750,E60,$R$5:$R$750,TRUE(),$S$5:$S$750,S60,$B$5:$B$750,"&lt;"&amp;B60),"")</f>
        <v/>
      </c>
      <c r="AA60" s="0" t="str">
        <f aca="false">IF(AND(D60=WF_END_PERIOD,R60,Z60&lt;&gt;1),1+COUNTIFS($D$5:$D$750,WF_END_PERIOD,$R$5:$R$750,TRUE(),$Z$5:$Z$750,"&lt;&gt;1",$S$5:$S$750,"&gt;"&amp;S60)+COUNTIFS($D$5:$D$750,WF_END_PERIOD,$R$5:$R$750,TRUE(),$Z$5:$Z$750,"&lt;&gt;1",$S$5:$S$750,S60,$B$5:$B$750,"&lt;"&amp;B60),"")</f>
        <v/>
      </c>
      <c r="AB60" s="11" t="b">
        <f aca="false">OR(D60=WF_START_PERIOD,D60=WF_END_PERIOD)</f>
        <v>0</v>
      </c>
      <c r="AC60" s="0" t="str">
        <f aca="false">B60&amp;"|"&amp;D60</f>
        <v>14136|20220630</v>
      </c>
    </row>
    <row r="61" customFormat="false" ht="15" hidden="false" customHeight="false" outlineLevel="0" collapsed="false">
      <c r="A61" s="0" t="n">
        <f aca="false">RawFinancials!A61</f>
        <v>58</v>
      </c>
      <c r="B61" s="0" t="n">
        <f aca="false">RawFinancials!C61</f>
        <v>14140</v>
      </c>
      <c r="C61" s="0" t="str">
        <f aca="false">RawFinancials!P61</f>
        <v>NORTHFIELD SAVINGS BANK</v>
      </c>
      <c r="D61" s="0" t="n">
        <f aca="false">RawFinancials!W61</f>
        <v>20220630</v>
      </c>
      <c r="E61" s="0" t="str">
        <f aca="false">RawFinancials!Z61</f>
        <v>VT</v>
      </c>
      <c r="F61" s="0" t="n">
        <f aca="false">RawFinancials!B61</f>
        <v>1436600</v>
      </c>
      <c r="G61" s="0" t="n">
        <f aca="false">RawFinancials!U61</f>
        <v>0</v>
      </c>
      <c r="H61" s="0" t="n">
        <f aca="false">RawFinancials!O61</f>
        <v>2695</v>
      </c>
      <c r="I61" s="0" t="n">
        <f aca="false">IF(AND(ISNUMBER(G61),ISNUMBER(H61)),G61+H61,"")</f>
        <v>2695</v>
      </c>
      <c r="J61" s="0" t="n">
        <f aca="false">RawFinancials!D61</f>
        <v>1234672</v>
      </c>
      <c r="K61" s="0" t="n">
        <f aca="false">RawFinancials!F61</f>
        <v>117324</v>
      </c>
      <c r="L61" s="0" t="n">
        <f aca="false">RawFinancials!L61</f>
        <v>965914</v>
      </c>
      <c r="M61" s="0" t="n">
        <f aca="false">RawFinancials!N61</f>
        <v>868077</v>
      </c>
      <c r="N61" s="13" t="n">
        <f aca="false">RawFinancials!X61</f>
        <v>0.707644826064353</v>
      </c>
      <c r="O61" s="13" t="n">
        <f aca="false">RawFinancials!V61</f>
        <v>0</v>
      </c>
      <c r="P61" s="13" t="n">
        <f aca="false">IF(AND(ISNUMBER(L61),L61&lt;&gt;0,ISNUMBER(M61)),100*M61/L61,"")</f>
        <v>89.8710444201037</v>
      </c>
      <c r="Q61" s="13" t="n">
        <f aca="false">IF(AND(ISNUMBER(F61),F61&lt;&gt;0,ISNUMBER(K61)),100*K61/F61,"")</f>
        <v>8.16678268133092</v>
      </c>
      <c r="R61" s="11" t="b">
        <f aca="false">AND(ISNUMBER(F61),F61&gt;0,ISNUMBER(G61),G61&gt;=0,ISNUMBER(H61),H61&gt;=0)</f>
        <v>1</v>
      </c>
      <c r="S61" s="13" t="n">
        <f aca="false">IF(R61,100*I61/F61,"")</f>
        <v>0.187595712098009</v>
      </c>
      <c r="T61" s="11" t="b">
        <f aca="false">NOT(AND(OR(AND(ISBLANK(RawFinancials!B61),ISBLANK(_RawBaseline!B58)),AND(ISNUMBER(RawFinancials!B61),ISNUMBER(_RawBaseline!B58),RawFinancials!B61=_RawBaseline!B58)),OR(AND(ISBLANK(RawFinancials!U61),ISBLANK(_RawBaseline!U58)),AND(ISNUMBER(RawFinancials!U61),ISNUMBER(_RawBaseline!U58),RawFinancials!U61=_RawBaseline!U58)),OR(AND(ISBLANK(RawFinancials!O61),ISBLANK(_RawBaseline!O58)),AND(ISNUMBER(RawFinancials!O61),ISNUMBER(_RawBaseline!O58),RawFinancials!O61=_RawBaseline!O58))))</f>
        <v>0</v>
      </c>
      <c r="U61" s="13" t="n">
        <f aca="false">IF(AND(D61=WF_START_PERIOD,R61,COUNTIFS($B$5:$B$750,B61,$D$5:$D$750,WF_END_PERIOD,$R$5:$R$750,TRUE())&gt;0),SUMIFS($S$5:$S$750,$B$5:$B$750,B61,$D$5:$D$750,WF_END_PERIOD,$R$5:$R$750,TRUE()),0)</f>
        <v>0</v>
      </c>
      <c r="V61" s="0" t="str">
        <f aca="false">IF(AND(D61=WF_START_PERIOD,COUNTIFS($B$5:$B$750,B61,$D$5:$D$750,WF_END_PERIOD)&gt;0),INDEX($E$5:$E$750,MATCH(B61&amp;"|"&amp;WF_END_PERIOD,$AC$5:$AC$750,0)),"")</f>
        <v/>
      </c>
      <c r="W61" s="11" t="b">
        <f aca="false">COUNTIFS($B$5:$B$750,B61,$D$5:$D$750,WF_START_PERIOD,$R$5:$R$750,TRUE())&gt;0</f>
        <v>1</v>
      </c>
      <c r="X61" s="11" t="b">
        <f aca="false">COUNTIFS($B$5:$B$750,B61,$D$5:$D$750,WF_END_PERIOD,$R$5:$R$750,TRUE())&gt;0</f>
        <v>1</v>
      </c>
      <c r="Y61" s="0" t="str">
        <f aca="false">IF(AND(D61=WF_END_PERIOD,COUNTIFS($B$5:$B$750,B61,$D$5:$D$750,WF_START_PERIOD)&gt;0),INDEX($E$5:$E$750,MATCH(B61&amp;"|"&amp;WF_START_PERIOD,$AC$5:$AC$750,0)),"")</f>
        <v/>
      </c>
      <c r="Z61" s="0" t="str">
        <f aca="false">IF(AND(D61=WF_END_PERIOD,R61),1+COUNTIFS($D$5:$D$750,WF_END_PERIOD,$E$5:$E$750,E61,$R$5:$R$750,TRUE(),$S$5:$S$750,"&gt;"&amp;S61)+COUNTIFS($D$5:$D$750,WF_END_PERIOD,$E$5:$E$750,E61,$R$5:$R$750,TRUE(),$S$5:$S$750,S61,$B$5:$B$750,"&lt;"&amp;B61),"")</f>
        <v/>
      </c>
      <c r="AA61" s="0" t="str">
        <f aca="false">IF(AND(D61=WF_END_PERIOD,R61,Z61&lt;&gt;1),1+COUNTIFS($D$5:$D$750,WF_END_PERIOD,$R$5:$R$750,TRUE(),$Z$5:$Z$750,"&lt;&gt;1",$S$5:$S$750,"&gt;"&amp;S61)+COUNTIFS($D$5:$D$750,WF_END_PERIOD,$R$5:$R$750,TRUE(),$Z$5:$Z$750,"&lt;&gt;1",$S$5:$S$750,S61,$B$5:$B$750,"&lt;"&amp;B61),"")</f>
        <v/>
      </c>
      <c r="AB61" s="11" t="b">
        <f aca="false">OR(D61=WF_START_PERIOD,D61=WF_END_PERIOD)</f>
        <v>0</v>
      </c>
      <c r="AC61" s="0" t="str">
        <f aca="false">B61&amp;"|"&amp;D61</f>
        <v>14140|20220630</v>
      </c>
    </row>
    <row r="62" customFormat="false" ht="15" hidden="false" customHeight="false" outlineLevel="0" collapsed="false">
      <c r="A62" s="0" t="n">
        <f aca="false">RawFinancials!A62</f>
        <v>59</v>
      </c>
      <c r="B62" s="0" t="n">
        <f aca="false">RawFinancials!C62</f>
        <v>14158</v>
      </c>
      <c r="C62" s="0" t="str">
        <f aca="false">RawFinancials!P62</f>
        <v>UNION BANK</v>
      </c>
      <c r="D62" s="0" t="n">
        <f aca="false">RawFinancials!W62</f>
        <v>20220630</v>
      </c>
      <c r="E62" s="0" t="str">
        <f aca="false">RawFinancials!Z62</f>
        <v>VT</v>
      </c>
      <c r="F62" s="0" t="n">
        <f aca="false">RawFinancials!B62</f>
        <v>1191062</v>
      </c>
      <c r="G62" s="0" t="n">
        <f aca="false">RawFinancials!U62</f>
        <v>109</v>
      </c>
      <c r="H62" s="0" t="n">
        <f aca="false">RawFinancials!O62</f>
        <v>1416</v>
      </c>
      <c r="I62" s="0" t="n">
        <f aca="false">IF(AND(ISNUMBER(G62),ISNUMBER(H62)),G62+H62,"")</f>
        <v>1525</v>
      </c>
      <c r="J62" s="0" t="n">
        <f aca="false">RawFinancials!D62</f>
        <v>1105727</v>
      </c>
      <c r="K62" s="0" t="n">
        <f aca="false">RawFinancials!F62</f>
        <v>75600</v>
      </c>
      <c r="L62" s="0" t="n">
        <f aca="false">RawFinancials!L62</f>
        <v>822966</v>
      </c>
      <c r="M62" s="0" t="n">
        <f aca="false">RawFinancials!N62</f>
        <v>751338</v>
      </c>
      <c r="N62" s="13" t="n">
        <f aca="false">RawFinancials!X62</f>
        <v>0.965573503917802</v>
      </c>
      <c r="O62" s="13" t="n">
        <f aca="false">RawFinancials!V62</f>
        <v>14.280952720623</v>
      </c>
      <c r="P62" s="13" t="n">
        <f aca="false">IF(AND(ISNUMBER(L62),L62&lt;&gt;0,ISNUMBER(M62)),100*M62/L62,"")</f>
        <v>91.2963597524078</v>
      </c>
      <c r="Q62" s="13" t="n">
        <f aca="false">IF(AND(ISNUMBER(F62),F62&lt;&gt;0,ISNUMBER(K62)),100*K62/F62,"")</f>
        <v>6.34727663211487</v>
      </c>
      <c r="R62" s="11" t="b">
        <f aca="false">AND(ISNUMBER(F62),F62&gt;0,ISNUMBER(G62),G62&gt;=0,ISNUMBER(H62),H62&gt;=0)</f>
        <v>1</v>
      </c>
      <c r="S62" s="13" t="n">
        <f aca="false">IF(R62,100*I62/F62,"")</f>
        <v>0.128036995555227</v>
      </c>
      <c r="T62" s="11" t="b">
        <f aca="false">NOT(AND(OR(AND(ISBLANK(RawFinancials!B62),ISBLANK(_RawBaseline!B59)),AND(ISNUMBER(RawFinancials!B62),ISNUMBER(_RawBaseline!B59),RawFinancials!B62=_RawBaseline!B59)),OR(AND(ISBLANK(RawFinancials!U62),ISBLANK(_RawBaseline!U59)),AND(ISNUMBER(RawFinancials!U62),ISNUMBER(_RawBaseline!U59),RawFinancials!U62=_RawBaseline!U59)),OR(AND(ISBLANK(RawFinancials!O62),ISBLANK(_RawBaseline!O59)),AND(ISNUMBER(RawFinancials!O62),ISNUMBER(_RawBaseline!O59),RawFinancials!O62=_RawBaseline!O59))))</f>
        <v>0</v>
      </c>
      <c r="U62" s="13" t="n">
        <f aca="false">IF(AND(D62=WF_START_PERIOD,R62,COUNTIFS($B$5:$B$750,B62,$D$5:$D$750,WF_END_PERIOD,$R$5:$R$750,TRUE())&gt;0),SUMIFS($S$5:$S$750,$B$5:$B$750,B62,$D$5:$D$750,WF_END_PERIOD,$R$5:$R$750,TRUE()),0)</f>
        <v>0</v>
      </c>
      <c r="V62" s="0" t="str">
        <f aca="false">IF(AND(D62=WF_START_PERIOD,COUNTIFS($B$5:$B$750,B62,$D$5:$D$750,WF_END_PERIOD)&gt;0),INDEX($E$5:$E$750,MATCH(B62&amp;"|"&amp;WF_END_PERIOD,$AC$5:$AC$750,0)),"")</f>
        <v/>
      </c>
      <c r="W62" s="11" t="b">
        <f aca="false">COUNTIFS($B$5:$B$750,B62,$D$5:$D$750,WF_START_PERIOD,$R$5:$R$750,TRUE())&gt;0</f>
        <v>1</v>
      </c>
      <c r="X62" s="11" t="b">
        <f aca="false">COUNTIFS($B$5:$B$750,B62,$D$5:$D$750,WF_END_PERIOD,$R$5:$R$750,TRUE())&gt;0</f>
        <v>1</v>
      </c>
      <c r="Y62" s="0" t="str">
        <f aca="false">IF(AND(D62=WF_END_PERIOD,COUNTIFS($B$5:$B$750,B62,$D$5:$D$750,WF_START_PERIOD)&gt;0),INDEX($E$5:$E$750,MATCH(B62&amp;"|"&amp;WF_START_PERIOD,$AC$5:$AC$750,0)),"")</f>
        <v/>
      </c>
      <c r="Z62" s="0" t="str">
        <f aca="false">IF(AND(D62=WF_END_PERIOD,R62),1+COUNTIFS($D$5:$D$750,WF_END_PERIOD,$E$5:$E$750,E62,$R$5:$R$750,TRUE(),$S$5:$S$750,"&gt;"&amp;S62)+COUNTIFS($D$5:$D$750,WF_END_PERIOD,$E$5:$E$750,E62,$R$5:$R$750,TRUE(),$S$5:$S$750,S62,$B$5:$B$750,"&lt;"&amp;B62),"")</f>
        <v/>
      </c>
      <c r="AA62" s="0" t="str">
        <f aca="false">IF(AND(D62=WF_END_PERIOD,R62,Z62&lt;&gt;1),1+COUNTIFS($D$5:$D$750,WF_END_PERIOD,$R$5:$R$750,TRUE(),$Z$5:$Z$750,"&lt;&gt;1",$S$5:$S$750,"&gt;"&amp;S62)+COUNTIFS($D$5:$D$750,WF_END_PERIOD,$R$5:$R$750,TRUE(),$Z$5:$Z$750,"&lt;&gt;1",$S$5:$S$750,S62,$B$5:$B$750,"&lt;"&amp;B62),"")</f>
        <v/>
      </c>
      <c r="AB62" s="11" t="b">
        <f aca="false">OR(D62=WF_START_PERIOD,D62=WF_END_PERIOD)</f>
        <v>0</v>
      </c>
      <c r="AC62" s="0" t="str">
        <f aca="false">B62&amp;"|"&amp;D62</f>
        <v>14158|20220630</v>
      </c>
    </row>
    <row r="63" customFormat="false" ht="15" hidden="false" customHeight="false" outlineLevel="0" collapsed="false">
      <c r="A63" s="0" t="n">
        <f aca="false">RawFinancials!A63</f>
        <v>60</v>
      </c>
      <c r="B63" s="0" t="n">
        <f aca="false">RawFinancials!C63</f>
        <v>14168</v>
      </c>
      <c r="C63" s="0" t="str">
        <f aca="false">RawFinancials!P63</f>
        <v>PEOPLES TRUST COMPANY OF ST. ALBANS</v>
      </c>
      <c r="D63" s="0" t="n">
        <f aca="false">RawFinancials!W63</f>
        <v>20220630</v>
      </c>
      <c r="E63" s="0" t="str">
        <f aca="false">RawFinancials!Z63</f>
        <v>VT</v>
      </c>
      <c r="F63" s="0" t="n">
        <f aca="false">RawFinancials!B63</f>
        <v>366581</v>
      </c>
      <c r="G63" s="0" t="n">
        <f aca="false">RawFinancials!U63</f>
        <v>0</v>
      </c>
      <c r="H63" s="0" t="n">
        <f aca="false">RawFinancials!O63</f>
        <v>1103</v>
      </c>
      <c r="I63" s="0" t="n">
        <f aca="false">IF(AND(ISNUMBER(G63),ISNUMBER(H63)),G63+H63,"")</f>
        <v>1103</v>
      </c>
      <c r="J63" s="0" t="n">
        <f aca="false">RawFinancials!D63</f>
        <v>329789</v>
      </c>
      <c r="K63" s="0" t="n">
        <f aca="false">RawFinancials!F63</f>
        <v>32327</v>
      </c>
      <c r="L63" s="0" t="n">
        <f aca="false">RawFinancials!L63</f>
        <v>200834</v>
      </c>
      <c r="M63" s="0" t="n">
        <f aca="false">RawFinancials!N63</f>
        <v>167425</v>
      </c>
      <c r="N63" s="13" t="n">
        <f aca="false">RawFinancials!X63</f>
        <v>0.313118388950259</v>
      </c>
      <c r="O63" s="13" t="n">
        <f aca="false">RawFinancials!V63</f>
        <v>18.6461441659596</v>
      </c>
      <c r="P63" s="13" t="n">
        <f aca="false">IF(AND(ISNUMBER(L63),L63&lt;&gt;0,ISNUMBER(M63)),100*M63/L63,"")</f>
        <v>83.3648684983618</v>
      </c>
      <c r="Q63" s="13" t="n">
        <f aca="false">IF(AND(ISNUMBER(F63),F63&lt;&gt;0,ISNUMBER(K63)),100*K63/F63,"")</f>
        <v>8.81851487120173</v>
      </c>
      <c r="R63" s="11" t="b">
        <f aca="false">AND(ISNUMBER(F63),F63&gt;0,ISNUMBER(G63),G63&gt;=0,ISNUMBER(H63),H63&gt;=0)</f>
        <v>1</v>
      </c>
      <c r="S63" s="13" t="n">
        <f aca="false">IF(R63,100*I63/F63,"")</f>
        <v>0.300888480308581</v>
      </c>
      <c r="T63" s="11" t="b">
        <f aca="false">NOT(AND(OR(AND(ISBLANK(RawFinancials!B63),ISBLANK(_RawBaseline!B60)),AND(ISNUMBER(RawFinancials!B63),ISNUMBER(_RawBaseline!B60),RawFinancials!B63=_RawBaseline!B60)),OR(AND(ISBLANK(RawFinancials!U63),ISBLANK(_RawBaseline!U60)),AND(ISNUMBER(RawFinancials!U63),ISNUMBER(_RawBaseline!U60),RawFinancials!U63=_RawBaseline!U60)),OR(AND(ISBLANK(RawFinancials!O63),ISBLANK(_RawBaseline!O60)),AND(ISNUMBER(RawFinancials!O63),ISNUMBER(_RawBaseline!O60),RawFinancials!O63=_RawBaseline!O60))))</f>
        <v>0</v>
      </c>
      <c r="U63" s="13" t="n">
        <f aca="false">IF(AND(D63=WF_START_PERIOD,R63,COUNTIFS($B$5:$B$750,B63,$D$5:$D$750,WF_END_PERIOD,$R$5:$R$750,TRUE())&gt;0),SUMIFS($S$5:$S$750,$B$5:$B$750,B63,$D$5:$D$750,WF_END_PERIOD,$R$5:$R$750,TRUE()),0)</f>
        <v>0</v>
      </c>
      <c r="V63" s="0" t="str">
        <f aca="false">IF(AND(D63=WF_START_PERIOD,COUNTIFS($B$5:$B$750,B63,$D$5:$D$750,WF_END_PERIOD)&gt;0),INDEX($E$5:$E$750,MATCH(B63&amp;"|"&amp;WF_END_PERIOD,$AC$5:$AC$750,0)),"")</f>
        <v/>
      </c>
      <c r="W63" s="11" t="b">
        <f aca="false">COUNTIFS($B$5:$B$750,B63,$D$5:$D$750,WF_START_PERIOD,$R$5:$R$750,TRUE())&gt;0</f>
        <v>1</v>
      </c>
      <c r="X63" s="11" t="b">
        <f aca="false">COUNTIFS($B$5:$B$750,B63,$D$5:$D$750,WF_END_PERIOD,$R$5:$R$750,TRUE())&gt;0</f>
        <v>1</v>
      </c>
      <c r="Y63" s="0" t="str">
        <f aca="false">IF(AND(D63=WF_END_PERIOD,COUNTIFS($B$5:$B$750,B63,$D$5:$D$750,WF_START_PERIOD)&gt;0),INDEX($E$5:$E$750,MATCH(B63&amp;"|"&amp;WF_START_PERIOD,$AC$5:$AC$750,0)),"")</f>
        <v/>
      </c>
      <c r="Z63" s="0" t="str">
        <f aca="false">IF(AND(D63=WF_END_PERIOD,R63),1+COUNTIFS($D$5:$D$750,WF_END_PERIOD,$E$5:$E$750,E63,$R$5:$R$750,TRUE(),$S$5:$S$750,"&gt;"&amp;S63)+COUNTIFS($D$5:$D$750,WF_END_PERIOD,$E$5:$E$750,E63,$R$5:$R$750,TRUE(),$S$5:$S$750,S63,$B$5:$B$750,"&lt;"&amp;B63),"")</f>
        <v/>
      </c>
      <c r="AA63" s="0" t="str">
        <f aca="false">IF(AND(D63=WF_END_PERIOD,R63,Z63&lt;&gt;1),1+COUNTIFS($D$5:$D$750,WF_END_PERIOD,$R$5:$R$750,TRUE(),$Z$5:$Z$750,"&lt;&gt;1",$S$5:$S$750,"&gt;"&amp;S63)+COUNTIFS($D$5:$D$750,WF_END_PERIOD,$R$5:$R$750,TRUE(),$Z$5:$Z$750,"&lt;&gt;1",$S$5:$S$750,S63,$B$5:$B$750,"&lt;"&amp;B63),"")</f>
        <v/>
      </c>
      <c r="AB63" s="11" t="b">
        <f aca="false">OR(D63=WF_START_PERIOD,D63=WF_END_PERIOD)</f>
        <v>0</v>
      </c>
      <c r="AC63" s="0" t="str">
        <f aca="false">B63&amp;"|"&amp;D63</f>
        <v>14168|20220630</v>
      </c>
    </row>
    <row r="64" customFormat="false" ht="15" hidden="false" customHeight="false" outlineLevel="0" collapsed="false">
      <c r="A64" s="0" t="n">
        <f aca="false">RawFinancials!A64</f>
        <v>61</v>
      </c>
      <c r="B64" s="0" t="n">
        <f aca="false">RawFinancials!C64</f>
        <v>14240</v>
      </c>
      <c r="C64" s="0" t="str">
        <f aca="false">RawFinancials!P64</f>
        <v>NORTHWAY BANK</v>
      </c>
      <c r="D64" s="0" t="n">
        <f aca="false">RawFinancials!W64</f>
        <v>20220630</v>
      </c>
      <c r="E64" s="0" t="str">
        <f aca="false">RawFinancials!Z64</f>
        <v>NH</v>
      </c>
      <c r="F64" s="0" t="n">
        <f aca="false">RawFinancials!B64</f>
        <v>1238699</v>
      </c>
      <c r="G64" s="0" t="n">
        <f aca="false">RawFinancials!U64</f>
        <v>0</v>
      </c>
      <c r="H64" s="0" t="n">
        <f aca="false">RawFinancials!O64</f>
        <v>1924</v>
      </c>
      <c r="I64" s="0" t="n">
        <f aca="false">IF(AND(ISNUMBER(G64),ISNUMBER(H64)),G64+H64,"")</f>
        <v>1924</v>
      </c>
      <c r="J64" s="0" t="n">
        <f aca="false">RawFinancials!D64</f>
        <v>1039863</v>
      </c>
      <c r="K64" s="0" t="n">
        <f aca="false">RawFinancials!F64</f>
        <v>89585</v>
      </c>
      <c r="L64" s="0" t="n">
        <f aca="false">RawFinancials!L64</f>
        <v>863984</v>
      </c>
      <c r="M64" s="0" t="n">
        <f aca="false">RawFinancials!N64</f>
        <v>739584</v>
      </c>
      <c r="N64" s="13" t="n">
        <f aca="false">RawFinancials!X64</f>
        <v>-0.0461854716711551</v>
      </c>
      <c r="O64" s="13" t="n">
        <f aca="false">RawFinancials!V64</f>
        <v>14.5547297139032</v>
      </c>
      <c r="P64" s="13" t="n">
        <f aca="false">IF(AND(ISNUMBER(L64),L64&lt;&gt;0,ISNUMBER(M64)),100*M64/L64,"")</f>
        <v>85.601585214541</v>
      </c>
      <c r="Q64" s="13" t="n">
        <f aca="false">IF(AND(ISNUMBER(F64),F64&lt;&gt;0,ISNUMBER(K64)),100*K64/F64,"")</f>
        <v>7.23218473575905</v>
      </c>
      <c r="R64" s="11" t="b">
        <f aca="false">AND(ISNUMBER(F64),F64&gt;0,ISNUMBER(G64),G64&gt;=0,ISNUMBER(H64),H64&gt;=0)</f>
        <v>1</v>
      </c>
      <c r="S64" s="13" t="n">
        <f aca="false">IF(R64,100*I64/F64,"")</f>
        <v>0.15532425552939</v>
      </c>
      <c r="T64" s="11" t="b">
        <f aca="false">NOT(AND(OR(AND(ISBLANK(RawFinancials!B64),ISBLANK(_RawBaseline!B61)),AND(ISNUMBER(RawFinancials!B64),ISNUMBER(_RawBaseline!B61),RawFinancials!B64=_RawBaseline!B61)),OR(AND(ISBLANK(RawFinancials!U64),ISBLANK(_RawBaseline!U61)),AND(ISNUMBER(RawFinancials!U64),ISNUMBER(_RawBaseline!U61),RawFinancials!U64=_RawBaseline!U61)),OR(AND(ISBLANK(RawFinancials!O64),ISBLANK(_RawBaseline!O61)),AND(ISNUMBER(RawFinancials!O64),ISNUMBER(_RawBaseline!O61),RawFinancials!O64=_RawBaseline!O61))))</f>
        <v>0</v>
      </c>
      <c r="U64" s="13" t="n">
        <f aca="false">IF(AND(D64=WF_START_PERIOD,R64,COUNTIFS($B$5:$B$750,B64,$D$5:$D$750,WF_END_PERIOD,$R$5:$R$750,TRUE())&gt;0),SUMIFS($S$5:$S$750,$B$5:$B$750,B64,$D$5:$D$750,WF_END_PERIOD,$R$5:$R$750,TRUE()),0)</f>
        <v>0</v>
      </c>
      <c r="V64" s="0" t="str">
        <f aca="false">IF(AND(D64=WF_START_PERIOD,COUNTIFS($B$5:$B$750,B64,$D$5:$D$750,WF_END_PERIOD)&gt;0),INDEX($E$5:$E$750,MATCH(B64&amp;"|"&amp;WF_END_PERIOD,$AC$5:$AC$750,0)),"")</f>
        <v/>
      </c>
      <c r="W64" s="11" t="b">
        <f aca="false">COUNTIFS($B$5:$B$750,B64,$D$5:$D$750,WF_START_PERIOD,$R$5:$R$750,TRUE())&gt;0</f>
        <v>1</v>
      </c>
      <c r="X64" s="11" t="b">
        <f aca="false">COUNTIFS($B$5:$B$750,B64,$D$5:$D$750,WF_END_PERIOD,$R$5:$R$750,TRUE())&gt;0</f>
        <v>0</v>
      </c>
      <c r="Y64" s="0" t="str">
        <f aca="false">IF(AND(D64=WF_END_PERIOD,COUNTIFS($B$5:$B$750,B64,$D$5:$D$750,WF_START_PERIOD)&gt;0),INDEX($E$5:$E$750,MATCH(B64&amp;"|"&amp;WF_START_PERIOD,$AC$5:$AC$750,0)),"")</f>
        <v/>
      </c>
      <c r="Z64" s="0" t="str">
        <f aca="false">IF(AND(D64=WF_END_PERIOD,R64),1+COUNTIFS($D$5:$D$750,WF_END_PERIOD,$E$5:$E$750,E64,$R$5:$R$750,TRUE(),$S$5:$S$750,"&gt;"&amp;S64)+COUNTIFS($D$5:$D$750,WF_END_PERIOD,$E$5:$E$750,E64,$R$5:$R$750,TRUE(),$S$5:$S$750,S64,$B$5:$B$750,"&lt;"&amp;B64),"")</f>
        <v/>
      </c>
      <c r="AA64" s="0" t="str">
        <f aca="false">IF(AND(D64=WF_END_PERIOD,R64,Z64&lt;&gt;1),1+COUNTIFS($D$5:$D$750,WF_END_PERIOD,$R$5:$R$750,TRUE(),$Z$5:$Z$750,"&lt;&gt;1",$S$5:$S$750,"&gt;"&amp;S64)+COUNTIFS($D$5:$D$750,WF_END_PERIOD,$R$5:$R$750,TRUE(),$Z$5:$Z$750,"&lt;&gt;1",$S$5:$S$750,S64,$B$5:$B$750,"&lt;"&amp;B64),"")</f>
        <v/>
      </c>
      <c r="AB64" s="11" t="b">
        <f aca="false">OR(D64=WF_START_PERIOD,D64=WF_END_PERIOD)</f>
        <v>0</v>
      </c>
      <c r="AC64" s="0" t="str">
        <f aca="false">B64&amp;"|"&amp;D64</f>
        <v>14240|20220630</v>
      </c>
    </row>
    <row r="65" customFormat="false" ht="15" hidden="false" customHeight="false" outlineLevel="0" collapsed="false">
      <c r="A65" s="0" t="n">
        <f aca="false">RawFinancials!A65</f>
        <v>62</v>
      </c>
      <c r="B65" s="0" t="n">
        <f aca="false">RawFinancials!C65</f>
        <v>17115</v>
      </c>
      <c r="C65" s="0" t="str">
        <f aca="false">RawFinancials!P65</f>
        <v>PARTNERS BANK OF NEW ENGLAND</v>
      </c>
      <c r="D65" s="0" t="n">
        <f aca="false">RawFinancials!W65</f>
        <v>20220630</v>
      </c>
      <c r="E65" s="0" t="str">
        <f aca="false">RawFinancials!Z65</f>
        <v>ME</v>
      </c>
      <c r="F65" s="0" t="n">
        <f aca="false">RawFinancials!B65</f>
        <v>914201</v>
      </c>
      <c r="G65" s="0" t="n">
        <f aca="false">RawFinancials!U65</f>
        <v>0</v>
      </c>
      <c r="H65" s="0" t="n">
        <f aca="false">RawFinancials!O65</f>
        <v>157</v>
      </c>
      <c r="I65" s="0" t="n">
        <f aca="false">IF(AND(ISNUMBER(G65),ISNUMBER(H65)),G65+H65,"")</f>
        <v>157</v>
      </c>
      <c r="J65" s="0" t="n">
        <f aca="false">RawFinancials!D65</f>
        <v>774623</v>
      </c>
      <c r="K65" s="0" t="n">
        <f aca="false">RawFinancials!F65</f>
        <v>77851</v>
      </c>
      <c r="L65" s="0" t="n">
        <f aca="false">RawFinancials!L65</f>
        <v>737353</v>
      </c>
      <c r="M65" s="0" t="n">
        <f aca="false">RawFinancials!N65</f>
        <v>687325</v>
      </c>
      <c r="N65" s="13" t="n">
        <f aca="false">RawFinancials!X65</f>
        <v>0.413239234898123</v>
      </c>
      <c r="O65" s="13" t="n">
        <f aca="false">RawFinancials!V65</f>
        <v>14.6817189734327</v>
      </c>
      <c r="P65" s="13" t="n">
        <f aca="false">IF(AND(ISNUMBER(L65),L65&lt;&gt;0,ISNUMBER(M65)),100*M65/L65,"")</f>
        <v>93.2151900107547</v>
      </c>
      <c r="Q65" s="13" t="n">
        <f aca="false">IF(AND(ISNUMBER(F65),F65&lt;&gt;0,ISNUMBER(K65)),100*K65/F65,"")</f>
        <v>8.51574216173467</v>
      </c>
      <c r="R65" s="11" t="b">
        <f aca="false">AND(ISNUMBER(F65),F65&gt;0,ISNUMBER(G65),G65&gt;=0,ISNUMBER(H65),H65&gt;=0)</f>
        <v>1</v>
      </c>
      <c r="S65" s="13" t="n">
        <f aca="false">IF(R65,100*I65/F65,"")</f>
        <v>0.0171734662289803</v>
      </c>
      <c r="T65" s="11" t="b">
        <f aca="false">NOT(AND(OR(AND(ISBLANK(RawFinancials!B65),ISBLANK(_RawBaseline!B62)),AND(ISNUMBER(RawFinancials!B65),ISNUMBER(_RawBaseline!B62),RawFinancials!B65=_RawBaseline!B62)),OR(AND(ISBLANK(RawFinancials!U65),ISBLANK(_RawBaseline!U62)),AND(ISNUMBER(RawFinancials!U65),ISNUMBER(_RawBaseline!U62),RawFinancials!U65=_RawBaseline!U62)),OR(AND(ISBLANK(RawFinancials!O65),ISBLANK(_RawBaseline!O62)),AND(ISNUMBER(RawFinancials!O65),ISNUMBER(_RawBaseline!O62),RawFinancials!O65=_RawBaseline!O62))))</f>
        <v>0</v>
      </c>
      <c r="U65" s="13" t="n">
        <f aca="false">IF(AND(D65=WF_START_PERIOD,R65,COUNTIFS($B$5:$B$750,B65,$D$5:$D$750,WF_END_PERIOD,$R$5:$R$750,TRUE())&gt;0),SUMIFS($S$5:$S$750,$B$5:$B$750,B65,$D$5:$D$750,WF_END_PERIOD,$R$5:$R$750,TRUE()),0)</f>
        <v>0</v>
      </c>
      <c r="V65" s="0" t="str">
        <f aca="false">IF(AND(D65=WF_START_PERIOD,COUNTIFS($B$5:$B$750,B65,$D$5:$D$750,WF_END_PERIOD)&gt;0),INDEX($E$5:$E$750,MATCH(B65&amp;"|"&amp;WF_END_PERIOD,$AC$5:$AC$750,0)),"")</f>
        <v/>
      </c>
      <c r="W65" s="11" t="b">
        <f aca="false">COUNTIFS($B$5:$B$750,B65,$D$5:$D$750,WF_START_PERIOD,$R$5:$R$750,TRUE())&gt;0</f>
        <v>1</v>
      </c>
      <c r="X65" s="11" t="b">
        <f aca="false">COUNTIFS($B$5:$B$750,B65,$D$5:$D$750,WF_END_PERIOD,$R$5:$R$750,TRUE())&gt;0</f>
        <v>1</v>
      </c>
      <c r="Y65" s="0" t="str">
        <f aca="false">IF(AND(D65=WF_END_PERIOD,COUNTIFS($B$5:$B$750,B65,$D$5:$D$750,WF_START_PERIOD)&gt;0),INDEX($E$5:$E$750,MATCH(B65&amp;"|"&amp;WF_START_PERIOD,$AC$5:$AC$750,0)),"")</f>
        <v/>
      </c>
      <c r="Z65" s="0" t="str">
        <f aca="false">IF(AND(D65=WF_END_PERIOD,R65),1+COUNTIFS($D$5:$D$750,WF_END_PERIOD,$E$5:$E$750,E65,$R$5:$R$750,TRUE(),$S$5:$S$750,"&gt;"&amp;S65)+COUNTIFS($D$5:$D$750,WF_END_PERIOD,$E$5:$E$750,E65,$R$5:$R$750,TRUE(),$S$5:$S$750,S65,$B$5:$B$750,"&lt;"&amp;B65),"")</f>
        <v/>
      </c>
      <c r="AA65" s="0" t="str">
        <f aca="false">IF(AND(D65=WF_END_PERIOD,R65,Z65&lt;&gt;1),1+COUNTIFS($D$5:$D$750,WF_END_PERIOD,$R$5:$R$750,TRUE(),$Z$5:$Z$750,"&lt;&gt;1",$S$5:$S$750,"&gt;"&amp;S65)+COUNTIFS($D$5:$D$750,WF_END_PERIOD,$R$5:$R$750,TRUE(),$Z$5:$Z$750,"&lt;&gt;1",$S$5:$S$750,S65,$B$5:$B$750,"&lt;"&amp;B65),"")</f>
        <v/>
      </c>
      <c r="AB65" s="11" t="b">
        <f aca="false">OR(D65=WF_START_PERIOD,D65=WF_END_PERIOD)</f>
        <v>0</v>
      </c>
      <c r="AC65" s="0" t="str">
        <f aca="false">B65&amp;"|"&amp;D65</f>
        <v>17115|20220630</v>
      </c>
    </row>
    <row r="66" customFormat="false" ht="15" hidden="false" customHeight="false" outlineLevel="0" collapsed="false">
      <c r="A66" s="0" t="n">
        <f aca="false">RawFinancials!A66</f>
        <v>63</v>
      </c>
      <c r="B66" s="0" t="n">
        <f aca="false">RawFinancials!C66</f>
        <v>17180</v>
      </c>
      <c r="C66" s="0" t="str">
        <f aca="false">RawFinancials!P66</f>
        <v>MEREDITH VILLAGE SAVINGS BANK</v>
      </c>
      <c r="D66" s="0" t="n">
        <f aca="false">RawFinancials!W66</f>
        <v>20220630</v>
      </c>
      <c r="E66" s="0" t="str">
        <f aca="false">RawFinancials!Z66</f>
        <v>NH</v>
      </c>
      <c r="F66" s="0" t="n">
        <f aca="false">RawFinancials!B66</f>
        <v>1369843</v>
      </c>
      <c r="G66" s="0" t="n">
        <f aca="false">RawFinancials!U66</f>
        <v>0</v>
      </c>
      <c r="H66" s="0" t="n">
        <f aca="false">RawFinancials!O66</f>
        <v>5496</v>
      </c>
      <c r="I66" s="0" t="n">
        <f aca="false">IF(AND(ISNUMBER(G66),ISNUMBER(H66)),G66+H66,"")</f>
        <v>5496</v>
      </c>
      <c r="J66" s="0" t="n">
        <f aca="false">RawFinancials!D66</f>
        <v>1167333</v>
      </c>
      <c r="K66" s="0" t="n">
        <f aca="false">RawFinancials!F66</f>
        <v>125334</v>
      </c>
      <c r="L66" s="0" t="n">
        <f aca="false">RawFinancials!L66</f>
        <v>1219641</v>
      </c>
      <c r="M66" s="0" t="n">
        <f aca="false">RawFinancials!N66</f>
        <v>984334</v>
      </c>
      <c r="N66" s="13" t="n">
        <f aca="false">RawFinancials!X66</f>
        <v>0.751509742960674</v>
      </c>
      <c r="O66" s="13" t="n">
        <f aca="false">RawFinancials!V66</f>
        <v>14.7385258242796</v>
      </c>
      <c r="P66" s="13" t="n">
        <f aca="false">IF(AND(ISNUMBER(L66),L66&lt;&gt;0,ISNUMBER(M66)),100*M66/L66,"")</f>
        <v>80.7068637410517</v>
      </c>
      <c r="Q66" s="13" t="n">
        <f aca="false">IF(AND(ISNUMBER(F66),F66&lt;&gt;0,ISNUMBER(K66)),100*K66/F66,"")</f>
        <v>9.149515674424</v>
      </c>
      <c r="R66" s="11" t="b">
        <f aca="false">AND(ISNUMBER(F66),F66&gt;0,ISNUMBER(G66),G66&gt;=0,ISNUMBER(H66),H66&gt;=0)</f>
        <v>1</v>
      </c>
      <c r="S66" s="13" t="n">
        <f aca="false">IF(R66,100*I66/F66,"")</f>
        <v>0.40121386173452</v>
      </c>
      <c r="T66" s="11" t="b">
        <f aca="false">NOT(AND(OR(AND(ISBLANK(RawFinancials!B66),ISBLANK(_RawBaseline!B63)),AND(ISNUMBER(RawFinancials!B66),ISNUMBER(_RawBaseline!B63),RawFinancials!B66=_RawBaseline!B63)),OR(AND(ISBLANK(RawFinancials!U66),ISBLANK(_RawBaseline!U63)),AND(ISNUMBER(RawFinancials!U66),ISNUMBER(_RawBaseline!U63),RawFinancials!U66=_RawBaseline!U63)),OR(AND(ISBLANK(RawFinancials!O66),ISBLANK(_RawBaseline!O63)),AND(ISNUMBER(RawFinancials!O66),ISNUMBER(_RawBaseline!O63),RawFinancials!O66=_RawBaseline!O63))))</f>
        <v>0</v>
      </c>
      <c r="U66" s="13" t="n">
        <f aca="false">IF(AND(D66=WF_START_PERIOD,R66,COUNTIFS($B$5:$B$750,B66,$D$5:$D$750,WF_END_PERIOD,$R$5:$R$750,TRUE())&gt;0),SUMIFS($S$5:$S$750,$B$5:$B$750,B66,$D$5:$D$750,WF_END_PERIOD,$R$5:$R$750,TRUE()),0)</f>
        <v>0</v>
      </c>
      <c r="V66" s="0" t="str">
        <f aca="false">IF(AND(D66=WF_START_PERIOD,COUNTIFS($B$5:$B$750,B66,$D$5:$D$750,WF_END_PERIOD)&gt;0),INDEX($E$5:$E$750,MATCH(B66&amp;"|"&amp;WF_END_PERIOD,$AC$5:$AC$750,0)),"")</f>
        <v/>
      </c>
      <c r="W66" s="11" t="b">
        <f aca="false">COUNTIFS($B$5:$B$750,B66,$D$5:$D$750,WF_START_PERIOD,$R$5:$R$750,TRUE())&gt;0</f>
        <v>1</v>
      </c>
      <c r="X66" s="11" t="b">
        <f aca="false">COUNTIFS($B$5:$B$750,B66,$D$5:$D$750,WF_END_PERIOD,$R$5:$R$750,TRUE())&gt;0</f>
        <v>1</v>
      </c>
      <c r="Y66" s="0" t="str">
        <f aca="false">IF(AND(D66=WF_END_PERIOD,COUNTIFS($B$5:$B$750,B66,$D$5:$D$750,WF_START_PERIOD)&gt;0),INDEX($E$5:$E$750,MATCH(B66&amp;"|"&amp;WF_START_PERIOD,$AC$5:$AC$750,0)),"")</f>
        <v/>
      </c>
      <c r="Z66" s="0" t="str">
        <f aca="false">IF(AND(D66=WF_END_PERIOD,R66),1+COUNTIFS($D$5:$D$750,WF_END_PERIOD,$E$5:$E$750,E66,$R$5:$R$750,TRUE(),$S$5:$S$750,"&gt;"&amp;S66)+COUNTIFS($D$5:$D$750,WF_END_PERIOD,$E$5:$E$750,E66,$R$5:$R$750,TRUE(),$S$5:$S$750,S66,$B$5:$B$750,"&lt;"&amp;B66),"")</f>
        <v/>
      </c>
      <c r="AA66" s="0" t="str">
        <f aca="false">IF(AND(D66=WF_END_PERIOD,R66,Z66&lt;&gt;1),1+COUNTIFS($D$5:$D$750,WF_END_PERIOD,$R$5:$R$750,TRUE(),$Z$5:$Z$750,"&lt;&gt;1",$S$5:$S$750,"&gt;"&amp;S66)+COUNTIFS($D$5:$D$750,WF_END_PERIOD,$R$5:$R$750,TRUE(),$Z$5:$Z$750,"&lt;&gt;1",$S$5:$S$750,S66,$B$5:$B$750,"&lt;"&amp;B66),"")</f>
        <v/>
      </c>
      <c r="AB66" s="11" t="b">
        <f aca="false">OR(D66=WF_START_PERIOD,D66=WF_END_PERIOD)</f>
        <v>0</v>
      </c>
      <c r="AC66" s="0" t="str">
        <f aca="false">B66&amp;"|"&amp;D66</f>
        <v>17180|20220630</v>
      </c>
    </row>
    <row r="67" customFormat="false" ht="15" hidden="false" customHeight="false" outlineLevel="0" collapsed="false">
      <c r="A67" s="0" t="n">
        <f aca="false">RawFinancials!A67</f>
        <v>64</v>
      </c>
      <c r="B67" s="0" t="n">
        <f aca="false">RawFinancials!C67</f>
        <v>17443</v>
      </c>
      <c r="C67" s="0" t="str">
        <f aca="false">RawFinancials!P67</f>
        <v>PISCATAQUA SAVINGS BANK</v>
      </c>
      <c r="D67" s="0" t="n">
        <f aca="false">RawFinancials!W67</f>
        <v>20220630</v>
      </c>
      <c r="E67" s="0" t="str">
        <f aca="false">RawFinancials!Z67</f>
        <v>NH</v>
      </c>
      <c r="F67" s="0" t="n">
        <f aca="false">RawFinancials!B67</f>
        <v>353376</v>
      </c>
      <c r="G67" s="0" t="n">
        <f aca="false">RawFinancials!U67</f>
        <v>0</v>
      </c>
      <c r="H67" s="0" t="n">
        <f aca="false">RawFinancials!O67</f>
        <v>178</v>
      </c>
      <c r="I67" s="0" t="n">
        <f aca="false">IF(AND(ISNUMBER(G67),ISNUMBER(H67)),G67+H67,"")</f>
        <v>178</v>
      </c>
      <c r="J67" s="0" t="n">
        <f aca="false">RawFinancials!D67</f>
        <v>298828</v>
      </c>
      <c r="K67" s="0" t="n">
        <f aca="false">RawFinancials!F67</f>
        <v>40397</v>
      </c>
      <c r="L67" s="0" t="n">
        <f aca="false">RawFinancials!L67</f>
        <v>190487</v>
      </c>
      <c r="M67" s="0" t="n">
        <f aca="false">RawFinancials!N67</f>
        <v>188077</v>
      </c>
      <c r="N67" s="13" t="n">
        <f aca="false">RawFinancials!X67</f>
        <v>0.604229033746087</v>
      </c>
      <c r="O67" s="13" t="n">
        <f aca="false">RawFinancials!V67</f>
        <v>0</v>
      </c>
      <c r="P67" s="13" t="n">
        <f aca="false">IF(AND(ISNUMBER(L67),L67&lt;&gt;0,ISNUMBER(M67)),100*M67/L67,"")</f>
        <v>98.7348217988629</v>
      </c>
      <c r="Q67" s="13" t="n">
        <f aca="false">IF(AND(ISNUMBER(F67),F67&lt;&gt;0,ISNUMBER(K67)),100*K67/F67,"")</f>
        <v>11.4317327718917</v>
      </c>
      <c r="R67" s="11" t="b">
        <f aca="false">AND(ISNUMBER(F67),F67&gt;0,ISNUMBER(G67),G67&gt;=0,ISNUMBER(H67),H67&gt;=0)</f>
        <v>1</v>
      </c>
      <c r="S67" s="13" t="n">
        <f aca="false">IF(R67,100*I67/F67,"")</f>
        <v>0.0503712759213982</v>
      </c>
      <c r="T67" s="11" t="b">
        <f aca="false">NOT(AND(OR(AND(ISBLANK(RawFinancials!B67),ISBLANK(_RawBaseline!B64)),AND(ISNUMBER(RawFinancials!B67),ISNUMBER(_RawBaseline!B64),RawFinancials!B67=_RawBaseline!B64)),OR(AND(ISBLANK(RawFinancials!U67),ISBLANK(_RawBaseline!U64)),AND(ISNUMBER(RawFinancials!U67),ISNUMBER(_RawBaseline!U64),RawFinancials!U67=_RawBaseline!U64)),OR(AND(ISBLANK(RawFinancials!O67),ISBLANK(_RawBaseline!O64)),AND(ISNUMBER(RawFinancials!O67),ISNUMBER(_RawBaseline!O64),RawFinancials!O67=_RawBaseline!O64))))</f>
        <v>0</v>
      </c>
      <c r="U67" s="13" t="n">
        <f aca="false">IF(AND(D67=WF_START_PERIOD,R67,COUNTIFS($B$5:$B$750,B67,$D$5:$D$750,WF_END_PERIOD,$R$5:$R$750,TRUE())&gt;0),SUMIFS($S$5:$S$750,$B$5:$B$750,B67,$D$5:$D$750,WF_END_PERIOD,$R$5:$R$750,TRUE()),0)</f>
        <v>0</v>
      </c>
      <c r="V67" s="0" t="str">
        <f aca="false">IF(AND(D67=WF_START_PERIOD,COUNTIFS($B$5:$B$750,B67,$D$5:$D$750,WF_END_PERIOD)&gt;0),INDEX($E$5:$E$750,MATCH(B67&amp;"|"&amp;WF_END_PERIOD,$AC$5:$AC$750,0)),"")</f>
        <v/>
      </c>
      <c r="W67" s="11" t="b">
        <f aca="false">COUNTIFS($B$5:$B$750,B67,$D$5:$D$750,WF_START_PERIOD,$R$5:$R$750,TRUE())&gt;0</f>
        <v>1</v>
      </c>
      <c r="X67" s="11" t="b">
        <f aca="false">COUNTIFS($B$5:$B$750,B67,$D$5:$D$750,WF_END_PERIOD,$R$5:$R$750,TRUE())&gt;0</f>
        <v>1</v>
      </c>
      <c r="Y67" s="0" t="str">
        <f aca="false">IF(AND(D67=WF_END_PERIOD,COUNTIFS($B$5:$B$750,B67,$D$5:$D$750,WF_START_PERIOD)&gt;0),INDEX($E$5:$E$750,MATCH(B67&amp;"|"&amp;WF_START_PERIOD,$AC$5:$AC$750,0)),"")</f>
        <v/>
      </c>
      <c r="Z67" s="0" t="str">
        <f aca="false">IF(AND(D67=WF_END_PERIOD,R67),1+COUNTIFS($D$5:$D$750,WF_END_PERIOD,$E$5:$E$750,E67,$R$5:$R$750,TRUE(),$S$5:$S$750,"&gt;"&amp;S67)+COUNTIFS($D$5:$D$750,WF_END_PERIOD,$E$5:$E$750,E67,$R$5:$R$750,TRUE(),$S$5:$S$750,S67,$B$5:$B$750,"&lt;"&amp;B67),"")</f>
        <v/>
      </c>
      <c r="AA67" s="0" t="str">
        <f aca="false">IF(AND(D67=WF_END_PERIOD,R67,Z67&lt;&gt;1),1+COUNTIFS($D$5:$D$750,WF_END_PERIOD,$R$5:$R$750,TRUE(),$Z$5:$Z$750,"&lt;&gt;1",$S$5:$S$750,"&gt;"&amp;S67)+COUNTIFS($D$5:$D$750,WF_END_PERIOD,$R$5:$R$750,TRUE(),$Z$5:$Z$750,"&lt;&gt;1",$S$5:$S$750,S67,$B$5:$B$750,"&lt;"&amp;B67),"")</f>
        <v/>
      </c>
      <c r="AB67" s="11" t="b">
        <f aca="false">OR(D67=WF_START_PERIOD,D67=WF_END_PERIOD)</f>
        <v>0</v>
      </c>
      <c r="AC67" s="0" t="str">
        <f aca="false">B67&amp;"|"&amp;D67</f>
        <v>17443|20220630</v>
      </c>
    </row>
    <row r="68" customFormat="false" ht="15" hidden="false" customHeight="false" outlineLevel="0" collapsed="false">
      <c r="A68" s="0" t="n">
        <f aca="false">RawFinancials!A68</f>
        <v>65</v>
      </c>
      <c r="B68" s="0" t="n">
        <f aca="false">RawFinancials!C68</f>
        <v>17658</v>
      </c>
      <c r="C68" s="0" t="str">
        <f aca="false">RawFinancials!P68</f>
        <v>NORWAY SAVINGS BANK</v>
      </c>
      <c r="D68" s="0" t="n">
        <f aca="false">RawFinancials!W68</f>
        <v>20220630</v>
      </c>
      <c r="E68" s="0" t="str">
        <f aca="false">RawFinancials!Z68</f>
        <v>ME</v>
      </c>
      <c r="F68" s="0" t="n">
        <f aca="false">RawFinancials!B68</f>
        <v>1739201</v>
      </c>
      <c r="G68" s="0" t="n">
        <f aca="false">RawFinancials!U68</f>
        <v>0</v>
      </c>
      <c r="H68" s="0" t="n">
        <f aca="false">RawFinancials!O68</f>
        <v>519</v>
      </c>
      <c r="I68" s="0" t="n">
        <f aca="false">IF(AND(ISNUMBER(G68),ISNUMBER(H68)),G68+H68,"")</f>
        <v>519</v>
      </c>
      <c r="J68" s="0" t="n">
        <f aca="false">RawFinancials!D68</f>
        <v>1514378</v>
      </c>
      <c r="K68" s="0" t="n">
        <f aca="false">RawFinancials!F68</f>
        <v>193833</v>
      </c>
      <c r="L68" s="0" t="n">
        <f aca="false">RawFinancials!L68</f>
        <v>1140881</v>
      </c>
      <c r="M68" s="0" t="n">
        <f aca="false">RawFinancials!N68</f>
        <v>992175</v>
      </c>
      <c r="N68" s="13" t="n">
        <f aca="false">RawFinancials!X68</f>
        <v>-0.126062833693635</v>
      </c>
      <c r="O68" s="13" t="n">
        <f aca="false">RawFinancials!V68</f>
        <v>0</v>
      </c>
      <c r="P68" s="13" t="n">
        <f aca="false">IF(AND(ISNUMBER(L68),L68&lt;&gt;0,ISNUMBER(M68)),100*M68/L68,"")</f>
        <v>86.9656870436093</v>
      </c>
      <c r="Q68" s="13" t="n">
        <f aca="false">IF(AND(ISNUMBER(F68),F68&lt;&gt;0,ISNUMBER(K68)),100*K68/F68,"")</f>
        <v>11.1449452938447</v>
      </c>
      <c r="R68" s="11" t="b">
        <f aca="false">AND(ISNUMBER(F68),F68&gt;0,ISNUMBER(G68),G68&gt;=0,ISNUMBER(H68),H68&gt;=0)</f>
        <v>1</v>
      </c>
      <c r="S68" s="13" t="n">
        <f aca="false">IF(R68,100*I68/F68,"")</f>
        <v>0.0298412891896911</v>
      </c>
      <c r="T68" s="11" t="b">
        <f aca="false">NOT(AND(OR(AND(ISBLANK(RawFinancials!B68),ISBLANK(_RawBaseline!B65)),AND(ISNUMBER(RawFinancials!B68),ISNUMBER(_RawBaseline!B65),RawFinancials!B68=_RawBaseline!B65)),OR(AND(ISBLANK(RawFinancials!U68),ISBLANK(_RawBaseline!U65)),AND(ISNUMBER(RawFinancials!U68),ISNUMBER(_RawBaseline!U65),RawFinancials!U68=_RawBaseline!U65)),OR(AND(ISBLANK(RawFinancials!O68),ISBLANK(_RawBaseline!O65)),AND(ISNUMBER(RawFinancials!O68),ISNUMBER(_RawBaseline!O65),RawFinancials!O68=_RawBaseline!O65))))</f>
        <v>0</v>
      </c>
      <c r="U68" s="13" t="n">
        <f aca="false">IF(AND(D68=WF_START_PERIOD,R68,COUNTIFS($B$5:$B$750,B68,$D$5:$D$750,WF_END_PERIOD,$R$5:$R$750,TRUE())&gt;0),SUMIFS($S$5:$S$750,$B$5:$B$750,B68,$D$5:$D$750,WF_END_PERIOD,$R$5:$R$750,TRUE()),0)</f>
        <v>0</v>
      </c>
      <c r="V68" s="0" t="str">
        <f aca="false">IF(AND(D68=WF_START_PERIOD,COUNTIFS($B$5:$B$750,B68,$D$5:$D$750,WF_END_PERIOD)&gt;0),INDEX($E$5:$E$750,MATCH(B68&amp;"|"&amp;WF_END_PERIOD,$AC$5:$AC$750,0)),"")</f>
        <v/>
      </c>
      <c r="W68" s="11" t="b">
        <f aca="false">COUNTIFS($B$5:$B$750,B68,$D$5:$D$750,WF_START_PERIOD,$R$5:$R$750,TRUE())&gt;0</f>
        <v>1</v>
      </c>
      <c r="X68" s="11" t="b">
        <f aca="false">COUNTIFS($B$5:$B$750,B68,$D$5:$D$750,WF_END_PERIOD,$R$5:$R$750,TRUE())&gt;0</f>
        <v>1</v>
      </c>
      <c r="Y68" s="0" t="str">
        <f aca="false">IF(AND(D68=WF_END_PERIOD,COUNTIFS($B$5:$B$750,B68,$D$5:$D$750,WF_START_PERIOD)&gt;0),INDEX($E$5:$E$750,MATCH(B68&amp;"|"&amp;WF_START_PERIOD,$AC$5:$AC$750,0)),"")</f>
        <v/>
      </c>
      <c r="Z68" s="0" t="str">
        <f aca="false">IF(AND(D68=WF_END_PERIOD,R68),1+COUNTIFS($D$5:$D$750,WF_END_PERIOD,$E$5:$E$750,E68,$R$5:$R$750,TRUE(),$S$5:$S$750,"&gt;"&amp;S68)+COUNTIFS($D$5:$D$750,WF_END_PERIOD,$E$5:$E$750,E68,$R$5:$R$750,TRUE(),$S$5:$S$750,S68,$B$5:$B$750,"&lt;"&amp;B68),"")</f>
        <v/>
      </c>
      <c r="AA68" s="0" t="str">
        <f aca="false">IF(AND(D68=WF_END_PERIOD,R68,Z68&lt;&gt;1),1+COUNTIFS($D$5:$D$750,WF_END_PERIOD,$R$5:$R$750,TRUE(),$Z$5:$Z$750,"&lt;&gt;1",$S$5:$S$750,"&gt;"&amp;S68)+COUNTIFS($D$5:$D$750,WF_END_PERIOD,$R$5:$R$750,TRUE(),$Z$5:$Z$750,"&lt;&gt;1",$S$5:$S$750,S68,$B$5:$B$750,"&lt;"&amp;B68),"")</f>
        <v/>
      </c>
      <c r="AB68" s="11" t="b">
        <f aca="false">OR(D68=WF_START_PERIOD,D68=WF_END_PERIOD)</f>
        <v>0</v>
      </c>
      <c r="AC68" s="0" t="str">
        <f aca="false">B68&amp;"|"&amp;D68</f>
        <v>17658|20220630</v>
      </c>
    </row>
    <row r="69" customFormat="false" ht="15" hidden="false" customHeight="false" outlineLevel="0" collapsed="false">
      <c r="A69" s="0" t="n">
        <f aca="false">RawFinancials!A69</f>
        <v>66</v>
      </c>
      <c r="B69" s="0" t="n">
        <f aca="false">RawFinancials!C69</f>
        <v>17741</v>
      </c>
      <c r="C69" s="0" t="str">
        <f aca="false">RawFinancials!P69</f>
        <v>MAINE COMMUNITY BANK</v>
      </c>
      <c r="D69" s="0" t="n">
        <f aca="false">RawFinancials!W69</f>
        <v>20220630</v>
      </c>
      <c r="E69" s="0" t="str">
        <f aca="false">RawFinancials!Z69</f>
        <v>ME</v>
      </c>
      <c r="F69" s="0" t="n">
        <f aca="false">RawFinancials!B69</f>
        <v>999824</v>
      </c>
      <c r="G69" s="0" t="n">
        <f aca="false">RawFinancials!U69</f>
        <v>0</v>
      </c>
      <c r="H69" s="0" t="n">
        <f aca="false">RawFinancials!O69</f>
        <v>1947</v>
      </c>
      <c r="I69" s="0" t="n">
        <f aca="false">IF(AND(ISNUMBER(G69),ISNUMBER(H69)),G69+H69,"")</f>
        <v>1947</v>
      </c>
      <c r="J69" s="0" t="n">
        <f aca="false">RawFinancials!D69</f>
        <v>843050</v>
      </c>
      <c r="K69" s="0" t="n">
        <f aca="false">RawFinancials!F69</f>
        <v>128637</v>
      </c>
      <c r="L69" s="0" t="n">
        <f aca="false">RawFinancials!L69</f>
        <v>799662</v>
      </c>
      <c r="M69" s="0" t="n">
        <f aca="false">RawFinancials!N69</f>
        <v>750035</v>
      </c>
      <c r="N69" s="13" t="n">
        <f aca="false">RawFinancials!X69</f>
        <v>0.558922565605422</v>
      </c>
      <c r="O69" s="13" t="n">
        <f aca="false">RawFinancials!V69</f>
        <v>0</v>
      </c>
      <c r="P69" s="13" t="n">
        <f aca="false">IF(AND(ISNUMBER(L69),L69&lt;&gt;0,ISNUMBER(M69)),100*M69/L69,"")</f>
        <v>93.7940029662533</v>
      </c>
      <c r="Q69" s="13" t="n">
        <f aca="false">IF(AND(ISNUMBER(F69),F69&lt;&gt;0,ISNUMBER(K69)),100*K69/F69,"")</f>
        <v>12.8659644097361</v>
      </c>
      <c r="R69" s="11" t="b">
        <f aca="false">AND(ISNUMBER(F69),F69&gt;0,ISNUMBER(G69),G69&gt;=0,ISNUMBER(H69),H69&gt;=0)</f>
        <v>1</v>
      </c>
      <c r="S69" s="13" t="n">
        <f aca="false">IF(R69,100*I69/F69,"")</f>
        <v>0.194734273232089</v>
      </c>
      <c r="T69" s="11" t="b">
        <f aca="false">NOT(AND(OR(AND(ISBLANK(RawFinancials!B69),ISBLANK(_RawBaseline!B66)),AND(ISNUMBER(RawFinancials!B69),ISNUMBER(_RawBaseline!B66),RawFinancials!B69=_RawBaseline!B66)),OR(AND(ISBLANK(RawFinancials!U69),ISBLANK(_RawBaseline!U66)),AND(ISNUMBER(RawFinancials!U69),ISNUMBER(_RawBaseline!U66),RawFinancials!U69=_RawBaseline!U66)),OR(AND(ISBLANK(RawFinancials!O69),ISBLANK(_RawBaseline!O66)),AND(ISNUMBER(RawFinancials!O69),ISNUMBER(_RawBaseline!O66),RawFinancials!O69=_RawBaseline!O66))))</f>
        <v>0</v>
      </c>
      <c r="U69" s="13" t="n">
        <f aca="false">IF(AND(D69=WF_START_PERIOD,R69,COUNTIFS($B$5:$B$750,B69,$D$5:$D$750,WF_END_PERIOD,$R$5:$R$750,TRUE())&gt;0),SUMIFS($S$5:$S$750,$B$5:$B$750,B69,$D$5:$D$750,WF_END_PERIOD,$R$5:$R$750,TRUE()),0)</f>
        <v>0</v>
      </c>
      <c r="V69" s="0" t="str">
        <f aca="false">IF(AND(D69=WF_START_PERIOD,COUNTIFS($B$5:$B$750,B69,$D$5:$D$750,WF_END_PERIOD)&gt;0),INDEX($E$5:$E$750,MATCH(B69&amp;"|"&amp;WF_END_PERIOD,$AC$5:$AC$750,0)),"")</f>
        <v/>
      </c>
      <c r="W69" s="11" t="b">
        <f aca="false">COUNTIFS($B$5:$B$750,B69,$D$5:$D$750,WF_START_PERIOD,$R$5:$R$750,TRUE())&gt;0</f>
        <v>1</v>
      </c>
      <c r="X69" s="11" t="b">
        <f aca="false">COUNTIFS($B$5:$B$750,B69,$D$5:$D$750,WF_END_PERIOD,$R$5:$R$750,TRUE())&gt;0</f>
        <v>1</v>
      </c>
      <c r="Y69" s="0" t="str">
        <f aca="false">IF(AND(D69=WF_END_PERIOD,COUNTIFS($B$5:$B$750,B69,$D$5:$D$750,WF_START_PERIOD)&gt;0),INDEX($E$5:$E$750,MATCH(B69&amp;"|"&amp;WF_START_PERIOD,$AC$5:$AC$750,0)),"")</f>
        <v/>
      </c>
      <c r="Z69" s="0" t="str">
        <f aca="false">IF(AND(D69=WF_END_PERIOD,R69),1+COUNTIFS($D$5:$D$750,WF_END_PERIOD,$E$5:$E$750,E69,$R$5:$R$750,TRUE(),$S$5:$S$750,"&gt;"&amp;S69)+COUNTIFS($D$5:$D$750,WF_END_PERIOD,$E$5:$E$750,E69,$R$5:$R$750,TRUE(),$S$5:$S$750,S69,$B$5:$B$750,"&lt;"&amp;B69),"")</f>
        <v/>
      </c>
      <c r="AA69" s="0" t="str">
        <f aca="false">IF(AND(D69=WF_END_PERIOD,R69,Z69&lt;&gt;1),1+COUNTIFS($D$5:$D$750,WF_END_PERIOD,$R$5:$R$750,TRUE(),$Z$5:$Z$750,"&lt;&gt;1",$S$5:$S$750,"&gt;"&amp;S69)+COUNTIFS($D$5:$D$750,WF_END_PERIOD,$R$5:$R$750,TRUE(),$Z$5:$Z$750,"&lt;&gt;1",$S$5:$S$750,S69,$B$5:$B$750,"&lt;"&amp;B69),"")</f>
        <v/>
      </c>
      <c r="AB69" s="11" t="b">
        <f aca="false">OR(D69=WF_START_PERIOD,D69=WF_END_PERIOD)</f>
        <v>0</v>
      </c>
      <c r="AC69" s="0" t="str">
        <f aca="false">B69&amp;"|"&amp;D69</f>
        <v>17741|20220630</v>
      </c>
    </row>
    <row r="70" customFormat="false" ht="15" hidden="false" customHeight="false" outlineLevel="0" collapsed="false">
      <c r="A70" s="0" t="n">
        <f aca="false">RawFinancials!A70</f>
        <v>67</v>
      </c>
      <c r="B70" s="0" t="n">
        <f aca="false">RawFinancials!C70</f>
        <v>17743</v>
      </c>
      <c r="C70" s="0" t="str">
        <f aca="false">RawFinancials!P70</f>
        <v>SACO &amp; BIDDEFORD SAVINGS INSTITUTION</v>
      </c>
      <c r="D70" s="0" t="n">
        <f aca="false">RawFinancials!W70</f>
        <v>20220630</v>
      </c>
      <c r="E70" s="0" t="str">
        <f aca="false">RawFinancials!Z70</f>
        <v>ME</v>
      </c>
      <c r="F70" s="0" t="n">
        <f aca="false">RawFinancials!B70</f>
        <v>1226782</v>
      </c>
      <c r="G70" s="0" t="n">
        <f aca="false">RawFinancials!U70</f>
        <v>35</v>
      </c>
      <c r="H70" s="0" t="n">
        <f aca="false">RawFinancials!O70</f>
        <v>2944</v>
      </c>
      <c r="I70" s="0" t="n">
        <f aca="false">IF(AND(ISNUMBER(G70),ISNUMBER(H70)),G70+H70,"")</f>
        <v>2979</v>
      </c>
      <c r="J70" s="0" t="n">
        <f aca="false">RawFinancials!D70</f>
        <v>933270</v>
      </c>
      <c r="K70" s="0" t="n">
        <f aca="false">RawFinancials!F70</f>
        <v>121930</v>
      </c>
      <c r="L70" s="0" t="n">
        <f aca="false">RawFinancials!L70</f>
        <v>942050</v>
      </c>
      <c r="M70" s="0" t="n">
        <f aca="false">RawFinancials!N70</f>
        <v>912536</v>
      </c>
      <c r="N70" s="13" t="n">
        <f aca="false">RawFinancials!X70</f>
        <v>0.302379907744483</v>
      </c>
      <c r="O70" s="13" t="n">
        <f aca="false">RawFinancials!V70</f>
        <v>0</v>
      </c>
      <c r="P70" s="13" t="n">
        <f aca="false">IF(AND(ISNUMBER(L70),L70&lt;&gt;0,ISNUMBER(M70)),100*M70/L70,"")</f>
        <v>96.8670452736054</v>
      </c>
      <c r="Q70" s="13" t="n">
        <f aca="false">IF(AND(ISNUMBER(F70),F70&lt;&gt;0,ISNUMBER(K70)),100*K70/F70,"")</f>
        <v>9.93901116905856</v>
      </c>
      <c r="R70" s="11" t="b">
        <f aca="false">AND(ISNUMBER(F70),F70&gt;0,ISNUMBER(G70),G70&gt;=0,ISNUMBER(H70),H70&gt;=0)</f>
        <v>1</v>
      </c>
      <c r="S70" s="13" t="n">
        <f aca="false">IF(R70,100*I70/F70,"")</f>
        <v>0.242830429530267</v>
      </c>
      <c r="T70" s="11" t="b">
        <f aca="false">NOT(AND(OR(AND(ISBLANK(RawFinancials!B70),ISBLANK(_RawBaseline!B67)),AND(ISNUMBER(RawFinancials!B70),ISNUMBER(_RawBaseline!B67),RawFinancials!B70=_RawBaseline!B67)),OR(AND(ISBLANK(RawFinancials!U70),ISBLANK(_RawBaseline!U67)),AND(ISNUMBER(RawFinancials!U70),ISNUMBER(_RawBaseline!U67),RawFinancials!U70=_RawBaseline!U67)),OR(AND(ISBLANK(RawFinancials!O70),ISBLANK(_RawBaseline!O67)),AND(ISNUMBER(RawFinancials!O70),ISNUMBER(_RawBaseline!O67),RawFinancials!O70=_RawBaseline!O67))))</f>
        <v>0</v>
      </c>
      <c r="U70" s="13" t="n">
        <f aca="false">IF(AND(D70=WF_START_PERIOD,R70,COUNTIFS($B$5:$B$750,B70,$D$5:$D$750,WF_END_PERIOD,$R$5:$R$750,TRUE())&gt;0),SUMIFS($S$5:$S$750,$B$5:$B$750,B70,$D$5:$D$750,WF_END_PERIOD,$R$5:$R$750,TRUE()),0)</f>
        <v>0</v>
      </c>
      <c r="V70" s="0" t="str">
        <f aca="false">IF(AND(D70=WF_START_PERIOD,COUNTIFS($B$5:$B$750,B70,$D$5:$D$750,WF_END_PERIOD)&gt;0),INDEX($E$5:$E$750,MATCH(B70&amp;"|"&amp;WF_END_PERIOD,$AC$5:$AC$750,0)),"")</f>
        <v/>
      </c>
      <c r="W70" s="11" t="b">
        <f aca="false">COUNTIFS($B$5:$B$750,B70,$D$5:$D$750,WF_START_PERIOD,$R$5:$R$750,TRUE())&gt;0</f>
        <v>1</v>
      </c>
      <c r="X70" s="11" t="b">
        <f aca="false">COUNTIFS($B$5:$B$750,B70,$D$5:$D$750,WF_END_PERIOD,$R$5:$R$750,TRUE())&gt;0</f>
        <v>1</v>
      </c>
      <c r="Y70" s="0" t="str">
        <f aca="false">IF(AND(D70=WF_END_PERIOD,COUNTIFS($B$5:$B$750,B70,$D$5:$D$750,WF_START_PERIOD)&gt;0),INDEX($E$5:$E$750,MATCH(B70&amp;"|"&amp;WF_START_PERIOD,$AC$5:$AC$750,0)),"")</f>
        <v/>
      </c>
      <c r="Z70" s="0" t="str">
        <f aca="false">IF(AND(D70=WF_END_PERIOD,R70),1+COUNTIFS($D$5:$D$750,WF_END_PERIOD,$E$5:$E$750,E70,$R$5:$R$750,TRUE(),$S$5:$S$750,"&gt;"&amp;S70)+COUNTIFS($D$5:$D$750,WF_END_PERIOD,$E$5:$E$750,E70,$R$5:$R$750,TRUE(),$S$5:$S$750,S70,$B$5:$B$750,"&lt;"&amp;B70),"")</f>
        <v/>
      </c>
      <c r="AA70" s="0" t="str">
        <f aca="false">IF(AND(D70=WF_END_PERIOD,R70,Z70&lt;&gt;1),1+COUNTIFS($D$5:$D$750,WF_END_PERIOD,$R$5:$R$750,TRUE(),$Z$5:$Z$750,"&lt;&gt;1",$S$5:$S$750,"&gt;"&amp;S70)+COUNTIFS($D$5:$D$750,WF_END_PERIOD,$R$5:$R$750,TRUE(),$Z$5:$Z$750,"&lt;&gt;1",$S$5:$S$750,S70,$B$5:$B$750,"&lt;"&amp;B70),"")</f>
        <v/>
      </c>
      <c r="AB70" s="11" t="b">
        <f aca="false">OR(D70=WF_START_PERIOD,D70=WF_END_PERIOD)</f>
        <v>0</v>
      </c>
      <c r="AC70" s="0" t="str">
        <f aca="false">B70&amp;"|"&amp;D70</f>
        <v>17743|20220630</v>
      </c>
    </row>
    <row r="71" customFormat="false" ht="15" hidden="false" customHeight="false" outlineLevel="0" collapsed="false">
      <c r="A71" s="0" t="n">
        <f aca="false">RawFinancials!A71</f>
        <v>68</v>
      </c>
      <c r="B71" s="0" t="n">
        <f aca="false">RawFinancials!C71</f>
        <v>17748</v>
      </c>
      <c r="C71" s="0" t="str">
        <f aca="false">RawFinancials!P71</f>
        <v>GORHAM SAVINGS BANK</v>
      </c>
      <c r="D71" s="0" t="n">
        <f aca="false">RawFinancials!W71</f>
        <v>20220630</v>
      </c>
      <c r="E71" s="0" t="str">
        <f aca="false">RawFinancials!Z71</f>
        <v>ME</v>
      </c>
      <c r="F71" s="0" t="n">
        <f aca="false">RawFinancials!B71</f>
        <v>1555791</v>
      </c>
      <c r="G71" s="0" t="n">
        <f aca="false">RawFinancials!U71</f>
        <v>0</v>
      </c>
      <c r="H71" s="0" t="n">
        <f aca="false">RawFinancials!O71</f>
        <v>7622</v>
      </c>
      <c r="I71" s="0" t="n">
        <f aca="false">IF(AND(ISNUMBER(G71),ISNUMBER(H71)),G71+H71,"")</f>
        <v>7622</v>
      </c>
      <c r="J71" s="0" t="n">
        <f aca="false">RawFinancials!D71</f>
        <v>1381456</v>
      </c>
      <c r="K71" s="0" t="n">
        <f aca="false">RawFinancials!F71</f>
        <v>113025</v>
      </c>
      <c r="L71" s="0" t="n">
        <f aca="false">RawFinancials!L71</f>
        <v>1170439</v>
      </c>
      <c r="M71" s="0" t="n">
        <f aca="false">RawFinancials!N71</f>
        <v>984164</v>
      </c>
      <c r="N71" s="13" t="n">
        <f aca="false">RawFinancials!X71</f>
        <v>0.205556396548565</v>
      </c>
      <c r="O71" s="13" t="n">
        <f aca="false">RawFinancials!V71</f>
        <v>0</v>
      </c>
      <c r="P71" s="13" t="n">
        <f aca="false">IF(AND(ISNUMBER(L71),L71&lt;&gt;0,ISNUMBER(M71)),100*M71/L71,"")</f>
        <v>84.0850313429406</v>
      </c>
      <c r="Q71" s="13" t="n">
        <f aca="false">IF(AND(ISNUMBER(F71),F71&lt;&gt;0,ISNUMBER(K71)),100*K71/F71,"")</f>
        <v>7.26479327878873</v>
      </c>
      <c r="R71" s="11" t="b">
        <f aca="false">AND(ISNUMBER(F71),F71&gt;0,ISNUMBER(G71),G71&gt;=0,ISNUMBER(H71),H71&gt;=0)</f>
        <v>1</v>
      </c>
      <c r="S71" s="13" t="n">
        <f aca="false">IF(R71,100*I71/F71,"")</f>
        <v>0.489911562671336</v>
      </c>
      <c r="T71" s="11" t="b">
        <f aca="false">NOT(AND(OR(AND(ISBLANK(RawFinancials!B71),ISBLANK(_RawBaseline!B68)),AND(ISNUMBER(RawFinancials!B71),ISNUMBER(_RawBaseline!B68),RawFinancials!B71=_RawBaseline!B68)),OR(AND(ISBLANK(RawFinancials!U71),ISBLANK(_RawBaseline!U68)),AND(ISNUMBER(RawFinancials!U71),ISNUMBER(_RawBaseline!U68),RawFinancials!U71=_RawBaseline!U68)),OR(AND(ISBLANK(RawFinancials!O71),ISBLANK(_RawBaseline!O68)),AND(ISNUMBER(RawFinancials!O71),ISNUMBER(_RawBaseline!O68),RawFinancials!O71=_RawBaseline!O68))))</f>
        <v>0</v>
      </c>
      <c r="U71" s="13" t="n">
        <f aca="false">IF(AND(D71=WF_START_PERIOD,R71,COUNTIFS($B$5:$B$750,B71,$D$5:$D$750,WF_END_PERIOD,$R$5:$R$750,TRUE())&gt;0),SUMIFS($S$5:$S$750,$B$5:$B$750,B71,$D$5:$D$750,WF_END_PERIOD,$R$5:$R$750,TRUE()),0)</f>
        <v>0</v>
      </c>
      <c r="V71" s="0" t="str">
        <f aca="false">IF(AND(D71=WF_START_PERIOD,COUNTIFS($B$5:$B$750,B71,$D$5:$D$750,WF_END_PERIOD)&gt;0),INDEX($E$5:$E$750,MATCH(B71&amp;"|"&amp;WF_END_PERIOD,$AC$5:$AC$750,0)),"")</f>
        <v/>
      </c>
      <c r="W71" s="11" t="b">
        <f aca="false">COUNTIFS($B$5:$B$750,B71,$D$5:$D$750,WF_START_PERIOD,$R$5:$R$750,TRUE())&gt;0</f>
        <v>1</v>
      </c>
      <c r="X71" s="11" t="b">
        <f aca="false">COUNTIFS($B$5:$B$750,B71,$D$5:$D$750,WF_END_PERIOD,$R$5:$R$750,TRUE())&gt;0</f>
        <v>0</v>
      </c>
      <c r="Y71" s="0" t="str">
        <f aca="false">IF(AND(D71=WF_END_PERIOD,COUNTIFS($B$5:$B$750,B71,$D$5:$D$750,WF_START_PERIOD)&gt;0),INDEX($E$5:$E$750,MATCH(B71&amp;"|"&amp;WF_START_PERIOD,$AC$5:$AC$750,0)),"")</f>
        <v/>
      </c>
      <c r="Z71" s="0" t="str">
        <f aca="false">IF(AND(D71=WF_END_PERIOD,R71),1+COUNTIFS($D$5:$D$750,WF_END_PERIOD,$E$5:$E$750,E71,$R$5:$R$750,TRUE(),$S$5:$S$750,"&gt;"&amp;S71)+COUNTIFS($D$5:$D$750,WF_END_PERIOD,$E$5:$E$750,E71,$R$5:$R$750,TRUE(),$S$5:$S$750,S71,$B$5:$B$750,"&lt;"&amp;B71),"")</f>
        <v/>
      </c>
      <c r="AA71" s="0" t="str">
        <f aca="false">IF(AND(D71=WF_END_PERIOD,R71,Z71&lt;&gt;1),1+COUNTIFS($D$5:$D$750,WF_END_PERIOD,$R$5:$R$750,TRUE(),$Z$5:$Z$750,"&lt;&gt;1",$S$5:$S$750,"&gt;"&amp;S71)+COUNTIFS($D$5:$D$750,WF_END_PERIOD,$R$5:$R$750,TRUE(),$Z$5:$Z$750,"&lt;&gt;1",$S$5:$S$750,S71,$B$5:$B$750,"&lt;"&amp;B71),"")</f>
        <v/>
      </c>
      <c r="AB71" s="11" t="b">
        <f aca="false">OR(D71=WF_START_PERIOD,D71=WF_END_PERIOD)</f>
        <v>0</v>
      </c>
      <c r="AC71" s="0" t="str">
        <f aca="false">B71&amp;"|"&amp;D71</f>
        <v>17748|20220630</v>
      </c>
    </row>
    <row r="72" customFormat="false" ht="15" hidden="false" customHeight="false" outlineLevel="0" collapsed="false">
      <c r="A72" s="0" t="n">
        <f aca="false">RawFinancials!A72</f>
        <v>69</v>
      </c>
      <c r="B72" s="0" t="n">
        <f aca="false">RawFinancials!C72</f>
        <v>17749</v>
      </c>
      <c r="C72" s="0" t="str">
        <f aca="false">RawFinancials!P72</f>
        <v>BATH SAVINGS INSTITUTION</v>
      </c>
      <c r="D72" s="0" t="n">
        <f aca="false">RawFinancials!W72</f>
        <v>20220630</v>
      </c>
      <c r="E72" s="0" t="str">
        <f aca="false">RawFinancials!Z72</f>
        <v>ME</v>
      </c>
      <c r="F72" s="0" t="n">
        <f aca="false">RawFinancials!B72</f>
        <v>1233246</v>
      </c>
      <c r="G72" s="0" t="n">
        <f aca="false">RawFinancials!U72</f>
        <v>29</v>
      </c>
      <c r="H72" s="0" t="n">
        <f aca="false">RawFinancials!O72</f>
        <v>248</v>
      </c>
      <c r="I72" s="0" t="n">
        <f aca="false">IF(AND(ISNUMBER(G72),ISNUMBER(H72)),G72+H72,"")</f>
        <v>277</v>
      </c>
      <c r="J72" s="0" t="n">
        <f aca="false">RawFinancials!D72</f>
        <v>1026366</v>
      </c>
      <c r="K72" s="0" t="n">
        <f aca="false">RawFinancials!F72</f>
        <v>152379</v>
      </c>
      <c r="L72" s="0" t="n">
        <f aca="false">RawFinancials!L72</f>
        <v>692915</v>
      </c>
      <c r="M72" s="0" t="n">
        <f aca="false">RawFinancials!N72</f>
        <v>619470</v>
      </c>
      <c r="N72" s="13" t="n">
        <f aca="false">RawFinancials!X72</f>
        <v>-0.156467358353033</v>
      </c>
      <c r="O72" s="13" t="n">
        <f aca="false">RawFinancials!V72</f>
        <v>0</v>
      </c>
      <c r="P72" s="13" t="n">
        <f aca="false">IF(AND(ISNUMBER(L72),L72&lt;&gt;0,ISNUMBER(M72)),100*M72/L72,"")</f>
        <v>89.400575828204</v>
      </c>
      <c r="Q72" s="13" t="n">
        <f aca="false">IF(AND(ISNUMBER(F72),F72&lt;&gt;0,ISNUMBER(K72)),100*K72/F72,"")</f>
        <v>12.355928987404</v>
      </c>
      <c r="R72" s="11" t="b">
        <f aca="false">AND(ISNUMBER(F72),F72&gt;0,ISNUMBER(G72),G72&gt;=0,ISNUMBER(H72),H72&gt;=0)</f>
        <v>1</v>
      </c>
      <c r="S72" s="13" t="n">
        <f aca="false">IF(R72,100*I72/F72,"")</f>
        <v>0.0224610499446177</v>
      </c>
      <c r="T72" s="11" t="b">
        <f aca="false">NOT(AND(OR(AND(ISBLANK(RawFinancials!B72),ISBLANK(_RawBaseline!B69)),AND(ISNUMBER(RawFinancials!B72),ISNUMBER(_RawBaseline!B69),RawFinancials!B72=_RawBaseline!B69)),OR(AND(ISBLANK(RawFinancials!U72),ISBLANK(_RawBaseline!U69)),AND(ISNUMBER(RawFinancials!U72),ISNUMBER(_RawBaseline!U69),RawFinancials!U72=_RawBaseline!U69)),OR(AND(ISBLANK(RawFinancials!O72),ISBLANK(_RawBaseline!O69)),AND(ISNUMBER(RawFinancials!O72),ISNUMBER(_RawBaseline!O69),RawFinancials!O72=_RawBaseline!O69))))</f>
        <v>0</v>
      </c>
      <c r="U72" s="13" t="n">
        <f aca="false">IF(AND(D72=WF_START_PERIOD,R72,COUNTIFS($B$5:$B$750,B72,$D$5:$D$750,WF_END_PERIOD,$R$5:$R$750,TRUE())&gt;0),SUMIFS($S$5:$S$750,$B$5:$B$750,B72,$D$5:$D$750,WF_END_PERIOD,$R$5:$R$750,TRUE()),0)</f>
        <v>0</v>
      </c>
      <c r="V72" s="0" t="str">
        <f aca="false">IF(AND(D72=WF_START_PERIOD,COUNTIFS($B$5:$B$750,B72,$D$5:$D$750,WF_END_PERIOD)&gt;0),INDEX($E$5:$E$750,MATCH(B72&amp;"|"&amp;WF_END_PERIOD,$AC$5:$AC$750,0)),"")</f>
        <v/>
      </c>
      <c r="W72" s="11" t="b">
        <f aca="false">COUNTIFS($B$5:$B$750,B72,$D$5:$D$750,WF_START_PERIOD,$R$5:$R$750,TRUE())&gt;0</f>
        <v>1</v>
      </c>
      <c r="X72" s="11" t="b">
        <f aca="false">COUNTIFS($B$5:$B$750,B72,$D$5:$D$750,WF_END_PERIOD,$R$5:$R$750,TRUE())&gt;0</f>
        <v>1</v>
      </c>
      <c r="Y72" s="0" t="str">
        <f aca="false">IF(AND(D72=WF_END_PERIOD,COUNTIFS($B$5:$B$750,B72,$D$5:$D$750,WF_START_PERIOD)&gt;0),INDEX($E$5:$E$750,MATCH(B72&amp;"|"&amp;WF_START_PERIOD,$AC$5:$AC$750,0)),"")</f>
        <v/>
      </c>
      <c r="Z72" s="0" t="str">
        <f aca="false">IF(AND(D72=WF_END_PERIOD,R72),1+COUNTIFS($D$5:$D$750,WF_END_PERIOD,$E$5:$E$750,E72,$R$5:$R$750,TRUE(),$S$5:$S$750,"&gt;"&amp;S72)+COUNTIFS($D$5:$D$750,WF_END_PERIOD,$E$5:$E$750,E72,$R$5:$R$750,TRUE(),$S$5:$S$750,S72,$B$5:$B$750,"&lt;"&amp;B72),"")</f>
        <v/>
      </c>
      <c r="AA72" s="0" t="str">
        <f aca="false">IF(AND(D72=WF_END_PERIOD,R72,Z72&lt;&gt;1),1+COUNTIFS($D$5:$D$750,WF_END_PERIOD,$R$5:$R$750,TRUE(),$Z$5:$Z$750,"&lt;&gt;1",$S$5:$S$750,"&gt;"&amp;S72)+COUNTIFS($D$5:$D$750,WF_END_PERIOD,$R$5:$R$750,TRUE(),$Z$5:$Z$750,"&lt;&gt;1",$S$5:$S$750,S72,$B$5:$B$750,"&lt;"&amp;B72),"")</f>
        <v/>
      </c>
      <c r="AB72" s="11" t="b">
        <f aca="false">OR(D72=WF_START_PERIOD,D72=WF_END_PERIOD)</f>
        <v>0</v>
      </c>
      <c r="AC72" s="0" t="str">
        <f aca="false">B72&amp;"|"&amp;D72</f>
        <v>17749|20220630</v>
      </c>
    </row>
    <row r="73" customFormat="false" ht="15" hidden="false" customHeight="false" outlineLevel="0" collapsed="false">
      <c r="A73" s="0" t="n">
        <f aca="false">RawFinancials!A73</f>
        <v>70</v>
      </c>
      <c r="B73" s="0" t="n">
        <f aca="false">RawFinancials!C73</f>
        <v>17751</v>
      </c>
      <c r="C73" s="0" t="str">
        <f aca="false">RawFinancials!P73</f>
        <v>ANDROSCOGGIN SAVINGS BANK</v>
      </c>
      <c r="D73" s="0" t="n">
        <f aca="false">RawFinancials!W73</f>
        <v>20220630</v>
      </c>
      <c r="E73" s="0" t="str">
        <f aca="false">RawFinancials!Z73</f>
        <v>ME</v>
      </c>
      <c r="F73" s="0" t="n">
        <f aca="false">RawFinancials!B73</f>
        <v>1424885</v>
      </c>
      <c r="G73" s="0" t="n">
        <f aca="false">RawFinancials!U73</f>
        <v>0</v>
      </c>
      <c r="H73" s="0" t="n">
        <f aca="false">RawFinancials!O73</f>
        <v>1523</v>
      </c>
      <c r="I73" s="0" t="n">
        <f aca="false">IF(AND(ISNUMBER(G73),ISNUMBER(H73)),G73+H73,"")</f>
        <v>1523</v>
      </c>
      <c r="J73" s="0" t="n">
        <f aca="false">RawFinancials!D73</f>
        <v>1261975</v>
      </c>
      <c r="K73" s="0" t="n">
        <f aca="false">RawFinancials!F73</f>
        <v>126112</v>
      </c>
      <c r="L73" s="0" t="n">
        <f aca="false">RawFinancials!L73</f>
        <v>1131318</v>
      </c>
      <c r="M73" s="0" t="n">
        <f aca="false">RawFinancials!N73</f>
        <v>964858</v>
      </c>
      <c r="N73" s="13" t="n">
        <f aca="false">RawFinancials!X73</f>
        <v>0.566526729353532</v>
      </c>
      <c r="O73" s="13" t="n">
        <f aca="false">RawFinancials!V73</f>
        <v>13.4571511662563</v>
      </c>
      <c r="P73" s="13" t="n">
        <f aca="false">IF(AND(ISNUMBER(L73),L73&lt;&gt;0,ISNUMBER(M73)),100*M73/L73,"")</f>
        <v>85.2861883219396</v>
      </c>
      <c r="Q73" s="13" t="n">
        <f aca="false">IF(AND(ISNUMBER(F73),F73&lt;&gt;0,ISNUMBER(K73)),100*K73/F73,"")</f>
        <v>8.85067917761784</v>
      </c>
      <c r="R73" s="11" t="b">
        <f aca="false">AND(ISNUMBER(F73),F73&gt;0,ISNUMBER(G73),G73&gt;=0,ISNUMBER(H73),H73&gt;=0)</f>
        <v>1</v>
      </c>
      <c r="S73" s="13" t="n">
        <f aca="false">IF(R73,100*I73/F73,"")</f>
        <v>0.106885818855557</v>
      </c>
      <c r="T73" s="11" t="b">
        <f aca="false">NOT(AND(OR(AND(ISBLANK(RawFinancials!B73),ISBLANK(_RawBaseline!B70)),AND(ISNUMBER(RawFinancials!B73),ISNUMBER(_RawBaseline!B70),RawFinancials!B73=_RawBaseline!B70)),OR(AND(ISBLANK(RawFinancials!U73),ISBLANK(_RawBaseline!U70)),AND(ISNUMBER(RawFinancials!U73),ISNUMBER(_RawBaseline!U70),RawFinancials!U73=_RawBaseline!U70)),OR(AND(ISBLANK(RawFinancials!O73),ISBLANK(_RawBaseline!O70)),AND(ISNUMBER(RawFinancials!O73),ISNUMBER(_RawBaseline!O70),RawFinancials!O73=_RawBaseline!O70))))</f>
        <v>0</v>
      </c>
      <c r="U73" s="13" t="n">
        <f aca="false">IF(AND(D73=WF_START_PERIOD,R73,COUNTIFS($B$5:$B$750,B73,$D$5:$D$750,WF_END_PERIOD,$R$5:$R$750,TRUE())&gt;0),SUMIFS($S$5:$S$750,$B$5:$B$750,B73,$D$5:$D$750,WF_END_PERIOD,$R$5:$R$750,TRUE()),0)</f>
        <v>0</v>
      </c>
      <c r="V73" s="0" t="str">
        <f aca="false">IF(AND(D73=WF_START_PERIOD,COUNTIFS($B$5:$B$750,B73,$D$5:$D$750,WF_END_PERIOD)&gt;0),INDEX($E$5:$E$750,MATCH(B73&amp;"|"&amp;WF_END_PERIOD,$AC$5:$AC$750,0)),"")</f>
        <v/>
      </c>
      <c r="W73" s="11" t="b">
        <f aca="false">COUNTIFS($B$5:$B$750,B73,$D$5:$D$750,WF_START_PERIOD,$R$5:$R$750,TRUE())&gt;0</f>
        <v>1</v>
      </c>
      <c r="X73" s="11" t="b">
        <f aca="false">COUNTIFS($B$5:$B$750,B73,$D$5:$D$750,WF_END_PERIOD,$R$5:$R$750,TRUE())&gt;0</f>
        <v>1</v>
      </c>
      <c r="Y73" s="0" t="str">
        <f aca="false">IF(AND(D73=WF_END_PERIOD,COUNTIFS($B$5:$B$750,B73,$D$5:$D$750,WF_START_PERIOD)&gt;0),INDEX($E$5:$E$750,MATCH(B73&amp;"|"&amp;WF_START_PERIOD,$AC$5:$AC$750,0)),"")</f>
        <v/>
      </c>
      <c r="Z73" s="0" t="str">
        <f aca="false">IF(AND(D73=WF_END_PERIOD,R73),1+COUNTIFS($D$5:$D$750,WF_END_PERIOD,$E$5:$E$750,E73,$R$5:$R$750,TRUE(),$S$5:$S$750,"&gt;"&amp;S73)+COUNTIFS($D$5:$D$750,WF_END_PERIOD,$E$5:$E$750,E73,$R$5:$R$750,TRUE(),$S$5:$S$750,S73,$B$5:$B$750,"&lt;"&amp;B73),"")</f>
        <v/>
      </c>
      <c r="AA73" s="0" t="str">
        <f aca="false">IF(AND(D73=WF_END_PERIOD,R73,Z73&lt;&gt;1),1+COUNTIFS($D$5:$D$750,WF_END_PERIOD,$R$5:$R$750,TRUE(),$Z$5:$Z$750,"&lt;&gt;1",$S$5:$S$750,"&gt;"&amp;S73)+COUNTIFS($D$5:$D$750,WF_END_PERIOD,$R$5:$R$750,TRUE(),$Z$5:$Z$750,"&lt;&gt;1",$S$5:$S$750,S73,$B$5:$B$750,"&lt;"&amp;B73),"")</f>
        <v/>
      </c>
      <c r="AB73" s="11" t="b">
        <f aca="false">OR(D73=WF_START_PERIOD,D73=WF_END_PERIOD)</f>
        <v>0</v>
      </c>
      <c r="AC73" s="0" t="str">
        <f aca="false">B73&amp;"|"&amp;D73</f>
        <v>17751|20220630</v>
      </c>
    </row>
    <row r="74" customFormat="false" ht="15" hidden="false" customHeight="false" outlineLevel="0" collapsed="false">
      <c r="A74" s="0" t="n">
        <f aca="false">RawFinancials!A74</f>
        <v>71</v>
      </c>
      <c r="B74" s="0" t="n">
        <f aca="false">RawFinancials!C74</f>
        <v>17897</v>
      </c>
      <c r="C74" s="0" t="str">
        <f aca="false">RawFinancials!P74</f>
        <v>KENNEBEC SAVINGS BANK</v>
      </c>
      <c r="D74" s="0" t="n">
        <f aca="false">RawFinancials!W74</f>
        <v>20220630</v>
      </c>
      <c r="E74" s="0" t="str">
        <f aca="false">RawFinancials!Z74</f>
        <v>ME</v>
      </c>
      <c r="F74" s="0" t="n">
        <f aca="false">RawFinancials!B74</f>
        <v>1531749</v>
      </c>
      <c r="G74" s="0" t="n">
        <f aca="false">RawFinancials!U74</f>
        <v>0</v>
      </c>
      <c r="H74" s="0" t="n">
        <f aca="false">RawFinancials!O74</f>
        <v>3935</v>
      </c>
      <c r="I74" s="0" t="n">
        <f aca="false">IF(AND(ISNUMBER(G74),ISNUMBER(H74)),G74+H74,"")</f>
        <v>3935</v>
      </c>
      <c r="J74" s="0" t="n">
        <f aca="false">RawFinancials!D74</f>
        <v>1250686</v>
      </c>
      <c r="K74" s="0" t="n">
        <f aca="false">RawFinancials!F74</f>
        <v>191374</v>
      </c>
      <c r="L74" s="0" t="n">
        <f aca="false">RawFinancials!L74</f>
        <v>1281527</v>
      </c>
      <c r="M74" s="0" t="n">
        <f aca="false">RawFinancials!N74</f>
        <v>1214666</v>
      </c>
      <c r="N74" s="13" t="n">
        <f aca="false">RawFinancials!X74</f>
        <v>-0.605378566093227</v>
      </c>
      <c r="O74" s="13" t="n">
        <f aca="false">RawFinancials!V74</f>
        <v>0</v>
      </c>
      <c r="P74" s="13" t="n">
        <f aca="false">IF(AND(ISNUMBER(L74),L74&lt;&gt;0,ISNUMBER(M74)),100*M74/L74,"")</f>
        <v>94.7827084407898</v>
      </c>
      <c r="Q74" s="13" t="n">
        <f aca="false">IF(AND(ISNUMBER(F74),F74&lt;&gt;0,ISNUMBER(K74)),100*K74/F74,"")</f>
        <v>12.4938224212975</v>
      </c>
      <c r="R74" s="11" t="b">
        <f aca="false">AND(ISNUMBER(F74),F74&gt;0,ISNUMBER(G74),G74&gt;=0,ISNUMBER(H74),H74&gt;=0)</f>
        <v>1</v>
      </c>
      <c r="S74" s="13" t="n">
        <f aca="false">IF(R74,100*I74/F74,"")</f>
        <v>0.256895875238045</v>
      </c>
      <c r="T74" s="11" t="b">
        <f aca="false">NOT(AND(OR(AND(ISBLANK(RawFinancials!B74),ISBLANK(_RawBaseline!B71)),AND(ISNUMBER(RawFinancials!B74),ISNUMBER(_RawBaseline!B71),RawFinancials!B74=_RawBaseline!B71)),OR(AND(ISBLANK(RawFinancials!U74),ISBLANK(_RawBaseline!U71)),AND(ISNUMBER(RawFinancials!U74),ISNUMBER(_RawBaseline!U71),RawFinancials!U74=_RawBaseline!U71)),OR(AND(ISBLANK(RawFinancials!O74),ISBLANK(_RawBaseline!O71)),AND(ISNUMBER(RawFinancials!O74),ISNUMBER(_RawBaseline!O71),RawFinancials!O74=_RawBaseline!O71))))</f>
        <v>0</v>
      </c>
      <c r="U74" s="13" t="n">
        <f aca="false">IF(AND(D74=WF_START_PERIOD,R74,COUNTIFS($B$5:$B$750,B74,$D$5:$D$750,WF_END_PERIOD,$R$5:$R$750,TRUE())&gt;0),SUMIFS($S$5:$S$750,$B$5:$B$750,B74,$D$5:$D$750,WF_END_PERIOD,$R$5:$R$750,TRUE()),0)</f>
        <v>0</v>
      </c>
      <c r="V74" s="0" t="str">
        <f aca="false">IF(AND(D74=WF_START_PERIOD,COUNTIFS($B$5:$B$750,B74,$D$5:$D$750,WF_END_PERIOD)&gt;0),INDEX($E$5:$E$750,MATCH(B74&amp;"|"&amp;WF_END_PERIOD,$AC$5:$AC$750,0)),"")</f>
        <v/>
      </c>
      <c r="W74" s="11" t="b">
        <f aca="false">COUNTIFS($B$5:$B$750,B74,$D$5:$D$750,WF_START_PERIOD,$R$5:$R$750,TRUE())&gt;0</f>
        <v>1</v>
      </c>
      <c r="X74" s="11" t="b">
        <f aca="false">COUNTIFS($B$5:$B$750,B74,$D$5:$D$750,WF_END_PERIOD,$R$5:$R$750,TRUE())&gt;0</f>
        <v>1</v>
      </c>
      <c r="Y74" s="0" t="str">
        <f aca="false">IF(AND(D74=WF_END_PERIOD,COUNTIFS($B$5:$B$750,B74,$D$5:$D$750,WF_START_PERIOD)&gt;0),INDEX($E$5:$E$750,MATCH(B74&amp;"|"&amp;WF_START_PERIOD,$AC$5:$AC$750,0)),"")</f>
        <v/>
      </c>
      <c r="Z74" s="0" t="str">
        <f aca="false">IF(AND(D74=WF_END_PERIOD,R74),1+COUNTIFS($D$5:$D$750,WF_END_PERIOD,$E$5:$E$750,E74,$R$5:$R$750,TRUE(),$S$5:$S$750,"&gt;"&amp;S74)+COUNTIFS($D$5:$D$750,WF_END_PERIOD,$E$5:$E$750,E74,$R$5:$R$750,TRUE(),$S$5:$S$750,S74,$B$5:$B$750,"&lt;"&amp;B74),"")</f>
        <v/>
      </c>
      <c r="AA74" s="0" t="str">
        <f aca="false">IF(AND(D74=WF_END_PERIOD,R74,Z74&lt;&gt;1),1+COUNTIFS($D$5:$D$750,WF_END_PERIOD,$R$5:$R$750,TRUE(),$Z$5:$Z$750,"&lt;&gt;1",$S$5:$S$750,"&gt;"&amp;S74)+COUNTIFS($D$5:$D$750,WF_END_PERIOD,$R$5:$R$750,TRUE(),$Z$5:$Z$750,"&lt;&gt;1",$S$5:$S$750,S74,$B$5:$B$750,"&lt;"&amp;B74),"")</f>
        <v/>
      </c>
      <c r="AB74" s="11" t="b">
        <f aca="false">OR(D74=WF_START_PERIOD,D74=WF_END_PERIOD)</f>
        <v>0</v>
      </c>
      <c r="AC74" s="0" t="str">
        <f aca="false">B74&amp;"|"&amp;D74</f>
        <v>17897|20220630</v>
      </c>
    </row>
    <row r="75" customFormat="false" ht="15" hidden="false" customHeight="false" outlineLevel="0" collapsed="false">
      <c r="A75" s="0" t="n">
        <f aca="false">RawFinancials!A75</f>
        <v>72</v>
      </c>
      <c r="B75" s="0" t="n">
        <f aca="false">RawFinancials!C75</f>
        <v>17951</v>
      </c>
      <c r="C75" s="0" t="str">
        <f aca="false">RawFinancials!P75</f>
        <v>FRANKLIN SAVINGS BANK</v>
      </c>
      <c r="D75" s="0" t="n">
        <f aca="false">RawFinancials!W75</f>
        <v>20220630</v>
      </c>
      <c r="E75" s="0" t="str">
        <f aca="false">RawFinancials!Z75</f>
        <v>NH</v>
      </c>
      <c r="F75" s="0" t="n">
        <f aca="false">RawFinancials!B75</f>
        <v>724308</v>
      </c>
      <c r="G75" s="0" t="n">
        <f aca="false">RawFinancials!U75</f>
        <v>0</v>
      </c>
      <c r="H75" s="0" t="n">
        <f aca="false">RawFinancials!O75</f>
        <v>782</v>
      </c>
      <c r="I75" s="0" t="n">
        <f aca="false">IF(AND(ISNUMBER(G75),ISNUMBER(H75)),G75+H75,"")</f>
        <v>782</v>
      </c>
      <c r="J75" s="0" t="n">
        <f aca="false">RawFinancials!D75</f>
        <v>640946</v>
      </c>
      <c r="K75" s="0" t="n">
        <f aca="false">RawFinancials!F75</f>
        <v>53765</v>
      </c>
      <c r="L75" s="0" t="n">
        <f aca="false">RawFinancials!L75</f>
        <v>488769</v>
      </c>
      <c r="M75" s="0" t="n">
        <f aca="false">RawFinancials!N75</f>
        <v>448742</v>
      </c>
      <c r="N75" s="13" t="n">
        <f aca="false">RawFinancials!X75</f>
        <v>0.944250983121892</v>
      </c>
      <c r="O75" s="13" t="n">
        <f aca="false">RawFinancials!V75</f>
        <v>15.0065477421255</v>
      </c>
      <c r="P75" s="13" t="n">
        <f aca="false">IF(AND(ISNUMBER(L75),L75&lt;&gt;0,ISNUMBER(M75)),100*M75/L75,"")</f>
        <v>91.810650839149</v>
      </c>
      <c r="Q75" s="13" t="n">
        <f aca="false">IF(AND(ISNUMBER(F75),F75&lt;&gt;0,ISNUMBER(K75)),100*K75/F75,"")</f>
        <v>7.42294714403265</v>
      </c>
      <c r="R75" s="11" t="b">
        <f aca="false">AND(ISNUMBER(F75),F75&gt;0,ISNUMBER(G75),G75&gt;=0,ISNUMBER(H75),H75&gt;=0)</f>
        <v>1</v>
      </c>
      <c r="S75" s="13" t="n">
        <f aca="false">IF(R75,100*I75/F75,"")</f>
        <v>0.107965119810909</v>
      </c>
      <c r="T75" s="11" t="b">
        <f aca="false">NOT(AND(OR(AND(ISBLANK(RawFinancials!B75),ISBLANK(_RawBaseline!B72)),AND(ISNUMBER(RawFinancials!B75),ISNUMBER(_RawBaseline!B72),RawFinancials!B75=_RawBaseline!B72)),OR(AND(ISBLANK(RawFinancials!U75),ISBLANK(_RawBaseline!U72)),AND(ISNUMBER(RawFinancials!U75),ISNUMBER(_RawBaseline!U72),RawFinancials!U75=_RawBaseline!U72)),OR(AND(ISBLANK(RawFinancials!O75),ISBLANK(_RawBaseline!O72)),AND(ISNUMBER(RawFinancials!O75),ISNUMBER(_RawBaseline!O72),RawFinancials!O75=_RawBaseline!O72))))</f>
        <v>0</v>
      </c>
      <c r="U75" s="13" t="n">
        <f aca="false">IF(AND(D75=WF_START_PERIOD,R75,COUNTIFS($B$5:$B$750,B75,$D$5:$D$750,WF_END_PERIOD,$R$5:$R$750,TRUE())&gt;0),SUMIFS($S$5:$S$750,$B$5:$B$750,B75,$D$5:$D$750,WF_END_PERIOD,$R$5:$R$750,TRUE()),0)</f>
        <v>0</v>
      </c>
      <c r="V75" s="0" t="str">
        <f aca="false">IF(AND(D75=WF_START_PERIOD,COUNTIFS($B$5:$B$750,B75,$D$5:$D$750,WF_END_PERIOD)&gt;0),INDEX($E$5:$E$750,MATCH(B75&amp;"|"&amp;WF_END_PERIOD,$AC$5:$AC$750,0)),"")</f>
        <v/>
      </c>
      <c r="W75" s="11" t="b">
        <f aca="false">COUNTIFS($B$5:$B$750,B75,$D$5:$D$750,WF_START_PERIOD,$R$5:$R$750,TRUE())&gt;0</f>
        <v>1</v>
      </c>
      <c r="X75" s="11" t="b">
        <f aca="false">COUNTIFS($B$5:$B$750,B75,$D$5:$D$750,WF_END_PERIOD,$R$5:$R$750,TRUE())&gt;0</f>
        <v>1</v>
      </c>
      <c r="Y75" s="0" t="str">
        <f aca="false">IF(AND(D75=WF_END_PERIOD,COUNTIFS($B$5:$B$750,B75,$D$5:$D$750,WF_START_PERIOD)&gt;0),INDEX($E$5:$E$750,MATCH(B75&amp;"|"&amp;WF_START_PERIOD,$AC$5:$AC$750,0)),"")</f>
        <v/>
      </c>
      <c r="Z75" s="0" t="str">
        <f aca="false">IF(AND(D75=WF_END_PERIOD,R75),1+COUNTIFS($D$5:$D$750,WF_END_PERIOD,$E$5:$E$750,E75,$R$5:$R$750,TRUE(),$S$5:$S$750,"&gt;"&amp;S75)+COUNTIFS($D$5:$D$750,WF_END_PERIOD,$E$5:$E$750,E75,$R$5:$R$750,TRUE(),$S$5:$S$750,S75,$B$5:$B$750,"&lt;"&amp;B75),"")</f>
        <v/>
      </c>
      <c r="AA75" s="0" t="str">
        <f aca="false">IF(AND(D75=WF_END_PERIOD,R75,Z75&lt;&gt;1),1+COUNTIFS($D$5:$D$750,WF_END_PERIOD,$R$5:$R$750,TRUE(),$Z$5:$Z$750,"&lt;&gt;1",$S$5:$S$750,"&gt;"&amp;S75)+COUNTIFS($D$5:$D$750,WF_END_PERIOD,$R$5:$R$750,TRUE(),$Z$5:$Z$750,"&lt;&gt;1",$S$5:$S$750,S75,$B$5:$B$750,"&lt;"&amp;B75),"")</f>
        <v/>
      </c>
      <c r="AB75" s="11" t="b">
        <f aca="false">OR(D75=WF_START_PERIOD,D75=WF_END_PERIOD)</f>
        <v>0</v>
      </c>
      <c r="AC75" s="0" t="str">
        <f aca="false">B75&amp;"|"&amp;D75</f>
        <v>17951|20220630</v>
      </c>
    </row>
    <row r="76" customFormat="false" ht="15" hidden="false" customHeight="false" outlineLevel="0" collapsed="false">
      <c r="A76" s="0" t="n">
        <f aca="false">RawFinancials!A76</f>
        <v>73</v>
      </c>
      <c r="B76" s="0" t="n">
        <f aca="false">RawFinancials!C76</f>
        <v>17960</v>
      </c>
      <c r="C76" s="0" t="str">
        <f aca="false">RawFinancials!P76</f>
        <v>MERRIMACK COUNTY SAVINGS BANK</v>
      </c>
      <c r="D76" s="0" t="n">
        <f aca="false">RawFinancials!W76</f>
        <v>20220630</v>
      </c>
      <c r="E76" s="0" t="str">
        <f aca="false">RawFinancials!Z76</f>
        <v>NH</v>
      </c>
      <c r="F76" s="0" t="n">
        <f aca="false">RawFinancials!B76</f>
        <v>1230052</v>
      </c>
      <c r="G76" s="0" t="n">
        <f aca="false">RawFinancials!U76</f>
        <v>31</v>
      </c>
      <c r="H76" s="0" t="n">
        <f aca="false">RawFinancials!O76</f>
        <v>789</v>
      </c>
      <c r="I76" s="0" t="n">
        <f aca="false">IF(AND(ISNUMBER(G76),ISNUMBER(H76)),G76+H76,"")</f>
        <v>820</v>
      </c>
      <c r="J76" s="0" t="n">
        <f aca="false">RawFinancials!D76</f>
        <v>1013410</v>
      </c>
      <c r="K76" s="0" t="n">
        <f aca="false">RawFinancials!F76</f>
        <v>104397</v>
      </c>
      <c r="L76" s="0" t="n">
        <f aca="false">RawFinancials!L76</f>
        <v>1010760</v>
      </c>
      <c r="M76" s="0" t="n">
        <f aca="false">RawFinancials!N76</f>
        <v>739326</v>
      </c>
      <c r="N76" s="13" t="n">
        <f aca="false">RawFinancials!X76</f>
        <v>0.790703185834716</v>
      </c>
      <c r="O76" s="13" t="n">
        <f aca="false">RawFinancials!V76</f>
        <v>13.5305719072218</v>
      </c>
      <c r="P76" s="13" t="n">
        <f aca="false">IF(AND(ISNUMBER(L76),L76&lt;&gt;0,ISNUMBER(M76)),100*M76/L76,"")</f>
        <v>73.1455538406743</v>
      </c>
      <c r="Q76" s="13" t="n">
        <f aca="false">IF(AND(ISNUMBER(F76),F76&lt;&gt;0,ISNUMBER(K76)),100*K76/F76,"")</f>
        <v>8.48720216706286</v>
      </c>
      <c r="R76" s="11" t="b">
        <f aca="false">AND(ISNUMBER(F76),F76&gt;0,ISNUMBER(G76),G76&gt;=0,ISNUMBER(H76),H76&gt;=0)</f>
        <v>1</v>
      </c>
      <c r="S76" s="13" t="n">
        <f aca="false">IF(R76,100*I76/F76,"")</f>
        <v>0.0666638483576304</v>
      </c>
      <c r="T76" s="11" t="b">
        <f aca="false">NOT(AND(OR(AND(ISBLANK(RawFinancials!B76),ISBLANK(_RawBaseline!B73)),AND(ISNUMBER(RawFinancials!B76),ISNUMBER(_RawBaseline!B73),RawFinancials!B76=_RawBaseline!B73)),OR(AND(ISBLANK(RawFinancials!U76),ISBLANK(_RawBaseline!U73)),AND(ISNUMBER(RawFinancials!U76),ISNUMBER(_RawBaseline!U73),RawFinancials!U76=_RawBaseline!U73)),OR(AND(ISBLANK(RawFinancials!O76),ISBLANK(_RawBaseline!O73)),AND(ISNUMBER(RawFinancials!O76),ISNUMBER(_RawBaseline!O73),RawFinancials!O76=_RawBaseline!O73))))</f>
        <v>0</v>
      </c>
      <c r="U76" s="13" t="n">
        <f aca="false">IF(AND(D76=WF_START_PERIOD,R76,COUNTIFS($B$5:$B$750,B76,$D$5:$D$750,WF_END_PERIOD,$R$5:$R$750,TRUE())&gt;0),SUMIFS($S$5:$S$750,$B$5:$B$750,B76,$D$5:$D$750,WF_END_PERIOD,$R$5:$R$750,TRUE()),0)</f>
        <v>0</v>
      </c>
      <c r="V76" s="0" t="str">
        <f aca="false">IF(AND(D76=WF_START_PERIOD,COUNTIFS($B$5:$B$750,B76,$D$5:$D$750,WF_END_PERIOD)&gt;0),INDEX($E$5:$E$750,MATCH(B76&amp;"|"&amp;WF_END_PERIOD,$AC$5:$AC$750,0)),"")</f>
        <v/>
      </c>
      <c r="W76" s="11" t="b">
        <f aca="false">COUNTIFS($B$5:$B$750,B76,$D$5:$D$750,WF_START_PERIOD,$R$5:$R$750,TRUE())&gt;0</f>
        <v>1</v>
      </c>
      <c r="X76" s="11" t="b">
        <f aca="false">COUNTIFS($B$5:$B$750,B76,$D$5:$D$750,WF_END_PERIOD,$R$5:$R$750,TRUE())&gt;0</f>
        <v>1</v>
      </c>
      <c r="Y76" s="0" t="str">
        <f aca="false">IF(AND(D76=WF_END_PERIOD,COUNTIFS($B$5:$B$750,B76,$D$5:$D$750,WF_START_PERIOD)&gt;0),INDEX($E$5:$E$750,MATCH(B76&amp;"|"&amp;WF_START_PERIOD,$AC$5:$AC$750,0)),"")</f>
        <v/>
      </c>
      <c r="Z76" s="0" t="str">
        <f aca="false">IF(AND(D76=WF_END_PERIOD,R76),1+COUNTIFS($D$5:$D$750,WF_END_PERIOD,$E$5:$E$750,E76,$R$5:$R$750,TRUE(),$S$5:$S$750,"&gt;"&amp;S76)+COUNTIFS($D$5:$D$750,WF_END_PERIOD,$E$5:$E$750,E76,$R$5:$R$750,TRUE(),$S$5:$S$750,S76,$B$5:$B$750,"&lt;"&amp;B76),"")</f>
        <v/>
      </c>
      <c r="AA76" s="0" t="str">
        <f aca="false">IF(AND(D76=WF_END_PERIOD,R76,Z76&lt;&gt;1),1+COUNTIFS($D$5:$D$750,WF_END_PERIOD,$R$5:$R$750,TRUE(),$Z$5:$Z$750,"&lt;&gt;1",$S$5:$S$750,"&gt;"&amp;S76)+COUNTIFS($D$5:$D$750,WF_END_PERIOD,$R$5:$R$750,TRUE(),$Z$5:$Z$750,"&lt;&gt;1",$S$5:$S$750,S76,$B$5:$B$750,"&lt;"&amp;B76),"")</f>
        <v/>
      </c>
      <c r="AB76" s="11" t="b">
        <f aca="false">OR(D76=WF_START_PERIOD,D76=WF_END_PERIOD)</f>
        <v>0</v>
      </c>
      <c r="AC76" s="0" t="str">
        <f aca="false">B76&amp;"|"&amp;D76</f>
        <v>17960|20220630</v>
      </c>
    </row>
    <row r="77" customFormat="false" ht="15" hidden="false" customHeight="false" outlineLevel="0" collapsed="false">
      <c r="A77" s="0" t="n">
        <f aca="false">RawFinancials!A77</f>
        <v>74</v>
      </c>
      <c r="B77" s="0" t="n">
        <f aca="false">RawFinancials!C77</f>
        <v>18012</v>
      </c>
      <c r="C77" s="0" t="str">
        <f aca="false">RawFinancials!P77</f>
        <v>BANK OF NEW HAMPSHIRE</v>
      </c>
      <c r="D77" s="0" t="n">
        <f aca="false">RawFinancials!W77</f>
        <v>20220630</v>
      </c>
      <c r="E77" s="0" t="str">
        <f aca="false">RawFinancials!Z77</f>
        <v>NH</v>
      </c>
      <c r="F77" s="0" t="n">
        <f aca="false">RawFinancials!B77</f>
        <v>2374786</v>
      </c>
      <c r="G77" s="0" t="n">
        <f aca="false">RawFinancials!U77</f>
        <v>0</v>
      </c>
      <c r="H77" s="0" t="n">
        <f aca="false">RawFinancials!O77</f>
        <v>1132</v>
      </c>
      <c r="I77" s="0" t="n">
        <f aca="false">IF(AND(ISNUMBER(G77),ISNUMBER(H77)),G77+H77,"")</f>
        <v>1132</v>
      </c>
      <c r="J77" s="0" t="n">
        <f aca="false">RawFinancials!D77</f>
        <v>2014310</v>
      </c>
      <c r="K77" s="0" t="n">
        <f aca="false">RawFinancials!F77</f>
        <v>231360</v>
      </c>
      <c r="L77" s="0" t="n">
        <f aca="false">RawFinancials!L77</f>
        <v>1892617</v>
      </c>
      <c r="M77" s="0" t="n">
        <f aca="false">RawFinancials!N77</f>
        <v>1772602</v>
      </c>
      <c r="N77" s="13" t="n">
        <f aca="false">RawFinancials!X77</f>
        <v>1.27634753581963</v>
      </c>
      <c r="O77" s="13" t="n">
        <f aca="false">RawFinancials!V77</f>
        <v>12.6942760049431</v>
      </c>
      <c r="P77" s="13" t="n">
        <f aca="false">IF(AND(ISNUMBER(L77),L77&lt;&gt;0,ISNUMBER(M77)),100*M77/L77,"")</f>
        <v>93.6587804082918</v>
      </c>
      <c r="Q77" s="13" t="n">
        <f aca="false">IF(AND(ISNUMBER(F77),F77&lt;&gt;0,ISNUMBER(K77)),100*K77/F77,"")</f>
        <v>9.74235152135814</v>
      </c>
      <c r="R77" s="11" t="b">
        <f aca="false">AND(ISNUMBER(F77),F77&gt;0,ISNUMBER(G77),G77&gt;=0,ISNUMBER(H77),H77&gt;=0)</f>
        <v>1</v>
      </c>
      <c r="S77" s="13" t="n">
        <f aca="false">IF(R77,100*I77/F77,"")</f>
        <v>0.047667452983132</v>
      </c>
      <c r="T77" s="11" t="b">
        <f aca="false">NOT(AND(OR(AND(ISBLANK(RawFinancials!B77),ISBLANK(_RawBaseline!B74)),AND(ISNUMBER(RawFinancials!B77),ISNUMBER(_RawBaseline!B74),RawFinancials!B77=_RawBaseline!B74)),OR(AND(ISBLANK(RawFinancials!U77),ISBLANK(_RawBaseline!U74)),AND(ISNUMBER(RawFinancials!U77),ISNUMBER(_RawBaseline!U74),RawFinancials!U77=_RawBaseline!U74)),OR(AND(ISBLANK(RawFinancials!O77),ISBLANK(_RawBaseline!O74)),AND(ISNUMBER(RawFinancials!O77),ISNUMBER(_RawBaseline!O74),RawFinancials!O77=_RawBaseline!O74))))</f>
        <v>0</v>
      </c>
      <c r="U77" s="13" t="n">
        <f aca="false">IF(AND(D77=WF_START_PERIOD,R77,COUNTIFS($B$5:$B$750,B77,$D$5:$D$750,WF_END_PERIOD,$R$5:$R$750,TRUE())&gt;0),SUMIFS($S$5:$S$750,$B$5:$B$750,B77,$D$5:$D$750,WF_END_PERIOD,$R$5:$R$750,TRUE()),0)</f>
        <v>0</v>
      </c>
      <c r="V77" s="0" t="str">
        <f aca="false">IF(AND(D77=WF_START_PERIOD,COUNTIFS($B$5:$B$750,B77,$D$5:$D$750,WF_END_PERIOD)&gt;0),INDEX($E$5:$E$750,MATCH(B77&amp;"|"&amp;WF_END_PERIOD,$AC$5:$AC$750,0)),"")</f>
        <v/>
      </c>
      <c r="W77" s="11" t="b">
        <f aca="false">COUNTIFS($B$5:$B$750,B77,$D$5:$D$750,WF_START_PERIOD,$R$5:$R$750,TRUE())&gt;0</f>
        <v>1</v>
      </c>
      <c r="X77" s="11" t="b">
        <f aca="false">COUNTIFS($B$5:$B$750,B77,$D$5:$D$750,WF_END_PERIOD,$R$5:$R$750,TRUE())&gt;0</f>
        <v>1</v>
      </c>
      <c r="Y77" s="0" t="str">
        <f aca="false">IF(AND(D77=WF_END_PERIOD,COUNTIFS($B$5:$B$750,B77,$D$5:$D$750,WF_START_PERIOD)&gt;0),INDEX($E$5:$E$750,MATCH(B77&amp;"|"&amp;WF_START_PERIOD,$AC$5:$AC$750,0)),"")</f>
        <v/>
      </c>
      <c r="Z77" s="0" t="str">
        <f aca="false">IF(AND(D77=WF_END_PERIOD,R77),1+COUNTIFS($D$5:$D$750,WF_END_PERIOD,$E$5:$E$750,E77,$R$5:$R$750,TRUE(),$S$5:$S$750,"&gt;"&amp;S77)+COUNTIFS($D$5:$D$750,WF_END_PERIOD,$E$5:$E$750,E77,$R$5:$R$750,TRUE(),$S$5:$S$750,S77,$B$5:$B$750,"&lt;"&amp;B77),"")</f>
        <v/>
      </c>
      <c r="AA77" s="0" t="str">
        <f aca="false">IF(AND(D77=WF_END_PERIOD,R77,Z77&lt;&gt;1),1+COUNTIFS($D$5:$D$750,WF_END_PERIOD,$R$5:$R$750,TRUE(),$Z$5:$Z$750,"&lt;&gt;1",$S$5:$S$750,"&gt;"&amp;S77)+COUNTIFS($D$5:$D$750,WF_END_PERIOD,$R$5:$R$750,TRUE(),$Z$5:$Z$750,"&lt;&gt;1",$S$5:$S$750,S77,$B$5:$B$750,"&lt;"&amp;B77),"")</f>
        <v/>
      </c>
      <c r="AB77" s="11" t="b">
        <f aca="false">OR(D77=WF_START_PERIOD,D77=WF_END_PERIOD)</f>
        <v>0</v>
      </c>
      <c r="AC77" s="0" t="str">
        <f aca="false">B77&amp;"|"&amp;D77</f>
        <v>18012|20220630</v>
      </c>
    </row>
    <row r="78" customFormat="false" ht="15" hidden="false" customHeight="false" outlineLevel="0" collapsed="false">
      <c r="A78" s="0" t="n">
        <f aca="false">RawFinancials!A78</f>
        <v>75</v>
      </c>
      <c r="B78" s="0" t="n">
        <f aca="false">RawFinancials!C78</f>
        <v>18013</v>
      </c>
      <c r="C78" s="0" t="str">
        <f aca="false">RawFinancials!P78</f>
        <v>MASCOMA BANK</v>
      </c>
      <c r="D78" s="0" t="n">
        <f aca="false">RawFinancials!W78</f>
        <v>20220630</v>
      </c>
      <c r="E78" s="0" t="str">
        <f aca="false">RawFinancials!Z78</f>
        <v>NH</v>
      </c>
      <c r="F78" s="0" t="n">
        <f aca="false">RawFinancials!B78</f>
        <v>2601325</v>
      </c>
      <c r="G78" s="0" t="n">
        <f aca="false">RawFinancials!U78</f>
        <v>781</v>
      </c>
      <c r="H78" s="0" t="n">
        <f aca="false">RawFinancials!O78</f>
        <v>1506</v>
      </c>
      <c r="I78" s="0" t="n">
        <f aca="false">IF(AND(ISNUMBER(G78),ISNUMBER(H78)),G78+H78,"")</f>
        <v>2287</v>
      </c>
      <c r="J78" s="0" t="n">
        <f aca="false">RawFinancials!D78</f>
        <v>2273331</v>
      </c>
      <c r="K78" s="0" t="n">
        <f aca="false">RawFinancials!F78</f>
        <v>196477</v>
      </c>
      <c r="L78" s="0" t="n">
        <f aca="false">RawFinancials!L78</f>
        <v>2018864</v>
      </c>
      <c r="M78" s="0" t="n">
        <f aca="false">RawFinancials!N78</f>
        <v>1844412</v>
      </c>
      <c r="N78" s="13" t="n">
        <f aca="false">RawFinancials!X78</f>
        <v>0.734825584062722</v>
      </c>
      <c r="O78" s="13" t="n">
        <f aca="false">RawFinancials!V78</f>
        <v>13.7038054450497</v>
      </c>
      <c r="P78" s="13" t="n">
        <f aca="false">IF(AND(ISNUMBER(L78),L78&lt;&gt;0,ISNUMBER(M78)),100*M78/L78,"")</f>
        <v>91.3589028285214</v>
      </c>
      <c r="Q78" s="13" t="n">
        <f aca="false">IF(AND(ISNUMBER(F78),F78&lt;&gt;0,ISNUMBER(K78)),100*K78/F78,"")</f>
        <v>7.55295858841168</v>
      </c>
      <c r="R78" s="11" t="b">
        <f aca="false">AND(ISNUMBER(F78),F78&gt;0,ISNUMBER(G78),G78&gt;=0,ISNUMBER(H78),H78&gt;=0)</f>
        <v>1</v>
      </c>
      <c r="S78" s="13" t="n">
        <f aca="false">IF(R78,100*I78/F78,"")</f>
        <v>0.0879167347409493</v>
      </c>
      <c r="T78" s="11" t="b">
        <f aca="false">NOT(AND(OR(AND(ISBLANK(RawFinancials!B78),ISBLANK(_RawBaseline!B75)),AND(ISNUMBER(RawFinancials!B78),ISNUMBER(_RawBaseline!B75),RawFinancials!B78=_RawBaseline!B75)),OR(AND(ISBLANK(RawFinancials!U78),ISBLANK(_RawBaseline!U75)),AND(ISNUMBER(RawFinancials!U78),ISNUMBER(_RawBaseline!U75),RawFinancials!U78=_RawBaseline!U75)),OR(AND(ISBLANK(RawFinancials!O78),ISBLANK(_RawBaseline!O75)),AND(ISNUMBER(RawFinancials!O78),ISNUMBER(_RawBaseline!O75),RawFinancials!O78=_RawBaseline!O75))))</f>
        <v>0</v>
      </c>
      <c r="U78" s="13" t="n">
        <f aca="false">IF(AND(D78=WF_START_PERIOD,R78,COUNTIFS($B$5:$B$750,B78,$D$5:$D$750,WF_END_PERIOD,$R$5:$R$750,TRUE())&gt;0),SUMIFS($S$5:$S$750,$B$5:$B$750,B78,$D$5:$D$750,WF_END_PERIOD,$R$5:$R$750,TRUE()),0)</f>
        <v>0</v>
      </c>
      <c r="V78" s="0" t="str">
        <f aca="false">IF(AND(D78=WF_START_PERIOD,COUNTIFS($B$5:$B$750,B78,$D$5:$D$750,WF_END_PERIOD)&gt;0),INDEX($E$5:$E$750,MATCH(B78&amp;"|"&amp;WF_END_PERIOD,$AC$5:$AC$750,0)),"")</f>
        <v/>
      </c>
      <c r="W78" s="11" t="b">
        <f aca="false">COUNTIFS($B$5:$B$750,B78,$D$5:$D$750,WF_START_PERIOD,$R$5:$R$750,TRUE())&gt;0</f>
        <v>1</v>
      </c>
      <c r="X78" s="11" t="b">
        <f aca="false">COUNTIFS($B$5:$B$750,B78,$D$5:$D$750,WF_END_PERIOD,$R$5:$R$750,TRUE())&gt;0</f>
        <v>1</v>
      </c>
      <c r="Y78" s="0" t="str">
        <f aca="false">IF(AND(D78=WF_END_PERIOD,COUNTIFS($B$5:$B$750,B78,$D$5:$D$750,WF_START_PERIOD)&gt;0),INDEX($E$5:$E$750,MATCH(B78&amp;"|"&amp;WF_START_PERIOD,$AC$5:$AC$750,0)),"")</f>
        <v/>
      </c>
      <c r="Z78" s="0" t="str">
        <f aca="false">IF(AND(D78=WF_END_PERIOD,R78),1+COUNTIFS($D$5:$D$750,WF_END_PERIOD,$E$5:$E$750,E78,$R$5:$R$750,TRUE(),$S$5:$S$750,"&gt;"&amp;S78)+COUNTIFS($D$5:$D$750,WF_END_PERIOD,$E$5:$E$750,E78,$R$5:$R$750,TRUE(),$S$5:$S$750,S78,$B$5:$B$750,"&lt;"&amp;B78),"")</f>
        <v/>
      </c>
      <c r="AA78" s="0" t="str">
        <f aca="false">IF(AND(D78=WF_END_PERIOD,R78,Z78&lt;&gt;1),1+COUNTIFS($D$5:$D$750,WF_END_PERIOD,$R$5:$R$750,TRUE(),$Z$5:$Z$750,"&lt;&gt;1",$S$5:$S$750,"&gt;"&amp;S78)+COUNTIFS($D$5:$D$750,WF_END_PERIOD,$R$5:$R$750,TRUE(),$Z$5:$Z$750,"&lt;&gt;1",$S$5:$S$750,S78,$B$5:$B$750,"&lt;"&amp;B78),"")</f>
        <v/>
      </c>
      <c r="AB78" s="11" t="b">
        <f aca="false">OR(D78=WF_START_PERIOD,D78=WF_END_PERIOD)</f>
        <v>0</v>
      </c>
      <c r="AC78" s="0" t="str">
        <f aca="false">B78&amp;"|"&amp;D78</f>
        <v>18013|20220630</v>
      </c>
    </row>
    <row r="79" customFormat="false" ht="15" hidden="false" customHeight="false" outlineLevel="0" collapsed="false">
      <c r="A79" s="0" t="n">
        <f aca="false">RawFinancials!A79</f>
        <v>76</v>
      </c>
      <c r="B79" s="0" t="n">
        <f aca="false">RawFinancials!C79</f>
        <v>18028</v>
      </c>
      <c r="C79" s="0" t="str">
        <f aca="false">RawFinancials!P79</f>
        <v>SUGAR RIVER BANK</v>
      </c>
      <c r="D79" s="0" t="n">
        <f aca="false">RawFinancials!W79</f>
        <v>20220630</v>
      </c>
      <c r="E79" s="0" t="str">
        <f aca="false">RawFinancials!Z79</f>
        <v>NH</v>
      </c>
      <c r="F79" s="0" t="n">
        <f aca="false">RawFinancials!B79</f>
        <v>377551</v>
      </c>
      <c r="G79" s="0" t="n">
        <f aca="false">RawFinancials!U79</f>
        <v>25</v>
      </c>
      <c r="H79" s="0" t="n">
        <f aca="false">RawFinancials!O79</f>
        <v>1077</v>
      </c>
      <c r="I79" s="0" t="n">
        <f aca="false">IF(AND(ISNUMBER(G79),ISNUMBER(H79)),G79+H79,"")</f>
        <v>1102</v>
      </c>
      <c r="J79" s="0" t="n">
        <f aca="false">RawFinancials!D79</f>
        <v>335244</v>
      </c>
      <c r="K79" s="0" t="n">
        <f aca="false">RawFinancials!F79</f>
        <v>38122</v>
      </c>
      <c r="L79" s="0" t="n">
        <f aca="false">RawFinancials!L79</f>
        <v>240579</v>
      </c>
      <c r="M79" s="0" t="n">
        <f aca="false">RawFinancials!N79</f>
        <v>210223</v>
      </c>
      <c r="N79" s="13" t="n">
        <f aca="false">RawFinancials!X79</f>
        <v>0.703599748815598</v>
      </c>
      <c r="O79" s="13" t="n">
        <f aca="false">RawFinancials!V79</f>
        <v>0</v>
      </c>
      <c r="P79" s="13" t="n">
        <f aca="false">IF(AND(ISNUMBER(L79),L79&lt;&gt;0,ISNUMBER(M79)),100*M79/L79,"")</f>
        <v>87.3821073327265</v>
      </c>
      <c r="Q79" s="13" t="n">
        <f aca="false">IF(AND(ISNUMBER(F79),F79&lt;&gt;0,ISNUMBER(K79)),100*K79/F79,"")</f>
        <v>10.0971789241718</v>
      </c>
      <c r="R79" s="11" t="b">
        <f aca="false">AND(ISNUMBER(F79),F79&gt;0,ISNUMBER(G79),G79&gt;=0,ISNUMBER(H79),H79&gt;=0)</f>
        <v>1</v>
      </c>
      <c r="S79" s="13" t="n">
        <f aca="false">IF(R79,100*I79/F79,"")</f>
        <v>0.291881096858438</v>
      </c>
      <c r="T79" s="11" t="b">
        <f aca="false">NOT(AND(OR(AND(ISBLANK(RawFinancials!B79),ISBLANK(_RawBaseline!B76)),AND(ISNUMBER(RawFinancials!B79),ISNUMBER(_RawBaseline!B76),RawFinancials!B79=_RawBaseline!B76)),OR(AND(ISBLANK(RawFinancials!U79),ISBLANK(_RawBaseline!U76)),AND(ISNUMBER(RawFinancials!U79),ISNUMBER(_RawBaseline!U76),RawFinancials!U79=_RawBaseline!U76)),OR(AND(ISBLANK(RawFinancials!O79),ISBLANK(_RawBaseline!O76)),AND(ISNUMBER(RawFinancials!O79),ISNUMBER(_RawBaseline!O76),RawFinancials!O79=_RawBaseline!O76))))</f>
        <v>0</v>
      </c>
      <c r="U79" s="13" t="n">
        <f aca="false">IF(AND(D79=WF_START_PERIOD,R79,COUNTIFS($B$5:$B$750,B79,$D$5:$D$750,WF_END_PERIOD,$R$5:$R$750,TRUE())&gt;0),SUMIFS($S$5:$S$750,$B$5:$B$750,B79,$D$5:$D$750,WF_END_PERIOD,$R$5:$R$750,TRUE()),0)</f>
        <v>0</v>
      </c>
      <c r="V79" s="0" t="str">
        <f aca="false">IF(AND(D79=WF_START_PERIOD,COUNTIFS($B$5:$B$750,B79,$D$5:$D$750,WF_END_PERIOD)&gt;0),INDEX($E$5:$E$750,MATCH(B79&amp;"|"&amp;WF_END_PERIOD,$AC$5:$AC$750,0)),"")</f>
        <v/>
      </c>
      <c r="W79" s="11" t="b">
        <f aca="false">COUNTIFS($B$5:$B$750,B79,$D$5:$D$750,WF_START_PERIOD,$R$5:$R$750,TRUE())&gt;0</f>
        <v>1</v>
      </c>
      <c r="X79" s="11" t="b">
        <f aca="false">COUNTIFS($B$5:$B$750,B79,$D$5:$D$750,WF_END_PERIOD,$R$5:$R$750,TRUE())&gt;0</f>
        <v>1</v>
      </c>
      <c r="Y79" s="0" t="str">
        <f aca="false">IF(AND(D79=WF_END_PERIOD,COUNTIFS($B$5:$B$750,B79,$D$5:$D$750,WF_START_PERIOD)&gt;0),INDEX($E$5:$E$750,MATCH(B79&amp;"|"&amp;WF_START_PERIOD,$AC$5:$AC$750,0)),"")</f>
        <v/>
      </c>
      <c r="Z79" s="0" t="str">
        <f aca="false">IF(AND(D79=WF_END_PERIOD,R79),1+COUNTIFS($D$5:$D$750,WF_END_PERIOD,$E$5:$E$750,E79,$R$5:$R$750,TRUE(),$S$5:$S$750,"&gt;"&amp;S79)+COUNTIFS($D$5:$D$750,WF_END_PERIOD,$E$5:$E$750,E79,$R$5:$R$750,TRUE(),$S$5:$S$750,S79,$B$5:$B$750,"&lt;"&amp;B79),"")</f>
        <v/>
      </c>
      <c r="AA79" s="0" t="str">
        <f aca="false">IF(AND(D79=WF_END_PERIOD,R79,Z79&lt;&gt;1),1+COUNTIFS($D$5:$D$750,WF_END_PERIOD,$R$5:$R$750,TRUE(),$Z$5:$Z$750,"&lt;&gt;1",$S$5:$S$750,"&gt;"&amp;S79)+COUNTIFS($D$5:$D$750,WF_END_PERIOD,$R$5:$R$750,TRUE(),$Z$5:$Z$750,"&lt;&gt;1",$S$5:$S$750,S79,$B$5:$B$750,"&lt;"&amp;B79),"")</f>
        <v/>
      </c>
      <c r="AB79" s="11" t="b">
        <f aca="false">OR(D79=WF_START_PERIOD,D79=WF_END_PERIOD)</f>
        <v>0</v>
      </c>
      <c r="AC79" s="0" t="str">
        <f aca="false">B79&amp;"|"&amp;D79</f>
        <v>18028|20220630</v>
      </c>
    </row>
    <row r="80" customFormat="false" ht="15" hidden="false" customHeight="false" outlineLevel="0" collapsed="false">
      <c r="A80" s="0" t="n">
        <f aca="false">RawFinancials!A80</f>
        <v>77</v>
      </c>
      <c r="B80" s="0" t="n">
        <f aca="false">RawFinancials!C80</f>
        <v>18030</v>
      </c>
      <c r="C80" s="0" t="str">
        <f aca="false">RawFinancials!P80</f>
        <v>SAVINGS BANK OF WALPOLE</v>
      </c>
      <c r="D80" s="0" t="n">
        <f aca="false">RawFinancials!W80</f>
        <v>20220630</v>
      </c>
      <c r="E80" s="0" t="str">
        <f aca="false">RawFinancials!Z80</f>
        <v>NH</v>
      </c>
      <c r="F80" s="0" t="n">
        <f aca="false">RawFinancials!B80</f>
        <v>687772</v>
      </c>
      <c r="G80" s="0" t="n">
        <f aca="false">RawFinancials!U80</f>
        <v>0</v>
      </c>
      <c r="H80" s="0" t="n">
        <f aca="false">RawFinancials!O80</f>
        <v>564</v>
      </c>
      <c r="I80" s="0" t="n">
        <f aca="false">IF(AND(ISNUMBER(G80),ISNUMBER(H80)),G80+H80,"")</f>
        <v>564</v>
      </c>
      <c r="J80" s="0" t="n">
        <f aca="false">RawFinancials!D80</f>
        <v>640669</v>
      </c>
      <c r="K80" s="0" t="n">
        <f aca="false">RawFinancials!F80</f>
        <v>44729</v>
      </c>
      <c r="L80" s="0" t="n">
        <f aca="false">RawFinancials!L80</f>
        <v>511976</v>
      </c>
      <c r="M80" s="0" t="n">
        <f aca="false">RawFinancials!N80</f>
        <v>399387</v>
      </c>
      <c r="N80" s="13" t="n">
        <f aca="false">RawFinancials!X80</f>
        <v>0.378784896628824</v>
      </c>
      <c r="O80" s="13" t="n">
        <f aca="false">RawFinancials!V80</f>
        <v>13.6627788194807</v>
      </c>
      <c r="P80" s="13" t="n">
        <f aca="false">IF(AND(ISNUMBER(L80),L80&lt;&gt;0,ISNUMBER(M80)),100*M80/L80,"")</f>
        <v>78.0089301060987</v>
      </c>
      <c r="Q80" s="13" t="n">
        <f aca="false">IF(AND(ISNUMBER(F80),F80&lt;&gt;0,ISNUMBER(K80)),100*K80/F80,"")</f>
        <v>6.50346335704274</v>
      </c>
      <c r="R80" s="11" t="b">
        <f aca="false">AND(ISNUMBER(F80),F80&gt;0,ISNUMBER(G80),G80&gt;=0,ISNUMBER(H80),H80&gt;=0)</f>
        <v>1</v>
      </c>
      <c r="S80" s="13" t="n">
        <f aca="false">IF(R80,100*I80/F80,"")</f>
        <v>0.082003919903689</v>
      </c>
      <c r="T80" s="11" t="b">
        <f aca="false">NOT(AND(OR(AND(ISBLANK(RawFinancials!B80),ISBLANK(_RawBaseline!B77)),AND(ISNUMBER(RawFinancials!B80),ISNUMBER(_RawBaseline!B77),RawFinancials!B80=_RawBaseline!B77)),OR(AND(ISBLANK(RawFinancials!U80),ISBLANK(_RawBaseline!U77)),AND(ISNUMBER(RawFinancials!U80),ISNUMBER(_RawBaseline!U77),RawFinancials!U80=_RawBaseline!U77)),OR(AND(ISBLANK(RawFinancials!O80),ISBLANK(_RawBaseline!O77)),AND(ISNUMBER(RawFinancials!O80),ISNUMBER(_RawBaseline!O77),RawFinancials!O80=_RawBaseline!O77))))</f>
        <v>0</v>
      </c>
      <c r="U80" s="13" t="n">
        <f aca="false">IF(AND(D80=WF_START_PERIOD,R80,COUNTIFS($B$5:$B$750,B80,$D$5:$D$750,WF_END_PERIOD,$R$5:$R$750,TRUE())&gt;0),SUMIFS($S$5:$S$750,$B$5:$B$750,B80,$D$5:$D$750,WF_END_PERIOD,$R$5:$R$750,TRUE()),0)</f>
        <v>0</v>
      </c>
      <c r="V80" s="0" t="str">
        <f aca="false">IF(AND(D80=WF_START_PERIOD,COUNTIFS($B$5:$B$750,B80,$D$5:$D$750,WF_END_PERIOD)&gt;0),INDEX($E$5:$E$750,MATCH(B80&amp;"|"&amp;WF_END_PERIOD,$AC$5:$AC$750,0)),"")</f>
        <v/>
      </c>
      <c r="W80" s="11" t="b">
        <f aca="false">COUNTIFS($B$5:$B$750,B80,$D$5:$D$750,WF_START_PERIOD,$R$5:$R$750,TRUE())&gt;0</f>
        <v>1</v>
      </c>
      <c r="X80" s="11" t="b">
        <f aca="false">COUNTIFS($B$5:$B$750,B80,$D$5:$D$750,WF_END_PERIOD,$R$5:$R$750,TRUE())&gt;0</f>
        <v>1</v>
      </c>
      <c r="Y80" s="0" t="str">
        <f aca="false">IF(AND(D80=WF_END_PERIOD,COUNTIFS($B$5:$B$750,B80,$D$5:$D$750,WF_START_PERIOD)&gt;0),INDEX($E$5:$E$750,MATCH(B80&amp;"|"&amp;WF_START_PERIOD,$AC$5:$AC$750,0)),"")</f>
        <v/>
      </c>
      <c r="Z80" s="0" t="str">
        <f aca="false">IF(AND(D80=WF_END_PERIOD,R80),1+COUNTIFS($D$5:$D$750,WF_END_PERIOD,$E$5:$E$750,E80,$R$5:$R$750,TRUE(),$S$5:$S$750,"&gt;"&amp;S80)+COUNTIFS($D$5:$D$750,WF_END_PERIOD,$E$5:$E$750,E80,$R$5:$R$750,TRUE(),$S$5:$S$750,S80,$B$5:$B$750,"&lt;"&amp;B80),"")</f>
        <v/>
      </c>
      <c r="AA80" s="0" t="str">
        <f aca="false">IF(AND(D80=WF_END_PERIOD,R80,Z80&lt;&gt;1),1+COUNTIFS($D$5:$D$750,WF_END_PERIOD,$R$5:$R$750,TRUE(),$Z$5:$Z$750,"&lt;&gt;1",$S$5:$S$750,"&gt;"&amp;S80)+COUNTIFS($D$5:$D$750,WF_END_PERIOD,$R$5:$R$750,TRUE(),$Z$5:$Z$750,"&lt;&gt;1",$S$5:$S$750,S80,$B$5:$B$750,"&lt;"&amp;B80),"")</f>
        <v/>
      </c>
      <c r="AB80" s="11" t="b">
        <f aca="false">OR(D80=WF_START_PERIOD,D80=WF_END_PERIOD)</f>
        <v>0</v>
      </c>
      <c r="AC80" s="0" t="str">
        <f aca="false">B80&amp;"|"&amp;D80</f>
        <v>18030|20220630</v>
      </c>
    </row>
    <row r="81" customFormat="false" ht="15" hidden="false" customHeight="false" outlineLevel="0" collapsed="false">
      <c r="A81" s="0" t="n">
        <f aca="false">RawFinancials!A81</f>
        <v>78</v>
      </c>
      <c r="B81" s="0" t="n">
        <f aca="false">RawFinancials!C81</f>
        <v>18031</v>
      </c>
      <c r="C81" s="0" t="str">
        <f aca="false">RawFinancials!P81</f>
        <v>WOODSVILLE GUARANTY SAVINGS BANK</v>
      </c>
      <c r="D81" s="0" t="n">
        <f aca="false">RawFinancials!W81</f>
        <v>20220630</v>
      </c>
      <c r="E81" s="0" t="str">
        <f aca="false">RawFinancials!Z81</f>
        <v>NH</v>
      </c>
      <c r="F81" s="0" t="n">
        <f aca="false">RawFinancials!B81</f>
        <v>627001</v>
      </c>
      <c r="G81" s="0" t="n">
        <f aca="false">RawFinancials!U81</f>
        <v>0</v>
      </c>
      <c r="H81" s="0" t="n">
        <f aca="false">RawFinancials!O81</f>
        <v>527</v>
      </c>
      <c r="I81" s="0" t="n">
        <f aca="false">IF(AND(ISNUMBER(G81),ISNUMBER(H81)),G81+H81,"")</f>
        <v>527</v>
      </c>
      <c r="J81" s="0" t="n">
        <f aca="false">RawFinancials!D81</f>
        <v>558118</v>
      </c>
      <c r="K81" s="0" t="n">
        <f aca="false">RawFinancials!F81</f>
        <v>39966</v>
      </c>
      <c r="L81" s="0" t="n">
        <f aca="false">RawFinancials!L81</f>
        <v>427467</v>
      </c>
      <c r="M81" s="0" t="n">
        <f aca="false">RawFinancials!N81</f>
        <v>382501</v>
      </c>
      <c r="N81" s="13" t="n">
        <f aca="false">RawFinancials!X81</f>
        <v>0.460576991796965</v>
      </c>
      <c r="O81" s="13" t="n">
        <f aca="false">RawFinancials!V81</f>
        <v>0</v>
      </c>
      <c r="P81" s="13" t="n">
        <f aca="false">IF(AND(ISNUMBER(L81),L81&lt;&gt;0,ISNUMBER(M81)),100*M81/L81,"")</f>
        <v>89.4808254204418</v>
      </c>
      <c r="Q81" s="13" t="n">
        <f aca="false">IF(AND(ISNUMBER(F81),F81&lt;&gt;0,ISNUMBER(K81)),100*K81/F81,"")</f>
        <v>6.37415251331338</v>
      </c>
      <c r="R81" s="11" t="b">
        <f aca="false">AND(ISNUMBER(F81),F81&gt;0,ISNUMBER(G81),G81&gt;=0,ISNUMBER(H81),H81&gt;=0)</f>
        <v>1</v>
      </c>
      <c r="S81" s="13" t="n">
        <f aca="false">IF(R81,100*I81/F81,"")</f>
        <v>0.0840509026301393</v>
      </c>
      <c r="T81" s="11" t="b">
        <f aca="false">NOT(AND(OR(AND(ISBLANK(RawFinancials!B81),ISBLANK(_RawBaseline!B78)),AND(ISNUMBER(RawFinancials!B81),ISNUMBER(_RawBaseline!B78),RawFinancials!B81=_RawBaseline!B78)),OR(AND(ISBLANK(RawFinancials!U81),ISBLANK(_RawBaseline!U78)),AND(ISNUMBER(RawFinancials!U81),ISNUMBER(_RawBaseline!U78),RawFinancials!U81=_RawBaseline!U78)),OR(AND(ISBLANK(RawFinancials!O81),ISBLANK(_RawBaseline!O78)),AND(ISNUMBER(RawFinancials!O81),ISNUMBER(_RawBaseline!O78),RawFinancials!O81=_RawBaseline!O78))))</f>
        <v>0</v>
      </c>
      <c r="U81" s="13" t="n">
        <f aca="false">IF(AND(D81=WF_START_PERIOD,R81,COUNTIFS($B$5:$B$750,B81,$D$5:$D$750,WF_END_PERIOD,$R$5:$R$750,TRUE())&gt;0),SUMIFS($S$5:$S$750,$B$5:$B$750,B81,$D$5:$D$750,WF_END_PERIOD,$R$5:$R$750,TRUE()),0)</f>
        <v>0</v>
      </c>
      <c r="V81" s="0" t="str">
        <f aca="false">IF(AND(D81=WF_START_PERIOD,COUNTIFS($B$5:$B$750,B81,$D$5:$D$750,WF_END_PERIOD)&gt;0),INDEX($E$5:$E$750,MATCH(B81&amp;"|"&amp;WF_END_PERIOD,$AC$5:$AC$750,0)),"")</f>
        <v/>
      </c>
      <c r="W81" s="11" t="b">
        <f aca="false">COUNTIFS($B$5:$B$750,B81,$D$5:$D$750,WF_START_PERIOD,$R$5:$R$750,TRUE())&gt;0</f>
        <v>1</v>
      </c>
      <c r="X81" s="11" t="b">
        <f aca="false">COUNTIFS($B$5:$B$750,B81,$D$5:$D$750,WF_END_PERIOD,$R$5:$R$750,TRUE())&gt;0</f>
        <v>1</v>
      </c>
      <c r="Y81" s="0" t="str">
        <f aca="false">IF(AND(D81=WF_END_PERIOD,COUNTIFS($B$5:$B$750,B81,$D$5:$D$750,WF_START_PERIOD)&gt;0),INDEX($E$5:$E$750,MATCH(B81&amp;"|"&amp;WF_START_PERIOD,$AC$5:$AC$750,0)),"")</f>
        <v/>
      </c>
      <c r="Z81" s="0" t="str">
        <f aca="false">IF(AND(D81=WF_END_PERIOD,R81),1+COUNTIFS($D$5:$D$750,WF_END_PERIOD,$E$5:$E$750,E81,$R$5:$R$750,TRUE(),$S$5:$S$750,"&gt;"&amp;S81)+COUNTIFS($D$5:$D$750,WF_END_PERIOD,$E$5:$E$750,E81,$R$5:$R$750,TRUE(),$S$5:$S$750,S81,$B$5:$B$750,"&lt;"&amp;B81),"")</f>
        <v/>
      </c>
      <c r="AA81" s="0" t="str">
        <f aca="false">IF(AND(D81=WF_END_PERIOD,R81,Z81&lt;&gt;1),1+COUNTIFS($D$5:$D$750,WF_END_PERIOD,$R$5:$R$750,TRUE(),$Z$5:$Z$750,"&lt;&gt;1",$S$5:$S$750,"&gt;"&amp;S81)+COUNTIFS($D$5:$D$750,WF_END_PERIOD,$R$5:$R$750,TRUE(),$Z$5:$Z$750,"&lt;&gt;1",$S$5:$S$750,S81,$B$5:$B$750,"&lt;"&amp;B81),"")</f>
        <v/>
      </c>
      <c r="AB81" s="11" t="b">
        <f aca="false">OR(D81=WF_START_PERIOD,D81=WF_END_PERIOD)</f>
        <v>0</v>
      </c>
      <c r="AC81" s="0" t="str">
        <f aca="false">B81&amp;"|"&amp;D81</f>
        <v>18031|20220630</v>
      </c>
    </row>
    <row r="82" customFormat="false" ht="15" hidden="false" customHeight="false" outlineLevel="0" collapsed="false">
      <c r="A82" s="0" t="n">
        <f aca="false">RawFinancials!A82</f>
        <v>79</v>
      </c>
      <c r="B82" s="0" t="n">
        <f aca="false">RawFinancials!C82</f>
        <v>18038</v>
      </c>
      <c r="C82" s="0" t="str">
        <f aca="false">RawFinancials!P82</f>
        <v>CLAREMONT SAVINGS BANK</v>
      </c>
      <c r="D82" s="0" t="n">
        <f aca="false">RawFinancials!W82</f>
        <v>20220630</v>
      </c>
      <c r="E82" s="0" t="str">
        <f aca="false">RawFinancials!Z82</f>
        <v>NH</v>
      </c>
      <c r="F82" s="0" t="n">
        <f aca="false">RawFinancials!B82</f>
        <v>488764</v>
      </c>
      <c r="G82" s="0" t="n">
        <f aca="false">RawFinancials!U82</f>
        <v>0</v>
      </c>
      <c r="H82" s="0" t="n">
        <f aca="false">RawFinancials!O82</f>
        <v>2488</v>
      </c>
      <c r="I82" s="0" t="n">
        <f aca="false">IF(AND(ISNUMBER(G82),ISNUMBER(H82)),G82+H82,"")</f>
        <v>2488</v>
      </c>
      <c r="J82" s="0" t="n">
        <f aca="false">RawFinancials!D82</f>
        <v>401670</v>
      </c>
      <c r="K82" s="0" t="n">
        <f aca="false">RawFinancials!F82</f>
        <v>64314</v>
      </c>
      <c r="L82" s="0" t="n">
        <f aca="false">RawFinancials!L82</f>
        <v>365235</v>
      </c>
      <c r="M82" s="0" t="n">
        <f aca="false">RawFinancials!N82</f>
        <v>344078</v>
      </c>
      <c r="N82" s="13" t="n">
        <f aca="false">RawFinancials!X82</f>
        <v>-1.25076524476901</v>
      </c>
      <c r="O82" s="13" t="n">
        <f aca="false">RawFinancials!V82</f>
        <v>0</v>
      </c>
      <c r="P82" s="13" t="n">
        <f aca="false">IF(AND(ISNUMBER(L82),L82&lt;&gt;0,ISNUMBER(M82)),100*M82/L82,"")</f>
        <v>94.2072911960792</v>
      </c>
      <c r="Q82" s="13" t="n">
        <f aca="false">IF(AND(ISNUMBER(F82),F82&lt;&gt;0,ISNUMBER(K82)),100*K82/F82,"")</f>
        <v>13.1584977617009</v>
      </c>
      <c r="R82" s="11" t="b">
        <f aca="false">AND(ISNUMBER(F82),F82&gt;0,ISNUMBER(G82),G82&gt;=0,ISNUMBER(H82),H82&gt;=0)</f>
        <v>1</v>
      </c>
      <c r="S82" s="13" t="n">
        <f aca="false">IF(R82,100*I82/F82,"")</f>
        <v>0.509039127267966</v>
      </c>
      <c r="T82" s="11" t="b">
        <f aca="false">NOT(AND(OR(AND(ISBLANK(RawFinancials!B82),ISBLANK(_RawBaseline!B79)),AND(ISNUMBER(RawFinancials!B82),ISNUMBER(_RawBaseline!B79),RawFinancials!B82=_RawBaseline!B79)),OR(AND(ISBLANK(RawFinancials!U82),ISBLANK(_RawBaseline!U79)),AND(ISNUMBER(RawFinancials!U82),ISNUMBER(_RawBaseline!U79),RawFinancials!U82=_RawBaseline!U79)),OR(AND(ISBLANK(RawFinancials!O82),ISBLANK(_RawBaseline!O79)),AND(ISNUMBER(RawFinancials!O82),ISNUMBER(_RawBaseline!O79),RawFinancials!O82=_RawBaseline!O79))))</f>
        <v>0</v>
      </c>
      <c r="U82" s="13" t="n">
        <f aca="false">IF(AND(D82=WF_START_PERIOD,R82,COUNTIFS($B$5:$B$750,B82,$D$5:$D$750,WF_END_PERIOD,$R$5:$R$750,TRUE())&gt;0),SUMIFS($S$5:$S$750,$B$5:$B$750,B82,$D$5:$D$750,WF_END_PERIOD,$R$5:$R$750,TRUE()),0)</f>
        <v>0</v>
      </c>
      <c r="V82" s="0" t="str">
        <f aca="false">IF(AND(D82=WF_START_PERIOD,COUNTIFS($B$5:$B$750,B82,$D$5:$D$750,WF_END_PERIOD)&gt;0),INDEX($E$5:$E$750,MATCH(B82&amp;"|"&amp;WF_END_PERIOD,$AC$5:$AC$750,0)),"")</f>
        <v/>
      </c>
      <c r="W82" s="11" t="b">
        <f aca="false">COUNTIFS($B$5:$B$750,B82,$D$5:$D$750,WF_START_PERIOD,$R$5:$R$750,TRUE())&gt;0</f>
        <v>1</v>
      </c>
      <c r="X82" s="11" t="b">
        <f aca="false">COUNTIFS($B$5:$B$750,B82,$D$5:$D$750,WF_END_PERIOD,$R$5:$R$750,TRUE())&gt;0</f>
        <v>1</v>
      </c>
      <c r="Y82" s="0" t="str">
        <f aca="false">IF(AND(D82=WF_END_PERIOD,COUNTIFS($B$5:$B$750,B82,$D$5:$D$750,WF_START_PERIOD)&gt;0),INDEX($E$5:$E$750,MATCH(B82&amp;"|"&amp;WF_START_PERIOD,$AC$5:$AC$750,0)),"")</f>
        <v/>
      </c>
      <c r="Z82" s="0" t="str">
        <f aca="false">IF(AND(D82=WF_END_PERIOD,R82),1+COUNTIFS($D$5:$D$750,WF_END_PERIOD,$E$5:$E$750,E82,$R$5:$R$750,TRUE(),$S$5:$S$750,"&gt;"&amp;S82)+COUNTIFS($D$5:$D$750,WF_END_PERIOD,$E$5:$E$750,E82,$R$5:$R$750,TRUE(),$S$5:$S$750,S82,$B$5:$B$750,"&lt;"&amp;B82),"")</f>
        <v/>
      </c>
      <c r="AA82" s="0" t="str">
        <f aca="false">IF(AND(D82=WF_END_PERIOD,R82,Z82&lt;&gt;1),1+COUNTIFS($D$5:$D$750,WF_END_PERIOD,$R$5:$R$750,TRUE(),$Z$5:$Z$750,"&lt;&gt;1",$S$5:$S$750,"&gt;"&amp;S82)+COUNTIFS($D$5:$D$750,WF_END_PERIOD,$R$5:$R$750,TRUE(),$Z$5:$Z$750,"&lt;&gt;1",$S$5:$S$750,S82,$B$5:$B$750,"&lt;"&amp;B82),"")</f>
        <v/>
      </c>
      <c r="AB82" s="11" t="b">
        <f aca="false">OR(D82=WF_START_PERIOD,D82=WF_END_PERIOD)</f>
        <v>0</v>
      </c>
      <c r="AC82" s="0" t="str">
        <f aca="false">B82&amp;"|"&amp;D82</f>
        <v>18038|20220630</v>
      </c>
    </row>
    <row r="83" customFormat="false" ht="15" hidden="false" customHeight="false" outlineLevel="0" collapsed="false">
      <c r="A83" s="0" t="n">
        <f aca="false">RawFinancials!A83</f>
        <v>80</v>
      </c>
      <c r="B83" s="0" t="n">
        <f aca="false">RawFinancials!C83</f>
        <v>18408</v>
      </c>
      <c r="C83" s="0" t="str">
        <f aca="false">RawFinancials!P83</f>
        <v>BANGOR SAVINGS BANK</v>
      </c>
      <c r="D83" s="0" t="n">
        <f aca="false">RawFinancials!W83</f>
        <v>20220630</v>
      </c>
      <c r="E83" s="0" t="str">
        <f aca="false">RawFinancials!Z83</f>
        <v>ME</v>
      </c>
      <c r="F83" s="0" t="n">
        <f aca="false">RawFinancials!B83</f>
        <v>7044628</v>
      </c>
      <c r="G83" s="0" t="n">
        <f aca="false">RawFinancials!U83</f>
        <v>0</v>
      </c>
      <c r="H83" s="0" t="n">
        <f aca="false">RawFinancials!O83</f>
        <v>3286</v>
      </c>
      <c r="I83" s="0" t="n">
        <f aca="false">IF(AND(ISNUMBER(G83),ISNUMBER(H83)),G83+H83,"")</f>
        <v>3286</v>
      </c>
      <c r="J83" s="0" t="n">
        <f aca="false">RawFinancials!D83</f>
        <v>5698679</v>
      </c>
      <c r="K83" s="0" t="n">
        <f aca="false">RawFinancials!F83</f>
        <v>400181</v>
      </c>
      <c r="L83" s="0" t="n">
        <f aca="false">RawFinancials!L83</f>
        <v>4218417</v>
      </c>
      <c r="M83" s="0" t="n">
        <f aca="false">RawFinancials!N83</f>
        <v>3811693</v>
      </c>
      <c r="N83" s="13" t="n">
        <f aca="false">RawFinancials!X83</f>
        <v>0.683736868525769</v>
      </c>
      <c r="O83" s="13" t="n">
        <f aca="false">RawFinancials!V83</f>
        <v>12.6356673275024</v>
      </c>
      <c r="P83" s="13" t="n">
        <f aca="false">IF(AND(ISNUMBER(L83),L83&lt;&gt;0,ISNUMBER(M83)),100*M83/L83,"")</f>
        <v>90.3583737691177</v>
      </c>
      <c r="Q83" s="13" t="n">
        <f aca="false">IF(AND(ISNUMBER(F83),F83&lt;&gt;0,ISNUMBER(K83)),100*K83/F83,"")</f>
        <v>5.68065481953057</v>
      </c>
      <c r="R83" s="11" t="b">
        <f aca="false">AND(ISNUMBER(F83),F83&gt;0,ISNUMBER(G83),G83&gt;=0,ISNUMBER(H83),H83&gt;=0)</f>
        <v>1</v>
      </c>
      <c r="S83" s="13" t="n">
        <f aca="false">IF(R83,100*I83/F83,"")</f>
        <v>0.0466454722662432</v>
      </c>
      <c r="T83" s="11" t="b">
        <f aca="false">NOT(AND(OR(AND(ISBLANK(RawFinancials!B83),ISBLANK(_RawBaseline!B80)),AND(ISNUMBER(RawFinancials!B83),ISNUMBER(_RawBaseline!B80),RawFinancials!B83=_RawBaseline!B80)),OR(AND(ISBLANK(RawFinancials!U83),ISBLANK(_RawBaseline!U80)),AND(ISNUMBER(RawFinancials!U83),ISNUMBER(_RawBaseline!U80),RawFinancials!U83=_RawBaseline!U80)),OR(AND(ISBLANK(RawFinancials!O83),ISBLANK(_RawBaseline!O80)),AND(ISNUMBER(RawFinancials!O83),ISNUMBER(_RawBaseline!O80),RawFinancials!O83=_RawBaseline!O80))))</f>
        <v>0</v>
      </c>
      <c r="U83" s="13" t="n">
        <f aca="false">IF(AND(D83=WF_START_PERIOD,R83,COUNTIFS($B$5:$B$750,B83,$D$5:$D$750,WF_END_PERIOD,$R$5:$R$750,TRUE())&gt;0),SUMIFS($S$5:$S$750,$B$5:$B$750,B83,$D$5:$D$750,WF_END_PERIOD,$R$5:$R$750,TRUE()),0)</f>
        <v>0</v>
      </c>
      <c r="V83" s="0" t="str">
        <f aca="false">IF(AND(D83=WF_START_PERIOD,COUNTIFS($B$5:$B$750,B83,$D$5:$D$750,WF_END_PERIOD)&gt;0),INDEX($E$5:$E$750,MATCH(B83&amp;"|"&amp;WF_END_PERIOD,$AC$5:$AC$750,0)),"")</f>
        <v/>
      </c>
      <c r="W83" s="11" t="b">
        <f aca="false">COUNTIFS($B$5:$B$750,B83,$D$5:$D$750,WF_START_PERIOD,$R$5:$R$750,TRUE())&gt;0</f>
        <v>1</v>
      </c>
      <c r="X83" s="11" t="b">
        <f aca="false">COUNTIFS($B$5:$B$750,B83,$D$5:$D$750,WF_END_PERIOD,$R$5:$R$750,TRUE())&gt;0</f>
        <v>1</v>
      </c>
      <c r="Y83" s="0" t="str">
        <f aca="false">IF(AND(D83=WF_END_PERIOD,COUNTIFS($B$5:$B$750,B83,$D$5:$D$750,WF_START_PERIOD)&gt;0),INDEX($E$5:$E$750,MATCH(B83&amp;"|"&amp;WF_START_PERIOD,$AC$5:$AC$750,0)),"")</f>
        <v/>
      </c>
      <c r="Z83" s="0" t="str">
        <f aca="false">IF(AND(D83=WF_END_PERIOD,R83),1+COUNTIFS($D$5:$D$750,WF_END_PERIOD,$E$5:$E$750,E83,$R$5:$R$750,TRUE(),$S$5:$S$750,"&gt;"&amp;S83)+COUNTIFS($D$5:$D$750,WF_END_PERIOD,$E$5:$E$750,E83,$R$5:$R$750,TRUE(),$S$5:$S$750,S83,$B$5:$B$750,"&lt;"&amp;B83),"")</f>
        <v/>
      </c>
      <c r="AA83" s="0" t="str">
        <f aca="false">IF(AND(D83=WF_END_PERIOD,R83,Z83&lt;&gt;1),1+COUNTIFS($D$5:$D$750,WF_END_PERIOD,$R$5:$R$750,TRUE(),$Z$5:$Z$750,"&lt;&gt;1",$S$5:$S$750,"&gt;"&amp;S83)+COUNTIFS($D$5:$D$750,WF_END_PERIOD,$R$5:$R$750,TRUE(),$Z$5:$Z$750,"&lt;&gt;1",$S$5:$S$750,S83,$B$5:$B$750,"&lt;"&amp;B83),"")</f>
        <v/>
      </c>
      <c r="AB83" s="11" t="b">
        <f aca="false">OR(D83=WF_START_PERIOD,D83=WF_END_PERIOD)</f>
        <v>0</v>
      </c>
      <c r="AC83" s="0" t="str">
        <f aca="false">B83&amp;"|"&amp;D83</f>
        <v>18408|20220630</v>
      </c>
    </row>
    <row r="84" customFormat="false" ht="15" hidden="false" customHeight="false" outlineLevel="0" collapsed="false">
      <c r="A84" s="0" t="n">
        <f aca="false">RawFinancials!A84</f>
        <v>81</v>
      </c>
      <c r="B84" s="0" t="n">
        <f aca="false">RawFinancials!C84</f>
        <v>19531</v>
      </c>
      <c r="C84" s="0" t="str">
        <f aca="false">RawFinancials!P84</f>
        <v>MACHIAS SAVINGS BANK</v>
      </c>
      <c r="D84" s="0" t="n">
        <f aca="false">RawFinancials!W84</f>
        <v>20220630</v>
      </c>
      <c r="E84" s="0" t="str">
        <f aca="false">RawFinancials!Z84</f>
        <v>ME</v>
      </c>
      <c r="F84" s="0" t="n">
        <f aca="false">RawFinancials!B84</f>
        <v>2272024</v>
      </c>
      <c r="G84" s="0" t="n">
        <f aca="false">RawFinancials!U84</f>
        <v>0</v>
      </c>
      <c r="H84" s="0" t="n">
        <f aca="false">RawFinancials!O84</f>
        <v>5750</v>
      </c>
      <c r="I84" s="0" t="n">
        <f aca="false">IF(AND(ISNUMBER(G84),ISNUMBER(H84)),G84+H84,"")</f>
        <v>5750</v>
      </c>
      <c r="J84" s="0" t="n">
        <f aca="false">RawFinancials!D84</f>
        <v>1925714</v>
      </c>
      <c r="K84" s="0" t="n">
        <f aca="false">RawFinancials!F84</f>
        <v>222030</v>
      </c>
      <c r="L84" s="0" t="n">
        <f aca="false">RawFinancials!L84</f>
        <v>1764676</v>
      </c>
      <c r="M84" s="0" t="n">
        <f aca="false">RawFinancials!N84</f>
        <v>1421672</v>
      </c>
      <c r="N84" s="13" t="n">
        <f aca="false">RawFinancials!X84</f>
        <v>0.393415877845515</v>
      </c>
      <c r="O84" s="13" t="n">
        <f aca="false">RawFinancials!V84</f>
        <v>14.6873232617526</v>
      </c>
      <c r="P84" s="13" t="n">
        <f aca="false">IF(AND(ISNUMBER(L84),L84&lt;&gt;0,ISNUMBER(M84)),100*M84/L84,"")</f>
        <v>80.5627775296995</v>
      </c>
      <c r="Q84" s="13" t="n">
        <f aca="false">IF(AND(ISNUMBER(F84),F84&lt;&gt;0,ISNUMBER(K84)),100*K84/F84,"")</f>
        <v>9.77234395411316</v>
      </c>
      <c r="R84" s="11" t="b">
        <f aca="false">AND(ISNUMBER(F84),F84&gt;0,ISNUMBER(G84),G84&gt;=0,ISNUMBER(H84),H84&gt;=0)</f>
        <v>1</v>
      </c>
      <c r="S84" s="13" t="n">
        <f aca="false">IF(R84,100*I84/F84,"")</f>
        <v>0.253078312553036</v>
      </c>
      <c r="T84" s="11" t="b">
        <f aca="false">NOT(AND(OR(AND(ISBLANK(RawFinancials!B84),ISBLANK(_RawBaseline!B81)),AND(ISNUMBER(RawFinancials!B84),ISNUMBER(_RawBaseline!B81),RawFinancials!B84=_RawBaseline!B81)),OR(AND(ISBLANK(RawFinancials!U84),ISBLANK(_RawBaseline!U81)),AND(ISNUMBER(RawFinancials!U84),ISNUMBER(_RawBaseline!U81),RawFinancials!U84=_RawBaseline!U81)),OR(AND(ISBLANK(RawFinancials!O84),ISBLANK(_RawBaseline!O81)),AND(ISNUMBER(RawFinancials!O84),ISNUMBER(_RawBaseline!O81),RawFinancials!O84=_RawBaseline!O81))))</f>
        <v>0</v>
      </c>
      <c r="U84" s="13" t="n">
        <f aca="false">IF(AND(D84=WF_START_PERIOD,R84,COUNTIFS($B$5:$B$750,B84,$D$5:$D$750,WF_END_PERIOD,$R$5:$R$750,TRUE())&gt;0),SUMIFS($S$5:$S$750,$B$5:$B$750,B84,$D$5:$D$750,WF_END_PERIOD,$R$5:$R$750,TRUE()),0)</f>
        <v>0</v>
      </c>
      <c r="V84" s="0" t="str">
        <f aca="false">IF(AND(D84=WF_START_PERIOD,COUNTIFS($B$5:$B$750,B84,$D$5:$D$750,WF_END_PERIOD)&gt;0),INDEX($E$5:$E$750,MATCH(B84&amp;"|"&amp;WF_END_PERIOD,$AC$5:$AC$750,0)),"")</f>
        <v/>
      </c>
      <c r="W84" s="11" t="b">
        <f aca="false">COUNTIFS($B$5:$B$750,B84,$D$5:$D$750,WF_START_PERIOD,$R$5:$R$750,TRUE())&gt;0</f>
        <v>1</v>
      </c>
      <c r="X84" s="11" t="b">
        <f aca="false">COUNTIFS($B$5:$B$750,B84,$D$5:$D$750,WF_END_PERIOD,$R$5:$R$750,TRUE())&gt;0</f>
        <v>1</v>
      </c>
      <c r="Y84" s="0" t="str">
        <f aca="false">IF(AND(D84=WF_END_PERIOD,COUNTIFS($B$5:$B$750,B84,$D$5:$D$750,WF_START_PERIOD)&gt;0),INDEX($E$5:$E$750,MATCH(B84&amp;"|"&amp;WF_START_PERIOD,$AC$5:$AC$750,0)),"")</f>
        <v/>
      </c>
      <c r="Z84" s="0" t="str">
        <f aca="false">IF(AND(D84=WF_END_PERIOD,R84),1+COUNTIFS($D$5:$D$750,WF_END_PERIOD,$E$5:$E$750,E84,$R$5:$R$750,TRUE(),$S$5:$S$750,"&gt;"&amp;S84)+COUNTIFS($D$5:$D$750,WF_END_PERIOD,$E$5:$E$750,E84,$R$5:$R$750,TRUE(),$S$5:$S$750,S84,$B$5:$B$750,"&lt;"&amp;B84),"")</f>
        <v/>
      </c>
      <c r="AA84" s="0" t="str">
        <f aca="false">IF(AND(D84=WF_END_PERIOD,R84,Z84&lt;&gt;1),1+COUNTIFS($D$5:$D$750,WF_END_PERIOD,$R$5:$R$750,TRUE(),$Z$5:$Z$750,"&lt;&gt;1",$S$5:$S$750,"&gt;"&amp;S84)+COUNTIFS($D$5:$D$750,WF_END_PERIOD,$R$5:$R$750,TRUE(),$Z$5:$Z$750,"&lt;&gt;1",$S$5:$S$750,S84,$B$5:$B$750,"&lt;"&amp;B84),"")</f>
        <v/>
      </c>
      <c r="AB84" s="11" t="b">
        <f aca="false">OR(D84=WF_START_PERIOD,D84=WF_END_PERIOD)</f>
        <v>0</v>
      </c>
      <c r="AC84" s="0" t="str">
        <f aca="false">B84&amp;"|"&amp;D84</f>
        <v>19531|20220630</v>
      </c>
    </row>
    <row r="85" customFormat="false" ht="15" hidden="false" customHeight="false" outlineLevel="0" collapsed="false">
      <c r="A85" s="0" t="n">
        <f aca="false">RawFinancials!A85</f>
        <v>82</v>
      </c>
      <c r="B85" s="0" t="n">
        <f aca="false">RawFinancials!C85</f>
        <v>19532</v>
      </c>
      <c r="C85" s="0" t="str">
        <f aca="false">RawFinancials!P85</f>
        <v>SKOWHEGAN SAVINGS BANK</v>
      </c>
      <c r="D85" s="0" t="n">
        <f aca="false">RawFinancials!W85</f>
        <v>20220630</v>
      </c>
      <c r="E85" s="0" t="str">
        <f aca="false">RawFinancials!Z85</f>
        <v>ME</v>
      </c>
      <c r="F85" s="0" t="n">
        <f aca="false">RawFinancials!B85</f>
        <v>754376</v>
      </c>
      <c r="G85" s="0" t="n">
        <f aca="false">RawFinancials!U85</f>
        <v>187</v>
      </c>
      <c r="H85" s="0" t="n">
        <f aca="false">RawFinancials!O85</f>
        <v>597</v>
      </c>
      <c r="I85" s="0" t="n">
        <f aca="false">IF(AND(ISNUMBER(G85),ISNUMBER(H85)),G85+H85,"")</f>
        <v>784</v>
      </c>
      <c r="J85" s="0" t="n">
        <f aca="false">RawFinancials!D85</f>
        <v>650205</v>
      </c>
      <c r="K85" s="0" t="n">
        <f aca="false">RawFinancials!F85</f>
        <v>89980</v>
      </c>
      <c r="L85" s="0" t="n">
        <f aca="false">RawFinancials!L85</f>
        <v>515185</v>
      </c>
      <c r="M85" s="0" t="n">
        <f aca="false">RawFinancials!N85</f>
        <v>443130</v>
      </c>
      <c r="N85" s="13" t="n">
        <f aca="false">RawFinancials!X85</f>
        <v>0.477693119700524</v>
      </c>
      <c r="O85" s="13" t="n">
        <f aca="false">RawFinancials!V85</f>
        <v>21.3539763438792</v>
      </c>
      <c r="P85" s="13" t="n">
        <f aca="false">IF(AND(ISNUMBER(L85),L85&lt;&gt;0,ISNUMBER(M85)),100*M85/L85,"")</f>
        <v>86.0137620466434</v>
      </c>
      <c r="Q85" s="13" t="n">
        <f aca="false">IF(AND(ISNUMBER(F85),F85&lt;&gt;0,ISNUMBER(K85)),100*K85/F85,"")</f>
        <v>11.9277389524587</v>
      </c>
      <c r="R85" s="11" t="b">
        <f aca="false">AND(ISNUMBER(F85),F85&gt;0,ISNUMBER(G85),G85&gt;=0,ISNUMBER(H85),H85&gt;=0)</f>
        <v>1</v>
      </c>
      <c r="S85" s="13" t="n">
        <f aca="false">IF(R85,100*I85/F85,"")</f>
        <v>0.103926954197907</v>
      </c>
      <c r="T85" s="11" t="b">
        <f aca="false">NOT(AND(OR(AND(ISBLANK(RawFinancials!B85),ISBLANK(_RawBaseline!B82)),AND(ISNUMBER(RawFinancials!B85),ISNUMBER(_RawBaseline!B82),RawFinancials!B85=_RawBaseline!B82)),OR(AND(ISBLANK(RawFinancials!U85),ISBLANK(_RawBaseline!U82)),AND(ISNUMBER(RawFinancials!U85),ISNUMBER(_RawBaseline!U82),RawFinancials!U85=_RawBaseline!U82)),OR(AND(ISBLANK(RawFinancials!O85),ISBLANK(_RawBaseline!O82)),AND(ISNUMBER(RawFinancials!O85),ISNUMBER(_RawBaseline!O82),RawFinancials!O85=_RawBaseline!O82))))</f>
        <v>0</v>
      </c>
      <c r="U85" s="13" t="n">
        <f aca="false">IF(AND(D85=WF_START_PERIOD,R85,COUNTIFS($B$5:$B$750,B85,$D$5:$D$750,WF_END_PERIOD,$R$5:$R$750,TRUE())&gt;0),SUMIFS($S$5:$S$750,$B$5:$B$750,B85,$D$5:$D$750,WF_END_PERIOD,$R$5:$R$750,TRUE()),0)</f>
        <v>0</v>
      </c>
      <c r="V85" s="0" t="str">
        <f aca="false">IF(AND(D85=WF_START_PERIOD,COUNTIFS($B$5:$B$750,B85,$D$5:$D$750,WF_END_PERIOD)&gt;0),INDEX($E$5:$E$750,MATCH(B85&amp;"|"&amp;WF_END_PERIOD,$AC$5:$AC$750,0)),"")</f>
        <v/>
      </c>
      <c r="W85" s="11" t="b">
        <f aca="false">COUNTIFS($B$5:$B$750,B85,$D$5:$D$750,WF_START_PERIOD,$R$5:$R$750,TRUE())&gt;0</f>
        <v>1</v>
      </c>
      <c r="X85" s="11" t="b">
        <f aca="false">COUNTIFS($B$5:$B$750,B85,$D$5:$D$750,WF_END_PERIOD,$R$5:$R$750,TRUE())&gt;0</f>
        <v>1</v>
      </c>
      <c r="Y85" s="0" t="str">
        <f aca="false">IF(AND(D85=WF_END_PERIOD,COUNTIFS($B$5:$B$750,B85,$D$5:$D$750,WF_START_PERIOD)&gt;0),INDEX($E$5:$E$750,MATCH(B85&amp;"|"&amp;WF_START_PERIOD,$AC$5:$AC$750,0)),"")</f>
        <v/>
      </c>
      <c r="Z85" s="0" t="str">
        <f aca="false">IF(AND(D85=WF_END_PERIOD,R85),1+COUNTIFS($D$5:$D$750,WF_END_PERIOD,$E$5:$E$750,E85,$R$5:$R$750,TRUE(),$S$5:$S$750,"&gt;"&amp;S85)+COUNTIFS($D$5:$D$750,WF_END_PERIOD,$E$5:$E$750,E85,$R$5:$R$750,TRUE(),$S$5:$S$750,S85,$B$5:$B$750,"&lt;"&amp;B85),"")</f>
        <v/>
      </c>
      <c r="AA85" s="0" t="str">
        <f aca="false">IF(AND(D85=WF_END_PERIOD,R85,Z85&lt;&gt;1),1+COUNTIFS($D$5:$D$750,WF_END_PERIOD,$R$5:$R$750,TRUE(),$Z$5:$Z$750,"&lt;&gt;1",$S$5:$S$750,"&gt;"&amp;S85)+COUNTIFS($D$5:$D$750,WF_END_PERIOD,$R$5:$R$750,TRUE(),$Z$5:$Z$750,"&lt;&gt;1",$S$5:$S$750,S85,$B$5:$B$750,"&lt;"&amp;B85),"")</f>
        <v/>
      </c>
      <c r="AB85" s="11" t="b">
        <f aca="false">OR(D85=WF_START_PERIOD,D85=WF_END_PERIOD)</f>
        <v>0</v>
      </c>
      <c r="AC85" s="0" t="str">
        <f aca="false">B85&amp;"|"&amp;D85</f>
        <v>19532|20220630</v>
      </c>
    </row>
    <row r="86" customFormat="false" ht="15" hidden="false" customHeight="false" outlineLevel="0" collapsed="false">
      <c r="A86" s="0" t="n">
        <f aca="false">RawFinancials!A86</f>
        <v>83</v>
      </c>
      <c r="B86" s="0" t="n">
        <f aca="false">RawFinancials!C86</f>
        <v>19690</v>
      </c>
      <c r="C86" s="0" t="str">
        <f aca="false">RawFinancials!P86</f>
        <v>NORTHEAST BANK</v>
      </c>
      <c r="D86" s="0" t="n">
        <f aca="false">RawFinancials!W86</f>
        <v>20220630</v>
      </c>
      <c r="E86" s="0" t="str">
        <f aca="false">RawFinancials!Z86</f>
        <v>ME</v>
      </c>
      <c r="F86" s="0" t="n">
        <f aca="false">RawFinancials!B86</f>
        <v>1582759</v>
      </c>
      <c r="G86" s="0" t="n">
        <f aca="false">RawFinancials!U86</f>
        <v>0</v>
      </c>
      <c r="H86" s="0" t="n">
        <f aca="false">RawFinancials!O86</f>
        <v>12946</v>
      </c>
      <c r="I86" s="0" t="n">
        <f aca="false">IF(AND(ISNUMBER(G86),ISNUMBER(H86)),G86+H86,"")</f>
        <v>12946</v>
      </c>
      <c r="J86" s="0" t="n">
        <f aca="false">RawFinancials!D86</f>
        <v>1302616</v>
      </c>
      <c r="K86" s="0" t="n">
        <f aca="false">RawFinancials!F86</f>
        <v>248321</v>
      </c>
      <c r="L86" s="0" t="n">
        <f aca="false">RawFinancials!L86</f>
        <v>1304866</v>
      </c>
      <c r="M86" s="0" t="n">
        <f aca="false">RawFinancials!N86</f>
        <v>951396</v>
      </c>
      <c r="N86" s="13" t="n">
        <f aca="false">RawFinancials!X86</f>
        <v>2.71865093743965</v>
      </c>
      <c r="O86" s="13" t="n">
        <f aca="false">RawFinancials!V86</f>
        <v>19.4670764547208</v>
      </c>
      <c r="P86" s="13" t="n">
        <f aca="false">IF(AND(ISNUMBER(L86),L86&lt;&gt;0,ISNUMBER(M86)),100*M86/L86,"")</f>
        <v>72.9113947332523</v>
      </c>
      <c r="Q86" s="13" t="n">
        <f aca="false">IF(AND(ISNUMBER(F86),F86&lt;&gt;0,ISNUMBER(K86)),100*K86/F86,"")</f>
        <v>15.6891226017353</v>
      </c>
      <c r="R86" s="11" t="b">
        <f aca="false">AND(ISNUMBER(F86),F86&gt;0,ISNUMBER(G86),G86&gt;=0,ISNUMBER(H86),H86&gt;=0)</f>
        <v>1</v>
      </c>
      <c r="S86" s="13" t="n">
        <f aca="false">IF(R86,100*I86/F86,"")</f>
        <v>0.817938801801159</v>
      </c>
      <c r="T86" s="11" t="b">
        <f aca="false">NOT(AND(OR(AND(ISBLANK(RawFinancials!B86),ISBLANK(_RawBaseline!B83)),AND(ISNUMBER(RawFinancials!B86),ISNUMBER(_RawBaseline!B83),RawFinancials!B86=_RawBaseline!B83)),OR(AND(ISBLANK(RawFinancials!U86),ISBLANK(_RawBaseline!U83)),AND(ISNUMBER(RawFinancials!U86),ISNUMBER(_RawBaseline!U83),RawFinancials!U86=_RawBaseline!U83)),OR(AND(ISBLANK(RawFinancials!O86),ISBLANK(_RawBaseline!O83)),AND(ISNUMBER(RawFinancials!O86),ISNUMBER(_RawBaseline!O83),RawFinancials!O86=_RawBaseline!O83))))</f>
        <v>0</v>
      </c>
      <c r="U86" s="13" t="n">
        <f aca="false">IF(AND(D86=WF_START_PERIOD,R86,COUNTIFS($B$5:$B$750,B86,$D$5:$D$750,WF_END_PERIOD,$R$5:$R$750,TRUE())&gt;0),SUMIFS($S$5:$S$750,$B$5:$B$750,B86,$D$5:$D$750,WF_END_PERIOD,$R$5:$R$750,TRUE()),0)</f>
        <v>0</v>
      </c>
      <c r="V86" s="0" t="str">
        <f aca="false">IF(AND(D86=WF_START_PERIOD,COUNTIFS($B$5:$B$750,B86,$D$5:$D$750,WF_END_PERIOD)&gt;0),INDEX($E$5:$E$750,MATCH(B86&amp;"|"&amp;WF_END_PERIOD,$AC$5:$AC$750,0)),"")</f>
        <v/>
      </c>
      <c r="W86" s="11" t="b">
        <f aca="false">COUNTIFS($B$5:$B$750,B86,$D$5:$D$750,WF_START_PERIOD,$R$5:$R$750,TRUE())&gt;0</f>
        <v>1</v>
      </c>
      <c r="X86" s="11" t="b">
        <f aca="false">COUNTIFS($B$5:$B$750,B86,$D$5:$D$750,WF_END_PERIOD,$R$5:$R$750,TRUE())&gt;0</f>
        <v>1</v>
      </c>
      <c r="Y86" s="0" t="str">
        <f aca="false">IF(AND(D86=WF_END_PERIOD,COUNTIFS($B$5:$B$750,B86,$D$5:$D$750,WF_START_PERIOD)&gt;0),INDEX($E$5:$E$750,MATCH(B86&amp;"|"&amp;WF_START_PERIOD,$AC$5:$AC$750,0)),"")</f>
        <v/>
      </c>
      <c r="Z86" s="0" t="str">
        <f aca="false">IF(AND(D86=WF_END_PERIOD,R86),1+COUNTIFS($D$5:$D$750,WF_END_PERIOD,$E$5:$E$750,E86,$R$5:$R$750,TRUE(),$S$5:$S$750,"&gt;"&amp;S86)+COUNTIFS($D$5:$D$750,WF_END_PERIOD,$E$5:$E$750,E86,$R$5:$R$750,TRUE(),$S$5:$S$750,S86,$B$5:$B$750,"&lt;"&amp;B86),"")</f>
        <v/>
      </c>
      <c r="AA86" s="0" t="str">
        <f aca="false">IF(AND(D86=WF_END_PERIOD,R86,Z86&lt;&gt;1),1+COUNTIFS($D$5:$D$750,WF_END_PERIOD,$R$5:$R$750,TRUE(),$Z$5:$Z$750,"&lt;&gt;1",$S$5:$S$750,"&gt;"&amp;S86)+COUNTIFS($D$5:$D$750,WF_END_PERIOD,$R$5:$R$750,TRUE(),$Z$5:$Z$750,"&lt;&gt;1",$S$5:$S$750,S86,$B$5:$B$750,"&lt;"&amp;B86),"")</f>
        <v/>
      </c>
      <c r="AB86" s="11" t="b">
        <f aca="false">OR(D86=WF_START_PERIOD,D86=WF_END_PERIOD)</f>
        <v>0</v>
      </c>
      <c r="AC86" s="0" t="str">
        <f aca="false">B86&amp;"|"&amp;D86</f>
        <v>19690|20220630</v>
      </c>
    </row>
    <row r="87" customFormat="false" ht="15" hidden="false" customHeight="false" outlineLevel="0" collapsed="false">
      <c r="A87" s="0" t="n">
        <f aca="false">RawFinancials!A87</f>
        <v>84</v>
      </c>
      <c r="B87" s="0" t="n">
        <f aca="false">RawFinancials!C87</f>
        <v>19836</v>
      </c>
      <c r="C87" s="0" t="str">
        <f aca="false">RawFinancials!P87</f>
        <v>FRANKLIN SAVINGS BANK</v>
      </c>
      <c r="D87" s="0" t="n">
        <f aca="false">RawFinancials!W87</f>
        <v>20220630</v>
      </c>
      <c r="E87" s="0" t="str">
        <f aca="false">RawFinancials!Z87</f>
        <v>ME</v>
      </c>
      <c r="F87" s="0" t="n">
        <f aca="false">RawFinancials!B87</f>
        <v>565870</v>
      </c>
      <c r="G87" s="0" t="n">
        <f aca="false">RawFinancials!U87</f>
        <v>0</v>
      </c>
      <c r="H87" s="0" t="n">
        <f aca="false">RawFinancials!O87</f>
        <v>1685</v>
      </c>
      <c r="I87" s="0" t="n">
        <f aca="false">IF(AND(ISNUMBER(G87),ISNUMBER(H87)),G87+H87,"")</f>
        <v>1685</v>
      </c>
      <c r="J87" s="0" t="n">
        <f aca="false">RawFinancials!D87</f>
        <v>441969</v>
      </c>
      <c r="K87" s="0" t="n">
        <f aca="false">RawFinancials!F87</f>
        <v>116691</v>
      </c>
      <c r="L87" s="0" t="n">
        <f aca="false">RawFinancials!L87</f>
        <v>450911</v>
      </c>
      <c r="M87" s="0" t="n">
        <f aca="false">RawFinancials!N87</f>
        <v>383579</v>
      </c>
      <c r="N87" s="13" t="n">
        <f aca="false">RawFinancials!X87</f>
        <v>0.859566913692381</v>
      </c>
      <c r="O87" s="13" t="n">
        <f aca="false">RawFinancials!V87</f>
        <v>29.3004506448167</v>
      </c>
      <c r="P87" s="13" t="n">
        <f aca="false">IF(AND(ISNUMBER(L87),L87&lt;&gt;0,ISNUMBER(M87)),100*M87/L87,"")</f>
        <v>85.0675632220106</v>
      </c>
      <c r="Q87" s="13" t="n">
        <f aca="false">IF(AND(ISNUMBER(F87),F87&lt;&gt;0,ISNUMBER(K87)),100*K87/F87,"")</f>
        <v>20.6215208440101</v>
      </c>
      <c r="R87" s="11" t="b">
        <f aca="false">AND(ISNUMBER(F87),F87&gt;0,ISNUMBER(G87),G87&gt;=0,ISNUMBER(H87),H87&gt;=0)</f>
        <v>1</v>
      </c>
      <c r="S87" s="13" t="n">
        <f aca="false">IF(R87,100*I87/F87,"")</f>
        <v>0.297771572976125</v>
      </c>
      <c r="T87" s="11" t="b">
        <f aca="false">NOT(AND(OR(AND(ISBLANK(RawFinancials!B87),ISBLANK(_RawBaseline!B84)),AND(ISNUMBER(RawFinancials!B87),ISNUMBER(_RawBaseline!B84),RawFinancials!B87=_RawBaseline!B84)),OR(AND(ISBLANK(RawFinancials!U87),ISBLANK(_RawBaseline!U84)),AND(ISNUMBER(RawFinancials!U87),ISNUMBER(_RawBaseline!U84),RawFinancials!U87=_RawBaseline!U84)),OR(AND(ISBLANK(RawFinancials!O87),ISBLANK(_RawBaseline!O84)),AND(ISNUMBER(RawFinancials!O87),ISNUMBER(_RawBaseline!O84),RawFinancials!O87=_RawBaseline!O84))))</f>
        <v>0</v>
      </c>
      <c r="U87" s="13" t="n">
        <f aca="false">IF(AND(D87=WF_START_PERIOD,R87,COUNTIFS($B$5:$B$750,B87,$D$5:$D$750,WF_END_PERIOD,$R$5:$R$750,TRUE())&gt;0),SUMIFS($S$5:$S$750,$B$5:$B$750,B87,$D$5:$D$750,WF_END_PERIOD,$R$5:$R$750,TRUE()),0)</f>
        <v>0</v>
      </c>
      <c r="V87" s="0" t="str">
        <f aca="false">IF(AND(D87=WF_START_PERIOD,COUNTIFS($B$5:$B$750,B87,$D$5:$D$750,WF_END_PERIOD)&gt;0),INDEX($E$5:$E$750,MATCH(B87&amp;"|"&amp;WF_END_PERIOD,$AC$5:$AC$750,0)),"")</f>
        <v/>
      </c>
      <c r="W87" s="11" t="b">
        <f aca="false">COUNTIFS($B$5:$B$750,B87,$D$5:$D$750,WF_START_PERIOD,$R$5:$R$750,TRUE())&gt;0</f>
        <v>1</v>
      </c>
      <c r="X87" s="11" t="b">
        <f aca="false">COUNTIFS($B$5:$B$750,B87,$D$5:$D$750,WF_END_PERIOD,$R$5:$R$750,TRUE())&gt;0</f>
        <v>1</v>
      </c>
      <c r="Y87" s="0" t="str">
        <f aca="false">IF(AND(D87=WF_END_PERIOD,COUNTIFS($B$5:$B$750,B87,$D$5:$D$750,WF_START_PERIOD)&gt;0),INDEX($E$5:$E$750,MATCH(B87&amp;"|"&amp;WF_START_PERIOD,$AC$5:$AC$750,0)),"")</f>
        <v/>
      </c>
      <c r="Z87" s="0" t="str">
        <f aca="false">IF(AND(D87=WF_END_PERIOD,R87),1+COUNTIFS($D$5:$D$750,WF_END_PERIOD,$E$5:$E$750,E87,$R$5:$R$750,TRUE(),$S$5:$S$750,"&gt;"&amp;S87)+COUNTIFS($D$5:$D$750,WF_END_PERIOD,$E$5:$E$750,E87,$R$5:$R$750,TRUE(),$S$5:$S$750,S87,$B$5:$B$750,"&lt;"&amp;B87),"")</f>
        <v/>
      </c>
      <c r="AA87" s="0" t="str">
        <f aca="false">IF(AND(D87=WF_END_PERIOD,R87,Z87&lt;&gt;1),1+COUNTIFS($D$5:$D$750,WF_END_PERIOD,$R$5:$R$750,TRUE(),$Z$5:$Z$750,"&lt;&gt;1",$S$5:$S$750,"&gt;"&amp;S87)+COUNTIFS($D$5:$D$750,WF_END_PERIOD,$R$5:$R$750,TRUE(),$Z$5:$Z$750,"&lt;&gt;1",$S$5:$S$750,S87,$B$5:$B$750,"&lt;"&amp;B87),"")</f>
        <v/>
      </c>
      <c r="AB87" s="11" t="b">
        <f aca="false">OR(D87=WF_START_PERIOD,D87=WF_END_PERIOD)</f>
        <v>0</v>
      </c>
      <c r="AC87" s="0" t="str">
        <f aca="false">B87&amp;"|"&amp;D87</f>
        <v>19836|20220630</v>
      </c>
    </row>
    <row r="88" customFormat="false" ht="15" hidden="false" customHeight="false" outlineLevel="0" collapsed="false">
      <c r="A88" s="0" t="n">
        <f aca="false">RawFinancials!A88</f>
        <v>85</v>
      </c>
      <c r="B88" s="0" t="n">
        <f aca="false">RawFinancials!C88</f>
        <v>24540</v>
      </c>
      <c r="C88" s="0" t="str">
        <f aca="false">RawFinancials!P88</f>
        <v>BANK OF NEW ENGLAND</v>
      </c>
      <c r="D88" s="0" t="n">
        <f aca="false">RawFinancials!W88</f>
        <v>20220630</v>
      </c>
      <c r="E88" s="0" t="str">
        <f aca="false">RawFinancials!Z88</f>
        <v>NH</v>
      </c>
      <c r="F88" s="0" t="n">
        <f aca="false">RawFinancials!B88</f>
        <v>1234978</v>
      </c>
      <c r="G88" s="0" t="n">
        <f aca="false">RawFinancials!U88</f>
        <v>0</v>
      </c>
      <c r="H88" s="0" t="n">
        <f aca="false">RawFinancials!O88</f>
        <v>782</v>
      </c>
      <c r="I88" s="0" t="n">
        <f aca="false">IF(AND(ISNUMBER(G88),ISNUMBER(H88)),G88+H88,"")</f>
        <v>782</v>
      </c>
      <c r="J88" s="0" t="n">
        <f aca="false">RawFinancials!D88</f>
        <v>1010154</v>
      </c>
      <c r="K88" s="0" t="n">
        <f aca="false">RawFinancials!F88</f>
        <v>198951</v>
      </c>
      <c r="L88" s="0" t="n">
        <f aca="false">RawFinancials!L88</f>
        <v>1041543</v>
      </c>
      <c r="M88" s="0" t="n">
        <f aca="false">RawFinancials!N88</f>
        <v>1001399</v>
      </c>
      <c r="N88" s="13" t="n">
        <f aca="false">RawFinancials!X88</f>
        <v>2.15476323542861</v>
      </c>
      <c r="O88" s="13" t="n">
        <f aca="false">RawFinancials!V88</f>
        <v>0</v>
      </c>
      <c r="P88" s="13" t="n">
        <f aca="false">IF(AND(ISNUMBER(L88),L88&lt;&gt;0,ISNUMBER(M88)),100*M88/L88,"")</f>
        <v>96.1457184196908</v>
      </c>
      <c r="Q88" s="13" t="n">
        <f aca="false">IF(AND(ISNUMBER(F88),F88&lt;&gt;0,ISNUMBER(K88)),100*K88/F88,"")</f>
        <v>16.1096796866017</v>
      </c>
      <c r="R88" s="11" t="b">
        <f aca="false">AND(ISNUMBER(F88),F88&gt;0,ISNUMBER(G88),G88&gt;=0,ISNUMBER(H88),H88&gt;=0)</f>
        <v>1</v>
      </c>
      <c r="S88" s="13" t="n">
        <f aca="false">IF(R88,100*I88/F88,"")</f>
        <v>0.0633209660415003</v>
      </c>
      <c r="T88" s="11" t="b">
        <f aca="false">NOT(AND(OR(AND(ISBLANK(RawFinancials!B88),ISBLANK(_RawBaseline!B85)),AND(ISNUMBER(RawFinancials!B88),ISNUMBER(_RawBaseline!B85),RawFinancials!B88=_RawBaseline!B85)),OR(AND(ISBLANK(RawFinancials!U88),ISBLANK(_RawBaseline!U85)),AND(ISNUMBER(RawFinancials!U88),ISNUMBER(_RawBaseline!U85),RawFinancials!U88=_RawBaseline!U85)),OR(AND(ISBLANK(RawFinancials!O88),ISBLANK(_RawBaseline!O85)),AND(ISNUMBER(RawFinancials!O88),ISNUMBER(_RawBaseline!O85),RawFinancials!O88=_RawBaseline!O85))))</f>
        <v>0</v>
      </c>
      <c r="U88" s="13" t="n">
        <f aca="false">IF(AND(D88=WF_START_PERIOD,R88,COUNTIFS($B$5:$B$750,B88,$D$5:$D$750,WF_END_PERIOD,$R$5:$R$750,TRUE())&gt;0),SUMIFS($S$5:$S$750,$B$5:$B$750,B88,$D$5:$D$750,WF_END_PERIOD,$R$5:$R$750,TRUE()),0)</f>
        <v>0</v>
      </c>
      <c r="V88" s="0" t="str">
        <f aca="false">IF(AND(D88=WF_START_PERIOD,COUNTIFS($B$5:$B$750,B88,$D$5:$D$750,WF_END_PERIOD)&gt;0),INDEX($E$5:$E$750,MATCH(B88&amp;"|"&amp;WF_END_PERIOD,$AC$5:$AC$750,0)),"")</f>
        <v/>
      </c>
      <c r="W88" s="11" t="b">
        <f aca="false">COUNTIFS($B$5:$B$750,B88,$D$5:$D$750,WF_START_PERIOD,$R$5:$R$750,TRUE())&gt;0</f>
        <v>1</v>
      </c>
      <c r="X88" s="11" t="b">
        <f aca="false">COUNTIFS($B$5:$B$750,B88,$D$5:$D$750,WF_END_PERIOD,$R$5:$R$750,TRUE())&gt;0</f>
        <v>1</v>
      </c>
      <c r="Y88" s="0" t="str">
        <f aca="false">IF(AND(D88=WF_END_PERIOD,COUNTIFS($B$5:$B$750,B88,$D$5:$D$750,WF_START_PERIOD)&gt;0),INDEX($E$5:$E$750,MATCH(B88&amp;"|"&amp;WF_START_PERIOD,$AC$5:$AC$750,0)),"")</f>
        <v/>
      </c>
      <c r="Z88" s="0" t="str">
        <f aca="false">IF(AND(D88=WF_END_PERIOD,R88),1+COUNTIFS($D$5:$D$750,WF_END_PERIOD,$E$5:$E$750,E88,$R$5:$R$750,TRUE(),$S$5:$S$750,"&gt;"&amp;S88)+COUNTIFS($D$5:$D$750,WF_END_PERIOD,$E$5:$E$750,E88,$R$5:$R$750,TRUE(),$S$5:$S$750,S88,$B$5:$B$750,"&lt;"&amp;B88),"")</f>
        <v/>
      </c>
      <c r="AA88" s="0" t="str">
        <f aca="false">IF(AND(D88=WF_END_PERIOD,R88,Z88&lt;&gt;1),1+COUNTIFS($D$5:$D$750,WF_END_PERIOD,$R$5:$R$750,TRUE(),$Z$5:$Z$750,"&lt;&gt;1",$S$5:$S$750,"&gt;"&amp;S88)+COUNTIFS($D$5:$D$750,WF_END_PERIOD,$R$5:$R$750,TRUE(),$Z$5:$Z$750,"&lt;&gt;1",$S$5:$S$750,S88,$B$5:$B$750,"&lt;"&amp;B88),"")</f>
        <v/>
      </c>
      <c r="AB88" s="11" t="b">
        <f aca="false">OR(D88=WF_START_PERIOD,D88=WF_END_PERIOD)</f>
        <v>0</v>
      </c>
      <c r="AC88" s="0" t="str">
        <f aca="false">B88&amp;"|"&amp;D88</f>
        <v>24540|20220630</v>
      </c>
    </row>
    <row r="89" customFormat="false" ht="15" hidden="false" customHeight="false" outlineLevel="0" collapsed="false">
      <c r="A89" s="0" t="n">
        <f aca="false">RawFinancials!A89</f>
        <v>86</v>
      </c>
      <c r="B89" s="0" t="n">
        <f aca="false">RawFinancials!C89</f>
        <v>27824</v>
      </c>
      <c r="C89" s="0" t="str">
        <f aca="false">RawFinancials!P89</f>
        <v>SALEM CO-OPERATIVE BANK</v>
      </c>
      <c r="D89" s="0" t="n">
        <f aca="false">RawFinancials!W89</f>
        <v>20220630</v>
      </c>
      <c r="E89" s="0" t="str">
        <f aca="false">RawFinancials!Z89</f>
        <v>NH</v>
      </c>
      <c r="F89" s="0" t="n">
        <f aca="false">RawFinancials!B89</f>
        <v>469898</v>
      </c>
      <c r="G89" s="0" t="n">
        <f aca="false">RawFinancials!U89</f>
        <v>0</v>
      </c>
      <c r="H89" s="0" t="n">
        <f aca="false">RawFinancials!O89</f>
        <v>861</v>
      </c>
      <c r="I89" s="0" t="n">
        <f aca="false">IF(AND(ISNUMBER(G89),ISNUMBER(H89)),G89+H89,"")</f>
        <v>861</v>
      </c>
      <c r="J89" s="0" t="n">
        <f aca="false">RawFinancials!D89</f>
        <v>371733</v>
      </c>
      <c r="K89" s="0" t="n">
        <f aca="false">RawFinancials!F89</f>
        <v>67598</v>
      </c>
      <c r="L89" s="0" t="n">
        <f aca="false">RawFinancials!L89</f>
        <v>379937</v>
      </c>
      <c r="M89" s="0" t="n">
        <f aca="false">RawFinancials!N89</f>
        <v>328679</v>
      </c>
      <c r="N89" s="13" t="n">
        <f aca="false">RawFinancials!X89</f>
        <v>0.382958283601642</v>
      </c>
      <c r="O89" s="13" t="n">
        <f aca="false">RawFinancials!V89</f>
        <v>24.6578547583975</v>
      </c>
      <c r="P89" s="13" t="n">
        <f aca="false">IF(AND(ISNUMBER(L89),L89&lt;&gt;0,ISNUMBER(M89)),100*M89/L89,"")</f>
        <v>86.5088159352735</v>
      </c>
      <c r="Q89" s="13" t="n">
        <f aca="false">IF(AND(ISNUMBER(F89),F89&lt;&gt;0,ISNUMBER(K89)),100*K89/F89,"")</f>
        <v>14.3856751890836</v>
      </c>
      <c r="R89" s="11" t="b">
        <f aca="false">AND(ISNUMBER(F89),F89&gt;0,ISNUMBER(G89),G89&gt;=0,ISNUMBER(H89),H89&gt;=0)</f>
        <v>1</v>
      </c>
      <c r="S89" s="13" t="n">
        <f aca="false">IF(R89,100*I89/F89,"")</f>
        <v>0.183231254442453</v>
      </c>
      <c r="T89" s="11" t="b">
        <f aca="false">NOT(AND(OR(AND(ISBLANK(RawFinancials!B89),ISBLANK(_RawBaseline!B86)),AND(ISNUMBER(RawFinancials!B89),ISNUMBER(_RawBaseline!B86),RawFinancials!B89=_RawBaseline!B86)),OR(AND(ISBLANK(RawFinancials!U89),ISBLANK(_RawBaseline!U86)),AND(ISNUMBER(RawFinancials!U89),ISNUMBER(_RawBaseline!U86),RawFinancials!U89=_RawBaseline!U86)),OR(AND(ISBLANK(RawFinancials!O89),ISBLANK(_RawBaseline!O86)),AND(ISNUMBER(RawFinancials!O89),ISNUMBER(_RawBaseline!O86),RawFinancials!O89=_RawBaseline!O86))))</f>
        <v>0</v>
      </c>
      <c r="U89" s="13" t="n">
        <f aca="false">IF(AND(D89=WF_START_PERIOD,R89,COUNTIFS($B$5:$B$750,B89,$D$5:$D$750,WF_END_PERIOD,$R$5:$R$750,TRUE())&gt;0),SUMIFS($S$5:$S$750,$B$5:$B$750,B89,$D$5:$D$750,WF_END_PERIOD,$R$5:$R$750,TRUE()),0)</f>
        <v>0</v>
      </c>
      <c r="V89" s="0" t="str">
        <f aca="false">IF(AND(D89=WF_START_PERIOD,COUNTIFS($B$5:$B$750,B89,$D$5:$D$750,WF_END_PERIOD)&gt;0),INDEX($E$5:$E$750,MATCH(B89&amp;"|"&amp;WF_END_PERIOD,$AC$5:$AC$750,0)),"")</f>
        <v/>
      </c>
      <c r="W89" s="11" t="b">
        <f aca="false">COUNTIFS($B$5:$B$750,B89,$D$5:$D$750,WF_START_PERIOD,$R$5:$R$750,TRUE())&gt;0</f>
        <v>1</v>
      </c>
      <c r="X89" s="11" t="b">
        <f aca="false">COUNTIFS($B$5:$B$750,B89,$D$5:$D$750,WF_END_PERIOD,$R$5:$R$750,TRUE())&gt;0</f>
        <v>1</v>
      </c>
      <c r="Y89" s="0" t="str">
        <f aca="false">IF(AND(D89=WF_END_PERIOD,COUNTIFS($B$5:$B$750,B89,$D$5:$D$750,WF_START_PERIOD)&gt;0),INDEX($E$5:$E$750,MATCH(B89&amp;"|"&amp;WF_START_PERIOD,$AC$5:$AC$750,0)),"")</f>
        <v/>
      </c>
      <c r="Z89" s="0" t="str">
        <f aca="false">IF(AND(D89=WF_END_PERIOD,R89),1+COUNTIFS($D$5:$D$750,WF_END_PERIOD,$E$5:$E$750,E89,$R$5:$R$750,TRUE(),$S$5:$S$750,"&gt;"&amp;S89)+COUNTIFS($D$5:$D$750,WF_END_PERIOD,$E$5:$E$750,E89,$R$5:$R$750,TRUE(),$S$5:$S$750,S89,$B$5:$B$750,"&lt;"&amp;B89),"")</f>
        <v/>
      </c>
      <c r="AA89" s="0" t="str">
        <f aca="false">IF(AND(D89=WF_END_PERIOD,R89,Z89&lt;&gt;1),1+COUNTIFS($D$5:$D$750,WF_END_PERIOD,$R$5:$R$750,TRUE(),$Z$5:$Z$750,"&lt;&gt;1",$S$5:$S$750,"&gt;"&amp;S89)+COUNTIFS($D$5:$D$750,WF_END_PERIOD,$R$5:$R$750,TRUE(),$Z$5:$Z$750,"&lt;&gt;1",$S$5:$S$750,S89,$B$5:$B$750,"&lt;"&amp;B89),"")</f>
        <v/>
      </c>
      <c r="AB89" s="11" t="b">
        <f aca="false">OR(D89=WF_START_PERIOD,D89=WF_END_PERIOD)</f>
        <v>0</v>
      </c>
      <c r="AC89" s="0" t="str">
        <f aca="false">B89&amp;"|"&amp;D89</f>
        <v>27824|20220630</v>
      </c>
    </row>
    <row r="90" customFormat="false" ht="15" hidden="false" customHeight="false" outlineLevel="0" collapsed="false">
      <c r="A90" s="0" t="n">
        <f aca="false">RawFinancials!A90</f>
        <v>87</v>
      </c>
      <c r="B90" s="0" t="n">
        <f aca="false">RawFinancials!C90</f>
        <v>28155</v>
      </c>
      <c r="C90" s="0" t="str">
        <f aca="false">RawFinancials!P90</f>
        <v>PROFILE BANK</v>
      </c>
      <c r="D90" s="0" t="n">
        <f aca="false">RawFinancials!W90</f>
        <v>20220630</v>
      </c>
      <c r="E90" s="0" t="str">
        <f aca="false">RawFinancials!Z90</f>
        <v>NH</v>
      </c>
      <c r="F90" s="0" t="n">
        <f aca="false">RawFinancials!B90</f>
        <v>299676</v>
      </c>
      <c r="G90" s="0" t="n">
        <f aca="false">RawFinancials!U90</f>
        <v>0</v>
      </c>
      <c r="H90" s="0" t="n">
        <f aca="false">RawFinancials!O90</f>
        <v>12</v>
      </c>
      <c r="I90" s="0" t="n">
        <f aca="false">IF(AND(ISNUMBER(G90),ISNUMBER(H90)),G90+H90,"")</f>
        <v>12</v>
      </c>
      <c r="J90" s="0" t="n">
        <f aca="false">RawFinancials!D90</f>
        <v>271184</v>
      </c>
      <c r="K90" s="0" t="n">
        <f aca="false">RawFinancials!F90</f>
        <v>27573</v>
      </c>
      <c r="L90" s="0" t="n">
        <f aca="false">RawFinancials!L90</f>
        <v>149772</v>
      </c>
      <c r="M90" s="0" t="n">
        <f aca="false">RawFinancials!N90</f>
        <v>139442</v>
      </c>
      <c r="N90" s="13" t="n">
        <f aca="false">RawFinancials!X90</f>
        <v>0.25641055176648</v>
      </c>
      <c r="O90" s="13" t="n">
        <f aca="false">RawFinancials!V90</f>
        <v>19.0224932090442</v>
      </c>
      <c r="P90" s="13" t="n">
        <f aca="false">IF(AND(ISNUMBER(L90),L90&lt;&gt;0,ISNUMBER(M90)),100*M90/L90,"")</f>
        <v>93.1028496648239</v>
      </c>
      <c r="Q90" s="13" t="n">
        <f aca="false">IF(AND(ISNUMBER(F90),F90&lt;&gt;0,ISNUMBER(K90)),100*K90/F90,"")</f>
        <v>9.20093701197293</v>
      </c>
      <c r="R90" s="11" t="b">
        <f aca="false">AND(ISNUMBER(F90),F90&gt;0,ISNUMBER(G90),G90&gt;=0,ISNUMBER(H90),H90&gt;=0)</f>
        <v>1</v>
      </c>
      <c r="S90" s="13" t="n">
        <f aca="false">IF(R90,100*I90/F90,"")</f>
        <v>0.0040043246706443</v>
      </c>
      <c r="T90" s="11" t="b">
        <f aca="false">NOT(AND(OR(AND(ISBLANK(RawFinancials!B90),ISBLANK(_RawBaseline!B87)),AND(ISNUMBER(RawFinancials!B90),ISNUMBER(_RawBaseline!B87),RawFinancials!B90=_RawBaseline!B87)),OR(AND(ISBLANK(RawFinancials!U90),ISBLANK(_RawBaseline!U87)),AND(ISNUMBER(RawFinancials!U90),ISNUMBER(_RawBaseline!U87),RawFinancials!U90=_RawBaseline!U87)),OR(AND(ISBLANK(RawFinancials!O90),ISBLANK(_RawBaseline!O87)),AND(ISNUMBER(RawFinancials!O90),ISNUMBER(_RawBaseline!O87),RawFinancials!O90=_RawBaseline!O87))))</f>
        <v>0</v>
      </c>
      <c r="U90" s="13" t="n">
        <f aca="false">IF(AND(D90=WF_START_PERIOD,R90,COUNTIFS($B$5:$B$750,B90,$D$5:$D$750,WF_END_PERIOD,$R$5:$R$750,TRUE())&gt;0),SUMIFS($S$5:$S$750,$B$5:$B$750,B90,$D$5:$D$750,WF_END_PERIOD,$R$5:$R$750,TRUE()),0)</f>
        <v>0</v>
      </c>
      <c r="V90" s="0" t="str">
        <f aca="false">IF(AND(D90=WF_START_PERIOD,COUNTIFS($B$5:$B$750,B90,$D$5:$D$750,WF_END_PERIOD)&gt;0),INDEX($E$5:$E$750,MATCH(B90&amp;"|"&amp;WF_END_PERIOD,$AC$5:$AC$750,0)),"")</f>
        <v/>
      </c>
      <c r="W90" s="11" t="b">
        <f aca="false">COUNTIFS($B$5:$B$750,B90,$D$5:$D$750,WF_START_PERIOD,$R$5:$R$750,TRUE())&gt;0</f>
        <v>1</v>
      </c>
      <c r="X90" s="11" t="b">
        <f aca="false">COUNTIFS($B$5:$B$750,B90,$D$5:$D$750,WF_END_PERIOD,$R$5:$R$750,TRUE())&gt;0</f>
        <v>1</v>
      </c>
      <c r="Y90" s="0" t="str">
        <f aca="false">IF(AND(D90=WF_END_PERIOD,COUNTIFS($B$5:$B$750,B90,$D$5:$D$750,WF_START_PERIOD)&gt;0),INDEX($E$5:$E$750,MATCH(B90&amp;"|"&amp;WF_START_PERIOD,$AC$5:$AC$750,0)),"")</f>
        <v/>
      </c>
      <c r="Z90" s="0" t="str">
        <f aca="false">IF(AND(D90=WF_END_PERIOD,R90),1+COUNTIFS($D$5:$D$750,WF_END_PERIOD,$E$5:$E$750,E90,$R$5:$R$750,TRUE(),$S$5:$S$750,"&gt;"&amp;S90)+COUNTIFS($D$5:$D$750,WF_END_PERIOD,$E$5:$E$750,E90,$R$5:$R$750,TRUE(),$S$5:$S$750,S90,$B$5:$B$750,"&lt;"&amp;B90),"")</f>
        <v/>
      </c>
      <c r="AA90" s="0" t="str">
        <f aca="false">IF(AND(D90=WF_END_PERIOD,R90,Z90&lt;&gt;1),1+COUNTIFS($D$5:$D$750,WF_END_PERIOD,$R$5:$R$750,TRUE(),$Z$5:$Z$750,"&lt;&gt;1",$S$5:$S$750,"&gt;"&amp;S90)+COUNTIFS($D$5:$D$750,WF_END_PERIOD,$R$5:$R$750,TRUE(),$Z$5:$Z$750,"&lt;&gt;1",$S$5:$S$750,S90,$B$5:$B$750,"&lt;"&amp;B90),"")</f>
        <v/>
      </c>
      <c r="AB90" s="11" t="b">
        <f aca="false">OR(D90=WF_START_PERIOD,D90=WF_END_PERIOD)</f>
        <v>0</v>
      </c>
      <c r="AC90" s="0" t="str">
        <f aca="false">B90&amp;"|"&amp;D90</f>
        <v>28155|20220630</v>
      </c>
    </row>
    <row r="91" customFormat="false" ht="15" hidden="false" customHeight="false" outlineLevel="0" collapsed="false">
      <c r="A91" s="0" t="n">
        <f aca="false">RawFinancials!A91</f>
        <v>88</v>
      </c>
      <c r="B91" s="0" t="n">
        <f aca="false">RawFinancials!C91</f>
        <v>28288</v>
      </c>
      <c r="C91" s="0" t="str">
        <f aca="false">RawFinancials!P91</f>
        <v>AUBURN SAVINGS BANK, FSB</v>
      </c>
      <c r="D91" s="0" t="n">
        <f aca="false">RawFinancials!W91</f>
        <v>20220630</v>
      </c>
      <c r="E91" s="0" t="str">
        <f aca="false">RawFinancials!Z91</f>
        <v>ME</v>
      </c>
      <c r="F91" s="0" t="n">
        <f aca="false">RawFinancials!B91</f>
        <v>98212</v>
      </c>
      <c r="G91" s="0" t="n">
        <f aca="false">RawFinancials!U91</f>
        <v>0</v>
      </c>
      <c r="H91" s="0" t="n">
        <f aca="false">RawFinancials!O91</f>
        <v>408</v>
      </c>
      <c r="I91" s="0" t="n">
        <f aca="false">IF(AND(ISNUMBER(G91),ISNUMBER(H91)),G91+H91,"")</f>
        <v>408</v>
      </c>
      <c r="J91" s="0" t="n">
        <f aca="false">RawFinancials!D91</f>
        <v>80509</v>
      </c>
      <c r="K91" s="0" t="n">
        <f aca="false">RawFinancials!F91</f>
        <v>6561</v>
      </c>
      <c r="L91" s="0" t="n">
        <f aca="false">RawFinancials!L91</f>
        <v>77137</v>
      </c>
      <c r="M91" s="0" t="n">
        <f aca="false">RawFinancials!N91</f>
        <v>73486</v>
      </c>
      <c r="N91" s="13" t="n">
        <f aca="false">RawFinancials!X91</f>
        <v>0.0974689847333906</v>
      </c>
      <c r="O91" s="13" t="n">
        <f aca="false">RawFinancials!V91</f>
        <v>13.4365080570448</v>
      </c>
      <c r="P91" s="13" t="n">
        <f aca="false">IF(AND(ISNUMBER(L91),L91&lt;&gt;0,ISNUMBER(M91)),100*M91/L91,"")</f>
        <v>95.2668628544019</v>
      </c>
      <c r="Q91" s="13" t="n">
        <f aca="false">IF(AND(ISNUMBER(F91),F91&lt;&gt;0,ISNUMBER(K91)),100*K91/F91,"")</f>
        <v>6.6804463812976</v>
      </c>
      <c r="R91" s="11" t="b">
        <f aca="false">AND(ISNUMBER(F91),F91&gt;0,ISNUMBER(G91),G91&gt;=0,ISNUMBER(H91),H91&gt;=0)</f>
        <v>1</v>
      </c>
      <c r="S91" s="13" t="n">
        <f aca="false">IF(R91,100*I91/F91,"")</f>
        <v>0.415427849957235</v>
      </c>
      <c r="T91" s="11" t="b">
        <f aca="false">NOT(AND(OR(AND(ISBLANK(RawFinancials!B91),ISBLANK(_RawBaseline!B88)),AND(ISNUMBER(RawFinancials!B91),ISNUMBER(_RawBaseline!B88),RawFinancials!B91=_RawBaseline!B88)),OR(AND(ISBLANK(RawFinancials!U91),ISBLANK(_RawBaseline!U88)),AND(ISNUMBER(RawFinancials!U91),ISNUMBER(_RawBaseline!U88),RawFinancials!U91=_RawBaseline!U88)),OR(AND(ISBLANK(RawFinancials!O91),ISBLANK(_RawBaseline!O88)),AND(ISNUMBER(RawFinancials!O91),ISNUMBER(_RawBaseline!O88),RawFinancials!O91=_RawBaseline!O88))))</f>
        <v>0</v>
      </c>
      <c r="U91" s="13" t="n">
        <f aca="false">IF(AND(D91=WF_START_PERIOD,R91,COUNTIFS($B$5:$B$750,B91,$D$5:$D$750,WF_END_PERIOD,$R$5:$R$750,TRUE())&gt;0),SUMIFS($S$5:$S$750,$B$5:$B$750,B91,$D$5:$D$750,WF_END_PERIOD,$R$5:$R$750,TRUE()),0)</f>
        <v>0</v>
      </c>
      <c r="V91" s="0" t="str">
        <f aca="false">IF(AND(D91=WF_START_PERIOD,COUNTIFS($B$5:$B$750,B91,$D$5:$D$750,WF_END_PERIOD)&gt;0),INDEX($E$5:$E$750,MATCH(B91&amp;"|"&amp;WF_END_PERIOD,$AC$5:$AC$750,0)),"")</f>
        <v/>
      </c>
      <c r="W91" s="11" t="b">
        <f aca="false">COUNTIFS($B$5:$B$750,B91,$D$5:$D$750,WF_START_PERIOD,$R$5:$R$750,TRUE())&gt;0</f>
        <v>1</v>
      </c>
      <c r="X91" s="11" t="b">
        <f aca="false">COUNTIFS($B$5:$B$750,B91,$D$5:$D$750,WF_END_PERIOD,$R$5:$R$750,TRUE())&gt;0</f>
        <v>1</v>
      </c>
      <c r="Y91" s="0" t="str">
        <f aca="false">IF(AND(D91=WF_END_PERIOD,COUNTIFS($B$5:$B$750,B91,$D$5:$D$750,WF_START_PERIOD)&gt;0),INDEX($E$5:$E$750,MATCH(B91&amp;"|"&amp;WF_START_PERIOD,$AC$5:$AC$750,0)),"")</f>
        <v/>
      </c>
      <c r="Z91" s="0" t="str">
        <f aca="false">IF(AND(D91=WF_END_PERIOD,R91),1+COUNTIFS($D$5:$D$750,WF_END_PERIOD,$E$5:$E$750,E91,$R$5:$R$750,TRUE(),$S$5:$S$750,"&gt;"&amp;S91)+COUNTIFS($D$5:$D$750,WF_END_PERIOD,$E$5:$E$750,E91,$R$5:$R$750,TRUE(),$S$5:$S$750,S91,$B$5:$B$750,"&lt;"&amp;B91),"")</f>
        <v/>
      </c>
      <c r="AA91" s="0" t="str">
        <f aca="false">IF(AND(D91=WF_END_PERIOD,R91,Z91&lt;&gt;1),1+COUNTIFS($D$5:$D$750,WF_END_PERIOD,$R$5:$R$750,TRUE(),$Z$5:$Z$750,"&lt;&gt;1",$S$5:$S$750,"&gt;"&amp;S91)+COUNTIFS($D$5:$D$750,WF_END_PERIOD,$R$5:$R$750,TRUE(),$Z$5:$Z$750,"&lt;&gt;1",$S$5:$S$750,S91,$B$5:$B$750,"&lt;"&amp;B91),"")</f>
        <v/>
      </c>
      <c r="AB91" s="11" t="b">
        <f aca="false">OR(D91=WF_START_PERIOD,D91=WF_END_PERIOD)</f>
        <v>0</v>
      </c>
      <c r="AC91" s="0" t="str">
        <f aca="false">B91&amp;"|"&amp;D91</f>
        <v>28288|20220630</v>
      </c>
    </row>
    <row r="92" customFormat="false" ht="15" hidden="false" customHeight="false" outlineLevel="0" collapsed="false">
      <c r="A92" s="0" t="n">
        <f aca="false">RawFinancials!A92</f>
        <v>89</v>
      </c>
      <c r="B92" s="0" t="n">
        <f aca="false">RawFinancials!C92</f>
        <v>28369</v>
      </c>
      <c r="C92" s="0" t="str">
        <f aca="false">RawFinancials!P92</f>
        <v>ROCKLAND SAVINGS BANK, FSB</v>
      </c>
      <c r="D92" s="0" t="n">
        <f aca="false">RawFinancials!W92</f>
        <v>20220630</v>
      </c>
      <c r="E92" s="0" t="str">
        <f aca="false">RawFinancials!Z92</f>
        <v>ME</v>
      </c>
      <c r="F92" s="0" t="n">
        <f aca="false">RawFinancials!B92</f>
        <v>87270</v>
      </c>
      <c r="G92" s="0" t="n">
        <f aca="false">RawFinancials!U92</f>
        <v>0</v>
      </c>
      <c r="H92" s="0" t="n">
        <f aca="false">RawFinancials!O92</f>
        <v>372</v>
      </c>
      <c r="I92" s="0" t="n">
        <f aca="false">IF(AND(ISNUMBER(G92),ISNUMBER(H92)),G92+H92,"")</f>
        <v>372</v>
      </c>
      <c r="J92" s="0" t="n">
        <f aca="false">RawFinancials!D92</f>
        <v>75522</v>
      </c>
      <c r="K92" s="0" t="n">
        <f aca="false">RawFinancials!F92</f>
        <v>9341</v>
      </c>
      <c r="L92" s="0" t="n">
        <f aca="false">RawFinancials!L92</f>
        <v>73277</v>
      </c>
      <c r="M92" s="0" t="n">
        <f aca="false">RawFinancials!N92</f>
        <v>61748</v>
      </c>
      <c r="N92" s="13" t="n">
        <f aca="false">RawFinancials!X92</f>
        <v>-0.0301446945337621</v>
      </c>
      <c r="O92" s="13" t="n">
        <f aca="false">RawFinancials!V92</f>
        <v>0</v>
      </c>
      <c r="P92" s="13" t="n">
        <f aca="false">IF(AND(ISNUMBER(L92),L92&lt;&gt;0,ISNUMBER(M92)),100*M92/L92,"")</f>
        <v>84.2665502135732</v>
      </c>
      <c r="Q92" s="13" t="n">
        <f aca="false">IF(AND(ISNUMBER(F92),F92&lt;&gt;0,ISNUMBER(K92)),100*K92/F92,"")</f>
        <v>10.7035636530308</v>
      </c>
      <c r="R92" s="11" t="b">
        <f aca="false">AND(ISNUMBER(F92),F92&gt;0,ISNUMBER(G92),G92&gt;=0,ISNUMBER(H92),H92&gt;=0)</f>
        <v>1</v>
      </c>
      <c r="S92" s="13" t="n">
        <f aca="false">IF(R92,100*I92/F92,"")</f>
        <v>0.426263320728773</v>
      </c>
      <c r="T92" s="11" t="b">
        <f aca="false">NOT(AND(OR(AND(ISBLANK(RawFinancials!B92),ISBLANK(_RawBaseline!B89)),AND(ISNUMBER(RawFinancials!B92),ISNUMBER(_RawBaseline!B89),RawFinancials!B92=_RawBaseline!B89)),OR(AND(ISBLANK(RawFinancials!U92),ISBLANK(_RawBaseline!U89)),AND(ISNUMBER(RawFinancials!U92),ISNUMBER(_RawBaseline!U89),RawFinancials!U92=_RawBaseline!U89)),OR(AND(ISBLANK(RawFinancials!O92),ISBLANK(_RawBaseline!O89)),AND(ISNUMBER(RawFinancials!O92),ISNUMBER(_RawBaseline!O89),RawFinancials!O92=_RawBaseline!O89))))</f>
        <v>0</v>
      </c>
      <c r="U92" s="13" t="n">
        <f aca="false">IF(AND(D92=WF_START_PERIOD,R92,COUNTIFS($B$5:$B$750,B92,$D$5:$D$750,WF_END_PERIOD,$R$5:$R$750,TRUE())&gt;0),SUMIFS($S$5:$S$750,$B$5:$B$750,B92,$D$5:$D$750,WF_END_PERIOD,$R$5:$R$750,TRUE()),0)</f>
        <v>0</v>
      </c>
      <c r="V92" s="0" t="str">
        <f aca="false">IF(AND(D92=WF_START_PERIOD,COUNTIFS($B$5:$B$750,B92,$D$5:$D$750,WF_END_PERIOD)&gt;0),INDEX($E$5:$E$750,MATCH(B92&amp;"|"&amp;WF_END_PERIOD,$AC$5:$AC$750,0)),"")</f>
        <v/>
      </c>
      <c r="W92" s="11" t="b">
        <f aca="false">COUNTIFS($B$5:$B$750,B92,$D$5:$D$750,WF_START_PERIOD,$R$5:$R$750,TRUE())&gt;0</f>
        <v>1</v>
      </c>
      <c r="X92" s="11" t="b">
        <f aca="false">COUNTIFS($B$5:$B$750,B92,$D$5:$D$750,WF_END_PERIOD,$R$5:$R$750,TRUE())&gt;0</f>
        <v>1</v>
      </c>
      <c r="Y92" s="0" t="str">
        <f aca="false">IF(AND(D92=WF_END_PERIOD,COUNTIFS($B$5:$B$750,B92,$D$5:$D$750,WF_START_PERIOD)&gt;0),INDEX($E$5:$E$750,MATCH(B92&amp;"|"&amp;WF_START_PERIOD,$AC$5:$AC$750,0)),"")</f>
        <v/>
      </c>
      <c r="Z92" s="0" t="str">
        <f aca="false">IF(AND(D92=WF_END_PERIOD,R92),1+COUNTIFS($D$5:$D$750,WF_END_PERIOD,$E$5:$E$750,E92,$R$5:$R$750,TRUE(),$S$5:$S$750,"&gt;"&amp;S92)+COUNTIFS($D$5:$D$750,WF_END_PERIOD,$E$5:$E$750,E92,$R$5:$R$750,TRUE(),$S$5:$S$750,S92,$B$5:$B$750,"&lt;"&amp;B92),"")</f>
        <v/>
      </c>
      <c r="AA92" s="0" t="str">
        <f aca="false">IF(AND(D92=WF_END_PERIOD,R92,Z92&lt;&gt;1),1+COUNTIFS($D$5:$D$750,WF_END_PERIOD,$R$5:$R$750,TRUE(),$Z$5:$Z$750,"&lt;&gt;1",$S$5:$S$750,"&gt;"&amp;S92)+COUNTIFS($D$5:$D$750,WF_END_PERIOD,$R$5:$R$750,TRUE(),$Z$5:$Z$750,"&lt;&gt;1",$S$5:$S$750,S92,$B$5:$B$750,"&lt;"&amp;B92),"")</f>
        <v/>
      </c>
      <c r="AB92" s="11" t="b">
        <f aca="false">OR(D92=WF_START_PERIOD,D92=WF_END_PERIOD)</f>
        <v>0</v>
      </c>
      <c r="AC92" s="0" t="str">
        <f aca="false">B92&amp;"|"&amp;D92</f>
        <v>28369|20220630</v>
      </c>
    </row>
    <row r="93" customFormat="false" ht="15" hidden="false" customHeight="false" outlineLevel="0" collapsed="false">
      <c r="A93" s="0" t="n">
        <f aca="false">RawFinancials!A93</f>
        <v>90</v>
      </c>
      <c r="B93" s="0" t="n">
        <f aca="false">RawFinancials!C93</f>
        <v>28837</v>
      </c>
      <c r="C93" s="0" t="str">
        <f aca="false">RawFinancials!P93</f>
        <v>THE BRATTLEBORO SAVINGS AND LOAN ASSOCIATION</v>
      </c>
      <c r="D93" s="0" t="n">
        <f aca="false">RawFinancials!W93</f>
        <v>20220630</v>
      </c>
      <c r="E93" s="0" t="str">
        <f aca="false">RawFinancials!Z93</f>
        <v>VT</v>
      </c>
      <c r="F93" s="0" t="n">
        <f aca="false">RawFinancials!B93</f>
        <v>290878</v>
      </c>
      <c r="G93" s="0" t="n">
        <f aca="false">RawFinancials!U93</f>
        <v>0</v>
      </c>
      <c r="H93" s="0" t="n">
        <f aca="false">RawFinancials!O93</f>
        <v>0</v>
      </c>
      <c r="I93" s="0" t="n">
        <f aca="false">IF(AND(ISNUMBER(G93),ISNUMBER(H93)),G93+H93,"")</f>
        <v>0</v>
      </c>
      <c r="J93" s="0" t="n">
        <f aca="false">RawFinancials!D93</f>
        <v>266261</v>
      </c>
      <c r="K93" s="0" t="n">
        <f aca="false">RawFinancials!F93</f>
        <v>22419</v>
      </c>
      <c r="L93" s="0" t="n">
        <f aca="false">RawFinancials!L93</f>
        <v>188647</v>
      </c>
      <c r="M93" s="0" t="n">
        <f aca="false">RawFinancials!N93</f>
        <v>179830</v>
      </c>
      <c r="N93" s="13" t="n">
        <f aca="false">RawFinancials!X93</f>
        <v>0.368184561732949</v>
      </c>
      <c r="O93" s="13" t="n">
        <f aca="false">RawFinancials!V93</f>
        <v>14.7624530597825</v>
      </c>
      <c r="P93" s="13" t="n">
        <f aca="false">IF(AND(ISNUMBER(L93),L93&lt;&gt;0,ISNUMBER(M93)),100*M93/L93,"")</f>
        <v>95.326191246084</v>
      </c>
      <c r="Q93" s="13" t="n">
        <f aca="false">IF(AND(ISNUMBER(F93),F93&lt;&gt;0,ISNUMBER(K93)),100*K93/F93,"")</f>
        <v>7.7073549735628</v>
      </c>
      <c r="R93" s="11" t="b">
        <f aca="false">AND(ISNUMBER(F93),F93&gt;0,ISNUMBER(G93),G93&gt;=0,ISNUMBER(H93),H93&gt;=0)</f>
        <v>1</v>
      </c>
      <c r="S93" s="13" t="n">
        <f aca="false">IF(R93,100*I93/F93,"")</f>
        <v>0</v>
      </c>
      <c r="T93" s="11" t="b">
        <f aca="false">NOT(AND(OR(AND(ISBLANK(RawFinancials!B93),ISBLANK(_RawBaseline!B90)),AND(ISNUMBER(RawFinancials!B93),ISNUMBER(_RawBaseline!B90),RawFinancials!B93=_RawBaseline!B90)),OR(AND(ISBLANK(RawFinancials!U93),ISBLANK(_RawBaseline!U90)),AND(ISNUMBER(RawFinancials!U93),ISNUMBER(_RawBaseline!U90),RawFinancials!U93=_RawBaseline!U90)),OR(AND(ISBLANK(RawFinancials!O93),ISBLANK(_RawBaseline!O90)),AND(ISNUMBER(RawFinancials!O93),ISNUMBER(_RawBaseline!O90),RawFinancials!O93=_RawBaseline!O90))))</f>
        <v>0</v>
      </c>
      <c r="U93" s="13" t="n">
        <f aca="false">IF(AND(D93=WF_START_PERIOD,R93,COUNTIFS($B$5:$B$750,B93,$D$5:$D$750,WF_END_PERIOD,$R$5:$R$750,TRUE())&gt;0),SUMIFS($S$5:$S$750,$B$5:$B$750,B93,$D$5:$D$750,WF_END_PERIOD,$R$5:$R$750,TRUE()),0)</f>
        <v>0</v>
      </c>
      <c r="V93" s="0" t="str">
        <f aca="false">IF(AND(D93=WF_START_PERIOD,COUNTIFS($B$5:$B$750,B93,$D$5:$D$750,WF_END_PERIOD)&gt;0),INDEX($E$5:$E$750,MATCH(B93&amp;"|"&amp;WF_END_PERIOD,$AC$5:$AC$750,0)),"")</f>
        <v/>
      </c>
      <c r="W93" s="11" t="b">
        <f aca="false">COUNTIFS($B$5:$B$750,B93,$D$5:$D$750,WF_START_PERIOD,$R$5:$R$750,TRUE())&gt;0</f>
        <v>1</v>
      </c>
      <c r="X93" s="11" t="b">
        <f aca="false">COUNTIFS($B$5:$B$750,B93,$D$5:$D$750,WF_END_PERIOD,$R$5:$R$750,TRUE())&gt;0</f>
        <v>1</v>
      </c>
      <c r="Y93" s="0" t="str">
        <f aca="false">IF(AND(D93=WF_END_PERIOD,COUNTIFS($B$5:$B$750,B93,$D$5:$D$750,WF_START_PERIOD)&gt;0),INDEX($E$5:$E$750,MATCH(B93&amp;"|"&amp;WF_START_PERIOD,$AC$5:$AC$750,0)),"")</f>
        <v/>
      </c>
      <c r="Z93" s="0" t="str">
        <f aca="false">IF(AND(D93=WF_END_PERIOD,R93),1+COUNTIFS($D$5:$D$750,WF_END_PERIOD,$E$5:$E$750,E93,$R$5:$R$750,TRUE(),$S$5:$S$750,"&gt;"&amp;S93)+COUNTIFS($D$5:$D$750,WF_END_PERIOD,$E$5:$E$750,E93,$R$5:$R$750,TRUE(),$S$5:$S$750,S93,$B$5:$B$750,"&lt;"&amp;B93),"")</f>
        <v/>
      </c>
      <c r="AA93" s="0" t="str">
        <f aca="false">IF(AND(D93=WF_END_PERIOD,R93,Z93&lt;&gt;1),1+COUNTIFS($D$5:$D$750,WF_END_PERIOD,$R$5:$R$750,TRUE(),$Z$5:$Z$750,"&lt;&gt;1",$S$5:$S$750,"&gt;"&amp;S93)+COUNTIFS($D$5:$D$750,WF_END_PERIOD,$R$5:$R$750,TRUE(),$Z$5:$Z$750,"&lt;&gt;1",$S$5:$S$750,S93,$B$5:$B$750,"&lt;"&amp;B93),"")</f>
        <v/>
      </c>
      <c r="AB93" s="11" t="b">
        <f aca="false">OR(D93=WF_START_PERIOD,D93=WF_END_PERIOD)</f>
        <v>0</v>
      </c>
      <c r="AC93" s="0" t="str">
        <f aca="false">B93&amp;"|"&amp;D93</f>
        <v>28837|20220630</v>
      </c>
    </row>
    <row r="94" customFormat="false" ht="15" hidden="false" customHeight="false" outlineLevel="0" collapsed="false">
      <c r="A94" s="0" t="n">
        <f aca="false">RawFinancials!A94</f>
        <v>91</v>
      </c>
      <c r="B94" s="0" t="n">
        <f aca="false">RawFinancials!C94</f>
        <v>29636</v>
      </c>
      <c r="C94" s="0" t="str">
        <f aca="false">RawFinancials!P94</f>
        <v>FIRST FEDERAL SAVINGS AND LOAN ASSOCIATION OF BATH</v>
      </c>
      <c r="D94" s="0" t="n">
        <f aca="false">RawFinancials!W94</f>
        <v>20220630</v>
      </c>
      <c r="E94" s="0" t="str">
        <f aca="false">RawFinancials!Z94</f>
        <v>ME</v>
      </c>
      <c r="F94" s="0" t="n">
        <f aca="false">RawFinancials!B94</f>
        <v>182713</v>
      </c>
      <c r="G94" s="0" t="n">
        <f aca="false">RawFinancials!U94</f>
        <v>0</v>
      </c>
      <c r="H94" s="0" t="n">
        <f aca="false">RawFinancials!O94</f>
        <v>2116</v>
      </c>
      <c r="I94" s="0" t="n">
        <f aca="false">IF(AND(ISNUMBER(G94),ISNUMBER(H94)),G94+H94,"")</f>
        <v>2116</v>
      </c>
      <c r="J94" s="0" t="n">
        <f aca="false">RawFinancials!D94</f>
        <v>157371</v>
      </c>
      <c r="K94" s="0" t="n">
        <f aca="false">RawFinancials!F94</f>
        <v>23979</v>
      </c>
      <c r="L94" s="0" t="n">
        <f aca="false">RawFinancials!L94</f>
        <v>111784</v>
      </c>
      <c r="M94" s="0" t="n">
        <f aca="false">RawFinancials!N94</f>
        <v>108292</v>
      </c>
      <c r="N94" s="13" t="n">
        <f aca="false">RawFinancials!X94</f>
        <v>0.132689298792343</v>
      </c>
      <c r="O94" s="13" t="n">
        <f aca="false">RawFinancials!V94</f>
        <v>30.849232534787</v>
      </c>
      <c r="P94" s="13" t="n">
        <f aca="false">IF(AND(ISNUMBER(L94),L94&lt;&gt;0,ISNUMBER(M94)),100*M94/L94,"")</f>
        <v>96.8761182280112</v>
      </c>
      <c r="Q94" s="13" t="n">
        <f aca="false">IF(AND(ISNUMBER(F94),F94&lt;&gt;0,ISNUMBER(K94)),100*K94/F94,"")</f>
        <v>13.1238609184897</v>
      </c>
      <c r="R94" s="11" t="b">
        <f aca="false">AND(ISNUMBER(F94),F94&gt;0,ISNUMBER(G94),G94&gt;=0,ISNUMBER(H94),H94&gt;=0)</f>
        <v>1</v>
      </c>
      <c r="S94" s="13" t="n">
        <f aca="false">IF(R94,100*I94/F94,"")</f>
        <v>1.1581004088379</v>
      </c>
      <c r="T94" s="11" t="b">
        <f aca="false">NOT(AND(OR(AND(ISBLANK(RawFinancials!B94),ISBLANK(_RawBaseline!B91)),AND(ISNUMBER(RawFinancials!B94),ISNUMBER(_RawBaseline!B91),RawFinancials!B94=_RawBaseline!B91)),OR(AND(ISBLANK(RawFinancials!U94),ISBLANK(_RawBaseline!U91)),AND(ISNUMBER(RawFinancials!U94),ISNUMBER(_RawBaseline!U91),RawFinancials!U94=_RawBaseline!U91)),OR(AND(ISBLANK(RawFinancials!O94),ISBLANK(_RawBaseline!O91)),AND(ISNUMBER(RawFinancials!O94),ISNUMBER(_RawBaseline!O91),RawFinancials!O94=_RawBaseline!O91))))</f>
        <v>0</v>
      </c>
      <c r="U94" s="13" t="n">
        <f aca="false">IF(AND(D94=WF_START_PERIOD,R94,COUNTIFS($B$5:$B$750,B94,$D$5:$D$750,WF_END_PERIOD,$R$5:$R$750,TRUE())&gt;0),SUMIFS($S$5:$S$750,$B$5:$B$750,B94,$D$5:$D$750,WF_END_PERIOD,$R$5:$R$750,TRUE()),0)</f>
        <v>0</v>
      </c>
      <c r="V94" s="0" t="str">
        <f aca="false">IF(AND(D94=WF_START_PERIOD,COUNTIFS($B$5:$B$750,B94,$D$5:$D$750,WF_END_PERIOD)&gt;0),INDEX($E$5:$E$750,MATCH(B94&amp;"|"&amp;WF_END_PERIOD,$AC$5:$AC$750,0)),"")</f>
        <v/>
      </c>
      <c r="W94" s="11" t="b">
        <f aca="false">COUNTIFS($B$5:$B$750,B94,$D$5:$D$750,WF_START_PERIOD,$R$5:$R$750,TRUE())&gt;0</f>
        <v>1</v>
      </c>
      <c r="X94" s="11" t="b">
        <f aca="false">COUNTIFS($B$5:$B$750,B94,$D$5:$D$750,WF_END_PERIOD,$R$5:$R$750,TRUE())&gt;0</f>
        <v>1</v>
      </c>
      <c r="Y94" s="0" t="str">
        <f aca="false">IF(AND(D94=WF_END_PERIOD,COUNTIFS($B$5:$B$750,B94,$D$5:$D$750,WF_START_PERIOD)&gt;0),INDEX($E$5:$E$750,MATCH(B94&amp;"|"&amp;WF_START_PERIOD,$AC$5:$AC$750,0)),"")</f>
        <v/>
      </c>
      <c r="Z94" s="0" t="str">
        <f aca="false">IF(AND(D94=WF_END_PERIOD,R94),1+COUNTIFS($D$5:$D$750,WF_END_PERIOD,$E$5:$E$750,E94,$R$5:$R$750,TRUE(),$S$5:$S$750,"&gt;"&amp;S94)+COUNTIFS($D$5:$D$750,WF_END_PERIOD,$E$5:$E$750,E94,$R$5:$R$750,TRUE(),$S$5:$S$750,S94,$B$5:$B$750,"&lt;"&amp;B94),"")</f>
        <v/>
      </c>
      <c r="AA94" s="0" t="str">
        <f aca="false">IF(AND(D94=WF_END_PERIOD,R94,Z94&lt;&gt;1),1+COUNTIFS($D$5:$D$750,WF_END_PERIOD,$R$5:$R$750,TRUE(),$Z$5:$Z$750,"&lt;&gt;1",$S$5:$S$750,"&gt;"&amp;S94)+COUNTIFS($D$5:$D$750,WF_END_PERIOD,$R$5:$R$750,TRUE(),$Z$5:$Z$750,"&lt;&gt;1",$S$5:$S$750,S94,$B$5:$B$750,"&lt;"&amp;B94),"")</f>
        <v/>
      </c>
      <c r="AB94" s="11" t="b">
        <f aca="false">OR(D94=WF_START_PERIOD,D94=WF_END_PERIOD)</f>
        <v>0</v>
      </c>
      <c r="AC94" s="0" t="str">
        <f aca="false">B94&amp;"|"&amp;D94</f>
        <v>29636|20220630</v>
      </c>
    </row>
    <row r="95" customFormat="false" ht="15" hidden="false" customHeight="false" outlineLevel="0" collapsed="false">
      <c r="A95" s="0" t="n">
        <f aca="false">RawFinancials!A95</f>
        <v>92</v>
      </c>
      <c r="B95" s="0" t="n">
        <f aca="false">RawFinancials!C95</f>
        <v>29743</v>
      </c>
      <c r="C95" s="0" t="str">
        <f aca="false">RawFinancials!P95</f>
        <v>AROOSTOOK COUNTY FEDERAL SAVINGS AND LOAN ASSOCIATION</v>
      </c>
      <c r="D95" s="0" t="n">
        <f aca="false">RawFinancials!W95</f>
        <v>20220630</v>
      </c>
      <c r="E95" s="0" t="str">
        <f aca="false">RawFinancials!Z95</f>
        <v>ME</v>
      </c>
      <c r="F95" s="0" t="n">
        <f aca="false">RawFinancials!B95</f>
        <v>176966</v>
      </c>
      <c r="G95" s="0" t="n">
        <f aca="false">RawFinancials!U95</f>
        <v>0</v>
      </c>
      <c r="H95" s="0" t="n">
        <f aca="false">RawFinancials!O95</f>
        <v>467</v>
      </c>
      <c r="I95" s="0" t="n">
        <f aca="false">IF(AND(ISNUMBER(G95),ISNUMBER(H95)),G95+H95,"")</f>
        <v>467</v>
      </c>
      <c r="J95" s="0" t="n">
        <f aca="false">RawFinancials!D95</f>
        <v>160168</v>
      </c>
      <c r="K95" s="0" t="n">
        <f aca="false">RawFinancials!F95</f>
        <v>14544</v>
      </c>
      <c r="L95" s="0" t="n">
        <f aca="false">RawFinancials!L95</f>
        <v>118848</v>
      </c>
      <c r="M95" s="0" t="n">
        <f aca="false">RawFinancials!N95</f>
        <v>78376</v>
      </c>
      <c r="N95" s="13" t="n">
        <f aca="false">RawFinancials!X95</f>
        <v>0.753273491838588</v>
      </c>
      <c r="O95" s="13" t="n">
        <f aca="false">RawFinancials!V95</f>
        <v>17.6123658591362</v>
      </c>
      <c r="P95" s="13" t="n">
        <f aca="false">IF(AND(ISNUMBER(L95),L95&lt;&gt;0,ISNUMBER(M95)),100*M95/L95,"")</f>
        <v>65.9464189553043</v>
      </c>
      <c r="Q95" s="13" t="n">
        <f aca="false">IF(AND(ISNUMBER(F95),F95&lt;&gt;0,ISNUMBER(K95)),100*K95/F95,"")</f>
        <v>8.21852785280789</v>
      </c>
      <c r="R95" s="11" t="b">
        <f aca="false">AND(ISNUMBER(F95),F95&gt;0,ISNUMBER(G95),G95&gt;=0,ISNUMBER(H95),H95&gt;=0)</f>
        <v>1</v>
      </c>
      <c r="S95" s="13" t="n">
        <f aca="false">IF(R95,100*I95/F95,"")</f>
        <v>0.263892499124126</v>
      </c>
      <c r="T95" s="11" t="b">
        <f aca="false">NOT(AND(OR(AND(ISBLANK(RawFinancials!B95),ISBLANK(_RawBaseline!B92)),AND(ISNUMBER(RawFinancials!B95),ISNUMBER(_RawBaseline!B92),RawFinancials!B95=_RawBaseline!B92)),OR(AND(ISBLANK(RawFinancials!U95),ISBLANK(_RawBaseline!U92)),AND(ISNUMBER(RawFinancials!U95),ISNUMBER(_RawBaseline!U92),RawFinancials!U95=_RawBaseline!U92)),OR(AND(ISBLANK(RawFinancials!O95),ISBLANK(_RawBaseline!O92)),AND(ISNUMBER(RawFinancials!O95),ISNUMBER(_RawBaseline!O92),RawFinancials!O95=_RawBaseline!O92))))</f>
        <v>0</v>
      </c>
      <c r="U95" s="13" t="n">
        <f aca="false">IF(AND(D95=WF_START_PERIOD,R95,COUNTIFS($B$5:$B$750,B95,$D$5:$D$750,WF_END_PERIOD,$R$5:$R$750,TRUE())&gt;0),SUMIFS($S$5:$S$750,$B$5:$B$750,B95,$D$5:$D$750,WF_END_PERIOD,$R$5:$R$750,TRUE()),0)</f>
        <v>0</v>
      </c>
      <c r="V95" s="0" t="str">
        <f aca="false">IF(AND(D95=WF_START_PERIOD,COUNTIFS($B$5:$B$750,B95,$D$5:$D$750,WF_END_PERIOD)&gt;0),INDEX($E$5:$E$750,MATCH(B95&amp;"|"&amp;WF_END_PERIOD,$AC$5:$AC$750,0)),"")</f>
        <v/>
      </c>
      <c r="W95" s="11" t="b">
        <f aca="false">COUNTIFS($B$5:$B$750,B95,$D$5:$D$750,WF_START_PERIOD,$R$5:$R$750,TRUE())&gt;0</f>
        <v>1</v>
      </c>
      <c r="X95" s="11" t="b">
        <f aca="false">COUNTIFS($B$5:$B$750,B95,$D$5:$D$750,WF_END_PERIOD,$R$5:$R$750,TRUE())&gt;0</f>
        <v>1</v>
      </c>
      <c r="Y95" s="0" t="str">
        <f aca="false">IF(AND(D95=WF_END_PERIOD,COUNTIFS($B$5:$B$750,B95,$D$5:$D$750,WF_START_PERIOD)&gt;0),INDEX($E$5:$E$750,MATCH(B95&amp;"|"&amp;WF_START_PERIOD,$AC$5:$AC$750,0)),"")</f>
        <v/>
      </c>
      <c r="Z95" s="0" t="str">
        <f aca="false">IF(AND(D95=WF_END_PERIOD,R95),1+COUNTIFS($D$5:$D$750,WF_END_PERIOD,$E$5:$E$750,E95,$R$5:$R$750,TRUE(),$S$5:$S$750,"&gt;"&amp;S95)+COUNTIFS($D$5:$D$750,WF_END_PERIOD,$E$5:$E$750,E95,$R$5:$R$750,TRUE(),$S$5:$S$750,S95,$B$5:$B$750,"&lt;"&amp;B95),"")</f>
        <v/>
      </c>
      <c r="AA95" s="0" t="str">
        <f aca="false">IF(AND(D95=WF_END_PERIOD,R95,Z95&lt;&gt;1),1+COUNTIFS($D$5:$D$750,WF_END_PERIOD,$R$5:$R$750,TRUE(),$Z$5:$Z$750,"&lt;&gt;1",$S$5:$S$750,"&gt;"&amp;S95)+COUNTIFS($D$5:$D$750,WF_END_PERIOD,$R$5:$R$750,TRUE(),$Z$5:$Z$750,"&lt;&gt;1",$S$5:$S$750,S95,$B$5:$B$750,"&lt;"&amp;B95),"")</f>
        <v/>
      </c>
      <c r="AB95" s="11" t="b">
        <f aca="false">OR(D95=WF_START_PERIOD,D95=WF_END_PERIOD)</f>
        <v>0</v>
      </c>
      <c r="AC95" s="0" t="str">
        <f aca="false">B95&amp;"|"&amp;D95</f>
        <v>29743|20220630</v>
      </c>
    </row>
    <row r="96" customFormat="false" ht="15" hidden="false" customHeight="false" outlineLevel="0" collapsed="false">
      <c r="A96" s="0" t="n">
        <f aca="false">RawFinancials!A96</f>
        <v>93</v>
      </c>
      <c r="B96" s="0" t="n">
        <f aca="false">RawFinancials!C96</f>
        <v>29744</v>
      </c>
      <c r="C96" s="0" t="str">
        <f aca="false">RawFinancials!P96</f>
        <v>FIRST SEACOAST BANK</v>
      </c>
      <c r="D96" s="0" t="n">
        <f aca="false">RawFinancials!W96</f>
        <v>20220630</v>
      </c>
      <c r="E96" s="0" t="str">
        <f aca="false">RawFinancials!Z96</f>
        <v>NH</v>
      </c>
      <c r="F96" s="0" t="n">
        <f aca="false">RawFinancials!B96</f>
        <v>510338</v>
      </c>
      <c r="G96" s="0" t="n">
        <f aca="false">RawFinancials!U96</f>
        <v>0</v>
      </c>
      <c r="H96" s="0" t="n">
        <f aca="false">RawFinancials!O96</f>
        <v>602</v>
      </c>
      <c r="I96" s="0" t="n">
        <f aca="false">IF(AND(ISNUMBER(G96),ISNUMBER(H96)),G96+H96,"")</f>
        <v>602</v>
      </c>
      <c r="J96" s="0" t="n">
        <f aca="false">RawFinancials!D96</f>
        <v>400169</v>
      </c>
      <c r="K96" s="0" t="n">
        <f aca="false">RawFinancials!F96</f>
        <v>42675</v>
      </c>
      <c r="L96" s="0" t="n">
        <f aca="false">RawFinancials!L96</f>
        <v>384539</v>
      </c>
      <c r="M96" s="0" t="n">
        <f aca="false">RawFinancials!N96</f>
        <v>352732</v>
      </c>
      <c r="N96" s="13" t="n">
        <f aca="false">RawFinancials!X96</f>
        <v>0.255625872703925</v>
      </c>
      <c r="O96" s="13" t="n">
        <f aca="false">RawFinancials!V96</f>
        <v>16.7010073613681</v>
      </c>
      <c r="P96" s="13" t="n">
        <f aca="false">IF(AND(ISNUMBER(L96),L96&lt;&gt;0,ISNUMBER(M96)),100*M96/L96,"")</f>
        <v>91.7285372875053</v>
      </c>
      <c r="Q96" s="13" t="n">
        <f aca="false">IF(AND(ISNUMBER(F96),F96&lt;&gt;0,ISNUMBER(K96)),100*K96/F96,"")</f>
        <v>8.36210511464951</v>
      </c>
      <c r="R96" s="11" t="b">
        <f aca="false">AND(ISNUMBER(F96),F96&gt;0,ISNUMBER(G96),G96&gt;=0,ISNUMBER(H96),H96&gt;=0)</f>
        <v>1</v>
      </c>
      <c r="S96" s="13" t="n">
        <f aca="false">IF(R96,100*I96/F96,"")</f>
        <v>0.117961037586854</v>
      </c>
      <c r="T96" s="11" t="b">
        <f aca="false">NOT(AND(OR(AND(ISBLANK(RawFinancials!B96),ISBLANK(_RawBaseline!B93)),AND(ISNUMBER(RawFinancials!B96),ISNUMBER(_RawBaseline!B93),RawFinancials!B96=_RawBaseline!B93)),OR(AND(ISBLANK(RawFinancials!U96),ISBLANK(_RawBaseline!U93)),AND(ISNUMBER(RawFinancials!U96),ISNUMBER(_RawBaseline!U93),RawFinancials!U96=_RawBaseline!U93)),OR(AND(ISBLANK(RawFinancials!O96),ISBLANK(_RawBaseline!O93)),AND(ISNUMBER(RawFinancials!O96),ISNUMBER(_RawBaseline!O93),RawFinancials!O96=_RawBaseline!O93))))</f>
        <v>0</v>
      </c>
      <c r="U96" s="13" t="n">
        <f aca="false">IF(AND(D96=WF_START_PERIOD,R96,COUNTIFS($B$5:$B$750,B96,$D$5:$D$750,WF_END_PERIOD,$R$5:$R$750,TRUE())&gt;0),SUMIFS($S$5:$S$750,$B$5:$B$750,B96,$D$5:$D$750,WF_END_PERIOD,$R$5:$R$750,TRUE()),0)</f>
        <v>0</v>
      </c>
      <c r="V96" s="0" t="str">
        <f aca="false">IF(AND(D96=WF_START_PERIOD,COUNTIFS($B$5:$B$750,B96,$D$5:$D$750,WF_END_PERIOD)&gt;0),INDEX($E$5:$E$750,MATCH(B96&amp;"|"&amp;WF_END_PERIOD,$AC$5:$AC$750,0)),"")</f>
        <v/>
      </c>
      <c r="W96" s="11" t="b">
        <f aca="false">COUNTIFS($B$5:$B$750,B96,$D$5:$D$750,WF_START_PERIOD,$R$5:$R$750,TRUE())&gt;0</f>
        <v>1</v>
      </c>
      <c r="X96" s="11" t="b">
        <f aca="false">COUNTIFS($B$5:$B$750,B96,$D$5:$D$750,WF_END_PERIOD,$R$5:$R$750,TRUE())&gt;0</f>
        <v>1</v>
      </c>
      <c r="Y96" s="0" t="str">
        <f aca="false">IF(AND(D96=WF_END_PERIOD,COUNTIFS($B$5:$B$750,B96,$D$5:$D$750,WF_START_PERIOD)&gt;0),INDEX($E$5:$E$750,MATCH(B96&amp;"|"&amp;WF_START_PERIOD,$AC$5:$AC$750,0)),"")</f>
        <v/>
      </c>
      <c r="Z96" s="0" t="str">
        <f aca="false">IF(AND(D96=WF_END_PERIOD,R96),1+COUNTIFS($D$5:$D$750,WF_END_PERIOD,$E$5:$E$750,E96,$R$5:$R$750,TRUE(),$S$5:$S$750,"&gt;"&amp;S96)+COUNTIFS($D$5:$D$750,WF_END_PERIOD,$E$5:$E$750,E96,$R$5:$R$750,TRUE(),$S$5:$S$750,S96,$B$5:$B$750,"&lt;"&amp;B96),"")</f>
        <v/>
      </c>
      <c r="AA96" s="0" t="str">
        <f aca="false">IF(AND(D96=WF_END_PERIOD,R96,Z96&lt;&gt;1),1+COUNTIFS($D$5:$D$750,WF_END_PERIOD,$R$5:$R$750,TRUE(),$Z$5:$Z$750,"&lt;&gt;1",$S$5:$S$750,"&gt;"&amp;S96)+COUNTIFS($D$5:$D$750,WF_END_PERIOD,$R$5:$R$750,TRUE(),$Z$5:$Z$750,"&lt;&gt;1",$S$5:$S$750,S96,$B$5:$B$750,"&lt;"&amp;B96),"")</f>
        <v/>
      </c>
      <c r="AB96" s="11" t="b">
        <f aca="false">OR(D96=WF_START_PERIOD,D96=WF_END_PERIOD)</f>
        <v>0</v>
      </c>
      <c r="AC96" s="0" t="str">
        <f aca="false">B96&amp;"|"&amp;D96</f>
        <v>29744|20220630</v>
      </c>
    </row>
    <row r="97" customFormat="false" ht="15" hidden="false" customHeight="false" outlineLevel="0" collapsed="false">
      <c r="A97" s="0" t="n">
        <f aca="false">RawFinancials!A97</f>
        <v>94</v>
      </c>
      <c r="B97" s="0" t="n">
        <f aca="false">RawFinancials!C97</f>
        <v>30350</v>
      </c>
      <c r="C97" s="0" t="str">
        <f aca="false">RawFinancials!P97</f>
        <v>THE BANK OF BENNINGTON</v>
      </c>
      <c r="D97" s="0" t="n">
        <f aca="false">RawFinancials!W97</f>
        <v>20220630</v>
      </c>
      <c r="E97" s="0" t="str">
        <f aca="false">RawFinancials!Z97</f>
        <v>VT</v>
      </c>
      <c r="F97" s="0" t="n">
        <f aca="false">RawFinancials!B97</f>
        <v>543454</v>
      </c>
      <c r="G97" s="0" t="n">
        <f aca="false">RawFinancials!U97</f>
        <v>0</v>
      </c>
      <c r="H97" s="0" t="n">
        <f aca="false">RawFinancials!O97</f>
        <v>2718</v>
      </c>
      <c r="I97" s="0" t="n">
        <f aca="false">IF(AND(ISNUMBER(G97),ISNUMBER(H97)),G97+H97,"")</f>
        <v>2718</v>
      </c>
      <c r="J97" s="0" t="n">
        <f aca="false">RawFinancials!D97</f>
        <v>468153</v>
      </c>
      <c r="K97" s="0" t="n">
        <f aca="false">RawFinancials!F97</f>
        <v>50997</v>
      </c>
      <c r="L97" s="0" t="n">
        <f aca="false">RawFinancials!L97</f>
        <v>371004</v>
      </c>
      <c r="M97" s="0" t="n">
        <f aca="false">RawFinancials!N97</f>
        <v>358181</v>
      </c>
      <c r="N97" s="13" t="n">
        <f aca="false">RawFinancials!X97</f>
        <v>0.502798290193913</v>
      </c>
      <c r="O97" s="13" t="n">
        <f aca="false">RawFinancials!V97</f>
        <v>21.2363870447464</v>
      </c>
      <c r="P97" s="13" t="n">
        <f aca="false">IF(AND(ISNUMBER(L97),L97&lt;&gt;0,ISNUMBER(M97)),100*M97/L97,"")</f>
        <v>96.5437030328514</v>
      </c>
      <c r="Q97" s="13" t="n">
        <f aca="false">IF(AND(ISNUMBER(F97),F97&lt;&gt;0,ISNUMBER(K97)),100*K97/F97,"")</f>
        <v>9.38386689581823</v>
      </c>
      <c r="R97" s="11" t="b">
        <f aca="false">AND(ISNUMBER(F97),F97&gt;0,ISNUMBER(G97),G97&gt;=0,ISNUMBER(H97),H97&gt;=0)</f>
        <v>1</v>
      </c>
      <c r="S97" s="13" t="n">
        <f aca="false">IF(R97,100*I97/F97,"")</f>
        <v>0.500134325996313</v>
      </c>
      <c r="T97" s="11" t="b">
        <f aca="false">NOT(AND(OR(AND(ISBLANK(RawFinancials!B97),ISBLANK(_RawBaseline!B94)),AND(ISNUMBER(RawFinancials!B97),ISNUMBER(_RawBaseline!B94),RawFinancials!B97=_RawBaseline!B94)),OR(AND(ISBLANK(RawFinancials!U97),ISBLANK(_RawBaseline!U94)),AND(ISNUMBER(RawFinancials!U97),ISNUMBER(_RawBaseline!U94),RawFinancials!U97=_RawBaseline!U94)),OR(AND(ISBLANK(RawFinancials!O97),ISBLANK(_RawBaseline!O94)),AND(ISNUMBER(RawFinancials!O97),ISNUMBER(_RawBaseline!O94),RawFinancials!O97=_RawBaseline!O94))))</f>
        <v>0</v>
      </c>
      <c r="U97" s="13" t="n">
        <f aca="false">IF(AND(D97=WF_START_PERIOD,R97,COUNTIFS($B$5:$B$750,B97,$D$5:$D$750,WF_END_PERIOD,$R$5:$R$750,TRUE())&gt;0),SUMIFS($S$5:$S$750,$B$5:$B$750,B97,$D$5:$D$750,WF_END_PERIOD,$R$5:$R$750,TRUE()),0)</f>
        <v>0</v>
      </c>
      <c r="V97" s="0" t="str">
        <f aca="false">IF(AND(D97=WF_START_PERIOD,COUNTIFS($B$5:$B$750,B97,$D$5:$D$750,WF_END_PERIOD)&gt;0),INDEX($E$5:$E$750,MATCH(B97&amp;"|"&amp;WF_END_PERIOD,$AC$5:$AC$750,0)),"")</f>
        <v/>
      </c>
      <c r="W97" s="11" t="b">
        <f aca="false">COUNTIFS($B$5:$B$750,B97,$D$5:$D$750,WF_START_PERIOD,$R$5:$R$750,TRUE())&gt;0</f>
        <v>1</v>
      </c>
      <c r="X97" s="11" t="b">
        <f aca="false">COUNTIFS($B$5:$B$750,B97,$D$5:$D$750,WF_END_PERIOD,$R$5:$R$750,TRUE())&gt;0</f>
        <v>1</v>
      </c>
      <c r="Y97" s="0" t="str">
        <f aca="false">IF(AND(D97=WF_END_PERIOD,COUNTIFS($B$5:$B$750,B97,$D$5:$D$750,WF_START_PERIOD)&gt;0),INDEX($E$5:$E$750,MATCH(B97&amp;"|"&amp;WF_START_PERIOD,$AC$5:$AC$750,0)),"")</f>
        <v/>
      </c>
      <c r="Z97" s="0" t="str">
        <f aca="false">IF(AND(D97=WF_END_PERIOD,R97),1+COUNTIFS($D$5:$D$750,WF_END_PERIOD,$E$5:$E$750,E97,$R$5:$R$750,TRUE(),$S$5:$S$750,"&gt;"&amp;S97)+COUNTIFS($D$5:$D$750,WF_END_PERIOD,$E$5:$E$750,E97,$R$5:$R$750,TRUE(),$S$5:$S$750,S97,$B$5:$B$750,"&lt;"&amp;B97),"")</f>
        <v/>
      </c>
      <c r="AA97" s="0" t="str">
        <f aca="false">IF(AND(D97=WF_END_PERIOD,R97,Z97&lt;&gt;1),1+COUNTIFS($D$5:$D$750,WF_END_PERIOD,$R$5:$R$750,TRUE(),$Z$5:$Z$750,"&lt;&gt;1",$S$5:$S$750,"&gt;"&amp;S97)+COUNTIFS($D$5:$D$750,WF_END_PERIOD,$R$5:$R$750,TRUE(),$Z$5:$Z$750,"&lt;&gt;1",$S$5:$S$750,S97,$B$5:$B$750,"&lt;"&amp;B97),"")</f>
        <v/>
      </c>
      <c r="AB97" s="11" t="b">
        <f aca="false">OR(D97=WF_START_PERIOD,D97=WF_END_PERIOD)</f>
        <v>0</v>
      </c>
      <c r="AC97" s="0" t="str">
        <f aca="false">B97&amp;"|"&amp;D97</f>
        <v>30350|20220630</v>
      </c>
    </row>
    <row r="98" customFormat="false" ht="15" hidden="false" customHeight="false" outlineLevel="0" collapsed="false">
      <c r="A98" s="0" t="n">
        <f aca="false">RawFinancials!A98</f>
        <v>95</v>
      </c>
      <c r="B98" s="0" t="n">
        <f aca="false">RawFinancials!C98</f>
        <v>30878</v>
      </c>
      <c r="C98" s="0" t="str">
        <f aca="false">RawFinancials!P98</f>
        <v>BAR HARBOR SAVINGS AND LOAN ASSOCIATION</v>
      </c>
      <c r="D98" s="0" t="n">
        <f aca="false">RawFinancials!W98</f>
        <v>20220630</v>
      </c>
      <c r="E98" s="0" t="str">
        <f aca="false">RawFinancials!Z98</f>
        <v>ME</v>
      </c>
      <c r="F98" s="0" t="n">
        <f aca="false">RawFinancials!B98</f>
        <v>100800</v>
      </c>
      <c r="G98" s="0" t="n">
        <f aca="false">RawFinancials!U98</f>
        <v>0</v>
      </c>
      <c r="H98" s="0" t="n">
        <f aca="false">RawFinancials!O98</f>
        <v>466</v>
      </c>
      <c r="I98" s="0" t="n">
        <f aca="false">IF(AND(ISNUMBER(G98),ISNUMBER(H98)),G98+H98,"")</f>
        <v>466</v>
      </c>
      <c r="J98" s="0" t="n">
        <f aca="false">RawFinancials!D98</f>
        <v>78524</v>
      </c>
      <c r="K98" s="0" t="n">
        <f aca="false">RawFinancials!F98</f>
        <v>12406</v>
      </c>
      <c r="L98" s="0" t="n">
        <f aca="false">RawFinancials!L98</f>
        <v>72560</v>
      </c>
      <c r="M98" s="0" t="n">
        <f aca="false">RawFinancials!N98</f>
        <v>72468</v>
      </c>
      <c r="N98" s="13" t="n">
        <f aca="false">RawFinancials!X98</f>
        <v>0.310113476352191</v>
      </c>
      <c r="O98" s="13" t="n">
        <f aca="false">RawFinancials!V98</f>
        <v>0</v>
      </c>
      <c r="P98" s="13" t="n">
        <f aca="false">IF(AND(ISNUMBER(L98),L98&lt;&gt;0,ISNUMBER(M98)),100*M98/L98,"")</f>
        <v>99.8732083792723</v>
      </c>
      <c r="Q98" s="13" t="n">
        <f aca="false">IF(AND(ISNUMBER(F98),F98&lt;&gt;0,ISNUMBER(K98)),100*K98/F98,"")</f>
        <v>12.3075396825397</v>
      </c>
      <c r="R98" s="11" t="b">
        <f aca="false">AND(ISNUMBER(F98),F98&gt;0,ISNUMBER(G98),G98&gt;=0,ISNUMBER(H98),H98&gt;=0)</f>
        <v>1</v>
      </c>
      <c r="S98" s="13" t="n">
        <f aca="false">IF(R98,100*I98/F98,"")</f>
        <v>0.462301587301587</v>
      </c>
      <c r="T98" s="11" t="b">
        <f aca="false">NOT(AND(OR(AND(ISBLANK(RawFinancials!B98),ISBLANK(_RawBaseline!B95)),AND(ISNUMBER(RawFinancials!B98),ISNUMBER(_RawBaseline!B95),RawFinancials!B98=_RawBaseline!B95)),OR(AND(ISBLANK(RawFinancials!U98),ISBLANK(_RawBaseline!U95)),AND(ISNUMBER(RawFinancials!U98),ISNUMBER(_RawBaseline!U95),RawFinancials!U98=_RawBaseline!U95)),OR(AND(ISBLANK(RawFinancials!O98),ISBLANK(_RawBaseline!O95)),AND(ISNUMBER(RawFinancials!O98),ISNUMBER(_RawBaseline!O95),RawFinancials!O98=_RawBaseline!O95))))</f>
        <v>0</v>
      </c>
      <c r="U98" s="13" t="n">
        <f aca="false">IF(AND(D98=WF_START_PERIOD,R98,COUNTIFS($B$5:$B$750,B98,$D$5:$D$750,WF_END_PERIOD,$R$5:$R$750,TRUE())&gt;0),SUMIFS($S$5:$S$750,$B$5:$B$750,B98,$D$5:$D$750,WF_END_PERIOD,$R$5:$R$750,TRUE()),0)</f>
        <v>0</v>
      </c>
      <c r="V98" s="0" t="str">
        <f aca="false">IF(AND(D98=WF_START_PERIOD,COUNTIFS($B$5:$B$750,B98,$D$5:$D$750,WF_END_PERIOD)&gt;0),INDEX($E$5:$E$750,MATCH(B98&amp;"|"&amp;WF_END_PERIOD,$AC$5:$AC$750,0)),"")</f>
        <v/>
      </c>
      <c r="W98" s="11" t="b">
        <f aca="false">COUNTIFS($B$5:$B$750,B98,$D$5:$D$750,WF_START_PERIOD,$R$5:$R$750,TRUE())&gt;0</f>
        <v>1</v>
      </c>
      <c r="X98" s="11" t="b">
        <f aca="false">COUNTIFS($B$5:$B$750,B98,$D$5:$D$750,WF_END_PERIOD,$R$5:$R$750,TRUE())&gt;0</f>
        <v>1</v>
      </c>
      <c r="Y98" s="0" t="str">
        <f aca="false">IF(AND(D98=WF_END_PERIOD,COUNTIFS($B$5:$B$750,B98,$D$5:$D$750,WF_START_PERIOD)&gt;0),INDEX($E$5:$E$750,MATCH(B98&amp;"|"&amp;WF_START_PERIOD,$AC$5:$AC$750,0)),"")</f>
        <v/>
      </c>
      <c r="Z98" s="0" t="str">
        <f aca="false">IF(AND(D98=WF_END_PERIOD,R98),1+COUNTIFS($D$5:$D$750,WF_END_PERIOD,$E$5:$E$750,E98,$R$5:$R$750,TRUE(),$S$5:$S$750,"&gt;"&amp;S98)+COUNTIFS($D$5:$D$750,WF_END_PERIOD,$E$5:$E$750,E98,$R$5:$R$750,TRUE(),$S$5:$S$750,S98,$B$5:$B$750,"&lt;"&amp;B98),"")</f>
        <v/>
      </c>
      <c r="AA98" s="0" t="str">
        <f aca="false">IF(AND(D98=WF_END_PERIOD,R98,Z98&lt;&gt;1),1+COUNTIFS($D$5:$D$750,WF_END_PERIOD,$R$5:$R$750,TRUE(),$Z$5:$Z$750,"&lt;&gt;1",$S$5:$S$750,"&gt;"&amp;S98)+COUNTIFS($D$5:$D$750,WF_END_PERIOD,$R$5:$R$750,TRUE(),$Z$5:$Z$750,"&lt;&gt;1",$S$5:$S$750,S98,$B$5:$B$750,"&lt;"&amp;B98),"")</f>
        <v/>
      </c>
      <c r="AB98" s="11" t="b">
        <f aca="false">OR(D98=WF_START_PERIOD,D98=WF_END_PERIOD)</f>
        <v>0</v>
      </c>
      <c r="AC98" s="0" t="str">
        <f aca="false">B98&amp;"|"&amp;D98</f>
        <v>30878|20220630</v>
      </c>
    </row>
    <row r="99" customFormat="false" ht="15" hidden="false" customHeight="false" outlineLevel="0" collapsed="false">
      <c r="A99" s="0" t="n">
        <f aca="false">RawFinancials!A99</f>
        <v>96</v>
      </c>
      <c r="B99" s="0" t="n">
        <f aca="false">RawFinancials!C99</f>
        <v>33418</v>
      </c>
      <c r="C99" s="0" t="str">
        <f aca="false">RawFinancials!P99</f>
        <v>LEDYARD NATIONAL BANK</v>
      </c>
      <c r="D99" s="0" t="n">
        <f aca="false">RawFinancials!W99</f>
        <v>20220630</v>
      </c>
      <c r="E99" s="0" t="str">
        <f aca="false">RawFinancials!Z99</f>
        <v>VT</v>
      </c>
      <c r="F99" s="0" t="n">
        <f aca="false">RawFinancials!B99</f>
        <v>732318</v>
      </c>
      <c r="G99" s="0" t="n">
        <f aca="false">RawFinancials!U99</f>
        <v>0</v>
      </c>
      <c r="H99" s="0" t="n">
        <f aca="false">RawFinancials!O99</f>
        <v>2652</v>
      </c>
      <c r="I99" s="0" t="n">
        <f aca="false">IF(AND(ISNUMBER(G99),ISNUMBER(H99)),G99+H99,"")</f>
        <v>2652</v>
      </c>
      <c r="J99" s="0" t="n">
        <f aca="false">RawFinancials!D99</f>
        <v>570903</v>
      </c>
      <c r="K99" s="0" t="n">
        <f aca="false">RawFinancials!F99</f>
        <v>59389</v>
      </c>
      <c r="L99" s="0" t="n">
        <f aca="false">RawFinancials!L99</f>
        <v>354978</v>
      </c>
      <c r="M99" s="0" t="n">
        <f aca="false">RawFinancials!N99</f>
        <v>301150</v>
      </c>
      <c r="N99" s="13" t="n">
        <f aca="false">RawFinancials!X99</f>
        <v>1.16569230469518</v>
      </c>
      <c r="O99" s="13" t="n">
        <f aca="false">RawFinancials!V99</f>
        <v>18.6076360363737</v>
      </c>
      <c r="P99" s="13" t="n">
        <f aca="false">IF(AND(ISNUMBER(L99),L99&lt;&gt;0,ISNUMBER(M99)),100*M99/L99,"")</f>
        <v>84.8362433728287</v>
      </c>
      <c r="Q99" s="13" t="n">
        <f aca="false">IF(AND(ISNUMBER(F99),F99&lt;&gt;0,ISNUMBER(K99)),100*K99/F99,"")</f>
        <v>8.10972828743797</v>
      </c>
      <c r="R99" s="11" t="b">
        <f aca="false">AND(ISNUMBER(F99),F99&gt;0,ISNUMBER(G99),G99&gt;=0,ISNUMBER(H99),H99&gt;=0)</f>
        <v>1</v>
      </c>
      <c r="S99" s="13" t="n">
        <f aca="false">IF(R99,100*I99/F99,"")</f>
        <v>0.36213775982565</v>
      </c>
      <c r="T99" s="11" t="b">
        <f aca="false">NOT(AND(OR(AND(ISBLANK(RawFinancials!B99),ISBLANK(_RawBaseline!B96)),AND(ISNUMBER(RawFinancials!B99),ISNUMBER(_RawBaseline!B96),RawFinancials!B99=_RawBaseline!B96)),OR(AND(ISBLANK(RawFinancials!U99),ISBLANK(_RawBaseline!U96)),AND(ISNUMBER(RawFinancials!U99),ISNUMBER(_RawBaseline!U96),RawFinancials!U99=_RawBaseline!U96)),OR(AND(ISBLANK(RawFinancials!O99),ISBLANK(_RawBaseline!O96)),AND(ISNUMBER(RawFinancials!O99),ISNUMBER(_RawBaseline!O96),RawFinancials!O99=_RawBaseline!O96))))</f>
        <v>0</v>
      </c>
      <c r="U99" s="13" t="n">
        <f aca="false">IF(AND(D99=WF_START_PERIOD,R99,COUNTIFS($B$5:$B$750,B99,$D$5:$D$750,WF_END_PERIOD,$R$5:$R$750,TRUE())&gt;0),SUMIFS($S$5:$S$750,$B$5:$B$750,B99,$D$5:$D$750,WF_END_PERIOD,$R$5:$R$750,TRUE()),0)</f>
        <v>0</v>
      </c>
      <c r="V99" s="0" t="str">
        <f aca="false">IF(AND(D99=WF_START_PERIOD,COUNTIFS($B$5:$B$750,B99,$D$5:$D$750,WF_END_PERIOD)&gt;0),INDEX($E$5:$E$750,MATCH(B99&amp;"|"&amp;WF_END_PERIOD,$AC$5:$AC$750,0)),"")</f>
        <v/>
      </c>
      <c r="W99" s="11" t="b">
        <f aca="false">COUNTIFS($B$5:$B$750,B99,$D$5:$D$750,WF_START_PERIOD,$R$5:$R$750,TRUE())&gt;0</f>
        <v>1</v>
      </c>
      <c r="X99" s="11" t="b">
        <f aca="false">COUNTIFS($B$5:$B$750,B99,$D$5:$D$750,WF_END_PERIOD,$R$5:$R$750,TRUE())&gt;0</f>
        <v>1</v>
      </c>
      <c r="Y99" s="0" t="str">
        <f aca="false">IF(AND(D99=WF_END_PERIOD,COUNTIFS($B$5:$B$750,B99,$D$5:$D$750,WF_START_PERIOD)&gt;0),INDEX($E$5:$E$750,MATCH(B99&amp;"|"&amp;WF_START_PERIOD,$AC$5:$AC$750,0)),"")</f>
        <v/>
      </c>
      <c r="Z99" s="0" t="str">
        <f aca="false">IF(AND(D99=WF_END_PERIOD,R99),1+COUNTIFS($D$5:$D$750,WF_END_PERIOD,$E$5:$E$750,E99,$R$5:$R$750,TRUE(),$S$5:$S$750,"&gt;"&amp;S99)+COUNTIFS($D$5:$D$750,WF_END_PERIOD,$E$5:$E$750,E99,$R$5:$R$750,TRUE(),$S$5:$S$750,S99,$B$5:$B$750,"&lt;"&amp;B99),"")</f>
        <v/>
      </c>
      <c r="AA99" s="0" t="str">
        <f aca="false">IF(AND(D99=WF_END_PERIOD,R99,Z99&lt;&gt;1),1+COUNTIFS($D$5:$D$750,WF_END_PERIOD,$R$5:$R$750,TRUE(),$Z$5:$Z$750,"&lt;&gt;1",$S$5:$S$750,"&gt;"&amp;S99)+COUNTIFS($D$5:$D$750,WF_END_PERIOD,$R$5:$R$750,TRUE(),$Z$5:$Z$750,"&lt;&gt;1",$S$5:$S$750,S99,$B$5:$B$750,"&lt;"&amp;B99),"")</f>
        <v/>
      </c>
      <c r="AB99" s="11" t="b">
        <f aca="false">OR(D99=WF_START_PERIOD,D99=WF_END_PERIOD)</f>
        <v>0</v>
      </c>
      <c r="AC99" s="0" t="str">
        <f aca="false">B99&amp;"|"&amp;D99</f>
        <v>33418|20220630</v>
      </c>
    </row>
    <row r="100" customFormat="false" ht="15" hidden="false" customHeight="false" outlineLevel="0" collapsed="false">
      <c r="A100" s="0" t="n">
        <f aca="false">RawFinancials!A100</f>
        <v>97</v>
      </c>
      <c r="B100" s="0" t="n">
        <f aca="false">RawFinancials!C100</f>
        <v>35206</v>
      </c>
      <c r="C100" s="0" t="str">
        <f aca="false">RawFinancials!P100</f>
        <v>FIDELITY PERSONAL TRUST COMPANY, FSB</v>
      </c>
      <c r="D100" s="0" t="n">
        <f aca="false">RawFinancials!W100</f>
        <v>20220630</v>
      </c>
      <c r="E100" s="0" t="str">
        <f aca="false">RawFinancials!Z100</f>
        <v>NH</v>
      </c>
      <c r="F100" s="0" t="n">
        <f aca="false">RawFinancials!B100</f>
        <v>62457</v>
      </c>
      <c r="G100" s="0" t="n">
        <f aca="false">RawFinancials!U100</f>
        <v>0</v>
      </c>
      <c r="H100" s="0" t="n">
        <f aca="false">RawFinancials!O100</f>
        <v>0</v>
      </c>
      <c r="I100" s="0" t="n">
        <f aca="false">IF(AND(ISNUMBER(G100),ISNUMBER(H100)),G100+H100,"")</f>
        <v>0</v>
      </c>
      <c r="J100" s="0" t="n">
        <f aca="false">RawFinancials!D100</f>
        <v>500</v>
      </c>
      <c r="K100" s="0" t="n">
        <f aca="false">RawFinancials!F100</f>
        <v>57487</v>
      </c>
      <c r="L100" s="0" t="n">
        <f aca="false">RawFinancials!L100</f>
        <v>0</v>
      </c>
      <c r="M100" s="0" t="n">
        <f aca="false">RawFinancials!N100</f>
        <v>0</v>
      </c>
      <c r="N100" s="13" t="n">
        <f aca="false">RawFinancials!X100</f>
        <v>2.27731467928075</v>
      </c>
      <c r="O100" s="13" t="n">
        <f aca="false">RawFinancials!V100</f>
        <v>0</v>
      </c>
      <c r="P100" s="13" t="str">
        <f aca="false">IF(AND(ISNUMBER(L100),L100&lt;&gt;0,ISNUMBER(M100)),100*M100/L100,"")</f>
        <v/>
      </c>
      <c r="Q100" s="13" t="n">
        <f aca="false">IF(AND(ISNUMBER(F100),F100&lt;&gt;0,ISNUMBER(K100)),100*K100/F100,"")</f>
        <v>92.0425252573771</v>
      </c>
      <c r="R100" s="11" t="b">
        <f aca="false">AND(ISNUMBER(F100),F100&gt;0,ISNUMBER(G100),G100&gt;=0,ISNUMBER(H100),H100&gt;=0)</f>
        <v>1</v>
      </c>
      <c r="S100" s="13" t="n">
        <f aca="false">IF(R100,100*I100/F100,"")</f>
        <v>0</v>
      </c>
      <c r="T100" s="11" t="b">
        <f aca="false">NOT(AND(OR(AND(ISBLANK(RawFinancials!B100),ISBLANK(_RawBaseline!B97)),AND(ISNUMBER(RawFinancials!B100),ISNUMBER(_RawBaseline!B97),RawFinancials!B100=_RawBaseline!B97)),OR(AND(ISBLANK(RawFinancials!U100),ISBLANK(_RawBaseline!U97)),AND(ISNUMBER(RawFinancials!U100),ISNUMBER(_RawBaseline!U97),RawFinancials!U100=_RawBaseline!U97)),OR(AND(ISBLANK(RawFinancials!O100),ISBLANK(_RawBaseline!O97)),AND(ISNUMBER(RawFinancials!O100),ISNUMBER(_RawBaseline!O97),RawFinancials!O100=_RawBaseline!O97))))</f>
        <v>0</v>
      </c>
      <c r="U100" s="13" t="n">
        <f aca="false">IF(AND(D100=WF_START_PERIOD,R100,COUNTIFS($B$5:$B$750,B100,$D$5:$D$750,WF_END_PERIOD,$R$5:$R$750,TRUE())&gt;0),SUMIFS($S$5:$S$750,$B$5:$B$750,B100,$D$5:$D$750,WF_END_PERIOD,$R$5:$R$750,TRUE()),0)</f>
        <v>0</v>
      </c>
      <c r="V100" s="0" t="str">
        <f aca="false">IF(AND(D100=WF_START_PERIOD,COUNTIFS($B$5:$B$750,B100,$D$5:$D$750,WF_END_PERIOD)&gt;0),INDEX($E$5:$E$750,MATCH(B100&amp;"|"&amp;WF_END_PERIOD,$AC$5:$AC$750,0)),"")</f>
        <v/>
      </c>
      <c r="W100" s="11" t="b">
        <f aca="false">COUNTIFS($B$5:$B$750,B100,$D$5:$D$750,WF_START_PERIOD,$R$5:$R$750,TRUE())&gt;0</f>
        <v>1</v>
      </c>
      <c r="X100" s="11" t="b">
        <f aca="false">COUNTIFS($B$5:$B$750,B100,$D$5:$D$750,WF_END_PERIOD,$R$5:$R$750,TRUE())&gt;0</f>
        <v>1</v>
      </c>
      <c r="Y100" s="0" t="str">
        <f aca="false">IF(AND(D100=WF_END_PERIOD,COUNTIFS($B$5:$B$750,B100,$D$5:$D$750,WF_START_PERIOD)&gt;0),INDEX($E$5:$E$750,MATCH(B100&amp;"|"&amp;WF_START_PERIOD,$AC$5:$AC$750,0)),"")</f>
        <v/>
      </c>
      <c r="Z100" s="0" t="str">
        <f aca="false">IF(AND(D100=WF_END_PERIOD,R100),1+COUNTIFS($D$5:$D$750,WF_END_PERIOD,$E$5:$E$750,E100,$R$5:$R$750,TRUE(),$S$5:$S$750,"&gt;"&amp;S100)+COUNTIFS($D$5:$D$750,WF_END_PERIOD,$E$5:$E$750,E100,$R$5:$R$750,TRUE(),$S$5:$S$750,S100,$B$5:$B$750,"&lt;"&amp;B100),"")</f>
        <v/>
      </c>
      <c r="AA100" s="0" t="str">
        <f aca="false">IF(AND(D100=WF_END_PERIOD,R100,Z100&lt;&gt;1),1+COUNTIFS($D$5:$D$750,WF_END_PERIOD,$R$5:$R$750,TRUE(),$Z$5:$Z$750,"&lt;&gt;1",$S$5:$S$750,"&gt;"&amp;S100)+COUNTIFS($D$5:$D$750,WF_END_PERIOD,$R$5:$R$750,TRUE(),$Z$5:$Z$750,"&lt;&gt;1",$S$5:$S$750,S100,$B$5:$B$750,"&lt;"&amp;B100),"")</f>
        <v/>
      </c>
      <c r="AB100" s="11" t="b">
        <f aca="false">OR(D100=WF_START_PERIOD,D100=WF_END_PERIOD)</f>
        <v>0</v>
      </c>
      <c r="AC100" s="0" t="str">
        <f aca="false">B100&amp;"|"&amp;D100</f>
        <v>35206|20220630</v>
      </c>
    </row>
    <row r="101" customFormat="false" ht="15" hidden="false" customHeight="false" outlineLevel="0" collapsed="false">
      <c r="A101" s="0" t="n">
        <f aca="false">RawFinancials!A101</f>
        <v>98</v>
      </c>
      <c r="B101" s="0" t="n">
        <f aca="false">RawFinancials!C101</f>
        <v>4255</v>
      </c>
      <c r="C101" s="0" t="str">
        <f aca="false">RawFinancials!P101</f>
        <v>THE CAMDEN NATIONAL BANK</v>
      </c>
      <c r="D101" s="0" t="n">
        <f aca="false">RawFinancials!W101</f>
        <v>20220630</v>
      </c>
      <c r="E101" s="0" t="str">
        <f aca="false">RawFinancials!Z101</f>
        <v>ME</v>
      </c>
      <c r="F101" s="0" t="n">
        <f aca="false">RawFinancials!B101</f>
        <v>5454674</v>
      </c>
      <c r="G101" s="0" t="n">
        <f aca="false">RawFinancials!U101</f>
        <v>0</v>
      </c>
      <c r="H101" s="0" t="n">
        <f aca="false">RawFinancials!O101</f>
        <v>3505</v>
      </c>
      <c r="I101" s="0" t="n">
        <f aca="false">IF(AND(ISNUMBER(G101),ISNUMBER(H101)),G101+H101,"")</f>
        <v>3505</v>
      </c>
      <c r="J101" s="0" t="n">
        <f aca="false">RawFinancials!D101</f>
        <v>4564900</v>
      </c>
      <c r="K101" s="0" t="n">
        <f aca="false">RawFinancials!F101</f>
        <v>460996</v>
      </c>
      <c r="L101" s="0" t="n">
        <f aca="false">RawFinancials!L101</f>
        <v>3727567</v>
      </c>
      <c r="M101" s="0" t="n">
        <f aca="false">RawFinancials!N101</f>
        <v>3314850</v>
      </c>
      <c r="N101" s="13" t="n">
        <f aca="false">RawFinancials!X101</f>
        <v>1.21491549982209</v>
      </c>
      <c r="O101" s="13" t="n">
        <f aca="false">RawFinancials!V101</f>
        <v>13.2979281956506</v>
      </c>
      <c r="P101" s="13" t="n">
        <f aca="false">IF(AND(ISNUMBER(L101),L101&lt;&gt;0,ISNUMBER(M101)),100*M101/L101,"")</f>
        <v>88.927979027607</v>
      </c>
      <c r="Q101" s="13" t="n">
        <f aca="false">IF(AND(ISNUMBER(F101),F101&lt;&gt;0,ISNUMBER(K101)),100*K101/F101,"")</f>
        <v>8.45139416214425</v>
      </c>
      <c r="R101" s="11" t="b">
        <f aca="false">AND(ISNUMBER(F101),F101&gt;0,ISNUMBER(G101),G101&gt;=0,ISNUMBER(H101),H101&gt;=0)</f>
        <v>1</v>
      </c>
      <c r="S101" s="13" t="n">
        <f aca="false">IF(R101,100*I101/F101,"")</f>
        <v>0.0642568190142986</v>
      </c>
      <c r="T101" s="11" t="b">
        <f aca="false">NOT(AND(OR(AND(ISBLANK(RawFinancials!B101),ISBLANK(_RawBaseline!B98)),AND(ISNUMBER(RawFinancials!B101),ISNUMBER(_RawBaseline!B98),RawFinancials!B101=_RawBaseline!B98)),OR(AND(ISBLANK(RawFinancials!U101),ISBLANK(_RawBaseline!U98)),AND(ISNUMBER(RawFinancials!U101),ISNUMBER(_RawBaseline!U98),RawFinancials!U101=_RawBaseline!U98)),OR(AND(ISBLANK(RawFinancials!O101),ISBLANK(_RawBaseline!O98)),AND(ISNUMBER(RawFinancials!O101),ISNUMBER(_RawBaseline!O98),RawFinancials!O101=_RawBaseline!O98))))</f>
        <v>0</v>
      </c>
      <c r="U101" s="13" t="n">
        <f aca="false">IF(AND(D101=WF_START_PERIOD,R101,COUNTIFS($B$5:$B$750,B101,$D$5:$D$750,WF_END_PERIOD,$R$5:$R$750,TRUE())&gt;0),SUMIFS($S$5:$S$750,$B$5:$B$750,B101,$D$5:$D$750,WF_END_PERIOD,$R$5:$R$750,TRUE()),0)</f>
        <v>0</v>
      </c>
      <c r="V101" s="0" t="str">
        <f aca="false">IF(AND(D101=WF_START_PERIOD,COUNTIFS($B$5:$B$750,B101,$D$5:$D$750,WF_END_PERIOD)&gt;0),INDEX($E$5:$E$750,MATCH(B101&amp;"|"&amp;WF_END_PERIOD,$AC$5:$AC$750,0)),"")</f>
        <v/>
      </c>
      <c r="W101" s="11" t="b">
        <f aca="false">COUNTIFS($B$5:$B$750,B101,$D$5:$D$750,WF_START_PERIOD,$R$5:$R$750,TRUE())&gt;0</f>
        <v>1</v>
      </c>
      <c r="X101" s="11" t="b">
        <f aca="false">COUNTIFS($B$5:$B$750,B101,$D$5:$D$750,WF_END_PERIOD,$R$5:$R$750,TRUE())&gt;0</f>
        <v>1</v>
      </c>
      <c r="Y101" s="0" t="str">
        <f aca="false">IF(AND(D101=WF_END_PERIOD,COUNTIFS($B$5:$B$750,B101,$D$5:$D$750,WF_START_PERIOD)&gt;0),INDEX($E$5:$E$750,MATCH(B101&amp;"|"&amp;WF_START_PERIOD,$AC$5:$AC$750,0)),"")</f>
        <v/>
      </c>
      <c r="Z101" s="0" t="str">
        <f aca="false">IF(AND(D101=WF_END_PERIOD,R101),1+COUNTIFS($D$5:$D$750,WF_END_PERIOD,$E$5:$E$750,E101,$R$5:$R$750,TRUE(),$S$5:$S$750,"&gt;"&amp;S101)+COUNTIFS($D$5:$D$750,WF_END_PERIOD,$E$5:$E$750,E101,$R$5:$R$750,TRUE(),$S$5:$S$750,S101,$B$5:$B$750,"&lt;"&amp;B101),"")</f>
        <v/>
      </c>
      <c r="AA101" s="0" t="str">
        <f aca="false">IF(AND(D101=WF_END_PERIOD,R101,Z101&lt;&gt;1),1+COUNTIFS($D$5:$D$750,WF_END_PERIOD,$R$5:$R$750,TRUE(),$Z$5:$Z$750,"&lt;&gt;1",$S$5:$S$750,"&gt;"&amp;S101)+COUNTIFS($D$5:$D$750,WF_END_PERIOD,$R$5:$R$750,TRUE(),$Z$5:$Z$750,"&lt;&gt;1",$S$5:$S$750,S101,$B$5:$B$750,"&lt;"&amp;B101),"")</f>
        <v/>
      </c>
      <c r="AB101" s="11" t="b">
        <f aca="false">OR(D101=WF_START_PERIOD,D101=WF_END_PERIOD)</f>
        <v>0</v>
      </c>
      <c r="AC101" s="0" t="str">
        <f aca="false">B101&amp;"|"&amp;D101</f>
        <v>4255|20220630</v>
      </c>
    </row>
    <row r="102" customFormat="false" ht="15" hidden="false" customHeight="false" outlineLevel="0" collapsed="false">
      <c r="A102" s="0" t="n">
        <f aca="false">RawFinancials!A102</f>
        <v>99</v>
      </c>
      <c r="B102" s="0" t="n">
        <f aca="false">RawFinancials!C102</f>
        <v>4256</v>
      </c>
      <c r="C102" s="0" t="str">
        <f aca="false">RawFinancials!P102</f>
        <v>FIRST NATIONAL BANK</v>
      </c>
      <c r="D102" s="0" t="n">
        <f aca="false">RawFinancials!W102</f>
        <v>20220630</v>
      </c>
      <c r="E102" s="0" t="str">
        <f aca="false">RawFinancials!Z102</f>
        <v>ME</v>
      </c>
      <c r="F102" s="0" t="n">
        <f aca="false">RawFinancials!B102</f>
        <v>2595799</v>
      </c>
      <c r="G102" s="0" t="n">
        <f aca="false">RawFinancials!U102</f>
        <v>76</v>
      </c>
      <c r="H102" s="0" t="n">
        <f aca="false">RawFinancials!O102</f>
        <v>4812</v>
      </c>
      <c r="I102" s="0" t="n">
        <f aca="false">IF(AND(ISNUMBER(G102),ISNUMBER(H102)),G102+H102,"")</f>
        <v>4888</v>
      </c>
      <c r="J102" s="0" t="n">
        <f aca="false">RawFinancials!D102</f>
        <v>2252978</v>
      </c>
      <c r="K102" s="0" t="n">
        <f aca="false">RawFinancials!F102</f>
        <v>198923</v>
      </c>
      <c r="L102" s="0" t="n">
        <f aca="false">RawFinancials!L102</f>
        <v>1789044</v>
      </c>
      <c r="M102" s="0" t="n">
        <f aca="false">RawFinancials!N102</f>
        <v>1445139</v>
      </c>
      <c r="N102" s="13" t="n">
        <f aca="false">RawFinancials!X102</f>
        <v>1.58945046854303</v>
      </c>
      <c r="O102" s="13" t="n">
        <f aca="false">RawFinancials!V102</f>
        <v>13.5641154228502</v>
      </c>
      <c r="P102" s="13" t="n">
        <f aca="false">IF(AND(ISNUMBER(L102),L102&lt;&gt;0,ISNUMBER(M102)),100*M102/L102,"")</f>
        <v>80.7771636695352</v>
      </c>
      <c r="Q102" s="13" t="n">
        <f aca="false">IF(AND(ISNUMBER(F102),F102&lt;&gt;0,ISNUMBER(K102)),100*K102/F102,"")</f>
        <v>7.66326668590288</v>
      </c>
      <c r="R102" s="11" t="b">
        <f aca="false">AND(ISNUMBER(F102),F102&gt;0,ISNUMBER(G102),G102&gt;=0,ISNUMBER(H102),H102&gt;=0)</f>
        <v>1</v>
      </c>
      <c r="S102" s="13" t="n">
        <f aca="false">IF(R102,100*I102/F102,"")</f>
        <v>0.188304256223228</v>
      </c>
      <c r="T102" s="11" t="b">
        <f aca="false">NOT(AND(OR(AND(ISBLANK(RawFinancials!B102),ISBLANK(_RawBaseline!B99)),AND(ISNUMBER(RawFinancials!B102),ISNUMBER(_RawBaseline!B99),RawFinancials!B102=_RawBaseline!B99)),OR(AND(ISBLANK(RawFinancials!U102),ISBLANK(_RawBaseline!U99)),AND(ISNUMBER(RawFinancials!U102),ISNUMBER(_RawBaseline!U99),RawFinancials!U102=_RawBaseline!U99)),OR(AND(ISBLANK(RawFinancials!O102),ISBLANK(_RawBaseline!O99)),AND(ISNUMBER(RawFinancials!O102),ISNUMBER(_RawBaseline!O99),RawFinancials!O102=_RawBaseline!O99))))</f>
        <v>0</v>
      </c>
      <c r="U102" s="13" t="n">
        <f aca="false">IF(AND(D102=WF_START_PERIOD,R102,COUNTIFS($B$5:$B$750,B102,$D$5:$D$750,WF_END_PERIOD,$R$5:$R$750,TRUE())&gt;0),SUMIFS($S$5:$S$750,$B$5:$B$750,B102,$D$5:$D$750,WF_END_PERIOD,$R$5:$R$750,TRUE()),0)</f>
        <v>0</v>
      </c>
      <c r="V102" s="0" t="str">
        <f aca="false">IF(AND(D102=WF_START_PERIOD,COUNTIFS($B$5:$B$750,B102,$D$5:$D$750,WF_END_PERIOD)&gt;0),INDEX($E$5:$E$750,MATCH(B102&amp;"|"&amp;WF_END_PERIOD,$AC$5:$AC$750,0)),"")</f>
        <v/>
      </c>
      <c r="W102" s="11" t="b">
        <f aca="false">COUNTIFS($B$5:$B$750,B102,$D$5:$D$750,WF_START_PERIOD,$R$5:$R$750,TRUE())&gt;0</f>
        <v>1</v>
      </c>
      <c r="X102" s="11" t="b">
        <f aca="false">COUNTIFS($B$5:$B$750,B102,$D$5:$D$750,WF_END_PERIOD,$R$5:$R$750,TRUE())&gt;0</f>
        <v>1</v>
      </c>
      <c r="Y102" s="0" t="str">
        <f aca="false">IF(AND(D102=WF_END_PERIOD,COUNTIFS($B$5:$B$750,B102,$D$5:$D$750,WF_START_PERIOD)&gt;0),INDEX($E$5:$E$750,MATCH(B102&amp;"|"&amp;WF_START_PERIOD,$AC$5:$AC$750,0)),"")</f>
        <v/>
      </c>
      <c r="Z102" s="0" t="str">
        <f aca="false">IF(AND(D102=WF_END_PERIOD,R102),1+COUNTIFS($D$5:$D$750,WF_END_PERIOD,$E$5:$E$750,E102,$R$5:$R$750,TRUE(),$S$5:$S$750,"&gt;"&amp;S102)+COUNTIFS($D$5:$D$750,WF_END_PERIOD,$E$5:$E$750,E102,$R$5:$R$750,TRUE(),$S$5:$S$750,S102,$B$5:$B$750,"&lt;"&amp;B102),"")</f>
        <v/>
      </c>
      <c r="AA102" s="0" t="str">
        <f aca="false">IF(AND(D102=WF_END_PERIOD,R102,Z102&lt;&gt;1),1+COUNTIFS($D$5:$D$750,WF_END_PERIOD,$R$5:$R$750,TRUE(),$Z$5:$Z$750,"&lt;&gt;1",$S$5:$S$750,"&gt;"&amp;S102)+COUNTIFS($D$5:$D$750,WF_END_PERIOD,$R$5:$R$750,TRUE(),$Z$5:$Z$750,"&lt;&gt;1",$S$5:$S$750,S102,$B$5:$B$750,"&lt;"&amp;B102),"")</f>
        <v/>
      </c>
      <c r="AB102" s="11" t="b">
        <f aca="false">OR(D102=WF_START_PERIOD,D102=WF_END_PERIOD)</f>
        <v>0</v>
      </c>
      <c r="AC102" s="0" t="str">
        <f aca="false">B102&amp;"|"&amp;D102</f>
        <v>4256|20220630</v>
      </c>
    </row>
    <row r="103" customFormat="false" ht="15" hidden="false" customHeight="false" outlineLevel="0" collapsed="false">
      <c r="A103" s="0" t="n">
        <f aca="false">RawFinancials!A103</f>
        <v>100</v>
      </c>
      <c r="B103" s="0" t="n">
        <f aca="false">RawFinancials!C103</f>
        <v>59086</v>
      </c>
      <c r="C103" s="0" t="str">
        <f aca="false">RawFinancials!P103</f>
        <v>PRIMARY BANK</v>
      </c>
      <c r="D103" s="0" t="n">
        <f aca="false">RawFinancials!W103</f>
        <v>20220630</v>
      </c>
      <c r="E103" s="0" t="str">
        <f aca="false">RawFinancials!Z103</f>
        <v>NH</v>
      </c>
      <c r="F103" s="0" t="n">
        <f aca="false">RawFinancials!B103</f>
        <v>670113</v>
      </c>
      <c r="G103" s="0" t="n">
        <f aca="false">RawFinancials!U103</f>
        <v>341</v>
      </c>
      <c r="H103" s="0" t="n">
        <f aca="false">RawFinancials!O103</f>
        <v>2111</v>
      </c>
      <c r="I103" s="0" t="n">
        <f aca="false">IF(AND(ISNUMBER(G103),ISNUMBER(H103)),G103+H103,"")</f>
        <v>2452</v>
      </c>
      <c r="J103" s="0" t="n">
        <f aca="false">RawFinancials!D103</f>
        <v>597579</v>
      </c>
      <c r="K103" s="0" t="n">
        <f aca="false">RawFinancials!F103</f>
        <v>69673</v>
      </c>
      <c r="L103" s="0" t="n">
        <f aca="false">RawFinancials!L103</f>
        <v>534095</v>
      </c>
      <c r="M103" s="0" t="n">
        <f aca="false">RawFinancials!N103</f>
        <v>420476</v>
      </c>
      <c r="N103" s="13" t="n">
        <f aca="false">RawFinancials!X103</f>
        <v>1.26067262302423</v>
      </c>
      <c r="O103" s="13" t="n">
        <f aca="false">RawFinancials!V103</f>
        <v>13.6305606679535</v>
      </c>
      <c r="P103" s="13" t="n">
        <f aca="false">IF(AND(ISNUMBER(L103),L103&lt;&gt;0,ISNUMBER(M103)),100*M103/L103,"")</f>
        <v>78.7268182626686</v>
      </c>
      <c r="Q103" s="13" t="n">
        <f aca="false">IF(AND(ISNUMBER(F103),F103&lt;&gt;0,ISNUMBER(K103)),100*K103/F103,"")</f>
        <v>10.3972016659877</v>
      </c>
      <c r="R103" s="11" t="b">
        <f aca="false">AND(ISNUMBER(F103),F103&gt;0,ISNUMBER(G103),G103&gt;=0,ISNUMBER(H103),H103&gt;=0)</f>
        <v>1</v>
      </c>
      <c r="S103" s="13" t="n">
        <f aca="false">IF(R103,100*I103/F103,"")</f>
        <v>0.365908436338349</v>
      </c>
      <c r="T103" s="11" t="b">
        <f aca="false">NOT(AND(OR(AND(ISBLANK(RawFinancials!B103),ISBLANK(_RawBaseline!B100)),AND(ISNUMBER(RawFinancials!B103),ISNUMBER(_RawBaseline!B100),RawFinancials!B103=_RawBaseline!B100)),OR(AND(ISBLANK(RawFinancials!U103),ISBLANK(_RawBaseline!U100)),AND(ISNUMBER(RawFinancials!U103),ISNUMBER(_RawBaseline!U100),RawFinancials!U103=_RawBaseline!U100)),OR(AND(ISBLANK(RawFinancials!O103),ISBLANK(_RawBaseline!O100)),AND(ISNUMBER(RawFinancials!O103),ISNUMBER(_RawBaseline!O100),RawFinancials!O103=_RawBaseline!O100))))</f>
        <v>0</v>
      </c>
      <c r="U103" s="13" t="n">
        <f aca="false">IF(AND(D103=WF_START_PERIOD,R103,COUNTIFS($B$5:$B$750,B103,$D$5:$D$750,WF_END_PERIOD,$R$5:$R$750,TRUE())&gt;0),SUMIFS($S$5:$S$750,$B$5:$B$750,B103,$D$5:$D$750,WF_END_PERIOD,$R$5:$R$750,TRUE()),0)</f>
        <v>0</v>
      </c>
      <c r="V103" s="0" t="str">
        <f aca="false">IF(AND(D103=WF_START_PERIOD,COUNTIFS($B$5:$B$750,B103,$D$5:$D$750,WF_END_PERIOD)&gt;0),INDEX($E$5:$E$750,MATCH(B103&amp;"|"&amp;WF_END_PERIOD,$AC$5:$AC$750,0)),"")</f>
        <v/>
      </c>
      <c r="W103" s="11" t="b">
        <f aca="false">COUNTIFS($B$5:$B$750,B103,$D$5:$D$750,WF_START_PERIOD,$R$5:$R$750,TRUE())&gt;0</f>
        <v>1</v>
      </c>
      <c r="X103" s="11" t="b">
        <f aca="false">COUNTIFS($B$5:$B$750,B103,$D$5:$D$750,WF_END_PERIOD,$R$5:$R$750,TRUE())&gt;0</f>
        <v>1</v>
      </c>
      <c r="Y103" s="0" t="str">
        <f aca="false">IF(AND(D103=WF_END_PERIOD,COUNTIFS($B$5:$B$750,B103,$D$5:$D$750,WF_START_PERIOD)&gt;0),INDEX($E$5:$E$750,MATCH(B103&amp;"|"&amp;WF_START_PERIOD,$AC$5:$AC$750,0)),"")</f>
        <v/>
      </c>
      <c r="Z103" s="0" t="str">
        <f aca="false">IF(AND(D103=WF_END_PERIOD,R103),1+COUNTIFS($D$5:$D$750,WF_END_PERIOD,$E$5:$E$750,E103,$R$5:$R$750,TRUE(),$S$5:$S$750,"&gt;"&amp;S103)+COUNTIFS($D$5:$D$750,WF_END_PERIOD,$E$5:$E$750,E103,$R$5:$R$750,TRUE(),$S$5:$S$750,S103,$B$5:$B$750,"&lt;"&amp;B103),"")</f>
        <v/>
      </c>
      <c r="AA103" s="0" t="str">
        <f aca="false">IF(AND(D103=WF_END_PERIOD,R103,Z103&lt;&gt;1),1+COUNTIFS($D$5:$D$750,WF_END_PERIOD,$R$5:$R$750,TRUE(),$Z$5:$Z$750,"&lt;&gt;1",$S$5:$S$750,"&gt;"&amp;S103)+COUNTIFS($D$5:$D$750,WF_END_PERIOD,$R$5:$R$750,TRUE(),$Z$5:$Z$750,"&lt;&gt;1",$S$5:$S$750,S103,$B$5:$B$750,"&lt;"&amp;B103),"")</f>
        <v/>
      </c>
      <c r="AB103" s="11" t="b">
        <f aca="false">OR(D103=WF_START_PERIOD,D103=WF_END_PERIOD)</f>
        <v>0</v>
      </c>
      <c r="AC103" s="0" t="str">
        <f aca="false">B103&amp;"|"&amp;D103</f>
        <v>59086|20220630</v>
      </c>
    </row>
    <row r="104" customFormat="false" ht="15" hidden="false" customHeight="false" outlineLevel="0" collapsed="false">
      <c r="A104" s="0" t="n">
        <f aca="false">RawFinancials!A104</f>
        <v>101</v>
      </c>
      <c r="B104" s="0" t="n">
        <f aca="false">RawFinancials!C104</f>
        <v>59176</v>
      </c>
      <c r="C104" s="0" t="str">
        <f aca="false">RawFinancials!P104</f>
        <v>THE MILLYARD BANK</v>
      </c>
      <c r="D104" s="0" t="n">
        <f aca="false">RawFinancials!W104</f>
        <v>20220630</v>
      </c>
      <c r="E104" s="0" t="str">
        <f aca="false">RawFinancials!Z104</f>
        <v>NH</v>
      </c>
      <c r="F104" s="0" t="n">
        <f aca="false">RawFinancials!B104</f>
        <v>167702</v>
      </c>
      <c r="G104" s="0" t="n">
        <f aca="false">RawFinancials!U104</f>
        <v>0</v>
      </c>
      <c r="H104" s="0" t="n">
        <f aca="false">RawFinancials!O104</f>
        <v>39</v>
      </c>
      <c r="I104" s="0" t="n">
        <f aca="false">IF(AND(ISNUMBER(G104),ISNUMBER(H104)),G104+H104,"")</f>
        <v>39</v>
      </c>
      <c r="J104" s="0" t="n">
        <f aca="false">RawFinancials!D104</f>
        <v>142565</v>
      </c>
      <c r="K104" s="0" t="n">
        <f aca="false">RawFinancials!F104</f>
        <v>21565</v>
      </c>
      <c r="L104" s="0" t="n">
        <f aca="false">RawFinancials!L104</f>
        <v>124324</v>
      </c>
      <c r="M104" s="0" t="n">
        <f aca="false">RawFinancials!N104</f>
        <v>106199</v>
      </c>
      <c r="N104" s="13" t="n">
        <f aca="false">RawFinancials!X104</f>
        <v>0.166567358214615</v>
      </c>
      <c r="O104" s="13" t="n">
        <f aca="false">RawFinancials!V104</f>
        <v>18.8872412922766</v>
      </c>
      <c r="P104" s="13" t="n">
        <f aca="false">IF(AND(ISNUMBER(L104),L104&lt;&gt;0,ISNUMBER(M104)),100*M104/L104,"")</f>
        <v>85.4211576204112</v>
      </c>
      <c r="Q104" s="13" t="n">
        <f aca="false">IF(AND(ISNUMBER(F104),F104&lt;&gt;0,ISNUMBER(K104)),100*K104/F104,"")</f>
        <v>12.8591191518288</v>
      </c>
      <c r="R104" s="11" t="b">
        <f aca="false">AND(ISNUMBER(F104),F104&gt;0,ISNUMBER(G104),G104&gt;=0,ISNUMBER(H104),H104&gt;=0)</f>
        <v>1</v>
      </c>
      <c r="S104" s="13" t="n">
        <f aca="false">IF(R104,100*I104/F104,"")</f>
        <v>0.0232555366065998</v>
      </c>
      <c r="T104" s="11" t="b">
        <f aca="false">NOT(AND(OR(AND(ISBLANK(RawFinancials!B104),ISBLANK(_RawBaseline!B101)),AND(ISNUMBER(RawFinancials!B104),ISNUMBER(_RawBaseline!B101),RawFinancials!B104=_RawBaseline!B101)),OR(AND(ISBLANK(RawFinancials!U104),ISBLANK(_RawBaseline!U101)),AND(ISNUMBER(RawFinancials!U104),ISNUMBER(_RawBaseline!U101),RawFinancials!U104=_RawBaseline!U101)),OR(AND(ISBLANK(RawFinancials!O104),ISBLANK(_RawBaseline!O101)),AND(ISNUMBER(RawFinancials!O104),ISNUMBER(_RawBaseline!O101),RawFinancials!O104=_RawBaseline!O101))))</f>
        <v>0</v>
      </c>
      <c r="U104" s="13" t="n">
        <f aca="false">IF(AND(D104=WF_START_PERIOD,R104,COUNTIFS($B$5:$B$750,B104,$D$5:$D$750,WF_END_PERIOD,$R$5:$R$750,TRUE())&gt;0),SUMIFS($S$5:$S$750,$B$5:$B$750,B104,$D$5:$D$750,WF_END_PERIOD,$R$5:$R$750,TRUE()),0)</f>
        <v>0</v>
      </c>
      <c r="V104" s="0" t="str">
        <f aca="false">IF(AND(D104=WF_START_PERIOD,COUNTIFS($B$5:$B$750,B104,$D$5:$D$750,WF_END_PERIOD)&gt;0),INDEX($E$5:$E$750,MATCH(B104&amp;"|"&amp;WF_END_PERIOD,$AC$5:$AC$750,0)),"")</f>
        <v/>
      </c>
      <c r="W104" s="11" t="b">
        <f aca="false">COUNTIFS($B$5:$B$750,B104,$D$5:$D$750,WF_START_PERIOD,$R$5:$R$750,TRUE())&gt;0</f>
        <v>1</v>
      </c>
      <c r="X104" s="11" t="b">
        <f aca="false">COUNTIFS($B$5:$B$750,B104,$D$5:$D$750,WF_END_PERIOD,$R$5:$R$750,TRUE())&gt;0</f>
        <v>1</v>
      </c>
      <c r="Y104" s="0" t="str">
        <f aca="false">IF(AND(D104=WF_END_PERIOD,COUNTIFS($B$5:$B$750,B104,$D$5:$D$750,WF_START_PERIOD)&gt;0),INDEX($E$5:$E$750,MATCH(B104&amp;"|"&amp;WF_START_PERIOD,$AC$5:$AC$750,0)),"")</f>
        <v/>
      </c>
      <c r="Z104" s="0" t="str">
        <f aca="false">IF(AND(D104=WF_END_PERIOD,R104),1+COUNTIFS($D$5:$D$750,WF_END_PERIOD,$E$5:$E$750,E104,$R$5:$R$750,TRUE(),$S$5:$S$750,"&gt;"&amp;S104)+COUNTIFS($D$5:$D$750,WF_END_PERIOD,$E$5:$E$750,E104,$R$5:$R$750,TRUE(),$S$5:$S$750,S104,$B$5:$B$750,"&lt;"&amp;B104),"")</f>
        <v/>
      </c>
      <c r="AA104" s="0" t="str">
        <f aca="false">IF(AND(D104=WF_END_PERIOD,R104,Z104&lt;&gt;1),1+COUNTIFS($D$5:$D$750,WF_END_PERIOD,$R$5:$R$750,TRUE(),$Z$5:$Z$750,"&lt;&gt;1",$S$5:$S$750,"&gt;"&amp;S104)+COUNTIFS($D$5:$D$750,WF_END_PERIOD,$R$5:$R$750,TRUE(),$Z$5:$Z$750,"&lt;&gt;1",$S$5:$S$750,S104,$B$5:$B$750,"&lt;"&amp;B104),"")</f>
        <v/>
      </c>
      <c r="AB104" s="11" t="b">
        <f aca="false">OR(D104=WF_START_PERIOD,D104=WF_END_PERIOD)</f>
        <v>0</v>
      </c>
      <c r="AC104" s="0" t="str">
        <f aca="false">B104&amp;"|"&amp;D104</f>
        <v>59176|20220630</v>
      </c>
    </row>
    <row r="105" customFormat="false" ht="15" hidden="false" customHeight="false" outlineLevel="0" collapsed="false">
      <c r="A105" s="0" t="n">
        <f aca="false">RawFinancials!A105</f>
        <v>102</v>
      </c>
      <c r="B105" s="0" t="n">
        <f aca="false">RawFinancials!C105</f>
        <v>6271</v>
      </c>
      <c r="C105" s="0" t="str">
        <f aca="false">RawFinancials!P105</f>
        <v>COMMUNITY NATIONAL BANK</v>
      </c>
      <c r="D105" s="0" t="n">
        <f aca="false">RawFinancials!W105</f>
        <v>20220630</v>
      </c>
      <c r="E105" s="0" t="str">
        <f aca="false">RawFinancials!Z105</f>
        <v>VT</v>
      </c>
      <c r="F105" s="0" t="n">
        <f aca="false">RawFinancials!B105</f>
        <v>998962</v>
      </c>
      <c r="G105" s="0" t="n">
        <f aca="false">RawFinancials!U105</f>
        <v>256</v>
      </c>
      <c r="H105" s="0" t="n">
        <f aca="false">RawFinancials!O105</f>
        <v>4860</v>
      </c>
      <c r="I105" s="0" t="n">
        <f aca="false">IF(AND(ISNUMBER(G105),ISNUMBER(H105)),G105+H105,"")</f>
        <v>5116</v>
      </c>
      <c r="J105" s="0" t="n">
        <f aca="false">RawFinancials!D105</f>
        <v>873100</v>
      </c>
      <c r="K105" s="0" t="n">
        <f aca="false">RawFinancials!F105</f>
        <v>86133</v>
      </c>
      <c r="L105" s="0" t="n">
        <f aca="false">RawFinancials!L105</f>
        <v>704156</v>
      </c>
      <c r="M105" s="0" t="n">
        <f aca="false">RawFinancials!N105</f>
        <v>539059</v>
      </c>
      <c r="N105" s="13" t="n">
        <f aca="false">RawFinancials!X105</f>
        <v>1.1474856564293</v>
      </c>
      <c r="O105" s="13" t="n">
        <f aca="false">RawFinancials!V105</f>
        <v>15.083968855691</v>
      </c>
      <c r="P105" s="13" t="n">
        <f aca="false">IF(AND(ISNUMBER(L105),L105&lt;&gt;0,ISNUMBER(M105)),100*M105/L105,"")</f>
        <v>76.5539170297491</v>
      </c>
      <c r="Q105" s="13" t="n">
        <f aca="false">IF(AND(ISNUMBER(F105),F105&lt;&gt;0,ISNUMBER(K105)),100*K105/F105,"")</f>
        <v>8.62224989539142</v>
      </c>
      <c r="R105" s="11" t="b">
        <f aca="false">AND(ISNUMBER(F105),F105&gt;0,ISNUMBER(G105),G105&gt;=0,ISNUMBER(H105),H105&gt;=0)</f>
        <v>1</v>
      </c>
      <c r="S105" s="13" t="n">
        <f aca="false">IF(R105,100*I105/F105,"")</f>
        <v>0.512131592593112</v>
      </c>
      <c r="T105" s="11" t="b">
        <f aca="false">NOT(AND(OR(AND(ISBLANK(RawFinancials!B105),ISBLANK(_RawBaseline!B102)),AND(ISNUMBER(RawFinancials!B105),ISNUMBER(_RawBaseline!B102),RawFinancials!B105=_RawBaseline!B102)),OR(AND(ISBLANK(RawFinancials!U105),ISBLANK(_RawBaseline!U102)),AND(ISNUMBER(RawFinancials!U105),ISNUMBER(_RawBaseline!U102),RawFinancials!U105=_RawBaseline!U102)),OR(AND(ISBLANK(RawFinancials!O105),ISBLANK(_RawBaseline!O102)),AND(ISNUMBER(RawFinancials!O105),ISNUMBER(_RawBaseline!O102),RawFinancials!O105=_RawBaseline!O102))))</f>
        <v>0</v>
      </c>
      <c r="U105" s="13" t="n">
        <f aca="false">IF(AND(D105=WF_START_PERIOD,R105,COUNTIFS($B$5:$B$750,B105,$D$5:$D$750,WF_END_PERIOD,$R$5:$R$750,TRUE())&gt;0),SUMIFS($S$5:$S$750,$B$5:$B$750,B105,$D$5:$D$750,WF_END_PERIOD,$R$5:$R$750,TRUE()),0)</f>
        <v>0</v>
      </c>
      <c r="V105" s="0" t="str">
        <f aca="false">IF(AND(D105=WF_START_PERIOD,COUNTIFS($B$5:$B$750,B105,$D$5:$D$750,WF_END_PERIOD)&gt;0),INDEX($E$5:$E$750,MATCH(B105&amp;"|"&amp;WF_END_PERIOD,$AC$5:$AC$750,0)),"")</f>
        <v/>
      </c>
      <c r="W105" s="11" t="b">
        <f aca="false">COUNTIFS($B$5:$B$750,B105,$D$5:$D$750,WF_START_PERIOD,$R$5:$R$750,TRUE())&gt;0</f>
        <v>1</v>
      </c>
      <c r="X105" s="11" t="b">
        <f aca="false">COUNTIFS($B$5:$B$750,B105,$D$5:$D$750,WF_END_PERIOD,$R$5:$R$750,TRUE())&gt;0</f>
        <v>1</v>
      </c>
      <c r="Y105" s="0" t="str">
        <f aca="false">IF(AND(D105=WF_END_PERIOD,COUNTIFS($B$5:$B$750,B105,$D$5:$D$750,WF_START_PERIOD)&gt;0),INDEX($E$5:$E$750,MATCH(B105&amp;"|"&amp;WF_START_PERIOD,$AC$5:$AC$750,0)),"")</f>
        <v/>
      </c>
      <c r="Z105" s="0" t="str">
        <f aca="false">IF(AND(D105=WF_END_PERIOD,R105),1+COUNTIFS($D$5:$D$750,WF_END_PERIOD,$E$5:$E$750,E105,$R$5:$R$750,TRUE(),$S$5:$S$750,"&gt;"&amp;S105)+COUNTIFS($D$5:$D$750,WF_END_PERIOD,$E$5:$E$750,E105,$R$5:$R$750,TRUE(),$S$5:$S$750,S105,$B$5:$B$750,"&lt;"&amp;B105),"")</f>
        <v/>
      </c>
      <c r="AA105" s="0" t="str">
        <f aca="false">IF(AND(D105=WF_END_PERIOD,R105,Z105&lt;&gt;1),1+COUNTIFS($D$5:$D$750,WF_END_PERIOD,$R$5:$R$750,TRUE(),$Z$5:$Z$750,"&lt;&gt;1",$S$5:$S$750,"&gt;"&amp;S105)+COUNTIFS($D$5:$D$750,WF_END_PERIOD,$R$5:$R$750,TRUE(),$Z$5:$Z$750,"&lt;&gt;1",$S$5:$S$750,S105,$B$5:$B$750,"&lt;"&amp;B105),"")</f>
        <v/>
      </c>
      <c r="AB105" s="11" t="b">
        <f aca="false">OR(D105=WF_START_PERIOD,D105=WF_END_PERIOD)</f>
        <v>0</v>
      </c>
      <c r="AC105" s="0" t="str">
        <f aca="false">B105&amp;"|"&amp;D105</f>
        <v>6271|20220630</v>
      </c>
    </row>
    <row r="106" customFormat="false" ht="15" hidden="false" customHeight="false" outlineLevel="0" collapsed="false">
      <c r="A106" s="0" t="n">
        <f aca="false">RawFinancials!A106</f>
        <v>103</v>
      </c>
      <c r="B106" s="0" t="n">
        <f aca="false">RawFinancials!C106</f>
        <v>6275</v>
      </c>
      <c r="C106" s="0" t="str">
        <f aca="false">RawFinancials!P106</f>
        <v>THE NATIONAL BANK OF MIDDLEBURY</v>
      </c>
      <c r="D106" s="0" t="n">
        <f aca="false">RawFinancials!W106</f>
        <v>20220630</v>
      </c>
      <c r="E106" s="0" t="str">
        <f aca="false">RawFinancials!Z106</f>
        <v>VT</v>
      </c>
      <c r="F106" s="0" t="n">
        <f aca="false">RawFinancials!B106</f>
        <v>532831</v>
      </c>
      <c r="G106" s="0" t="n">
        <f aca="false">RawFinancials!U106</f>
        <v>0</v>
      </c>
      <c r="H106" s="0" t="n">
        <f aca="false">RawFinancials!O106</f>
        <v>1592</v>
      </c>
      <c r="I106" s="0" t="n">
        <f aca="false">IF(AND(ISNUMBER(G106),ISNUMBER(H106)),G106+H106,"")</f>
        <v>1592</v>
      </c>
      <c r="J106" s="0" t="n">
        <f aca="false">RawFinancials!D106</f>
        <v>476559</v>
      </c>
      <c r="K106" s="0" t="n">
        <f aca="false">RawFinancials!F106</f>
        <v>27657</v>
      </c>
      <c r="L106" s="0" t="n">
        <f aca="false">RawFinancials!L106</f>
        <v>291783</v>
      </c>
      <c r="M106" s="0" t="n">
        <f aca="false">RawFinancials!N106</f>
        <v>243597</v>
      </c>
      <c r="N106" s="13" t="n">
        <f aca="false">RawFinancials!X106</f>
        <v>0.557908413754798</v>
      </c>
      <c r="O106" s="13" t="n">
        <f aca="false">RawFinancials!V106</f>
        <v>16.2688855607059</v>
      </c>
      <c r="P106" s="13" t="n">
        <f aca="false">IF(AND(ISNUMBER(L106),L106&lt;&gt;0,ISNUMBER(M106)),100*M106/L106,"")</f>
        <v>83.48567257174</v>
      </c>
      <c r="Q106" s="13" t="n">
        <f aca="false">IF(AND(ISNUMBER(F106),F106&lt;&gt;0,ISNUMBER(K106)),100*K106/F106,"")</f>
        <v>5.19057637412238</v>
      </c>
      <c r="R106" s="11" t="b">
        <f aca="false">AND(ISNUMBER(F106),F106&gt;0,ISNUMBER(G106),G106&gt;=0,ISNUMBER(H106),H106&gt;=0)</f>
        <v>1</v>
      </c>
      <c r="S106" s="13" t="n">
        <f aca="false">IF(R106,100*I106/F106,"")</f>
        <v>0.298781414745013</v>
      </c>
      <c r="T106" s="11" t="b">
        <f aca="false">NOT(AND(OR(AND(ISBLANK(RawFinancials!B106),ISBLANK(_RawBaseline!B103)),AND(ISNUMBER(RawFinancials!B106),ISNUMBER(_RawBaseline!B103),RawFinancials!B106=_RawBaseline!B103)),OR(AND(ISBLANK(RawFinancials!U106),ISBLANK(_RawBaseline!U103)),AND(ISNUMBER(RawFinancials!U106),ISNUMBER(_RawBaseline!U103),RawFinancials!U106=_RawBaseline!U103)),OR(AND(ISBLANK(RawFinancials!O106),ISBLANK(_RawBaseline!O103)),AND(ISNUMBER(RawFinancials!O106),ISNUMBER(_RawBaseline!O103),RawFinancials!O106=_RawBaseline!O103))))</f>
        <v>0</v>
      </c>
      <c r="U106" s="13" t="n">
        <f aca="false">IF(AND(D106=WF_START_PERIOD,R106,COUNTIFS($B$5:$B$750,B106,$D$5:$D$750,WF_END_PERIOD,$R$5:$R$750,TRUE())&gt;0),SUMIFS($S$5:$S$750,$B$5:$B$750,B106,$D$5:$D$750,WF_END_PERIOD,$R$5:$R$750,TRUE()),0)</f>
        <v>0</v>
      </c>
      <c r="V106" s="0" t="str">
        <f aca="false">IF(AND(D106=WF_START_PERIOD,COUNTIFS($B$5:$B$750,B106,$D$5:$D$750,WF_END_PERIOD)&gt;0),INDEX($E$5:$E$750,MATCH(B106&amp;"|"&amp;WF_END_PERIOD,$AC$5:$AC$750,0)),"")</f>
        <v/>
      </c>
      <c r="W106" s="11" t="b">
        <f aca="false">COUNTIFS($B$5:$B$750,B106,$D$5:$D$750,WF_START_PERIOD,$R$5:$R$750,TRUE())&gt;0</f>
        <v>1</v>
      </c>
      <c r="X106" s="11" t="b">
        <f aca="false">COUNTIFS($B$5:$B$750,B106,$D$5:$D$750,WF_END_PERIOD,$R$5:$R$750,TRUE())&gt;0</f>
        <v>1</v>
      </c>
      <c r="Y106" s="0" t="str">
        <f aca="false">IF(AND(D106=WF_END_PERIOD,COUNTIFS($B$5:$B$750,B106,$D$5:$D$750,WF_START_PERIOD)&gt;0),INDEX($E$5:$E$750,MATCH(B106&amp;"|"&amp;WF_START_PERIOD,$AC$5:$AC$750,0)),"")</f>
        <v/>
      </c>
      <c r="Z106" s="0" t="str">
        <f aca="false">IF(AND(D106=WF_END_PERIOD,R106),1+COUNTIFS($D$5:$D$750,WF_END_PERIOD,$E$5:$E$750,E106,$R$5:$R$750,TRUE(),$S$5:$S$750,"&gt;"&amp;S106)+COUNTIFS($D$5:$D$750,WF_END_PERIOD,$E$5:$E$750,E106,$R$5:$R$750,TRUE(),$S$5:$S$750,S106,$B$5:$B$750,"&lt;"&amp;B106),"")</f>
        <v/>
      </c>
      <c r="AA106" s="0" t="str">
        <f aca="false">IF(AND(D106=WF_END_PERIOD,R106,Z106&lt;&gt;1),1+COUNTIFS($D$5:$D$750,WF_END_PERIOD,$R$5:$R$750,TRUE(),$Z$5:$Z$750,"&lt;&gt;1",$S$5:$S$750,"&gt;"&amp;S106)+COUNTIFS($D$5:$D$750,WF_END_PERIOD,$R$5:$R$750,TRUE(),$Z$5:$Z$750,"&lt;&gt;1",$S$5:$S$750,S106,$B$5:$B$750,"&lt;"&amp;B106),"")</f>
        <v/>
      </c>
      <c r="AB106" s="11" t="b">
        <f aca="false">OR(D106=WF_START_PERIOD,D106=WF_END_PERIOD)</f>
        <v>0</v>
      </c>
      <c r="AC106" s="0" t="str">
        <f aca="false">B106&amp;"|"&amp;D106</f>
        <v>6275|20220630</v>
      </c>
    </row>
    <row r="107" customFormat="false" ht="15" hidden="false" customHeight="false" outlineLevel="0" collapsed="false">
      <c r="A107" s="0" t="n">
        <f aca="false">RawFinancials!A107</f>
        <v>104</v>
      </c>
      <c r="B107" s="0" t="n">
        <f aca="false">RawFinancials!C107</f>
        <v>6280</v>
      </c>
      <c r="C107" s="0" t="str">
        <f aca="false">RawFinancials!P107</f>
        <v>THE FIRST NATIONAL BANK OF ORWELL</v>
      </c>
      <c r="D107" s="0" t="n">
        <f aca="false">RawFinancials!W107</f>
        <v>20220630</v>
      </c>
      <c r="E107" s="0" t="str">
        <f aca="false">RawFinancials!Z107</f>
        <v>VT</v>
      </c>
      <c r="F107" s="0" t="n">
        <f aca="false">RawFinancials!B107</f>
        <v>86239</v>
      </c>
      <c r="G107" s="0" t="n">
        <f aca="false">RawFinancials!U107</f>
        <v>0</v>
      </c>
      <c r="H107" s="0" t="n">
        <f aca="false">RawFinancials!O107</f>
        <v>755</v>
      </c>
      <c r="I107" s="0" t="n">
        <f aca="false">IF(AND(ISNUMBER(G107),ISNUMBER(H107)),G107+H107,"")</f>
        <v>755</v>
      </c>
      <c r="J107" s="0" t="n">
        <f aca="false">RawFinancials!D107</f>
        <v>77591</v>
      </c>
      <c r="K107" s="0" t="n">
        <f aca="false">RawFinancials!F107</f>
        <v>8210</v>
      </c>
      <c r="L107" s="0" t="n">
        <f aca="false">RawFinancials!L107</f>
        <v>62135</v>
      </c>
      <c r="M107" s="0" t="n">
        <f aca="false">RawFinancials!N107</f>
        <v>53194</v>
      </c>
      <c r="N107" s="13" t="n">
        <f aca="false">RawFinancials!X107</f>
        <v>1.36158225247961</v>
      </c>
      <c r="O107" s="13" t="n">
        <f aca="false">RawFinancials!V107</f>
        <v>0</v>
      </c>
      <c r="P107" s="13" t="n">
        <f aca="false">IF(AND(ISNUMBER(L107),L107&lt;&gt;0,ISNUMBER(M107)),100*M107/L107,"")</f>
        <v>85.6103645288485</v>
      </c>
      <c r="Q107" s="13" t="n">
        <f aca="false">IF(AND(ISNUMBER(F107),F107&lt;&gt;0,ISNUMBER(K107)),100*K107/F107,"")</f>
        <v>9.52005473161795</v>
      </c>
      <c r="R107" s="11" t="b">
        <f aca="false">AND(ISNUMBER(F107),F107&gt;0,ISNUMBER(G107),G107&gt;=0,ISNUMBER(H107),H107&gt;=0)</f>
        <v>1</v>
      </c>
      <c r="S107" s="13" t="n">
        <f aca="false">IF(R107,100*I107/F107,"")</f>
        <v>0.875473973492272</v>
      </c>
      <c r="T107" s="11" t="b">
        <f aca="false">NOT(AND(OR(AND(ISBLANK(RawFinancials!B107),ISBLANK(_RawBaseline!B104)),AND(ISNUMBER(RawFinancials!B107),ISNUMBER(_RawBaseline!B104),RawFinancials!B107=_RawBaseline!B104)),OR(AND(ISBLANK(RawFinancials!U107),ISBLANK(_RawBaseline!U104)),AND(ISNUMBER(RawFinancials!U107),ISNUMBER(_RawBaseline!U104),RawFinancials!U107=_RawBaseline!U104)),OR(AND(ISBLANK(RawFinancials!O107),ISBLANK(_RawBaseline!O104)),AND(ISNUMBER(RawFinancials!O107),ISNUMBER(_RawBaseline!O104),RawFinancials!O107=_RawBaseline!O104))))</f>
        <v>0</v>
      </c>
      <c r="U107" s="13" t="n">
        <f aca="false">IF(AND(D107=WF_START_PERIOD,R107,COUNTIFS($B$5:$B$750,B107,$D$5:$D$750,WF_END_PERIOD,$R$5:$R$750,TRUE())&gt;0),SUMIFS($S$5:$S$750,$B$5:$B$750,B107,$D$5:$D$750,WF_END_PERIOD,$R$5:$R$750,TRUE()),0)</f>
        <v>0</v>
      </c>
      <c r="V107" s="0" t="str">
        <f aca="false">IF(AND(D107=WF_START_PERIOD,COUNTIFS($B$5:$B$750,B107,$D$5:$D$750,WF_END_PERIOD)&gt;0),INDEX($E$5:$E$750,MATCH(B107&amp;"|"&amp;WF_END_PERIOD,$AC$5:$AC$750,0)),"")</f>
        <v/>
      </c>
      <c r="W107" s="11" t="b">
        <f aca="false">COUNTIFS($B$5:$B$750,B107,$D$5:$D$750,WF_START_PERIOD,$R$5:$R$750,TRUE())&gt;0</f>
        <v>1</v>
      </c>
      <c r="X107" s="11" t="b">
        <f aca="false">COUNTIFS($B$5:$B$750,B107,$D$5:$D$750,WF_END_PERIOD,$R$5:$R$750,TRUE())&gt;0</f>
        <v>1</v>
      </c>
      <c r="Y107" s="0" t="str">
        <f aca="false">IF(AND(D107=WF_END_PERIOD,COUNTIFS($B$5:$B$750,B107,$D$5:$D$750,WF_START_PERIOD)&gt;0),INDEX($E$5:$E$750,MATCH(B107&amp;"|"&amp;WF_START_PERIOD,$AC$5:$AC$750,0)),"")</f>
        <v/>
      </c>
      <c r="Z107" s="0" t="str">
        <f aca="false">IF(AND(D107=WF_END_PERIOD,R107),1+COUNTIFS($D$5:$D$750,WF_END_PERIOD,$E$5:$E$750,E107,$R$5:$R$750,TRUE(),$S$5:$S$750,"&gt;"&amp;S107)+COUNTIFS($D$5:$D$750,WF_END_PERIOD,$E$5:$E$750,E107,$R$5:$R$750,TRUE(),$S$5:$S$750,S107,$B$5:$B$750,"&lt;"&amp;B107),"")</f>
        <v/>
      </c>
      <c r="AA107" s="0" t="str">
        <f aca="false">IF(AND(D107=WF_END_PERIOD,R107,Z107&lt;&gt;1),1+COUNTIFS($D$5:$D$750,WF_END_PERIOD,$R$5:$R$750,TRUE(),$Z$5:$Z$750,"&lt;&gt;1",$S$5:$S$750,"&gt;"&amp;S107)+COUNTIFS($D$5:$D$750,WF_END_PERIOD,$R$5:$R$750,TRUE(),$Z$5:$Z$750,"&lt;&gt;1",$S$5:$S$750,S107,$B$5:$B$750,"&lt;"&amp;B107),"")</f>
        <v/>
      </c>
      <c r="AB107" s="11" t="b">
        <f aca="false">OR(D107=WF_START_PERIOD,D107=WF_END_PERIOD)</f>
        <v>0</v>
      </c>
      <c r="AC107" s="0" t="str">
        <f aca="false">B107&amp;"|"&amp;D107</f>
        <v>6280|20220630</v>
      </c>
    </row>
    <row r="108" customFormat="false" ht="15" hidden="false" customHeight="false" outlineLevel="0" collapsed="false">
      <c r="A108" s="0" t="n">
        <f aca="false">RawFinancials!A108</f>
        <v>105</v>
      </c>
      <c r="B108" s="0" t="n">
        <f aca="false">RawFinancials!C108</f>
        <v>11971</v>
      </c>
      <c r="C108" s="0" t="str">
        <f aca="false">RawFinancials!P108</f>
        <v>BAR HARBOR BANK &amp; TRUST</v>
      </c>
      <c r="D108" s="0" t="n">
        <f aca="false">RawFinancials!W108</f>
        <v>20220930</v>
      </c>
      <c r="E108" s="0" t="str">
        <f aca="false">RawFinancials!Z108</f>
        <v>ME</v>
      </c>
      <c r="F108" s="0" t="n">
        <f aca="false">RawFinancials!B108</f>
        <v>3837295</v>
      </c>
      <c r="G108" s="0" t="n">
        <f aca="false">RawFinancials!U108</f>
        <v>258</v>
      </c>
      <c r="H108" s="0" t="n">
        <f aca="false">RawFinancials!O108</f>
        <v>7772</v>
      </c>
      <c r="I108" s="0" t="n">
        <f aca="false">IF(AND(ISNUMBER(G108),ISNUMBER(H108)),G108+H108,"")</f>
        <v>8030</v>
      </c>
      <c r="J108" s="0" t="n">
        <f aca="false">RawFinancials!D108</f>
        <v>3143267</v>
      </c>
      <c r="K108" s="0" t="n">
        <f aca="false">RawFinancials!F108</f>
        <v>434474</v>
      </c>
      <c r="L108" s="0" t="n">
        <f aca="false">RawFinancials!L108</f>
        <v>2851346</v>
      </c>
      <c r="M108" s="0" t="n">
        <f aca="false">RawFinancials!N108</f>
        <v>2481945</v>
      </c>
      <c r="N108" s="13" t="n">
        <f aca="false">RawFinancials!X108</f>
        <v>1.23205511199835</v>
      </c>
      <c r="O108" s="13" t="n">
        <f aca="false">RawFinancials!V108</f>
        <v>13.2170291052592</v>
      </c>
      <c r="P108" s="13" t="n">
        <f aca="false">IF(AND(ISNUMBER(L108),L108&lt;&gt;0,ISNUMBER(M108)),100*M108/L108,"")</f>
        <v>87.0446799511529</v>
      </c>
      <c r="Q108" s="13" t="n">
        <f aca="false">IF(AND(ISNUMBER(F108),F108&lt;&gt;0,ISNUMBER(K108)),100*K108/F108,"")</f>
        <v>11.3224028905779</v>
      </c>
      <c r="R108" s="11" t="b">
        <f aca="false">AND(ISNUMBER(F108),F108&gt;0,ISNUMBER(G108),G108&gt;=0,ISNUMBER(H108),H108&gt;=0)</f>
        <v>1</v>
      </c>
      <c r="S108" s="13" t="n">
        <f aca="false">IF(R108,100*I108/F108,"")</f>
        <v>0.20926199314882</v>
      </c>
      <c r="T108" s="11" t="b">
        <f aca="false">NOT(AND(OR(AND(ISBLANK(RawFinancials!B108),ISBLANK(_RawBaseline!B105)),AND(ISNUMBER(RawFinancials!B108),ISNUMBER(_RawBaseline!B105),RawFinancials!B108=_RawBaseline!B105)),OR(AND(ISBLANK(RawFinancials!U108),ISBLANK(_RawBaseline!U105)),AND(ISNUMBER(RawFinancials!U108),ISNUMBER(_RawBaseline!U105),RawFinancials!U108=_RawBaseline!U105)),OR(AND(ISBLANK(RawFinancials!O108),ISBLANK(_RawBaseline!O105)),AND(ISNUMBER(RawFinancials!O108),ISNUMBER(_RawBaseline!O105),RawFinancials!O108=_RawBaseline!O105))))</f>
        <v>0</v>
      </c>
      <c r="U108" s="13" t="n">
        <f aca="false">IF(AND(D108=WF_START_PERIOD,R108,COUNTIFS($B$5:$B$750,B108,$D$5:$D$750,WF_END_PERIOD,$R$5:$R$750,TRUE())&gt;0),SUMIFS($S$5:$S$750,$B$5:$B$750,B108,$D$5:$D$750,WF_END_PERIOD,$R$5:$R$750,TRUE()),0)</f>
        <v>0</v>
      </c>
      <c r="V108" s="0" t="str">
        <f aca="false">IF(AND(D108=WF_START_PERIOD,COUNTIFS($B$5:$B$750,B108,$D$5:$D$750,WF_END_PERIOD)&gt;0),INDEX($E$5:$E$750,MATCH(B108&amp;"|"&amp;WF_END_PERIOD,$AC$5:$AC$750,0)),"")</f>
        <v/>
      </c>
      <c r="W108" s="11" t="b">
        <f aca="false">COUNTIFS($B$5:$B$750,B108,$D$5:$D$750,WF_START_PERIOD,$R$5:$R$750,TRUE())&gt;0</f>
        <v>1</v>
      </c>
      <c r="X108" s="11" t="b">
        <f aca="false">COUNTIFS($B$5:$B$750,B108,$D$5:$D$750,WF_END_PERIOD,$R$5:$R$750,TRUE())&gt;0</f>
        <v>1</v>
      </c>
      <c r="Y108" s="0" t="str">
        <f aca="false">IF(AND(D108=WF_END_PERIOD,COUNTIFS($B$5:$B$750,B108,$D$5:$D$750,WF_START_PERIOD)&gt;0),INDEX($E$5:$E$750,MATCH(B108&amp;"|"&amp;WF_START_PERIOD,$AC$5:$AC$750,0)),"")</f>
        <v/>
      </c>
      <c r="Z108" s="0" t="str">
        <f aca="false">IF(AND(D108=WF_END_PERIOD,R108),1+COUNTIFS($D$5:$D$750,WF_END_PERIOD,$E$5:$E$750,E108,$R$5:$R$750,TRUE(),$S$5:$S$750,"&gt;"&amp;S108)+COUNTIFS($D$5:$D$750,WF_END_PERIOD,$E$5:$E$750,E108,$R$5:$R$750,TRUE(),$S$5:$S$750,S108,$B$5:$B$750,"&lt;"&amp;B108),"")</f>
        <v/>
      </c>
      <c r="AA108" s="0" t="str">
        <f aca="false">IF(AND(D108=WF_END_PERIOD,R108,Z108&lt;&gt;1),1+COUNTIFS($D$5:$D$750,WF_END_PERIOD,$R$5:$R$750,TRUE(),$Z$5:$Z$750,"&lt;&gt;1",$S$5:$S$750,"&gt;"&amp;S108)+COUNTIFS($D$5:$D$750,WF_END_PERIOD,$R$5:$R$750,TRUE(),$Z$5:$Z$750,"&lt;&gt;1",$S$5:$S$750,S108,$B$5:$B$750,"&lt;"&amp;B108),"")</f>
        <v/>
      </c>
      <c r="AB108" s="11" t="b">
        <f aca="false">OR(D108=WF_START_PERIOD,D108=WF_END_PERIOD)</f>
        <v>0</v>
      </c>
      <c r="AC108" s="0" t="str">
        <f aca="false">B108&amp;"|"&amp;D108</f>
        <v>11971|20220930</v>
      </c>
    </row>
    <row r="109" customFormat="false" ht="15" hidden="false" customHeight="false" outlineLevel="0" collapsed="false">
      <c r="A109" s="0" t="n">
        <f aca="false">RawFinancials!A109</f>
        <v>106</v>
      </c>
      <c r="B109" s="0" t="n">
        <f aca="false">RawFinancials!C109</f>
        <v>12874</v>
      </c>
      <c r="C109" s="0" t="str">
        <f aca="false">RawFinancials!P109</f>
        <v>KATAHDIN TRUST COMPANY</v>
      </c>
      <c r="D109" s="0" t="n">
        <f aca="false">RawFinancials!W109</f>
        <v>20220930</v>
      </c>
      <c r="E109" s="0" t="str">
        <f aca="false">RawFinancials!Z109</f>
        <v>ME</v>
      </c>
      <c r="F109" s="0" t="n">
        <f aca="false">RawFinancials!B109</f>
        <v>965147</v>
      </c>
      <c r="G109" s="0" t="n">
        <f aca="false">RawFinancials!U109</f>
        <v>41</v>
      </c>
      <c r="H109" s="0" t="n">
        <f aca="false">RawFinancials!O109</f>
        <v>577</v>
      </c>
      <c r="I109" s="0" t="n">
        <f aca="false">IF(AND(ISNUMBER(G109),ISNUMBER(H109)),G109+H109,"")</f>
        <v>618</v>
      </c>
      <c r="J109" s="0" t="n">
        <f aca="false">RawFinancials!D109</f>
        <v>851082</v>
      </c>
      <c r="K109" s="0" t="n">
        <f aca="false">RawFinancials!F109</f>
        <v>93663</v>
      </c>
      <c r="L109" s="0" t="n">
        <f aca="false">RawFinancials!L109</f>
        <v>734482</v>
      </c>
      <c r="M109" s="0" t="n">
        <f aca="false">RawFinancials!N109</f>
        <v>586996</v>
      </c>
      <c r="N109" s="13" t="n">
        <f aca="false">RawFinancials!X109</f>
        <v>0.995017130979604</v>
      </c>
      <c r="O109" s="13" t="n">
        <f aca="false">RawFinancials!V109</f>
        <v>15.4817930258654</v>
      </c>
      <c r="P109" s="13" t="n">
        <f aca="false">IF(AND(ISNUMBER(L109),L109&lt;&gt;0,ISNUMBER(M109)),100*M109/L109,"")</f>
        <v>79.9197257386839</v>
      </c>
      <c r="Q109" s="13" t="n">
        <f aca="false">IF(AND(ISNUMBER(F109),F109&lt;&gt;0,ISNUMBER(K109)),100*K109/F109,"")</f>
        <v>9.70453205573866</v>
      </c>
      <c r="R109" s="11" t="b">
        <f aca="false">AND(ISNUMBER(F109),F109&gt;0,ISNUMBER(G109),G109&gt;=0,ISNUMBER(H109),H109&gt;=0)</f>
        <v>1</v>
      </c>
      <c r="S109" s="13" t="n">
        <f aca="false">IF(R109,100*I109/F109,"")</f>
        <v>0.064031696725991</v>
      </c>
      <c r="T109" s="11" t="b">
        <f aca="false">NOT(AND(OR(AND(ISBLANK(RawFinancials!B109),ISBLANK(_RawBaseline!B106)),AND(ISNUMBER(RawFinancials!B109),ISNUMBER(_RawBaseline!B106),RawFinancials!B109=_RawBaseline!B106)),OR(AND(ISBLANK(RawFinancials!U109),ISBLANK(_RawBaseline!U106)),AND(ISNUMBER(RawFinancials!U109),ISNUMBER(_RawBaseline!U106),RawFinancials!U109=_RawBaseline!U106)),OR(AND(ISBLANK(RawFinancials!O109),ISBLANK(_RawBaseline!O106)),AND(ISNUMBER(RawFinancials!O109),ISNUMBER(_RawBaseline!O106),RawFinancials!O109=_RawBaseline!O106))))</f>
        <v>0</v>
      </c>
      <c r="U109" s="13" t="n">
        <f aca="false">IF(AND(D109=WF_START_PERIOD,R109,COUNTIFS($B$5:$B$750,B109,$D$5:$D$750,WF_END_PERIOD,$R$5:$R$750,TRUE())&gt;0),SUMIFS($S$5:$S$750,$B$5:$B$750,B109,$D$5:$D$750,WF_END_PERIOD,$R$5:$R$750,TRUE()),0)</f>
        <v>0</v>
      </c>
      <c r="V109" s="0" t="str">
        <f aca="false">IF(AND(D109=WF_START_PERIOD,COUNTIFS($B$5:$B$750,B109,$D$5:$D$750,WF_END_PERIOD)&gt;0),INDEX($E$5:$E$750,MATCH(B109&amp;"|"&amp;WF_END_PERIOD,$AC$5:$AC$750,0)),"")</f>
        <v/>
      </c>
      <c r="W109" s="11" t="b">
        <f aca="false">COUNTIFS($B$5:$B$750,B109,$D$5:$D$750,WF_START_PERIOD,$R$5:$R$750,TRUE())&gt;0</f>
        <v>1</v>
      </c>
      <c r="X109" s="11" t="b">
        <f aca="false">COUNTIFS($B$5:$B$750,B109,$D$5:$D$750,WF_END_PERIOD,$R$5:$R$750,TRUE())&gt;0</f>
        <v>1</v>
      </c>
      <c r="Y109" s="0" t="str">
        <f aca="false">IF(AND(D109=WF_END_PERIOD,COUNTIFS($B$5:$B$750,B109,$D$5:$D$750,WF_START_PERIOD)&gt;0),INDEX($E$5:$E$750,MATCH(B109&amp;"|"&amp;WF_START_PERIOD,$AC$5:$AC$750,0)),"")</f>
        <v/>
      </c>
      <c r="Z109" s="0" t="str">
        <f aca="false">IF(AND(D109=WF_END_PERIOD,R109),1+COUNTIFS($D$5:$D$750,WF_END_PERIOD,$E$5:$E$750,E109,$R$5:$R$750,TRUE(),$S$5:$S$750,"&gt;"&amp;S109)+COUNTIFS($D$5:$D$750,WF_END_PERIOD,$E$5:$E$750,E109,$R$5:$R$750,TRUE(),$S$5:$S$750,S109,$B$5:$B$750,"&lt;"&amp;B109),"")</f>
        <v/>
      </c>
      <c r="AA109" s="0" t="str">
        <f aca="false">IF(AND(D109=WF_END_PERIOD,R109,Z109&lt;&gt;1),1+COUNTIFS($D$5:$D$750,WF_END_PERIOD,$R$5:$R$750,TRUE(),$Z$5:$Z$750,"&lt;&gt;1",$S$5:$S$750,"&gt;"&amp;S109)+COUNTIFS($D$5:$D$750,WF_END_PERIOD,$R$5:$R$750,TRUE(),$Z$5:$Z$750,"&lt;&gt;1",$S$5:$S$750,S109,$B$5:$B$750,"&lt;"&amp;B109),"")</f>
        <v/>
      </c>
      <c r="AB109" s="11" t="b">
        <f aca="false">OR(D109=WF_START_PERIOD,D109=WF_END_PERIOD)</f>
        <v>0</v>
      </c>
      <c r="AC109" s="0" t="str">
        <f aca="false">B109&amp;"|"&amp;D109</f>
        <v>12874|20220930</v>
      </c>
    </row>
    <row r="110" customFormat="false" ht="15" hidden="false" customHeight="false" outlineLevel="0" collapsed="false">
      <c r="A110" s="0" t="n">
        <f aca="false">RawFinancials!A110</f>
        <v>107</v>
      </c>
      <c r="B110" s="0" t="n">
        <f aca="false">RawFinancials!C110</f>
        <v>13063</v>
      </c>
      <c r="C110" s="0" t="str">
        <f aca="false">RawFinancials!P110</f>
        <v>KENNEBUNK SAVINGS BANK</v>
      </c>
      <c r="D110" s="0" t="n">
        <f aca="false">RawFinancials!W110</f>
        <v>20220930</v>
      </c>
      <c r="E110" s="0" t="str">
        <f aca="false">RawFinancials!Z110</f>
        <v>ME</v>
      </c>
      <c r="F110" s="0" t="n">
        <f aca="false">RawFinancials!B110</f>
        <v>1877331</v>
      </c>
      <c r="G110" s="0" t="n">
        <f aca="false">RawFinancials!U110</f>
        <v>969</v>
      </c>
      <c r="H110" s="0" t="n">
        <f aca="false">RawFinancials!O110</f>
        <v>354</v>
      </c>
      <c r="I110" s="0" t="n">
        <f aca="false">IF(AND(ISNUMBER(G110),ISNUMBER(H110)),G110+H110,"")</f>
        <v>1323</v>
      </c>
      <c r="J110" s="0" t="n">
        <f aca="false">RawFinancials!D110</f>
        <v>1697083</v>
      </c>
      <c r="K110" s="0" t="n">
        <f aca="false">RawFinancials!F110</f>
        <v>131833</v>
      </c>
      <c r="L110" s="0" t="n">
        <f aca="false">RawFinancials!L110</f>
        <v>1297056</v>
      </c>
      <c r="M110" s="0" t="n">
        <f aca="false">RawFinancials!N110</f>
        <v>1247709</v>
      </c>
      <c r="N110" s="13" t="n">
        <f aca="false">RawFinancials!X110</f>
        <v>0.78572349668144</v>
      </c>
      <c r="O110" s="13" t="n">
        <f aca="false">RawFinancials!V110</f>
        <v>0</v>
      </c>
      <c r="P110" s="13" t="n">
        <f aca="false">IF(AND(ISNUMBER(L110),L110&lt;&gt;0,ISNUMBER(M110)),100*M110/L110,"")</f>
        <v>96.1954611057657</v>
      </c>
      <c r="Q110" s="13" t="n">
        <f aca="false">IF(AND(ISNUMBER(F110),F110&lt;&gt;0,ISNUMBER(K110)),100*K110/F110,"")</f>
        <v>7.02236313148827</v>
      </c>
      <c r="R110" s="11" t="b">
        <f aca="false">AND(ISNUMBER(F110),F110&gt;0,ISNUMBER(G110),G110&gt;=0,ISNUMBER(H110),H110&gt;=0)</f>
        <v>1</v>
      </c>
      <c r="S110" s="13" t="n">
        <f aca="false">IF(R110,100*I110/F110,"")</f>
        <v>0.0704723887263354</v>
      </c>
      <c r="T110" s="11" t="b">
        <f aca="false">NOT(AND(OR(AND(ISBLANK(RawFinancials!B110),ISBLANK(_RawBaseline!B107)),AND(ISNUMBER(RawFinancials!B110),ISNUMBER(_RawBaseline!B107),RawFinancials!B110=_RawBaseline!B107)),OR(AND(ISBLANK(RawFinancials!U110),ISBLANK(_RawBaseline!U107)),AND(ISNUMBER(RawFinancials!U110),ISNUMBER(_RawBaseline!U107),RawFinancials!U110=_RawBaseline!U107)),OR(AND(ISBLANK(RawFinancials!O110),ISBLANK(_RawBaseline!O107)),AND(ISNUMBER(RawFinancials!O110),ISNUMBER(_RawBaseline!O107),RawFinancials!O110=_RawBaseline!O107))))</f>
        <v>0</v>
      </c>
      <c r="U110" s="13" t="n">
        <f aca="false">IF(AND(D110=WF_START_PERIOD,R110,COUNTIFS($B$5:$B$750,B110,$D$5:$D$750,WF_END_PERIOD,$R$5:$R$750,TRUE())&gt;0),SUMIFS($S$5:$S$750,$B$5:$B$750,B110,$D$5:$D$750,WF_END_PERIOD,$R$5:$R$750,TRUE()),0)</f>
        <v>0</v>
      </c>
      <c r="V110" s="0" t="str">
        <f aca="false">IF(AND(D110=WF_START_PERIOD,COUNTIFS($B$5:$B$750,B110,$D$5:$D$750,WF_END_PERIOD)&gt;0),INDEX($E$5:$E$750,MATCH(B110&amp;"|"&amp;WF_END_PERIOD,$AC$5:$AC$750,0)),"")</f>
        <v/>
      </c>
      <c r="W110" s="11" t="b">
        <f aca="false">COUNTIFS($B$5:$B$750,B110,$D$5:$D$750,WF_START_PERIOD,$R$5:$R$750,TRUE())&gt;0</f>
        <v>1</v>
      </c>
      <c r="X110" s="11" t="b">
        <f aca="false">COUNTIFS($B$5:$B$750,B110,$D$5:$D$750,WF_END_PERIOD,$R$5:$R$750,TRUE())&gt;0</f>
        <v>1</v>
      </c>
      <c r="Y110" s="0" t="str">
        <f aca="false">IF(AND(D110=WF_END_PERIOD,COUNTIFS($B$5:$B$750,B110,$D$5:$D$750,WF_START_PERIOD)&gt;0),INDEX($E$5:$E$750,MATCH(B110&amp;"|"&amp;WF_START_PERIOD,$AC$5:$AC$750,0)),"")</f>
        <v/>
      </c>
      <c r="Z110" s="0" t="str">
        <f aca="false">IF(AND(D110=WF_END_PERIOD,R110),1+COUNTIFS($D$5:$D$750,WF_END_PERIOD,$E$5:$E$750,E110,$R$5:$R$750,TRUE(),$S$5:$S$750,"&gt;"&amp;S110)+COUNTIFS($D$5:$D$750,WF_END_PERIOD,$E$5:$E$750,E110,$R$5:$R$750,TRUE(),$S$5:$S$750,S110,$B$5:$B$750,"&lt;"&amp;B110),"")</f>
        <v/>
      </c>
      <c r="AA110" s="0" t="str">
        <f aca="false">IF(AND(D110=WF_END_PERIOD,R110,Z110&lt;&gt;1),1+COUNTIFS($D$5:$D$750,WF_END_PERIOD,$R$5:$R$750,TRUE(),$Z$5:$Z$750,"&lt;&gt;1",$S$5:$S$750,"&gt;"&amp;S110)+COUNTIFS($D$5:$D$750,WF_END_PERIOD,$R$5:$R$750,TRUE(),$Z$5:$Z$750,"&lt;&gt;1",$S$5:$S$750,S110,$B$5:$B$750,"&lt;"&amp;B110),"")</f>
        <v/>
      </c>
      <c r="AB110" s="11" t="b">
        <f aca="false">OR(D110=WF_START_PERIOD,D110=WF_END_PERIOD)</f>
        <v>0</v>
      </c>
      <c r="AC110" s="0" t="str">
        <f aca="false">B110&amp;"|"&amp;D110</f>
        <v>13063|20220930</v>
      </c>
    </row>
    <row r="111" customFormat="false" ht="15" hidden="false" customHeight="false" outlineLevel="0" collapsed="false">
      <c r="A111" s="0" t="n">
        <f aca="false">RawFinancials!A111</f>
        <v>108</v>
      </c>
      <c r="B111" s="0" t="n">
        <f aca="false">RawFinancials!C111</f>
        <v>14134</v>
      </c>
      <c r="C111" s="0" t="str">
        <f aca="false">RawFinancials!P111</f>
        <v>PASSUMPSIC SAVINGS BANK</v>
      </c>
      <c r="D111" s="0" t="n">
        <f aca="false">RawFinancials!W111</f>
        <v>20220930</v>
      </c>
      <c r="E111" s="0" t="str">
        <f aca="false">RawFinancials!Z111</f>
        <v>VT</v>
      </c>
      <c r="F111" s="0" t="n">
        <f aca="false">RawFinancials!B111</f>
        <v>838498</v>
      </c>
      <c r="G111" s="0" t="n">
        <f aca="false">RawFinancials!U111</f>
        <v>0</v>
      </c>
      <c r="H111" s="0" t="n">
        <f aca="false">RawFinancials!O111</f>
        <v>6193</v>
      </c>
      <c r="I111" s="0" t="n">
        <f aca="false">IF(AND(ISNUMBER(G111),ISNUMBER(H111)),G111+H111,"")</f>
        <v>6193</v>
      </c>
      <c r="J111" s="0" t="n">
        <f aca="false">RawFinancials!D111</f>
        <v>723891</v>
      </c>
      <c r="K111" s="0" t="n">
        <f aca="false">RawFinancials!F111</f>
        <v>91539</v>
      </c>
      <c r="L111" s="0" t="n">
        <f aca="false">RawFinancials!L111</f>
        <v>626781</v>
      </c>
      <c r="M111" s="0" t="n">
        <f aca="false">RawFinancials!N111</f>
        <v>548807</v>
      </c>
      <c r="N111" s="13" t="n">
        <f aca="false">RawFinancials!X111</f>
        <v>-0.560663297121952</v>
      </c>
      <c r="O111" s="13" t="n">
        <f aca="false">RawFinancials!V111</f>
        <v>17.3760103737375</v>
      </c>
      <c r="P111" s="13" t="n">
        <f aca="false">IF(AND(ISNUMBER(L111),L111&lt;&gt;0,ISNUMBER(M111)),100*M111/L111,"")</f>
        <v>87.5596101349594</v>
      </c>
      <c r="Q111" s="13" t="n">
        <f aca="false">IF(AND(ISNUMBER(F111),F111&lt;&gt;0,ISNUMBER(K111)),100*K111/F111,"")</f>
        <v>10.917020672679</v>
      </c>
      <c r="R111" s="11" t="b">
        <f aca="false">AND(ISNUMBER(F111),F111&gt;0,ISNUMBER(G111),G111&gt;=0,ISNUMBER(H111),H111&gt;=0)</f>
        <v>1</v>
      </c>
      <c r="S111" s="13" t="n">
        <f aca="false">IF(R111,100*I111/F111,"")</f>
        <v>0.738582560721671</v>
      </c>
      <c r="T111" s="11" t="b">
        <f aca="false">NOT(AND(OR(AND(ISBLANK(RawFinancials!B111),ISBLANK(_RawBaseline!B108)),AND(ISNUMBER(RawFinancials!B111),ISNUMBER(_RawBaseline!B108),RawFinancials!B111=_RawBaseline!B108)),OR(AND(ISBLANK(RawFinancials!U111),ISBLANK(_RawBaseline!U108)),AND(ISNUMBER(RawFinancials!U111),ISNUMBER(_RawBaseline!U108),RawFinancials!U111=_RawBaseline!U108)),OR(AND(ISBLANK(RawFinancials!O111),ISBLANK(_RawBaseline!O108)),AND(ISNUMBER(RawFinancials!O111),ISNUMBER(_RawBaseline!O108),RawFinancials!O111=_RawBaseline!O108))))</f>
        <v>0</v>
      </c>
      <c r="U111" s="13" t="n">
        <f aca="false">IF(AND(D111=WF_START_PERIOD,R111,COUNTIFS($B$5:$B$750,B111,$D$5:$D$750,WF_END_PERIOD,$R$5:$R$750,TRUE())&gt;0),SUMIFS($S$5:$S$750,$B$5:$B$750,B111,$D$5:$D$750,WF_END_PERIOD,$R$5:$R$750,TRUE()),0)</f>
        <v>0</v>
      </c>
      <c r="V111" s="0" t="str">
        <f aca="false">IF(AND(D111=WF_START_PERIOD,COUNTIFS($B$5:$B$750,B111,$D$5:$D$750,WF_END_PERIOD)&gt;0),INDEX($E$5:$E$750,MATCH(B111&amp;"|"&amp;WF_END_PERIOD,$AC$5:$AC$750,0)),"")</f>
        <v/>
      </c>
      <c r="W111" s="11" t="b">
        <f aca="false">COUNTIFS($B$5:$B$750,B111,$D$5:$D$750,WF_START_PERIOD,$R$5:$R$750,TRUE())&gt;0</f>
        <v>1</v>
      </c>
      <c r="X111" s="11" t="b">
        <f aca="false">COUNTIFS($B$5:$B$750,B111,$D$5:$D$750,WF_END_PERIOD,$R$5:$R$750,TRUE())&gt;0</f>
        <v>1</v>
      </c>
      <c r="Y111" s="0" t="str">
        <f aca="false">IF(AND(D111=WF_END_PERIOD,COUNTIFS($B$5:$B$750,B111,$D$5:$D$750,WF_START_PERIOD)&gt;0),INDEX($E$5:$E$750,MATCH(B111&amp;"|"&amp;WF_START_PERIOD,$AC$5:$AC$750,0)),"")</f>
        <v/>
      </c>
      <c r="Z111" s="0" t="str">
        <f aca="false">IF(AND(D111=WF_END_PERIOD,R111),1+COUNTIFS($D$5:$D$750,WF_END_PERIOD,$E$5:$E$750,E111,$R$5:$R$750,TRUE(),$S$5:$S$750,"&gt;"&amp;S111)+COUNTIFS($D$5:$D$750,WF_END_PERIOD,$E$5:$E$750,E111,$R$5:$R$750,TRUE(),$S$5:$S$750,S111,$B$5:$B$750,"&lt;"&amp;B111),"")</f>
        <v/>
      </c>
      <c r="AA111" s="0" t="str">
        <f aca="false">IF(AND(D111=WF_END_PERIOD,R111,Z111&lt;&gt;1),1+COUNTIFS($D$5:$D$750,WF_END_PERIOD,$R$5:$R$750,TRUE(),$Z$5:$Z$750,"&lt;&gt;1",$S$5:$S$750,"&gt;"&amp;S111)+COUNTIFS($D$5:$D$750,WF_END_PERIOD,$R$5:$R$750,TRUE(),$Z$5:$Z$750,"&lt;&gt;1",$S$5:$S$750,S111,$B$5:$B$750,"&lt;"&amp;B111),"")</f>
        <v/>
      </c>
      <c r="AB111" s="11" t="b">
        <f aca="false">OR(D111=WF_START_PERIOD,D111=WF_END_PERIOD)</f>
        <v>0</v>
      </c>
      <c r="AC111" s="0" t="str">
        <f aca="false">B111&amp;"|"&amp;D111</f>
        <v>14134|20220930</v>
      </c>
    </row>
    <row r="112" customFormat="false" ht="15" hidden="false" customHeight="false" outlineLevel="0" collapsed="false">
      <c r="A112" s="0" t="n">
        <f aca="false">RawFinancials!A112</f>
        <v>109</v>
      </c>
      <c r="B112" s="0" t="n">
        <f aca="false">RawFinancials!C112</f>
        <v>14136</v>
      </c>
      <c r="C112" s="0" t="str">
        <f aca="false">RawFinancials!P112</f>
        <v>WELLS RIVER SAVINGS BANK</v>
      </c>
      <c r="D112" s="0" t="n">
        <f aca="false">RawFinancials!W112</f>
        <v>20220930</v>
      </c>
      <c r="E112" s="0" t="str">
        <f aca="false">RawFinancials!Z112</f>
        <v>VT</v>
      </c>
      <c r="F112" s="0" t="n">
        <f aca="false">RawFinancials!B112</f>
        <v>225735</v>
      </c>
      <c r="G112" s="0" t="n">
        <f aca="false">RawFinancials!U112</f>
        <v>709</v>
      </c>
      <c r="H112" s="0" t="n">
        <f aca="false">RawFinancials!O112</f>
        <v>110</v>
      </c>
      <c r="I112" s="0" t="n">
        <f aca="false">IF(AND(ISNUMBER(G112),ISNUMBER(H112)),G112+H112,"")</f>
        <v>819</v>
      </c>
      <c r="J112" s="0" t="n">
        <f aca="false">RawFinancials!D112</f>
        <v>207393</v>
      </c>
      <c r="K112" s="0" t="n">
        <f aca="false">RawFinancials!F112</f>
        <v>14034</v>
      </c>
      <c r="L112" s="0" t="n">
        <f aca="false">RawFinancials!L112</f>
        <v>132371</v>
      </c>
      <c r="M112" s="0" t="n">
        <f aca="false">RawFinancials!N112</f>
        <v>106837</v>
      </c>
      <c r="N112" s="13" t="n">
        <f aca="false">RawFinancials!X112</f>
        <v>0.393354896764142</v>
      </c>
      <c r="O112" s="13" t="n">
        <f aca="false">RawFinancials!V112</f>
        <v>17.115209519978</v>
      </c>
      <c r="P112" s="13" t="n">
        <f aca="false">IF(AND(ISNUMBER(L112),L112&lt;&gt;0,ISNUMBER(M112)),100*M112/L112,"")</f>
        <v>80.7102764200618</v>
      </c>
      <c r="Q112" s="13" t="n">
        <f aca="false">IF(AND(ISNUMBER(F112),F112&lt;&gt;0,ISNUMBER(K112)),100*K112/F112,"")</f>
        <v>6.21702438700246</v>
      </c>
      <c r="R112" s="11" t="b">
        <f aca="false">AND(ISNUMBER(F112),F112&gt;0,ISNUMBER(G112),G112&gt;=0,ISNUMBER(H112),H112&gt;=0)</f>
        <v>1</v>
      </c>
      <c r="S112" s="13" t="n">
        <f aca="false">IF(R112,100*I112/F112,"")</f>
        <v>0.36281480497043</v>
      </c>
      <c r="T112" s="11" t="b">
        <f aca="false">NOT(AND(OR(AND(ISBLANK(RawFinancials!B112),ISBLANK(_RawBaseline!B109)),AND(ISNUMBER(RawFinancials!B112),ISNUMBER(_RawBaseline!B109),RawFinancials!B112=_RawBaseline!B109)),OR(AND(ISBLANK(RawFinancials!U112),ISBLANK(_RawBaseline!U109)),AND(ISNUMBER(RawFinancials!U112),ISNUMBER(_RawBaseline!U109),RawFinancials!U112=_RawBaseline!U109)),OR(AND(ISBLANK(RawFinancials!O112),ISBLANK(_RawBaseline!O109)),AND(ISNUMBER(RawFinancials!O112),ISNUMBER(_RawBaseline!O109),RawFinancials!O112=_RawBaseline!O109))))</f>
        <v>0</v>
      </c>
      <c r="U112" s="13" t="n">
        <f aca="false">IF(AND(D112=WF_START_PERIOD,R112,COUNTIFS($B$5:$B$750,B112,$D$5:$D$750,WF_END_PERIOD,$R$5:$R$750,TRUE())&gt;0),SUMIFS($S$5:$S$750,$B$5:$B$750,B112,$D$5:$D$750,WF_END_PERIOD,$R$5:$R$750,TRUE()),0)</f>
        <v>0</v>
      </c>
      <c r="V112" s="0" t="str">
        <f aca="false">IF(AND(D112=WF_START_PERIOD,COUNTIFS($B$5:$B$750,B112,$D$5:$D$750,WF_END_PERIOD)&gt;0),INDEX($E$5:$E$750,MATCH(B112&amp;"|"&amp;WF_END_PERIOD,$AC$5:$AC$750,0)),"")</f>
        <v/>
      </c>
      <c r="W112" s="11" t="b">
        <f aca="false">COUNTIFS($B$5:$B$750,B112,$D$5:$D$750,WF_START_PERIOD,$R$5:$R$750,TRUE())&gt;0</f>
        <v>1</v>
      </c>
      <c r="X112" s="11" t="b">
        <f aca="false">COUNTIFS($B$5:$B$750,B112,$D$5:$D$750,WF_END_PERIOD,$R$5:$R$750,TRUE())&gt;0</f>
        <v>1</v>
      </c>
      <c r="Y112" s="0" t="str">
        <f aca="false">IF(AND(D112=WF_END_PERIOD,COUNTIFS($B$5:$B$750,B112,$D$5:$D$750,WF_START_PERIOD)&gt;0),INDEX($E$5:$E$750,MATCH(B112&amp;"|"&amp;WF_START_PERIOD,$AC$5:$AC$750,0)),"")</f>
        <v/>
      </c>
      <c r="Z112" s="0" t="str">
        <f aca="false">IF(AND(D112=WF_END_PERIOD,R112),1+COUNTIFS($D$5:$D$750,WF_END_PERIOD,$E$5:$E$750,E112,$R$5:$R$750,TRUE(),$S$5:$S$750,"&gt;"&amp;S112)+COUNTIFS($D$5:$D$750,WF_END_PERIOD,$E$5:$E$750,E112,$R$5:$R$750,TRUE(),$S$5:$S$750,S112,$B$5:$B$750,"&lt;"&amp;B112),"")</f>
        <v/>
      </c>
      <c r="AA112" s="0" t="str">
        <f aca="false">IF(AND(D112=WF_END_PERIOD,R112,Z112&lt;&gt;1),1+COUNTIFS($D$5:$D$750,WF_END_PERIOD,$R$5:$R$750,TRUE(),$Z$5:$Z$750,"&lt;&gt;1",$S$5:$S$750,"&gt;"&amp;S112)+COUNTIFS($D$5:$D$750,WF_END_PERIOD,$R$5:$R$750,TRUE(),$Z$5:$Z$750,"&lt;&gt;1",$S$5:$S$750,S112,$B$5:$B$750,"&lt;"&amp;B112),"")</f>
        <v/>
      </c>
      <c r="AB112" s="11" t="b">
        <f aca="false">OR(D112=WF_START_PERIOD,D112=WF_END_PERIOD)</f>
        <v>0</v>
      </c>
      <c r="AC112" s="0" t="str">
        <f aca="false">B112&amp;"|"&amp;D112</f>
        <v>14136|20220930</v>
      </c>
    </row>
    <row r="113" customFormat="false" ht="15" hidden="false" customHeight="false" outlineLevel="0" collapsed="false">
      <c r="A113" s="0" t="n">
        <f aca="false">RawFinancials!A113</f>
        <v>110</v>
      </c>
      <c r="B113" s="0" t="n">
        <f aca="false">RawFinancials!C113</f>
        <v>14140</v>
      </c>
      <c r="C113" s="0" t="str">
        <f aca="false">RawFinancials!P113</f>
        <v>NORTHFIELD SAVINGS BANK</v>
      </c>
      <c r="D113" s="0" t="n">
        <f aca="false">RawFinancials!W113</f>
        <v>20220930</v>
      </c>
      <c r="E113" s="0" t="str">
        <f aca="false">RawFinancials!Z113</f>
        <v>VT</v>
      </c>
      <c r="F113" s="0" t="n">
        <f aca="false">RawFinancials!B113</f>
        <v>1443158</v>
      </c>
      <c r="G113" s="0" t="n">
        <f aca="false">RawFinancials!U113</f>
        <v>0</v>
      </c>
      <c r="H113" s="0" t="n">
        <f aca="false">RawFinancials!O113</f>
        <v>2457</v>
      </c>
      <c r="I113" s="0" t="n">
        <f aca="false">IF(AND(ISNUMBER(G113),ISNUMBER(H113)),G113+H113,"")</f>
        <v>2457</v>
      </c>
      <c r="J113" s="0" t="n">
        <f aca="false">RawFinancials!D113</f>
        <v>1246266</v>
      </c>
      <c r="K113" s="0" t="n">
        <f aca="false">RawFinancials!F113</f>
        <v>107668</v>
      </c>
      <c r="L113" s="0" t="n">
        <f aca="false">RawFinancials!L113</f>
        <v>959732</v>
      </c>
      <c r="M113" s="0" t="n">
        <f aca="false">RawFinancials!N113</f>
        <v>868686</v>
      </c>
      <c r="N113" s="13" t="n">
        <f aca="false">RawFinancials!X113</f>
        <v>0.69874825034993</v>
      </c>
      <c r="O113" s="13" t="n">
        <f aca="false">RawFinancials!V113</f>
        <v>0</v>
      </c>
      <c r="P113" s="13" t="n">
        <f aca="false">IF(AND(ISNUMBER(L113),L113&lt;&gt;0,ISNUMBER(M113)),100*M113/L113,"")</f>
        <v>90.5133933223025</v>
      </c>
      <c r="Q113" s="13" t="n">
        <f aca="false">IF(AND(ISNUMBER(F113),F113&lt;&gt;0,ISNUMBER(K113)),100*K113/F113,"")</f>
        <v>7.46058297151109</v>
      </c>
      <c r="R113" s="11" t="b">
        <f aca="false">AND(ISNUMBER(F113),F113&gt;0,ISNUMBER(G113),G113&gt;=0,ISNUMBER(H113),H113&gt;=0)</f>
        <v>1</v>
      </c>
      <c r="S113" s="13" t="n">
        <f aca="false">IF(R113,100*I113/F113,"")</f>
        <v>0.170251628719794</v>
      </c>
      <c r="T113" s="11" t="b">
        <f aca="false">NOT(AND(OR(AND(ISBLANK(RawFinancials!B113),ISBLANK(_RawBaseline!B110)),AND(ISNUMBER(RawFinancials!B113),ISNUMBER(_RawBaseline!B110),RawFinancials!B113=_RawBaseline!B110)),OR(AND(ISBLANK(RawFinancials!U113),ISBLANK(_RawBaseline!U110)),AND(ISNUMBER(RawFinancials!U113),ISNUMBER(_RawBaseline!U110),RawFinancials!U113=_RawBaseline!U110)),OR(AND(ISBLANK(RawFinancials!O113),ISBLANK(_RawBaseline!O110)),AND(ISNUMBER(RawFinancials!O113),ISNUMBER(_RawBaseline!O110),RawFinancials!O113=_RawBaseline!O110))))</f>
        <v>0</v>
      </c>
      <c r="U113" s="13" t="n">
        <f aca="false">IF(AND(D113=WF_START_PERIOD,R113,COUNTIFS($B$5:$B$750,B113,$D$5:$D$750,WF_END_PERIOD,$R$5:$R$750,TRUE())&gt;0),SUMIFS($S$5:$S$750,$B$5:$B$750,B113,$D$5:$D$750,WF_END_PERIOD,$R$5:$R$750,TRUE()),0)</f>
        <v>0</v>
      </c>
      <c r="V113" s="0" t="str">
        <f aca="false">IF(AND(D113=WF_START_PERIOD,COUNTIFS($B$5:$B$750,B113,$D$5:$D$750,WF_END_PERIOD)&gt;0),INDEX($E$5:$E$750,MATCH(B113&amp;"|"&amp;WF_END_PERIOD,$AC$5:$AC$750,0)),"")</f>
        <v/>
      </c>
      <c r="W113" s="11" t="b">
        <f aca="false">COUNTIFS($B$5:$B$750,B113,$D$5:$D$750,WF_START_PERIOD,$R$5:$R$750,TRUE())&gt;0</f>
        <v>1</v>
      </c>
      <c r="X113" s="11" t="b">
        <f aca="false">COUNTIFS($B$5:$B$750,B113,$D$5:$D$750,WF_END_PERIOD,$R$5:$R$750,TRUE())&gt;0</f>
        <v>1</v>
      </c>
      <c r="Y113" s="0" t="str">
        <f aca="false">IF(AND(D113=WF_END_PERIOD,COUNTIFS($B$5:$B$750,B113,$D$5:$D$750,WF_START_PERIOD)&gt;0),INDEX($E$5:$E$750,MATCH(B113&amp;"|"&amp;WF_START_PERIOD,$AC$5:$AC$750,0)),"")</f>
        <v/>
      </c>
      <c r="Z113" s="0" t="str">
        <f aca="false">IF(AND(D113=WF_END_PERIOD,R113),1+COUNTIFS($D$5:$D$750,WF_END_PERIOD,$E$5:$E$750,E113,$R$5:$R$750,TRUE(),$S$5:$S$750,"&gt;"&amp;S113)+COUNTIFS($D$5:$D$750,WF_END_PERIOD,$E$5:$E$750,E113,$R$5:$R$750,TRUE(),$S$5:$S$750,S113,$B$5:$B$750,"&lt;"&amp;B113),"")</f>
        <v/>
      </c>
      <c r="AA113" s="0" t="str">
        <f aca="false">IF(AND(D113=WF_END_PERIOD,R113,Z113&lt;&gt;1),1+COUNTIFS($D$5:$D$750,WF_END_PERIOD,$R$5:$R$750,TRUE(),$Z$5:$Z$750,"&lt;&gt;1",$S$5:$S$750,"&gt;"&amp;S113)+COUNTIFS($D$5:$D$750,WF_END_PERIOD,$R$5:$R$750,TRUE(),$Z$5:$Z$750,"&lt;&gt;1",$S$5:$S$750,S113,$B$5:$B$750,"&lt;"&amp;B113),"")</f>
        <v/>
      </c>
      <c r="AB113" s="11" t="b">
        <f aca="false">OR(D113=WF_START_PERIOD,D113=WF_END_PERIOD)</f>
        <v>0</v>
      </c>
      <c r="AC113" s="0" t="str">
        <f aca="false">B113&amp;"|"&amp;D113</f>
        <v>14140|20220930</v>
      </c>
    </row>
    <row r="114" customFormat="false" ht="15" hidden="false" customHeight="false" outlineLevel="0" collapsed="false">
      <c r="A114" s="0" t="n">
        <f aca="false">RawFinancials!A114</f>
        <v>111</v>
      </c>
      <c r="B114" s="0" t="n">
        <f aca="false">RawFinancials!C114</f>
        <v>14158</v>
      </c>
      <c r="C114" s="0" t="str">
        <f aca="false">RawFinancials!P114</f>
        <v>UNION BANK</v>
      </c>
      <c r="D114" s="0" t="n">
        <f aca="false">RawFinancials!W114</f>
        <v>20220930</v>
      </c>
      <c r="E114" s="0" t="str">
        <f aca="false">RawFinancials!Z114</f>
        <v>VT</v>
      </c>
      <c r="F114" s="0" t="n">
        <f aca="false">RawFinancials!B114</f>
        <v>1299582</v>
      </c>
      <c r="G114" s="0" t="n">
        <f aca="false">RawFinancials!U114</f>
        <v>308</v>
      </c>
      <c r="H114" s="0" t="n">
        <f aca="false">RawFinancials!O114</f>
        <v>1381</v>
      </c>
      <c r="I114" s="0" t="n">
        <f aca="false">IF(AND(ISNUMBER(G114),ISNUMBER(H114)),G114+H114,"")</f>
        <v>1689</v>
      </c>
      <c r="J114" s="0" t="n">
        <f aca="false">RawFinancials!D114</f>
        <v>1199225</v>
      </c>
      <c r="K114" s="0" t="n">
        <f aca="false">RawFinancials!F114</f>
        <v>65471</v>
      </c>
      <c r="L114" s="0" t="n">
        <f aca="false">RawFinancials!L114</f>
        <v>942495</v>
      </c>
      <c r="M114" s="0" t="n">
        <f aca="false">RawFinancials!N114</f>
        <v>802531</v>
      </c>
      <c r="N114" s="13" t="n">
        <f aca="false">RawFinancials!X114</f>
        <v>1.06363308286789</v>
      </c>
      <c r="O114" s="13" t="n">
        <f aca="false">RawFinancials!V114</f>
        <v>13.6509765861944</v>
      </c>
      <c r="P114" s="13" t="n">
        <f aca="false">IF(AND(ISNUMBER(L114),L114&lt;&gt;0,ISNUMBER(M114)),100*M114/L114,"")</f>
        <v>85.149629441005</v>
      </c>
      <c r="Q114" s="13" t="n">
        <f aca="false">IF(AND(ISNUMBER(F114),F114&lt;&gt;0,ISNUMBER(K114)),100*K114/F114,"")</f>
        <v>5.03785063197243</v>
      </c>
      <c r="R114" s="11" t="b">
        <f aca="false">AND(ISNUMBER(F114),F114&gt;0,ISNUMBER(G114),G114&gt;=0,ISNUMBER(H114),H114&gt;=0)</f>
        <v>1</v>
      </c>
      <c r="S114" s="13" t="n">
        <f aca="false">IF(R114,100*I114/F114,"")</f>
        <v>0.129964865626024</v>
      </c>
      <c r="T114" s="11" t="b">
        <f aca="false">NOT(AND(OR(AND(ISBLANK(RawFinancials!B114),ISBLANK(_RawBaseline!B111)),AND(ISNUMBER(RawFinancials!B114),ISNUMBER(_RawBaseline!B111),RawFinancials!B114=_RawBaseline!B111)),OR(AND(ISBLANK(RawFinancials!U114),ISBLANK(_RawBaseline!U111)),AND(ISNUMBER(RawFinancials!U114),ISNUMBER(_RawBaseline!U111),RawFinancials!U114=_RawBaseline!U111)),OR(AND(ISBLANK(RawFinancials!O114),ISBLANK(_RawBaseline!O111)),AND(ISNUMBER(RawFinancials!O114),ISNUMBER(_RawBaseline!O111),RawFinancials!O114=_RawBaseline!O111))))</f>
        <v>0</v>
      </c>
      <c r="U114" s="13" t="n">
        <f aca="false">IF(AND(D114=WF_START_PERIOD,R114,COUNTIFS($B$5:$B$750,B114,$D$5:$D$750,WF_END_PERIOD,$R$5:$R$750,TRUE())&gt;0),SUMIFS($S$5:$S$750,$B$5:$B$750,B114,$D$5:$D$750,WF_END_PERIOD,$R$5:$R$750,TRUE()),0)</f>
        <v>0</v>
      </c>
      <c r="V114" s="0" t="str">
        <f aca="false">IF(AND(D114=WF_START_PERIOD,COUNTIFS($B$5:$B$750,B114,$D$5:$D$750,WF_END_PERIOD)&gt;0),INDEX($E$5:$E$750,MATCH(B114&amp;"|"&amp;WF_END_PERIOD,$AC$5:$AC$750,0)),"")</f>
        <v/>
      </c>
      <c r="W114" s="11" t="b">
        <f aca="false">COUNTIFS($B$5:$B$750,B114,$D$5:$D$750,WF_START_PERIOD,$R$5:$R$750,TRUE())&gt;0</f>
        <v>1</v>
      </c>
      <c r="X114" s="11" t="b">
        <f aca="false">COUNTIFS($B$5:$B$750,B114,$D$5:$D$750,WF_END_PERIOD,$R$5:$R$750,TRUE())&gt;0</f>
        <v>1</v>
      </c>
      <c r="Y114" s="0" t="str">
        <f aca="false">IF(AND(D114=WF_END_PERIOD,COUNTIFS($B$5:$B$750,B114,$D$5:$D$750,WF_START_PERIOD)&gt;0),INDEX($E$5:$E$750,MATCH(B114&amp;"|"&amp;WF_START_PERIOD,$AC$5:$AC$750,0)),"")</f>
        <v/>
      </c>
      <c r="Z114" s="0" t="str">
        <f aca="false">IF(AND(D114=WF_END_PERIOD,R114),1+COUNTIFS($D$5:$D$750,WF_END_PERIOD,$E$5:$E$750,E114,$R$5:$R$750,TRUE(),$S$5:$S$750,"&gt;"&amp;S114)+COUNTIFS($D$5:$D$750,WF_END_PERIOD,$E$5:$E$750,E114,$R$5:$R$750,TRUE(),$S$5:$S$750,S114,$B$5:$B$750,"&lt;"&amp;B114),"")</f>
        <v/>
      </c>
      <c r="AA114" s="0" t="str">
        <f aca="false">IF(AND(D114=WF_END_PERIOD,R114,Z114&lt;&gt;1),1+COUNTIFS($D$5:$D$750,WF_END_PERIOD,$R$5:$R$750,TRUE(),$Z$5:$Z$750,"&lt;&gt;1",$S$5:$S$750,"&gt;"&amp;S114)+COUNTIFS($D$5:$D$750,WF_END_PERIOD,$R$5:$R$750,TRUE(),$Z$5:$Z$750,"&lt;&gt;1",$S$5:$S$750,S114,$B$5:$B$750,"&lt;"&amp;B114),"")</f>
        <v/>
      </c>
      <c r="AB114" s="11" t="b">
        <f aca="false">OR(D114=WF_START_PERIOD,D114=WF_END_PERIOD)</f>
        <v>0</v>
      </c>
      <c r="AC114" s="0" t="str">
        <f aca="false">B114&amp;"|"&amp;D114</f>
        <v>14158|20220930</v>
      </c>
    </row>
    <row r="115" customFormat="false" ht="15" hidden="false" customHeight="false" outlineLevel="0" collapsed="false">
      <c r="A115" s="0" t="n">
        <f aca="false">RawFinancials!A115</f>
        <v>112</v>
      </c>
      <c r="B115" s="0" t="n">
        <f aca="false">RawFinancials!C115</f>
        <v>14168</v>
      </c>
      <c r="C115" s="0" t="str">
        <f aca="false">RawFinancials!P115</f>
        <v>PEOPLES TRUST COMPANY OF ST. ALBANS</v>
      </c>
      <c r="D115" s="0" t="n">
        <f aca="false">RawFinancials!W115</f>
        <v>20220930</v>
      </c>
      <c r="E115" s="0" t="str">
        <f aca="false">RawFinancials!Z115</f>
        <v>VT</v>
      </c>
      <c r="F115" s="0" t="n">
        <f aca="false">RawFinancials!B115</f>
        <v>365479</v>
      </c>
      <c r="G115" s="0" t="n">
        <f aca="false">RawFinancials!U115</f>
        <v>0</v>
      </c>
      <c r="H115" s="0" t="n">
        <f aca="false">RawFinancials!O115</f>
        <v>1286</v>
      </c>
      <c r="I115" s="0" t="n">
        <f aca="false">IF(AND(ISNUMBER(G115),ISNUMBER(H115)),G115+H115,"")</f>
        <v>1286</v>
      </c>
      <c r="J115" s="0" t="n">
        <f aca="false">RawFinancials!D115</f>
        <v>330944</v>
      </c>
      <c r="K115" s="0" t="n">
        <f aca="false">RawFinancials!F115</f>
        <v>29862</v>
      </c>
      <c r="L115" s="0" t="n">
        <f aca="false">RawFinancials!L115</f>
        <v>198184</v>
      </c>
      <c r="M115" s="0" t="n">
        <f aca="false">RawFinancials!N115</f>
        <v>164935</v>
      </c>
      <c r="N115" s="13" t="n">
        <f aca="false">RawFinancials!X115</f>
        <v>0.453583932259783</v>
      </c>
      <c r="O115" s="13" t="n">
        <f aca="false">RawFinancials!V115</f>
        <v>18.8524471995963</v>
      </c>
      <c r="P115" s="13" t="n">
        <f aca="false">IF(AND(ISNUMBER(L115),L115&lt;&gt;0,ISNUMBER(M115)),100*M115/L115,"")</f>
        <v>83.2231663504622</v>
      </c>
      <c r="Q115" s="13" t="n">
        <f aca="false">IF(AND(ISNUMBER(F115),F115&lt;&gt;0,ISNUMBER(K115)),100*K115/F115,"")</f>
        <v>8.17064728753225</v>
      </c>
      <c r="R115" s="11" t="b">
        <f aca="false">AND(ISNUMBER(F115),F115&gt;0,ISNUMBER(G115),G115&gt;=0,ISNUMBER(H115),H115&gt;=0)</f>
        <v>1</v>
      </c>
      <c r="S115" s="13" t="n">
        <f aca="false">IF(R115,100*I115/F115,"")</f>
        <v>0.351867001934448</v>
      </c>
      <c r="T115" s="11" t="b">
        <f aca="false">NOT(AND(OR(AND(ISBLANK(RawFinancials!B115),ISBLANK(_RawBaseline!B112)),AND(ISNUMBER(RawFinancials!B115),ISNUMBER(_RawBaseline!B112),RawFinancials!B115=_RawBaseline!B112)),OR(AND(ISBLANK(RawFinancials!U115),ISBLANK(_RawBaseline!U112)),AND(ISNUMBER(RawFinancials!U115),ISNUMBER(_RawBaseline!U112),RawFinancials!U115=_RawBaseline!U112)),OR(AND(ISBLANK(RawFinancials!O115),ISBLANK(_RawBaseline!O112)),AND(ISNUMBER(RawFinancials!O115),ISNUMBER(_RawBaseline!O112),RawFinancials!O115=_RawBaseline!O112))))</f>
        <v>0</v>
      </c>
      <c r="U115" s="13" t="n">
        <f aca="false">IF(AND(D115=WF_START_PERIOD,R115,COUNTIFS($B$5:$B$750,B115,$D$5:$D$750,WF_END_PERIOD,$R$5:$R$750,TRUE())&gt;0),SUMIFS($S$5:$S$750,$B$5:$B$750,B115,$D$5:$D$750,WF_END_PERIOD,$R$5:$R$750,TRUE()),0)</f>
        <v>0</v>
      </c>
      <c r="V115" s="0" t="str">
        <f aca="false">IF(AND(D115=WF_START_PERIOD,COUNTIFS($B$5:$B$750,B115,$D$5:$D$750,WF_END_PERIOD)&gt;0),INDEX($E$5:$E$750,MATCH(B115&amp;"|"&amp;WF_END_PERIOD,$AC$5:$AC$750,0)),"")</f>
        <v/>
      </c>
      <c r="W115" s="11" t="b">
        <f aca="false">COUNTIFS($B$5:$B$750,B115,$D$5:$D$750,WF_START_PERIOD,$R$5:$R$750,TRUE())&gt;0</f>
        <v>1</v>
      </c>
      <c r="X115" s="11" t="b">
        <f aca="false">COUNTIFS($B$5:$B$750,B115,$D$5:$D$750,WF_END_PERIOD,$R$5:$R$750,TRUE())&gt;0</f>
        <v>1</v>
      </c>
      <c r="Y115" s="0" t="str">
        <f aca="false">IF(AND(D115=WF_END_PERIOD,COUNTIFS($B$5:$B$750,B115,$D$5:$D$750,WF_START_PERIOD)&gt;0),INDEX($E$5:$E$750,MATCH(B115&amp;"|"&amp;WF_START_PERIOD,$AC$5:$AC$750,0)),"")</f>
        <v/>
      </c>
      <c r="Z115" s="0" t="str">
        <f aca="false">IF(AND(D115=WF_END_PERIOD,R115),1+COUNTIFS($D$5:$D$750,WF_END_PERIOD,$E$5:$E$750,E115,$R$5:$R$750,TRUE(),$S$5:$S$750,"&gt;"&amp;S115)+COUNTIFS($D$5:$D$750,WF_END_PERIOD,$E$5:$E$750,E115,$R$5:$R$750,TRUE(),$S$5:$S$750,S115,$B$5:$B$750,"&lt;"&amp;B115),"")</f>
        <v/>
      </c>
      <c r="AA115" s="0" t="str">
        <f aca="false">IF(AND(D115=WF_END_PERIOD,R115,Z115&lt;&gt;1),1+COUNTIFS($D$5:$D$750,WF_END_PERIOD,$R$5:$R$750,TRUE(),$Z$5:$Z$750,"&lt;&gt;1",$S$5:$S$750,"&gt;"&amp;S115)+COUNTIFS($D$5:$D$750,WF_END_PERIOD,$R$5:$R$750,TRUE(),$Z$5:$Z$750,"&lt;&gt;1",$S$5:$S$750,S115,$B$5:$B$750,"&lt;"&amp;B115),"")</f>
        <v/>
      </c>
      <c r="AB115" s="11" t="b">
        <f aca="false">OR(D115=WF_START_PERIOD,D115=WF_END_PERIOD)</f>
        <v>0</v>
      </c>
      <c r="AC115" s="0" t="str">
        <f aca="false">B115&amp;"|"&amp;D115</f>
        <v>14168|20220930</v>
      </c>
    </row>
    <row r="116" customFormat="false" ht="15" hidden="false" customHeight="false" outlineLevel="0" collapsed="false">
      <c r="A116" s="0" t="n">
        <f aca="false">RawFinancials!A116</f>
        <v>113</v>
      </c>
      <c r="B116" s="0" t="n">
        <f aca="false">RawFinancials!C116</f>
        <v>14240</v>
      </c>
      <c r="C116" s="0" t="str">
        <f aca="false">RawFinancials!P116</f>
        <v>NORTHWAY BANK</v>
      </c>
      <c r="D116" s="0" t="n">
        <f aca="false">RawFinancials!W116</f>
        <v>20220930</v>
      </c>
      <c r="E116" s="0" t="str">
        <f aca="false">RawFinancials!Z116</f>
        <v>NH</v>
      </c>
      <c r="F116" s="0" t="n">
        <f aca="false">RawFinancials!B116</f>
        <v>1313807</v>
      </c>
      <c r="G116" s="0" t="n">
        <f aca="false">RawFinancials!U116</f>
        <v>0</v>
      </c>
      <c r="H116" s="0" t="n">
        <f aca="false">RawFinancials!O116</f>
        <v>1987</v>
      </c>
      <c r="I116" s="0" t="n">
        <f aca="false">IF(AND(ISNUMBER(G116),ISNUMBER(H116)),G116+H116,"")</f>
        <v>1987</v>
      </c>
      <c r="J116" s="0" t="n">
        <f aca="false">RawFinancials!D116</f>
        <v>1060386</v>
      </c>
      <c r="K116" s="0" t="n">
        <f aca="false">RawFinancials!F116</f>
        <v>76133</v>
      </c>
      <c r="L116" s="0" t="n">
        <f aca="false">RawFinancials!L116</f>
        <v>932422</v>
      </c>
      <c r="M116" s="0" t="n">
        <f aca="false">RawFinancials!N116</f>
        <v>792363</v>
      </c>
      <c r="N116" s="13" t="n">
        <f aca="false">RawFinancials!X116</f>
        <v>0.00574117421909108</v>
      </c>
      <c r="O116" s="13" t="n">
        <f aca="false">RawFinancials!V116</f>
        <v>13.811186570616</v>
      </c>
      <c r="P116" s="13" t="n">
        <f aca="false">IF(AND(ISNUMBER(L116),L116&lt;&gt;0,ISNUMBER(M116)),100*M116/L116,"")</f>
        <v>84.9790116492318</v>
      </c>
      <c r="Q116" s="13" t="n">
        <f aca="false">IF(AND(ISNUMBER(F116),F116&lt;&gt;0,ISNUMBER(K116)),100*K116/F116,"")</f>
        <v>5.79483896797627</v>
      </c>
      <c r="R116" s="11" t="b">
        <f aca="false">AND(ISNUMBER(F116),F116&gt;0,ISNUMBER(G116),G116&gt;=0,ISNUMBER(H116),H116&gt;=0)</f>
        <v>1</v>
      </c>
      <c r="S116" s="13" t="n">
        <f aca="false">IF(R116,100*I116/F116,"")</f>
        <v>0.151239870087463</v>
      </c>
      <c r="T116" s="11" t="b">
        <f aca="false">NOT(AND(OR(AND(ISBLANK(RawFinancials!B116),ISBLANK(_RawBaseline!B113)),AND(ISNUMBER(RawFinancials!B116),ISNUMBER(_RawBaseline!B113),RawFinancials!B116=_RawBaseline!B113)),OR(AND(ISBLANK(RawFinancials!U116),ISBLANK(_RawBaseline!U113)),AND(ISNUMBER(RawFinancials!U116),ISNUMBER(_RawBaseline!U113),RawFinancials!U116=_RawBaseline!U113)),OR(AND(ISBLANK(RawFinancials!O116),ISBLANK(_RawBaseline!O113)),AND(ISNUMBER(RawFinancials!O116),ISNUMBER(_RawBaseline!O113),RawFinancials!O116=_RawBaseline!O113))))</f>
        <v>0</v>
      </c>
      <c r="U116" s="13" t="n">
        <f aca="false">IF(AND(D116=WF_START_PERIOD,R116,COUNTIFS($B$5:$B$750,B116,$D$5:$D$750,WF_END_PERIOD,$R$5:$R$750,TRUE())&gt;0),SUMIFS($S$5:$S$750,$B$5:$B$750,B116,$D$5:$D$750,WF_END_PERIOD,$R$5:$R$750,TRUE()),0)</f>
        <v>0</v>
      </c>
      <c r="V116" s="0" t="str">
        <f aca="false">IF(AND(D116=WF_START_PERIOD,COUNTIFS($B$5:$B$750,B116,$D$5:$D$750,WF_END_PERIOD)&gt;0),INDEX($E$5:$E$750,MATCH(B116&amp;"|"&amp;WF_END_PERIOD,$AC$5:$AC$750,0)),"")</f>
        <v/>
      </c>
      <c r="W116" s="11" t="b">
        <f aca="false">COUNTIFS($B$5:$B$750,B116,$D$5:$D$750,WF_START_PERIOD,$R$5:$R$750,TRUE())&gt;0</f>
        <v>1</v>
      </c>
      <c r="X116" s="11" t="b">
        <f aca="false">COUNTIFS($B$5:$B$750,B116,$D$5:$D$750,WF_END_PERIOD,$R$5:$R$750,TRUE())&gt;0</f>
        <v>0</v>
      </c>
      <c r="Y116" s="0" t="str">
        <f aca="false">IF(AND(D116=WF_END_PERIOD,COUNTIFS($B$5:$B$750,B116,$D$5:$D$750,WF_START_PERIOD)&gt;0),INDEX($E$5:$E$750,MATCH(B116&amp;"|"&amp;WF_START_PERIOD,$AC$5:$AC$750,0)),"")</f>
        <v/>
      </c>
      <c r="Z116" s="0" t="str">
        <f aca="false">IF(AND(D116=WF_END_PERIOD,R116),1+COUNTIFS($D$5:$D$750,WF_END_PERIOD,$E$5:$E$750,E116,$R$5:$R$750,TRUE(),$S$5:$S$750,"&gt;"&amp;S116)+COUNTIFS($D$5:$D$750,WF_END_PERIOD,$E$5:$E$750,E116,$R$5:$R$750,TRUE(),$S$5:$S$750,S116,$B$5:$B$750,"&lt;"&amp;B116),"")</f>
        <v/>
      </c>
      <c r="AA116" s="0" t="str">
        <f aca="false">IF(AND(D116=WF_END_PERIOD,R116,Z116&lt;&gt;1),1+COUNTIFS($D$5:$D$750,WF_END_PERIOD,$R$5:$R$750,TRUE(),$Z$5:$Z$750,"&lt;&gt;1",$S$5:$S$750,"&gt;"&amp;S116)+COUNTIFS($D$5:$D$750,WF_END_PERIOD,$R$5:$R$750,TRUE(),$Z$5:$Z$750,"&lt;&gt;1",$S$5:$S$750,S116,$B$5:$B$750,"&lt;"&amp;B116),"")</f>
        <v/>
      </c>
      <c r="AB116" s="11" t="b">
        <f aca="false">OR(D116=WF_START_PERIOD,D116=WF_END_PERIOD)</f>
        <v>0</v>
      </c>
      <c r="AC116" s="0" t="str">
        <f aca="false">B116&amp;"|"&amp;D116</f>
        <v>14240|20220930</v>
      </c>
    </row>
    <row r="117" customFormat="false" ht="15" hidden="false" customHeight="false" outlineLevel="0" collapsed="false">
      <c r="A117" s="0" t="n">
        <f aca="false">RawFinancials!A117</f>
        <v>114</v>
      </c>
      <c r="B117" s="0" t="n">
        <f aca="false">RawFinancials!C117</f>
        <v>17115</v>
      </c>
      <c r="C117" s="0" t="str">
        <f aca="false">RawFinancials!P117</f>
        <v>PARTNERS BANK OF NEW ENGLAND</v>
      </c>
      <c r="D117" s="0" t="n">
        <f aca="false">RawFinancials!W117</f>
        <v>20220930</v>
      </c>
      <c r="E117" s="0" t="str">
        <f aca="false">RawFinancials!Z117</f>
        <v>ME</v>
      </c>
      <c r="F117" s="0" t="n">
        <f aca="false">RawFinancials!B117</f>
        <v>978552</v>
      </c>
      <c r="G117" s="0" t="n">
        <f aca="false">RawFinancials!U117</f>
        <v>0</v>
      </c>
      <c r="H117" s="0" t="n">
        <f aca="false">RawFinancials!O117</f>
        <v>150</v>
      </c>
      <c r="I117" s="0" t="n">
        <f aca="false">IF(AND(ISNUMBER(G117),ISNUMBER(H117)),G117+H117,"")</f>
        <v>150</v>
      </c>
      <c r="J117" s="0" t="n">
        <f aca="false">RawFinancials!D117</f>
        <v>820800</v>
      </c>
      <c r="K117" s="0" t="n">
        <f aca="false">RawFinancials!F117</f>
        <v>74649</v>
      </c>
      <c r="L117" s="0" t="n">
        <f aca="false">RawFinancials!L117</f>
        <v>804440</v>
      </c>
      <c r="M117" s="0" t="n">
        <f aca="false">RawFinancials!N117</f>
        <v>756417</v>
      </c>
      <c r="N117" s="13" t="n">
        <f aca="false">RawFinancials!X117</f>
        <v>0.298933215145743</v>
      </c>
      <c r="O117" s="13" t="n">
        <f aca="false">RawFinancials!V117</f>
        <v>13.9033302635097</v>
      </c>
      <c r="P117" s="13" t="n">
        <f aca="false">IF(AND(ISNUMBER(L117),L117&lt;&gt;0,ISNUMBER(M117)),100*M117/L117,"")</f>
        <v>94.0302570732435</v>
      </c>
      <c r="Q117" s="13" t="n">
        <f aca="false">IF(AND(ISNUMBER(F117),F117&lt;&gt;0,ISNUMBER(K117)),100*K117/F117,"")</f>
        <v>7.62851642018002</v>
      </c>
      <c r="R117" s="11" t="b">
        <f aca="false">AND(ISNUMBER(F117),F117&gt;0,ISNUMBER(G117),G117&gt;=0,ISNUMBER(H117),H117&gt;=0)</f>
        <v>1</v>
      </c>
      <c r="S117" s="13" t="n">
        <f aca="false">IF(R117,100*I117/F117,"")</f>
        <v>0.0153287714909376</v>
      </c>
      <c r="T117" s="11" t="b">
        <f aca="false">NOT(AND(OR(AND(ISBLANK(RawFinancials!B117),ISBLANK(_RawBaseline!B114)),AND(ISNUMBER(RawFinancials!B117),ISNUMBER(_RawBaseline!B114),RawFinancials!B117=_RawBaseline!B114)),OR(AND(ISBLANK(RawFinancials!U117),ISBLANK(_RawBaseline!U114)),AND(ISNUMBER(RawFinancials!U117),ISNUMBER(_RawBaseline!U114),RawFinancials!U117=_RawBaseline!U114)),OR(AND(ISBLANK(RawFinancials!O117),ISBLANK(_RawBaseline!O114)),AND(ISNUMBER(RawFinancials!O117),ISNUMBER(_RawBaseline!O114),RawFinancials!O117=_RawBaseline!O114))))</f>
        <v>0</v>
      </c>
      <c r="U117" s="13" t="n">
        <f aca="false">IF(AND(D117=WF_START_PERIOD,R117,COUNTIFS($B$5:$B$750,B117,$D$5:$D$750,WF_END_PERIOD,$R$5:$R$750,TRUE())&gt;0),SUMIFS($S$5:$S$750,$B$5:$B$750,B117,$D$5:$D$750,WF_END_PERIOD,$R$5:$R$750,TRUE()),0)</f>
        <v>0</v>
      </c>
      <c r="V117" s="0" t="str">
        <f aca="false">IF(AND(D117=WF_START_PERIOD,COUNTIFS($B$5:$B$750,B117,$D$5:$D$750,WF_END_PERIOD)&gt;0),INDEX($E$5:$E$750,MATCH(B117&amp;"|"&amp;WF_END_PERIOD,$AC$5:$AC$750,0)),"")</f>
        <v/>
      </c>
      <c r="W117" s="11" t="b">
        <f aca="false">COUNTIFS($B$5:$B$750,B117,$D$5:$D$750,WF_START_PERIOD,$R$5:$R$750,TRUE())&gt;0</f>
        <v>1</v>
      </c>
      <c r="X117" s="11" t="b">
        <f aca="false">COUNTIFS($B$5:$B$750,B117,$D$5:$D$750,WF_END_PERIOD,$R$5:$R$750,TRUE())&gt;0</f>
        <v>1</v>
      </c>
      <c r="Y117" s="0" t="str">
        <f aca="false">IF(AND(D117=WF_END_PERIOD,COUNTIFS($B$5:$B$750,B117,$D$5:$D$750,WF_START_PERIOD)&gt;0),INDEX($E$5:$E$750,MATCH(B117&amp;"|"&amp;WF_START_PERIOD,$AC$5:$AC$750,0)),"")</f>
        <v/>
      </c>
      <c r="Z117" s="0" t="str">
        <f aca="false">IF(AND(D117=WF_END_PERIOD,R117),1+COUNTIFS($D$5:$D$750,WF_END_PERIOD,$E$5:$E$750,E117,$R$5:$R$750,TRUE(),$S$5:$S$750,"&gt;"&amp;S117)+COUNTIFS($D$5:$D$750,WF_END_PERIOD,$E$5:$E$750,E117,$R$5:$R$750,TRUE(),$S$5:$S$750,S117,$B$5:$B$750,"&lt;"&amp;B117),"")</f>
        <v/>
      </c>
      <c r="AA117" s="0" t="str">
        <f aca="false">IF(AND(D117=WF_END_PERIOD,R117,Z117&lt;&gt;1),1+COUNTIFS($D$5:$D$750,WF_END_PERIOD,$R$5:$R$750,TRUE(),$Z$5:$Z$750,"&lt;&gt;1",$S$5:$S$750,"&gt;"&amp;S117)+COUNTIFS($D$5:$D$750,WF_END_PERIOD,$R$5:$R$750,TRUE(),$Z$5:$Z$750,"&lt;&gt;1",$S$5:$S$750,S117,$B$5:$B$750,"&lt;"&amp;B117),"")</f>
        <v/>
      </c>
      <c r="AB117" s="11" t="b">
        <f aca="false">OR(D117=WF_START_PERIOD,D117=WF_END_PERIOD)</f>
        <v>0</v>
      </c>
      <c r="AC117" s="0" t="str">
        <f aca="false">B117&amp;"|"&amp;D117</f>
        <v>17115|20220930</v>
      </c>
    </row>
    <row r="118" customFormat="false" ht="15" hidden="false" customHeight="false" outlineLevel="0" collapsed="false">
      <c r="A118" s="0" t="n">
        <f aca="false">RawFinancials!A118</f>
        <v>115</v>
      </c>
      <c r="B118" s="0" t="n">
        <f aca="false">RawFinancials!C118</f>
        <v>17180</v>
      </c>
      <c r="C118" s="0" t="str">
        <f aca="false">RawFinancials!P118</f>
        <v>MEREDITH VILLAGE SAVINGS BANK</v>
      </c>
      <c r="D118" s="0" t="n">
        <f aca="false">RawFinancials!W118</f>
        <v>20220930</v>
      </c>
      <c r="E118" s="0" t="str">
        <f aca="false">RawFinancials!Z118</f>
        <v>NH</v>
      </c>
      <c r="F118" s="0" t="n">
        <f aca="false">RawFinancials!B118</f>
        <v>1483609</v>
      </c>
      <c r="G118" s="0" t="n">
        <f aca="false">RawFinancials!U118</f>
        <v>337</v>
      </c>
      <c r="H118" s="0" t="n">
        <f aca="false">RawFinancials!O118</f>
        <v>3999</v>
      </c>
      <c r="I118" s="0" t="n">
        <f aca="false">IF(AND(ISNUMBER(G118),ISNUMBER(H118)),G118+H118,"")</f>
        <v>4336</v>
      </c>
      <c r="J118" s="0" t="n">
        <f aca="false">RawFinancials!D118</f>
        <v>1205127</v>
      </c>
      <c r="K118" s="0" t="n">
        <f aca="false">RawFinancials!F118</f>
        <v>123922</v>
      </c>
      <c r="L118" s="0" t="n">
        <f aca="false">RawFinancials!L118</f>
        <v>1328039</v>
      </c>
      <c r="M118" s="0" t="n">
        <f aca="false">RawFinancials!N118</f>
        <v>1064900</v>
      </c>
      <c r="N118" s="13" t="n">
        <f aca="false">RawFinancials!X118</f>
        <v>0.744248263217769</v>
      </c>
      <c r="O118" s="13" t="n">
        <f aca="false">RawFinancials!V118</f>
        <v>13.9724383504197</v>
      </c>
      <c r="P118" s="13" t="n">
        <f aca="false">IF(AND(ISNUMBER(L118),L118&lt;&gt;0,ISNUMBER(M118)),100*M118/L118,"")</f>
        <v>80.1858981550994</v>
      </c>
      <c r="Q118" s="13" t="n">
        <f aca="false">IF(AND(ISNUMBER(F118),F118&lt;&gt;0,ISNUMBER(K118)),100*K118/F118,"")</f>
        <v>8.35273983913551</v>
      </c>
      <c r="R118" s="11" t="b">
        <f aca="false">AND(ISNUMBER(F118),F118&gt;0,ISNUMBER(G118),G118&gt;=0,ISNUMBER(H118),H118&gt;=0)</f>
        <v>1</v>
      </c>
      <c r="S118" s="13" t="n">
        <f aca="false">IF(R118,100*I118/F118,"")</f>
        <v>0.292260292300734</v>
      </c>
      <c r="T118" s="11" t="b">
        <f aca="false">NOT(AND(OR(AND(ISBLANK(RawFinancials!B118),ISBLANK(_RawBaseline!B115)),AND(ISNUMBER(RawFinancials!B118),ISNUMBER(_RawBaseline!B115),RawFinancials!B118=_RawBaseline!B115)),OR(AND(ISBLANK(RawFinancials!U118),ISBLANK(_RawBaseline!U115)),AND(ISNUMBER(RawFinancials!U118),ISNUMBER(_RawBaseline!U115),RawFinancials!U118=_RawBaseline!U115)),OR(AND(ISBLANK(RawFinancials!O118),ISBLANK(_RawBaseline!O115)),AND(ISNUMBER(RawFinancials!O118),ISNUMBER(_RawBaseline!O115),RawFinancials!O118=_RawBaseline!O115))))</f>
        <v>0</v>
      </c>
      <c r="U118" s="13" t="n">
        <f aca="false">IF(AND(D118=WF_START_PERIOD,R118,COUNTIFS($B$5:$B$750,B118,$D$5:$D$750,WF_END_PERIOD,$R$5:$R$750,TRUE())&gt;0),SUMIFS($S$5:$S$750,$B$5:$B$750,B118,$D$5:$D$750,WF_END_PERIOD,$R$5:$R$750,TRUE()),0)</f>
        <v>0</v>
      </c>
      <c r="V118" s="0" t="str">
        <f aca="false">IF(AND(D118=WF_START_PERIOD,COUNTIFS($B$5:$B$750,B118,$D$5:$D$750,WF_END_PERIOD)&gt;0),INDEX($E$5:$E$750,MATCH(B118&amp;"|"&amp;WF_END_PERIOD,$AC$5:$AC$750,0)),"")</f>
        <v/>
      </c>
      <c r="W118" s="11" t="b">
        <f aca="false">COUNTIFS($B$5:$B$750,B118,$D$5:$D$750,WF_START_PERIOD,$R$5:$R$750,TRUE())&gt;0</f>
        <v>1</v>
      </c>
      <c r="X118" s="11" t="b">
        <f aca="false">COUNTIFS($B$5:$B$750,B118,$D$5:$D$750,WF_END_PERIOD,$R$5:$R$750,TRUE())&gt;0</f>
        <v>1</v>
      </c>
      <c r="Y118" s="0" t="str">
        <f aca="false">IF(AND(D118=WF_END_PERIOD,COUNTIFS($B$5:$B$750,B118,$D$5:$D$750,WF_START_PERIOD)&gt;0),INDEX($E$5:$E$750,MATCH(B118&amp;"|"&amp;WF_START_PERIOD,$AC$5:$AC$750,0)),"")</f>
        <v/>
      </c>
      <c r="Z118" s="0" t="str">
        <f aca="false">IF(AND(D118=WF_END_PERIOD,R118),1+COUNTIFS($D$5:$D$750,WF_END_PERIOD,$E$5:$E$750,E118,$R$5:$R$750,TRUE(),$S$5:$S$750,"&gt;"&amp;S118)+COUNTIFS($D$5:$D$750,WF_END_PERIOD,$E$5:$E$750,E118,$R$5:$R$750,TRUE(),$S$5:$S$750,S118,$B$5:$B$750,"&lt;"&amp;B118),"")</f>
        <v/>
      </c>
      <c r="AA118" s="0" t="str">
        <f aca="false">IF(AND(D118=WF_END_PERIOD,R118,Z118&lt;&gt;1),1+COUNTIFS($D$5:$D$750,WF_END_PERIOD,$R$5:$R$750,TRUE(),$Z$5:$Z$750,"&lt;&gt;1",$S$5:$S$750,"&gt;"&amp;S118)+COUNTIFS($D$5:$D$750,WF_END_PERIOD,$R$5:$R$750,TRUE(),$Z$5:$Z$750,"&lt;&gt;1",$S$5:$S$750,S118,$B$5:$B$750,"&lt;"&amp;B118),"")</f>
        <v/>
      </c>
      <c r="AB118" s="11" t="b">
        <f aca="false">OR(D118=WF_START_PERIOD,D118=WF_END_PERIOD)</f>
        <v>0</v>
      </c>
      <c r="AC118" s="0" t="str">
        <f aca="false">B118&amp;"|"&amp;D118</f>
        <v>17180|20220930</v>
      </c>
    </row>
    <row r="119" customFormat="false" ht="15" hidden="false" customHeight="false" outlineLevel="0" collapsed="false">
      <c r="A119" s="0" t="n">
        <f aca="false">RawFinancials!A119</f>
        <v>116</v>
      </c>
      <c r="B119" s="0" t="n">
        <f aca="false">RawFinancials!C119</f>
        <v>17443</v>
      </c>
      <c r="C119" s="0" t="str">
        <f aca="false">RawFinancials!P119</f>
        <v>PISCATAQUA SAVINGS BANK</v>
      </c>
      <c r="D119" s="0" t="n">
        <f aca="false">RawFinancials!W119</f>
        <v>20220930</v>
      </c>
      <c r="E119" s="0" t="str">
        <f aca="false">RawFinancials!Z119</f>
        <v>NH</v>
      </c>
      <c r="F119" s="0" t="n">
        <f aca="false">RawFinancials!B119</f>
        <v>357184</v>
      </c>
      <c r="G119" s="0" t="n">
        <f aca="false">RawFinancials!U119</f>
        <v>0</v>
      </c>
      <c r="H119" s="0" t="n">
        <f aca="false">RawFinancials!O119</f>
        <v>390</v>
      </c>
      <c r="I119" s="0" t="n">
        <f aca="false">IF(AND(ISNUMBER(G119),ISNUMBER(H119)),G119+H119,"")</f>
        <v>390</v>
      </c>
      <c r="J119" s="0" t="n">
        <f aca="false">RawFinancials!D119</f>
        <v>318685</v>
      </c>
      <c r="K119" s="0" t="n">
        <f aca="false">RawFinancials!F119</f>
        <v>37316</v>
      </c>
      <c r="L119" s="0" t="n">
        <f aca="false">RawFinancials!L119</f>
        <v>201839</v>
      </c>
      <c r="M119" s="0" t="n">
        <f aca="false">RawFinancials!N119</f>
        <v>199865</v>
      </c>
      <c r="N119" s="13" t="n">
        <f aca="false">RawFinancials!X119</f>
        <v>0.548533001407754</v>
      </c>
      <c r="O119" s="13" t="n">
        <f aca="false">RawFinancials!V119</f>
        <v>0</v>
      </c>
      <c r="P119" s="13" t="n">
        <f aca="false">IF(AND(ISNUMBER(L119),L119&lt;&gt;0,ISNUMBER(M119)),100*M119/L119,"")</f>
        <v>99.0219927764208</v>
      </c>
      <c r="Q119" s="13" t="n">
        <f aca="false">IF(AND(ISNUMBER(F119),F119&lt;&gt;0,ISNUMBER(K119)),100*K119/F119,"")</f>
        <v>10.4472764737502</v>
      </c>
      <c r="R119" s="11" t="b">
        <f aca="false">AND(ISNUMBER(F119),F119&gt;0,ISNUMBER(G119),G119&gt;=0,ISNUMBER(H119),H119&gt;=0)</f>
        <v>1</v>
      </c>
      <c r="S119" s="13" t="n">
        <f aca="false">IF(R119,100*I119/F119,"")</f>
        <v>0.109187421609031</v>
      </c>
      <c r="T119" s="11" t="b">
        <f aca="false">NOT(AND(OR(AND(ISBLANK(RawFinancials!B119),ISBLANK(_RawBaseline!B116)),AND(ISNUMBER(RawFinancials!B119),ISNUMBER(_RawBaseline!B116),RawFinancials!B119=_RawBaseline!B116)),OR(AND(ISBLANK(RawFinancials!U119),ISBLANK(_RawBaseline!U116)),AND(ISNUMBER(RawFinancials!U119),ISNUMBER(_RawBaseline!U116),RawFinancials!U119=_RawBaseline!U116)),OR(AND(ISBLANK(RawFinancials!O119),ISBLANK(_RawBaseline!O116)),AND(ISNUMBER(RawFinancials!O119),ISNUMBER(_RawBaseline!O116),RawFinancials!O119=_RawBaseline!O116))))</f>
        <v>0</v>
      </c>
      <c r="U119" s="13" t="n">
        <f aca="false">IF(AND(D119=WF_START_PERIOD,R119,COUNTIFS($B$5:$B$750,B119,$D$5:$D$750,WF_END_PERIOD,$R$5:$R$750,TRUE())&gt;0),SUMIFS($S$5:$S$750,$B$5:$B$750,B119,$D$5:$D$750,WF_END_PERIOD,$R$5:$R$750,TRUE()),0)</f>
        <v>0</v>
      </c>
      <c r="V119" s="0" t="str">
        <f aca="false">IF(AND(D119=WF_START_PERIOD,COUNTIFS($B$5:$B$750,B119,$D$5:$D$750,WF_END_PERIOD)&gt;0),INDEX($E$5:$E$750,MATCH(B119&amp;"|"&amp;WF_END_PERIOD,$AC$5:$AC$750,0)),"")</f>
        <v/>
      </c>
      <c r="W119" s="11" t="b">
        <f aca="false">COUNTIFS($B$5:$B$750,B119,$D$5:$D$750,WF_START_PERIOD,$R$5:$R$750,TRUE())&gt;0</f>
        <v>1</v>
      </c>
      <c r="X119" s="11" t="b">
        <f aca="false">COUNTIFS($B$5:$B$750,B119,$D$5:$D$750,WF_END_PERIOD,$R$5:$R$750,TRUE())&gt;0</f>
        <v>1</v>
      </c>
      <c r="Y119" s="0" t="str">
        <f aca="false">IF(AND(D119=WF_END_PERIOD,COUNTIFS($B$5:$B$750,B119,$D$5:$D$750,WF_START_PERIOD)&gt;0),INDEX($E$5:$E$750,MATCH(B119&amp;"|"&amp;WF_START_PERIOD,$AC$5:$AC$750,0)),"")</f>
        <v/>
      </c>
      <c r="Z119" s="0" t="str">
        <f aca="false">IF(AND(D119=WF_END_PERIOD,R119),1+COUNTIFS($D$5:$D$750,WF_END_PERIOD,$E$5:$E$750,E119,$R$5:$R$750,TRUE(),$S$5:$S$750,"&gt;"&amp;S119)+COUNTIFS($D$5:$D$750,WF_END_PERIOD,$E$5:$E$750,E119,$R$5:$R$750,TRUE(),$S$5:$S$750,S119,$B$5:$B$750,"&lt;"&amp;B119),"")</f>
        <v/>
      </c>
      <c r="AA119" s="0" t="str">
        <f aca="false">IF(AND(D119=WF_END_PERIOD,R119,Z119&lt;&gt;1),1+COUNTIFS($D$5:$D$750,WF_END_PERIOD,$R$5:$R$750,TRUE(),$Z$5:$Z$750,"&lt;&gt;1",$S$5:$S$750,"&gt;"&amp;S119)+COUNTIFS($D$5:$D$750,WF_END_PERIOD,$R$5:$R$750,TRUE(),$Z$5:$Z$750,"&lt;&gt;1",$S$5:$S$750,S119,$B$5:$B$750,"&lt;"&amp;B119),"")</f>
        <v/>
      </c>
      <c r="AB119" s="11" t="b">
        <f aca="false">OR(D119=WF_START_PERIOD,D119=WF_END_PERIOD)</f>
        <v>0</v>
      </c>
      <c r="AC119" s="0" t="str">
        <f aca="false">B119&amp;"|"&amp;D119</f>
        <v>17443|20220930</v>
      </c>
    </row>
    <row r="120" customFormat="false" ht="15" hidden="false" customHeight="false" outlineLevel="0" collapsed="false">
      <c r="A120" s="0" t="n">
        <f aca="false">RawFinancials!A120</f>
        <v>117</v>
      </c>
      <c r="B120" s="0" t="n">
        <f aca="false">RawFinancials!C120</f>
        <v>17658</v>
      </c>
      <c r="C120" s="0" t="str">
        <f aca="false">RawFinancials!P120</f>
        <v>NORWAY SAVINGS BANK</v>
      </c>
      <c r="D120" s="0" t="n">
        <f aca="false">RawFinancials!W120</f>
        <v>20220930</v>
      </c>
      <c r="E120" s="0" t="str">
        <f aca="false">RawFinancials!Z120</f>
        <v>ME</v>
      </c>
      <c r="F120" s="0" t="n">
        <f aca="false">RawFinancials!B120</f>
        <v>1739896</v>
      </c>
      <c r="G120" s="0" t="n">
        <f aca="false">RawFinancials!U120</f>
        <v>9</v>
      </c>
      <c r="H120" s="0" t="n">
        <f aca="false">RawFinancials!O120</f>
        <v>395</v>
      </c>
      <c r="I120" s="0" t="n">
        <f aca="false">IF(AND(ISNUMBER(G120),ISNUMBER(H120)),G120+H120,"")</f>
        <v>404</v>
      </c>
      <c r="J120" s="0" t="n">
        <f aca="false">RawFinancials!D120</f>
        <v>1532921</v>
      </c>
      <c r="K120" s="0" t="n">
        <f aca="false">RawFinancials!F120</f>
        <v>175487</v>
      </c>
      <c r="L120" s="0" t="n">
        <f aca="false">RawFinancials!L120</f>
        <v>1170228</v>
      </c>
      <c r="M120" s="0" t="n">
        <f aca="false">RawFinancials!N120</f>
        <v>1008787</v>
      </c>
      <c r="N120" s="13" t="n">
        <f aca="false">RawFinancials!X120</f>
        <v>-0.0199909380414696</v>
      </c>
      <c r="O120" s="13" t="n">
        <f aca="false">RawFinancials!V120</f>
        <v>0</v>
      </c>
      <c r="P120" s="13" t="n">
        <f aca="false">IF(AND(ISNUMBER(L120),L120&lt;&gt;0,ISNUMBER(M120)),100*M120/L120,"")</f>
        <v>86.2043123220432</v>
      </c>
      <c r="Q120" s="13" t="n">
        <f aca="false">IF(AND(ISNUMBER(F120),F120&lt;&gt;0,ISNUMBER(K120)),100*K120/F120,"")</f>
        <v>10.0860626152368</v>
      </c>
      <c r="R120" s="11" t="b">
        <f aca="false">AND(ISNUMBER(F120),F120&gt;0,ISNUMBER(G120),G120&gt;=0,ISNUMBER(H120),H120&gt;=0)</f>
        <v>1</v>
      </c>
      <c r="S120" s="13" t="n">
        <f aca="false">IF(R120,100*I120/F120,"")</f>
        <v>0.0232197786534368</v>
      </c>
      <c r="T120" s="11" t="b">
        <f aca="false">NOT(AND(OR(AND(ISBLANK(RawFinancials!B120),ISBLANK(_RawBaseline!B117)),AND(ISNUMBER(RawFinancials!B120),ISNUMBER(_RawBaseline!B117),RawFinancials!B120=_RawBaseline!B117)),OR(AND(ISBLANK(RawFinancials!U120),ISBLANK(_RawBaseline!U117)),AND(ISNUMBER(RawFinancials!U120),ISNUMBER(_RawBaseline!U117),RawFinancials!U120=_RawBaseline!U117)),OR(AND(ISBLANK(RawFinancials!O120),ISBLANK(_RawBaseline!O117)),AND(ISNUMBER(RawFinancials!O120),ISNUMBER(_RawBaseline!O117),RawFinancials!O120=_RawBaseline!O117))))</f>
        <v>0</v>
      </c>
      <c r="U120" s="13" t="n">
        <f aca="false">IF(AND(D120=WF_START_PERIOD,R120,COUNTIFS($B$5:$B$750,B120,$D$5:$D$750,WF_END_PERIOD,$R$5:$R$750,TRUE())&gt;0),SUMIFS($S$5:$S$750,$B$5:$B$750,B120,$D$5:$D$750,WF_END_PERIOD,$R$5:$R$750,TRUE()),0)</f>
        <v>0</v>
      </c>
      <c r="V120" s="0" t="str">
        <f aca="false">IF(AND(D120=WF_START_PERIOD,COUNTIFS($B$5:$B$750,B120,$D$5:$D$750,WF_END_PERIOD)&gt;0),INDEX($E$5:$E$750,MATCH(B120&amp;"|"&amp;WF_END_PERIOD,$AC$5:$AC$750,0)),"")</f>
        <v/>
      </c>
      <c r="W120" s="11" t="b">
        <f aca="false">COUNTIFS($B$5:$B$750,B120,$D$5:$D$750,WF_START_PERIOD,$R$5:$R$750,TRUE())&gt;0</f>
        <v>1</v>
      </c>
      <c r="X120" s="11" t="b">
        <f aca="false">COUNTIFS($B$5:$B$750,B120,$D$5:$D$750,WF_END_PERIOD,$R$5:$R$750,TRUE())&gt;0</f>
        <v>1</v>
      </c>
      <c r="Y120" s="0" t="str">
        <f aca="false">IF(AND(D120=WF_END_PERIOD,COUNTIFS($B$5:$B$750,B120,$D$5:$D$750,WF_START_PERIOD)&gt;0),INDEX($E$5:$E$750,MATCH(B120&amp;"|"&amp;WF_START_PERIOD,$AC$5:$AC$750,0)),"")</f>
        <v/>
      </c>
      <c r="Z120" s="0" t="str">
        <f aca="false">IF(AND(D120=WF_END_PERIOD,R120),1+COUNTIFS($D$5:$D$750,WF_END_PERIOD,$E$5:$E$750,E120,$R$5:$R$750,TRUE(),$S$5:$S$750,"&gt;"&amp;S120)+COUNTIFS($D$5:$D$750,WF_END_PERIOD,$E$5:$E$750,E120,$R$5:$R$750,TRUE(),$S$5:$S$750,S120,$B$5:$B$750,"&lt;"&amp;B120),"")</f>
        <v/>
      </c>
      <c r="AA120" s="0" t="str">
        <f aca="false">IF(AND(D120=WF_END_PERIOD,R120,Z120&lt;&gt;1),1+COUNTIFS($D$5:$D$750,WF_END_PERIOD,$R$5:$R$750,TRUE(),$Z$5:$Z$750,"&lt;&gt;1",$S$5:$S$750,"&gt;"&amp;S120)+COUNTIFS($D$5:$D$750,WF_END_PERIOD,$R$5:$R$750,TRUE(),$Z$5:$Z$750,"&lt;&gt;1",$S$5:$S$750,S120,$B$5:$B$750,"&lt;"&amp;B120),"")</f>
        <v/>
      </c>
      <c r="AB120" s="11" t="b">
        <f aca="false">OR(D120=WF_START_PERIOD,D120=WF_END_PERIOD)</f>
        <v>0</v>
      </c>
      <c r="AC120" s="0" t="str">
        <f aca="false">B120&amp;"|"&amp;D120</f>
        <v>17658|20220930</v>
      </c>
    </row>
    <row r="121" customFormat="false" ht="15" hidden="false" customHeight="false" outlineLevel="0" collapsed="false">
      <c r="A121" s="0" t="n">
        <f aca="false">RawFinancials!A121</f>
        <v>118</v>
      </c>
      <c r="B121" s="0" t="n">
        <f aca="false">RawFinancials!C121</f>
        <v>17741</v>
      </c>
      <c r="C121" s="0" t="str">
        <f aca="false">RawFinancials!P121</f>
        <v>MAINE COMMUNITY BANK</v>
      </c>
      <c r="D121" s="0" t="n">
        <f aca="false">RawFinancials!W121</f>
        <v>20220930</v>
      </c>
      <c r="E121" s="0" t="str">
        <f aca="false">RawFinancials!Z121</f>
        <v>ME</v>
      </c>
      <c r="F121" s="0" t="n">
        <f aca="false">RawFinancials!B121</f>
        <v>1011112</v>
      </c>
      <c r="G121" s="0" t="n">
        <f aca="false">RawFinancials!U121</f>
        <v>0</v>
      </c>
      <c r="H121" s="0" t="n">
        <f aca="false">RawFinancials!O121</f>
        <v>1945</v>
      </c>
      <c r="I121" s="0" t="n">
        <f aca="false">IF(AND(ISNUMBER(G121),ISNUMBER(H121)),G121+H121,"")</f>
        <v>1945</v>
      </c>
      <c r="J121" s="0" t="n">
        <f aca="false">RawFinancials!D121</f>
        <v>854564</v>
      </c>
      <c r="K121" s="0" t="n">
        <f aca="false">RawFinancials!F121</f>
        <v>127616</v>
      </c>
      <c r="L121" s="0" t="n">
        <f aca="false">RawFinancials!L121</f>
        <v>833425</v>
      </c>
      <c r="M121" s="0" t="n">
        <f aca="false">RawFinancials!N121</f>
        <v>783810</v>
      </c>
      <c r="N121" s="13" t="n">
        <f aca="false">RawFinancials!X121</f>
        <v>0.759114908984002</v>
      </c>
      <c r="O121" s="13" t="n">
        <f aca="false">RawFinancials!V121</f>
        <v>0</v>
      </c>
      <c r="P121" s="13" t="n">
        <f aca="false">IF(AND(ISNUMBER(L121),L121&lt;&gt;0,ISNUMBER(M121)),100*M121/L121,"")</f>
        <v>94.046854845967</v>
      </c>
      <c r="Q121" s="13" t="n">
        <f aca="false">IF(AND(ISNUMBER(F121),F121&lt;&gt;0,ISNUMBER(K121)),100*K121/F121,"")</f>
        <v>12.621351541669</v>
      </c>
      <c r="R121" s="11" t="b">
        <f aca="false">AND(ISNUMBER(F121),F121&gt;0,ISNUMBER(G121),G121&gt;=0,ISNUMBER(H121),H121&gt;=0)</f>
        <v>1</v>
      </c>
      <c r="S121" s="13" t="n">
        <f aca="false">IF(R121,100*I121/F121,"")</f>
        <v>0.192362468252775</v>
      </c>
      <c r="T121" s="11" t="b">
        <f aca="false">NOT(AND(OR(AND(ISBLANK(RawFinancials!B121),ISBLANK(_RawBaseline!B118)),AND(ISNUMBER(RawFinancials!B121),ISNUMBER(_RawBaseline!B118),RawFinancials!B121=_RawBaseline!B118)),OR(AND(ISBLANK(RawFinancials!U121),ISBLANK(_RawBaseline!U118)),AND(ISNUMBER(RawFinancials!U121),ISNUMBER(_RawBaseline!U118),RawFinancials!U121=_RawBaseline!U118)),OR(AND(ISBLANK(RawFinancials!O121),ISBLANK(_RawBaseline!O118)),AND(ISNUMBER(RawFinancials!O121),ISNUMBER(_RawBaseline!O118),RawFinancials!O121=_RawBaseline!O118))))</f>
        <v>0</v>
      </c>
      <c r="U121" s="13" t="n">
        <f aca="false">IF(AND(D121=WF_START_PERIOD,R121,COUNTIFS($B$5:$B$750,B121,$D$5:$D$750,WF_END_PERIOD,$R$5:$R$750,TRUE())&gt;0),SUMIFS($S$5:$S$750,$B$5:$B$750,B121,$D$5:$D$750,WF_END_PERIOD,$R$5:$R$750,TRUE()),0)</f>
        <v>0</v>
      </c>
      <c r="V121" s="0" t="str">
        <f aca="false">IF(AND(D121=WF_START_PERIOD,COUNTIFS($B$5:$B$750,B121,$D$5:$D$750,WF_END_PERIOD)&gt;0),INDEX($E$5:$E$750,MATCH(B121&amp;"|"&amp;WF_END_PERIOD,$AC$5:$AC$750,0)),"")</f>
        <v/>
      </c>
      <c r="W121" s="11" t="b">
        <f aca="false">COUNTIFS($B$5:$B$750,B121,$D$5:$D$750,WF_START_PERIOD,$R$5:$R$750,TRUE())&gt;0</f>
        <v>1</v>
      </c>
      <c r="X121" s="11" t="b">
        <f aca="false">COUNTIFS($B$5:$B$750,B121,$D$5:$D$750,WF_END_PERIOD,$R$5:$R$750,TRUE())&gt;0</f>
        <v>1</v>
      </c>
      <c r="Y121" s="0" t="str">
        <f aca="false">IF(AND(D121=WF_END_PERIOD,COUNTIFS($B$5:$B$750,B121,$D$5:$D$750,WF_START_PERIOD)&gt;0),INDEX($E$5:$E$750,MATCH(B121&amp;"|"&amp;WF_START_PERIOD,$AC$5:$AC$750,0)),"")</f>
        <v/>
      </c>
      <c r="Z121" s="0" t="str">
        <f aca="false">IF(AND(D121=WF_END_PERIOD,R121),1+COUNTIFS($D$5:$D$750,WF_END_PERIOD,$E$5:$E$750,E121,$R$5:$R$750,TRUE(),$S$5:$S$750,"&gt;"&amp;S121)+COUNTIFS($D$5:$D$750,WF_END_PERIOD,$E$5:$E$750,E121,$R$5:$R$750,TRUE(),$S$5:$S$750,S121,$B$5:$B$750,"&lt;"&amp;B121),"")</f>
        <v/>
      </c>
      <c r="AA121" s="0" t="str">
        <f aca="false">IF(AND(D121=WF_END_PERIOD,R121,Z121&lt;&gt;1),1+COUNTIFS($D$5:$D$750,WF_END_PERIOD,$R$5:$R$750,TRUE(),$Z$5:$Z$750,"&lt;&gt;1",$S$5:$S$750,"&gt;"&amp;S121)+COUNTIFS($D$5:$D$750,WF_END_PERIOD,$R$5:$R$750,TRUE(),$Z$5:$Z$750,"&lt;&gt;1",$S$5:$S$750,S121,$B$5:$B$750,"&lt;"&amp;B121),"")</f>
        <v/>
      </c>
      <c r="AB121" s="11" t="b">
        <f aca="false">OR(D121=WF_START_PERIOD,D121=WF_END_PERIOD)</f>
        <v>0</v>
      </c>
      <c r="AC121" s="0" t="str">
        <f aca="false">B121&amp;"|"&amp;D121</f>
        <v>17741|20220930</v>
      </c>
    </row>
    <row r="122" customFormat="false" ht="15" hidden="false" customHeight="false" outlineLevel="0" collapsed="false">
      <c r="A122" s="0" t="n">
        <f aca="false">RawFinancials!A122</f>
        <v>119</v>
      </c>
      <c r="B122" s="0" t="n">
        <f aca="false">RawFinancials!C122</f>
        <v>17743</v>
      </c>
      <c r="C122" s="0" t="str">
        <f aca="false">RawFinancials!P122</f>
        <v>SACO &amp; BIDDEFORD SAVINGS INSTITUTION</v>
      </c>
      <c r="D122" s="0" t="n">
        <f aca="false">RawFinancials!W122</f>
        <v>20220930</v>
      </c>
      <c r="E122" s="0" t="str">
        <f aca="false">RawFinancials!Z122</f>
        <v>ME</v>
      </c>
      <c r="F122" s="0" t="n">
        <f aca="false">RawFinancials!B122</f>
        <v>1249583</v>
      </c>
      <c r="G122" s="0" t="n">
        <f aca="false">RawFinancials!U122</f>
        <v>0</v>
      </c>
      <c r="H122" s="0" t="n">
        <f aca="false">RawFinancials!O122</f>
        <v>2125</v>
      </c>
      <c r="I122" s="0" t="n">
        <f aca="false">IF(AND(ISNUMBER(G122),ISNUMBER(H122)),G122+H122,"")</f>
        <v>2125</v>
      </c>
      <c r="J122" s="0" t="n">
        <f aca="false">RawFinancials!D122</f>
        <v>1015664</v>
      </c>
      <c r="K122" s="0" t="n">
        <f aca="false">RawFinancials!F122</f>
        <v>114993</v>
      </c>
      <c r="L122" s="0" t="n">
        <f aca="false">RawFinancials!L122</f>
        <v>953891</v>
      </c>
      <c r="M122" s="0" t="n">
        <f aca="false">RawFinancials!N122</f>
        <v>922540</v>
      </c>
      <c r="N122" s="13" t="n">
        <f aca="false">RawFinancials!X122</f>
        <v>0.359517686061837</v>
      </c>
      <c r="O122" s="13" t="n">
        <f aca="false">RawFinancials!V122</f>
        <v>0</v>
      </c>
      <c r="P122" s="13" t="n">
        <f aca="false">IF(AND(ISNUMBER(L122),L122&lt;&gt;0,ISNUMBER(M122)),100*M122/L122,"")</f>
        <v>96.7133561381751</v>
      </c>
      <c r="Q122" s="13" t="n">
        <f aca="false">IF(AND(ISNUMBER(F122),F122&lt;&gt;0,ISNUMBER(K122)),100*K122/F122,"")</f>
        <v>9.20250995732176</v>
      </c>
      <c r="R122" s="11" t="b">
        <f aca="false">AND(ISNUMBER(F122),F122&gt;0,ISNUMBER(G122),G122&gt;=0,ISNUMBER(H122),H122&gt;=0)</f>
        <v>1</v>
      </c>
      <c r="S122" s="13" t="n">
        <f aca="false">IF(R122,100*I122/F122,"")</f>
        <v>0.170056730925437</v>
      </c>
      <c r="T122" s="11" t="b">
        <f aca="false">NOT(AND(OR(AND(ISBLANK(RawFinancials!B122),ISBLANK(_RawBaseline!B119)),AND(ISNUMBER(RawFinancials!B122),ISNUMBER(_RawBaseline!B119),RawFinancials!B122=_RawBaseline!B119)),OR(AND(ISBLANK(RawFinancials!U122),ISBLANK(_RawBaseline!U119)),AND(ISNUMBER(RawFinancials!U122),ISNUMBER(_RawBaseline!U119),RawFinancials!U122=_RawBaseline!U119)),OR(AND(ISBLANK(RawFinancials!O122),ISBLANK(_RawBaseline!O119)),AND(ISNUMBER(RawFinancials!O122),ISNUMBER(_RawBaseline!O119),RawFinancials!O122=_RawBaseline!O119))))</f>
        <v>0</v>
      </c>
      <c r="U122" s="13" t="n">
        <f aca="false">IF(AND(D122=WF_START_PERIOD,R122,COUNTIFS($B$5:$B$750,B122,$D$5:$D$750,WF_END_PERIOD,$R$5:$R$750,TRUE())&gt;0),SUMIFS($S$5:$S$750,$B$5:$B$750,B122,$D$5:$D$750,WF_END_PERIOD,$R$5:$R$750,TRUE()),0)</f>
        <v>0</v>
      </c>
      <c r="V122" s="0" t="str">
        <f aca="false">IF(AND(D122=WF_START_PERIOD,COUNTIFS($B$5:$B$750,B122,$D$5:$D$750,WF_END_PERIOD)&gt;0),INDEX($E$5:$E$750,MATCH(B122&amp;"|"&amp;WF_END_PERIOD,$AC$5:$AC$750,0)),"")</f>
        <v/>
      </c>
      <c r="W122" s="11" t="b">
        <f aca="false">COUNTIFS($B$5:$B$750,B122,$D$5:$D$750,WF_START_PERIOD,$R$5:$R$750,TRUE())&gt;0</f>
        <v>1</v>
      </c>
      <c r="X122" s="11" t="b">
        <f aca="false">COUNTIFS($B$5:$B$750,B122,$D$5:$D$750,WF_END_PERIOD,$R$5:$R$750,TRUE())&gt;0</f>
        <v>1</v>
      </c>
      <c r="Y122" s="0" t="str">
        <f aca="false">IF(AND(D122=WF_END_PERIOD,COUNTIFS($B$5:$B$750,B122,$D$5:$D$750,WF_START_PERIOD)&gt;0),INDEX($E$5:$E$750,MATCH(B122&amp;"|"&amp;WF_START_PERIOD,$AC$5:$AC$750,0)),"")</f>
        <v/>
      </c>
      <c r="Z122" s="0" t="str">
        <f aca="false">IF(AND(D122=WF_END_PERIOD,R122),1+COUNTIFS($D$5:$D$750,WF_END_PERIOD,$E$5:$E$750,E122,$R$5:$R$750,TRUE(),$S$5:$S$750,"&gt;"&amp;S122)+COUNTIFS($D$5:$D$750,WF_END_PERIOD,$E$5:$E$750,E122,$R$5:$R$750,TRUE(),$S$5:$S$750,S122,$B$5:$B$750,"&lt;"&amp;B122),"")</f>
        <v/>
      </c>
      <c r="AA122" s="0" t="str">
        <f aca="false">IF(AND(D122=WF_END_PERIOD,R122,Z122&lt;&gt;1),1+COUNTIFS($D$5:$D$750,WF_END_PERIOD,$R$5:$R$750,TRUE(),$Z$5:$Z$750,"&lt;&gt;1",$S$5:$S$750,"&gt;"&amp;S122)+COUNTIFS($D$5:$D$750,WF_END_PERIOD,$R$5:$R$750,TRUE(),$Z$5:$Z$750,"&lt;&gt;1",$S$5:$S$750,S122,$B$5:$B$750,"&lt;"&amp;B122),"")</f>
        <v/>
      </c>
      <c r="AB122" s="11" t="b">
        <f aca="false">OR(D122=WF_START_PERIOD,D122=WF_END_PERIOD)</f>
        <v>0</v>
      </c>
      <c r="AC122" s="0" t="str">
        <f aca="false">B122&amp;"|"&amp;D122</f>
        <v>17743|20220930</v>
      </c>
    </row>
    <row r="123" customFormat="false" ht="15" hidden="false" customHeight="false" outlineLevel="0" collapsed="false">
      <c r="A123" s="0" t="n">
        <f aca="false">RawFinancials!A123</f>
        <v>120</v>
      </c>
      <c r="B123" s="0" t="n">
        <f aca="false">RawFinancials!C123</f>
        <v>17748</v>
      </c>
      <c r="C123" s="0" t="str">
        <f aca="false">RawFinancials!P123</f>
        <v>GORHAM SAVINGS BANK</v>
      </c>
      <c r="D123" s="0" t="n">
        <f aca="false">RawFinancials!W123</f>
        <v>20220930</v>
      </c>
      <c r="E123" s="0" t="str">
        <f aca="false">RawFinancials!Z123</f>
        <v>ME</v>
      </c>
      <c r="F123" s="0" t="n">
        <f aca="false">RawFinancials!B123</f>
        <v>1552351</v>
      </c>
      <c r="G123" s="0" t="n">
        <f aca="false">RawFinancials!U123</f>
        <v>0</v>
      </c>
      <c r="H123" s="0" t="n">
        <f aca="false">RawFinancials!O123</f>
        <v>6350</v>
      </c>
      <c r="I123" s="0" t="n">
        <f aca="false">IF(AND(ISNUMBER(G123),ISNUMBER(H123)),G123+H123,"")</f>
        <v>6350</v>
      </c>
      <c r="J123" s="0" t="n">
        <f aca="false">RawFinancials!D123</f>
        <v>1377805</v>
      </c>
      <c r="K123" s="0" t="n">
        <f aca="false">RawFinancials!F123</f>
        <v>102427</v>
      </c>
      <c r="L123" s="0" t="n">
        <f aca="false">RawFinancials!L123</f>
        <v>1181676</v>
      </c>
      <c r="M123" s="0" t="n">
        <f aca="false">RawFinancials!N123</f>
        <v>1007459</v>
      </c>
      <c r="N123" s="13" t="n">
        <f aca="false">RawFinancials!X123</f>
        <v>0.368036496430469</v>
      </c>
      <c r="O123" s="13" t="n">
        <f aca="false">RawFinancials!V123</f>
        <v>0</v>
      </c>
      <c r="P123" s="13" t="n">
        <f aca="false">IF(AND(ISNUMBER(L123),L123&lt;&gt;0,ISNUMBER(M123)),100*M123/L123,"")</f>
        <v>85.2567878166266</v>
      </c>
      <c r="Q123" s="13" t="n">
        <f aca="false">IF(AND(ISNUMBER(F123),F123&lt;&gt;0,ISNUMBER(K123)),100*K123/F123,"")</f>
        <v>6.59818559075879</v>
      </c>
      <c r="R123" s="11" t="b">
        <f aca="false">AND(ISNUMBER(F123),F123&gt;0,ISNUMBER(G123),G123&gt;=0,ISNUMBER(H123),H123&gt;=0)</f>
        <v>1</v>
      </c>
      <c r="S123" s="13" t="n">
        <f aca="false">IF(R123,100*I123/F123,"")</f>
        <v>0.40905697229557</v>
      </c>
      <c r="T123" s="11" t="b">
        <f aca="false">NOT(AND(OR(AND(ISBLANK(RawFinancials!B123),ISBLANK(_RawBaseline!B120)),AND(ISNUMBER(RawFinancials!B123),ISNUMBER(_RawBaseline!B120),RawFinancials!B123=_RawBaseline!B120)),OR(AND(ISBLANK(RawFinancials!U123),ISBLANK(_RawBaseline!U120)),AND(ISNUMBER(RawFinancials!U123),ISNUMBER(_RawBaseline!U120),RawFinancials!U123=_RawBaseline!U120)),OR(AND(ISBLANK(RawFinancials!O123),ISBLANK(_RawBaseline!O120)),AND(ISNUMBER(RawFinancials!O123),ISNUMBER(_RawBaseline!O120),RawFinancials!O123=_RawBaseline!O120))))</f>
        <v>0</v>
      </c>
      <c r="U123" s="13" t="n">
        <f aca="false">IF(AND(D123=WF_START_PERIOD,R123,COUNTIFS($B$5:$B$750,B123,$D$5:$D$750,WF_END_PERIOD,$R$5:$R$750,TRUE())&gt;0),SUMIFS($S$5:$S$750,$B$5:$B$750,B123,$D$5:$D$750,WF_END_PERIOD,$R$5:$R$750,TRUE()),0)</f>
        <v>0</v>
      </c>
      <c r="V123" s="0" t="str">
        <f aca="false">IF(AND(D123=WF_START_PERIOD,COUNTIFS($B$5:$B$750,B123,$D$5:$D$750,WF_END_PERIOD)&gt;0),INDEX($E$5:$E$750,MATCH(B123&amp;"|"&amp;WF_END_PERIOD,$AC$5:$AC$750,0)),"")</f>
        <v/>
      </c>
      <c r="W123" s="11" t="b">
        <f aca="false">COUNTIFS($B$5:$B$750,B123,$D$5:$D$750,WF_START_PERIOD,$R$5:$R$750,TRUE())&gt;0</f>
        <v>1</v>
      </c>
      <c r="X123" s="11" t="b">
        <f aca="false">COUNTIFS($B$5:$B$750,B123,$D$5:$D$750,WF_END_PERIOD,$R$5:$R$750,TRUE())&gt;0</f>
        <v>0</v>
      </c>
      <c r="Y123" s="0" t="str">
        <f aca="false">IF(AND(D123=WF_END_PERIOD,COUNTIFS($B$5:$B$750,B123,$D$5:$D$750,WF_START_PERIOD)&gt;0),INDEX($E$5:$E$750,MATCH(B123&amp;"|"&amp;WF_START_PERIOD,$AC$5:$AC$750,0)),"")</f>
        <v/>
      </c>
      <c r="Z123" s="0" t="str">
        <f aca="false">IF(AND(D123=WF_END_PERIOD,R123),1+COUNTIFS($D$5:$D$750,WF_END_PERIOD,$E$5:$E$750,E123,$R$5:$R$750,TRUE(),$S$5:$S$750,"&gt;"&amp;S123)+COUNTIFS($D$5:$D$750,WF_END_PERIOD,$E$5:$E$750,E123,$R$5:$R$750,TRUE(),$S$5:$S$750,S123,$B$5:$B$750,"&lt;"&amp;B123),"")</f>
        <v/>
      </c>
      <c r="AA123" s="0" t="str">
        <f aca="false">IF(AND(D123=WF_END_PERIOD,R123,Z123&lt;&gt;1),1+COUNTIFS($D$5:$D$750,WF_END_PERIOD,$R$5:$R$750,TRUE(),$Z$5:$Z$750,"&lt;&gt;1",$S$5:$S$750,"&gt;"&amp;S123)+COUNTIFS($D$5:$D$750,WF_END_PERIOD,$R$5:$R$750,TRUE(),$Z$5:$Z$750,"&lt;&gt;1",$S$5:$S$750,S123,$B$5:$B$750,"&lt;"&amp;B123),"")</f>
        <v/>
      </c>
      <c r="AB123" s="11" t="b">
        <f aca="false">OR(D123=WF_START_PERIOD,D123=WF_END_PERIOD)</f>
        <v>0</v>
      </c>
      <c r="AC123" s="0" t="str">
        <f aca="false">B123&amp;"|"&amp;D123</f>
        <v>17748|20220930</v>
      </c>
    </row>
    <row r="124" customFormat="false" ht="15" hidden="false" customHeight="false" outlineLevel="0" collapsed="false">
      <c r="A124" s="0" t="n">
        <f aca="false">RawFinancials!A124</f>
        <v>121</v>
      </c>
      <c r="B124" s="0" t="n">
        <f aca="false">RawFinancials!C124</f>
        <v>17749</v>
      </c>
      <c r="C124" s="0" t="str">
        <f aca="false">RawFinancials!P124</f>
        <v>BATH SAVINGS INSTITUTION</v>
      </c>
      <c r="D124" s="0" t="n">
        <f aca="false">RawFinancials!W124</f>
        <v>20220930</v>
      </c>
      <c r="E124" s="0" t="str">
        <f aca="false">RawFinancials!Z124</f>
        <v>ME</v>
      </c>
      <c r="F124" s="0" t="n">
        <f aca="false">RawFinancials!B124</f>
        <v>1262862</v>
      </c>
      <c r="G124" s="0" t="n">
        <f aca="false">RawFinancials!U124</f>
        <v>13</v>
      </c>
      <c r="H124" s="0" t="n">
        <f aca="false">RawFinancials!O124</f>
        <v>237</v>
      </c>
      <c r="I124" s="0" t="n">
        <f aca="false">IF(AND(ISNUMBER(G124),ISNUMBER(H124)),G124+H124,"")</f>
        <v>250</v>
      </c>
      <c r="J124" s="0" t="n">
        <f aca="false">RawFinancials!D124</f>
        <v>1042319</v>
      </c>
      <c r="K124" s="0" t="n">
        <f aca="false">RawFinancials!F124</f>
        <v>143149</v>
      </c>
      <c r="L124" s="0" t="n">
        <f aca="false">RawFinancials!L124</f>
        <v>707269</v>
      </c>
      <c r="M124" s="0" t="n">
        <f aca="false">RawFinancials!N124</f>
        <v>639367</v>
      </c>
      <c r="N124" s="13" t="n">
        <f aca="false">RawFinancials!X124</f>
        <v>0.127474265793327</v>
      </c>
      <c r="O124" s="13" t="n">
        <f aca="false">RawFinancials!V124</f>
        <v>0</v>
      </c>
      <c r="P124" s="13" t="n">
        <f aca="false">IF(AND(ISNUMBER(L124),L124&lt;&gt;0,ISNUMBER(M124)),100*M124/L124,"")</f>
        <v>90.3994095598704</v>
      </c>
      <c r="Q124" s="13" t="n">
        <f aca="false">IF(AND(ISNUMBER(F124),F124&lt;&gt;0,ISNUMBER(K124)),100*K124/F124,"")</f>
        <v>11.3352844570507</v>
      </c>
      <c r="R124" s="11" t="b">
        <f aca="false">AND(ISNUMBER(F124),F124&gt;0,ISNUMBER(G124),G124&gt;=0,ISNUMBER(H124),H124&gt;=0)</f>
        <v>1</v>
      </c>
      <c r="S124" s="13" t="n">
        <f aca="false">IF(R124,100*I124/F124,"")</f>
        <v>0.0197963039508672</v>
      </c>
      <c r="T124" s="11" t="b">
        <f aca="false">NOT(AND(OR(AND(ISBLANK(RawFinancials!B124),ISBLANK(_RawBaseline!B121)),AND(ISNUMBER(RawFinancials!B124),ISNUMBER(_RawBaseline!B121),RawFinancials!B124=_RawBaseline!B121)),OR(AND(ISBLANK(RawFinancials!U124),ISBLANK(_RawBaseline!U121)),AND(ISNUMBER(RawFinancials!U124),ISNUMBER(_RawBaseline!U121),RawFinancials!U124=_RawBaseline!U121)),OR(AND(ISBLANK(RawFinancials!O124),ISBLANK(_RawBaseline!O121)),AND(ISNUMBER(RawFinancials!O124),ISNUMBER(_RawBaseline!O121),RawFinancials!O124=_RawBaseline!O121))))</f>
        <v>0</v>
      </c>
      <c r="U124" s="13" t="n">
        <f aca="false">IF(AND(D124=WF_START_PERIOD,R124,COUNTIFS($B$5:$B$750,B124,$D$5:$D$750,WF_END_PERIOD,$R$5:$R$750,TRUE())&gt;0),SUMIFS($S$5:$S$750,$B$5:$B$750,B124,$D$5:$D$750,WF_END_PERIOD,$R$5:$R$750,TRUE()),0)</f>
        <v>0</v>
      </c>
      <c r="V124" s="0" t="str">
        <f aca="false">IF(AND(D124=WF_START_PERIOD,COUNTIFS($B$5:$B$750,B124,$D$5:$D$750,WF_END_PERIOD)&gt;0),INDEX($E$5:$E$750,MATCH(B124&amp;"|"&amp;WF_END_PERIOD,$AC$5:$AC$750,0)),"")</f>
        <v/>
      </c>
      <c r="W124" s="11" t="b">
        <f aca="false">COUNTIFS($B$5:$B$750,B124,$D$5:$D$750,WF_START_PERIOD,$R$5:$R$750,TRUE())&gt;0</f>
        <v>1</v>
      </c>
      <c r="X124" s="11" t="b">
        <f aca="false">COUNTIFS($B$5:$B$750,B124,$D$5:$D$750,WF_END_PERIOD,$R$5:$R$750,TRUE())&gt;0</f>
        <v>1</v>
      </c>
      <c r="Y124" s="0" t="str">
        <f aca="false">IF(AND(D124=WF_END_PERIOD,COUNTIFS($B$5:$B$750,B124,$D$5:$D$750,WF_START_PERIOD)&gt;0),INDEX($E$5:$E$750,MATCH(B124&amp;"|"&amp;WF_START_PERIOD,$AC$5:$AC$750,0)),"")</f>
        <v/>
      </c>
      <c r="Z124" s="0" t="str">
        <f aca="false">IF(AND(D124=WF_END_PERIOD,R124),1+COUNTIFS($D$5:$D$750,WF_END_PERIOD,$E$5:$E$750,E124,$R$5:$R$750,TRUE(),$S$5:$S$750,"&gt;"&amp;S124)+COUNTIFS($D$5:$D$750,WF_END_PERIOD,$E$5:$E$750,E124,$R$5:$R$750,TRUE(),$S$5:$S$750,S124,$B$5:$B$750,"&lt;"&amp;B124),"")</f>
        <v/>
      </c>
      <c r="AA124" s="0" t="str">
        <f aca="false">IF(AND(D124=WF_END_PERIOD,R124,Z124&lt;&gt;1),1+COUNTIFS($D$5:$D$750,WF_END_PERIOD,$R$5:$R$750,TRUE(),$Z$5:$Z$750,"&lt;&gt;1",$S$5:$S$750,"&gt;"&amp;S124)+COUNTIFS($D$5:$D$750,WF_END_PERIOD,$R$5:$R$750,TRUE(),$Z$5:$Z$750,"&lt;&gt;1",$S$5:$S$750,S124,$B$5:$B$750,"&lt;"&amp;B124),"")</f>
        <v/>
      </c>
      <c r="AB124" s="11" t="b">
        <f aca="false">OR(D124=WF_START_PERIOD,D124=WF_END_PERIOD)</f>
        <v>0</v>
      </c>
      <c r="AC124" s="0" t="str">
        <f aca="false">B124&amp;"|"&amp;D124</f>
        <v>17749|20220930</v>
      </c>
    </row>
    <row r="125" customFormat="false" ht="15" hidden="false" customHeight="false" outlineLevel="0" collapsed="false">
      <c r="A125" s="0" t="n">
        <f aca="false">RawFinancials!A125</f>
        <v>122</v>
      </c>
      <c r="B125" s="0" t="n">
        <f aca="false">RawFinancials!C125</f>
        <v>17751</v>
      </c>
      <c r="C125" s="0" t="str">
        <f aca="false">RawFinancials!P125</f>
        <v>ANDROSCOGGIN SAVINGS BANK</v>
      </c>
      <c r="D125" s="0" t="n">
        <f aca="false">RawFinancials!W125</f>
        <v>20220930</v>
      </c>
      <c r="E125" s="0" t="str">
        <f aca="false">RawFinancials!Z125</f>
        <v>ME</v>
      </c>
      <c r="F125" s="0" t="n">
        <f aca="false">RawFinancials!B125</f>
        <v>1446107</v>
      </c>
      <c r="G125" s="0" t="n">
        <f aca="false">RawFinancials!U125</f>
        <v>0</v>
      </c>
      <c r="H125" s="0" t="n">
        <f aca="false">RawFinancials!O125</f>
        <v>1170</v>
      </c>
      <c r="I125" s="0" t="n">
        <f aca="false">IF(AND(ISNUMBER(G125),ISNUMBER(H125)),G125+H125,"")</f>
        <v>1170</v>
      </c>
      <c r="J125" s="0" t="n">
        <f aca="false">RawFinancials!D125</f>
        <v>1280720</v>
      </c>
      <c r="K125" s="0" t="n">
        <f aca="false">RawFinancials!F125</f>
        <v>122617</v>
      </c>
      <c r="L125" s="0" t="n">
        <f aca="false">RawFinancials!L125</f>
        <v>1185974</v>
      </c>
      <c r="M125" s="0" t="n">
        <f aca="false">RawFinancials!N125</f>
        <v>1020660</v>
      </c>
      <c r="N125" s="13" t="n">
        <f aca="false">RawFinancials!X125</f>
        <v>0.656017372218693</v>
      </c>
      <c r="O125" s="13" t="n">
        <f aca="false">RawFinancials!V125</f>
        <v>13.4544785128385</v>
      </c>
      <c r="P125" s="13" t="n">
        <f aca="false">IF(AND(ISNUMBER(L125),L125&lt;&gt;0,ISNUMBER(M125)),100*M125/L125,"")</f>
        <v>86.0609085865289</v>
      </c>
      <c r="Q125" s="13" t="n">
        <f aca="false">IF(AND(ISNUMBER(F125),F125&lt;&gt;0,ISNUMBER(K125)),100*K125/F125,"")</f>
        <v>8.47910977541773</v>
      </c>
      <c r="R125" s="11" t="b">
        <f aca="false">AND(ISNUMBER(F125),F125&gt;0,ISNUMBER(G125),G125&gt;=0,ISNUMBER(H125),H125&gt;=0)</f>
        <v>1</v>
      </c>
      <c r="S125" s="13" t="n">
        <f aca="false">IF(R125,100*I125/F125,"")</f>
        <v>0.0809068761855105</v>
      </c>
      <c r="T125" s="11" t="b">
        <f aca="false">NOT(AND(OR(AND(ISBLANK(RawFinancials!B125),ISBLANK(_RawBaseline!B122)),AND(ISNUMBER(RawFinancials!B125),ISNUMBER(_RawBaseline!B122),RawFinancials!B125=_RawBaseline!B122)),OR(AND(ISBLANK(RawFinancials!U125),ISBLANK(_RawBaseline!U122)),AND(ISNUMBER(RawFinancials!U125),ISNUMBER(_RawBaseline!U122),RawFinancials!U125=_RawBaseline!U122)),OR(AND(ISBLANK(RawFinancials!O125),ISBLANK(_RawBaseline!O122)),AND(ISNUMBER(RawFinancials!O125),ISNUMBER(_RawBaseline!O122),RawFinancials!O125=_RawBaseline!O122))))</f>
        <v>0</v>
      </c>
      <c r="U125" s="13" t="n">
        <f aca="false">IF(AND(D125=WF_START_PERIOD,R125,COUNTIFS($B$5:$B$750,B125,$D$5:$D$750,WF_END_PERIOD,$R$5:$R$750,TRUE())&gt;0),SUMIFS($S$5:$S$750,$B$5:$B$750,B125,$D$5:$D$750,WF_END_PERIOD,$R$5:$R$750,TRUE()),0)</f>
        <v>0</v>
      </c>
      <c r="V125" s="0" t="str">
        <f aca="false">IF(AND(D125=WF_START_PERIOD,COUNTIFS($B$5:$B$750,B125,$D$5:$D$750,WF_END_PERIOD)&gt;0),INDEX($E$5:$E$750,MATCH(B125&amp;"|"&amp;WF_END_PERIOD,$AC$5:$AC$750,0)),"")</f>
        <v/>
      </c>
      <c r="W125" s="11" t="b">
        <f aca="false">COUNTIFS($B$5:$B$750,B125,$D$5:$D$750,WF_START_PERIOD,$R$5:$R$750,TRUE())&gt;0</f>
        <v>1</v>
      </c>
      <c r="X125" s="11" t="b">
        <f aca="false">COUNTIFS($B$5:$B$750,B125,$D$5:$D$750,WF_END_PERIOD,$R$5:$R$750,TRUE())&gt;0</f>
        <v>1</v>
      </c>
      <c r="Y125" s="0" t="str">
        <f aca="false">IF(AND(D125=WF_END_PERIOD,COUNTIFS($B$5:$B$750,B125,$D$5:$D$750,WF_START_PERIOD)&gt;0),INDEX($E$5:$E$750,MATCH(B125&amp;"|"&amp;WF_START_PERIOD,$AC$5:$AC$750,0)),"")</f>
        <v/>
      </c>
      <c r="Z125" s="0" t="str">
        <f aca="false">IF(AND(D125=WF_END_PERIOD,R125),1+COUNTIFS($D$5:$D$750,WF_END_PERIOD,$E$5:$E$750,E125,$R$5:$R$750,TRUE(),$S$5:$S$750,"&gt;"&amp;S125)+COUNTIFS($D$5:$D$750,WF_END_PERIOD,$E$5:$E$750,E125,$R$5:$R$750,TRUE(),$S$5:$S$750,S125,$B$5:$B$750,"&lt;"&amp;B125),"")</f>
        <v/>
      </c>
      <c r="AA125" s="0" t="str">
        <f aca="false">IF(AND(D125=WF_END_PERIOD,R125,Z125&lt;&gt;1),1+COUNTIFS($D$5:$D$750,WF_END_PERIOD,$R$5:$R$750,TRUE(),$Z$5:$Z$750,"&lt;&gt;1",$S$5:$S$750,"&gt;"&amp;S125)+COUNTIFS($D$5:$D$750,WF_END_PERIOD,$R$5:$R$750,TRUE(),$Z$5:$Z$750,"&lt;&gt;1",$S$5:$S$750,S125,$B$5:$B$750,"&lt;"&amp;B125),"")</f>
        <v/>
      </c>
      <c r="AB125" s="11" t="b">
        <f aca="false">OR(D125=WF_START_PERIOD,D125=WF_END_PERIOD)</f>
        <v>0</v>
      </c>
      <c r="AC125" s="0" t="str">
        <f aca="false">B125&amp;"|"&amp;D125</f>
        <v>17751|20220930</v>
      </c>
    </row>
    <row r="126" customFormat="false" ht="15" hidden="false" customHeight="false" outlineLevel="0" collapsed="false">
      <c r="A126" s="0" t="n">
        <f aca="false">RawFinancials!A126</f>
        <v>123</v>
      </c>
      <c r="B126" s="0" t="n">
        <f aca="false">RawFinancials!C126</f>
        <v>17897</v>
      </c>
      <c r="C126" s="0" t="str">
        <f aca="false">RawFinancials!P126</f>
        <v>KENNEBEC SAVINGS BANK</v>
      </c>
      <c r="D126" s="0" t="n">
        <f aca="false">RawFinancials!W126</f>
        <v>20220930</v>
      </c>
      <c r="E126" s="0" t="str">
        <f aca="false">RawFinancials!Z126</f>
        <v>ME</v>
      </c>
      <c r="F126" s="0" t="n">
        <f aca="false">RawFinancials!B126</f>
        <v>1589541</v>
      </c>
      <c r="G126" s="0" t="n">
        <f aca="false">RawFinancials!U126</f>
        <v>0</v>
      </c>
      <c r="H126" s="0" t="n">
        <f aca="false">RawFinancials!O126</f>
        <v>3303</v>
      </c>
      <c r="I126" s="0" t="n">
        <f aca="false">IF(AND(ISNUMBER(G126),ISNUMBER(H126)),G126+H126,"")</f>
        <v>3303</v>
      </c>
      <c r="J126" s="0" t="n">
        <f aca="false">RawFinancials!D126</f>
        <v>1347109</v>
      </c>
      <c r="K126" s="0" t="n">
        <f aca="false">RawFinancials!F126</f>
        <v>185467</v>
      </c>
      <c r="L126" s="0" t="n">
        <f aca="false">RawFinancials!L126</f>
        <v>1342538</v>
      </c>
      <c r="M126" s="0" t="n">
        <f aca="false">RawFinancials!N126</f>
        <v>1265598</v>
      </c>
      <c r="N126" s="13" t="n">
        <f aca="false">RawFinancials!X126</f>
        <v>-0.372021148911137</v>
      </c>
      <c r="O126" s="13" t="n">
        <f aca="false">RawFinancials!V126</f>
        <v>0</v>
      </c>
      <c r="P126" s="13" t="n">
        <f aca="false">IF(AND(ISNUMBER(L126),L126&lt;&gt;0,ISNUMBER(M126)),100*M126/L126,"")</f>
        <v>94.2690635199898</v>
      </c>
      <c r="Q126" s="13" t="n">
        <f aca="false">IF(AND(ISNUMBER(F126),F126&lt;&gt;0,ISNUMBER(K126)),100*K126/F126,"")</f>
        <v>11.6679594927089</v>
      </c>
      <c r="R126" s="11" t="b">
        <f aca="false">AND(ISNUMBER(F126),F126&gt;0,ISNUMBER(G126),G126&gt;=0,ISNUMBER(H126),H126&gt;=0)</f>
        <v>1</v>
      </c>
      <c r="S126" s="13" t="n">
        <f aca="false">IF(R126,100*I126/F126,"")</f>
        <v>0.20779583540154</v>
      </c>
      <c r="T126" s="11" t="b">
        <f aca="false">NOT(AND(OR(AND(ISBLANK(RawFinancials!B126),ISBLANK(_RawBaseline!B123)),AND(ISNUMBER(RawFinancials!B126),ISNUMBER(_RawBaseline!B123),RawFinancials!B126=_RawBaseline!B123)),OR(AND(ISBLANK(RawFinancials!U126),ISBLANK(_RawBaseline!U123)),AND(ISNUMBER(RawFinancials!U126),ISNUMBER(_RawBaseline!U123),RawFinancials!U126=_RawBaseline!U123)),OR(AND(ISBLANK(RawFinancials!O126),ISBLANK(_RawBaseline!O123)),AND(ISNUMBER(RawFinancials!O126),ISNUMBER(_RawBaseline!O123),RawFinancials!O126=_RawBaseline!O123))))</f>
        <v>0</v>
      </c>
      <c r="U126" s="13" t="n">
        <f aca="false">IF(AND(D126=WF_START_PERIOD,R126,COUNTIFS($B$5:$B$750,B126,$D$5:$D$750,WF_END_PERIOD,$R$5:$R$750,TRUE())&gt;0),SUMIFS($S$5:$S$750,$B$5:$B$750,B126,$D$5:$D$750,WF_END_PERIOD,$R$5:$R$750,TRUE()),0)</f>
        <v>0</v>
      </c>
      <c r="V126" s="0" t="str">
        <f aca="false">IF(AND(D126=WF_START_PERIOD,COUNTIFS($B$5:$B$750,B126,$D$5:$D$750,WF_END_PERIOD)&gt;0),INDEX($E$5:$E$750,MATCH(B126&amp;"|"&amp;WF_END_PERIOD,$AC$5:$AC$750,0)),"")</f>
        <v/>
      </c>
      <c r="W126" s="11" t="b">
        <f aca="false">COUNTIFS($B$5:$B$750,B126,$D$5:$D$750,WF_START_PERIOD,$R$5:$R$750,TRUE())&gt;0</f>
        <v>1</v>
      </c>
      <c r="X126" s="11" t="b">
        <f aca="false">COUNTIFS($B$5:$B$750,B126,$D$5:$D$750,WF_END_PERIOD,$R$5:$R$750,TRUE())&gt;0</f>
        <v>1</v>
      </c>
      <c r="Y126" s="0" t="str">
        <f aca="false">IF(AND(D126=WF_END_PERIOD,COUNTIFS($B$5:$B$750,B126,$D$5:$D$750,WF_START_PERIOD)&gt;0),INDEX($E$5:$E$750,MATCH(B126&amp;"|"&amp;WF_START_PERIOD,$AC$5:$AC$750,0)),"")</f>
        <v/>
      </c>
      <c r="Z126" s="0" t="str">
        <f aca="false">IF(AND(D126=WF_END_PERIOD,R126),1+COUNTIFS($D$5:$D$750,WF_END_PERIOD,$E$5:$E$750,E126,$R$5:$R$750,TRUE(),$S$5:$S$750,"&gt;"&amp;S126)+COUNTIFS($D$5:$D$750,WF_END_PERIOD,$E$5:$E$750,E126,$R$5:$R$750,TRUE(),$S$5:$S$750,S126,$B$5:$B$750,"&lt;"&amp;B126),"")</f>
        <v/>
      </c>
      <c r="AA126" s="0" t="str">
        <f aca="false">IF(AND(D126=WF_END_PERIOD,R126,Z126&lt;&gt;1),1+COUNTIFS($D$5:$D$750,WF_END_PERIOD,$R$5:$R$750,TRUE(),$Z$5:$Z$750,"&lt;&gt;1",$S$5:$S$750,"&gt;"&amp;S126)+COUNTIFS($D$5:$D$750,WF_END_PERIOD,$R$5:$R$750,TRUE(),$Z$5:$Z$750,"&lt;&gt;1",$S$5:$S$750,S126,$B$5:$B$750,"&lt;"&amp;B126),"")</f>
        <v/>
      </c>
      <c r="AB126" s="11" t="b">
        <f aca="false">OR(D126=WF_START_PERIOD,D126=WF_END_PERIOD)</f>
        <v>0</v>
      </c>
      <c r="AC126" s="0" t="str">
        <f aca="false">B126&amp;"|"&amp;D126</f>
        <v>17897|20220930</v>
      </c>
    </row>
    <row r="127" customFormat="false" ht="15" hidden="false" customHeight="false" outlineLevel="0" collapsed="false">
      <c r="A127" s="0" t="n">
        <f aca="false">RawFinancials!A127</f>
        <v>124</v>
      </c>
      <c r="B127" s="0" t="n">
        <f aca="false">RawFinancials!C127</f>
        <v>17951</v>
      </c>
      <c r="C127" s="0" t="str">
        <f aca="false">RawFinancials!P127</f>
        <v>FRANKLIN SAVINGS BANK</v>
      </c>
      <c r="D127" s="0" t="n">
        <f aca="false">RawFinancials!W127</f>
        <v>20220930</v>
      </c>
      <c r="E127" s="0" t="str">
        <f aca="false">RawFinancials!Z127</f>
        <v>NH</v>
      </c>
      <c r="F127" s="0" t="n">
        <f aca="false">RawFinancials!B127</f>
        <v>741759</v>
      </c>
      <c r="G127" s="0" t="n">
        <f aca="false">RawFinancials!U127</f>
        <v>0</v>
      </c>
      <c r="H127" s="0" t="n">
        <f aca="false">RawFinancials!O127</f>
        <v>393</v>
      </c>
      <c r="I127" s="0" t="n">
        <f aca="false">IF(AND(ISNUMBER(G127),ISNUMBER(H127)),G127+H127,"")</f>
        <v>393</v>
      </c>
      <c r="J127" s="0" t="n">
        <f aca="false">RawFinancials!D127</f>
        <v>644557</v>
      </c>
      <c r="K127" s="0" t="n">
        <f aca="false">RawFinancials!F127</f>
        <v>52288</v>
      </c>
      <c r="L127" s="0" t="n">
        <f aca="false">RawFinancials!L127</f>
        <v>517803</v>
      </c>
      <c r="M127" s="0" t="n">
        <f aca="false">RawFinancials!N127</f>
        <v>482723</v>
      </c>
      <c r="N127" s="13" t="n">
        <f aca="false">RawFinancials!X127</f>
        <v>1.02520929643113</v>
      </c>
      <c r="O127" s="13" t="n">
        <f aca="false">RawFinancials!V127</f>
        <v>14.4940601944432</v>
      </c>
      <c r="P127" s="13" t="n">
        <f aca="false">IF(AND(ISNUMBER(L127),L127&lt;&gt;0,ISNUMBER(M127)),100*M127/L127,"")</f>
        <v>93.2252227198375</v>
      </c>
      <c r="Q127" s="13" t="n">
        <f aca="false">IF(AND(ISNUMBER(F127),F127&lt;&gt;0,ISNUMBER(K127)),100*K127/F127,"")</f>
        <v>7.04918983119854</v>
      </c>
      <c r="R127" s="11" t="b">
        <f aca="false">AND(ISNUMBER(F127),F127&gt;0,ISNUMBER(G127),G127&gt;=0,ISNUMBER(H127),H127&gt;=0)</f>
        <v>1</v>
      </c>
      <c r="S127" s="13" t="n">
        <f aca="false">IF(R127,100*I127/F127,"")</f>
        <v>0.0529821680626727</v>
      </c>
      <c r="T127" s="11" t="b">
        <f aca="false">NOT(AND(OR(AND(ISBLANK(RawFinancials!B127),ISBLANK(_RawBaseline!B124)),AND(ISNUMBER(RawFinancials!B127),ISNUMBER(_RawBaseline!B124),RawFinancials!B127=_RawBaseline!B124)),OR(AND(ISBLANK(RawFinancials!U127),ISBLANK(_RawBaseline!U124)),AND(ISNUMBER(RawFinancials!U127),ISNUMBER(_RawBaseline!U124),RawFinancials!U127=_RawBaseline!U124)),OR(AND(ISBLANK(RawFinancials!O127),ISBLANK(_RawBaseline!O124)),AND(ISNUMBER(RawFinancials!O127),ISNUMBER(_RawBaseline!O124),RawFinancials!O127=_RawBaseline!O124))))</f>
        <v>0</v>
      </c>
      <c r="U127" s="13" t="n">
        <f aca="false">IF(AND(D127=WF_START_PERIOD,R127,COUNTIFS($B$5:$B$750,B127,$D$5:$D$750,WF_END_PERIOD,$R$5:$R$750,TRUE())&gt;0),SUMIFS($S$5:$S$750,$B$5:$B$750,B127,$D$5:$D$750,WF_END_PERIOD,$R$5:$R$750,TRUE()),0)</f>
        <v>0</v>
      </c>
      <c r="V127" s="0" t="str">
        <f aca="false">IF(AND(D127=WF_START_PERIOD,COUNTIFS($B$5:$B$750,B127,$D$5:$D$750,WF_END_PERIOD)&gt;0),INDEX($E$5:$E$750,MATCH(B127&amp;"|"&amp;WF_END_PERIOD,$AC$5:$AC$750,0)),"")</f>
        <v/>
      </c>
      <c r="W127" s="11" t="b">
        <f aca="false">COUNTIFS($B$5:$B$750,B127,$D$5:$D$750,WF_START_PERIOD,$R$5:$R$750,TRUE())&gt;0</f>
        <v>1</v>
      </c>
      <c r="X127" s="11" t="b">
        <f aca="false">COUNTIFS($B$5:$B$750,B127,$D$5:$D$750,WF_END_PERIOD,$R$5:$R$750,TRUE())&gt;0</f>
        <v>1</v>
      </c>
      <c r="Y127" s="0" t="str">
        <f aca="false">IF(AND(D127=WF_END_PERIOD,COUNTIFS($B$5:$B$750,B127,$D$5:$D$750,WF_START_PERIOD)&gt;0),INDEX($E$5:$E$750,MATCH(B127&amp;"|"&amp;WF_START_PERIOD,$AC$5:$AC$750,0)),"")</f>
        <v/>
      </c>
      <c r="Z127" s="0" t="str">
        <f aca="false">IF(AND(D127=WF_END_PERIOD,R127),1+COUNTIFS($D$5:$D$750,WF_END_PERIOD,$E$5:$E$750,E127,$R$5:$R$750,TRUE(),$S$5:$S$750,"&gt;"&amp;S127)+COUNTIFS($D$5:$D$750,WF_END_PERIOD,$E$5:$E$750,E127,$R$5:$R$750,TRUE(),$S$5:$S$750,S127,$B$5:$B$750,"&lt;"&amp;B127),"")</f>
        <v/>
      </c>
      <c r="AA127" s="0" t="str">
        <f aca="false">IF(AND(D127=WF_END_PERIOD,R127,Z127&lt;&gt;1),1+COUNTIFS($D$5:$D$750,WF_END_PERIOD,$R$5:$R$750,TRUE(),$Z$5:$Z$750,"&lt;&gt;1",$S$5:$S$750,"&gt;"&amp;S127)+COUNTIFS($D$5:$D$750,WF_END_PERIOD,$R$5:$R$750,TRUE(),$Z$5:$Z$750,"&lt;&gt;1",$S$5:$S$750,S127,$B$5:$B$750,"&lt;"&amp;B127),"")</f>
        <v/>
      </c>
      <c r="AB127" s="11" t="b">
        <f aca="false">OR(D127=WF_START_PERIOD,D127=WF_END_PERIOD)</f>
        <v>0</v>
      </c>
      <c r="AC127" s="0" t="str">
        <f aca="false">B127&amp;"|"&amp;D127</f>
        <v>17951|20220930</v>
      </c>
    </row>
    <row r="128" customFormat="false" ht="15" hidden="false" customHeight="false" outlineLevel="0" collapsed="false">
      <c r="A128" s="0" t="n">
        <f aca="false">RawFinancials!A128</f>
        <v>125</v>
      </c>
      <c r="B128" s="0" t="n">
        <f aca="false">RawFinancials!C128</f>
        <v>17960</v>
      </c>
      <c r="C128" s="0" t="str">
        <f aca="false">RawFinancials!P128</f>
        <v>MERRIMACK COUNTY SAVINGS BANK</v>
      </c>
      <c r="D128" s="0" t="n">
        <f aca="false">RawFinancials!W128</f>
        <v>20220930</v>
      </c>
      <c r="E128" s="0" t="str">
        <f aca="false">RawFinancials!Z128</f>
        <v>NH</v>
      </c>
      <c r="F128" s="0" t="n">
        <f aca="false">RawFinancials!B128</f>
        <v>1278487</v>
      </c>
      <c r="G128" s="0" t="n">
        <f aca="false">RawFinancials!U128</f>
        <v>73</v>
      </c>
      <c r="H128" s="0" t="n">
        <f aca="false">RawFinancials!O128</f>
        <v>699</v>
      </c>
      <c r="I128" s="0" t="n">
        <f aca="false">IF(AND(ISNUMBER(G128),ISNUMBER(H128)),G128+H128,"")</f>
        <v>772</v>
      </c>
      <c r="J128" s="0" t="n">
        <f aca="false">RawFinancials!D128</f>
        <v>1016704</v>
      </c>
      <c r="K128" s="0" t="n">
        <f aca="false">RawFinancials!F128</f>
        <v>101209</v>
      </c>
      <c r="L128" s="0" t="n">
        <f aca="false">RawFinancials!L128</f>
        <v>1082576</v>
      </c>
      <c r="M128" s="0" t="n">
        <f aca="false">RawFinancials!N128</f>
        <v>781834</v>
      </c>
      <c r="N128" s="13" t="n">
        <f aca="false">RawFinancials!X128</f>
        <v>0.811990055001869</v>
      </c>
      <c r="O128" s="13" t="n">
        <f aca="false">RawFinancials!V128</f>
        <v>12.9291645449843</v>
      </c>
      <c r="P128" s="13" t="n">
        <f aca="false">IF(AND(ISNUMBER(L128),L128&lt;&gt;0,ISNUMBER(M128)),100*M128/L128,"")</f>
        <v>72.2197794889227</v>
      </c>
      <c r="Q128" s="13" t="n">
        <f aca="false">IF(AND(ISNUMBER(F128),F128&lt;&gt;0,ISNUMBER(K128)),100*K128/F128,"")</f>
        <v>7.91631045133818</v>
      </c>
      <c r="R128" s="11" t="b">
        <f aca="false">AND(ISNUMBER(F128),F128&gt;0,ISNUMBER(G128),G128&gt;=0,ISNUMBER(H128),H128&gt;=0)</f>
        <v>1</v>
      </c>
      <c r="S128" s="13" t="n">
        <f aca="false">IF(R128,100*I128/F128,"")</f>
        <v>0.0603838756279884</v>
      </c>
      <c r="T128" s="11" t="b">
        <f aca="false">NOT(AND(OR(AND(ISBLANK(RawFinancials!B128),ISBLANK(_RawBaseline!B125)),AND(ISNUMBER(RawFinancials!B128),ISNUMBER(_RawBaseline!B125),RawFinancials!B128=_RawBaseline!B125)),OR(AND(ISBLANK(RawFinancials!U128),ISBLANK(_RawBaseline!U125)),AND(ISNUMBER(RawFinancials!U128),ISNUMBER(_RawBaseline!U125),RawFinancials!U128=_RawBaseline!U125)),OR(AND(ISBLANK(RawFinancials!O128),ISBLANK(_RawBaseline!O125)),AND(ISNUMBER(RawFinancials!O128),ISNUMBER(_RawBaseline!O125),RawFinancials!O128=_RawBaseline!O125))))</f>
        <v>0</v>
      </c>
      <c r="U128" s="13" t="n">
        <f aca="false">IF(AND(D128=WF_START_PERIOD,R128,COUNTIFS($B$5:$B$750,B128,$D$5:$D$750,WF_END_PERIOD,$R$5:$R$750,TRUE())&gt;0),SUMIFS($S$5:$S$750,$B$5:$B$750,B128,$D$5:$D$750,WF_END_PERIOD,$R$5:$R$750,TRUE()),0)</f>
        <v>0</v>
      </c>
      <c r="V128" s="0" t="str">
        <f aca="false">IF(AND(D128=WF_START_PERIOD,COUNTIFS($B$5:$B$750,B128,$D$5:$D$750,WF_END_PERIOD)&gt;0),INDEX($E$5:$E$750,MATCH(B128&amp;"|"&amp;WF_END_PERIOD,$AC$5:$AC$750,0)),"")</f>
        <v/>
      </c>
      <c r="W128" s="11" t="b">
        <f aca="false">COUNTIFS($B$5:$B$750,B128,$D$5:$D$750,WF_START_PERIOD,$R$5:$R$750,TRUE())&gt;0</f>
        <v>1</v>
      </c>
      <c r="X128" s="11" t="b">
        <f aca="false">COUNTIFS($B$5:$B$750,B128,$D$5:$D$750,WF_END_PERIOD,$R$5:$R$750,TRUE())&gt;0</f>
        <v>1</v>
      </c>
      <c r="Y128" s="0" t="str">
        <f aca="false">IF(AND(D128=WF_END_PERIOD,COUNTIFS($B$5:$B$750,B128,$D$5:$D$750,WF_START_PERIOD)&gt;0),INDEX($E$5:$E$750,MATCH(B128&amp;"|"&amp;WF_START_PERIOD,$AC$5:$AC$750,0)),"")</f>
        <v/>
      </c>
      <c r="Z128" s="0" t="str">
        <f aca="false">IF(AND(D128=WF_END_PERIOD,R128),1+COUNTIFS($D$5:$D$750,WF_END_PERIOD,$E$5:$E$750,E128,$R$5:$R$750,TRUE(),$S$5:$S$750,"&gt;"&amp;S128)+COUNTIFS($D$5:$D$750,WF_END_PERIOD,$E$5:$E$750,E128,$R$5:$R$750,TRUE(),$S$5:$S$750,S128,$B$5:$B$750,"&lt;"&amp;B128),"")</f>
        <v/>
      </c>
      <c r="AA128" s="0" t="str">
        <f aca="false">IF(AND(D128=WF_END_PERIOD,R128,Z128&lt;&gt;1),1+COUNTIFS($D$5:$D$750,WF_END_PERIOD,$R$5:$R$750,TRUE(),$Z$5:$Z$750,"&lt;&gt;1",$S$5:$S$750,"&gt;"&amp;S128)+COUNTIFS($D$5:$D$750,WF_END_PERIOD,$R$5:$R$750,TRUE(),$Z$5:$Z$750,"&lt;&gt;1",$S$5:$S$750,S128,$B$5:$B$750,"&lt;"&amp;B128),"")</f>
        <v/>
      </c>
      <c r="AB128" s="11" t="b">
        <f aca="false">OR(D128=WF_START_PERIOD,D128=WF_END_PERIOD)</f>
        <v>0</v>
      </c>
      <c r="AC128" s="0" t="str">
        <f aca="false">B128&amp;"|"&amp;D128</f>
        <v>17960|20220930</v>
      </c>
    </row>
    <row r="129" customFormat="false" ht="15" hidden="false" customHeight="false" outlineLevel="0" collapsed="false">
      <c r="A129" s="0" t="n">
        <f aca="false">RawFinancials!A129</f>
        <v>126</v>
      </c>
      <c r="B129" s="0" t="n">
        <f aca="false">RawFinancials!C129</f>
        <v>18012</v>
      </c>
      <c r="C129" s="0" t="str">
        <f aca="false">RawFinancials!P129</f>
        <v>BANK OF NEW HAMPSHIRE</v>
      </c>
      <c r="D129" s="0" t="n">
        <f aca="false">RawFinancials!W129</f>
        <v>20220930</v>
      </c>
      <c r="E129" s="0" t="str">
        <f aca="false">RawFinancials!Z129</f>
        <v>NH</v>
      </c>
      <c r="F129" s="0" t="n">
        <f aca="false">RawFinancials!B129</f>
        <v>2400019</v>
      </c>
      <c r="G129" s="0" t="n">
        <f aca="false">RawFinancials!U129</f>
        <v>0</v>
      </c>
      <c r="H129" s="0" t="n">
        <f aca="false">RawFinancials!O129</f>
        <v>1056</v>
      </c>
      <c r="I129" s="0" t="n">
        <f aca="false">IF(AND(ISNUMBER(G129),ISNUMBER(H129)),G129+H129,"")</f>
        <v>1056</v>
      </c>
      <c r="J129" s="0" t="n">
        <f aca="false">RawFinancials!D129</f>
        <v>2088751</v>
      </c>
      <c r="K129" s="0" t="n">
        <f aca="false">RawFinancials!F129</f>
        <v>230722</v>
      </c>
      <c r="L129" s="0" t="n">
        <f aca="false">RawFinancials!L129</f>
        <v>1923861</v>
      </c>
      <c r="M129" s="0" t="n">
        <f aca="false">RawFinancials!N129</f>
        <v>1803269</v>
      </c>
      <c r="N129" s="13" t="n">
        <f aca="false">RawFinancials!X129</f>
        <v>1.21697575065678</v>
      </c>
      <c r="O129" s="13" t="n">
        <f aca="false">RawFinancials!V129</f>
        <v>12.8729126561258</v>
      </c>
      <c r="P129" s="13" t="n">
        <f aca="false">IF(AND(ISNUMBER(L129),L129&lt;&gt;0,ISNUMBER(M129)),100*M129/L129,"")</f>
        <v>93.7317716820498</v>
      </c>
      <c r="Q129" s="13" t="n">
        <f aca="false">IF(AND(ISNUMBER(F129),F129&lt;&gt;0,ISNUMBER(K129)),100*K129/F129,"")</f>
        <v>9.61334056105389</v>
      </c>
      <c r="R129" s="11" t="b">
        <f aca="false">AND(ISNUMBER(F129),F129&gt;0,ISNUMBER(G129),G129&gt;=0,ISNUMBER(H129),H129&gt;=0)</f>
        <v>1</v>
      </c>
      <c r="S129" s="13" t="n">
        <f aca="false">IF(R129,100*I129/F129,"")</f>
        <v>0.0439996516694243</v>
      </c>
      <c r="T129" s="11" t="b">
        <f aca="false">NOT(AND(OR(AND(ISBLANK(RawFinancials!B129),ISBLANK(_RawBaseline!B126)),AND(ISNUMBER(RawFinancials!B129),ISNUMBER(_RawBaseline!B126),RawFinancials!B129=_RawBaseline!B126)),OR(AND(ISBLANK(RawFinancials!U129),ISBLANK(_RawBaseline!U126)),AND(ISNUMBER(RawFinancials!U129),ISNUMBER(_RawBaseline!U126),RawFinancials!U129=_RawBaseline!U126)),OR(AND(ISBLANK(RawFinancials!O129),ISBLANK(_RawBaseline!O126)),AND(ISNUMBER(RawFinancials!O129),ISNUMBER(_RawBaseline!O126),RawFinancials!O129=_RawBaseline!O126))))</f>
        <v>0</v>
      </c>
      <c r="U129" s="13" t="n">
        <f aca="false">IF(AND(D129=WF_START_PERIOD,R129,COUNTIFS($B$5:$B$750,B129,$D$5:$D$750,WF_END_PERIOD,$R$5:$R$750,TRUE())&gt;0),SUMIFS($S$5:$S$750,$B$5:$B$750,B129,$D$5:$D$750,WF_END_PERIOD,$R$5:$R$750,TRUE()),0)</f>
        <v>0</v>
      </c>
      <c r="V129" s="0" t="str">
        <f aca="false">IF(AND(D129=WF_START_PERIOD,COUNTIFS($B$5:$B$750,B129,$D$5:$D$750,WF_END_PERIOD)&gt;0),INDEX($E$5:$E$750,MATCH(B129&amp;"|"&amp;WF_END_PERIOD,$AC$5:$AC$750,0)),"")</f>
        <v/>
      </c>
      <c r="W129" s="11" t="b">
        <f aca="false">COUNTIFS($B$5:$B$750,B129,$D$5:$D$750,WF_START_PERIOD,$R$5:$R$750,TRUE())&gt;0</f>
        <v>1</v>
      </c>
      <c r="X129" s="11" t="b">
        <f aca="false">COUNTIFS($B$5:$B$750,B129,$D$5:$D$750,WF_END_PERIOD,$R$5:$R$750,TRUE())&gt;0</f>
        <v>1</v>
      </c>
      <c r="Y129" s="0" t="str">
        <f aca="false">IF(AND(D129=WF_END_PERIOD,COUNTIFS($B$5:$B$750,B129,$D$5:$D$750,WF_START_PERIOD)&gt;0),INDEX($E$5:$E$750,MATCH(B129&amp;"|"&amp;WF_START_PERIOD,$AC$5:$AC$750,0)),"")</f>
        <v/>
      </c>
      <c r="Z129" s="0" t="str">
        <f aca="false">IF(AND(D129=WF_END_PERIOD,R129),1+COUNTIFS($D$5:$D$750,WF_END_PERIOD,$E$5:$E$750,E129,$R$5:$R$750,TRUE(),$S$5:$S$750,"&gt;"&amp;S129)+COUNTIFS($D$5:$D$750,WF_END_PERIOD,$E$5:$E$750,E129,$R$5:$R$750,TRUE(),$S$5:$S$750,S129,$B$5:$B$750,"&lt;"&amp;B129),"")</f>
        <v/>
      </c>
      <c r="AA129" s="0" t="str">
        <f aca="false">IF(AND(D129=WF_END_PERIOD,R129,Z129&lt;&gt;1),1+COUNTIFS($D$5:$D$750,WF_END_PERIOD,$R$5:$R$750,TRUE(),$Z$5:$Z$750,"&lt;&gt;1",$S$5:$S$750,"&gt;"&amp;S129)+COUNTIFS($D$5:$D$750,WF_END_PERIOD,$R$5:$R$750,TRUE(),$Z$5:$Z$750,"&lt;&gt;1",$S$5:$S$750,S129,$B$5:$B$750,"&lt;"&amp;B129),"")</f>
        <v/>
      </c>
      <c r="AB129" s="11" t="b">
        <f aca="false">OR(D129=WF_START_PERIOD,D129=WF_END_PERIOD)</f>
        <v>0</v>
      </c>
      <c r="AC129" s="0" t="str">
        <f aca="false">B129&amp;"|"&amp;D129</f>
        <v>18012|20220930</v>
      </c>
    </row>
    <row r="130" customFormat="false" ht="15" hidden="false" customHeight="false" outlineLevel="0" collapsed="false">
      <c r="A130" s="0" t="n">
        <f aca="false">RawFinancials!A130</f>
        <v>127</v>
      </c>
      <c r="B130" s="0" t="n">
        <f aca="false">RawFinancials!C130</f>
        <v>18013</v>
      </c>
      <c r="C130" s="0" t="str">
        <f aca="false">RawFinancials!P130</f>
        <v>MASCOMA BANK</v>
      </c>
      <c r="D130" s="0" t="n">
        <f aca="false">RawFinancials!W130</f>
        <v>20220930</v>
      </c>
      <c r="E130" s="0" t="str">
        <f aca="false">RawFinancials!Z130</f>
        <v>NH</v>
      </c>
      <c r="F130" s="0" t="n">
        <f aca="false">RawFinancials!B130</f>
        <v>2685566</v>
      </c>
      <c r="G130" s="0" t="n">
        <f aca="false">RawFinancials!U130</f>
        <v>223</v>
      </c>
      <c r="H130" s="0" t="n">
        <f aca="false">RawFinancials!O130</f>
        <v>1930</v>
      </c>
      <c r="I130" s="0" t="n">
        <f aca="false">IF(AND(ISNUMBER(G130),ISNUMBER(H130)),G130+H130,"")</f>
        <v>2153</v>
      </c>
      <c r="J130" s="0" t="n">
        <f aca="false">RawFinancials!D130</f>
        <v>2352806</v>
      </c>
      <c r="K130" s="0" t="n">
        <f aca="false">RawFinancials!F130</f>
        <v>195855</v>
      </c>
      <c r="L130" s="0" t="n">
        <f aca="false">RawFinancials!L130</f>
        <v>2114991</v>
      </c>
      <c r="M130" s="0" t="n">
        <f aca="false">RawFinancials!N130</f>
        <v>1943255</v>
      </c>
      <c r="N130" s="13" t="n">
        <f aca="false">RawFinancials!X130</f>
        <v>0.676604753783732</v>
      </c>
      <c r="O130" s="13" t="n">
        <f aca="false">RawFinancials!V130</f>
        <v>13.448711877325</v>
      </c>
      <c r="P130" s="13" t="n">
        <f aca="false">IF(AND(ISNUMBER(L130),L130&lt;&gt;0,ISNUMBER(M130)),100*M130/L130,"")</f>
        <v>91.8800600097116</v>
      </c>
      <c r="Q130" s="13" t="n">
        <f aca="false">IF(AND(ISNUMBER(F130),F130&lt;&gt;0,ISNUMBER(K130)),100*K130/F130,"")</f>
        <v>7.2928760641146</v>
      </c>
      <c r="R130" s="11" t="b">
        <f aca="false">AND(ISNUMBER(F130),F130&gt;0,ISNUMBER(G130),G130&gt;=0,ISNUMBER(H130),H130&gt;=0)</f>
        <v>1</v>
      </c>
      <c r="S130" s="13" t="n">
        <f aca="false">IF(R130,100*I130/F130,"")</f>
        <v>0.0801693199869227</v>
      </c>
      <c r="T130" s="11" t="b">
        <f aca="false">NOT(AND(OR(AND(ISBLANK(RawFinancials!B130),ISBLANK(_RawBaseline!B127)),AND(ISNUMBER(RawFinancials!B130),ISNUMBER(_RawBaseline!B127),RawFinancials!B130=_RawBaseline!B127)),OR(AND(ISBLANK(RawFinancials!U130),ISBLANK(_RawBaseline!U127)),AND(ISNUMBER(RawFinancials!U130),ISNUMBER(_RawBaseline!U127),RawFinancials!U130=_RawBaseline!U127)),OR(AND(ISBLANK(RawFinancials!O130),ISBLANK(_RawBaseline!O127)),AND(ISNUMBER(RawFinancials!O130),ISNUMBER(_RawBaseline!O127),RawFinancials!O130=_RawBaseline!O127))))</f>
        <v>0</v>
      </c>
      <c r="U130" s="13" t="n">
        <f aca="false">IF(AND(D130=WF_START_PERIOD,R130,COUNTIFS($B$5:$B$750,B130,$D$5:$D$750,WF_END_PERIOD,$R$5:$R$750,TRUE())&gt;0),SUMIFS($S$5:$S$750,$B$5:$B$750,B130,$D$5:$D$750,WF_END_PERIOD,$R$5:$R$750,TRUE()),0)</f>
        <v>0</v>
      </c>
      <c r="V130" s="0" t="str">
        <f aca="false">IF(AND(D130=WF_START_PERIOD,COUNTIFS($B$5:$B$750,B130,$D$5:$D$750,WF_END_PERIOD)&gt;0),INDEX($E$5:$E$750,MATCH(B130&amp;"|"&amp;WF_END_PERIOD,$AC$5:$AC$750,0)),"")</f>
        <v/>
      </c>
      <c r="W130" s="11" t="b">
        <f aca="false">COUNTIFS($B$5:$B$750,B130,$D$5:$D$750,WF_START_PERIOD,$R$5:$R$750,TRUE())&gt;0</f>
        <v>1</v>
      </c>
      <c r="X130" s="11" t="b">
        <f aca="false">COUNTIFS($B$5:$B$750,B130,$D$5:$D$750,WF_END_PERIOD,$R$5:$R$750,TRUE())&gt;0</f>
        <v>1</v>
      </c>
      <c r="Y130" s="0" t="str">
        <f aca="false">IF(AND(D130=WF_END_PERIOD,COUNTIFS($B$5:$B$750,B130,$D$5:$D$750,WF_START_PERIOD)&gt;0),INDEX($E$5:$E$750,MATCH(B130&amp;"|"&amp;WF_START_PERIOD,$AC$5:$AC$750,0)),"")</f>
        <v/>
      </c>
      <c r="Z130" s="0" t="str">
        <f aca="false">IF(AND(D130=WF_END_PERIOD,R130),1+COUNTIFS($D$5:$D$750,WF_END_PERIOD,$E$5:$E$750,E130,$R$5:$R$750,TRUE(),$S$5:$S$750,"&gt;"&amp;S130)+COUNTIFS($D$5:$D$750,WF_END_PERIOD,$E$5:$E$750,E130,$R$5:$R$750,TRUE(),$S$5:$S$750,S130,$B$5:$B$750,"&lt;"&amp;B130),"")</f>
        <v/>
      </c>
      <c r="AA130" s="0" t="str">
        <f aca="false">IF(AND(D130=WF_END_PERIOD,R130,Z130&lt;&gt;1),1+COUNTIFS($D$5:$D$750,WF_END_PERIOD,$R$5:$R$750,TRUE(),$Z$5:$Z$750,"&lt;&gt;1",$S$5:$S$750,"&gt;"&amp;S130)+COUNTIFS($D$5:$D$750,WF_END_PERIOD,$R$5:$R$750,TRUE(),$Z$5:$Z$750,"&lt;&gt;1",$S$5:$S$750,S130,$B$5:$B$750,"&lt;"&amp;B130),"")</f>
        <v/>
      </c>
      <c r="AB130" s="11" t="b">
        <f aca="false">OR(D130=WF_START_PERIOD,D130=WF_END_PERIOD)</f>
        <v>0</v>
      </c>
      <c r="AC130" s="0" t="str">
        <f aca="false">B130&amp;"|"&amp;D130</f>
        <v>18013|20220930</v>
      </c>
    </row>
    <row r="131" customFormat="false" ht="15" hidden="false" customHeight="false" outlineLevel="0" collapsed="false">
      <c r="A131" s="0" t="n">
        <f aca="false">RawFinancials!A131</f>
        <v>128</v>
      </c>
      <c r="B131" s="0" t="n">
        <f aca="false">RawFinancials!C131</f>
        <v>18028</v>
      </c>
      <c r="C131" s="0" t="str">
        <f aca="false">RawFinancials!P131</f>
        <v>SUGAR RIVER BANK</v>
      </c>
      <c r="D131" s="0" t="n">
        <f aca="false">RawFinancials!W131</f>
        <v>20220930</v>
      </c>
      <c r="E131" s="0" t="str">
        <f aca="false">RawFinancials!Z131</f>
        <v>NH</v>
      </c>
      <c r="F131" s="0" t="n">
        <f aca="false">RawFinancials!B131</f>
        <v>379383</v>
      </c>
      <c r="G131" s="0" t="n">
        <f aca="false">RawFinancials!U131</f>
        <v>294</v>
      </c>
      <c r="H131" s="0" t="n">
        <f aca="false">RawFinancials!O131</f>
        <v>1067</v>
      </c>
      <c r="I131" s="0" t="n">
        <f aca="false">IF(AND(ISNUMBER(G131),ISNUMBER(H131)),G131+H131,"")</f>
        <v>1361</v>
      </c>
      <c r="J131" s="0" t="n">
        <f aca="false">RawFinancials!D131</f>
        <v>337295</v>
      </c>
      <c r="K131" s="0" t="n">
        <f aca="false">RawFinancials!F131</f>
        <v>34470</v>
      </c>
      <c r="L131" s="0" t="n">
        <f aca="false">RawFinancials!L131</f>
        <v>245095</v>
      </c>
      <c r="M131" s="0" t="n">
        <f aca="false">RawFinancials!N131</f>
        <v>213616</v>
      </c>
      <c r="N131" s="13" t="n">
        <f aca="false">RawFinancials!X131</f>
        <v>0.711360152316906</v>
      </c>
      <c r="O131" s="13" t="n">
        <f aca="false">RawFinancials!V131</f>
        <v>0</v>
      </c>
      <c r="P131" s="13" t="n">
        <f aca="false">IF(AND(ISNUMBER(L131),L131&lt;&gt;0,ISNUMBER(M131)),100*M131/L131,"")</f>
        <v>87.1564087394684</v>
      </c>
      <c r="Q131" s="13" t="n">
        <f aca="false">IF(AND(ISNUMBER(F131),F131&lt;&gt;0,ISNUMBER(K131)),100*K131/F131,"")</f>
        <v>9.08580510987577</v>
      </c>
      <c r="R131" s="11" t="b">
        <f aca="false">AND(ISNUMBER(F131),F131&gt;0,ISNUMBER(G131),G131&gt;=0,ISNUMBER(H131),H131&gt;=0)</f>
        <v>1</v>
      </c>
      <c r="S131" s="13" t="n">
        <f aca="false">IF(R131,100*I131/F131,"")</f>
        <v>0.358740375820741</v>
      </c>
      <c r="T131" s="11" t="b">
        <f aca="false">NOT(AND(OR(AND(ISBLANK(RawFinancials!B131),ISBLANK(_RawBaseline!B128)),AND(ISNUMBER(RawFinancials!B131),ISNUMBER(_RawBaseline!B128),RawFinancials!B131=_RawBaseline!B128)),OR(AND(ISBLANK(RawFinancials!U131),ISBLANK(_RawBaseline!U128)),AND(ISNUMBER(RawFinancials!U131),ISNUMBER(_RawBaseline!U128),RawFinancials!U131=_RawBaseline!U128)),OR(AND(ISBLANK(RawFinancials!O131),ISBLANK(_RawBaseline!O128)),AND(ISNUMBER(RawFinancials!O131),ISNUMBER(_RawBaseline!O128),RawFinancials!O131=_RawBaseline!O128))))</f>
        <v>0</v>
      </c>
      <c r="U131" s="13" t="n">
        <f aca="false">IF(AND(D131=WF_START_PERIOD,R131,COUNTIFS($B$5:$B$750,B131,$D$5:$D$750,WF_END_PERIOD,$R$5:$R$750,TRUE())&gt;0),SUMIFS($S$5:$S$750,$B$5:$B$750,B131,$D$5:$D$750,WF_END_PERIOD,$R$5:$R$750,TRUE()),0)</f>
        <v>0</v>
      </c>
      <c r="V131" s="0" t="str">
        <f aca="false">IF(AND(D131=WF_START_PERIOD,COUNTIFS($B$5:$B$750,B131,$D$5:$D$750,WF_END_PERIOD)&gt;0),INDEX($E$5:$E$750,MATCH(B131&amp;"|"&amp;WF_END_PERIOD,$AC$5:$AC$750,0)),"")</f>
        <v/>
      </c>
      <c r="W131" s="11" t="b">
        <f aca="false">COUNTIFS($B$5:$B$750,B131,$D$5:$D$750,WF_START_PERIOD,$R$5:$R$750,TRUE())&gt;0</f>
        <v>1</v>
      </c>
      <c r="X131" s="11" t="b">
        <f aca="false">COUNTIFS($B$5:$B$750,B131,$D$5:$D$750,WF_END_PERIOD,$R$5:$R$750,TRUE())&gt;0</f>
        <v>1</v>
      </c>
      <c r="Y131" s="0" t="str">
        <f aca="false">IF(AND(D131=WF_END_PERIOD,COUNTIFS($B$5:$B$750,B131,$D$5:$D$750,WF_START_PERIOD)&gt;0),INDEX($E$5:$E$750,MATCH(B131&amp;"|"&amp;WF_START_PERIOD,$AC$5:$AC$750,0)),"")</f>
        <v/>
      </c>
      <c r="Z131" s="0" t="str">
        <f aca="false">IF(AND(D131=WF_END_PERIOD,R131),1+COUNTIFS($D$5:$D$750,WF_END_PERIOD,$E$5:$E$750,E131,$R$5:$R$750,TRUE(),$S$5:$S$750,"&gt;"&amp;S131)+COUNTIFS($D$5:$D$750,WF_END_PERIOD,$E$5:$E$750,E131,$R$5:$R$750,TRUE(),$S$5:$S$750,S131,$B$5:$B$750,"&lt;"&amp;B131),"")</f>
        <v/>
      </c>
      <c r="AA131" s="0" t="str">
        <f aca="false">IF(AND(D131=WF_END_PERIOD,R131,Z131&lt;&gt;1),1+COUNTIFS($D$5:$D$750,WF_END_PERIOD,$R$5:$R$750,TRUE(),$Z$5:$Z$750,"&lt;&gt;1",$S$5:$S$750,"&gt;"&amp;S131)+COUNTIFS($D$5:$D$750,WF_END_PERIOD,$R$5:$R$750,TRUE(),$Z$5:$Z$750,"&lt;&gt;1",$S$5:$S$750,S131,$B$5:$B$750,"&lt;"&amp;B131),"")</f>
        <v/>
      </c>
      <c r="AB131" s="11" t="b">
        <f aca="false">OR(D131=WF_START_PERIOD,D131=WF_END_PERIOD)</f>
        <v>0</v>
      </c>
      <c r="AC131" s="0" t="str">
        <f aca="false">B131&amp;"|"&amp;D131</f>
        <v>18028|20220930</v>
      </c>
    </row>
    <row r="132" customFormat="false" ht="15" hidden="false" customHeight="false" outlineLevel="0" collapsed="false">
      <c r="A132" s="0" t="n">
        <f aca="false">RawFinancials!A132</f>
        <v>129</v>
      </c>
      <c r="B132" s="0" t="n">
        <f aca="false">RawFinancials!C132</f>
        <v>18030</v>
      </c>
      <c r="C132" s="0" t="str">
        <f aca="false">RawFinancials!P132</f>
        <v>SAVINGS BANK OF WALPOLE</v>
      </c>
      <c r="D132" s="0" t="n">
        <f aca="false">RawFinancials!W132</f>
        <v>20220930</v>
      </c>
      <c r="E132" s="0" t="str">
        <f aca="false">RawFinancials!Z132</f>
        <v>NH</v>
      </c>
      <c r="F132" s="0" t="n">
        <f aca="false">RawFinancials!B132</f>
        <v>703383</v>
      </c>
      <c r="G132" s="0" t="n">
        <f aca="false">RawFinancials!U132</f>
        <v>130</v>
      </c>
      <c r="H132" s="0" t="n">
        <f aca="false">RawFinancials!O132</f>
        <v>929</v>
      </c>
      <c r="I132" s="0" t="n">
        <f aca="false">IF(AND(ISNUMBER(G132),ISNUMBER(H132)),G132+H132,"")</f>
        <v>1059</v>
      </c>
      <c r="J132" s="0" t="n">
        <f aca="false">RawFinancials!D132</f>
        <v>659450</v>
      </c>
      <c r="K132" s="0" t="n">
        <f aca="false">RawFinancials!F132</f>
        <v>40935</v>
      </c>
      <c r="L132" s="0" t="n">
        <f aca="false">RawFinancials!L132</f>
        <v>544604</v>
      </c>
      <c r="M132" s="0" t="n">
        <f aca="false">RawFinancials!N132</f>
        <v>424875</v>
      </c>
      <c r="N132" s="13" t="n">
        <f aca="false">RawFinancials!X132</f>
        <v>0.410955323209553</v>
      </c>
      <c r="O132" s="13" t="n">
        <f aca="false">RawFinancials!V132</f>
        <v>13.0208288999923</v>
      </c>
      <c r="P132" s="13" t="n">
        <f aca="false">IF(AND(ISNUMBER(L132),L132&lt;&gt;0,ISNUMBER(M132)),100*M132/L132,"")</f>
        <v>78.0154020168783</v>
      </c>
      <c r="Q132" s="13" t="n">
        <f aca="false">IF(AND(ISNUMBER(F132),F132&lt;&gt;0,ISNUMBER(K132)),100*K132/F132,"")</f>
        <v>5.81973121329347</v>
      </c>
      <c r="R132" s="11" t="b">
        <f aca="false">AND(ISNUMBER(F132),F132&gt;0,ISNUMBER(G132),G132&gt;=0,ISNUMBER(H132),H132&gt;=0)</f>
        <v>1</v>
      </c>
      <c r="S132" s="13" t="n">
        <f aca="false">IF(R132,100*I132/F132,"")</f>
        <v>0.150558088552041</v>
      </c>
      <c r="T132" s="11" t="b">
        <f aca="false">NOT(AND(OR(AND(ISBLANK(RawFinancials!B132),ISBLANK(_RawBaseline!B129)),AND(ISNUMBER(RawFinancials!B132),ISNUMBER(_RawBaseline!B129),RawFinancials!B132=_RawBaseline!B129)),OR(AND(ISBLANK(RawFinancials!U132),ISBLANK(_RawBaseline!U129)),AND(ISNUMBER(RawFinancials!U132),ISNUMBER(_RawBaseline!U129),RawFinancials!U132=_RawBaseline!U129)),OR(AND(ISBLANK(RawFinancials!O132),ISBLANK(_RawBaseline!O129)),AND(ISNUMBER(RawFinancials!O132),ISNUMBER(_RawBaseline!O129),RawFinancials!O132=_RawBaseline!O129))))</f>
        <v>0</v>
      </c>
      <c r="U132" s="13" t="n">
        <f aca="false">IF(AND(D132=WF_START_PERIOD,R132,COUNTIFS($B$5:$B$750,B132,$D$5:$D$750,WF_END_PERIOD,$R$5:$R$750,TRUE())&gt;0),SUMIFS($S$5:$S$750,$B$5:$B$750,B132,$D$5:$D$750,WF_END_PERIOD,$R$5:$R$750,TRUE()),0)</f>
        <v>0</v>
      </c>
      <c r="V132" s="0" t="str">
        <f aca="false">IF(AND(D132=WF_START_PERIOD,COUNTIFS($B$5:$B$750,B132,$D$5:$D$750,WF_END_PERIOD)&gt;0),INDEX($E$5:$E$750,MATCH(B132&amp;"|"&amp;WF_END_PERIOD,$AC$5:$AC$750,0)),"")</f>
        <v/>
      </c>
      <c r="W132" s="11" t="b">
        <f aca="false">COUNTIFS($B$5:$B$750,B132,$D$5:$D$750,WF_START_PERIOD,$R$5:$R$750,TRUE())&gt;0</f>
        <v>1</v>
      </c>
      <c r="X132" s="11" t="b">
        <f aca="false">COUNTIFS($B$5:$B$750,B132,$D$5:$D$750,WF_END_PERIOD,$R$5:$R$750,TRUE())&gt;0</f>
        <v>1</v>
      </c>
      <c r="Y132" s="0" t="str">
        <f aca="false">IF(AND(D132=WF_END_PERIOD,COUNTIFS($B$5:$B$750,B132,$D$5:$D$750,WF_START_PERIOD)&gt;0),INDEX($E$5:$E$750,MATCH(B132&amp;"|"&amp;WF_START_PERIOD,$AC$5:$AC$750,0)),"")</f>
        <v/>
      </c>
      <c r="Z132" s="0" t="str">
        <f aca="false">IF(AND(D132=WF_END_PERIOD,R132),1+COUNTIFS($D$5:$D$750,WF_END_PERIOD,$E$5:$E$750,E132,$R$5:$R$750,TRUE(),$S$5:$S$750,"&gt;"&amp;S132)+COUNTIFS($D$5:$D$750,WF_END_PERIOD,$E$5:$E$750,E132,$R$5:$R$750,TRUE(),$S$5:$S$750,S132,$B$5:$B$750,"&lt;"&amp;B132),"")</f>
        <v/>
      </c>
      <c r="AA132" s="0" t="str">
        <f aca="false">IF(AND(D132=WF_END_PERIOD,R132,Z132&lt;&gt;1),1+COUNTIFS($D$5:$D$750,WF_END_PERIOD,$R$5:$R$750,TRUE(),$Z$5:$Z$750,"&lt;&gt;1",$S$5:$S$750,"&gt;"&amp;S132)+COUNTIFS($D$5:$D$750,WF_END_PERIOD,$R$5:$R$750,TRUE(),$Z$5:$Z$750,"&lt;&gt;1",$S$5:$S$750,S132,$B$5:$B$750,"&lt;"&amp;B132),"")</f>
        <v/>
      </c>
      <c r="AB132" s="11" t="b">
        <f aca="false">OR(D132=WF_START_PERIOD,D132=WF_END_PERIOD)</f>
        <v>0</v>
      </c>
      <c r="AC132" s="0" t="str">
        <f aca="false">B132&amp;"|"&amp;D132</f>
        <v>18030|20220930</v>
      </c>
    </row>
    <row r="133" customFormat="false" ht="15" hidden="false" customHeight="false" outlineLevel="0" collapsed="false">
      <c r="A133" s="0" t="n">
        <f aca="false">RawFinancials!A133</f>
        <v>130</v>
      </c>
      <c r="B133" s="0" t="n">
        <f aca="false">RawFinancials!C133</f>
        <v>18031</v>
      </c>
      <c r="C133" s="0" t="str">
        <f aca="false">RawFinancials!P133</f>
        <v>WOODSVILLE GUARANTY SAVINGS BANK</v>
      </c>
      <c r="D133" s="0" t="n">
        <f aca="false">RawFinancials!W133</f>
        <v>20220930</v>
      </c>
      <c r="E133" s="0" t="str">
        <f aca="false">RawFinancials!Z133</f>
        <v>NH</v>
      </c>
      <c r="F133" s="0" t="n">
        <f aca="false">RawFinancials!B133</f>
        <v>641019</v>
      </c>
      <c r="G133" s="0" t="n">
        <f aca="false">RawFinancials!U133</f>
        <v>0</v>
      </c>
      <c r="H133" s="0" t="n">
        <f aca="false">RawFinancials!O133</f>
        <v>638</v>
      </c>
      <c r="I133" s="0" t="n">
        <f aca="false">IF(AND(ISNUMBER(G133),ISNUMBER(H133)),G133+H133,"")</f>
        <v>638</v>
      </c>
      <c r="J133" s="0" t="n">
        <f aca="false">RawFinancials!D133</f>
        <v>568656</v>
      </c>
      <c r="K133" s="0" t="n">
        <f aca="false">RawFinancials!F133</f>
        <v>33282</v>
      </c>
      <c r="L133" s="0" t="n">
        <f aca="false">RawFinancials!L133</f>
        <v>453544</v>
      </c>
      <c r="M133" s="0" t="n">
        <f aca="false">RawFinancials!N133</f>
        <v>411232</v>
      </c>
      <c r="N133" s="13" t="n">
        <f aca="false">RawFinancials!X133</f>
        <v>0.528270442861807</v>
      </c>
      <c r="O133" s="13" t="n">
        <f aca="false">RawFinancials!V133</f>
        <v>16.4504734644745</v>
      </c>
      <c r="P133" s="13" t="n">
        <f aca="false">IF(AND(ISNUMBER(L133),L133&lt;&gt;0,ISNUMBER(M133)),100*M133/L133,"")</f>
        <v>90.6708059196021</v>
      </c>
      <c r="Q133" s="13" t="n">
        <f aca="false">IF(AND(ISNUMBER(F133),F133&lt;&gt;0,ISNUMBER(K133)),100*K133/F133,"")</f>
        <v>5.19204578959438</v>
      </c>
      <c r="R133" s="11" t="b">
        <f aca="false">AND(ISNUMBER(F133),F133&gt;0,ISNUMBER(G133),G133&gt;=0,ISNUMBER(H133),H133&gt;=0)</f>
        <v>1</v>
      </c>
      <c r="S133" s="13" t="n">
        <f aca="false">IF(R133,100*I133/F133,"")</f>
        <v>0.0995290311207624</v>
      </c>
      <c r="T133" s="11" t="b">
        <f aca="false">NOT(AND(OR(AND(ISBLANK(RawFinancials!B133),ISBLANK(_RawBaseline!B130)),AND(ISNUMBER(RawFinancials!B133),ISNUMBER(_RawBaseline!B130),RawFinancials!B133=_RawBaseline!B130)),OR(AND(ISBLANK(RawFinancials!U133),ISBLANK(_RawBaseline!U130)),AND(ISNUMBER(RawFinancials!U133),ISNUMBER(_RawBaseline!U130),RawFinancials!U133=_RawBaseline!U130)),OR(AND(ISBLANK(RawFinancials!O133),ISBLANK(_RawBaseline!O130)),AND(ISNUMBER(RawFinancials!O133),ISNUMBER(_RawBaseline!O130),RawFinancials!O133=_RawBaseline!O130))))</f>
        <v>0</v>
      </c>
      <c r="U133" s="13" t="n">
        <f aca="false">IF(AND(D133=WF_START_PERIOD,R133,COUNTIFS($B$5:$B$750,B133,$D$5:$D$750,WF_END_PERIOD,$R$5:$R$750,TRUE())&gt;0),SUMIFS($S$5:$S$750,$B$5:$B$750,B133,$D$5:$D$750,WF_END_PERIOD,$R$5:$R$750,TRUE()),0)</f>
        <v>0</v>
      </c>
      <c r="V133" s="0" t="str">
        <f aca="false">IF(AND(D133=WF_START_PERIOD,COUNTIFS($B$5:$B$750,B133,$D$5:$D$750,WF_END_PERIOD)&gt;0),INDEX($E$5:$E$750,MATCH(B133&amp;"|"&amp;WF_END_PERIOD,$AC$5:$AC$750,0)),"")</f>
        <v/>
      </c>
      <c r="W133" s="11" t="b">
        <f aca="false">COUNTIFS($B$5:$B$750,B133,$D$5:$D$750,WF_START_PERIOD,$R$5:$R$750,TRUE())&gt;0</f>
        <v>1</v>
      </c>
      <c r="X133" s="11" t="b">
        <f aca="false">COUNTIFS($B$5:$B$750,B133,$D$5:$D$750,WF_END_PERIOD,$R$5:$R$750,TRUE())&gt;0</f>
        <v>1</v>
      </c>
      <c r="Y133" s="0" t="str">
        <f aca="false">IF(AND(D133=WF_END_PERIOD,COUNTIFS($B$5:$B$750,B133,$D$5:$D$750,WF_START_PERIOD)&gt;0),INDEX($E$5:$E$750,MATCH(B133&amp;"|"&amp;WF_START_PERIOD,$AC$5:$AC$750,0)),"")</f>
        <v/>
      </c>
      <c r="Z133" s="0" t="str">
        <f aca="false">IF(AND(D133=WF_END_PERIOD,R133),1+COUNTIFS($D$5:$D$750,WF_END_PERIOD,$E$5:$E$750,E133,$R$5:$R$750,TRUE(),$S$5:$S$750,"&gt;"&amp;S133)+COUNTIFS($D$5:$D$750,WF_END_PERIOD,$E$5:$E$750,E133,$R$5:$R$750,TRUE(),$S$5:$S$750,S133,$B$5:$B$750,"&lt;"&amp;B133),"")</f>
        <v/>
      </c>
      <c r="AA133" s="0" t="str">
        <f aca="false">IF(AND(D133=WF_END_PERIOD,R133,Z133&lt;&gt;1),1+COUNTIFS($D$5:$D$750,WF_END_PERIOD,$R$5:$R$750,TRUE(),$Z$5:$Z$750,"&lt;&gt;1",$S$5:$S$750,"&gt;"&amp;S133)+COUNTIFS($D$5:$D$750,WF_END_PERIOD,$R$5:$R$750,TRUE(),$Z$5:$Z$750,"&lt;&gt;1",$S$5:$S$750,S133,$B$5:$B$750,"&lt;"&amp;B133),"")</f>
        <v/>
      </c>
      <c r="AB133" s="11" t="b">
        <f aca="false">OR(D133=WF_START_PERIOD,D133=WF_END_PERIOD)</f>
        <v>0</v>
      </c>
      <c r="AC133" s="0" t="str">
        <f aca="false">B133&amp;"|"&amp;D133</f>
        <v>18031|20220930</v>
      </c>
    </row>
    <row r="134" customFormat="false" ht="15" hidden="false" customHeight="false" outlineLevel="0" collapsed="false">
      <c r="A134" s="0" t="n">
        <f aca="false">RawFinancials!A134</f>
        <v>131</v>
      </c>
      <c r="B134" s="0" t="n">
        <f aca="false">RawFinancials!C134</f>
        <v>18038</v>
      </c>
      <c r="C134" s="0" t="str">
        <f aca="false">RawFinancials!P134</f>
        <v>CLAREMONT SAVINGS BANK</v>
      </c>
      <c r="D134" s="0" t="n">
        <f aca="false">RawFinancials!W134</f>
        <v>20220930</v>
      </c>
      <c r="E134" s="0" t="str">
        <f aca="false">RawFinancials!Z134</f>
        <v>NH</v>
      </c>
      <c r="F134" s="0" t="n">
        <f aca="false">RawFinancials!B134</f>
        <v>492676</v>
      </c>
      <c r="G134" s="0" t="n">
        <f aca="false">RawFinancials!U134</f>
        <v>0</v>
      </c>
      <c r="H134" s="0" t="n">
        <f aca="false">RawFinancials!O134</f>
        <v>2589</v>
      </c>
      <c r="I134" s="0" t="n">
        <f aca="false">IF(AND(ISNUMBER(G134),ISNUMBER(H134)),G134+H134,"")</f>
        <v>2589</v>
      </c>
      <c r="J134" s="0" t="n">
        <f aca="false">RawFinancials!D134</f>
        <v>386477</v>
      </c>
      <c r="K134" s="0" t="n">
        <f aca="false">RawFinancials!F134</f>
        <v>61616</v>
      </c>
      <c r="L134" s="0" t="n">
        <f aca="false">RawFinancials!L134</f>
        <v>385931</v>
      </c>
      <c r="M134" s="0" t="n">
        <f aca="false">RawFinancials!N134</f>
        <v>364802</v>
      </c>
      <c r="N134" s="13" t="n">
        <f aca="false">RawFinancials!X134</f>
        <v>-1.0692244589165</v>
      </c>
      <c r="O134" s="13" t="n">
        <f aca="false">RawFinancials!V134</f>
        <v>0</v>
      </c>
      <c r="P134" s="13" t="n">
        <f aca="false">IF(AND(ISNUMBER(L134),L134&lt;&gt;0,ISNUMBER(M134)),100*M134/L134,"")</f>
        <v>94.5251871448523</v>
      </c>
      <c r="Q134" s="13" t="n">
        <f aca="false">IF(AND(ISNUMBER(F134),F134&lt;&gt;0,ISNUMBER(K134)),100*K134/F134,"")</f>
        <v>12.5063936542474</v>
      </c>
      <c r="R134" s="11" t="b">
        <f aca="false">AND(ISNUMBER(F134),F134&gt;0,ISNUMBER(G134),G134&gt;=0,ISNUMBER(H134),H134&gt;=0)</f>
        <v>1</v>
      </c>
      <c r="S134" s="13" t="n">
        <f aca="false">IF(R134,100*I134/F134,"")</f>
        <v>0.525497487192394</v>
      </c>
      <c r="T134" s="11" t="b">
        <f aca="false">NOT(AND(OR(AND(ISBLANK(RawFinancials!B134),ISBLANK(_RawBaseline!B131)),AND(ISNUMBER(RawFinancials!B134),ISNUMBER(_RawBaseline!B131),RawFinancials!B134=_RawBaseline!B131)),OR(AND(ISBLANK(RawFinancials!U134),ISBLANK(_RawBaseline!U131)),AND(ISNUMBER(RawFinancials!U134),ISNUMBER(_RawBaseline!U131),RawFinancials!U134=_RawBaseline!U131)),OR(AND(ISBLANK(RawFinancials!O134),ISBLANK(_RawBaseline!O131)),AND(ISNUMBER(RawFinancials!O134),ISNUMBER(_RawBaseline!O131),RawFinancials!O134=_RawBaseline!O131))))</f>
        <v>0</v>
      </c>
      <c r="U134" s="13" t="n">
        <f aca="false">IF(AND(D134=WF_START_PERIOD,R134,COUNTIFS($B$5:$B$750,B134,$D$5:$D$750,WF_END_PERIOD,$R$5:$R$750,TRUE())&gt;0),SUMIFS($S$5:$S$750,$B$5:$B$750,B134,$D$5:$D$750,WF_END_PERIOD,$R$5:$R$750,TRUE()),0)</f>
        <v>0</v>
      </c>
      <c r="V134" s="0" t="str">
        <f aca="false">IF(AND(D134=WF_START_PERIOD,COUNTIFS($B$5:$B$750,B134,$D$5:$D$750,WF_END_PERIOD)&gt;0),INDEX($E$5:$E$750,MATCH(B134&amp;"|"&amp;WF_END_PERIOD,$AC$5:$AC$750,0)),"")</f>
        <v/>
      </c>
      <c r="W134" s="11" t="b">
        <f aca="false">COUNTIFS($B$5:$B$750,B134,$D$5:$D$750,WF_START_PERIOD,$R$5:$R$750,TRUE())&gt;0</f>
        <v>1</v>
      </c>
      <c r="X134" s="11" t="b">
        <f aca="false">COUNTIFS($B$5:$B$750,B134,$D$5:$D$750,WF_END_PERIOD,$R$5:$R$750,TRUE())&gt;0</f>
        <v>1</v>
      </c>
      <c r="Y134" s="0" t="str">
        <f aca="false">IF(AND(D134=WF_END_PERIOD,COUNTIFS($B$5:$B$750,B134,$D$5:$D$750,WF_START_PERIOD)&gt;0),INDEX($E$5:$E$750,MATCH(B134&amp;"|"&amp;WF_START_PERIOD,$AC$5:$AC$750,0)),"")</f>
        <v/>
      </c>
      <c r="Z134" s="0" t="str">
        <f aca="false">IF(AND(D134=WF_END_PERIOD,R134),1+COUNTIFS($D$5:$D$750,WF_END_PERIOD,$E$5:$E$750,E134,$R$5:$R$750,TRUE(),$S$5:$S$750,"&gt;"&amp;S134)+COUNTIFS($D$5:$D$750,WF_END_PERIOD,$E$5:$E$750,E134,$R$5:$R$750,TRUE(),$S$5:$S$750,S134,$B$5:$B$750,"&lt;"&amp;B134),"")</f>
        <v/>
      </c>
      <c r="AA134" s="0" t="str">
        <f aca="false">IF(AND(D134=WF_END_PERIOD,R134,Z134&lt;&gt;1),1+COUNTIFS($D$5:$D$750,WF_END_PERIOD,$R$5:$R$750,TRUE(),$Z$5:$Z$750,"&lt;&gt;1",$S$5:$S$750,"&gt;"&amp;S134)+COUNTIFS($D$5:$D$750,WF_END_PERIOD,$R$5:$R$750,TRUE(),$Z$5:$Z$750,"&lt;&gt;1",$S$5:$S$750,S134,$B$5:$B$750,"&lt;"&amp;B134),"")</f>
        <v/>
      </c>
      <c r="AB134" s="11" t="b">
        <f aca="false">OR(D134=WF_START_PERIOD,D134=WF_END_PERIOD)</f>
        <v>0</v>
      </c>
      <c r="AC134" s="0" t="str">
        <f aca="false">B134&amp;"|"&amp;D134</f>
        <v>18038|20220930</v>
      </c>
    </row>
    <row r="135" customFormat="false" ht="15" hidden="false" customHeight="false" outlineLevel="0" collapsed="false">
      <c r="A135" s="0" t="n">
        <f aca="false">RawFinancials!A135</f>
        <v>132</v>
      </c>
      <c r="B135" s="0" t="n">
        <f aca="false">RawFinancials!C135</f>
        <v>18408</v>
      </c>
      <c r="C135" s="0" t="str">
        <f aca="false">RawFinancials!P135</f>
        <v>BANGOR SAVINGS BANK</v>
      </c>
      <c r="D135" s="0" t="n">
        <f aca="false">RawFinancials!W135</f>
        <v>20220930</v>
      </c>
      <c r="E135" s="0" t="str">
        <f aca="false">RawFinancials!Z135</f>
        <v>ME</v>
      </c>
      <c r="F135" s="0" t="n">
        <f aca="false">RawFinancials!B135</f>
        <v>7207176</v>
      </c>
      <c r="G135" s="0" t="n">
        <f aca="false">RawFinancials!U135</f>
        <v>0</v>
      </c>
      <c r="H135" s="0" t="n">
        <f aca="false">RawFinancials!O135</f>
        <v>2950</v>
      </c>
      <c r="I135" s="0" t="n">
        <f aca="false">IF(AND(ISNUMBER(G135),ISNUMBER(H135)),G135+H135,"")</f>
        <v>2950</v>
      </c>
      <c r="J135" s="0" t="n">
        <f aca="false">RawFinancials!D135</f>
        <v>5866760</v>
      </c>
      <c r="K135" s="0" t="n">
        <f aca="false">RawFinancials!F135</f>
        <v>323363</v>
      </c>
      <c r="L135" s="0" t="n">
        <f aca="false">RawFinancials!L135</f>
        <v>4500880</v>
      </c>
      <c r="M135" s="0" t="n">
        <f aca="false">RawFinancials!N135</f>
        <v>4105596</v>
      </c>
      <c r="N135" s="13" t="n">
        <f aca="false">RawFinancials!X135</f>
        <v>0.777109309868285</v>
      </c>
      <c r="O135" s="13" t="n">
        <f aca="false">RawFinancials!V135</f>
        <v>11.9805434765398</v>
      </c>
      <c r="P135" s="13" t="n">
        <f aca="false">IF(AND(ISNUMBER(L135),L135&lt;&gt;0,ISNUMBER(M135)),100*M135/L135,"")</f>
        <v>91.2176285526386</v>
      </c>
      <c r="Q135" s="13" t="n">
        <f aca="false">IF(AND(ISNUMBER(F135),F135&lt;&gt;0,ISNUMBER(K135)),100*K135/F135,"")</f>
        <v>4.48668105232896</v>
      </c>
      <c r="R135" s="11" t="b">
        <f aca="false">AND(ISNUMBER(F135),F135&gt;0,ISNUMBER(G135),G135&gt;=0,ISNUMBER(H135),H135&gt;=0)</f>
        <v>1</v>
      </c>
      <c r="S135" s="13" t="n">
        <f aca="false">IF(R135,100*I135/F135,"")</f>
        <v>0.0409314272330799</v>
      </c>
      <c r="T135" s="11" t="b">
        <f aca="false">NOT(AND(OR(AND(ISBLANK(RawFinancials!B135),ISBLANK(_RawBaseline!B132)),AND(ISNUMBER(RawFinancials!B135),ISNUMBER(_RawBaseline!B132),RawFinancials!B135=_RawBaseline!B132)),OR(AND(ISBLANK(RawFinancials!U135),ISBLANK(_RawBaseline!U132)),AND(ISNUMBER(RawFinancials!U135),ISNUMBER(_RawBaseline!U132),RawFinancials!U135=_RawBaseline!U132)),OR(AND(ISBLANK(RawFinancials!O135),ISBLANK(_RawBaseline!O132)),AND(ISNUMBER(RawFinancials!O135),ISNUMBER(_RawBaseline!O132),RawFinancials!O135=_RawBaseline!O132))))</f>
        <v>0</v>
      </c>
      <c r="U135" s="13" t="n">
        <f aca="false">IF(AND(D135=WF_START_PERIOD,R135,COUNTIFS($B$5:$B$750,B135,$D$5:$D$750,WF_END_PERIOD,$R$5:$R$750,TRUE())&gt;0),SUMIFS($S$5:$S$750,$B$5:$B$750,B135,$D$5:$D$750,WF_END_PERIOD,$R$5:$R$750,TRUE()),0)</f>
        <v>0</v>
      </c>
      <c r="V135" s="0" t="str">
        <f aca="false">IF(AND(D135=WF_START_PERIOD,COUNTIFS($B$5:$B$750,B135,$D$5:$D$750,WF_END_PERIOD)&gt;0),INDEX($E$5:$E$750,MATCH(B135&amp;"|"&amp;WF_END_PERIOD,$AC$5:$AC$750,0)),"")</f>
        <v/>
      </c>
      <c r="W135" s="11" t="b">
        <f aca="false">COUNTIFS($B$5:$B$750,B135,$D$5:$D$750,WF_START_PERIOD,$R$5:$R$750,TRUE())&gt;0</f>
        <v>1</v>
      </c>
      <c r="X135" s="11" t="b">
        <f aca="false">COUNTIFS($B$5:$B$750,B135,$D$5:$D$750,WF_END_PERIOD,$R$5:$R$750,TRUE())&gt;0</f>
        <v>1</v>
      </c>
      <c r="Y135" s="0" t="str">
        <f aca="false">IF(AND(D135=WF_END_PERIOD,COUNTIFS($B$5:$B$750,B135,$D$5:$D$750,WF_START_PERIOD)&gt;0),INDEX($E$5:$E$750,MATCH(B135&amp;"|"&amp;WF_START_PERIOD,$AC$5:$AC$750,0)),"")</f>
        <v/>
      </c>
      <c r="Z135" s="0" t="str">
        <f aca="false">IF(AND(D135=WF_END_PERIOD,R135),1+COUNTIFS($D$5:$D$750,WF_END_PERIOD,$E$5:$E$750,E135,$R$5:$R$750,TRUE(),$S$5:$S$750,"&gt;"&amp;S135)+COUNTIFS($D$5:$D$750,WF_END_PERIOD,$E$5:$E$750,E135,$R$5:$R$750,TRUE(),$S$5:$S$750,S135,$B$5:$B$750,"&lt;"&amp;B135),"")</f>
        <v/>
      </c>
      <c r="AA135" s="0" t="str">
        <f aca="false">IF(AND(D135=WF_END_PERIOD,R135,Z135&lt;&gt;1),1+COUNTIFS($D$5:$D$750,WF_END_PERIOD,$R$5:$R$750,TRUE(),$Z$5:$Z$750,"&lt;&gt;1",$S$5:$S$750,"&gt;"&amp;S135)+COUNTIFS($D$5:$D$750,WF_END_PERIOD,$R$5:$R$750,TRUE(),$Z$5:$Z$750,"&lt;&gt;1",$S$5:$S$750,S135,$B$5:$B$750,"&lt;"&amp;B135),"")</f>
        <v/>
      </c>
      <c r="AB135" s="11" t="b">
        <f aca="false">OR(D135=WF_START_PERIOD,D135=WF_END_PERIOD)</f>
        <v>0</v>
      </c>
      <c r="AC135" s="0" t="str">
        <f aca="false">B135&amp;"|"&amp;D135</f>
        <v>18408|20220930</v>
      </c>
    </row>
    <row r="136" customFormat="false" ht="15" hidden="false" customHeight="false" outlineLevel="0" collapsed="false">
      <c r="A136" s="0" t="n">
        <f aca="false">RawFinancials!A136</f>
        <v>133</v>
      </c>
      <c r="B136" s="0" t="n">
        <f aca="false">RawFinancials!C136</f>
        <v>19531</v>
      </c>
      <c r="C136" s="0" t="str">
        <f aca="false">RawFinancials!P136</f>
        <v>MACHIAS SAVINGS BANK</v>
      </c>
      <c r="D136" s="0" t="n">
        <f aca="false">RawFinancials!W136</f>
        <v>20220930</v>
      </c>
      <c r="E136" s="0" t="str">
        <f aca="false">RawFinancials!Z136</f>
        <v>ME</v>
      </c>
      <c r="F136" s="0" t="n">
        <f aca="false">RawFinancials!B136</f>
        <v>2290994</v>
      </c>
      <c r="G136" s="0" t="n">
        <f aca="false">RawFinancials!U136</f>
        <v>39</v>
      </c>
      <c r="H136" s="0" t="n">
        <f aca="false">RawFinancials!O136</f>
        <v>5667</v>
      </c>
      <c r="I136" s="0" t="n">
        <f aca="false">IF(AND(ISNUMBER(G136),ISNUMBER(H136)),G136+H136,"")</f>
        <v>5706</v>
      </c>
      <c r="J136" s="0" t="n">
        <f aca="false">RawFinancials!D136</f>
        <v>1937924</v>
      </c>
      <c r="K136" s="0" t="n">
        <f aca="false">RawFinancials!F136</f>
        <v>213958</v>
      </c>
      <c r="L136" s="0" t="n">
        <f aca="false">RawFinancials!L136</f>
        <v>1815032</v>
      </c>
      <c r="M136" s="0" t="n">
        <f aca="false">RawFinancials!N136</f>
        <v>1463937</v>
      </c>
      <c r="N136" s="13" t="n">
        <f aca="false">RawFinancials!X136</f>
        <v>0.571809349197939</v>
      </c>
      <c r="O136" s="13" t="n">
        <f aca="false">RawFinancials!V136</f>
        <v>14.5589856040453</v>
      </c>
      <c r="P136" s="13" t="n">
        <f aca="false">IF(AND(ISNUMBER(L136),L136&lt;&gt;0,ISNUMBER(M136)),100*M136/L136,"")</f>
        <v>80.6562639116005</v>
      </c>
      <c r="Q136" s="13" t="n">
        <f aca="false">IF(AND(ISNUMBER(F136),F136&lt;&gt;0,ISNUMBER(K136)),100*K136/F136,"")</f>
        <v>9.33909036863475</v>
      </c>
      <c r="R136" s="11" t="b">
        <f aca="false">AND(ISNUMBER(F136),F136&gt;0,ISNUMBER(G136),G136&gt;=0,ISNUMBER(H136),H136&gt;=0)</f>
        <v>1</v>
      </c>
      <c r="S136" s="13" t="n">
        <f aca="false">IF(R136,100*I136/F136,"")</f>
        <v>0.24906219745665</v>
      </c>
      <c r="T136" s="11" t="b">
        <f aca="false">NOT(AND(OR(AND(ISBLANK(RawFinancials!B136),ISBLANK(_RawBaseline!B133)),AND(ISNUMBER(RawFinancials!B136),ISNUMBER(_RawBaseline!B133),RawFinancials!B136=_RawBaseline!B133)),OR(AND(ISBLANK(RawFinancials!U136),ISBLANK(_RawBaseline!U133)),AND(ISNUMBER(RawFinancials!U136),ISNUMBER(_RawBaseline!U133),RawFinancials!U136=_RawBaseline!U133)),OR(AND(ISBLANK(RawFinancials!O136),ISBLANK(_RawBaseline!O133)),AND(ISNUMBER(RawFinancials!O136),ISNUMBER(_RawBaseline!O133),RawFinancials!O136=_RawBaseline!O133))))</f>
        <v>0</v>
      </c>
      <c r="U136" s="13" t="n">
        <f aca="false">IF(AND(D136=WF_START_PERIOD,R136,COUNTIFS($B$5:$B$750,B136,$D$5:$D$750,WF_END_PERIOD,$R$5:$R$750,TRUE())&gt;0),SUMIFS($S$5:$S$750,$B$5:$B$750,B136,$D$5:$D$750,WF_END_PERIOD,$R$5:$R$750,TRUE()),0)</f>
        <v>0</v>
      </c>
      <c r="V136" s="0" t="str">
        <f aca="false">IF(AND(D136=WF_START_PERIOD,COUNTIFS($B$5:$B$750,B136,$D$5:$D$750,WF_END_PERIOD)&gt;0),INDEX($E$5:$E$750,MATCH(B136&amp;"|"&amp;WF_END_PERIOD,$AC$5:$AC$750,0)),"")</f>
        <v/>
      </c>
      <c r="W136" s="11" t="b">
        <f aca="false">COUNTIFS($B$5:$B$750,B136,$D$5:$D$750,WF_START_PERIOD,$R$5:$R$750,TRUE())&gt;0</f>
        <v>1</v>
      </c>
      <c r="X136" s="11" t="b">
        <f aca="false">COUNTIFS($B$5:$B$750,B136,$D$5:$D$750,WF_END_PERIOD,$R$5:$R$750,TRUE())&gt;0</f>
        <v>1</v>
      </c>
      <c r="Y136" s="0" t="str">
        <f aca="false">IF(AND(D136=WF_END_PERIOD,COUNTIFS($B$5:$B$750,B136,$D$5:$D$750,WF_START_PERIOD)&gt;0),INDEX($E$5:$E$750,MATCH(B136&amp;"|"&amp;WF_START_PERIOD,$AC$5:$AC$750,0)),"")</f>
        <v/>
      </c>
      <c r="Z136" s="0" t="str">
        <f aca="false">IF(AND(D136=WF_END_PERIOD,R136),1+COUNTIFS($D$5:$D$750,WF_END_PERIOD,$E$5:$E$750,E136,$R$5:$R$750,TRUE(),$S$5:$S$750,"&gt;"&amp;S136)+COUNTIFS($D$5:$D$750,WF_END_PERIOD,$E$5:$E$750,E136,$R$5:$R$750,TRUE(),$S$5:$S$750,S136,$B$5:$B$750,"&lt;"&amp;B136),"")</f>
        <v/>
      </c>
      <c r="AA136" s="0" t="str">
        <f aca="false">IF(AND(D136=WF_END_PERIOD,R136,Z136&lt;&gt;1),1+COUNTIFS($D$5:$D$750,WF_END_PERIOD,$R$5:$R$750,TRUE(),$Z$5:$Z$750,"&lt;&gt;1",$S$5:$S$750,"&gt;"&amp;S136)+COUNTIFS($D$5:$D$750,WF_END_PERIOD,$R$5:$R$750,TRUE(),$Z$5:$Z$750,"&lt;&gt;1",$S$5:$S$750,S136,$B$5:$B$750,"&lt;"&amp;B136),"")</f>
        <v/>
      </c>
      <c r="AB136" s="11" t="b">
        <f aca="false">OR(D136=WF_START_PERIOD,D136=WF_END_PERIOD)</f>
        <v>0</v>
      </c>
      <c r="AC136" s="0" t="str">
        <f aca="false">B136&amp;"|"&amp;D136</f>
        <v>19531|20220930</v>
      </c>
    </row>
    <row r="137" customFormat="false" ht="15" hidden="false" customHeight="false" outlineLevel="0" collapsed="false">
      <c r="A137" s="0" t="n">
        <f aca="false">RawFinancials!A137</f>
        <v>134</v>
      </c>
      <c r="B137" s="0" t="n">
        <f aca="false">RawFinancials!C137</f>
        <v>19532</v>
      </c>
      <c r="C137" s="0" t="str">
        <f aca="false">RawFinancials!P137</f>
        <v>SKOWHEGAN SAVINGS BANK</v>
      </c>
      <c r="D137" s="0" t="n">
        <f aca="false">RawFinancials!W137</f>
        <v>20220930</v>
      </c>
      <c r="E137" s="0" t="str">
        <f aca="false">RawFinancials!Z137</f>
        <v>ME</v>
      </c>
      <c r="F137" s="0" t="n">
        <f aca="false">RawFinancials!B137</f>
        <v>779214</v>
      </c>
      <c r="G137" s="0" t="n">
        <f aca="false">RawFinancials!U137</f>
        <v>0</v>
      </c>
      <c r="H137" s="0" t="n">
        <f aca="false">RawFinancials!O137</f>
        <v>598</v>
      </c>
      <c r="I137" s="0" t="n">
        <f aca="false">IF(AND(ISNUMBER(G137),ISNUMBER(H137)),G137+H137,"")</f>
        <v>598</v>
      </c>
      <c r="J137" s="0" t="n">
        <f aca="false">RawFinancials!D137</f>
        <v>683500</v>
      </c>
      <c r="K137" s="0" t="n">
        <f aca="false">RawFinancials!F137</f>
        <v>83123</v>
      </c>
      <c r="L137" s="0" t="n">
        <f aca="false">RawFinancials!L137</f>
        <v>529131</v>
      </c>
      <c r="M137" s="0" t="n">
        <f aca="false">RawFinancials!N137</f>
        <v>452724</v>
      </c>
      <c r="N137" s="13" t="n">
        <f aca="false">RawFinancials!X137</f>
        <v>0.438029053439951</v>
      </c>
      <c r="O137" s="13" t="n">
        <f aca="false">RawFinancials!V137</f>
        <v>20.851880261962</v>
      </c>
      <c r="P137" s="13" t="n">
        <f aca="false">IF(AND(ISNUMBER(L137),L137&lt;&gt;0,ISNUMBER(M137)),100*M137/L137,"")</f>
        <v>85.5599086048635</v>
      </c>
      <c r="Q137" s="13" t="n">
        <f aca="false">IF(AND(ISNUMBER(F137),F137&lt;&gt;0,ISNUMBER(K137)),100*K137/F137,"")</f>
        <v>10.6675444743036</v>
      </c>
      <c r="R137" s="11" t="b">
        <f aca="false">AND(ISNUMBER(F137),F137&gt;0,ISNUMBER(G137),G137&gt;=0,ISNUMBER(H137),H137&gt;=0)</f>
        <v>1</v>
      </c>
      <c r="S137" s="13" t="n">
        <f aca="false">IF(R137,100*I137/F137,"")</f>
        <v>0.0767440010061421</v>
      </c>
      <c r="T137" s="11" t="b">
        <f aca="false">NOT(AND(OR(AND(ISBLANK(RawFinancials!B137),ISBLANK(_RawBaseline!B134)),AND(ISNUMBER(RawFinancials!B137),ISNUMBER(_RawBaseline!B134),RawFinancials!B137=_RawBaseline!B134)),OR(AND(ISBLANK(RawFinancials!U137),ISBLANK(_RawBaseline!U134)),AND(ISNUMBER(RawFinancials!U137),ISNUMBER(_RawBaseline!U134),RawFinancials!U137=_RawBaseline!U134)),OR(AND(ISBLANK(RawFinancials!O137),ISBLANK(_RawBaseline!O134)),AND(ISNUMBER(RawFinancials!O137),ISNUMBER(_RawBaseline!O134),RawFinancials!O137=_RawBaseline!O134))))</f>
        <v>0</v>
      </c>
      <c r="U137" s="13" t="n">
        <f aca="false">IF(AND(D137=WF_START_PERIOD,R137,COUNTIFS($B$5:$B$750,B137,$D$5:$D$750,WF_END_PERIOD,$R$5:$R$750,TRUE())&gt;0),SUMIFS($S$5:$S$750,$B$5:$B$750,B137,$D$5:$D$750,WF_END_PERIOD,$R$5:$R$750,TRUE()),0)</f>
        <v>0</v>
      </c>
      <c r="V137" s="0" t="str">
        <f aca="false">IF(AND(D137=WF_START_PERIOD,COUNTIFS($B$5:$B$750,B137,$D$5:$D$750,WF_END_PERIOD)&gt;0),INDEX($E$5:$E$750,MATCH(B137&amp;"|"&amp;WF_END_PERIOD,$AC$5:$AC$750,0)),"")</f>
        <v/>
      </c>
      <c r="W137" s="11" t="b">
        <f aca="false">COUNTIFS($B$5:$B$750,B137,$D$5:$D$750,WF_START_PERIOD,$R$5:$R$750,TRUE())&gt;0</f>
        <v>1</v>
      </c>
      <c r="X137" s="11" t="b">
        <f aca="false">COUNTIFS($B$5:$B$750,B137,$D$5:$D$750,WF_END_PERIOD,$R$5:$R$750,TRUE())&gt;0</f>
        <v>1</v>
      </c>
      <c r="Y137" s="0" t="str">
        <f aca="false">IF(AND(D137=WF_END_PERIOD,COUNTIFS($B$5:$B$750,B137,$D$5:$D$750,WF_START_PERIOD)&gt;0),INDEX($E$5:$E$750,MATCH(B137&amp;"|"&amp;WF_START_PERIOD,$AC$5:$AC$750,0)),"")</f>
        <v/>
      </c>
      <c r="Z137" s="0" t="str">
        <f aca="false">IF(AND(D137=WF_END_PERIOD,R137),1+COUNTIFS($D$5:$D$750,WF_END_PERIOD,$E$5:$E$750,E137,$R$5:$R$750,TRUE(),$S$5:$S$750,"&gt;"&amp;S137)+COUNTIFS($D$5:$D$750,WF_END_PERIOD,$E$5:$E$750,E137,$R$5:$R$750,TRUE(),$S$5:$S$750,S137,$B$5:$B$750,"&lt;"&amp;B137),"")</f>
        <v/>
      </c>
      <c r="AA137" s="0" t="str">
        <f aca="false">IF(AND(D137=WF_END_PERIOD,R137,Z137&lt;&gt;1),1+COUNTIFS($D$5:$D$750,WF_END_PERIOD,$R$5:$R$750,TRUE(),$Z$5:$Z$750,"&lt;&gt;1",$S$5:$S$750,"&gt;"&amp;S137)+COUNTIFS($D$5:$D$750,WF_END_PERIOD,$R$5:$R$750,TRUE(),$Z$5:$Z$750,"&lt;&gt;1",$S$5:$S$750,S137,$B$5:$B$750,"&lt;"&amp;B137),"")</f>
        <v/>
      </c>
      <c r="AB137" s="11" t="b">
        <f aca="false">OR(D137=WF_START_PERIOD,D137=WF_END_PERIOD)</f>
        <v>0</v>
      </c>
      <c r="AC137" s="0" t="str">
        <f aca="false">B137&amp;"|"&amp;D137</f>
        <v>19532|20220930</v>
      </c>
    </row>
    <row r="138" customFormat="false" ht="15" hidden="false" customHeight="false" outlineLevel="0" collapsed="false">
      <c r="A138" s="0" t="n">
        <f aca="false">RawFinancials!A138</f>
        <v>135</v>
      </c>
      <c r="B138" s="0" t="n">
        <f aca="false">RawFinancials!C138</f>
        <v>19690</v>
      </c>
      <c r="C138" s="0" t="str">
        <f aca="false">RawFinancials!P138</f>
        <v>NORTHEAST BANK</v>
      </c>
      <c r="D138" s="0" t="n">
        <f aca="false">RawFinancials!W138</f>
        <v>20220930</v>
      </c>
      <c r="E138" s="0" t="str">
        <f aca="false">RawFinancials!Z138</f>
        <v>ME</v>
      </c>
      <c r="F138" s="0" t="n">
        <f aca="false">RawFinancials!B138</f>
        <v>1742943</v>
      </c>
      <c r="G138" s="0" t="n">
        <f aca="false">RawFinancials!U138</f>
        <v>0</v>
      </c>
      <c r="H138" s="0" t="n">
        <f aca="false">RawFinancials!O138</f>
        <v>13597</v>
      </c>
      <c r="I138" s="0" t="n">
        <f aca="false">IF(AND(ISNUMBER(G138),ISNUMBER(H138)),G138+H138,"")</f>
        <v>13597</v>
      </c>
      <c r="J138" s="0" t="n">
        <f aca="false">RawFinancials!D138</f>
        <v>1344811</v>
      </c>
      <c r="K138" s="0" t="n">
        <f aca="false">RawFinancials!F138</f>
        <v>252162</v>
      </c>
      <c r="L138" s="0" t="n">
        <f aca="false">RawFinancials!L138</f>
        <v>1464220</v>
      </c>
      <c r="M138" s="0" t="n">
        <f aca="false">RawFinancials!N138</f>
        <v>1069457</v>
      </c>
      <c r="N138" s="13" t="n">
        <f aca="false">RawFinancials!X138</f>
        <v>2.44922864844194</v>
      </c>
      <c r="O138" s="13" t="n">
        <f aca="false">RawFinancials!V138</f>
        <v>17.7660683765957</v>
      </c>
      <c r="P138" s="13" t="n">
        <f aca="false">IF(AND(ISNUMBER(L138),L138&lt;&gt;0,ISNUMBER(M138)),100*M138/L138,"")</f>
        <v>73.0393656690934</v>
      </c>
      <c r="Q138" s="13" t="n">
        <f aca="false">IF(AND(ISNUMBER(F138),F138&lt;&gt;0,ISNUMBER(K138)),100*K138/F138,"")</f>
        <v>14.4675987682902</v>
      </c>
      <c r="R138" s="11" t="b">
        <f aca="false">AND(ISNUMBER(F138),F138&gt;0,ISNUMBER(G138),G138&gt;=0,ISNUMBER(H138),H138&gt;=0)</f>
        <v>1</v>
      </c>
      <c r="S138" s="13" t="n">
        <f aca="false">IF(R138,100*I138/F138,"")</f>
        <v>0.780117307335926</v>
      </c>
      <c r="T138" s="11" t="b">
        <f aca="false">NOT(AND(OR(AND(ISBLANK(RawFinancials!B138),ISBLANK(_RawBaseline!B135)),AND(ISNUMBER(RawFinancials!B138),ISNUMBER(_RawBaseline!B135),RawFinancials!B138=_RawBaseline!B135)),OR(AND(ISBLANK(RawFinancials!U138),ISBLANK(_RawBaseline!U135)),AND(ISNUMBER(RawFinancials!U138),ISNUMBER(_RawBaseline!U135),RawFinancials!U138=_RawBaseline!U135)),OR(AND(ISBLANK(RawFinancials!O138),ISBLANK(_RawBaseline!O135)),AND(ISNUMBER(RawFinancials!O138),ISNUMBER(_RawBaseline!O135),RawFinancials!O138=_RawBaseline!O135))))</f>
        <v>0</v>
      </c>
      <c r="U138" s="13" t="n">
        <f aca="false">IF(AND(D138=WF_START_PERIOD,R138,COUNTIFS($B$5:$B$750,B138,$D$5:$D$750,WF_END_PERIOD,$R$5:$R$750,TRUE())&gt;0),SUMIFS($S$5:$S$750,$B$5:$B$750,B138,$D$5:$D$750,WF_END_PERIOD,$R$5:$R$750,TRUE()),0)</f>
        <v>0</v>
      </c>
      <c r="V138" s="0" t="str">
        <f aca="false">IF(AND(D138=WF_START_PERIOD,COUNTIFS($B$5:$B$750,B138,$D$5:$D$750,WF_END_PERIOD)&gt;0),INDEX($E$5:$E$750,MATCH(B138&amp;"|"&amp;WF_END_PERIOD,$AC$5:$AC$750,0)),"")</f>
        <v/>
      </c>
      <c r="W138" s="11" t="b">
        <f aca="false">COUNTIFS($B$5:$B$750,B138,$D$5:$D$750,WF_START_PERIOD,$R$5:$R$750,TRUE())&gt;0</f>
        <v>1</v>
      </c>
      <c r="X138" s="11" t="b">
        <f aca="false">COUNTIFS($B$5:$B$750,B138,$D$5:$D$750,WF_END_PERIOD,$R$5:$R$750,TRUE())&gt;0</f>
        <v>1</v>
      </c>
      <c r="Y138" s="0" t="str">
        <f aca="false">IF(AND(D138=WF_END_PERIOD,COUNTIFS($B$5:$B$750,B138,$D$5:$D$750,WF_START_PERIOD)&gt;0),INDEX($E$5:$E$750,MATCH(B138&amp;"|"&amp;WF_START_PERIOD,$AC$5:$AC$750,0)),"")</f>
        <v/>
      </c>
      <c r="Z138" s="0" t="str">
        <f aca="false">IF(AND(D138=WF_END_PERIOD,R138),1+COUNTIFS($D$5:$D$750,WF_END_PERIOD,$E$5:$E$750,E138,$R$5:$R$750,TRUE(),$S$5:$S$750,"&gt;"&amp;S138)+COUNTIFS($D$5:$D$750,WF_END_PERIOD,$E$5:$E$750,E138,$R$5:$R$750,TRUE(),$S$5:$S$750,S138,$B$5:$B$750,"&lt;"&amp;B138),"")</f>
        <v/>
      </c>
      <c r="AA138" s="0" t="str">
        <f aca="false">IF(AND(D138=WF_END_PERIOD,R138,Z138&lt;&gt;1),1+COUNTIFS($D$5:$D$750,WF_END_PERIOD,$R$5:$R$750,TRUE(),$Z$5:$Z$750,"&lt;&gt;1",$S$5:$S$750,"&gt;"&amp;S138)+COUNTIFS($D$5:$D$750,WF_END_PERIOD,$R$5:$R$750,TRUE(),$Z$5:$Z$750,"&lt;&gt;1",$S$5:$S$750,S138,$B$5:$B$750,"&lt;"&amp;B138),"")</f>
        <v/>
      </c>
      <c r="AB138" s="11" t="b">
        <f aca="false">OR(D138=WF_START_PERIOD,D138=WF_END_PERIOD)</f>
        <v>0</v>
      </c>
      <c r="AC138" s="0" t="str">
        <f aca="false">B138&amp;"|"&amp;D138</f>
        <v>19690|20220930</v>
      </c>
    </row>
    <row r="139" customFormat="false" ht="15" hidden="false" customHeight="false" outlineLevel="0" collapsed="false">
      <c r="A139" s="0" t="n">
        <f aca="false">RawFinancials!A139</f>
        <v>136</v>
      </c>
      <c r="B139" s="0" t="n">
        <f aca="false">RawFinancials!C139</f>
        <v>19836</v>
      </c>
      <c r="C139" s="0" t="str">
        <f aca="false">RawFinancials!P139</f>
        <v>FRANKLIN SAVINGS BANK</v>
      </c>
      <c r="D139" s="0" t="n">
        <f aca="false">RawFinancials!W139</f>
        <v>20220930</v>
      </c>
      <c r="E139" s="0" t="str">
        <f aca="false">RawFinancials!Z139</f>
        <v>ME</v>
      </c>
      <c r="F139" s="0" t="n">
        <f aca="false">RawFinancials!B139</f>
        <v>579332</v>
      </c>
      <c r="G139" s="0" t="n">
        <f aca="false">RawFinancials!U139</f>
        <v>141</v>
      </c>
      <c r="H139" s="0" t="n">
        <f aca="false">RawFinancials!O139</f>
        <v>1439</v>
      </c>
      <c r="I139" s="0" t="n">
        <f aca="false">IF(AND(ISNUMBER(G139),ISNUMBER(H139)),G139+H139,"")</f>
        <v>1580</v>
      </c>
      <c r="J139" s="0" t="n">
        <f aca="false">RawFinancials!D139</f>
        <v>456854</v>
      </c>
      <c r="K139" s="0" t="n">
        <f aca="false">RawFinancials!F139</f>
        <v>115337</v>
      </c>
      <c r="L139" s="0" t="n">
        <f aca="false">RawFinancials!L139</f>
        <v>471806</v>
      </c>
      <c r="M139" s="0" t="n">
        <f aca="false">RawFinancials!N139</f>
        <v>401514</v>
      </c>
      <c r="N139" s="13" t="n">
        <f aca="false">RawFinancials!X139</f>
        <v>0.933083820950688</v>
      </c>
      <c r="O139" s="13" t="n">
        <f aca="false">RawFinancials!V139</f>
        <v>28.3528259517265</v>
      </c>
      <c r="P139" s="13" t="n">
        <f aca="false">IF(AND(ISNUMBER(L139),L139&lt;&gt;0,ISNUMBER(M139)),100*M139/L139,"")</f>
        <v>85.1015035841002</v>
      </c>
      <c r="Q139" s="13" t="n">
        <f aca="false">IF(AND(ISNUMBER(F139),F139&lt;&gt;0,ISNUMBER(K139)),100*K139/F139,"")</f>
        <v>19.9086188921033</v>
      </c>
      <c r="R139" s="11" t="b">
        <f aca="false">AND(ISNUMBER(F139),F139&gt;0,ISNUMBER(G139),G139&gt;=0,ISNUMBER(H139),H139&gt;=0)</f>
        <v>1</v>
      </c>
      <c r="S139" s="13" t="n">
        <f aca="false">IF(R139,100*I139/F139,"")</f>
        <v>0.272727900409437</v>
      </c>
      <c r="T139" s="11" t="b">
        <f aca="false">NOT(AND(OR(AND(ISBLANK(RawFinancials!B139),ISBLANK(_RawBaseline!B136)),AND(ISNUMBER(RawFinancials!B139),ISNUMBER(_RawBaseline!B136),RawFinancials!B139=_RawBaseline!B136)),OR(AND(ISBLANK(RawFinancials!U139),ISBLANK(_RawBaseline!U136)),AND(ISNUMBER(RawFinancials!U139),ISNUMBER(_RawBaseline!U136),RawFinancials!U139=_RawBaseline!U136)),OR(AND(ISBLANK(RawFinancials!O139),ISBLANK(_RawBaseline!O136)),AND(ISNUMBER(RawFinancials!O139),ISNUMBER(_RawBaseline!O136),RawFinancials!O139=_RawBaseline!O136))))</f>
        <v>0</v>
      </c>
      <c r="U139" s="13" t="n">
        <f aca="false">IF(AND(D139=WF_START_PERIOD,R139,COUNTIFS($B$5:$B$750,B139,$D$5:$D$750,WF_END_PERIOD,$R$5:$R$750,TRUE())&gt;0),SUMIFS($S$5:$S$750,$B$5:$B$750,B139,$D$5:$D$750,WF_END_PERIOD,$R$5:$R$750,TRUE()),0)</f>
        <v>0</v>
      </c>
      <c r="V139" s="0" t="str">
        <f aca="false">IF(AND(D139=WF_START_PERIOD,COUNTIFS($B$5:$B$750,B139,$D$5:$D$750,WF_END_PERIOD)&gt;0),INDEX($E$5:$E$750,MATCH(B139&amp;"|"&amp;WF_END_PERIOD,$AC$5:$AC$750,0)),"")</f>
        <v/>
      </c>
      <c r="W139" s="11" t="b">
        <f aca="false">COUNTIFS($B$5:$B$750,B139,$D$5:$D$750,WF_START_PERIOD,$R$5:$R$750,TRUE())&gt;0</f>
        <v>1</v>
      </c>
      <c r="X139" s="11" t="b">
        <f aca="false">COUNTIFS($B$5:$B$750,B139,$D$5:$D$750,WF_END_PERIOD,$R$5:$R$750,TRUE())&gt;0</f>
        <v>1</v>
      </c>
      <c r="Y139" s="0" t="str">
        <f aca="false">IF(AND(D139=WF_END_PERIOD,COUNTIFS($B$5:$B$750,B139,$D$5:$D$750,WF_START_PERIOD)&gt;0),INDEX($E$5:$E$750,MATCH(B139&amp;"|"&amp;WF_START_PERIOD,$AC$5:$AC$750,0)),"")</f>
        <v/>
      </c>
      <c r="Z139" s="0" t="str">
        <f aca="false">IF(AND(D139=WF_END_PERIOD,R139),1+COUNTIFS($D$5:$D$750,WF_END_PERIOD,$E$5:$E$750,E139,$R$5:$R$750,TRUE(),$S$5:$S$750,"&gt;"&amp;S139)+COUNTIFS($D$5:$D$750,WF_END_PERIOD,$E$5:$E$750,E139,$R$5:$R$750,TRUE(),$S$5:$S$750,S139,$B$5:$B$750,"&lt;"&amp;B139),"")</f>
        <v/>
      </c>
      <c r="AA139" s="0" t="str">
        <f aca="false">IF(AND(D139=WF_END_PERIOD,R139,Z139&lt;&gt;1),1+COUNTIFS($D$5:$D$750,WF_END_PERIOD,$R$5:$R$750,TRUE(),$Z$5:$Z$750,"&lt;&gt;1",$S$5:$S$750,"&gt;"&amp;S139)+COUNTIFS($D$5:$D$750,WF_END_PERIOD,$R$5:$R$750,TRUE(),$Z$5:$Z$750,"&lt;&gt;1",$S$5:$S$750,S139,$B$5:$B$750,"&lt;"&amp;B139),"")</f>
        <v/>
      </c>
      <c r="AB139" s="11" t="b">
        <f aca="false">OR(D139=WF_START_PERIOD,D139=WF_END_PERIOD)</f>
        <v>0</v>
      </c>
      <c r="AC139" s="0" t="str">
        <f aca="false">B139&amp;"|"&amp;D139</f>
        <v>19836|20220930</v>
      </c>
    </row>
    <row r="140" customFormat="false" ht="15" hidden="false" customHeight="false" outlineLevel="0" collapsed="false">
      <c r="A140" s="0" t="n">
        <f aca="false">RawFinancials!A140</f>
        <v>137</v>
      </c>
      <c r="B140" s="0" t="n">
        <f aca="false">RawFinancials!C140</f>
        <v>24540</v>
      </c>
      <c r="C140" s="0" t="str">
        <f aca="false">RawFinancials!P140</f>
        <v>BANK OF NEW ENGLAND</v>
      </c>
      <c r="D140" s="0" t="n">
        <f aca="false">RawFinancials!W140</f>
        <v>20220930</v>
      </c>
      <c r="E140" s="0" t="str">
        <f aca="false">RawFinancials!Z140</f>
        <v>NH</v>
      </c>
      <c r="F140" s="0" t="n">
        <f aca="false">RawFinancials!B140</f>
        <v>1199727</v>
      </c>
      <c r="G140" s="0" t="n">
        <f aca="false">RawFinancials!U140</f>
        <v>0</v>
      </c>
      <c r="H140" s="0" t="n">
        <f aca="false">RawFinancials!O140</f>
        <v>693</v>
      </c>
      <c r="I140" s="0" t="n">
        <f aca="false">IF(AND(ISNUMBER(G140),ISNUMBER(H140)),G140+H140,"")</f>
        <v>693</v>
      </c>
      <c r="J140" s="0" t="n">
        <f aca="false">RawFinancials!D140</f>
        <v>965688</v>
      </c>
      <c r="K140" s="0" t="n">
        <f aca="false">RawFinancials!F140</f>
        <v>206211</v>
      </c>
      <c r="L140" s="0" t="n">
        <f aca="false">RawFinancials!L140</f>
        <v>1090983</v>
      </c>
      <c r="M140" s="0" t="n">
        <f aca="false">RawFinancials!N140</f>
        <v>1048616</v>
      </c>
      <c r="N140" s="13" t="n">
        <f aca="false">RawFinancials!X140</f>
        <v>2.27932571681005</v>
      </c>
      <c r="O140" s="13" t="n">
        <f aca="false">RawFinancials!V140</f>
        <v>0</v>
      </c>
      <c r="P140" s="13" t="n">
        <f aca="false">IF(AND(ISNUMBER(L140),L140&lt;&gt;0,ISNUMBER(M140)),100*M140/L140,"")</f>
        <v>96.1166214322313</v>
      </c>
      <c r="Q140" s="13" t="n">
        <f aca="false">IF(AND(ISNUMBER(F140),F140&lt;&gt;0,ISNUMBER(K140)),100*K140/F140,"")</f>
        <v>17.1881603064697</v>
      </c>
      <c r="R140" s="11" t="b">
        <f aca="false">AND(ISNUMBER(F140),F140&gt;0,ISNUMBER(G140),G140&gt;=0,ISNUMBER(H140),H140&gt;=0)</f>
        <v>1</v>
      </c>
      <c r="S140" s="13" t="n">
        <f aca="false">IF(R140,100*I140/F140,"")</f>
        <v>0.0577631411146036</v>
      </c>
      <c r="T140" s="11" t="b">
        <f aca="false">NOT(AND(OR(AND(ISBLANK(RawFinancials!B140),ISBLANK(_RawBaseline!B137)),AND(ISNUMBER(RawFinancials!B140),ISNUMBER(_RawBaseline!B137),RawFinancials!B140=_RawBaseline!B137)),OR(AND(ISBLANK(RawFinancials!U140),ISBLANK(_RawBaseline!U137)),AND(ISNUMBER(RawFinancials!U140),ISNUMBER(_RawBaseline!U137),RawFinancials!U140=_RawBaseline!U137)),OR(AND(ISBLANK(RawFinancials!O140),ISBLANK(_RawBaseline!O137)),AND(ISNUMBER(RawFinancials!O140),ISNUMBER(_RawBaseline!O137),RawFinancials!O140=_RawBaseline!O137))))</f>
        <v>0</v>
      </c>
      <c r="U140" s="13" t="n">
        <f aca="false">IF(AND(D140=WF_START_PERIOD,R140,COUNTIFS($B$5:$B$750,B140,$D$5:$D$750,WF_END_PERIOD,$R$5:$R$750,TRUE())&gt;0),SUMIFS($S$5:$S$750,$B$5:$B$750,B140,$D$5:$D$750,WF_END_PERIOD,$R$5:$R$750,TRUE()),0)</f>
        <v>0</v>
      </c>
      <c r="V140" s="0" t="str">
        <f aca="false">IF(AND(D140=WF_START_PERIOD,COUNTIFS($B$5:$B$750,B140,$D$5:$D$750,WF_END_PERIOD)&gt;0),INDEX($E$5:$E$750,MATCH(B140&amp;"|"&amp;WF_END_PERIOD,$AC$5:$AC$750,0)),"")</f>
        <v/>
      </c>
      <c r="W140" s="11" t="b">
        <f aca="false">COUNTIFS($B$5:$B$750,B140,$D$5:$D$750,WF_START_PERIOD,$R$5:$R$750,TRUE())&gt;0</f>
        <v>1</v>
      </c>
      <c r="X140" s="11" t="b">
        <f aca="false">COUNTIFS($B$5:$B$750,B140,$D$5:$D$750,WF_END_PERIOD,$R$5:$R$750,TRUE())&gt;0</f>
        <v>1</v>
      </c>
      <c r="Y140" s="0" t="str">
        <f aca="false">IF(AND(D140=WF_END_PERIOD,COUNTIFS($B$5:$B$750,B140,$D$5:$D$750,WF_START_PERIOD)&gt;0),INDEX($E$5:$E$750,MATCH(B140&amp;"|"&amp;WF_START_PERIOD,$AC$5:$AC$750,0)),"")</f>
        <v/>
      </c>
      <c r="Z140" s="0" t="str">
        <f aca="false">IF(AND(D140=WF_END_PERIOD,R140),1+COUNTIFS($D$5:$D$750,WF_END_PERIOD,$E$5:$E$750,E140,$R$5:$R$750,TRUE(),$S$5:$S$750,"&gt;"&amp;S140)+COUNTIFS($D$5:$D$750,WF_END_PERIOD,$E$5:$E$750,E140,$R$5:$R$750,TRUE(),$S$5:$S$750,S140,$B$5:$B$750,"&lt;"&amp;B140),"")</f>
        <v/>
      </c>
      <c r="AA140" s="0" t="str">
        <f aca="false">IF(AND(D140=WF_END_PERIOD,R140,Z140&lt;&gt;1),1+COUNTIFS($D$5:$D$750,WF_END_PERIOD,$R$5:$R$750,TRUE(),$Z$5:$Z$750,"&lt;&gt;1",$S$5:$S$750,"&gt;"&amp;S140)+COUNTIFS($D$5:$D$750,WF_END_PERIOD,$R$5:$R$750,TRUE(),$Z$5:$Z$750,"&lt;&gt;1",$S$5:$S$750,S140,$B$5:$B$750,"&lt;"&amp;B140),"")</f>
        <v/>
      </c>
      <c r="AB140" s="11" t="b">
        <f aca="false">OR(D140=WF_START_PERIOD,D140=WF_END_PERIOD)</f>
        <v>0</v>
      </c>
      <c r="AC140" s="0" t="str">
        <f aca="false">B140&amp;"|"&amp;D140</f>
        <v>24540|20220930</v>
      </c>
    </row>
    <row r="141" customFormat="false" ht="15" hidden="false" customHeight="false" outlineLevel="0" collapsed="false">
      <c r="A141" s="0" t="n">
        <f aca="false">RawFinancials!A141</f>
        <v>138</v>
      </c>
      <c r="B141" s="0" t="n">
        <f aca="false">RawFinancials!C141</f>
        <v>27824</v>
      </c>
      <c r="C141" s="0" t="str">
        <f aca="false">RawFinancials!P141</f>
        <v>SALEM CO-OPERATIVE BANK</v>
      </c>
      <c r="D141" s="0" t="n">
        <f aca="false">RawFinancials!W141</f>
        <v>20220930</v>
      </c>
      <c r="E141" s="0" t="str">
        <f aca="false">RawFinancials!Z141</f>
        <v>NH</v>
      </c>
      <c r="F141" s="0" t="n">
        <f aca="false">RawFinancials!B141</f>
        <v>478442</v>
      </c>
      <c r="G141" s="0" t="n">
        <f aca="false">RawFinancials!U141</f>
        <v>0</v>
      </c>
      <c r="H141" s="0" t="n">
        <f aca="false">RawFinancials!O141</f>
        <v>1040</v>
      </c>
      <c r="I141" s="0" t="n">
        <f aca="false">IF(AND(ISNUMBER(G141),ISNUMBER(H141)),G141+H141,"")</f>
        <v>1040</v>
      </c>
      <c r="J141" s="0" t="n">
        <f aca="false">RawFinancials!D141</f>
        <v>398401</v>
      </c>
      <c r="K141" s="0" t="n">
        <f aca="false">RawFinancials!F141</f>
        <v>66369</v>
      </c>
      <c r="L141" s="0" t="n">
        <f aca="false">RawFinancials!L141</f>
        <v>389229</v>
      </c>
      <c r="M141" s="0" t="n">
        <f aca="false">RawFinancials!N141</f>
        <v>332914</v>
      </c>
      <c r="N141" s="13" t="n">
        <f aca="false">RawFinancials!X141</f>
        <v>0.316684318660046</v>
      </c>
      <c r="O141" s="13" t="n">
        <f aca="false">RawFinancials!V141</f>
        <v>24.0539268875851</v>
      </c>
      <c r="P141" s="13" t="n">
        <f aca="false">IF(AND(ISNUMBER(L141),L141&lt;&gt;0,ISNUMBER(M141)),100*M141/L141,"")</f>
        <v>85.531653602378</v>
      </c>
      <c r="Q141" s="13" t="n">
        <f aca="false">IF(AND(ISNUMBER(F141),F141&lt;&gt;0,ISNUMBER(K141)),100*K141/F141,"")</f>
        <v>13.8719008782674</v>
      </c>
      <c r="R141" s="11" t="b">
        <f aca="false">AND(ISNUMBER(F141),F141&gt;0,ISNUMBER(G141),G141&gt;=0,ISNUMBER(H141),H141&gt;=0)</f>
        <v>1</v>
      </c>
      <c r="S141" s="13" t="n">
        <f aca="false">IF(R141,100*I141/F141,"")</f>
        <v>0.217372220666246</v>
      </c>
      <c r="T141" s="11" t="b">
        <f aca="false">NOT(AND(OR(AND(ISBLANK(RawFinancials!B141),ISBLANK(_RawBaseline!B138)),AND(ISNUMBER(RawFinancials!B141),ISNUMBER(_RawBaseline!B138),RawFinancials!B141=_RawBaseline!B138)),OR(AND(ISBLANK(RawFinancials!U141),ISBLANK(_RawBaseline!U138)),AND(ISNUMBER(RawFinancials!U141),ISNUMBER(_RawBaseline!U138),RawFinancials!U141=_RawBaseline!U138)),OR(AND(ISBLANK(RawFinancials!O141),ISBLANK(_RawBaseline!O138)),AND(ISNUMBER(RawFinancials!O141),ISNUMBER(_RawBaseline!O138),RawFinancials!O141=_RawBaseline!O138))))</f>
        <v>0</v>
      </c>
      <c r="U141" s="13" t="n">
        <f aca="false">IF(AND(D141=WF_START_PERIOD,R141,COUNTIFS($B$5:$B$750,B141,$D$5:$D$750,WF_END_PERIOD,$R$5:$R$750,TRUE())&gt;0),SUMIFS($S$5:$S$750,$B$5:$B$750,B141,$D$5:$D$750,WF_END_PERIOD,$R$5:$R$750,TRUE()),0)</f>
        <v>0</v>
      </c>
      <c r="V141" s="0" t="str">
        <f aca="false">IF(AND(D141=WF_START_PERIOD,COUNTIFS($B$5:$B$750,B141,$D$5:$D$750,WF_END_PERIOD)&gt;0),INDEX($E$5:$E$750,MATCH(B141&amp;"|"&amp;WF_END_PERIOD,$AC$5:$AC$750,0)),"")</f>
        <v/>
      </c>
      <c r="W141" s="11" t="b">
        <f aca="false">COUNTIFS($B$5:$B$750,B141,$D$5:$D$750,WF_START_PERIOD,$R$5:$R$750,TRUE())&gt;0</f>
        <v>1</v>
      </c>
      <c r="X141" s="11" t="b">
        <f aca="false">COUNTIFS($B$5:$B$750,B141,$D$5:$D$750,WF_END_PERIOD,$R$5:$R$750,TRUE())&gt;0</f>
        <v>1</v>
      </c>
      <c r="Y141" s="0" t="str">
        <f aca="false">IF(AND(D141=WF_END_PERIOD,COUNTIFS($B$5:$B$750,B141,$D$5:$D$750,WF_START_PERIOD)&gt;0),INDEX($E$5:$E$750,MATCH(B141&amp;"|"&amp;WF_START_PERIOD,$AC$5:$AC$750,0)),"")</f>
        <v/>
      </c>
      <c r="Z141" s="0" t="str">
        <f aca="false">IF(AND(D141=WF_END_PERIOD,R141),1+COUNTIFS($D$5:$D$750,WF_END_PERIOD,$E$5:$E$750,E141,$R$5:$R$750,TRUE(),$S$5:$S$750,"&gt;"&amp;S141)+COUNTIFS($D$5:$D$750,WF_END_PERIOD,$E$5:$E$750,E141,$R$5:$R$750,TRUE(),$S$5:$S$750,S141,$B$5:$B$750,"&lt;"&amp;B141),"")</f>
        <v/>
      </c>
      <c r="AA141" s="0" t="str">
        <f aca="false">IF(AND(D141=WF_END_PERIOD,R141,Z141&lt;&gt;1),1+COUNTIFS($D$5:$D$750,WF_END_PERIOD,$R$5:$R$750,TRUE(),$Z$5:$Z$750,"&lt;&gt;1",$S$5:$S$750,"&gt;"&amp;S141)+COUNTIFS($D$5:$D$750,WF_END_PERIOD,$R$5:$R$750,TRUE(),$Z$5:$Z$750,"&lt;&gt;1",$S$5:$S$750,S141,$B$5:$B$750,"&lt;"&amp;B141),"")</f>
        <v/>
      </c>
      <c r="AB141" s="11" t="b">
        <f aca="false">OR(D141=WF_START_PERIOD,D141=WF_END_PERIOD)</f>
        <v>0</v>
      </c>
      <c r="AC141" s="0" t="str">
        <f aca="false">B141&amp;"|"&amp;D141</f>
        <v>27824|20220930</v>
      </c>
    </row>
    <row r="142" customFormat="false" ht="15" hidden="false" customHeight="false" outlineLevel="0" collapsed="false">
      <c r="A142" s="0" t="n">
        <f aca="false">RawFinancials!A142</f>
        <v>139</v>
      </c>
      <c r="B142" s="0" t="n">
        <f aca="false">RawFinancials!C142</f>
        <v>28155</v>
      </c>
      <c r="C142" s="0" t="str">
        <f aca="false">RawFinancials!P142</f>
        <v>PROFILE BANK</v>
      </c>
      <c r="D142" s="0" t="n">
        <f aca="false">RawFinancials!W142</f>
        <v>20220930</v>
      </c>
      <c r="E142" s="0" t="str">
        <f aca="false">RawFinancials!Z142</f>
        <v>NH</v>
      </c>
      <c r="F142" s="0" t="n">
        <f aca="false">RawFinancials!B142</f>
        <v>306788</v>
      </c>
      <c r="G142" s="0" t="n">
        <f aca="false">RawFinancials!U142</f>
        <v>0</v>
      </c>
      <c r="H142" s="0" t="n">
        <f aca="false">RawFinancials!O142</f>
        <v>222</v>
      </c>
      <c r="I142" s="0" t="n">
        <f aca="false">IF(AND(ISNUMBER(G142),ISNUMBER(H142)),G142+H142,"")</f>
        <v>222</v>
      </c>
      <c r="J142" s="0" t="n">
        <f aca="false">RawFinancials!D142</f>
        <v>278328</v>
      </c>
      <c r="K142" s="0" t="n">
        <f aca="false">RawFinancials!F142</f>
        <v>27419</v>
      </c>
      <c r="L142" s="0" t="n">
        <f aca="false">RawFinancials!L142</f>
        <v>155257</v>
      </c>
      <c r="M142" s="0" t="n">
        <f aca="false">RawFinancials!N142</f>
        <v>143872</v>
      </c>
      <c r="N142" s="13" t="n">
        <f aca="false">RawFinancials!X142</f>
        <v>0.211071666580137</v>
      </c>
      <c r="O142" s="13" t="n">
        <f aca="false">RawFinancials!V142</f>
        <v>18.3948124270968</v>
      </c>
      <c r="P142" s="13" t="n">
        <f aca="false">IF(AND(ISNUMBER(L142),L142&lt;&gt;0,ISNUMBER(M142)),100*M142/L142,"")</f>
        <v>92.6669973012489</v>
      </c>
      <c r="Q142" s="13" t="n">
        <f aca="false">IF(AND(ISNUMBER(F142),F142&lt;&gt;0,ISNUMBER(K142)),100*K142/F142,"")</f>
        <v>8.93744214245668</v>
      </c>
      <c r="R142" s="11" t="b">
        <f aca="false">AND(ISNUMBER(F142),F142&gt;0,ISNUMBER(G142),G142&gt;=0,ISNUMBER(H142),H142&gt;=0)</f>
        <v>1</v>
      </c>
      <c r="S142" s="13" t="n">
        <f aca="false">IF(R142,100*I142/F142,"")</f>
        <v>0.072362673898588</v>
      </c>
      <c r="T142" s="11" t="b">
        <f aca="false">NOT(AND(OR(AND(ISBLANK(RawFinancials!B142),ISBLANK(_RawBaseline!B139)),AND(ISNUMBER(RawFinancials!B142),ISNUMBER(_RawBaseline!B139),RawFinancials!B142=_RawBaseline!B139)),OR(AND(ISBLANK(RawFinancials!U142),ISBLANK(_RawBaseline!U139)),AND(ISNUMBER(RawFinancials!U142),ISNUMBER(_RawBaseline!U139),RawFinancials!U142=_RawBaseline!U139)),OR(AND(ISBLANK(RawFinancials!O142),ISBLANK(_RawBaseline!O139)),AND(ISNUMBER(RawFinancials!O142),ISNUMBER(_RawBaseline!O139),RawFinancials!O142=_RawBaseline!O139))))</f>
        <v>0</v>
      </c>
      <c r="U142" s="13" t="n">
        <f aca="false">IF(AND(D142=WF_START_PERIOD,R142,COUNTIFS($B$5:$B$750,B142,$D$5:$D$750,WF_END_PERIOD,$R$5:$R$750,TRUE())&gt;0),SUMIFS($S$5:$S$750,$B$5:$B$750,B142,$D$5:$D$750,WF_END_PERIOD,$R$5:$R$750,TRUE()),0)</f>
        <v>0</v>
      </c>
      <c r="V142" s="0" t="str">
        <f aca="false">IF(AND(D142=WF_START_PERIOD,COUNTIFS($B$5:$B$750,B142,$D$5:$D$750,WF_END_PERIOD)&gt;0),INDEX($E$5:$E$750,MATCH(B142&amp;"|"&amp;WF_END_PERIOD,$AC$5:$AC$750,0)),"")</f>
        <v/>
      </c>
      <c r="W142" s="11" t="b">
        <f aca="false">COUNTIFS($B$5:$B$750,B142,$D$5:$D$750,WF_START_PERIOD,$R$5:$R$750,TRUE())&gt;0</f>
        <v>1</v>
      </c>
      <c r="X142" s="11" t="b">
        <f aca="false">COUNTIFS($B$5:$B$750,B142,$D$5:$D$750,WF_END_PERIOD,$R$5:$R$750,TRUE())&gt;0</f>
        <v>1</v>
      </c>
      <c r="Y142" s="0" t="str">
        <f aca="false">IF(AND(D142=WF_END_PERIOD,COUNTIFS($B$5:$B$750,B142,$D$5:$D$750,WF_START_PERIOD)&gt;0),INDEX($E$5:$E$750,MATCH(B142&amp;"|"&amp;WF_START_PERIOD,$AC$5:$AC$750,0)),"")</f>
        <v/>
      </c>
      <c r="Z142" s="0" t="str">
        <f aca="false">IF(AND(D142=WF_END_PERIOD,R142),1+COUNTIFS($D$5:$D$750,WF_END_PERIOD,$E$5:$E$750,E142,$R$5:$R$750,TRUE(),$S$5:$S$750,"&gt;"&amp;S142)+COUNTIFS($D$5:$D$750,WF_END_PERIOD,$E$5:$E$750,E142,$R$5:$R$750,TRUE(),$S$5:$S$750,S142,$B$5:$B$750,"&lt;"&amp;B142),"")</f>
        <v/>
      </c>
      <c r="AA142" s="0" t="str">
        <f aca="false">IF(AND(D142=WF_END_PERIOD,R142,Z142&lt;&gt;1),1+COUNTIFS($D$5:$D$750,WF_END_PERIOD,$R$5:$R$750,TRUE(),$Z$5:$Z$750,"&lt;&gt;1",$S$5:$S$750,"&gt;"&amp;S142)+COUNTIFS($D$5:$D$750,WF_END_PERIOD,$R$5:$R$750,TRUE(),$Z$5:$Z$750,"&lt;&gt;1",$S$5:$S$750,S142,$B$5:$B$750,"&lt;"&amp;B142),"")</f>
        <v/>
      </c>
      <c r="AB142" s="11" t="b">
        <f aca="false">OR(D142=WF_START_PERIOD,D142=WF_END_PERIOD)</f>
        <v>0</v>
      </c>
      <c r="AC142" s="0" t="str">
        <f aca="false">B142&amp;"|"&amp;D142</f>
        <v>28155|20220930</v>
      </c>
    </row>
    <row r="143" customFormat="false" ht="15" hidden="false" customHeight="false" outlineLevel="0" collapsed="false">
      <c r="A143" s="0" t="n">
        <f aca="false">RawFinancials!A143</f>
        <v>140</v>
      </c>
      <c r="B143" s="0" t="n">
        <f aca="false">RawFinancials!C143</f>
        <v>28288</v>
      </c>
      <c r="C143" s="0" t="str">
        <f aca="false">RawFinancials!P143</f>
        <v>AUBURN SAVINGS BANK, FSB</v>
      </c>
      <c r="D143" s="0" t="n">
        <f aca="false">RawFinancials!W143</f>
        <v>20220930</v>
      </c>
      <c r="E143" s="0" t="str">
        <f aca="false">RawFinancials!Z143</f>
        <v>ME</v>
      </c>
      <c r="F143" s="0" t="n">
        <f aca="false">RawFinancials!B143</f>
        <v>98792</v>
      </c>
      <c r="G143" s="0" t="n">
        <f aca="false">RawFinancials!U143</f>
        <v>0</v>
      </c>
      <c r="H143" s="0" t="n">
        <f aca="false">RawFinancials!O143</f>
        <v>387</v>
      </c>
      <c r="I143" s="0" t="n">
        <f aca="false">IF(AND(ISNUMBER(G143),ISNUMBER(H143)),G143+H143,"")</f>
        <v>387</v>
      </c>
      <c r="J143" s="0" t="n">
        <f aca="false">RawFinancials!D143</f>
        <v>81542</v>
      </c>
      <c r="K143" s="0" t="n">
        <f aca="false">RawFinancials!F143</f>
        <v>5736</v>
      </c>
      <c r="L143" s="0" t="n">
        <f aca="false">RawFinancials!L143</f>
        <v>78082</v>
      </c>
      <c r="M143" s="0" t="n">
        <f aca="false">RawFinancials!N143</f>
        <v>74509</v>
      </c>
      <c r="N143" s="13" t="n">
        <f aca="false">RawFinancials!X143</f>
        <v>0.100531837186714</v>
      </c>
      <c r="O143" s="13" t="n">
        <f aca="false">RawFinancials!V143</f>
        <v>13.8047190555651</v>
      </c>
      <c r="P143" s="13" t="n">
        <f aca="false">IF(AND(ISNUMBER(L143),L143&lt;&gt;0,ISNUMBER(M143)),100*M143/L143,"")</f>
        <v>95.4240413923824</v>
      </c>
      <c r="Q143" s="13" t="n">
        <f aca="false">IF(AND(ISNUMBER(F143),F143&lt;&gt;0,ISNUMBER(K143)),100*K143/F143,"")</f>
        <v>5.80613814883796</v>
      </c>
      <c r="R143" s="11" t="b">
        <f aca="false">AND(ISNUMBER(F143),F143&gt;0,ISNUMBER(G143),G143&gt;=0,ISNUMBER(H143),H143&gt;=0)</f>
        <v>1</v>
      </c>
      <c r="S143" s="13" t="n">
        <f aca="false">IF(R143,100*I143/F143,"")</f>
        <v>0.391732124058628</v>
      </c>
      <c r="T143" s="11" t="b">
        <f aca="false">NOT(AND(OR(AND(ISBLANK(RawFinancials!B143),ISBLANK(_RawBaseline!B140)),AND(ISNUMBER(RawFinancials!B143),ISNUMBER(_RawBaseline!B140),RawFinancials!B143=_RawBaseline!B140)),OR(AND(ISBLANK(RawFinancials!U143),ISBLANK(_RawBaseline!U140)),AND(ISNUMBER(RawFinancials!U143),ISNUMBER(_RawBaseline!U140),RawFinancials!U143=_RawBaseline!U140)),OR(AND(ISBLANK(RawFinancials!O143),ISBLANK(_RawBaseline!O140)),AND(ISNUMBER(RawFinancials!O143),ISNUMBER(_RawBaseline!O140),RawFinancials!O143=_RawBaseline!O140))))</f>
        <v>0</v>
      </c>
      <c r="U143" s="13" t="n">
        <f aca="false">IF(AND(D143=WF_START_PERIOD,R143,COUNTIFS($B$5:$B$750,B143,$D$5:$D$750,WF_END_PERIOD,$R$5:$R$750,TRUE())&gt;0),SUMIFS($S$5:$S$750,$B$5:$B$750,B143,$D$5:$D$750,WF_END_PERIOD,$R$5:$R$750,TRUE()),0)</f>
        <v>0</v>
      </c>
      <c r="V143" s="0" t="str">
        <f aca="false">IF(AND(D143=WF_START_PERIOD,COUNTIFS($B$5:$B$750,B143,$D$5:$D$750,WF_END_PERIOD)&gt;0),INDEX($E$5:$E$750,MATCH(B143&amp;"|"&amp;WF_END_PERIOD,$AC$5:$AC$750,0)),"")</f>
        <v/>
      </c>
      <c r="W143" s="11" t="b">
        <f aca="false">COUNTIFS($B$5:$B$750,B143,$D$5:$D$750,WF_START_PERIOD,$R$5:$R$750,TRUE())&gt;0</f>
        <v>1</v>
      </c>
      <c r="X143" s="11" t="b">
        <f aca="false">COUNTIFS($B$5:$B$750,B143,$D$5:$D$750,WF_END_PERIOD,$R$5:$R$750,TRUE())&gt;0</f>
        <v>1</v>
      </c>
      <c r="Y143" s="0" t="str">
        <f aca="false">IF(AND(D143=WF_END_PERIOD,COUNTIFS($B$5:$B$750,B143,$D$5:$D$750,WF_START_PERIOD)&gt;0),INDEX($E$5:$E$750,MATCH(B143&amp;"|"&amp;WF_START_PERIOD,$AC$5:$AC$750,0)),"")</f>
        <v/>
      </c>
      <c r="Z143" s="0" t="str">
        <f aca="false">IF(AND(D143=WF_END_PERIOD,R143),1+COUNTIFS($D$5:$D$750,WF_END_PERIOD,$E$5:$E$750,E143,$R$5:$R$750,TRUE(),$S$5:$S$750,"&gt;"&amp;S143)+COUNTIFS($D$5:$D$750,WF_END_PERIOD,$E$5:$E$750,E143,$R$5:$R$750,TRUE(),$S$5:$S$750,S143,$B$5:$B$750,"&lt;"&amp;B143),"")</f>
        <v/>
      </c>
      <c r="AA143" s="0" t="str">
        <f aca="false">IF(AND(D143=WF_END_PERIOD,R143,Z143&lt;&gt;1),1+COUNTIFS($D$5:$D$750,WF_END_PERIOD,$R$5:$R$750,TRUE(),$Z$5:$Z$750,"&lt;&gt;1",$S$5:$S$750,"&gt;"&amp;S143)+COUNTIFS($D$5:$D$750,WF_END_PERIOD,$R$5:$R$750,TRUE(),$Z$5:$Z$750,"&lt;&gt;1",$S$5:$S$750,S143,$B$5:$B$750,"&lt;"&amp;B143),"")</f>
        <v/>
      </c>
      <c r="AB143" s="11" t="b">
        <f aca="false">OR(D143=WF_START_PERIOD,D143=WF_END_PERIOD)</f>
        <v>0</v>
      </c>
      <c r="AC143" s="0" t="str">
        <f aca="false">B143&amp;"|"&amp;D143</f>
        <v>28288|20220930</v>
      </c>
    </row>
    <row r="144" customFormat="false" ht="15" hidden="false" customHeight="false" outlineLevel="0" collapsed="false">
      <c r="A144" s="0" t="n">
        <f aca="false">RawFinancials!A144</f>
        <v>141</v>
      </c>
      <c r="B144" s="0" t="n">
        <f aca="false">RawFinancials!C144</f>
        <v>28369</v>
      </c>
      <c r="C144" s="0" t="str">
        <f aca="false">RawFinancials!P144</f>
        <v>ROCKLAND SAVINGS BANK, FSB</v>
      </c>
      <c r="D144" s="0" t="n">
        <f aca="false">RawFinancials!W144</f>
        <v>20220930</v>
      </c>
      <c r="E144" s="0" t="str">
        <f aca="false">RawFinancials!Z144</f>
        <v>ME</v>
      </c>
      <c r="F144" s="0" t="n">
        <f aca="false">RawFinancials!B144</f>
        <v>89339</v>
      </c>
      <c r="G144" s="0" t="n">
        <f aca="false">RawFinancials!U144</f>
        <v>0</v>
      </c>
      <c r="H144" s="0" t="n">
        <f aca="false">RawFinancials!O144</f>
        <v>377</v>
      </c>
      <c r="I144" s="0" t="n">
        <f aca="false">IF(AND(ISNUMBER(G144),ISNUMBER(H144)),G144+H144,"")</f>
        <v>377</v>
      </c>
      <c r="J144" s="0" t="n">
        <f aca="false">RawFinancials!D144</f>
        <v>79460</v>
      </c>
      <c r="K144" s="0" t="n">
        <f aca="false">RawFinancials!F144</f>
        <v>9472</v>
      </c>
      <c r="L144" s="0" t="n">
        <f aca="false">RawFinancials!L144</f>
        <v>73290</v>
      </c>
      <c r="M144" s="0" t="n">
        <f aca="false">RawFinancials!N144</f>
        <v>61961</v>
      </c>
      <c r="N144" s="13" t="n">
        <f aca="false">RawFinancials!X144</f>
        <v>0.180791114967063</v>
      </c>
      <c r="O144" s="13" t="n">
        <f aca="false">RawFinancials!V144</f>
        <v>0</v>
      </c>
      <c r="P144" s="13" t="n">
        <f aca="false">IF(AND(ISNUMBER(L144),L144&lt;&gt;0,ISNUMBER(M144)),100*M144/L144,"")</f>
        <v>84.5422294992496</v>
      </c>
      <c r="Q144" s="13" t="n">
        <f aca="false">IF(AND(ISNUMBER(F144),F144&lt;&gt;0,ISNUMBER(K144)),100*K144/F144,"")</f>
        <v>10.6023125398762</v>
      </c>
      <c r="R144" s="11" t="b">
        <f aca="false">AND(ISNUMBER(F144),F144&gt;0,ISNUMBER(G144),G144&gt;=0,ISNUMBER(H144),H144&gt;=0)</f>
        <v>1</v>
      </c>
      <c r="S144" s="13" t="n">
        <f aca="false">IF(R144,100*I144/F144,"")</f>
        <v>0.421988157467623</v>
      </c>
      <c r="T144" s="11" t="b">
        <f aca="false">NOT(AND(OR(AND(ISBLANK(RawFinancials!B144),ISBLANK(_RawBaseline!B141)),AND(ISNUMBER(RawFinancials!B144),ISNUMBER(_RawBaseline!B141),RawFinancials!B144=_RawBaseline!B141)),OR(AND(ISBLANK(RawFinancials!U144),ISBLANK(_RawBaseline!U141)),AND(ISNUMBER(RawFinancials!U144),ISNUMBER(_RawBaseline!U141),RawFinancials!U144=_RawBaseline!U141)),OR(AND(ISBLANK(RawFinancials!O144),ISBLANK(_RawBaseline!O141)),AND(ISNUMBER(RawFinancials!O144),ISNUMBER(_RawBaseline!O141),RawFinancials!O144=_RawBaseline!O141))))</f>
        <v>0</v>
      </c>
      <c r="U144" s="13" t="n">
        <f aca="false">IF(AND(D144=WF_START_PERIOD,R144,COUNTIFS($B$5:$B$750,B144,$D$5:$D$750,WF_END_PERIOD,$R$5:$R$750,TRUE())&gt;0),SUMIFS($S$5:$S$750,$B$5:$B$750,B144,$D$5:$D$750,WF_END_PERIOD,$R$5:$R$750,TRUE()),0)</f>
        <v>0</v>
      </c>
      <c r="V144" s="0" t="str">
        <f aca="false">IF(AND(D144=WF_START_PERIOD,COUNTIFS($B$5:$B$750,B144,$D$5:$D$750,WF_END_PERIOD)&gt;0),INDEX($E$5:$E$750,MATCH(B144&amp;"|"&amp;WF_END_PERIOD,$AC$5:$AC$750,0)),"")</f>
        <v/>
      </c>
      <c r="W144" s="11" t="b">
        <f aca="false">COUNTIFS($B$5:$B$750,B144,$D$5:$D$750,WF_START_PERIOD,$R$5:$R$750,TRUE())&gt;0</f>
        <v>1</v>
      </c>
      <c r="X144" s="11" t="b">
        <f aca="false">COUNTIFS($B$5:$B$750,B144,$D$5:$D$750,WF_END_PERIOD,$R$5:$R$750,TRUE())&gt;0</f>
        <v>1</v>
      </c>
      <c r="Y144" s="0" t="str">
        <f aca="false">IF(AND(D144=WF_END_PERIOD,COUNTIFS($B$5:$B$750,B144,$D$5:$D$750,WF_START_PERIOD)&gt;0),INDEX($E$5:$E$750,MATCH(B144&amp;"|"&amp;WF_START_PERIOD,$AC$5:$AC$750,0)),"")</f>
        <v/>
      </c>
      <c r="Z144" s="0" t="str">
        <f aca="false">IF(AND(D144=WF_END_PERIOD,R144),1+COUNTIFS($D$5:$D$750,WF_END_PERIOD,$E$5:$E$750,E144,$R$5:$R$750,TRUE(),$S$5:$S$750,"&gt;"&amp;S144)+COUNTIFS($D$5:$D$750,WF_END_PERIOD,$E$5:$E$750,E144,$R$5:$R$750,TRUE(),$S$5:$S$750,S144,$B$5:$B$750,"&lt;"&amp;B144),"")</f>
        <v/>
      </c>
      <c r="AA144" s="0" t="str">
        <f aca="false">IF(AND(D144=WF_END_PERIOD,R144,Z144&lt;&gt;1),1+COUNTIFS($D$5:$D$750,WF_END_PERIOD,$R$5:$R$750,TRUE(),$Z$5:$Z$750,"&lt;&gt;1",$S$5:$S$750,"&gt;"&amp;S144)+COUNTIFS($D$5:$D$750,WF_END_PERIOD,$R$5:$R$750,TRUE(),$Z$5:$Z$750,"&lt;&gt;1",$S$5:$S$750,S144,$B$5:$B$750,"&lt;"&amp;B144),"")</f>
        <v/>
      </c>
      <c r="AB144" s="11" t="b">
        <f aca="false">OR(D144=WF_START_PERIOD,D144=WF_END_PERIOD)</f>
        <v>0</v>
      </c>
      <c r="AC144" s="0" t="str">
        <f aca="false">B144&amp;"|"&amp;D144</f>
        <v>28369|20220930</v>
      </c>
    </row>
    <row r="145" customFormat="false" ht="15" hidden="false" customHeight="false" outlineLevel="0" collapsed="false">
      <c r="A145" s="0" t="n">
        <f aca="false">RawFinancials!A145</f>
        <v>142</v>
      </c>
      <c r="B145" s="0" t="n">
        <f aca="false">RawFinancials!C145</f>
        <v>28837</v>
      </c>
      <c r="C145" s="0" t="str">
        <f aca="false">RawFinancials!P145</f>
        <v>THE BRATTLEBORO SAVINGS AND LOAN ASSOCIATION</v>
      </c>
      <c r="D145" s="0" t="n">
        <f aca="false">RawFinancials!W145</f>
        <v>20220930</v>
      </c>
      <c r="E145" s="0" t="str">
        <f aca="false">RawFinancials!Z145</f>
        <v>VT</v>
      </c>
      <c r="F145" s="0" t="n">
        <f aca="false">RawFinancials!B145</f>
        <v>308029</v>
      </c>
      <c r="G145" s="0" t="n">
        <f aca="false">RawFinancials!U145</f>
        <v>0</v>
      </c>
      <c r="H145" s="0" t="n">
        <f aca="false">RawFinancials!O145</f>
        <v>240</v>
      </c>
      <c r="I145" s="0" t="n">
        <f aca="false">IF(AND(ISNUMBER(G145),ISNUMBER(H145)),G145+H145,"")</f>
        <v>240</v>
      </c>
      <c r="J145" s="0" t="n">
        <f aca="false">RawFinancials!D145</f>
        <v>282630</v>
      </c>
      <c r="K145" s="0" t="n">
        <f aca="false">RawFinancials!F145</f>
        <v>22847</v>
      </c>
      <c r="L145" s="0" t="n">
        <f aca="false">RawFinancials!L145</f>
        <v>189990</v>
      </c>
      <c r="M145" s="0" t="n">
        <f aca="false">RawFinancials!N145</f>
        <v>180618</v>
      </c>
      <c r="N145" s="13" t="n">
        <f aca="false">RawFinancials!X145</f>
        <v>0.481132029976162</v>
      </c>
      <c r="O145" s="13" t="n">
        <f aca="false">RawFinancials!V145</f>
        <v>15.1026996647475</v>
      </c>
      <c r="P145" s="13" t="n">
        <f aca="false">IF(AND(ISNUMBER(L145),L145&lt;&gt;0,ISNUMBER(M145)),100*M145/L145,"")</f>
        <v>95.0671087951997</v>
      </c>
      <c r="Q145" s="13" t="n">
        <f aca="false">IF(AND(ISNUMBER(F145),F145&lt;&gt;0,ISNUMBER(K145)),100*K145/F145,"")</f>
        <v>7.41715877401154</v>
      </c>
      <c r="R145" s="11" t="b">
        <f aca="false">AND(ISNUMBER(F145),F145&gt;0,ISNUMBER(G145),G145&gt;=0,ISNUMBER(H145),H145&gt;=0)</f>
        <v>1</v>
      </c>
      <c r="S145" s="13" t="n">
        <f aca="false">IF(R145,100*I145/F145,"")</f>
        <v>0.0779147417937921</v>
      </c>
      <c r="T145" s="11" t="b">
        <f aca="false">NOT(AND(OR(AND(ISBLANK(RawFinancials!B145),ISBLANK(_RawBaseline!B142)),AND(ISNUMBER(RawFinancials!B145),ISNUMBER(_RawBaseline!B142),RawFinancials!B145=_RawBaseline!B142)),OR(AND(ISBLANK(RawFinancials!U145),ISBLANK(_RawBaseline!U142)),AND(ISNUMBER(RawFinancials!U145),ISNUMBER(_RawBaseline!U142),RawFinancials!U145=_RawBaseline!U142)),OR(AND(ISBLANK(RawFinancials!O145),ISBLANK(_RawBaseline!O142)),AND(ISNUMBER(RawFinancials!O145),ISNUMBER(_RawBaseline!O142),RawFinancials!O145=_RawBaseline!O142))))</f>
        <v>0</v>
      </c>
      <c r="U145" s="13" t="n">
        <f aca="false">IF(AND(D145=WF_START_PERIOD,R145,COUNTIFS($B$5:$B$750,B145,$D$5:$D$750,WF_END_PERIOD,$R$5:$R$750,TRUE())&gt;0),SUMIFS($S$5:$S$750,$B$5:$B$750,B145,$D$5:$D$750,WF_END_PERIOD,$R$5:$R$750,TRUE()),0)</f>
        <v>0</v>
      </c>
      <c r="V145" s="0" t="str">
        <f aca="false">IF(AND(D145=WF_START_PERIOD,COUNTIFS($B$5:$B$750,B145,$D$5:$D$750,WF_END_PERIOD)&gt;0),INDEX($E$5:$E$750,MATCH(B145&amp;"|"&amp;WF_END_PERIOD,$AC$5:$AC$750,0)),"")</f>
        <v/>
      </c>
      <c r="W145" s="11" t="b">
        <f aca="false">COUNTIFS($B$5:$B$750,B145,$D$5:$D$750,WF_START_PERIOD,$R$5:$R$750,TRUE())&gt;0</f>
        <v>1</v>
      </c>
      <c r="X145" s="11" t="b">
        <f aca="false">COUNTIFS($B$5:$B$750,B145,$D$5:$D$750,WF_END_PERIOD,$R$5:$R$750,TRUE())&gt;0</f>
        <v>1</v>
      </c>
      <c r="Y145" s="0" t="str">
        <f aca="false">IF(AND(D145=WF_END_PERIOD,COUNTIFS($B$5:$B$750,B145,$D$5:$D$750,WF_START_PERIOD)&gt;0),INDEX($E$5:$E$750,MATCH(B145&amp;"|"&amp;WF_START_PERIOD,$AC$5:$AC$750,0)),"")</f>
        <v/>
      </c>
      <c r="Z145" s="0" t="str">
        <f aca="false">IF(AND(D145=WF_END_PERIOD,R145),1+COUNTIFS($D$5:$D$750,WF_END_PERIOD,$E$5:$E$750,E145,$R$5:$R$750,TRUE(),$S$5:$S$750,"&gt;"&amp;S145)+COUNTIFS($D$5:$D$750,WF_END_PERIOD,$E$5:$E$750,E145,$R$5:$R$750,TRUE(),$S$5:$S$750,S145,$B$5:$B$750,"&lt;"&amp;B145),"")</f>
        <v/>
      </c>
      <c r="AA145" s="0" t="str">
        <f aca="false">IF(AND(D145=WF_END_PERIOD,R145,Z145&lt;&gt;1),1+COUNTIFS($D$5:$D$750,WF_END_PERIOD,$R$5:$R$750,TRUE(),$Z$5:$Z$750,"&lt;&gt;1",$S$5:$S$750,"&gt;"&amp;S145)+COUNTIFS($D$5:$D$750,WF_END_PERIOD,$R$5:$R$750,TRUE(),$Z$5:$Z$750,"&lt;&gt;1",$S$5:$S$750,S145,$B$5:$B$750,"&lt;"&amp;B145),"")</f>
        <v/>
      </c>
      <c r="AB145" s="11" t="b">
        <f aca="false">OR(D145=WF_START_PERIOD,D145=WF_END_PERIOD)</f>
        <v>0</v>
      </c>
      <c r="AC145" s="0" t="str">
        <f aca="false">B145&amp;"|"&amp;D145</f>
        <v>28837|20220930</v>
      </c>
    </row>
    <row r="146" customFormat="false" ht="15" hidden="false" customHeight="false" outlineLevel="0" collapsed="false">
      <c r="A146" s="0" t="n">
        <f aca="false">RawFinancials!A146</f>
        <v>143</v>
      </c>
      <c r="B146" s="0" t="n">
        <f aca="false">RawFinancials!C146</f>
        <v>29636</v>
      </c>
      <c r="C146" s="0" t="str">
        <f aca="false">RawFinancials!P146</f>
        <v>FIRST FEDERAL SAVINGS AND LOAN ASSOCIATION OF BATH</v>
      </c>
      <c r="D146" s="0" t="n">
        <f aca="false">RawFinancials!W146</f>
        <v>20220930</v>
      </c>
      <c r="E146" s="0" t="str">
        <f aca="false">RawFinancials!Z146</f>
        <v>ME</v>
      </c>
      <c r="F146" s="0" t="n">
        <f aca="false">RawFinancials!B146</f>
        <v>180105</v>
      </c>
      <c r="G146" s="0" t="n">
        <f aca="false">RawFinancials!U146</f>
        <v>0</v>
      </c>
      <c r="H146" s="0" t="n">
        <f aca="false">RawFinancials!O146</f>
        <v>2099</v>
      </c>
      <c r="I146" s="0" t="n">
        <f aca="false">IF(AND(ISNUMBER(G146),ISNUMBER(H146)),G146+H146,"")</f>
        <v>2099</v>
      </c>
      <c r="J146" s="0" t="n">
        <f aca="false">RawFinancials!D146</f>
        <v>155107</v>
      </c>
      <c r="K146" s="0" t="n">
        <f aca="false">RawFinancials!F146</f>
        <v>23599</v>
      </c>
      <c r="L146" s="0" t="n">
        <f aca="false">RawFinancials!L146</f>
        <v>116795</v>
      </c>
      <c r="M146" s="0" t="n">
        <f aca="false">RawFinancials!N146</f>
        <v>113497</v>
      </c>
      <c r="N146" s="13" t="n">
        <f aca="false">RawFinancials!X146</f>
        <v>0.276723128820604</v>
      </c>
      <c r="O146" s="13" t="n">
        <f aca="false">RawFinancials!V146</f>
        <v>31.34737779275</v>
      </c>
      <c r="P146" s="13" t="n">
        <f aca="false">IF(AND(ISNUMBER(L146),L146&lt;&gt;0,ISNUMBER(M146)),100*M146/L146,"")</f>
        <v>97.1762489832613</v>
      </c>
      <c r="Q146" s="13" t="n">
        <f aca="false">IF(AND(ISNUMBER(F146),F146&lt;&gt;0,ISNUMBER(K146)),100*K146/F146,"")</f>
        <v>13.1029121901113</v>
      </c>
      <c r="R146" s="11" t="b">
        <f aca="false">AND(ISNUMBER(F146),F146&gt;0,ISNUMBER(G146),G146&gt;=0,ISNUMBER(H146),H146&gt;=0)</f>
        <v>1</v>
      </c>
      <c r="S146" s="13" t="n">
        <f aca="false">IF(R146,100*I146/F146,"")</f>
        <v>1.16543127619999</v>
      </c>
      <c r="T146" s="11" t="b">
        <f aca="false">NOT(AND(OR(AND(ISBLANK(RawFinancials!B146),ISBLANK(_RawBaseline!B143)),AND(ISNUMBER(RawFinancials!B146),ISNUMBER(_RawBaseline!B143),RawFinancials!B146=_RawBaseline!B143)),OR(AND(ISBLANK(RawFinancials!U146),ISBLANK(_RawBaseline!U143)),AND(ISNUMBER(RawFinancials!U146),ISNUMBER(_RawBaseline!U143),RawFinancials!U146=_RawBaseline!U143)),OR(AND(ISBLANK(RawFinancials!O146),ISBLANK(_RawBaseline!O143)),AND(ISNUMBER(RawFinancials!O146),ISNUMBER(_RawBaseline!O143),RawFinancials!O146=_RawBaseline!O143))))</f>
        <v>0</v>
      </c>
      <c r="U146" s="13" t="n">
        <f aca="false">IF(AND(D146=WF_START_PERIOD,R146,COUNTIFS($B$5:$B$750,B146,$D$5:$D$750,WF_END_PERIOD,$R$5:$R$750,TRUE())&gt;0),SUMIFS($S$5:$S$750,$B$5:$B$750,B146,$D$5:$D$750,WF_END_PERIOD,$R$5:$R$750,TRUE()),0)</f>
        <v>0</v>
      </c>
      <c r="V146" s="0" t="str">
        <f aca="false">IF(AND(D146=WF_START_PERIOD,COUNTIFS($B$5:$B$750,B146,$D$5:$D$750,WF_END_PERIOD)&gt;0),INDEX($E$5:$E$750,MATCH(B146&amp;"|"&amp;WF_END_PERIOD,$AC$5:$AC$750,0)),"")</f>
        <v/>
      </c>
      <c r="W146" s="11" t="b">
        <f aca="false">COUNTIFS($B$5:$B$750,B146,$D$5:$D$750,WF_START_PERIOD,$R$5:$R$750,TRUE())&gt;0</f>
        <v>1</v>
      </c>
      <c r="X146" s="11" t="b">
        <f aca="false">COUNTIFS($B$5:$B$750,B146,$D$5:$D$750,WF_END_PERIOD,$R$5:$R$750,TRUE())&gt;0</f>
        <v>1</v>
      </c>
      <c r="Y146" s="0" t="str">
        <f aca="false">IF(AND(D146=WF_END_PERIOD,COUNTIFS($B$5:$B$750,B146,$D$5:$D$750,WF_START_PERIOD)&gt;0),INDEX($E$5:$E$750,MATCH(B146&amp;"|"&amp;WF_START_PERIOD,$AC$5:$AC$750,0)),"")</f>
        <v/>
      </c>
      <c r="Z146" s="0" t="str">
        <f aca="false">IF(AND(D146=WF_END_PERIOD,R146),1+COUNTIFS($D$5:$D$750,WF_END_PERIOD,$E$5:$E$750,E146,$R$5:$R$750,TRUE(),$S$5:$S$750,"&gt;"&amp;S146)+COUNTIFS($D$5:$D$750,WF_END_PERIOD,$E$5:$E$750,E146,$R$5:$R$750,TRUE(),$S$5:$S$750,S146,$B$5:$B$750,"&lt;"&amp;B146),"")</f>
        <v/>
      </c>
      <c r="AA146" s="0" t="str">
        <f aca="false">IF(AND(D146=WF_END_PERIOD,R146,Z146&lt;&gt;1),1+COUNTIFS($D$5:$D$750,WF_END_PERIOD,$R$5:$R$750,TRUE(),$Z$5:$Z$750,"&lt;&gt;1",$S$5:$S$750,"&gt;"&amp;S146)+COUNTIFS($D$5:$D$750,WF_END_PERIOD,$R$5:$R$750,TRUE(),$Z$5:$Z$750,"&lt;&gt;1",$S$5:$S$750,S146,$B$5:$B$750,"&lt;"&amp;B146),"")</f>
        <v/>
      </c>
      <c r="AB146" s="11" t="b">
        <f aca="false">OR(D146=WF_START_PERIOD,D146=WF_END_PERIOD)</f>
        <v>0</v>
      </c>
      <c r="AC146" s="0" t="str">
        <f aca="false">B146&amp;"|"&amp;D146</f>
        <v>29636|20220930</v>
      </c>
    </row>
    <row r="147" customFormat="false" ht="15" hidden="false" customHeight="false" outlineLevel="0" collapsed="false">
      <c r="A147" s="0" t="n">
        <f aca="false">RawFinancials!A147</f>
        <v>144</v>
      </c>
      <c r="B147" s="0" t="n">
        <f aca="false">RawFinancials!C147</f>
        <v>29743</v>
      </c>
      <c r="C147" s="0" t="str">
        <f aca="false">RawFinancials!P147</f>
        <v>AROOSTOOK COUNTY FEDERAL SAVINGS AND LOAN ASSOCIATION</v>
      </c>
      <c r="D147" s="0" t="n">
        <f aca="false">RawFinancials!W147</f>
        <v>20220930</v>
      </c>
      <c r="E147" s="0" t="str">
        <f aca="false">RawFinancials!Z147</f>
        <v>ME</v>
      </c>
      <c r="F147" s="0" t="n">
        <f aca="false">RawFinancials!B147</f>
        <v>179520</v>
      </c>
      <c r="G147" s="0" t="n">
        <f aca="false">RawFinancials!U147</f>
        <v>0</v>
      </c>
      <c r="H147" s="0" t="n">
        <f aca="false">RawFinancials!O147</f>
        <v>502</v>
      </c>
      <c r="I147" s="0" t="n">
        <f aca="false">IF(AND(ISNUMBER(G147),ISNUMBER(H147)),G147+H147,"")</f>
        <v>502</v>
      </c>
      <c r="J147" s="0" t="n">
        <f aca="false">RawFinancials!D147</f>
        <v>163392</v>
      </c>
      <c r="K147" s="0" t="n">
        <f aca="false">RawFinancials!F147</f>
        <v>13788</v>
      </c>
      <c r="L147" s="0" t="n">
        <f aca="false">RawFinancials!L147</f>
        <v>122316</v>
      </c>
      <c r="M147" s="0" t="n">
        <f aca="false">RawFinancials!N147</f>
        <v>80448</v>
      </c>
      <c r="N147" s="13" t="n">
        <f aca="false">RawFinancials!X147</f>
        <v>0.779559617122413</v>
      </c>
      <c r="O147" s="13" t="n">
        <f aca="false">RawFinancials!V147</f>
        <v>17.5319100223227</v>
      </c>
      <c r="P147" s="13" t="n">
        <f aca="false">IF(AND(ISNUMBER(L147),L147&lt;&gt;0,ISNUMBER(M147)),100*M147/L147,"")</f>
        <v>65.7706269008143</v>
      </c>
      <c r="Q147" s="13" t="n">
        <f aca="false">IF(AND(ISNUMBER(F147),F147&lt;&gt;0,ISNUMBER(K147)),100*K147/F147,"")</f>
        <v>7.68048128342246</v>
      </c>
      <c r="R147" s="11" t="b">
        <f aca="false">AND(ISNUMBER(F147),F147&gt;0,ISNUMBER(G147),G147&gt;=0,ISNUMBER(H147),H147&gt;=0)</f>
        <v>1</v>
      </c>
      <c r="S147" s="13" t="n">
        <f aca="false">IF(R147,100*I147/F147,"")</f>
        <v>0.279634581105169</v>
      </c>
      <c r="T147" s="11" t="b">
        <f aca="false">NOT(AND(OR(AND(ISBLANK(RawFinancials!B147),ISBLANK(_RawBaseline!B144)),AND(ISNUMBER(RawFinancials!B147),ISNUMBER(_RawBaseline!B144),RawFinancials!B147=_RawBaseline!B144)),OR(AND(ISBLANK(RawFinancials!U147),ISBLANK(_RawBaseline!U144)),AND(ISNUMBER(RawFinancials!U147),ISNUMBER(_RawBaseline!U144),RawFinancials!U147=_RawBaseline!U144)),OR(AND(ISBLANK(RawFinancials!O147),ISBLANK(_RawBaseline!O144)),AND(ISNUMBER(RawFinancials!O147),ISNUMBER(_RawBaseline!O144),RawFinancials!O147=_RawBaseline!O144))))</f>
        <v>0</v>
      </c>
      <c r="U147" s="13" t="n">
        <f aca="false">IF(AND(D147=WF_START_PERIOD,R147,COUNTIFS($B$5:$B$750,B147,$D$5:$D$750,WF_END_PERIOD,$R$5:$R$750,TRUE())&gt;0),SUMIFS($S$5:$S$750,$B$5:$B$750,B147,$D$5:$D$750,WF_END_PERIOD,$R$5:$R$750,TRUE()),0)</f>
        <v>0</v>
      </c>
      <c r="V147" s="0" t="str">
        <f aca="false">IF(AND(D147=WF_START_PERIOD,COUNTIFS($B$5:$B$750,B147,$D$5:$D$750,WF_END_PERIOD)&gt;0),INDEX($E$5:$E$750,MATCH(B147&amp;"|"&amp;WF_END_PERIOD,$AC$5:$AC$750,0)),"")</f>
        <v/>
      </c>
      <c r="W147" s="11" t="b">
        <f aca="false">COUNTIFS($B$5:$B$750,B147,$D$5:$D$750,WF_START_PERIOD,$R$5:$R$750,TRUE())&gt;0</f>
        <v>1</v>
      </c>
      <c r="X147" s="11" t="b">
        <f aca="false">COUNTIFS($B$5:$B$750,B147,$D$5:$D$750,WF_END_PERIOD,$R$5:$R$750,TRUE())&gt;0</f>
        <v>1</v>
      </c>
      <c r="Y147" s="0" t="str">
        <f aca="false">IF(AND(D147=WF_END_PERIOD,COUNTIFS($B$5:$B$750,B147,$D$5:$D$750,WF_START_PERIOD)&gt;0),INDEX($E$5:$E$750,MATCH(B147&amp;"|"&amp;WF_START_PERIOD,$AC$5:$AC$750,0)),"")</f>
        <v/>
      </c>
      <c r="Z147" s="0" t="str">
        <f aca="false">IF(AND(D147=WF_END_PERIOD,R147),1+COUNTIFS($D$5:$D$750,WF_END_PERIOD,$E$5:$E$750,E147,$R$5:$R$750,TRUE(),$S$5:$S$750,"&gt;"&amp;S147)+COUNTIFS($D$5:$D$750,WF_END_PERIOD,$E$5:$E$750,E147,$R$5:$R$750,TRUE(),$S$5:$S$750,S147,$B$5:$B$750,"&lt;"&amp;B147),"")</f>
        <v/>
      </c>
      <c r="AA147" s="0" t="str">
        <f aca="false">IF(AND(D147=WF_END_PERIOD,R147,Z147&lt;&gt;1),1+COUNTIFS($D$5:$D$750,WF_END_PERIOD,$R$5:$R$750,TRUE(),$Z$5:$Z$750,"&lt;&gt;1",$S$5:$S$750,"&gt;"&amp;S147)+COUNTIFS($D$5:$D$750,WF_END_PERIOD,$R$5:$R$750,TRUE(),$Z$5:$Z$750,"&lt;&gt;1",$S$5:$S$750,S147,$B$5:$B$750,"&lt;"&amp;B147),"")</f>
        <v/>
      </c>
      <c r="AB147" s="11" t="b">
        <f aca="false">OR(D147=WF_START_PERIOD,D147=WF_END_PERIOD)</f>
        <v>0</v>
      </c>
      <c r="AC147" s="0" t="str">
        <f aca="false">B147&amp;"|"&amp;D147</f>
        <v>29743|20220930</v>
      </c>
    </row>
    <row r="148" customFormat="false" ht="15" hidden="false" customHeight="false" outlineLevel="0" collapsed="false">
      <c r="A148" s="0" t="n">
        <f aca="false">RawFinancials!A148</f>
        <v>145</v>
      </c>
      <c r="B148" s="0" t="n">
        <f aca="false">RawFinancials!C148</f>
        <v>29744</v>
      </c>
      <c r="C148" s="0" t="str">
        <f aca="false">RawFinancials!P148</f>
        <v>FIRST SEACOAST BANK</v>
      </c>
      <c r="D148" s="0" t="n">
        <f aca="false">RawFinancials!W148</f>
        <v>20220930</v>
      </c>
      <c r="E148" s="0" t="str">
        <f aca="false">RawFinancials!Z148</f>
        <v>NH</v>
      </c>
      <c r="F148" s="0" t="n">
        <f aca="false">RawFinancials!B148</f>
        <v>523655</v>
      </c>
      <c r="G148" s="0" t="n">
        <f aca="false">RawFinancials!U148</f>
        <v>0</v>
      </c>
      <c r="H148" s="0" t="n">
        <f aca="false">RawFinancials!O148</f>
        <v>5</v>
      </c>
      <c r="I148" s="0" t="n">
        <f aca="false">IF(AND(ISNUMBER(G148),ISNUMBER(H148)),G148+H148,"")</f>
        <v>5</v>
      </c>
      <c r="J148" s="0" t="n">
        <f aca="false">RawFinancials!D148</f>
        <v>398937</v>
      </c>
      <c r="K148" s="0" t="n">
        <f aca="false">RawFinancials!F148</f>
        <v>38532</v>
      </c>
      <c r="L148" s="0" t="n">
        <f aca="false">RawFinancials!L148</f>
        <v>395319</v>
      </c>
      <c r="M148" s="0" t="n">
        <f aca="false">RawFinancials!N148</f>
        <v>362877</v>
      </c>
      <c r="N148" s="13" t="n">
        <f aca="false">RawFinancials!X148</f>
        <v>0.291575019444318</v>
      </c>
      <c r="O148" s="13" t="n">
        <f aca="false">RawFinancials!V148</f>
        <v>16.3715315758086</v>
      </c>
      <c r="P148" s="13" t="n">
        <f aca="false">IF(AND(ISNUMBER(L148),L148&lt;&gt;0,ISNUMBER(M148)),100*M148/L148,"")</f>
        <v>91.7934630007665</v>
      </c>
      <c r="Q148" s="13" t="n">
        <f aca="false">IF(AND(ISNUMBER(F148),F148&lt;&gt;0,ISNUMBER(K148)),100*K148/F148,"")</f>
        <v>7.35827978344521</v>
      </c>
      <c r="R148" s="11" t="b">
        <f aca="false">AND(ISNUMBER(F148),F148&gt;0,ISNUMBER(G148),G148&gt;=0,ISNUMBER(H148),H148&gt;=0)</f>
        <v>1</v>
      </c>
      <c r="S148" s="13" t="n">
        <f aca="false">IF(R148,100*I148/F148,"")</f>
        <v>0.000954827128548376</v>
      </c>
      <c r="T148" s="11" t="b">
        <f aca="false">NOT(AND(OR(AND(ISBLANK(RawFinancials!B148),ISBLANK(_RawBaseline!B145)),AND(ISNUMBER(RawFinancials!B148),ISNUMBER(_RawBaseline!B145),RawFinancials!B148=_RawBaseline!B145)),OR(AND(ISBLANK(RawFinancials!U148),ISBLANK(_RawBaseline!U145)),AND(ISNUMBER(RawFinancials!U148),ISNUMBER(_RawBaseline!U145),RawFinancials!U148=_RawBaseline!U145)),OR(AND(ISBLANK(RawFinancials!O148),ISBLANK(_RawBaseline!O145)),AND(ISNUMBER(RawFinancials!O148),ISNUMBER(_RawBaseline!O145),RawFinancials!O148=_RawBaseline!O145))))</f>
        <v>0</v>
      </c>
      <c r="U148" s="13" t="n">
        <f aca="false">IF(AND(D148=WF_START_PERIOD,R148,COUNTIFS($B$5:$B$750,B148,$D$5:$D$750,WF_END_PERIOD,$R$5:$R$750,TRUE())&gt;0),SUMIFS($S$5:$S$750,$B$5:$B$750,B148,$D$5:$D$750,WF_END_PERIOD,$R$5:$R$750,TRUE()),0)</f>
        <v>0</v>
      </c>
      <c r="V148" s="0" t="str">
        <f aca="false">IF(AND(D148=WF_START_PERIOD,COUNTIFS($B$5:$B$750,B148,$D$5:$D$750,WF_END_PERIOD)&gt;0),INDEX($E$5:$E$750,MATCH(B148&amp;"|"&amp;WF_END_PERIOD,$AC$5:$AC$750,0)),"")</f>
        <v/>
      </c>
      <c r="W148" s="11" t="b">
        <f aca="false">COUNTIFS($B$5:$B$750,B148,$D$5:$D$750,WF_START_PERIOD,$R$5:$R$750,TRUE())&gt;0</f>
        <v>1</v>
      </c>
      <c r="X148" s="11" t="b">
        <f aca="false">COUNTIFS($B$5:$B$750,B148,$D$5:$D$750,WF_END_PERIOD,$R$5:$R$750,TRUE())&gt;0</f>
        <v>1</v>
      </c>
      <c r="Y148" s="0" t="str">
        <f aca="false">IF(AND(D148=WF_END_PERIOD,COUNTIFS($B$5:$B$750,B148,$D$5:$D$750,WF_START_PERIOD)&gt;0),INDEX($E$5:$E$750,MATCH(B148&amp;"|"&amp;WF_START_PERIOD,$AC$5:$AC$750,0)),"")</f>
        <v/>
      </c>
      <c r="Z148" s="0" t="str">
        <f aca="false">IF(AND(D148=WF_END_PERIOD,R148),1+COUNTIFS($D$5:$D$750,WF_END_PERIOD,$E$5:$E$750,E148,$R$5:$R$750,TRUE(),$S$5:$S$750,"&gt;"&amp;S148)+COUNTIFS($D$5:$D$750,WF_END_PERIOD,$E$5:$E$750,E148,$R$5:$R$750,TRUE(),$S$5:$S$750,S148,$B$5:$B$750,"&lt;"&amp;B148),"")</f>
        <v/>
      </c>
      <c r="AA148" s="0" t="str">
        <f aca="false">IF(AND(D148=WF_END_PERIOD,R148,Z148&lt;&gt;1),1+COUNTIFS($D$5:$D$750,WF_END_PERIOD,$R$5:$R$750,TRUE(),$Z$5:$Z$750,"&lt;&gt;1",$S$5:$S$750,"&gt;"&amp;S148)+COUNTIFS($D$5:$D$750,WF_END_PERIOD,$R$5:$R$750,TRUE(),$Z$5:$Z$750,"&lt;&gt;1",$S$5:$S$750,S148,$B$5:$B$750,"&lt;"&amp;B148),"")</f>
        <v/>
      </c>
      <c r="AB148" s="11" t="b">
        <f aca="false">OR(D148=WF_START_PERIOD,D148=WF_END_PERIOD)</f>
        <v>0</v>
      </c>
      <c r="AC148" s="0" t="str">
        <f aca="false">B148&amp;"|"&amp;D148</f>
        <v>29744|20220930</v>
      </c>
    </row>
    <row r="149" customFormat="false" ht="15" hidden="false" customHeight="false" outlineLevel="0" collapsed="false">
      <c r="A149" s="0" t="n">
        <f aca="false">RawFinancials!A149</f>
        <v>146</v>
      </c>
      <c r="B149" s="0" t="n">
        <f aca="false">RawFinancials!C149</f>
        <v>30350</v>
      </c>
      <c r="C149" s="0" t="str">
        <f aca="false">RawFinancials!P149</f>
        <v>THE BANK OF BENNINGTON</v>
      </c>
      <c r="D149" s="0" t="n">
        <f aca="false">RawFinancials!W149</f>
        <v>20220930</v>
      </c>
      <c r="E149" s="0" t="str">
        <f aca="false">RawFinancials!Z149</f>
        <v>VT</v>
      </c>
      <c r="F149" s="0" t="n">
        <f aca="false">RawFinancials!B149</f>
        <v>541685</v>
      </c>
      <c r="G149" s="0" t="n">
        <f aca="false">RawFinancials!U149</f>
        <v>0</v>
      </c>
      <c r="H149" s="0" t="n">
        <f aca="false">RawFinancials!O149</f>
        <v>1989</v>
      </c>
      <c r="I149" s="0" t="n">
        <f aca="false">IF(AND(ISNUMBER(G149),ISNUMBER(H149)),G149+H149,"")</f>
        <v>1989</v>
      </c>
      <c r="J149" s="0" t="n">
        <f aca="false">RawFinancials!D149</f>
        <v>473333</v>
      </c>
      <c r="K149" s="0" t="n">
        <f aca="false">RawFinancials!F149</f>
        <v>49256</v>
      </c>
      <c r="L149" s="0" t="n">
        <f aca="false">RawFinancials!L149</f>
        <v>378298</v>
      </c>
      <c r="M149" s="0" t="n">
        <f aca="false">RawFinancials!N149</f>
        <v>363012</v>
      </c>
      <c r="N149" s="13" t="n">
        <f aca="false">RawFinancials!X149</f>
        <v>0.649181741581514</v>
      </c>
      <c r="O149" s="13" t="n">
        <f aca="false">RawFinancials!V149</f>
        <v>21.2709183090001</v>
      </c>
      <c r="P149" s="13" t="n">
        <f aca="false">IF(AND(ISNUMBER(L149),L149&lt;&gt;0,ISNUMBER(M149)),100*M149/L149,"")</f>
        <v>95.9592702049707</v>
      </c>
      <c r="Q149" s="13" t="n">
        <f aca="false">IF(AND(ISNUMBER(F149),F149&lt;&gt;0,ISNUMBER(K149)),100*K149/F149,"")</f>
        <v>9.09310761789601</v>
      </c>
      <c r="R149" s="11" t="b">
        <f aca="false">AND(ISNUMBER(F149),F149&gt;0,ISNUMBER(G149),G149&gt;=0,ISNUMBER(H149),H149&gt;=0)</f>
        <v>1</v>
      </c>
      <c r="S149" s="13" t="n">
        <f aca="false">IF(R149,100*I149/F149,"")</f>
        <v>0.367187572112944</v>
      </c>
      <c r="T149" s="11" t="b">
        <f aca="false">NOT(AND(OR(AND(ISBLANK(RawFinancials!B149),ISBLANK(_RawBaseline!B146)),AND(ISNUMBER(RawFinancials!B149),ISNUMBER(_RawBaseline!B146),RawFinancials!B149=_RawBaseline!B146)),OR(AND(ISBLANK(RawFinancials!U149),ISBLANK(_RawBaseline!U146)),AND(ISNUMBER(RawFinancials!U149),ISNUMBER(_RawBaseline!U146),RawFinancials!U149=_RawBaseline!U146)),OR(AND(ISBLANK(RawFinancials!O149),ISBLANK(_RawBaseline!O146)),AND(ISNUMBER(RawFinancials!O149),ISNUMBER(_RawBaseline!O146),RawFinancials!O149=_RawBaseline!O146))))</f>
        <v>0</v>
      </c>
      <c r="U149" s="13" t="n">
        <f aca="false">IF(AND(D149=WF_START_PERIOD,R149,COUNTIFS($B$5:$B$750,B149,$D$5:$D$750,WF_END_PERIOD,$R$5:$R$750,TRUE())&gt;0),SUMIFS($S$5:$S$750,$B$5:$B$750,B149,$D$5:$D$750,WF_END_PERIOD,$R$5:$R$750,TRUE()),0)</f>
        <v>0</v>
      </c>
      <c r="V149" s="0" t="str">
        <f aca="false">IF(AND(D149=WF_START_PERIOD,COUNTIFS($B$5:$B$750,B149,$D$5:$D$750,WF_END_PERIOD)&gt;0),INDEX($E$5:$E$750,MATCH(B149&amp;"|"&amp;WF_END_PERIOD,$AC$5:$AC$750,0)),"")</f>
        <v/>
      </c>
      <c r="W149" s="11" t="b">
        <f aca="false">COUNTIFS($B$5:$B$750,B149,$D$5:$D$750,WF_START_PERIOD,$R$5:$R$750,TRUE())&gt;0</f>
        <v>1</v>
      </c>
      <c r="X149" s="11" t="b">
        <f aca="false">COUNTIFS($B$5:$B$750,B149,$D$5:$D$750,WF_END_PERIOD,$R$5:$R$750,TRUE())&gt;0</f>
        <v>1</v>
      </c>
      <c r="Y149" s="0" t="str">
        <f aca="false">IF(AND(D149=WF_END_PERIOD,COUNTIFS($B$5:$B$750,B149,$D$5:$D$750,WF_START_PERIOD)&gt;0),INDEX($E$5:$E$750,MATCH(B149&amp;"|"&amp;WF_START_PERIOD,$AC$5:$AC$750,0)),"")</f>
        <v/>
      </c>
      <c r="Z149" s="0" t="str">
        <f aca="false">IF(AND(D149=WF_END_PERIOD,R149),1+COUNTIFS($D$5:$D$750,WF_END_PERIOD,$E$5:$E$750,E149,$R$5:$R$750,TRUE(),$S$5:$S$750,"&gt;"&amp;S149)+COUNTIFS($D$5:$D$750,WF_END_PERIOD,$E$5:$E$750,E149,$R$5:$R$750,TRUE(),$S$5:$S$750,S149,$B$5:$B$750,"&lt;"&amp;B149),"")</f>
        <v/>
      </c>
      <c r="AA149" s="0" t="str">
        <f aca="false">IF(AND(D149=WF_END_PERIOD,R149,Z149&lt;&gt;1),1+COUNTIFS($D$5:$D$750,WF_END_PERIOD,$R$5:$R$750,TRUE(),$Z$5:$Z$750,"&lt;&gt;1",$S$5:$S$750,"&gt;"&amp;S149)+COUNTIFS($D$5:$D$750,WF_END_PERIOD,$R$5:$R$750,TRUE(),$Z$5:$Z$750,"&lt;&gt;1",$S$5:$S$750,S149,$B$5:$B$750,"&lt;"&amp;B149),"")</f>
        <v/>
      </c>
      <c r="AB149" s="11" t="b">
        <f aca="false">OR(D149=WF_START_PERIOD,D149=WF_END_PERIOD)</f>
        <v>0</v>
      </c>
      <c r="AC149" s="0" t="str">
        <f aca="false">B149&amp;"|"&amp;D149</f>
        <v>30350|20220930</v>
      </c>
    </row>
    <row r="150" customFormat="false" ht="15" hidden="false" customHeight="false" outlineLevel="0" collapsed="false">
      <c r="A150" s="0" t="n">
        <f aca="false">RawFinancials!A150</f>
        <v>147</v>
      </c>
      <c r="B150" s="0" t="n">
        <f aca="false">RawFinancials!C150</f>
        <v>30878</v>
      </c>
      <c r="C150" s="0" t="str">
        <f aca="false">RawFinancials!P150</f>
        <v>BAR HARBOR SAVINGS AND LOAN ASSOCIATION</v>
      </c>
      <c r="D150" s="0" t="n">
        <f aca="false">RawFinancials!W150</f>
        <v>20220930</v>
      </c>
      <c r="E150" s="0" t="str">
        <f aca="false">RawFinancials!Z150</f>
        <v>ME</v>
      </c>
      <c r="F150" s="0" t="n">
        <f aca="false">RawFinancials!B150</f>
        <v>100514</v>
      </c>
      <c r="G150" s="0" t="n">
        <f aca="false">RawFinancials!U150</f>
        <v>0</v>
      </c>
      <c r="H150" s="0" t="n">
        <f aca="false">RawFinancials!O150</f>
        <v>589</v>
      </c>
      <c r="I150" s="0" t="n">
        <f aca="false">IF(AND(ISNUMBER(G150),ISNUMBER(H150)),G150+H150,"")</f>
        <v>589</v>
      </c>
      <c r="J150" s="0" t="n">
        <f aca="false">RawFinancials!D150</f>
        <v>76264</v>
      </c>
      <c r="K150" s="0" t="n">
        <f aca="false">RawFinancials!F150</f>
        <v>12319</v>
      </c>
      <c r="L150" s="0" t="n">
        <f aca="false">RawFinancials!L150</f>
        <v>77064</v>
      </c>
      <c r="M150" s="0" t="n">
        <f aca="false">RawFinancials!N150</f>
        <v>76961</v>
      </c>
      <c r="N150" s="13" t="n">
        <f aca="false">RawFinancials!X150</f>
        <v>0.295597394237198</v>
      </c>
      <c r="O150" s="13" t="n">
        <f aca="false">RawFinancials!V150</f>
        <v>0</v>
      </c>
      <c r="P150" s="13" t="n">
        <f aca="false">IF(AND(ISNUMBER(L150),L150&lt;&gt;0,ISNUMBER(M150)),100*M150/L150,"")</f>
        <v>99.8663448562234</v>
      </c>
      <c r="Q150" s="13" t="n">
        <f aca="false">IF(AND(ISNUMBER(F150),F150&lt;&gt;0,ISNUMBER(K150)),100*K150/F150,"")</f>
        <v>12.2560041387269</v>
      </c>
      <c r="R150" s="11" t="b">
        <f aca="false">AND(ISNUMBER(F150),F150&gt;0,ISNUMBER(G150),G150&gt;=0,ISNUMBER(H150),H150&gt;=0)</f>
        <v>1</v>
      </c>
      <c r="S150" s="13" t="n">
        <f aca="false">IF(R150,100*I150/F150,"")</f>
        <v>0.585988021569135</v>
      </c>
      <c r="T150" s="11" t="b">
        <f aca="false">NOT(AND(OR(AND(ISBLANK(RawFinancials!B150),ISBLANK(_RawBaseline!B147)),AND(ISNUMBER(RawFinancials!B150),ISNUMBER(_RawBaseline!B147),RawFinancials!B150=_RawBaseline!B147)),OR(AND(ISBLANK(RawFinancials!U150),ISBLANK(_RawBaseline!U147)),AND(ISNUMBER(RawFinancials!U150),ISNUMBER(_RawBaseline!U147),RawFinancials!U150=_RawBaseline!U147)),OR(AND(ISBLANK(RawFinancials!O150),ISBLANK(_RawBaseline!O147)),AND(ISNUMBER(RawFinancials!O150),ISNUMBER(_RawBaseline!O147),RawFinancials!O150=_RawBaseline!O147))))</f>
        <v>0</v>
      </c>
      <c r="U150" s="13" t="n">
        <f aca="false">IF(AND(D150=WF_START_PERIOD,R150,COUNTIFS($B$5:$B$750,B150,$D$5:$D$750,WF_END_PERIOD,$R$5:$R$750,TRUE())&gt;0),SUMIFS($S$5:$S$750,$B$5:$B$750,B150,$D$5:$D$750,WF_END_PERIOD,$R$5:$R$750,TRUE()),0)</f>
        <v>0</v>
      </c>
      <c r="V150" s="0" t="str">
        <f aca="false">IF(AND(D150=WF_START_PERIOD,COUNTIFS($B$5:$B$750,B150,$D$5:$D$750,WF_END_PERIOD)&gt;0),INDEX($E$5:$E$750,MATCH(B150&amp;"|"&amp;WF_END_PERIOD,$AC$5:$AC$750,0)),"")</f>
        <v/>
      </c>
      <c r="W150" s="11" t="b">
        <f aca="false">COUNTIFS($B$5:$B$750,B150,$D$5:$D$750,WF_START_PERIOD,$R$5:$R$750,TRUE())&gt;0</f>
        <v>1</v>
      </c>
      <c r="X150" s="11" t="b">
        <f aca="false">COUNTIFS($B$5:$B$750,B150,$D$5:$D$750,WF_END_PERIOD,$R$5:$R$750,TRUE())&gt;0</f>
        <v>1</v>
      </c>
      <c r="Y150" s="0" t="str">
        <f aca="false">IF(AND(D150=WF_END_PERIOD,COUNTIFS($B$5:$B$750,B150,$D$5:$D$750,WF_START_PERIOD)&gt;0),INDEX($E$5:$E$750,MATCH(B150&amp;"|"&amp;WF_START_PERIOD,$AC$5:$AC$750,0)),"")</f>
        <v/>
      </c>
      <c r="Z150" s="0" t="str">
        <f aca="false">IF(AND(D150=WF_END_PERIOD,R150),1+COUNTIFS($D$5:$D$750,WF_END_PERIOD,$E$5:$E$750,E150,$R$5:$R$750,TRUE(),$S$5:$S$750,"&gt;"&amp;S150)+COUNTIFS($D$5:$D$750,WF_END_PERIOD,$E$5:$E$750,E150,$R$5:$R$750,TRUE(),$S$5:$S$750,S150,$B$5:$B$750,"&lt;"&amp;B150),"")</f>
        <v/>
      </c>
      <c r="AA150" s="0" t="str">
        <f aca="false">IF(AND(D150=WF_END_PERIOD,R150,Z150&lt;&gt;1),1+COUNTIFS($D$5:$D$750,WF_END_PERIOD,$R$5:$R$750,TRUE(),$Z$5:$Z$750,"&lt;&gt;1",$S$5:$S$750,"&gt;"&amp;S150)+COUNTIFS($D$5:$D$750,WF_END_PERIOD,$R$5:$R$750,TRUE(),$Z$5:$Z$750,"&lt;&gt;1",$S$5:$S$750,S150,$B$5:$B$750,"&lt;"&amp;B150),"")</f>
        <v/>
      </c>
      <c r="AB150" s="11" t="b">
        <f aca="false">OR(D150=WF_START_PERIOD,D150=WF_END_PERIOD)</f>
        <v>0</v>
      </c>
      <c r="AC150" s="0" t="str">
        <f aca="false">B150&amp;"|"&amp;D150</f>
        <v>30878|20220930</v>
      </c>
    </row>
    <row r="151" customFormat="false" ht="15" hidden="false" customHeight="false" outlineLevel="0" collapsed="false">
      <c r="A151" s="0" t="n">
        <f aca="false">RawFinancials!A151</f>
        <v>148</v>
      </c>
      <c r="B151" s="0" t="n">
        <f aca="false">RawFinancials!C151</f>
        <v>33418</v>
      </c>
      <c r="C151" s="0" t="str">
        <f aca="false">RawFinancials!P151</f>
        <v>LEDYARD NATIONAL BANK</v>
      </c>
      <c r="D151" s="0" t="n">
        <f aca="false">RawFinancials!W151</f>
        <v>20220930</v>
      </c>
      <c r="E151" s="0" t="str">
        <f aca="false">RawFinancials!Z151</f>
        <v>VT</v>
      </c>
      <c r="F151" s="0" t="n">
        <f aca="false">RawFinancials!B151</f>
        <v>728017</v>
      </c>
      <c r="G151" s="0" t="n">
        <f aca="false">RawFinancials!U151</f>
        <v>0</v>
      </c>
      <c r="H151" s="0" t="n">
        <f aca="false">RawFinancials!O151</f>
        <v>3182</v>
      </c>
      <c r="I151" s="0" t="n">
        <f aca="false">IF(AND(ISNUMBER(G151),ISNUMBER(H151)),G151+H151,"")</f>
        <v>3182</v>
      </c>
      <c r="J151" s="0" t="n">
        <f aca="false">RawFinancials!D151</f>
        <v>571364</v>
      </c>
      <c r="K151" s="0" t="n">
        <f aca="false">RawFinancials!F151</f>
        <v>59731</v>
      </c>
      <c r="L151" s="0" t="n">
        <f aca="false">RawFinancials!L151</f>
        <v>353551</v>
      </c>
      <c r="M151" s="0" t="n">
        <f aca="false">RawFinancials!N151</f>
        <v>302851</v>
      </c>
      <c r="N151" s="13" t="n">
        <f aca="false">RawFinancials!X151</f>
        <v>1.19732263126932</v>
      </c>
      <c r="O151" s="13" t="n">
        <f aca="false">RawFinancials!V151</f>
        <v>18.9996701825354</v>
      </c>
      <c r="P151" s="13" t="n">
        <f aca="false">IF(AND(ISNUMBER(L151),L151&lt;&gt;0,ISNUMBER(M151)),100*M151/L151,"")</f>
        <v>85.659777514418</v>
      </c>
      <c r="Q151" s="13" t="n">
        <f aca="false">IF(AND(ISNUMBER(F151),F151&lt;&gt;0,ISNUMBER(K151)),100*K151/F151,"")</f>
        <v>8.20461610099764</v>
      </c>
      <c r="R151" s="11" t="b">
        <f aca="false">AND(ISNUMBER(F151),F151&gt;0,ISNUMBER(G151),G151&gt;=0,ISNUMBER(H151),H151&gt;=0)</f>
        <v>1</v>
      </c>
      <c r="S151" s="13" t="n">
        <f aca="false">IF(R151,100*I151/F151,"")</f>
        <v>0.437077705603029</v>
      </c>
      <c r="T151" s="11" t="b">
        <f aca="false">NOT(AND(OR(AND(ISBLANK(RawFinancials!B151),ISBLANK(_RawBaseline!B148)),AND(ISNUMBER(RawFinancials!B151),ISNUMBER(_RawBaseline!B148),RawFinancials!B151=_RawBaseline!B148)),OR(AND(ISBLANK(RawFinancials!U151),ISBLANK(_RawBaseline!U148)),AND(ISNUMBER(RawFinancials!U151),ISNUMBER(_RawBaseline!U148),RawFinancials!U151=_RawBaseline!U148)),OR(AND(ISBLANK(RawFinancials!O151),ISBLANK(_RawBaseline!O148)),AND(ISNUMBER(RawFinancials!O151),ISNUMBER(_RawBaseline!O148),RawFinancials!O151=_RawBaseline!O148))))</f>
        <v>0</v>
      </c>
      <c r="U151" s="13" t="n">
        <f aca="false">IF(AND(D151=WF_START_PERIOD,R151,COUNTIFS($B$5:$B$750,B151,$D$5:$D$750,WF_END_PERIOD,$R$5:$R$750,TRUE())&gt;0),SUMIFS($S$5:$S$750,$B$5:$B$750,B151,$D$5:$D$750,WF_END_PERIOD,$R$5:$R$750,TRUE()),0)</f>
        <v>0</v>
      </c>
      <c r="V151" s="0" t="str">
        <f aca="false">IF(AND(D151=WF_START_PERIOD,COUNTIFS($B$5:$B$750,B151,$D$5:$D$750,WF_END_PERIOD)&gt;0),INDEX($E$5:$E$750,MATCH(B151&amp;"|"&amp;WF_END_PERIOD,$AC$5:$AC$750,0)),"")</f>
        <v/>
      </c>
      <c r="W151" s="11" t="b">
        <f aca="false">COUNTIFS($B$5:$B$750,B151,$D$5:$D$750,WF_START_PERIOD,$R$5:$R$750,TRUE())&gt;0</f>
        <v>1</v>
      </c>
      <c r="X151" s="11" t="b">
        <f aca="false">COUNTIFS($B$5:$B$750,B151,$D$5:$D$750,WF_END_PERIOD,$R$5:$R$750,TRUE())&gt;0</f>
        <v>1</v>
      </c>
      <c r="Y151" s="0" t="str">
        <f aca="false">IF(AND(D151=WF_END_PERIOD,COUNTIFS($B$5:$B$750,B151,$D$5:$D$750,WF_START_PERIOD)&gt;0),INDEX($E$5:$E$750,MATCH(B151&amp;"|"&amp;WF_START_PERIOD,$AC$5:$AC$750,0)),"")</f>
        <v/>
      </c>
      <c r="Z151" s="0" t="str">
        <f aca="false">IF(AND(D151=WF_END_PERIOD,R151),1+COUNTIFS($D$5:$D$750,WF_END_PERIOD,$E$5:$E$750,E151,$R$5:$R$750,TRUE(),$S$5:$S$750,"&gt;"&amp;S151)+COUNTIFS($D$5:$D$750,WF_END_PERIOD,$E$5:$E$750,E151,$R$5:$R$750,TRUE(),$S$5:$S$750,S151,$B$5:$B$750,"&lt;"&amp;B151),"")</f>
        <v/>
      </c>
      <c r="AA151" s="0" t="str">
        <f aca="false">IF(AND(D151=WF_END_PERIOD,R151,Z151&lt;&gt;1),1+COUNTIFS($D$5:$D$750,WF_END_PERIOD,$R$5:$R$750,TRUE(),$Z$5:$Z$750,"&lt;&gt;1",$S$5:$S$750,"&gt;"&amp;S151)+COUNTIFS($D$5:$D$750,WF_END_PERIOD,$R$5:$R$750,TRUE(),$Z$5:$Z$750,"&lt;&gt;1",$S$5:$S$750,S151,$B$5:$B$750,"&lt;"&amp;B151),"")</f>
        <v/>
      </c>
      <c r="AB151" s="11" t="b">
        <f aca="false">OR(D151=WF_START_PERIOD,D151=WF_END_PERIOD)</f>
        <v>0</v>
      </c>
      <c r="AC151" s="0" t="str">
        <f aca="false">B151&amp;"|"&amp;D151</f>
        <v>33418|20220930</v>
      </c>
    </row>
    <row r="152" customFormat="false" ht="15" hidden="false" customHeight="false" outlineLevel="0" collapsed="false">
      <c r="A152" s="0" t="n">
        <f aca="false">RawFinancials!A152</f>
        <v>149</v>
      </c>
      <c r="B152" s="0" t="n">
        <f aca="false">RawFinancials!C152</f>
        <v>35206</v>
      </c>
      <c r="C152" s="0" t="str">
        <f aca="false">RawFinancials!P152</f>
        <v>FIDELITY PERSONAL TRUST COMPANY, FSB</v>
      </c>
      <c r="D152" s="0" t="n">
        <f aca="false">RawFinancials!W152</f>
        <v>20220930</v>
      </c>
      <c r="E152" s="0" t="str">
        <f aca="false">RawFinancials!Z152</f>
        <v>NH</v>
      </c>
      <c r="F152" s="0" t="n">
        <f aca="false">RawFinancials!B152</f>
        <v>60178</v>
      </c>
      <c r="G152" s="0" t="n">
        <f aca="false">RawFinancials!U152</f>
        <v>0</v>
      </c>
      <c r="H152" s="0" t="n">
        <f aca="false">RawFinancials!O152</f>
        <v>0</v>
      </c>
      <c r="I152" s="0" t="n">
        <f aca="false">IF(AND(ISNUMBER(G152),ISNUMBER(H152)),G152+H152,"")</f>
        <v>0</v>
      </c>
      <c r="J152" s="0" t="n">
        <f aca="false">RawFinancials!D152</f>
        <v>500</v>
      </c>
      <c r="K152" s="0" t="n">
        <f aca="false">RawFinancials!F152</f>
        <v>57817</v>
      </c>
      <c r="L152" s="0" t="n">
        <f aca="false">RawFinancials!L152</f>
        <v>0</v>
      </c>
      <c r="M152" s="0" t="n">
        <f aca="false">RawFinancials!N152</f>
        <v>0</v>
      </c>
      <c r="N152" s="13" t="n">
        <f aca="false">RawFinancials!X152</f>
        <v>2.23680494034471</v>
      </c>
      <c r="O152" s="13" t="n">
        <f aca="false">RawFinancials!V152</f>
        <v>0</v>
      </c>
      <c r="P152" s="13" t="str">
        <f aca="false">IF(AND(ISNUMBER(L152),L152&lt;&gt;0,ISNUMBER(M152)),100*M152/L152,"")</f>
        <v/>
      </c>
      <c r="Q152" s="13" t="n">
        <f aca="false">IF(AND(ISNUMBER(F152),F152&lt;&gt;0,ISNUMBER(K152)),100*K152/F152,"")</f>
        <v>96.0766393033999</v>
      </c>
      <c r="R152" s="11" t="b">
        <f aca="false">AND(ISNUMBER(F152),F152&gt;0,ISNUMBER(G152),G152&gt;=0,ISNUMBER(H152),H152&gt;=0)</f>
        <v>1</v>
      </c>
      <c r="S152" s="13" t="n">
        <f aca="false">IF(R152,100*I152/F152,"")</f>
        <v>0</v>
      </c>
      <c r="T152" s="11" t="b">
        <f aca="false">NOT(AND(OR(AND(ISBLANK(RawFinancials!B152),ISBLANK(_RawBaseline!B149)),AND(ISNUMBER(RawFinancials!B152),ISNUMBER(_RawBaseline!B149),RawFinancials!B152=_RawBaseline!B149)),OR(AND(ISBLANK(RawFinancials!U152),ISBLANK(_RawBaseline!U149)),AND(ISNUMBER(RawFinancials!U152),ISNUMBER(_RawBaseline!U149),RawFinancials!U152=_RawBaseline!U149)),OR(AND(ISBLANK(RawFinancials!O152),ISBLANK(_RawBaseline!O149)),AND(ISNUMBER(RawFinancials!O152),ISNUMBER(_RawBaseline!O149),RawFinancials!O152=_RawBaseline!O149))))</f>
        <v>0</v>
      </c>
      <c r="U152" s="13" t="n">
        <f aca="false">IF(AND(D152=WF_START_PERIOD,R152,COUNTIFS($B$5:$B$750,B152,$D$5:$D$750,WF_END_PERIOD,$R$5:$R$750,TRUE())&gt;0),SUMIFS($S$5:$S$750,$B$5:$B$750,B152,$D$5:$D$750,WF_END_PERIOD,$R$5:$R$750,TRUE()),0)</f>
        <v>0</v>
      </c>
      <c r="V152" s="0" t="str">
        <f aca="false">IF(AND(D152=WF_START_PERIOD,COUNTIFS($B$5:$B$750,B152,$D$5:$D$750,WF_END_PERIOD)&gt;0),INDEX($E$5:$E$750,MATCH(B152&amp;"|"&amp;WF_END_PERIOD,$AC$5:$AC$750,0)),"")</f>
        <v/>
      </c>
      <c r="W152" s="11" t="b">
        <f aca="false">COUNTIFS($B$5:$B$750,B152,$D$5:$D$750,WF_START_PERIOD,$R$5:$R$750,TRUE())&gt;0</f>
        <v>1</v>
      </c>
      <c r="X152" s="11" t="b">
        <f aca="false">COUNTIFS($B$5:$B$750,B152,$D$5:$D$750,WF_END_PERIOD,$R$5:$R$750,TRUE())&gt;0</f>
        <v>1</v>
      </c>
      <c r="Y152" s="0" t="str">
        <f aca="false">IF(AND(D152=WF_END_PERIOD,COUNTIFS($B$5:$B$750,B152,$D$5:$D$750,WF_START_PERIOD)&gt;0),INDEX($E$5:$E$750,MATCH(B152&amp;"|"&amp;WF_START_PERIOD,$AC$5:$AC$750,0)),"")</f>
        <v/>
      </c>
      <c r="Z152" s="0" t="str">
        <f aca="false">IF(AND(D152=WF_END_PERIOD,R152),1+COUNTIFS($D$5:$D$750,WF_END_PERIOD,$E$5:$E$750,E152,$R$5:$R$750,TRUE(),$S$5:$S$750,"&gt;"&amp;S152)+COUNTIFS($D$5:$D$750,WF_END_PERIOD,$E$5:$E$750,E152,$R$5:$R$750,TRUE(),$S$5:$S$750,S152,$B$5:$B$750,"&lt;"&amp;B152),"")</f>
        <v/>
      </c>
      <c r="AA152" s="0" t="str">
        <f aca="false">IF(AND(D152=WF_END_PERIOD,R152,Z152&lt;&gt;1),1+COUNTIFS($D$5:$D$750,WF_END_PERIOD,$R$5:$R$750,TRUE(),$Z$5:$Z$750,"&lt;&gt;1",$S$5:$S$750,"&gt;"&amp;S152)+COUNTIFS($D$5:$D$750,WF_END_PERIOD,$R$5:$R$750,TRUE(),$Z$5:$Z$750,"&lt;&gt;1",$S$5:$S$750,S152,$B$5:$B$750,"&lt;"&amp;B152),"")</f>
        <v/>
      </c>
      <c r="AB152" s="11" t="b">
        <f aca="false">OR(D152=WF_START_PERIOD,D152=WF_END_PERIOD)</f>
        <v>0</v>
      </c>
      <c r="AC152" s="0" t="str">
        <f aca="false">B152&amp;"|"&amp;D152</f>
        <v>35206|20220930</v>
      </c>
    </row>
    <row r="153" customFormat="false" ht="15" hidden="false" customHeight="false" outlineLevel="0" collapsed="false">
      <c r="A153" s="0" t="n">
        <f aca="false">RawFinancials!A153</f>
        <v>150</v>
      </c>
      <c r="B153" s="0" t="n">
        <f aca="false">RawFinancials!C153</f>
        <v>4255</v>
      </c>
      <c r="C153" s="0" t="str">
        <f aca="false">RawFinancials!P153</f>
        <v>THE CAMDEN NATIONAL BANK</v>
      </c>
      <c r="D153" s="0" t="n">
        <f aca="false">RawFinancials!W153</f>
        <v>20220930</v>
      </c>
      <c r="E153" s="0" t="str">
        <f aca="false">RawFinancials!Z153</f>
        <v>ME</v>
      </c>
      <c r="F153" s="0" t="n">
        <f aca="false">RawFinancials!B153</f>
        <v>5539983</v>
      </c>
      <c r="G153" s="0" t="n">
        <f aca="false">RawFinancials!U153</f>
        <v>0</v>
      </c>
      <c r="H153" s="0" t="n">
        <f aca="false">RawFinancials!O153</f>
        <v>2765</v>
      </c>
      <c r="I153" s="0" t="n">
        <f aca="false">IF(AND(ISNUMBER(G153),ISNUMBER(H153)),G153+H153,"")</f>
        <v>2765</v>
      </c>
      <c r="J153" s="0" t="n">
        <f aca="false">RawFinancials!D153</f>
        <v>4604972</v>
      </c>
      <c r="K153" s="0" t="n">
        <f aca="false">RawFinancials!F153</f>
        <v>444488</v>
      </c>
      <c r="L153" s="0" t="n">
        <f aca="false">RawFinancials!L153</f>
        <v>3865309</v>
      </c>
      <c r="M153" s="0" t="n">
        <f aca="false">RawFinancials!N153</f>
        <v>3453052</v>
      </c>
      <c r="N153" s="13" t="n">
        <f aca="false">RawFinancials!X153</f>
        <v>1.16771643069494</v>
      </c>
      <c r="O153" s="13" t="n">
        <f aca="false">RawFinancials!V153</f>
        <v>13.0703989197068</v>
      </c>
      <c r="P153" s="13" t="n">
        <f aca="false">IF(AND(ISNUMBER(L153),L153&lt;&gt;0,ISNUMBER(M153)),100*M153/L153,"")</f>
        <v>89.3344361343427</v>
      </c>
      <c r="Q153" s="13" t="n">
        <f aca="false">IF(AND(ISNUMBER(F153),F153&lt;&gt;0,ISNUMBER(K153)),100*K153/F153,"")</f>
        <v>8.02327371762693</v>
      </c>
      <c r="R153" s="11" t="b">
        <f aca="false">AND(ISNUMBER(F153),F153&gt;0,ISNUMBER(G153),G153&gt;=0,ISNUMBER(H153),H153&gt;=0)</f>
        <v>1</v>
      </c>
      <c r="S153" s="13" t="n">
        <f aca="false">IF(R153,100*I153/F153,"")</f>
        <v>0.0499099004455429</v>
      </c>
      <c r="T153" s="11" t="b">
        <f aca="false">NOT(AND(OR(AND(ISBLANK(RawFinancials!B153),ISBLANK(_RawBaseline!B150)),AND(ISNUMBER(RawFinancials!B153),ISNUMBER(_RawBaseline!B150),RawFinancials!B153=_RawBaseline!B150)),OR(AND(ISBLANK(RawFinancials!U153),ISBLANK(_RawBaseline!U150)),AND(ISNUMBER(RawFinancials!U153),ISNUMBER(_RawBaseline!U150),RawFinancials!U153=_RawBaseline!U150)),OR(AND(ISBLANK(RawFinancials!O153),ISBLANK(_RawBaseline!O150)),AND(ISNUMBER(RawFinancials!O153),ISNUMBER(_RawBaseline!O150),RawFinancials!O153=_RawBaseline!O150))))</f>
        <v>0</v>
      </c>
      <c r="U153" s="13" t="n">
        <f aca="false">IF(AND(D153=WF_START_PERIOD,R153,COUNTIFS($B$5:$B$750,B153,$D$5:$D$750,WF_END_PERIOD,$R$5:$R$750,TRUE())&gt;0),SUMIFS($S$5:$S$750,$B$5:$B$750,B153,$D$5:$D$750,WF_END_PERIOD,$R$5:$R$750,TRUE()),0)</f>
        <v>0</v>
      </c>
      <c r="V153" s="0" t="str">
        <f aca="false">IF(AND(D153=WF_START_PERIOD,COUNTIFS($B$5:$B$750,B153,$D$5:$D$750,WF_END_PERIOD)&gt;0),INDEX($E$5:$E$750,MATCH(B153&amp;"|"&amp;WF_END_PERIOD,$AC$5:$AC$750,0)),"")</f>
        <v/>
      </c>
      <c r="W153" s="11" t="b">
        <f aca="false">COUNTIFS($B$5:$B$750,B153,$D$5:$D$750,WF_START_PERIOD,$R$5:$R$750,TRUE())&gt;0</f>
        <v>1</v>
      </c>
      <c r="X153" s="11" t="b">
        <f aca="false">COUNTIFS($B$5:$B$750,B153,$D$5:$D$750,WF_END_PERIOD,$R$5:$R$750,TRUE())&gt;0</f>
        <v>1</v>
      </c>
      <c r="Y153" s="0" t="str">
        <f aca="false">IF(AND(D153=WF_END_PERIOD,COUNTIFS($B$5:$B$750,B153,$D$5:$D$750,WF_START_PERIOD)&gt;0),INDEX($E$5:$E$750,MATCH(B153&amp;"|"&amp;WF_START_PERIOD,$AC$5:$AC$750,0)),"")</f>
        <v/>
      </c>
      <c r="Z153" s="0" t="str">
        <f aca="false">IF(AND(D153=WF_END_PERIOD,R153),1+COUNTIFS($D$5:$D$750,WF_END_PERIOD,$E$5:$E$750,E153,$R$5:$R$750,TRUE(),$S$5:$S$750,"&gt;"&amp;S153)+COUNTIFS($D$5:$D$750,WF_END_PERIOD,$E$5:$E$750,E153,$R$5:$R$750,TRUE(),$S$5:$S$750,S153,$B$5:$B$750,"&lt;"&amp;B153),"")</f>
        <v/>
      </c>
      <c r="AA153" s="0" t="str">
        <f aca="false">IF(AND(D153=WF_END_PERIOD,R153,Z153&lt;&gt;1),1+COUNTIFS($D$5:$D$750,WF_END_PERIOD,$R$5:$R$750,TRUE(),$Z$5:$Z$750,"&lt;&gt;1",$S$5:$S$750,"&gt;"&amp;S153)+COUNTIFS($D$5:$D$750,WF_END_PERIOD,$R$5:$R$750,TRUE(),$Z$5:$Z$750,"&lt;&gt;1",$S$5:$S$750,S153,$B$5:$B$750,"&lt;"&amp;B153),"")</f>
        <v/>
      </c>
      <c r="AB153" s="11" t="b">
        <f aca="false">OR(D153=WF_START_PERIOD,D153=WF_END_PERIOD)</f>
        <v>0</v>
      </c>
      <c r="AC153" s="0" t="str">
        <f aca="false">B153&amp;"|"&amp;D153</f>
        <v>4255|20220930</v>
      </c>
    </row>
    <row r="154" customFormat="false" ht="15" hidden="false" customHeight="false" outlineLevel="0" collapsed="false">
      <c r="A154" s="0" t="n">
        <f aca="false">RawFinancials!A154</f>
        <v>151</v>
      </c>
      <c r="B154" s="0" t="n">
        <f aca="false">RawFinancials!C154</f>
        <v>4256</v>
      </c>
      <c r="C154" s="0" t="str">
        <f aca="false">RawFinancials!P154</f>
        <v>FIRST NATIONAL BANK</v>
      </c>
      <c r="D154" s="0" t="n">
        <f aca="false">RawFinancials!W154</f>
        <v>20220930</v>
      </c>
      <c r="E154" s="0" t="str">
        <f aca="false">RawFinancials!Z154</f>
        <v>ME</v>
      </c>
      <c r="F154" s="0" t="n">
        <f aca="false">RawFinancials!B154</f>
        <v>2699877</v>
      </c>
      <c r="G154" s="0" t="n">
        <f aca="false">RawFinancials!U154</f>
        <v>0</v>
      </c>
      <c r="H154" s="0" t="n">
        <f aca="false">RawFinancials!O154</f>
        <v>1860</v>
      </c>
      <c r="I154" s="0" t="n">
        <f aca="false">IF(AND(ISNUMBER(G154),ISNUMBER(H154)),G154+H154,"")</f>
        <v>1860</v>
      </c>
      <c r="J154" s="0" t="n">
        <f aca="false">RawFinancials!D154</f>
        <v>2370865</v>
      </c>
      <c r="K154" s="0" t="n">
        <f aca="false">RawFinancials!F154</f>
        <v>191219</v>
      </c>
      <c r="L154" s="0" t="n">
        <f aca="false">RawFinancials!L154</f>
        <v>1857975</v>
      </c>
      <c r="M154" s="0" t="n">
        <f aca="false">RawFinancials!N154</f>
        <v>1478344</v>
      </c>
      <c r="N154" s="13" t="n">
        <f aca="false">RawFinancials!X154</f>
        <v>1.5759119347341</v>
      </c>
      <c r="O154" s="13" t="n">
        <f aca="false">RawFinancials!V154</f>
        <v>13.5242415345785</v>
      </c>
      <c r="P154" s="13" t="n">
        <f aca="false">IF(AND(ISNUMBER(L154),L154&lt;&gt;0,ISNUMBER(M154)),100*M154/L154,"")</f>
        <v>79.5674861071866</v>
      </c>
      <c r="Q154" s="13" t="n">
        <f aca="false">IF(AND(ISNUMBER(F154),F154&lt;&gt;0,ISNUMBER(K154)),100*K154/F154,"")</f>
        <v>7.08250783276423</v>
      </c>
      <c r="R154" s="11" t="b">
        <f aca="false">AND(ISNUMBER(F154),F154&gt;0,ISNUMBER(G154),G154&gt;=0,ISNUMBER(H154),H154&gt;=0)</f>
        <v>1</v>
      </c>
      <c r="S154" s="13" t="n">
        <f aca="false">IF(R154,100*I154/F154,"")</f>
        <v>0.0688920273034661</v>
      </c>
      <c r="T154" s="11" t="b">
        <f aca="false">NOT(AND(OR(AND(ISBLANK(RawFinancials!B154),ISBLANK(_RawBaseline!B151)),AND(ISNUMBER(RawFinancials!B154),ISNUMBER(_RawBaseline!B151),RawFinancials!B154=_RawBaseline!B151)),OR(AND(ISBLANK(RawFinancials!U154),ISBLANK(_RawBaseline!U151)),AND(ISNUMBER(RawFinancials!U154),ISNUMBER(_RawBaseline!U151),RawFinancials!U154=_RawBaseline!U151)),OR(AND(ISBLANK(RawFinancials!O154),ISBLANK(_RawBaseline!O151)),AND(ISNUMBER(RawFinancials!O154),ISNUMBER(_RawBaseline!O151),RawFinancials!O154=_RawBaseline!O151))))</f>
        <v>0</v>
      </c>
      <c r="U154" s="13" t="n">
        <f aca="false">IF(AND(D154=WF_START_PERIOD,R154,COUNTIFS($B$5:$B$750,B154,$D$5:$D$750,WF_END_PERIOD,$R$5:$R$750,TRUE())&gt;0),SUMIFS($S$5:$S$750,$B$5:$B$750,B154,$D$5:$D$750,WF_END_PERIOD,$R$5:$R$750,TRUE()),0)</f>
        <v>0</v>
      </c>
      <c r="V154" s="0" t="str">
        <f aca="false">IF(AND(D154=WF_START_PERIOD,COUNTIFS($B$5:$B$750,B154,$D$5:$D$750,WF_END_PERIOD)&gt;0),INDEX($E$5:$E$750,MATCH(B154&amp;"|"&amp;WF_END_PERIOD,$AC$5:$AC$750,0)),"")</f>
        <v/>
      </c>
      <c r="W154" s="11" t="b">
        <f aca="false">COUNTIFS($B$5:$B$750,B154,$D$5:$D$750,WF_START_PERIOD,$R$5:$R$750,TRUE())&gt;0</f>
        <v>1</v>
      </c>
      <c r="X154" s="11" t="b">
        <f aca="false">COUNTIFS($B$5:$B$750,B154,$D$5:$D$750,WF_END_PERIOD,$R$5:$R$750,TRUE())&gt;0</f>
        <v>1</v>
      </c>
      <c r="Y154" s="0" t="str">
        <f aca="false">IF(AND(D154=WF_END_PERIOD,COUNTIFS($B$5:$B$750,B154,$D$5:$D$750,WF_START_PERIOD)&gt;0),INDEX($E$5:$E$750,MATCH(B154&amp;"|"&amp;WF_START_PERIOD,$AC$5:$AC$750,0)),"")</f>
        <v/>
      </c>
      <c r="Z154" s="0" t="str">
        <f aca="false">IF(AND(D154=WF_END_PERIOD,R154),1+COUNTIFS($D$5:$D$750,WF_END_PERIOD,$E$5:$E$750,E154,$R$5:$R$750,TRUE(),$S$5:$S$750,"&gt;"&amp;S154)+COUNTIFS($D$5:$D$750,WF_END_PERIOD,$E$5:$E$750,E154,$R$5:$R$750,TRUE(),$S$5:$S$750,S154,$B$5:$B$750,"&lt;"&amp;B154),"")</f>
        <v/>
      </c>
      <c r="AA154" s="0" t="str">
        <f aca="false">IF(AND(D154=WF_END_PERIOD,R154,Z154&lt;&gt;1),1+COUNTIFS($D$5:$D$750,WF_END_PERIOD,$R$5:$R$750,TRUE(),$Z$5:$Z$750,"&lt;&gt;1",$S$5:$S$750,"&gt;"&amp;S154)+COUNTIFS($D$5:$D$750,WF_END_PERIOD,$R$5:$R$750,TRUE(),$Z$5:$Z$750,"&lt;&gt;1",$S$5:$S$750,S154,$B$5:$B$750,"&lt;"&amp;B154),"")</f>
        <v/>
      </c>
      <c r="AB154" s="11" t="b">
        <f aca="false">OR(D154=WF_START_PERIOD,D154=WF_END_PERIOD)</f>
        <v>0</v>
      </c>
      <c r="AC154" s="0" t="str">
        <f aca="false">B154&amp;"|"&amp;D154</f>
        <v>4256|20220930</v>
      </c>
    </row>
    <row r="155" customFormat="false" ht="15" hidden="false" customHeight="false" outlineLevel="0" collapsed="false">
      <c r="A155" s="0" t="n">
        <f aca="false">RawFinancials!A155</f>
        <v>152</v>
      </c>
      <c r="B155" s="0" t="n">
        <f aca="false">RawFinancials!C155</f>
        <v>59086</v>
      </c>
      <c r="C155" s="0" t="str">
        <f aca="false">RawFinancials!P155</f>
        <v>PRIMARY BANK</v>
      </c>
      <c r="D155" s="0" t="n">
        <f aca="false">RawFinancials!W155</f>
        <v>20220930</v>
      </c>
      <c r="E155" s="0" t="str">
        <f aca="false">RawFinancials!Z155</f>
        <v>NH</v>
      </c>
      <c r="F155" s="0" t="n">
        <f aca="false">RawFinancials!B155</f>
        <v>686995</v>
      </c>
      <c r="G155" s="0" t="n">
        <f aca="false">RawFinancials!U155</f>
        <v>341</v>
      </c>
      <c r="H155" s="0" t="n">
        <f aca="false">RawFinancials!O155</f>
        <v>2111</v>
      </c>
      <c r="I155" s="0" t="n">
        <f aca="false">IF(AND(ISNUMBER(G155),ISNUMBER(H155)),G155+H155,"")</f>
        <v>2452</v>
      </c>
      <c r="J155" s="0" t="n">
        <f aca="false">RawFinancials!D155</f>
        <v>610836</v>
      </c>
      <c r="K155" s="0" t="n">
        <f aca="false">RawFinancials!F155</f>
        <v>72795</v>
      </c>
      <c r="L155" s="0" t="n">
        <f aca="false">RawFinancials!L155</f>
        <v>552647</v>
      </c>
      <c r="M155" s="0" t="n">
        <f aca="false">RawFinancials!N155</f>
        <v>433350</v>
      </c>
      <c r="N155" s="13" t="n">
        <f aca="false">RawFinancials!X155</f>
        <v>1.41290663287171</v>
      </c>
      <c r="O155" s="13" t="n">
        <f aca="false">RawFinancials!V155</f>
        <v>13.7494495435112</v>
      </c>
      <c r="P155" s="13" t="n">
        <f aca="false">IF(AND(ISNUMBER(L155),L155&lt;&gt;0,ISNUMBER(M155)),100*M155/L155,"")</f>
        <v>78.4135261749363</v>
      </c>
      <c r="Q155" s="13" t="n">
        <f aca="false">IF(AND(ISNUMBER(F155),F155&lt;&gt;0,ISNUMBER(K155)),100*K155/F155,"")</f>
        <v>10.5961469879693</v>
      </c>
      <c r="R155" s="11" t="b">
        <f aca="false">AND(ISNUMBER(F155),F155&gt;0,ISNUMBER(G155),G155&gt;=0,ISNUMBER(H155),H155&gt;=0)</f>
        <v>1</v>
      </c>
      <c r="S155" s="13" t="n">
        <f aca="false">IF(R155,100*I155/F155,"")</f>
        <v>0.356916717006674</v>
      </c>
      <c r="T155" s="11" t="b">
        <f aca="false">NOT(AND(OR(AND(ISBLANK(RawFinancials!B155),ISBLANK(_RawBaseline!B152)),AND(ISNUMBER(RawFinancials!B155),ISNUMBER(_RawBaseline!B152),RawFinancials!B155=_RawBaseline!B152)),OR(AND(ISBLANK(RawFinancials!U155),ISBLANK(_RawBaseline!U152)),AND(ISNUMBER(RawFinancials!U155),ISNUMBER(_RawBaseline!U152),RawFinancials!U155=_RawBaseline!U152)),OR(AND(ISBLANK(RawFinancials!O155),ISBLANK(_RawBaseline!O152)),AND(ISNUMBER(RawFinancials!O155),ISNUMBER(_RawBaseline!O152),RawFinancials!O155=_RawBaseline!O152))))</f>
        <v>0</v>
      </c>
      <c r="U155" s="13" t="n">
        <f aca="false">IF(AND(D155=WF_START_PERIOD,R155,COUNTIFS($B$5:$B$750,B155,$D$5:$D$750,WF_END_PERIOD,$R$5:$R$750,TRUE())&gt;0),SUMIFS($S$5:$S$750,$B$5:$B$750,B155,$D$5:$D$750,WF_END_PERIOD,$R$5:$R$750,TRUE()),0)</f>
        <v>0</v>
      </c>
      <c r="V155" s="0" t="str">
        <f aca="false">IF(AND(D155=WF_START_PERIOD,COUNTIFS($B$5:$B$750,B155,$D$5:$D$750,WF_END_PERIOD)&gt;0),INDEX($E$5:$E$750,MATCH(B155&amp;"|"&amp;WF_END_PERIOD,$AC$5:$AC$750,0)),"")</f>
        <v/>
      </c>
      <c r="W155" s="11" t="b">
        <f aca="false">COUNTIFS($B$5:$B$750,B155,$D$5:$D$750,WF_START_PERIOD,$R$5:$R$750,TRUE())&gt;0</f>
        <v>1</v>
      </c>
      <c r="X155" s="11" t="b">
        <f aca="false">COUNTIFS($B$5:$B$750,B155,$D$5:$D$750,WF_END_PERIOD,$R$5:$R$750,TRUE())&gt;0</f>
        <v>1</v>
      </c>
      <c r="Y155" s="0" t="str">
        <f aca="false">IF(AND(D155=WF_END_PERIOD,COUNTIFS($B$5:$B$750,B155,$D$5:$D$750,WF_START_PERIOD)&gt;0),INDEX($E$5:$E$750,MATCH(B155&amp;"|"&amp;WF_START_PERIOD,$AC$5:$AC$750,0)),"")</f>
        <v/>
      </c>
      <c r="Z155" s="0" t="str">
        <f aca="false">IF(AND(D155=WF_END_PERIOD,R155),1+COUNTIFS($D$5:$D$750,WF_END_PERIOD,$E$5:$E$750,E155,$R$5:$R$750,TRUE(),$S$5:$S$750,"&gt;"&amp;S155)+COUNTIFS($D$5:$D$750,WF_END_PERIOD,$E$5:$E$750,E155,$R$5:$R$750,TRUE(),$S$5:$S$750,S155,$B$5:$B$750,"&lt;"&amp;B155),"")</f>
        <v/>
      </c>
      <c r="AA155" s="0" t="str">
        <f aca="false">IF(AND(D155=WF_END_PERIOD,R155,Z155&lt;&gt;1),1+COUNTIFS($D$5:$D$750,WF_END_PERIOD,$R$5:$R$750,TRUE(),$Z$5:$Z$750,"&lt;&gt;1",$S$5:$S$750,"&gt;"&amp;S155)+COUNTIFS($D$5:$D$750,WF_END_PERIOD,$R$5:$R$750,TRUE(),$Z$5:$Z$750,"&lt;&gt;1",$S$5:$S$750,S155,$B$5:$B$750,"&lt;"&amp;B155),"")</f>
        <v/>
      </c>
      <c r="AB155" s="11" t="b">
        <f aca="false">OR(D155=WF_START_PERIOD,D155=WF_END_PERIOD)</f>
        <v>0</v>
      </c>
      <c r="AC155" s="0" t="str">
        <f aca="false">B155&amp;"|"&amp;D155</f>
        <v>59086|20220930</v>
      </c>
    </row>
    <row r="156" customFormat="false" ht="15" hidden="false" customHeight="false" outlineLevel="0" collapsed="false">
      <c r="A156" s="0" t="n">
        <f aca="false">RawFinancials!A156</f>
        <v>153</v>
      </c>
      <c r="B156" s="0" t="n">
        <f aca="false">RawFinancials!C156</f>
        <v>59176</v>
      </c>
      <c r="C156" s="0" t="str">
        <f aca="false">RawFinancials!P156</f>
        <v>THE MILLYARD BANK</v>
      </c>
      <c r="D156" s="0" t="n">
        <f aca="false">RawFinancials!W156</f>
        <v>20220930</v>
      </c>
      <c r="E156" s="0" t="str">
        <f aca="false">RawFinancials!Z156</f>
        <v>NH</v>
      </c>
      <c r="F156" s="0" t="n">
        <f aca="false">RawFinancials!B156</f>
        <v>182612</v>
      </c>
      <c r="G156" s="0" t="n">
        <f aca="false">RawFinancials!U156</f>
        <v>0</v>
      </c>
      <c r="H156" s="0" t="n">
        <f aca="false">RawFinancials!O156</f>
        <v>0</v>
      </c>
      <c r="I156" s="0" t="n">
        <f aca="false">IF(AND(ISNUMBER(G156),ISNUMBER(H156)),G156+H156,"")</f>
        <v>0</v>
      </c>
      <c r="J156" s="0" t="n">
        <f aca="false">RawFinancials!D156</f>
        <v>160518</v>
      </c>
      <c r="K156" s="0" t="n">
        <f aca="false">RawFinancials!F156</f>
        <v>21662</v>
      </c>
      <c r="L156" s="0" t="n">
        <f aca="false">RawFinancials!L156</f>
        <v>124839</v>
      </c>
      <c r="M156" s="0" t="n">
        <f aca="false">RawFinancials!N156</f>
        <v>107791</v>
      </c>
      <c r="N156" s="13" t="n">
        <f aca="false">RawFinancials!X156</f>
        <v>0.224178584443066</v>
      </c>
      <c r="O156" s="13" t="n">
        <f aca="false">RawFinancials!V156</f>
        <v>18.6279642747151</v>
      </c>
      <c r="P156" s="13" t="n">
        <f aca="false">IF(AND(ISNUMBER(L156),L156&lt;&gt;0,ISNUMBER(M156)),100*M156/L156,"")</f>
        <v>86.3440110862791</v>
      </c>
      <c r="Q156" s="13" t="n">
        <f aca="false">IF(AND(ISNUMBER(F156),F156&lt;&gt;0,ISNUMBER(K156)),100*K156/F156,"")</f>
        <v>11.8623091582152</v>
      </c>
      <c r="R156" s="11" t="b">
        <f aca="false">AND(ISNUMBER(F156),F156&gt;0,ISNUMBER(G156),G156&gt;=0,ISNUMBER(H156),H156&gt;=0)</f>
        <v>1</v>
      </c>
      <c r="S156" s="13" t="n">
        <f aca="false">IF(R156,100*I156/F156,"")</f>
        <v>0</v>
      </c>
      <c r="T156" s="11" t="b">
        <f aca="false">NOT(AND(OR(AND(ISBLANK(RawFinancials!B156),ISBLANK(_RawBaseline!B153)),AND(ISNUMBER(RawFinancials!B156),ISNUMBER(_RawBaseline!B153),RawFinancials!B156=_RawBaseline!B153)),OR(AND(ISBLANK(RawFinancials!U156),ISBLANK(_RawBaseline!U153)),AND(ISNUMBER(RawFinancials!U156),ISNUMBER(_RawBaseline!U153),RawFinancials!U156=_RawBaseline!U153)),OR(AND(ISBLANK(RawFinancials!O156),ISBLANK(_RawBaseline!O153)),AND(ISNUMBER(RawFinancials!O156),ISNUMBER(_RawBaseline!O153),RawFinancials!O156=_RawBaseline!O153))))</f>
        <v>0</v>
      </c>
      <c r="U156" s="13" t="n">
        <f aca="false">IF(AND(D156=WF_START_PERIOD,R156,COUNTIFS($B$5:$B$750,B156,$D$5:$D$750,WF_END_PERIOD,$R$5:$R$750,TRUE())&gt;0),SUMIFS($S$5:$S$750,$B$5:$B$750,B156,$D$5:$D$750,WF_END_PERIOD,$R$5:$R$750,TRUE()),0)</f>
        <v>0</v>
      </c>
      <c r="V156" s="0" t="str">
        <f aca="false">IF(AND(D156=WF_START_PERIOD,COUNTIFS($B$5:$B$750,B156,$D$5:$D$750,WF_END_PERIOD)&gt;0),INDEX($E$5:$E$750,MATCH(B156&amp;"|"&amp;WF_END_PERIOD,$AC$5:$AC$750,0)),"")</f>
        <v/>
      </c>
      <c r="W156" s="11" t="b">
        <f aca="false">COUNTIFS($B$5:$B$750,B156,$D$5:$D$750,WF_START_PERIOD,$R$5:$R$750,TRUE())&gt;0</f>
        <v>1</v>
      </c>
      <c r="X156" s="11" t="b">
        <f aca="false">COUNTIFS($B$5:$B$750,B156,$D$5:$D$750,WF_END_PERIOD,$R$5:$R$750,TRUE())&gt;0</f>
        <v>1</v>
      </c>
      <c r="Y156" s="0" t="str">
        <f aca="false">IF(AND(D156=WF_END_PERIOD,COUNTIFS($B$5:$B$750,B156,$D$5:$D$750,WF_START_PERIOD)&gt;0),INDEX($E$5:$E$750,MATCH(B156&amp;"|"&amp;WF_START_PERIOD,$AC$5:$AC$750,0)),"")</f>
        <v/>
      </c>
      <c r="Z156" s="0" t="str">
        <f aca="false">IF(AND(D156=WF_END_PERIOD,R156),1+COUNTIFS($D$5:$D$750,WF_END_PERIOD,$E$5:$E$750,E156,$R$5:$R$750,TRUE(),$S$5:$S$750,"&gt;"&amp;S156)+COUNTIFS($D$5:$D$750,WF_END_PERIOD,$E$5:$E$750,E156,$R$5:$R$750,TRUE(),$S$5:$S$750,S156,$B$5:$B$750,"&lt;"&amp;B156),"")</f>
        <v/>
      </c>
      <c r="AA156" s="0" t="str">
        <f aca="false">IF(AND(D156=WF_END_PERIOD,R156,Z156&lt;&gt;1),1+COUNTIFS($D$5:$D$750,WF_END_PERIOD,$R$5:$R$750,TRUE(),$Z$5:$Z$750,"&lt;&gt;1",$S$5:$S$750,"&gt;"&amp;S156)+COUNTIFS($D$5:$D$750,WF_END_PERIOD,$R$5:$R$750,TRUE(),$Z$5:$Z$750,"&lt;&gt;1",$S$5:$S$750,S156,$B$5:$B$750,"&lt;"&amp;B156),"")</f>
        <v/>
      </c>
      <c r="AB156" s="11" t="b">
        <f aca="false">OR(D156=WF_START_PERIOD,D156=WF_END_PERIOD)</f>
        <v>0</v>
      </c>
      <c r="AC156" s="0" t="str">
        <f aca="false">B156&amp;"|"&amp;D156</f>
        <v>59176|20220930</v>
      </c>
    </row>
    <row r="157" customFormat="false" ht="15" hidden="false" customHeight="false" outlineLevel="0" collapsed="false">
      <c r="A157" s="0" t="n">
        <f aca="false">RawFinancials!A157</f>
        <v>154</v>
      </c>
      <c r="B157" s="0" t="n">
        <f aca="false">RawFinancials!C157</f>
        <v>59298</v>
      </c>
      <c r="C157" s="0" t="str">
        <f aca="false">RawFinancials!P157</f>
        <v>BANK OF BURLINGTON</v>
      </c>
      <c r="D157" s="0" t="n">
        <f aca="false">RawFinancials!W157</f>
        <v>20220930</v>
      </c>
      <c r="E157" s="0" t="str">
        <f aca="false">RawFinancials!Z157</f>
        <v>VT</v>
      </c>
      <c r="F157" s="0" t="n">
        <f aca="false">RawFinancials!B157</f>
        <v>38217</v>
      </c>
      <c r="G157" s="0" t="n">
        <f aca="false">RawFinancials!U157</f>
        <v>0</v>
      </c>
      <c r="H157" s="0" t="n">
        <f aca="false">RawFinancials!O157</f>
        <v>0</v>
      </c>
      <c r="I157" s="0" t="n">
        <f aca="false">IF(AND(ISNUMBER(G157),ISNUMBER(H157)),G157+H157,"")</f>
        <v>0</v>
      </c>
      <c r="J157" s="0" t="n">
        <f aca="false">RawFinancials!D157</f>
        <v>6690</v>
      </c>
      <c r="K157" s="0" t="n">
        <f aca="false">RawFinancials!F157</f>
        <v>30598</v>
      </c>
      <c r="L157" s="0" t="n">
        <f aca="false">RawFinancials!L157</f>
        <v>7648</v>
      </c>
      <c r="M157" s="0" t="n">
        <f aca="false">RawFinancials!N157</f>
        <v>4565</v>
      </c>
      <c r="N157" s="13" t="n">
        <f aca="false">RawFinancials!X157</f>
        <v>-1.79322343459717</v>
      </c>
      <c r="O157" s="13" t="n">
        <f aca="false">RawFinancials!V157</f>
        <v>0</v>
      </c>
      <c r="P157" s="13" t="n">
        <f aca="false">IF(AND(ISNUMBER(L157),L157&lt;&gt;0,ISNUMBER(M157)),100*M157/L157,"")</f>
        <v>59.6888075313808</v>
      </c>
      <c r="Q157" s="13" t="n">
        <f aca="false">IF(AND(ISNUMBER(F157),F157&lt;&gt;0,ISNUMBER(K157)),100*K157/F157,"")</f>
        <v>80.0638459324384</v>
      </c>
      <c r="R157" s="11" t="b">
        <f aca="false">AND(ISNUMBER(F157),F157&gt;0,ISNUMBER(G157),G157&gt;=0,ISNUMBER(H157),H157&gt;=0)</f>
        <v>1</v>
      </c>
      <c r="S157" s="13" t="n">
        <f aca="false">IF(R157,100*I157/F157,"")</f>
        <v>0</v>
      </c>
      <c r="T157" s="11" t="b">
        <f aca="false">NOT(AND(OR(AND(ISBLANK(RawFinancials!B157),ISBLANK(_RawBaseline!B154)),AND(ISNUMBER(RawFinancials!B157),ISNUMBER(_RawBaseline!B154),RawFinancials!B157=_RawBaseline!B154)),OR(AND(ISBLANK(RawFinancials!U157),ISBLANK(_RawBaseline!U154)),AND(ISNUMBER(RawFinancials!U157),ISNUMBER(_RawBaseline!U154),RawFinancials!U157=_RawBaseline!U154)),OR(AND(ISBLANK(RawFinancials!O157),ISBLANK(_RawBaseline!O154)),AND(ISNUMBER(RawFinancials!O157),ISNUMBER(_RawBaseline!O154),RawFinancials!O157=_RawBaseline!O154))))</f>
        <v>0</v>
      </c>
      <c r="U157" s="13" t="n">
        <f aca="false">IF(AND(D157=WF_START_PERIOD,R157,COUNTIFS($B$5:$B$750,B157,$D$5:$D$750,WF_END_PERIOD,$R$5:$R$750,TRUE())&gt;0),SUMIFS($S$5:$S$750,$B$5:$B$750,B157,$D$5:$D$750,WF_END_PERIOD,$R$5:$R$750,TRUE()),0)</f>
        <v>0</v>
      </c>
      <c r="V157" s="0" t="str">
        <f aca="false">IF(AND(D157=WF_START_PERIOD,COUNTIFS($B$5:$B$750,B157,$D$5:$D$750,WF_END_PERIOD)&gt;0),INDEX($E$5:$E$750,MATCH(B157&amp;"|"&amp;WF_END_PERIOD,$AC$5:$AC$750,0)),"")</f>
        <v/>
      </c>
      <c r="W157" s="11" t="b">
        <f aca="false">COUNTIFS($B$5:$B$750,B157,$D$5:$D$750,WF_START_PERIOD,$R$5:$R$750,TRUE())&gt;0</f>
        <v>1</v>
      </c>
      <c r="X157" s="11" t="b">
        <f aca="false">COUNTIFS($B$5:$B$750,B157,$D$5:$D$750,WF_END_PERIOD,$R$5:$R$750,TRUE())&gt;0</f>
        <v>1</v>
      </c>
      <c r="Y157" s="0" t="str">
        <f aca="false">IF(AND(D157=WF_END_PERIOD,COUNTIFS($B$5:$B$750,B157,$D$5:$D$750,WF_START_PERIOD)&gt;0),INDEX($E$5:$E$750,MATCH(B157&amp;"|"&amp;WF_START_PERIOD,$AC$5:$AC$750,0)),"")</f>
        <v/>
      </c>
      <c r="Z157" s="0" t="str">
        <f aca="false">IF(AND(D157=WF_END_PERIOD,R157),1+COUNTIFS($D$5:$D$750,WF_END_PERIOD,$E$5:$E$750,E157,$R$5:$R$750,TRUE(),$S$5:$S$750,"&gt;"&amp;S157)+COUNTIFS($D$5:$D$750,WF_END_PERIOD,$E$5:$E$750,E157,$R$5:$R$750,TRUE(),$S$5:$S$750,S157,$B$5:$B$750,"&lt;"&amp;B157),"")</f>
        <v/>
      </c>
      <c r="AA157" s="0" t="str">
        <f aca="false">IF(AND(D157=WF_END_PERIOD,R157,Z157&lt;&gt;1),1+COUNTIFS($D$5:$D$750,WF_END_PERIOD,$R$5:$R$750,TRUE(),$Z$5:$Z$750,"&lt;&gt;1",$S$5:$S$750,"&gt;"&amp;S157)+COUNTIFS($D$5:$D$750,WF_END_PERIOD,$R$5:$R$750,TRUE(),$Z$5:$Z$750,"&lt;&gt;1",$S$5:$S$750,S157,$B$5:$B$750,"&lt;"&amp;B157),"")</f>
        <v/>
      </c>
      <c r="AB157" s="11" t="b">
        <f aca="false">OR(D157=WF_START_PERIOD,D157=WF_END_PERIOD)</f>
        <v>0</v>
      </c>
      <c r="AC157" s="0" t="str">
        <f aca="false">B157&amp;"|"&amp;D157</f>
        <v>59298|20220930</v>
      </c>
    </row>
    <row r="158" customFormat="false" ht="15" hidden="false" customHeight="false" outlineLevel="0" collapsed="false">
      <c r="A158" s="0" t="n">
        <f aca="false">RawFinancials!A158</f>
        <v>155</v>
      </c>
      <c r="B158" s="0" t="n">
        <f aca="false">RawFinancials!C158</f>
        <v>6271</v>
      </c>
      <c r="C158" s="0" t="str">
        <f aca="false">RawFinancials!P158</f>
        <v>COMMUNITY NATIONAL BANK</v>
      </c>
      <c r="D158" s="0" t="n">
        <f aca="false">RawFinancials!W158</f>
        <v>20220930</v>
      </c>
      <c r="E158" s="0" t="str">
        <f aca="false">RawFinancials!Z158</f>
        <v>VT</v>
      </c>
      <c r="F158" s="0" t="n">
        <f aca="false">RawFinancials!B158</f>
        <v>1026347</v>
      </c>
      <c r="G158" s="0" t="n">
        <f aca="false">RawFinancials!U158</f>
        <v>744</v>
      </c>
      <c r="H158" s="0" t="n">
        <f aca="false">RawFinancials!O158</f>
        <v>8603</v>
      </c>
      <c r="I158" s="0" t="n">
        <f aca="false">IF(AND(ISNUMBER(G158),ISNUMBER(H158)),G158+H158,"")</f>
        <v>9347</v>
      </c>
      <c r="J158" s="0" t="n">
        <f aca="false">RawFinancials!D158</f>
        <v>904130</v>
      </c>
      <c r="K158" s="0" t="n">
        <f aca="false">RawFinancials!F158</f>
        <v>81739</v>
      </c>
      <c r="L158" s="0" t="n">
        <f aca="false">RawFinancials!L158</f>
        <v>724791</v>
      </c>
      <c r="M158" s="0" t="n">
        <f aca="false">RawFinancials!N158</f>
        <v>551311</v>
      </c>
      <c r="N158" s="13" t="n">
        <f aca="false">RawFinancials!X158</f>
        <v>1.26525953247623</v>
      </c>
      <c r="O158" s="13" t="n">
        <f aca="false">RawFinancials!V158</f>
        <v>15.053195210868</v>
      </c>
      <c r="P158" s="13" t="n">
        <f aca="false">IF(AND(ISNUMBER(L158),L158&lt;&gt;0,ISNUMBER(M158)),100*M158/L158,"")</f>
        <v>76.0648242044948</v>
      </c>
      <c r="Q158" s="13" t="n">
        <f aca="false">IF(AND(ISNUMBER(F158),F158&lt;&gt;0,ISNUMBER(K158)),100*K158/F158,"")</f>
        <v>7.96407063108286</v>
      </c>
      <c r="R158" s="11" t="b">
        <f aca="false">AND(ISNUMBER(F158),F158&gt;0,ISNUMBER(G158),G158&gt;=0,ISNUMBER(H158),H158&gt;=0)</f>
        <v>1</v>
      </c>
      <c r="S158" s="13" t="n">
        <f aca="false">IF(R158,100*I158/F158,"")</f>
        <v>0.910705638541351</v>
      </c>
      <c r="T158" s="11" t="b">
        <f aca="false">NOT(AND(OR(AND(ISBLANK(RawFinancials!B158),ISBLANK(_RawBaseline!B155)),AND(ISNUMBER(RawFinancials!B158),ISNUMBER(_RawBaseline!B155),RawFinancials!B158=_RawBaseline!B155)),OR(AND(ISBLANK(RawFinancials!U158),ISBLANK(_RawBaseline!U155)),AND(ISNUMBER(RawFinancials!U158),ISNUMBER(_RawBaseline!U155),RawFinancials!U158=_RawBaseline!U155)),OR(AND(ISBLANK(RawFinancials!O158),ISBLANK(_RawBaseline!O155)),AND(ISNUMBER(RawFinancials!O158),ISNUMBER(_RawBaseline!O155),RawFinancials!O158=_RawBaseline!O155))))</f>
        <v>0</v>
      </c>
      <c r="U158" s="13" t="n">
        <f aca="false">IF(AND(D158=WF_START_PERIOD,R158,COUNTIFS($B$5:$B$750,B158,$D$5:$D$750,WF_END_PERIOD,$R$5:$R$750,TRUE())&gt;0),SUMIFS($S$5:$S$750,$B$5:$B$750,B158,$D$5:$D$750,WF_END_PERIOD,$R$5:$R$750,TRUE()),0)</f>
        <v>0</v>
      </c>
      <c r="V158" s="0" t="str">
        <f aca="false">IF(AND(D158=WF_START_PERIOD,COUNTIFS($B$5:$B$750,B158,$D$5:$D$750,WF_END_PERIOD)&gt;0),INDEX($E$5:$E$750,MATCH(B158&amp;"|"&amp;WF_END_PERIOD,$AC$5:$AC$750,0)),"")</f>
        <v/>
      </c>
      <c r="W158" s="11" t="b">
        <f aca="false">COUNTIFS($B$5:$B$750,B158,$D$5:$D$750,WF_START_PERIOD,$R$5:$R$750,TRUE())&gt;0</f>
        <v>1</v>
      </c>
      <c r="X158" s="11" t="b">
        <f aca="false">COUNTIFS($B$5:$B$750,B158,$D$5:$D$750,WF_END_PERIOD,$R$5:$R$750,TRUE())&gt;0</f>
        <v>1</v>
      </c>
      <c r="Y158" s="0" t="str">
        <f aca="false">IF(AND(D158=WF_END_PERIOD,COUNTIFS($B$5:$B$750,B158,$D$5:$D$750,WF_START_PERIOD)&gt;0),INDEX($E$5:$E$750,MATCH(B158&amp;"|"&amp;WF_START_PERIOD,$AC$5:$AC$750,0)),"")</f>
        <v/>
      </c>
      <c r="Z158" s="0" t="str">
        <f aca="false">IF(AND(D158=WF_END_PERIOD,R158),1+COUNTIFS($D$5:$D$750,WF_END_PERIOD,$E$5:$E$750,E158,$R$5:$R$750,TRUE(),$S$5:$S$750,"&gt;"&amp;S158)+COUNTIFS($D$5:$D$750,WF_END_PERIOD,$E$5:$E$750,E158,$R$5:$R$750,TRUE(),$S$5:$S$750,S158,$B$5:$B$750,"&lt;"&amp;B158),"")</f>
        <v/>
      </c>
      <c r="AA158" s="0" t="str">
        <f aca="false">IF(AND(D158=WF_END_PERIOD,R158,Z158&lt;&gt;1),1+COUNTIFS($D$5:$D$750,WF_END_PERIOD,$R$5:$R$750,TRUE(),$Z$5:$Z$750,"&lt;&gt;1",$S$5:$S$750,"&gt;"&amp;S158)+COUNTIFS($D$5:$D$750,WF_END_PERIOD,$R$5:$R$750,TRUE(),$Z$5:$Z$750,"&lt;&gt;1",$S$5:$S$750,S158,$B$5:$B$750,"&lt;"&amp;B158),"")</f>
        <v/>
      </c>
      <c r="AB158" s="11" t="b">
        <f aca="false">OR(D158=WF_START_PERIOD,D158=WF_END_PERIOD)</f>
        <v>0</v>
      </c>
      <c r="AC158" s="0" t="str">
        <f aca="false">B158&amp;"|"&amp;D158</f>
        <v>6271|20220930</v>
      </c>
    </row>
    <row r="159" customFormat="false" ht="15" hidden="false" customHeight="false" outlineLevel="0" collapsed="false">
      <c r="A159" s="0" t="n">
        <f aca="false">RawFinancials!A159</f>
        <v>156</v>
      </c>
      <c r="B159" s="0" t="n">
        <f aca="false">RawFinancials!C159</f>
        <v>6275</v>
      </c>
      <c r="C159" s="0" t="str">
        <f aca="false">RawFinancials!P159</f>
        <v>THE NATIONAL BANK OF MIDDLEBURY</v>
      </c>
      <c r="D159" s="0" t="n">
        <f aca="false">RawFinancials!W159</f>
        <v>20220930</v>
      </c>
      <c r="E159" s="0" t="str">
        <f aca="false">RawFinancials!Z159</f>
        <v>VT</v>
      </c>
      <c r="F159" s="0" t="n">
        <f aca="false">RawFinancials!B159</f>
        <v>538969</v>
      </c>
      <c r="G159" s="0" t="n">
        <f aca="false">RawFinancials!U159</f>
        <v>23</v>
      </c>
      <c r="H159" s="0" t="n">
        <f aca="false">RawFinancials!O159</f>
        <v>1530</v>
      </c>
      <c r="I159" s="0" t="n">
        <f aca="false">IF(AND(ISNUMBER(G159),ISNUMBER(H159)),G159+H159,"")</f>
        <v>1553</v>
      </c>
      <c r="J159" s="0" t="n">
        <f aca="false">RawFinancials!D159</f>
        <v>499382</v>
      </c>
      <c r="K159" s="0" t="n">
        <f aca="false">RawFinancials!F159</f>
        <v>21431</v>
      </c>
      <c r="L159" s="0" t="n">
        <f aca="false">RawFinancials!L159</f>
        <v>302728</v>
      </c>
      <c r="M159" s="0" t="n">
        <f aca="false">RawFinancials!N159</f>
        <v>249546</v>
      </c>
      <c r="N159" s="13" t="n">
        <f aca="false">RawFinancials!X159</f>
        <v>0.612337281502061</v>
      </c>
      <c r="O159" s="13" t="n">
        <f aca="false">RawFinancials!V159</f>
        <v>15.7909585316112</v>
      </c>
      <c r="P159" s="13" t="n">
        <f aca="false">IF(AND(ISNUMBER(L159),L159&lt;&gt;0,ISNUMBER(M159)),100*M159/L159,"")</f>
        <v>82.4324145767818</v>
      </c>
      <c r="Q159" s="13" t="n">
        <f aca="false">IF(AND(ISNUMBER(F159),F159&lt;&gt;0,ISNUMBER(K159)),100*K159/F159,"")</f>
        <v>3.97629548267155</v>
      </c>
      <c r="R159" s="11" t="b">
        <f aca="false">AND(ISNUMBER(F159),F159&gt;0,ISNUMBER(G159),G159&gt;=0,ISNUMBER(H159),H159&gt;=0)</f>
        <v>1</v>
      </c>
      <c r="S159" s="13" t="n">
        <f aca="false">IF(R159,100*I159/F159,"")</f>
        <v>0.288142731771215</v>
      </c>
      <c r="T159" s="11" t="b">
        <f aca="false">NOT(AND(OR(AND(ISBLANK(RawFinancials!B159),ISBLANK(_RawBaseline!B156)),AND(ISNUMBER(RawFinancials!B159),ISNUMBER(_RawBaseline!B156),RawFinancials!B159=_RawBaseline!B156)),OR(AND(ISBLANK(RawFinancials!U159),ISBLANK(_RawBaseline!U156)),AND(ISNUMBER(RawFinancials!U159),ISNUMBER(_RawBaseline!U156),RawFinancials!U159=_RawBaseline!U156)),OR(AND(ISBLANK(RawFinancials!O159),ISBLANK(_RawBaseline!O156)),AND(ISNUMBER(RawFinancials!O159),ISNUMBER(_RawBaseline!O156),RawFinancials!O159=_RawBaseline!O156))))</f>
        <v>0</v>
      </c>
      <c r="U159" s="13" t="n">
        <f aca="false">IF(AND(D159=WF_START_PERIOD,R159,COUNTIFS($B$5:$B$750,B159,$D$5:$D$750,WF_END_PERIOD,$R$5:$R$750,TRUE())&gt;0),SUMIFS($S$5:$S$750,$B$5:$B$750,B159,$D$5:$D$750,WF_END_PERIOD,$R$5:$R$750,TRUE()),0)</f>
        <v>0</v>
      </c>
      <c r="V159" s="0" t="str">
        <f aca="false">IF(AND(D159=WF_START_PERIOD,COUNTIFS($B$5:$B$750,B159,$D$5:$D$750,WF_END_PERIOD)&gt;0),INDEX($E$5:$E$750,MATCH(B159&amp;"|"&amp;WF_END_PERIOD,$AC$5:$AC$750,0)),"")</f>
        <v/>
      </c>
      <c r="W159" s="11" t="b">
        <f aca="false">COUNTIFS($B$5:$B$750,B159,$D$5:$D$750,WF_START_PERIOD,$R$5:$R$750,TRUE())&gt;0</f>
        <v>1</v>
      </c>
      <c r="X159" s="11" t="b">
        <f aca="false">COUNTIFS($B$5:$B$750,B159,$D$5:$D$750,WF_END_PERIOD,$R$5:$R$750,TRUE())&gt;0</f>
        <v>1</v>
      </c>
      <c r="Y159" s="0" t="str">
        <f aca="false">IF(AND(D159=WF_END_PERIOD,COUNTIFS($B$5:$B$750,B159,$D$5:$D$750,WF_START_PERIOD)&gt;0),INDEX($E$5:$E$750,MATCH(B159&amp;"|"&amp;WF_START_PERIOD,$AC$5:$AC$750,0)),"")</f>
        <v/>
      </c>
      <c r="Z159" s="0" t="str">
        <f aca="false">IF(AND(D159=WF_END_PERIOD,R159),1+COUNTIFS($D$5:$D$750,WF_END_PERIOD,$E$5:$E$750,E159,$R$5:$R$750,TRUE(),$S$5:$S$750,"&gt;"&amp;S159)+COUNTIFS($D$5:$D$750,WF_END_PERIOD,$E$5:$E$750,E159,$R$5:$R$750,TRUE(),$S$5:$S$750,S159,$B$5:$B$750,"&lt;"&amp;B159),"")</f>
        <v/>
      </c>
      <c r="AA159" s="0" t="str">
        <f aca="false">IF(AND(D159=WF_END_PERIOD,R159,Z159&lt;&gt;1),1+COUNTIFS($D$5:$D$750,WF_END_PERIOD,$R$5:$R$750,TRUE(),$Z$5:$Z$750,"&lt;&gt;1",$S$5:$S$750,"&gt;"&amp;S159)+COUNTIFS($D$5:$D$750,WF_END_PERIOD,$R$5:$R$750,TRUE(),$Z$5:$Z$750,"&lt;&gt;1",$S$5:$S$750,S159,$B$5:$B$750,"&lt;"&amp;B159),"")</f>
        <v/>
      </c>
      <c r="AB159" s="11" t="b">
        <f aca="false">OR(D159=WF_START_PERIOD,D159=WF_END_PERIOD)</f>
        <v>0</v>
      </c>
      <c r="AC159" s="0" t="str">
        <f aca="false">B159&amp;"|"&amp;D159</f>
        <v>6275|20220930</v>
      </c>
    </row>
    <row r="160" customFormat="false" ht="15" hidden="false" customHeight="false" outlineLevel="0" collapsed="false">
      <c r="A160" s="0" t="n">
        <f aca="false">RawFinancials!A160</f>
        <v>157</v>
      </c>
      <c r="B160" s="0" t="n">
        <f aca="false">RawFinancials!C160</f>
        <v>6280</v>
      </c>
      <c r="C160" s="0" t="str">
        <f aca="false">RawFinancials!P160</f>
        <v>THE FIRST NATIONAL BANK OF ORWELL</v>
      </c>
      <c r="D160" s="0" t="n">
        <f aca="false">RawFinancials!W160</f>
        <v>20220930</v>
      </c>
      <c r="E160" s="0" t="str">
        <f aca="false">RawFinancials!Z160</f>
        <v>VT</v>
      </c>
      <c r="F160" s="0" t="n">
        <f aca="false">RawFinancials!B160</f>
        <v>87700</v>
      </c>
      <c r="G160" s="0" t="n">
        <f aca="false">RawFinancials!U160</f>
        <v>0</v>
      </c>
      <c r="H160" s="0" t="n">
        <f aca="false">RawFinancials!O160</f>
        <v>667</v>
      </c>
      <c r="I160" s="0" t="n">
        <f aca="false">IF(AND(ISNUMBER(G160),ISNUMBER(H160)),G160+H160,"")</f>
        <v>667</v>
      </c>
      <c r="J160" s="0" t="n">
        <f aca="false">RawFinancials!D160</f>
        <v>78966</v>
      </c>
      <c r="K160" s="0" t="n">
        <f aca="false">RawFinancials!F160</f>
        <v>8505</v>
      </c>
      <c r="L160" s="0" t="n">
        <f aca="false">RawFinancials!L160</f>
        <v>62691</v>
      </c>
      <c r="M160" s="0" t="n">
        <f aca="false">RawFinancials!N160</f>
        <v>53838</v>
      </c>
      <c r="N160" s="13" t="n">
        <f aca="false">RawFinancials!X160</f>
        <v>1.35938068951454</v>
      </c>
      <c r="O160" s="13" t="n">
        <f aca="false">RawFinancials!V160</f>
        <v>0</v>
      </c>
      <c r="P160" s="13" t="n">
        <f aca="false">IF(AND(ISNUMBER(L160),L160&lt;&gt;0,ISNUMBER(M160)),100*M160/L160,"")</f>
        <v>85.8783557448438</v>
      </c>
      <c r="Q160" s="13" t="n">
        <f aca="false">IF(AND(ISNUMBER(F160),F160&lt;&gt;0,ISNUMBER(K160)),100*K160/F160,"")</f>
        <v>9.69783352337514</v>
      </c>
      <c r="R160" s="11" t="b">
        <f aca="false">AND(ISNUMBER(F160),F160&gt;0,ISNUMBER(G160),G160&gt;=0,ISNUMBER(H160),H160&gt;=0)</f>
        <v>1</v>
      </c>
      <c r="S160" s="13" t="n">
        <f aca="false">IF(R160,100*I160/F160,"")</f>
        <v>0.76054732041049</v>
      </c>
      <c r="T160" s="11" t="b">
        <f aca="false">NOT(AND(OR(AND(ISBLANK(RawFinancials!B160),ISBLANK(_RawBaseline!B157)),AND(ISNUMBER(RawFinancials!B160),ISNUMBER(_RawBaseline!B157),RawFinancials!B160=_RawBaseline!B157)),OR(AND(ISBLANK(RawFinancials!U160),ISBLANK(_RawBaseline!U157)),AND(ISNUMBER(RawFinancials!U160),ISNUMBER(_RawBaseline!U157),RawFinancials!U160=_RawBaseline!U157)),OR(AND(ISBLANK(RawFinancials!O160),ISBLANK(_RawBaseline!O157)),AND(ISNUMBER(RawFinancials!O160),ISNUMBER(_RawBaseline!O157),RawFinancials!O160=_RawBaseline!O157))))</f>
        <v>0</v>
      </c>
      <c r="U160" s="13" t="n">
        <f aca="false">IF(AND(D160=WF_START_PERIOD,R160,COUNTIFS($B$5:$B$750,B160,$D$5:$D$750,WF_END_PERIOD,$R$5:$R$750,TRUE())&gt;0),SUMIFS($S$5:$S$750,$B$5:$B$750,B160,$D$5:$D$750,WF_END_PERIOD,$R$5:$R$750,TRUE()),0)</f>
        <v>0</v>
      </c>
      <c r="V160" s="0" t="str">
        <f aca="false">IF(AND(D160=WF_START_PERIOD,COUNTIFS($B$5:$B$750,B160,$D$5:$D$750,WF_END_PERIOD)&gt;0),INDEX($E$5:$E$750,MATCH(B160&amp;"|"&amp;WF_END_PERIOD,$AC$5:$AC$750,0)),"")</f>
        <v/>
      </c>
      <c r="W160" s="11" t="b">
        <f aca="false">COUNTIFS($B$5:$B$750,B160,$D$5:$D$750,WF_START_PERIOD,$R$5:$R$750,TRUE())&gt;0</f>
        <v>1</v>
      </c>
      <c r="X160" s="11" t="b">
        <f aca="false">COUNTIFS($B$5:$B$750,B160,$D$5:$D$750,WF_END_PERIOD,$R$5:$R$750,TRUE())&gt;0</f>
        <v>1</v>
      </c>
      <c r="Y160" s="0" t="str">
        <f aca="false">IF(AND(D160=WF_END_PERIOD,COUNTIFS($B$5:$B$750,B160,$D$5:$D$750,WF_START_PERIOD)&gt;0),INDEX($E$5:$E$750,MATCH(B160&amp;"|"&amp;WF_START_PERIOD,$AC$5:$AC$750,0)),"")</f>
        <v/>
      </c>
      <c r="Z160" s="0" t="str">
        <f aca="false">IF(AND(D160=WF_END_PERIOD,R160),1+COUNTIFS($D$5:$D$750,WF_END_PERIOD,$E$5:$E$750,E160,$R$5:$R$750,TRUE(),$S$5:$S$750,"&gt;"&amp;S160)+COUNTIFS($D$5:$D$750,WF_END_PERIOD,$E$5:$E$750,E160,$R$5:$R$750,TRUE(),$S$5:$S$750,S160,$B$5:$B$750,"&lt;"&amp;B160),"")</f>
        <v/>
      </c>
      <c r="AA160" s="0" t="str">
        <f aca="false">IF(AND(D160=WF_END_PERIOD,R160,Z160&lt;&gt;1),1+COUNTIFS($D$5:$D$750,WF_END_PERIOD,$R$5:$R$750,TRUE(),$Z$5:$Z$750,"&lt;&gt;1",$S$5:$S$750,"&gt;"&amp;S160)+COUNTIFS($D$5:$D$750,WF_END_PERIOD,$R$5:$R$750,TRUE(),$Z$5:$Z$750,"&lt;&gt;1",$S$5:$S$750,S160,$B$5:$B$750,"&lt;"&amp;B160),"")</f>
        <v/>
      </c>
      <c r="AB160" s="11" t="b">
        <f aca="false">OR(D160=WF_START_PERIOD,D160=WF_END_PERIOD)</f>
        <v>0</v>
      </c>
      <c r="AC160" s="0" t="str">
        <f aca="false">B160&amp;"|"&amp;D160</f>
        <v>6280|20220930</v>
      </c>
    </row>
    <row r="161" customFormat="false" ht="15" hidden="false" customHeight="false" outlineLevel="0" collapsed="false">
      <c r="A161" s="0" t="n">
        <f aca="false">RawFinancials!A161</f>
        <v>158</v>
      </c>
      <c r="B161" s="0" t="n">
        <f aca="false">RawFinancials!C161</f>
        <v>11971</v>
      </c>
      <c r="C161" s="0" t="str">
        <f aca="false">RawFinancials!P161</f>
        <v>BAR HARBOR BANK &amp; TRUST</v>
      </c>
      <c r="D161" s="0" t="n">
        <f aca="false">RawFinancials!W161</f>
        <v>20221231</v>
      </c>
      <c r="E161" s="0" t="str">
        <f aca="false">RawFinancials!Z161</f>
        <v>ME</v>
      </c>
      <c r="F161" s="0" t="n">
        <f aca="false">RawFinancials!B161</f>
        <v>3906943</v>
      </c>
      <c r="G161" s="0" t="n">
        <f aca="false">RawFinancials!U161</f>
        <v>216</v>
      </c>
      <c r="H161" s="0" t="n">
        <f aca="false">RawFinancials!O161</f>
        <v>6548</v>
      </c>
      <c r="I161" s="0" t="n">
        <f aca="false">IF(AND(ISNUMBER(G161),ISNUMBER(H161)),G161+H161,"")</f>
        <v>6764</v>
      </c>
      <c r="J161" s="0" t="n">
        <f aca="false">RawFinancials!D161</f>
        <v>3050819</v>
      </c>
      <c r="K161" s="0" t="n">
        <f aca="false">RawFinancials!F161</f>
        <v>447316</v>
      </c>
      <c r="L161" s="0" t="n">
        <f aca="false">RawFinancials!L161</f>
        <v>2902690</v>
      </c>
      <c r="M161" s="0" t="n">
        <f aca="false">RawFinancials!N161</f>
        <v>2554897</v>
      </c>
      <c r="N161" s="13" t="n">
        <f aca="false">RawFinancials!X161</f>
        <v>1.30045350644</v>
      </c>
      <c r="O161" s="13" t="n">
        <f aca="false">RawFinancials!V161</f>
        <v>13.2911679611455</v>
      </c>
      <c r="P161" s="13" t="n">
        <f aca="false">IF(AND(ISNUMBER(L161),L161&lt;&gt;0,ISNUMBER(M161)),100*M161/L161,"")</f>
        <v>88.0182520351812</v>
      </c>
      <c r="Q161" s="13" t="n">
        <f aca="false">IF(AND(ISNUMBER(F161),F161&lt;&gt;0,ISNUMBER(K161)),100*K161/F161,"")</f>
        <v>11.449258409964</v>
      </c>
      <c r="R161" s="11" t="b">
        <f aca="false">AND(ISNUMBER(F161),F161&gt;0,ISNUMBER(G161),G161&gt;=0,ISNUMBER(H161),H161&gt;=0)</f>
        <v>1</v>
      </c>
      <c r="S161" s="13" t="n">
        <f aca="false">IF(R161,100*I161/F161,"")</f>
        <v>0.173127685763524</v>
      </c>
      <c r="T161" s="11" t="b">
        <f aca="false">NOT(AND(OR(AND(ISBLANK(RawFinancials!B161),ISBLANK(_RawBaseline!B158)),AND(ISNUMBER(RawFinancials!B161),ISNUMBER(_RawBaseline!B158),RawFinancials!B161=_RawBaseline!B158)),OR(AND(ISBLANK(RawFinancials!U161),ISBLANK(_RawBaseline!U158)),AND(ISNUMBER(RawFinancials!U161),ISNUMBER(_RawBaseline!U158),RawFinancials!U161=_RawBaseline!U158)),OR(AND(ISBLANK(RawFinancials!O161),ISBLANK(_RawBaseline!O158)),AND(ISNUMBER(RawFinancials!O161),ISNUMBER(_RawBaseline!O158),RawFinancials!O161=_RawBaseline!O158))))</f>
        <v>0</v>
      </c>
      <c r="U161" s="13" t="n">
        <f aca="false">IF(AND(D161=WF_START_PERIOD,R161,COUNTIFS($B$5:$B$750,B161,$D$5:$D$750,WF_END_PERIOD,$R$5:$R$750,TRUE())&gt;0),SUMIFS($S$5:$S$750,$B$5:$B$750,B161,$D$5:$D$750,WF_END_PERIOD,$R$5:$R$750,TRUE()),0)</f>
        <v>0</v>
      </c>
      <c r="V161" s="0" t="str">
        <f aca="false">IF(AND(D161=WF_START_PERIOD,COUNTIFS($B$5:$B$750,B161,$D$5:$D$750,WF_END_PERIOD)&gt;0),INDEX($E$5:$E$750,MATCH(B161&amp;"|"&amp;WF_END_PERIOD,$AC$5:$AC$750,0)),"")</f>
        <v/>
      </c>
      <c r="W161" s="11" t="b">
        <f aca="false">COUNTIFS($B$5:$B$750,B161,$D$5:$D$750,WF_START_PERIOD,$R$5:$R$750,TRUE())&gt;0</f>
        <v>1</v>
      </c>
      <c r="X161" s="11" t="b">
        <f aca="false">COUNTIFS($B$5:$B$750,B161,$D$5:$D$750,WF_END_PERIOD,$R$5:$R$750,TRUE())&gt;0</f>
        <v>1</v>
      </c>
      <c r="Y161" s="0" t="str">
        <f aca="false">IF(AND(D161=WF_END_PERIOD,COUNTIFS($B$5:$B$750,B161,$D$5:$D$750,WF_START_PERIOD)&gt;0),INDEX($E$5:$E$750,MATCH(B161&amp;"|"&amp;WF_START_PERIOD,$AC$5:$AC$750,0)),"")</f>
        <v/>
      </c>
      <c r="Z161" s="0" t="str">
        <f aca="false">IF(AND(D161=WF_END_PERIOD,R161),1+COUNTIFS($D$5:$D$750,WF_END_PERIOD,$E$5:$E$750,E161,$R$5:$R$750,TRUE(),$S$5:$S$750,"&gt;"&amp;S161)+COUNTIFS($D$5:$D$750,WF_END_PERIOD,$E$5:$E$750,E161,$R$5:$R$750,TRUE(),$S$5:$S$750,S161,$B$5:$B$750,"&lt;"&amp;B161),"")</f>
        <v/>
      </c>
      <c r="AA161" s="0" t="str">
        <f aca="false">IF(AND(D161=WF_END_PERIOD,R161,Z161&lt;&gt;1),1+COUNTIFS($D$5:$D$750,WF_END_PERIOD,$R$5:$R$750,TRUE(),$Z$5:$Z$750,"&lt;&gt;1",$S$5:$S$750,"&gt;"&amp;S161)+COUNTIFS($D$5:$D$750,WF_END_PERIOD,$R$5:$R$750,TRUE(),$Z$5:$Z$750,"&lt;&gt;1",$S$5:$S$750,S161,$B$5:$B$750,"&lt;"&amp;B161),"")</f>
        <v/>
      </c>
      <c r="AB161" s="11" t="b">
        <f aca="false">OR(D161=WF_START_PERIOD,D161=WF_END_PERIOD)</f>
        <v>0</v>
      </c>
      <c r="AC161" s="0" t="str">
        <f aca="false">B161&amp;"|"&amp;D161</f>
        <v>11971|20221231</v>
      </c>
    </row>
    <row r="162" customFormat="false" ht="15" hidden="false" customHeight="false" outlineLevel="0" collapsed="false">
      <c r="A162" s="0" t="n">
        <f aca="false">RawFinancials!A162</f>
        <v>159</v>
      </c>
      <c r="B162" s="0" t="n">
        <f aca="false">RawFinancials!C162</f>
        <v>12874</v>
      </c>
      <c r="C162" s="0" t="str">
        <f aca="false">RawFinancials!P162</f>
        <v>KATAHDIN TRUST COMPANY</v>
      </c>
      <c r="D162" s="0" t="n">
        <f aca="false">RawFinancials!W162</f>
        <v>20221231</v>
      </c>
      <c r="E162" s="0" t="str">
        <f aca="false">RawFinancials!Z162</f>
        <v>ME</v>
      </c>
      <c r="F162" s="0" t="n">
        <f aca="false">RawFinancials!B162</f>
        <v>981838</v>
      </c>
      <c r="G162" s="0" t="n">
        <f aca="false">RawFinancials!U162</f>
        <v>0</v>
      </c>
      <c r="H162" s="0" t="n">
        <f aca="false">RawFinancials!O162</f>
        <v>505</v>
      </c>
      <c r="I162" s="0" t="n">
        <f aca="false">IF(AND(ISNUMBER(G162),ISNUMBER(H162)),G162+H162,"")</f>
        <v>505</v>
      </c>
      <c r="J162" s="0" t="n">
        <f aca="false">RawFinancials!D162</f>
        <v>861068</v>
      </c>
      <c r="K162" s="0" t="n">
        <f aca="false">RawFinancials!F162</f>
        <v>97187</v>
      </c>
      <c r="L162" s="0" t="n">
        <f aca="false">RawFinancials!L162</f>
        <v>749622</v>
      </c>
      <c r="M162" s="0" t="n">
        <f aca="false">RawFinancials!N162</f>
        <v>599821</v>
      </c>
      <c r="N162" s="13" t="n">
        <f aca="false">RawFinancials!X162</f>
        <v>1.09464857855594</v>
      </c>
      <c r="O162" s="13" t="n">
        <f aca="false">RawFinancials!V162</f>
        <v>15.4509262729079</v>
      </c>
      <c r="P162" s="13" t="n">
        <f aca="false">IF(AND(ISNUMBER(L162),L162&lt;&gt;0,ISNUMBER(M162)),100*M162/L162,"")</f>
        <v>80.0164616299949</v>
      </c>
      <c r="Q162" s="13" t="n">
        <f aca="false">IF(AND(ISNUMBER(F162),F162&lt;&gt;0,ISNUMBER(K162)),100*K162/F162,"")</f>
        <v>9.89847612335232</v>
      </c>
      <c r="R162" s="11" t="b">
        <f aca="false">AND(ISNUMBER(F162),F162&gt;0,ISNUMBER(G162),G162&gt;=0,ISNUMBER(H162),H162&gt;=0)</f>
        <v>1</v>
      </c>
      <c r="S162" s="13" t="n">
        <f aca="false">IF(R162,100*I162/F162,"")</f>
        <v>0.0514341469774036</v>
      </c>
      <c r="T162" s="11" t="b">
        <f aca="false">NOT(AND(OR(AND(ISBLANK(RawFinancials!B162),ISBLANK(_RawBaseline!B159)),AND(ISNUMBER(RawFinancials!B162),ISNUMBER(_RawBaseline!B159),RawFinancials!B162=_RawBaseline!B159)),OR(AND(ISBLANK(RawFinancials!U162),ISBLANK(_RawBaseline!U159)),AND(ISNUMBER(RawFinancials!U162),ISNUMBER(_RawBaseline!U159),RawFinancials!U162=_RawBaseline!U159)),OR(AND(ISBLANK(RawFinancials!O162),ISBLANK(_RawBaseline!O159)),AND(ISNUMBER(RawFinancials!O162),ISNUMBER(_RawBaseline!O159),RawFinancials!O162=_RawBaseline!O159))))</f>
        <v>0</v>
      </c>
      <c r="U162" s="13" t="n">
        <f aca="false">IF(AND(D162=WF_START_PERIOD,R162,COUNTIFS($B$5:$B$750,B162,$D$5:$D$750,WF_END_PERIOD,$R$5:$R$750,TRUE())&gt;0),SUMIFS($S$5:$S$750,$B$5:$B$750,B162,$D$5:$D$750,WF_END_PERIOD,$R$5:$R$750,TRUE()),0)</f>
        <v>0</v>
      </c>
      <c r="V162" s="0" t="str">
        <f aca="false">IF(AND(D162=WF_START_PERIOD,COUNTIFS($B$5:$B$750,B162,$D$5:$D$750,WF_END_PERIOD)&gt;0),INDEX($E$5:$E$750,MATCH(B162&amp;"|"&amp;WF_END_PERIOD,$AC$5:$AC$750,0)),"")</f>
        <v/>
      </c>
      <c r="W162" s="11" t="b">
        <f aca="false">COUNTIFS($B$5:$B$750,B162,$D$5:$D$750,WF_START_PERIOD,$R$5:$R$750,TRUE())&gt;0</f>
        <v>1</v>
      </c>
      <c r="X162" s="11" t="b">
        <f aca="false">COUNTIFS($B$5:$B$750,B162,$D$5:$D$750,WF_END_PERIOD,$R$5:$R$750,TRUE())&gt;0</f>
        <v>1</v>
      </c>
      <c r="Y162" s="0" t="str">
        <f aca="false">IF(AND(D162=WF_END_PERIOD,COUNTIFS($B$5:$B$750,B162,$D$5:$D$750,WF_START_PERIOD)&gt;0),INDEX($E$5:$E$750,MATCH(B162&amp;"|"&amp;WF_START_PERIOD,$AC$5:$AC$750,0)),"")</f>
        <v/>
      </c>
      <c r="Z162" s="0" t="str">
        <f aca="false">IF(AND(D162=WF_END_PERIOD,R162),1+COUNTIFS($D$5:$D$750,WF_END_PERIOD,$E$5:$E$750,E162,$R$5:$R$750,TRUE(),$S$5:$S$750,"&gt;"&amp;S162)+COUNTIFS($D$5:$D$750,WF_END_PERIOD,$E$5:$E$750,E162,$R$5:$R$750,TRUE(),$S$5:$S$750,S162,$B$5:$B$750,"&lt;"&amp;B162),"")</f>
        <v/>
      </c>
      <c r="AA162" s="0" t="str">
        <f aca="false">IF(AND(D162=WF_END_PERIOD,R162,Z162&lt;&gt;1),1+COUNTIFS($D$5:$D$750,WF_END_PERIOD,$R$5:$R$750,TRUE(),$Z$5:$Z$750,"&lt;&gt;1",$S$5:$S$750,"&gt;"&amp;S162)+COUNTIFS($D$5:$D$750,WF_END_PERIOD,$R$5:$R$750,TRUE(),$Z$5:$Z$750,"&lt;&gt;1",$S$5:$S$750,S162,$B$5:$B$750,"&lt;"&amp;B162),"")</f>
        <v/>
      </c>
      <c r="AB162" s="11" t="b">
        <f aca="false">OR(D162=WF_START_PERIOD,D162=WF_END_PERIOD)</f>
        <v>0</v>
      </c>
      <c r="AC162" s="0" t="str">
        <f aca="false">B162&amp;"|"&amp;D162</f>
        <v>12874|20221231</v>
      </c>
    </row>
    <row r="163" customFormat="false" ht="15" hidden="false" customHeight="false" outlineLevel="0" collapsed="false">
      <c r="A163" s="0" t="n">
        <f aca="false">RawFinancials!A163</f>
        <v>160</v>
      </c>
      <c r="B163" s="0" t="n">
        <f aca="false">RawFinancials!C163</f>
        <v>13063</v>
      </c>
      <c r="C163" s="0" t="str">
        <f aca="false">RawFinancials!P163</f>
        <v>KENNEBUNK SAVINGS BANK</v>
      </c>
      <c r="D163" s="0" t="n">
        <f aca="false">RawFinancials!W163</f>
        <v>20221231</v>
      </c>
      <c r="E163" s="0" t="str">
        <f aca="false">RawFinancials!Z163</f>
        <v>ME</v>
      </c>
      <c r="F163" s="0" t="n">
        <f aca="false">RawFinancials!B163</f>
        <v>1843469</v>
      </c>
      <c r="G163" s="0" t="n">
        <f aca="false">RawFinancials!U163</f>
        <v>746</v>
      </c>
      <c r="H163" s="0" t="n">
        <f aca="false">RawFinancials!O163</f>
        <v>528</v>
      </c>
      <c r="I163" s="0" t="n">
        <f aca="false">IF(AND(ISNUMBER(G163),ISNUMBER(H163)),G163+H163,"")</f>
        <v>1274</v>
      </c>
      <c r="J163" s="0" t="n">
        <f aca="false">RawFinancials!D163</f>
        <v>1640586</v>
      </c>
      <c r="K163" s="0" t="n">
        <f aca="false">RawFinancials!F163</f>
        <v>136120</v>
      </c>
      <c r="L163" s="0" t="n">
        <f aca="false">RawFinancials!L163</f>
        <v>1335612</v>
      </c>
      <c r="M163" s="0" t="n">
        <f aca="false">RawFinancials!N163</f>
        <v>1281066</v>
      </c>
      <c r="N163" s="13" t="n">
        <f aca="false">RawFinancials!X163</f>
        <v>0.74485484313953</v>
      </c>
      <c r="O163" s="13" t="n">
        <f aca="false">RawFinancials!V163</f>
        <v>0</v>
      </c>
      <c r="P163" s="13" t="n">
        <f aca="false">IF(AND(ISNUMBER(L163),L163&lt;&gt;0,ISNUMBER(M163)),100*M163/L163,"")</f>
        <v>95.916029505575</v>
      </c>
      <c r="Q163" s="13" t="n">
        <f aca="false">IF(AND(ISNUMBER(F163),F163&lt;&gt;0,ISNUMBER(K163)),100*K163/F163,"")</f>
        <v>7.3839050182021</v>
      </c>
      <c r="R163" s="11" t="b">
        <f aca="false">AND(ISNUMBER(F163),F163&gt;0,ISNUMBER(G163),G163&gt;=0,ISNUMBER(H163),H163&gt;=0)</f>
        <v>1</v>
      </c>
      <c r="S163" s="13" t="n">
        <f aca="false">IF(R163,100*I163/F163,"")</f>
        <v>0.0691088377401519</v>
      </c>
      <c r="T163" s="11" t="b">
        <f aca="false">NOT(AND(OR(AND(ISBLANK(RawFinancials!B163),ISBLANK(_RawBaseline!B160)),AND(ISNUMBER(RawFinancials!B163),ISNUMBER(_RawBaseline!B160),RawFinancials!B163=_RawBaseline!B160)),OR(AND(ISBLANK(RawFinancials!U163),ISBLANK(_RawBaseline!U160)),AND(ISNUMBER(RawFinancials!U163),ISNUMBER(_RawBaseline!U160),RawFinancials!U163=_RawBaseline!U160)),OR(AND(ISBLANK(RawFinancials!O163),ISBLANK(_RawBaseline!O160)),AND(ISNUMBER(RawFinancials!O163),ISNUMBER(_RawBaseline!O160),RawFinancials!O163=_RawBaseline!O160))))</f>
        <v>0</v>
      </c>
      <c r="U163" s="13" t="n">
        <f aca="false">IF(AND(D163=WF_START_PERIOD,R163,COUNTIFS($B$5:$B$750,B163,$D$5:$D$750,WF_END_PERIOD,$R$5:$R$750,TRUE())&gt;0),SUMIFS($S$5:$S$750,$B$5:$B$750,B163,$D$5:$D$750,WF_END_PERIOD,$R$5:$R$750,TRUE()),0)</f>
        <v>0</v>
      </c>
      <c r="V163" s="0" t="str">
        <f aca="false">IF(AND(D163=WF_START_PERIOD,COUNTIFS($B$5:$B$750,B163,$D$5:$D$750,WF_END_PERIOD)&gt;0),INDEX($E$5:$E$750,MATCH(B163&amp;"|"&amp;WF_END_PERIOD,$AC$5:$AC$750,0)),"")</f>
        <v/>
      </c>
      <c r="W163" s="11" t="b">
        <f aca="false">COUNTIFS($B$5:$B$750,B163,$D$5:$D$750,WF_START_PERIOD,$R$5:$R$750,TRUE())&gt;0</f>
        <v>1</v>
      </c>
      <c r="X163" s="11" t="b">
        <f aca="false">COUNTIFS($B$5:$B$750,B163,$D$5:$D$750,WF_END_PERIOD,$R$5:$R$750,TRUE())&gt;0</f>
        <v>1</v>
      </c>
      <c r="Y163" s="0" t="str">
        <f aca="false">IF(AND(D163=WF_END_PERIOD,COUNTIFS($B$5:$B$750,B163,$D$5:$D$750,WF_START_PERIOD)&gt;0),INDEX($E$5:$E$750,MATCH(B163&amp;"|"&amp;WF_START_PERIOD,$AC$5:$AC$750,0)),"")</f>
        <v/>
      </c>
      <c r="Z163" s="0" t="str">
        <f aca="false">IF(AND(D163=WF_END_PERIOD,R163),1+COUNTIFS($D$5:$D$750,WF_END_PERIOD,$E$5:$E$750,E163,$R$5:$R$750,TRUE(),$S$5:$S$750,"&gt;"&amp;S163)+COUNTIFS($D$5:$D$750,WF_END_PERIOD,$E$5:$E$750,E163,$R$5:$R$750,TRUE(),$S$5:$S$750,S163,$B$5:$B$750,"&lt;"&amp;B163),"")</f>
        <v/>
      </c>
      <c r="AA163" s="0" t="str">
        <f aca="false">IF(AND(D163=WF_END_PERIOD,R163,Z163&lt;&gt;1),1+COUNTIFS($D$5:$D$750,WF_END_PERIOD,$R$5:$R$750,TRUE(),$Z$5:$Z$750,"&lt;&gt;1",$S$5:$S$750,"&gt;"&amp;S163)+COUNTIFS($D$5:$D$750,WF_END_PERIOD,$R$5:$R$750,TRUE(),$Z$5:$Z$750,"&lt;&gt;1",$S$5:$S$750,S163,$B$5:$B$750,"&lt;"&amp;B163),"")</f>
        <v/>
      </c>
      <c r="AB163" s="11" t="b">
        <f aca="false">OR(D163=WF_START_PERIOD,D163=WF_END_PERIOD)</f>
        <v>0</v>
      </c>
      <c r="AC163" s="0" t="str">
        <f aca="false">B163&amp;"|"&amp;D163</f>
        <v>13063|20221231</v>
      </c>
    </row>
    <row r="164" customFormat="false" ht="15" hidden="false" customHeight="false" outlineLevel="0" collapsed="false">
      <c r="A164" s="0" t="n">
        <f aca="false">RawFinancials!A164</f>
        <v>161</v>
      </c>
      <c r="B164" s="0" t="n">
        <f aca="false">RawFinancials!C164</f>
        <v>14134</v>
      </c>
      <c r="C164" s="0" t="str">
        <f aca="false">RawFinancials!P164</f>
        <v>PASSUMPSIC SAVINGS BANK</v>
      </c>
      <c r="D164" s="0" t="n">
        <f aca="false">RawFinancials!W164</f>
        <v>20221231</v>
      </c>
      <c r="E164" s="0" t="str">
        <f aca="false">RawFinancials!Z164</f>
        <v>VT</v>
      </c>
      <c r="F164" s="0" t="n">
        <f aca="false">RawFinancials!B164</f>
        <v>838127</v>
      </c>
      <c r="G164" s="0" t="n">
        <f aca="false">RawFinancials!U164</f>
        <v>0</v>
      </c>
      <c r="H164" s="0" t="n">
        <f aca="false">RawFinancials!O164</f>
        <v>12984</v>
      </c>
      <c r="I164" s="0" t="n">
        <f aca="false">IF(AND(ISNUMBER(G164),ISNUMBER(H164)),G164+H164,"")</f>
        <v>12984</v>
      </c>
      <c r="J164" s="0" t="n">
        <f aca="false">RawFinancials!D164</f>
        <v>719419</v>
      </c>
      <c r="K164" s="0" t="n">
        <f aca="false">RawFinancials!F164</f>
        <v>97584</v>
      </c>
      <c r="L164" s="0" t="n">
        <f aca="false">RawFinancials!L164</f>
        <v>618146</v>
      </c>
      <c r="M164" s="0" t="n">
        <f aca="false">RawFinancials!N164</f>
        <v>543525</v>
      </c>
      <c r="N164" s="13" t="n">
        <f aca="false">RawFinancials!X164</f>
        <v>0.221752918751043</v>
      </c>
      <c r="O164" s="13" t="n">
        <f aca="false">RawFinancials!V164</f>
        <v>18.0562778373292</v>
      </c>
      <c r="P164" s="13" t="n">
        <f aca="false">IF(AND(ISNUMBER(L164),L164&lt;&gt;0,ISNUMBER(M164)),100*M164/L164,"")</f>
        <v>87.9282564313285</v>
      </c>
      <c r="Q164" s="13" t="n">
        <f aca="false">IF(AND(ISNUMBER(F164),F164&lt;&gt;0,ISNUMBER(K164)),100*K164/F164,"")</f>
        <v>11.6431042073576</v>
      </c>
      <c r="R164" s="11" t="b">
        <f aca="false">AND(ISNUMBER(F164),F164&gt;0,ISNUMBER(G164),G164&gt;=0,ISNUMBER(H164),H164&gt;=0)</f>
        <v>1</v>
      </c>
      <c r="S164" s="13" t="n">
        <f aca="false">IF(R164,100*I164/F164,"")</f>
        <v>1.54916856275958</v>
      </c>
      <c r="T164" s="11" t="b">
        <f aca="false">NOT(AND(OR(AND(ISBLANK(RawFinancials!B164),ISBLANK(_RawBaseline!B161)),AND(ISNUMBER(RawFinancials!B164),ISNUMBER(_RawBaseline!B161),RawFinancials!B164=_RawBaseline!B161)),OR(AND(ISBLANK(RawFinancials!U164),ISBLANK(_RawBaseline!U161)),AND(ISNUMBER(RawFinancials!U164),ISNUMBER(_RawBaseline!U161),RawFinancials!U164=_RawBaseline!U161)),OR(AND(ISBLANK(RawFinancials!O164),ISBLANK(_RawBaseline!O161)),AND(ISNUMBER(RawFinancials!O164),ISNUMBER(_RawBaseline!O161),RawFinancials!O164=_RawBaseline!O161))))</f>
        <v>0</v>
      </c>
      <c r="U164" s="13" t="n">
        <f aca="false">IF(AND(D164=WF_START_PERIOD,R164,COUNTIFS($B$5:$B$750,B164,$D$5:$D$750,WF_END_PERIOD,$R$5:$R$750,TRUE())&gt;0),SUMIFS($S$5:$S$750,$B$5:$B$750,B164,$D$5:$D$750,WF_END_PERIOD,$R$5:$R$750,TRUE()),0)</f>
        <v>0</v>
      </c>
      <c r="V164" s="0" t="str">
        <f aca="false">IF(AND(D164=WF_START_PERIOD,COUNTIFS($B$5:$B$750,B164,$D$5:$D$750,WF_END_PERIOD)&gt;0),INDEX($E$5:$E$750,MATCH(B164&amp;"|"&amp;WF_END_PERIOD,$AC$5:$AC$750,0)),"")</f>
        <v/>
      </c>
      <c r="W164" s="11" t="b">
        <f aca="false">COUNTIFS($B$5:$B$750,B164,$D$5:$D$750,WF_START_PERIOD,$R$5:$R$750,TRUE())&gt;0</f>
        <v>1</v>
      </c>
      <c r="X164" s="11" t="b">
        <f aca="false">COUNTIFS($B$5:$B$750,B164,$D$5:$D$750,WF_END_PERIOD,$R$5:$R$750,TRUE())&gt;0</f>
        <v>1</v>
      </c>
      <c r="Y164" s="0" t="str">
        <f aca="false">IF(AND(D164=WF_END_PERIOD,COUNTIFS($B$5:$B$750,B164,$D$5:$D$750,WF_START_PERIOD)&gt;0),INDEX($E$5:$E$750,MATCH(B164&amp;"|"&amp;WF_START_PERIOD,$AC$5:$AC$750,0)),"")</f>
        <v/>
      </c>
      <c r="Z164" s="0" t="str">
        <f aca="false">IF(AND(D164=WF_END_PERIOD,R164),1+COUNTIFS($D$5:$D$750,WF_END_PERIOD,$E$5:$E$750,E164,$R$5:$R$750,TRUE(),$S$5:$S$750,"&gt;"&amp;S164)+COUNTIFS($D$5:$D$750,WF_END_PERIOD,$E$5:$E$750,E164,$R$5:$R$750,TRUE(),$S$5:$S$750,S164,$B$5:$B$750,"&lt;"&amp;B164),"")</f>
        <v/>
      </c>
      <c r="AA164" s="0" t="str">
        <f aca="false">IF(AND(D164=WF_END_PERIOD,R164,Z164&lt;&gt;1),1+COUNTIFS($D$5:$D$750,WF_END_PERIOD,$R$5:$R$750,TRUE(),$Z$5:$Z$750,"&lt;&gt;1",$S$5:$S$750,"&gt;"&amp;S164)+COUNTIFS($D$5:$D$750,WF_END_PERIOD,$R$5:$R$750,TRUE(),$Z$5:$Z$750,"&lt;&gt;1",$S$5:$S$750,S164,$B$5:$B$750,"&lt;"&amp;B164),"")</f>
        <v/>
      </c>
      <c r="AB164" s="11" t="b">
        <f aca="false">OR(D164=WF_START_PERIOD,D164=WF_END_PERIOD)</f>
        <v>0</v>
      </c>
      <c r="AC164" s="0" t="str">
        <f aca="false">B164&amp;"|"&amp;D164</f>
        <v>14134|20221231</v>
      </c>
    </row>
    <row r="165" customFormat="false" ht="15" hidden="false" customHeight="false" outlineLevel="0" collapsed="false">
      <c r="A165" s="0" t="n">
        <f aca="false">RawFinancials!A165</f>
        <v>162</v>
      </c>
      <c r="B165" s="0" t="n">
        <f aca="false">RawFinancials!C165</f>
        <v>14136</v>
      </c>
      <c r="C165" s="0" t="str">
        <f aca="false">RawFinancials!P165</f>
        <v>WELLS RIVER SAVINGS BANK</v>
      </c>
      <c r="D165" s="0" t="n">
        <f aca="false">RawFinancials!W165</f>
        <v>20221231</v>
      </c>
      <c r="E165" s="0" t="str">
        <f aca="false">RawFinancials!Z165</f>
        <v>VT</v>
      </c>
      <c r="F165" s="0" t="n">
        <f aca="false">RawFinancials!B165</f>
        <v>228201</v>
      </c>
      <c r="G165" s="0" t="n">
        <f aca="false">RawFinancials!U165</f>
        <v>670</v>
      </c>
      <c r="H165" s="0" t="n">
        <f aca="false">RawFinancials!O165</f>
        <v>107</v>
      </c>
      <c r="I165" s="0" t="n">
        <f aca="false">IF(AND(ISNUMBER(G165),ISNUMBER(H165)),G165+H165,"")</f>
        <v>777</v>
      </c>
      <c r="J165" s="0" t="n">
        <f aca="false">RawFinancials!D165</f>
        <v>209378</v>
      </c>
      <c r="K165" s="0" t="n">
        <f aca="false">RawFinancials!F165</f>
        <v>14622</v>
      </c>
      <c r="L165" s="0" t="n">
        <f aca="false">RawFinancials!L165</f>
        <v>139954</v>
      </c>
      <c r="M165" s="0" t="n">
        <f aca="false">RawFinancials!N165</f>
        <v>113932</v>
      </c>
      <c r="N165" s="13" t="n">
        <f aca="false">RawFinancials!X165</f>
        <v>0.464923878187269</v>
      </c>
      <c r="O165" s="13" t="n">
        <f aca="false">RawFinancials!V165</f>
        <v>17.6671209321242</v>
      </c>
      <c r="P165" s="13" t="n">
        <f aca="false">IF(AND(ISNUMBER(L165),L165&lt;&gt;0,ISNUMBER(M165)),100*M165/L165,"")</f>
        <v>81.4067479314632</v>
      </c>
      <c r="Q165" s="13" t="n">
        <f aca="false">IF(AND(ISNUMBER(F165),F165&lt;&gt;0,ISNUMBER(K165)),100*K165/F165,"")</f>
        <v>6.4075091695479</v>
      </c>
      <c r="R165" s="11" t="b">
        <f aca="false">AND(ISNUMBER(F165),F165&gt;0,ISNUMBER(G165),G165&gt;=0,ISNUMBER(H165),H165&gt;=0)</f>
        <v>1</v>
      </c>
      <c r="S165" s="13" t="n">
        <f aca="false">IF(R165,100*I165/F165,"")</f>
        <v>0.340489305480695</v>
      </c>
      <c r="T165" s="11" t="b">
        <f aca="false">NOT(AND(OR(AND(ISBLANK(RawFinancials!B165),ISBLANK(_RawBaseline!B162)),AND(ISNUMBER(RawFinancials!B165),ISNUMBER(_RawBaseline!B162),RawFinancials!B165=_RawBaseline!B162)),OR(AND(ISBLANK(RawFinancials!U165),ISBLANK(_RawBaseline!U162)),AND(ISNUMBER(RawFinancials!U165),ISNUMBER(_RawBaseline!U162),RawFinancials!U165=_RawBaseline!U162)),OR(AND(ISBLANK(RawFinancials!O165),ISBLANK(_RawBaseline!O162)),AND(ISNUMBER(RawFinancials!O165),ISNUMBER(_RawBaseline!O162),RawFinancials!O165=_RawBaseline!O162))))</f>
        <v>0</v>
      </c>
      <c r="U165" s="13" t="n">
        <f aca="false">IF(AND(D165=WF_START_PERIOD,R165,COUNTIFS($B$5:$B$750,B165,$D$5:$D$750,WF_END_PERIOD,$R$5:$R$750,TRUE())&gt;0),SUMIFS($S$5:$S$750,$B$5:$B$750,B165,$D$5:$D$750,WF_END_PERIOD,$R$5:$R$750,TRUE()),0)</f>
        <v>0</v>
      </c>
      <c r="V165" s="0" t="str">
        <f aca="false">IF(AND(D165=WF_START_PERIOD,COUNTIFS($B$5:$B$750,B165,$D$5:$D$750,WF_END_PERIOD)&gt;0),INDEX($E$5:$E$750,MATCH(B165&amp;"|"&amp;WF_END_PERIOD,$AC$5:$AC$750,0)),"")</f>
        <v/>
      </c>
      <c r="W165" s="11" t="b">
        <f aca="false">COUNTIFS($B$5:$B$750,B165,$D$5:$D$750,WF_START_PERIOD,$R$5:$R$750,TRUE())&gt;0</f>
        <v>1</v>
      </c>
      <c r="X165" s="11" t="b">
        <f aca="false">COUNTIFS($B$5:$B$750,B165,$D$5:$D$750,WF_END_PERIOD,$R$5:$R$750,TRUE())&gt;0</f>
        <v>1</v>
      </c>
      <c r="Y165" s="0" t="str">
        <f aca="false">IF(AND(D165=WF_END_PERIOD,COUNTIFS($B$5:$B$750,B165,$D$5:$D$750,WF_START_PERIOD)&gt;0),INDEX($E$5:$E$750,MATCH(B165&amp;"|"&amp;WF_START_PERIOD,$AC$5:$AC$750,0)),"")</f>
        <v/>
      </c>
      <c r="Z165" s="0" t="str">
        <f aca="false">IF(AND(D165=WF_END_PERIOD,R165),1+COUNTIFS($D$5:$D$750,WF_END_PERIOD,$E$5:$E$750,E165,$R$5:$R$750,TRUE(),$S$5:$S$750,"&gt;"&amp;S165)+COUNTIFS($D$5:$D$750,WF_END_PERIOD,$E$5:$E$750,E165,$R$5:$R$750,TRUE(),$S$5:$S$750,S165,$B$5:$B$750,"&lt;"&amp;B165),"")</f>
        <v/>
      </c>
      <c r="AA165" s="0" t="str">
        <f aca="false">IF(AND(D165=WF_END_PERIOD,R165,Z165&lt;&gt;1),1+COUNTIFS($D$5:$D$750,WF_END_PERIOD,$R$5:$R$750,TRUE(),$Z$5:$Z$750,"&lt;&gt;1",$S$5:$S$750,"&gt;"&amp;S165)+COUNTIFS($D$5:$D$750,WF_END_PERIOD,$R$5:$R$750,TRUE(),$Z$5:$Z$750,"&lt;&gt;1",$S$5:$S$750,S165,$B$5:$B$750,"&lt;"&amp;B165),"")</f>
        <v/>
      </c>
      <c r="AB165" s="11" t="b">
        <f aca="false">OR(D165=WF_START_PERIOD,D165=WF_END_PERIOD)</f>
        <v>0</v>
      </c>
      <c r="AC165" s="0" t="str">
        <f aca="false">B165&amp;"|"&amp;D165</f>
        <v>14136|20221231</v>
      </c>
    </row>
    <row r="166" customFormat="false" ht="15" hidden="false" customHeight="false" outlineLevel="0" collapsed="false">
      <c r="A166" s="0" t="n">
        <f aca="false">RawFinancials!A166</f>
        <v>163</v>
      </c>
      <c r="B166" s="0" t="n">
        <f aca="false">RawFinancials!C166</f>
        <v>14140</v>
      </c>
      <c r="C166" s="0" t="str">
        <f aca="false">RawFinancials!P166</f>
        <v>NORTHFIELD SAVINGS BANK</v>
      </c>
      <c r="D166" s="0" t="n">
        <f aca="false">RawFinancials!W166</f>
        <v>20221231</v>
      </c>
      <c r="E166" s="0" t="str">
        <f aca="false">RawFinancials!Z166</f>
        <v>VT</v>
      </c>
      <c r="F166" s="0" t="n">
        <f aca="false">RawFinancials!B166</f>
        <v>1414255</v>
      </c>
      <c r="G166" s="0" t="n">
        <f aca="false">RawFinancials!U166</f>
        <v>0</v>
      </c>
      <c r="H166" s="0" t="n">
        <f aca="false">RawFinancials!O166</f>
        <v>2462</v>
      </c>
      <c r="I166" s="0" t="n">
        <f aca="false">IF(AND(ISNUMBER(G166),ISNUMBER(H166)),G166+H166,"")</f>
        <v>2462</v>
      </c>
      <c r="J166" s="0" t="n">
        <f aca="false">RawFinancials!D166</f>
        <v>1185491</v>
      </c>
      <c r="K166" s="0" t="n">
        <f aca="false">RawFinancials!F166</f>
        <v>113940</v>
      </c>
      <c r="L166" s="0" t="n">
        <f aca="false">RawFinancials!L166</f>
        <v>973789</v>
      </c>
      <c r="M166" s="0" t="n">
        <f aca="false">RawFinancials!N166</f>
        <v>878159</v>
      </c>
      <c r="N166" s="13" t="n">
        <f aca="false">RawFinancials!X166</f>
        <v>0.706430614112242</v>
      </c>
      <c r="O166" s="13" t="n">
        <f aca="false">RawFinancials!V166</f>
        <v>0</v>
      </c>
      <c r="P166" s="13" t="n">
        <f aca="false">IF(AND(ISNUMBER(L166),L166&lt;&gt;0,ISNUMBER(M166)),100*M166/L166,"")</f>
        <v>90.1795974281903</v>
      </c>
      <c r="Q166" s="13" t="n">
        <f aca="false">IF(AND(ISNUMBER(F166),F166&lt;&gt;0,ISNUMBER(K166)),100*K166/F166,"")</f>
        <v>8.05653860159589</v>
      </c>
      <c r="R166" s="11" t="b">
        <f aca="false">AND(ISNUMBER(F166),F166&gt;0,ISNUMBER(G166),G166&gt;=0,ISNUMBER(H166),H166&gt;=0)</f>
        <v>1</v>
      </c>
      <c r="S166" s="13" t="n">
        <f aca="false">IF(R166,100*I166/F166,"")</f>
        <v>0.174084588705714</v>
      </c>
      <c r="T166" s="11" t="b">
        <f aca="false">NOT(AND(OR(AND(ISBLANK(RawFinancials!B166),ISBLANK(_RawBaseline!B163)),AND(ISNUMBER(RawFinancials!B166),ISNUMBER(_RawBaseline!B163),RawFinancials!B166=_RawBaseline!B163)),OR(AND(ISBLANK(RawFinancials!U166),ISBLANK(_RawBaseline!U163)),AND(ISNUMBER(RawFinancials!U166),ISNUMBER(_RawBaseline!U163),RawFinancials!U166=_RawBaseline!U163)),OR(AND(ISBLANK(RawFinancials!O166),ISBLANK(_RawBaseline!O163)),AND(ISNUMBER(RawFinancials!O166),ISNUMBER(_RawBaseline!O163),RawFinancials!O166=_RawBaseline!O163))))</f>
        <v>0</v>
      </c>
      <c r="U166" s="13" t="n">
        <f aca="false">IF(AND(D166=WF_START_PERIOD,R166,COUNTIFS($B$5:$B$750,B166,$D$5:$D$750,WF_END_PERIOD,$R$5:$R$750,TRUE())&gt;0),SUMIFS($S$5:$S$750,$B$5:$B$750,B166,$D$5:$D$750,WF_END_PERIOD,$R$5:$R$750,TRUE()),0)</f>
        <v>0</v>
      </c>
      <c r="V166" s="0" t="str">
        <f aca="false">IF(AND(D166=WF_START_PERIOD,COUNTIFS($B$5:$B$750,B166,$D$5:$D$750,WF_END_PERIOD)&gt;0),INDEX($E$5:$E$750,MATCH(B166&amp;"|"&amp;WF_END_PERIOD,$AC$5:$AC$750,0)),"")</f>
        <v/>
      </c>
      <c r="W166" s="11" t="b">
        <f aca="false">COUNTIFS($B$5:$B$750,B166,$D$5:$D$750,WF_START_PERIOD,$R$5:$R$750,TRUE())&gt;0</f>
        <v>1</v>
      </c>
      <c r="X166" s="11" t="b">
        <f aca="false">COUNTIFS($B$5:$B$750,B166,$D$5:$D$750,WF_END_PERIOD,$R$5:$R$750,TRUE())&gt;0</f>
        <v>1</v>
      </c>
      <c r="Y166" s="0" t="str">
        <f aca="false">IF(AND(D166=WF_END_PERIOD,COUNTIFS($B$5:$B$750,B166,$D$5:$D$750,WF_START_PERIOD)&gt;0),INDEX($E$5:$E$750,MATCH(B166&amp;"|"&amp;WF_START_PERIOD,$AC$5:$AC$750,0)),"")</f>
        <v/>
      </c>
      <c r="Z166" s="0" t="str">
        <f aca="false">IF(AND(D166=WF_END_PERIOD,R166),1+COUNTIFS($D$5:$D$750,WF_END_PERIOD,$E$5:$E$750,E166,$R$5:$R$750,TRUE(),$S$5:$S$750,"&gt;"&amp;S166)+COUNTIFS($D$5:$D$750,WF_END_PERIOD,$E$5:$E$750,E166,$R$5:$R$750,TRUE(),$S$5:$S$750,S166,$B$5:$B$750,"&lt;"&amp;B166),"")</f>
        <v/>
      </c>
      <c r="AA166" s="0" t="str">
        <f aca="false">IF(AND(D166=WF_END_PERIOD,R166,Z166&lt;&gt;1),1+COUNTIFS($D$5:$D$750,WF_END_PERIOD,$R$5:$R$750,TRUE(),$Z$5:$Z$750,"&lt;&gt;1",$S$5:$S$750,"&gt;"&amp;S166)+COUNTIFS($D$5:$D$750,WF_END_PERIOD,$R$5:$R$750,TRUE(),$Z$5:$Z$750,"&lt;&gt;1",$S$5:$S$750,S166,$B$5:$B$750,"&lt;"&amp;B166),"")</f>
        <v/>
      </c>
      <c r="AB166" s="11" t="b">
        <f aca="false">OR(D166=WF_START_PERIOD,D166=WF_END_PERIOD)</f>
        <v>0</v>
      </c>
      <c r="AC166" s="0" t="str">
        <f aca="false">B166&amp;"|"&amp;D166</f>
        <v>14140|20221231</v>
      </c>
    </row>
    <row r="167" customFormat="false" ht="15" hidden="false" customHeight="false" outlineLevel="0" collapsed="false">
      <c r="A167" s="0" t="n">
        <f aca="false">RawFinancials!A167</f>
        <v>164</v>
      </c>
      <c r="B167" s="0" t="n">
        <f aca="false">RawFinancials!C167</f>
        <v>14158</v>
      </c>
      <c r="C167" s="0" t="str">
        <f aca="false">RawFinancials!P167</f>
        <v>UNION BANK</v>
      </c>
      <c r="D167" s="0" t="n">
        <f aca="false">RawFinancials!W167</f>
        <v>20221231</v>
      </c>
      <c r="E167" s="0" t="str">
        <f aca="false">RawFinancials!Z167</f>
        <v>VT</v>
      </c>
      <c r="F167" s="0" t="n">
        <f aca="false">RawFinancials!B167</f>
        <v>1335789</v>
      </c>
      <c r="G167" s="0" t="n">
        <f aca="false">RawFinancials!U167</f>
        <v>186</v>
      </c>
      <c r="H167" s="0" t="n">
        <f aca="false">RawFinancials!O167</f>
        <v>2211</v>
      </c>
      <c r="I167" s="0" t="n">
        <f aca="false">IF(AND(ISNUMBER(G167),ISNUMBER(H167)),G167+H167,"")</f>
        <v>2397</v>
      </c>
      <c r="J167" s="0" t="n">
        <f aca="false">RawFinancials!D167</f>
        <v>1204403</v>
      </c>
      <c r="K167" s="0" t="n">
        <f aca="false">RawFinancials!F167</f>
        <v>71084</v>
      </c>
      <c r="L167" s="0" t="n">
        <f aca="false">RawFinancials!L167</f>
        <v>960671</v>
      </c>
      <c r="M167" s="0" t="n">
        <f aca="false">RawFinancials!N167</f>
        <v>824447</v>
      </c>
      <c r="N167" s="13" t="n">
        <f aca="false">RawFinancials!X167</f>
        <v>1.07564545512455</v>
      </c>
      <c r="O167" s="13" t="n">
        <f aca="false">RawFinancials!V167</f>
        <v>13.9528938577954</v>
      </c>
      <c r="P167" s="13" t="n">
        <f aca="false">IF(AND(ISNUMBER(L167),L167&lt;&gt;0,ISNUMBER(M167)),100*M167/L167,"")</f>
        <v>85.8199112911704</v>
      </c>
      <c r="Q167" s="13" t="n">
        <f aca="false">IF(AND(ISNUMBER(F167),F167&lt;&gt;0,ISNUMBER(K167)),100*K167/F167,"")</f>
        <v>5.3214991289792</v>
      </c>
      <c r="R167" s="11" t="b">
        <f aca="false">AND(ISNUMBER(F167),F167&gt;0,ISNUMBER(G167),G167&gt;=0,ISNUMBER(H167),H167&gt;=0)</f>
        <v>1</v>
      </c>
      <c r="S167" s="13" t="n">
        <f aca="false">IF(R167,100*I167/F167,"")</f>
        <v>0.179444508077249</v>
      </c>
      <c r="T167" s="11" t="b">
        <f aca="false">NOT(AND(OR(AND(ISBLANK(RawFinancials!B167),ISBLANK(_RawBaseline!B164)),AND(ISNUMBER(RawFinancials!B167),ISNUMBER(_RawBaseline!B164),RawFinancials!B167=_RawBaseline!B164)),OR(AND(ISBLANK(RawFinancials!U167),ISBLANK(_RawBaseline!U164)),AND(ISNUMBER(RawFinancials!U167),ISNUMBER(_RawBaseline!U164),RawFinancials!U167=_RawBaseline!U164)),OR(AND(ISBLANK(RawFinancials!O167),ISBLANK(_RawBaseline!O164)),AND(ISNUMBER(RawFinancials!O167),ISNUMBER(_RawBaseline!O164),RawFinancials!O167=_RawBaseline!O164))))</f>
        <v>0</v>
      </c>
      <c r="U167" s="13" t="n">
        <f aca="false">IF(AND(D167=WF_START_PERIOD,R167,COUNTIFS($B$5:$B$750,B167,$D$5:$D$750,WF_END_PERIOD,$R$5:$R$750,TRUE())&gt;0),SUMIFS($S$5:$S$750,$B$5:$B$750,B167,$D$5:$D$750,WF_END_PERIOD,$R$5:$R$750,TRUE()),0)</f>
        <v>0</v>
      </c>
      <c r="V167" s="0" t="str">
        <f aca="false">IF(AND(D167=WF_START_PERIOD,COUNTIFS($B$5:$B$750,B167,$D$5:$D$750,WF_END_PERIOD)&gt;0),INDEX($E$5:$E$750,MATCH(B167&amp;"|"&amp;WF_END_PERIOD,$AC$5:$AC$750,0)),"")</f>
        <v/>
      </c>
      <c r="W167" s="11" t="b">
        <f aca="false">COUNTIFS($B$5:$B$750,B167,$D$5:$D$750,WF_START_PERIOD,$R$5:$R$750,TRUE())&gt;0</f>
        <v>1</v>
      </c>
      <c r="X167" s="11" t="b">
        <f aca="false">COUNTIFS($B$5:$B$750,B167,$D$5:$D$750,WF_END_PERIOD,$R$5:$R$750,TRUE())&gt;0</f>
        <v>1</v>
      </c>
      <c r="Y167" s="0" t="str">
        <f aca="false">IF(AND(D167=WF_END_PERIOD,COUNTIFS($B$5:$B$750,B167,$D$5:$D$750,WF_START_PERIOD)&gt;0),INDEX($E$5:$E$750,MATCH(B167&amp;"|"&amp;WF_START_PERIOD,$AC$5:$AC$750,0)),"")</f>
        <v/>
      </c>
      <c r="Z167" s="0" t="str">
        <f aca="false">IF(AND(D167=WF_END_PERIOD,R167),1+COUNTIFS($D$5:$D$750,WF_END_PERIOD,$E$5:$E$750,E167,$R$5:$R$750,TRUE(),$S$5:$S$750,"&gt;"&amp;S167)+COUNTIFS($D$5:$D$750,WF_END_PERIOD,$E$5:$E$750,E167,$R$5:$R$750,TRUE(),$S$5:$S$750,S167,$B$5:$B$750,"&lt;"&amp;B167),"")</f>
        <v/>
      </c>
      <c r="AA167" s="0" t="str">
        <f aca="false">IF(AND(D167=WF_END_PERIOD,R167,Z167&lt;&gt;1),1+COUNTIFS($D$5:$D$750,WF_END_PERIOD,$R$5:$R$750,TRUE(),$Z$5:$Z$750,"&lt;&gt;1",$S$5:$S$750,"&gt;"&amp;S167)+COUNTIFS($D$5:$D$750,WF_END_PERIOD,$R$5:$R$750,TRUE(),$Z$5:$Z$750,"&lt;&gt;1",$S$5:$S$750,S167,$B$5:$B$750,"&lt;"&amp;B167),"")</f>
        <v/>
      </c>
      <c r="AB167" s="11" t="b">
        <f aca="false">OR(D167=WF_START_PERIOD,D167=WF_END_PERIOD)</f>
        <v>0</v>
      </c>
      <c r="AC167" s="0" t="str">
        <f aca="false">B167&amp;"|"&amp;D167</f>
        <v>14158|20221231</v>
      </c>
    </row>
    <row r="168" customFormat="false" ht="15" hidden="false" customHeight="false" outlineLevel="0" collapsed="false">
      <c r="A168" s="0" t="n">
        <f aca="false">RawFinancials!A168</f>
        <v>165</v>
      </c>
      <c r="B168" s="0" t="n">
        <f aca="false">RawFinancials!C168</f>
        <v>14168</v>
      </c>
      <c r="C168" s="0" t="str">
        <f aca="false">RawFinancials!P168</f>
        <v>PEOPLES TRUST COMPANY OF ST. ALBANS</v>
      </c>
      <c r="D168" s="0" t="n">
        <f aca="false">RawFinancials!W168</f>
        <v>20221231</v>
      </c>
      <c r="E168" s="0" t="str">
        <f aca="false">RawFinancials!Z168</f>
        <v>VT</v>
      </c>
      <c r="F168" s="0" t="n">
        <f aca="false">RawFinancials!B168</f>
        <v>368796</v>
      </c>
      <c r="G168" s="0" t="n">
        <f aca="false">RawFinancials!U168</f>
        <v>0</v>
      </c>
      <c r="H168" s="0" t="n">
        <f aca="false">RawFinancials!O168</f>
        <v>1146</v>
      </c>
      <c r="I168" s="0" t="n">
        <f aca="false">IF(AND(ISNUMBER(G168),ISNUMBER(H168)),G168+H168,"")</f>
        <v>1146</v>
      </c>
      <c r="J168" s="0" t="n">
        <f aca="false">RawFinancials!D168</f>
        <v>332153</v>
      </c>
      <c r="K168" s="0" t="n">
        <f aca="false">RawFinancials!F168</f>
        <v>31831</v>
      </c>
      <c r="L168" s="0" t="n">
        <f aca="false">RawFinancials!L168</f>
        <v>208925</v>
      </c>
      <c r="M168" s="0" t="n">
        <f aca="false">RawFinancials!N168</f>
        <v>173273</v>
      </c>
      <c r="N168" s="13" t="n">
        <f aca="false">RawFinancials!X168</f>
        <v>0.554974035143356</v>
      </c>
      <c r="O168" s="13" t="n">
        <f aca="false">RawFinancials!V168</f>
        <v>18.3394750971745</v>
      </c>
      <c r="P168" s="13" t="n">
        <f aca="false">IF(AND(ISNUMBER(L168),L168&lt;&gt;0,ISNUMBER(M168)),100*M168/L168,"")</f>
        <v>82.9355031709944</v>
      </c>
      <c r="Q168" s="13" t="n">
        <f aca="false">IF(AND(ISNUMBER(F168),F168&lt;&gt;0,ISNUMBER(K168)),100*K168/F168,"")</f>
        <v>8.6310589051942</v>
      </c>
      <c r="R168" s="11" t="b">
        <f aca="false">AND(ISNUMBER(F168),F168&gt;0,ISNUMBER(G168),G168&gt;=0,ISNUMBER(H168),H168&gt;=0)</f>
        <v>1</v>
      </c>
      <c r="S168" s="13" t="n">
        <f aca="false">IF(R168,100*I168/F168,"")</f>
        <v>0.310740897406696</v>
      </c>
      <c r="T168" s="11" t="b">
        <f aca="false">NOT(AND(OR(AND(ISBLANK(RawFinancials!B168),ISBLANK(_RawBaseline!B165)),AND(ISNUMBER(RawFinancials!B168),ISNUMBER(_RawBaseline!B165),RawFinancials!B168=_RawBaseline!B165)),OR(AND(ISBLANK(RawFinancials!U168),ISBLANK(_RawBaseline!U165)),AND(ISNUMBER(RawFinancials!U168),ISNUMBER(_RawBaseline!U165),RawFinancials!U168=_RawBaseline!U165)),OR(AND(ISBLANK(RawFinancials!O168),ISBLANK(_RawBaseline!O165)),AND(ISNUMBER(RawFinancials!O168),ISNUMBER(_RawBaseline!O165),RawFinancials!O168=_RawBaseline!O165))))</f>
        <v>0</v>
      </c>
      <c r="U168" s="13" t="n">
        <f aca="false">IF(AND(D168=WF_START_PERIOD,R168,COUNTIFS($B$5:$B$750,B168,$D$5:$D$750,WF_END_PERIOD,$R$5:$R$750,TRUE())&gt;0),SUMIFS($S$5:$S$750,$B$5:$B$750,B168,$D$5:$D$750,WF_END_PERIOD,$R$5:$R$750,TRUE()),0)</f>
        <v>0</v>
      </c>
      <c r="V168" s="0" t="str">
        <f aca="false">IF(AND(D168=WF_START_PERIOD,COUNTIFS($B$5:$B$750,B168,$D$5:$D$750,WF_END_PERIOD)&gt;0),INDEX($E$5:$E$750,MATCH(B168&amp;"|"&amp;WF_END_PERIOD,$AC$5:$AC$750,0)),"")</f>
        <v/>
      </c>
      <c r="W168" s="11" t="b">
        <f aca="false">COUNTIFS($B$5:$B$750,B168,$D$5:$D$750,WF_START_PERIOD,$R$5:$R$750,TRUE())&gt;0</f>
        <v>1</v>
      </c>
      <c r="X168" s="11" t="b">
        <f aca="false">COUNTIFS($B$5:$B$750,B168,$D$5:$D$750,WF_END_PERIOD,$R$5:$R$750,TRUE())&gt;0</f>
        <v>1</v>
      </c>
      <c r="Y168" s="0" t="str">
        <f aca="false">IF(AND(D168=WF_END_PERIOD,COUNTIFS($B$5:$B$750,B168,$D$5:$D$750,WF_START_PERIOD)&gt;0),INDEX($E$5:$E$750,MATCH(B168&amp;"|"&amp;WF_START_PERIOD,$AC$5:$AC$750,0)),"")</f>
        <v/>
      </c>
      <c r="Z168" s="0" t="str">
        <f aca="false">IF(AND(D168=WF_END_PERIOD,R168),1+COUNTIFS($D$5:$D$750,WF_END_PERIOD,$E$5:$E$750,E168,$R$5:$R$750,TRUE(),$S$5:$S$750,"&gt;"&amp;S168)+COUNTIFS($D$5:$D$750,WF_END_PERIOD,$E$5:$E$750,E168,$R$5:$R$750,TRUE(),$S$5:$S$750,S168,$B$5:$B$750,"&lt;"&amp;B168),"")</f>
        <v/>
      </c>
      <c r="AA168" s="0" t="str">
        <f aca="false">IF(AND(D168=WF_END_PERIOD,R168,Z168&lt;&gt;1),1+COUNTIFS($D$5:$D$750,WF_END_PERIOD,$R$5:$R$750,TRUE(),$Z$5:$Z$750,"&lt;&gt;1",$S$5:$S$750,"&gt;"&amp;S168)+COUNTIFS($D$5:$D$750,WF_END_PERIOD,$R$5:$R$750,TRUE(),$Z$5:$Z$750,"&lt;&gt;1",$S$5:$S$750,S168,$B$5:$B$750,"&lt;"&amp;B168),"")</f>
        <v/>
      </c>
      <c r="AB168" s="11" t="b">
        <f aca="false">OR(D168=WF_START_PERIOD,D168=WF_END_PERIOD)</f>
        <v>0</v>
      </c>
      <c r="AC168" s="0" t="str">
        <f aca="false">B168&amp;"|"&amp;D168</f>
        <v>14168|20221231</v>
      </c>
    </row>
    <row r="169" customFormat="false" ht="15" hidden="false" customHeight="false" outlineLevel="0" collapsed="false">
      <c r="A169" s="0" t="n">
        <f aca="false">RawFinancials!A169</f>
        <v>166</v>
      </c>
      <c r="B169" s="0" t="n">
        <f aca="false">RawFinancials!C169</f>
        <v>14240</v>
      </c>
      <c r="C169" s="0" t="str">
        <f aca="false">RawFinancials!P169</f>
        <v>NORTHWAY BANK</v>
      </c>
      <c r="D169" s="0" t="n">
        <f aca="false">RawFinancials!W169</f>
        <v>20221231</v>
      </c>
      <c r="E169" s="0" t="str">
        <f aca="false">RawFinancials!Z169</f>
        <v>NH</v>
      </c>
      <c r="F169" s="0" t="n">
        <f aca="false">RawFinancials!B169</f>
        <v>1297773</v>
      </c>
      <c r="G169" s="0" t="n">
        <f aca="false">RawFinancials!U169</f>
        <v>0</v>
      </c>
      <c r="H169" s="0" t="n">
        <f aca="false">RawFinancials!O169</f>
        <v>2163</v>
      </c>
      <c r="I169" s="0" t="n">
        <f aca="false">IF(AND(ISNUMBER(G169),ISNUMBER(H169)),G169+H169,"")</f>
        <v>2163</v>
      </c>
      <c r="J169" s="0" t="n">
        <f aca="false">RawFinancials!D169</f>
        <v>1070008</v>
      </c>
      <c r="K169" s="0" t="n">
        <f aca="false">RawFinancials!F169</f>
        <v>81085</v>
      </c>
      <c r="L169" s="0" t="n">
        <f aca="false">RawFinancials!L169</f>
        <v>930014</v>
      </c>
      <c r="M169" s="0" t="n">
        <f aca="false">RawFinancials!N169</f>
        <v>824710</v>
      </c>
      <c r="N169" s="13" t="n">
        <f aca="false">RawFinancials!X169</f>
        <v>0.31097349194486</v>
      </c>
      <c r="O169" s="13" t="n">
        <f aca="false">RawFinancials!V169</f>
        <v>14.7172199109766</v>
      </c>
      <c r="P169" s="13" t="n">
        <f aca="false">IF(AND(ISNUMBER(L169),L169&lt;&gt;0,ISNUMBER(M169)),100*M169/L169,"")</f>
        <v>88.6771596986712</v>
      </c>
      <c r="Q169" s="13" t="n">
        <f aca="false">IF(AND(ISNUMBER(F169),F169&lt;&gt;0,ISNUMBER(K169)),100*K169/F169,"")</f>
        <v>6.24801101579398</v>
      </c>
      <c r="R169" s="11" t="b">
        <f aca="false">AND(ISNUMBER(F169),F169&gt;0,ISNUMBER(G169),G169&gt;=0,ISNUMBER(H169),H169&gt;=0)</f>
        <v>1</v>
      </c>
      <c r="S169" s="13" t="n">
        <f aca="false">IF(R169,100*I169/F169,"")</f>
        <v>0.166670134145186</v>
      </c>
      <c r="T169" s="11" t="b">
        <f aca="false">NOT(AND(OR(AND(ISBLANK(RawFinancials!B169),ISBLANK(_RawBaseline!B166)),AND(ISNUMBER(RawFinancials!B169),ISNUMBER(_RawBaseline!B166),RawFinancials!B169=_RawBaseline!B166)),OR(AND(ISBLANK(RawFinancials!U169),ISBLANK(_RawBaseline!U166)),AND(ISNUMBER(RawFinancials!U169),ISNUMBER(_RawBaseline!U166),RawFinancials!U169=_RawBaseline!U166)),OR(AND(ISBLANK(RawFinancials!O169),ISBLANK(_RawBaseline!O166)),AND(ISNUMBER(RawFinancials!O169),ISNUMBER(_RawBaseline!O166),RawFinancials!O169=_RawBaseline!O166))))</f>
        <v>0</v>
      </c>
      <c r="U169" s="13" t="n">
        <f aca="false">IF(AND(D169=WF_START_PERIOD,R169,COUNTIFS($B$5:$B$750,B169,$D$5:$D$750,WF_END_PERIOD,$R$5:$R$750,TRUE())&gt;0),SUMIFS($S$5:$S$750,$B$5:$B$750,B169,$D$5:$D$750,WF_END_PERIOD,$R$5:$R$750,TRUE()),0)</f>
        <v>0</v>
      </c>
      <c r="V169" s="0" t="str">
        <f aca="false">IF(AND(D169=WF_START_PERIOD,COUNTIFS($B$5:$B$750,B169,$D$5:$D$750,WF_END_PERIOD)&gt;0),INDEX($E$5:$E$750,MATCH(B169&amp;"|"&amp;WF_END_PERIOD,$AC$5:$AC$750,0)),"")</f>
        <v/>
      </c>
      <c r="W169" s="11" t="b">
        <f aca="false">COUNTIFS($B$5:$B$750,B169,$D$5:$D$750,WF_START_PERIOD,$R$5:$R$750,TRUE())&gt;0</f>
        <v>1</v>
      </c>
      <c r="X169" s="11" t="b">
        <f aca="false">COUNTIFS($B$5:$B$750,B169,$D$5:$D$750,WF_END_PERIOD,$R$5:$R$750,TRUE())&gt;0</f>
        <v>0</v>
      </c>
      <c r="Y169" s="0" t="str">
        <f aca="false">IF(AND(D169=WF_END_PERIOD,COUNTIFS($B$5:$B$750,B169,$D$5:$D$750,WF_START_PERIOD)&gt;0),INDEX($E$5:$E$750,MATCH(B169&amp;"|"&amp;WF_START_PERIOD,$AC$5:$AC$750,0)),"")</f>
        <v/>
      </c>
      <c r="Z169" s="0" t="str">
        <f aca="false">IF(AND(D169=WF_END_PERIOD,R169),1+COUNTIFS($D$5:$D$750,WF_END_PERIOD,$E$5:$E$750,E169,$R$5:$R$750,TRUE(),$S$5:$S$750,"&gt;"&amp;S169)+COUNTIFS($D$5:$D$750,WF_END_PERIOD,$E$5:$E$750,E169,$R$5:$R$750,TRUE(),$S$5:$S$750,S169,$B$5:$B$750,"&lt;"&amp;B169),"")</f>
        <v/>
      </c>
      <c r="AA169" s="0" t="str">
        <f aca="false">IF(AND(D169=WF_END_PERIOD,R169,Z169&lt;&gt;1),1+COUNTIFS($D$5:$D$750,WF_END_PERIOD,$R$5:$R$750,TRUE(),$Z$5:$Z$750,"&lt;&gt;1",$S$5:$S$750,"&gt;"&amp;S169)+COUNTIFS($D$5:$D$750,WF_END_PERIOD,$R$5:$R$750,TRUE(),$Z$5:$Z$750,"&lt;&gt;1",$S$5:$S$750,S169,$B$5:$B$750,"&lt;"&amp;B169),"")</f>
        <v/>
      </c>
      <c r="AB169" s="11" t="b">
        <f aca="false">OR(D169=WF_START_PERIOD,D169=WF_END_PERIOD)</f>
        <v>0</v>
      </c>
      <c r="AC169" s="0" t="str">
        <f aca="false">B169&amp;"|"&amp;D169</f>
        <v>14240|20221231</v>
      </c>
    </row>
    <row r="170" customFormat="false" ht="15" hidden="false" customHeight="false" outlineLevel="0" collapsed="false">
      <c r="A170" s="0" t="n">
        <f aca="false">RawFinancials!A170</f>
        <v>167</v>
      </c>
      <c r="B170" s="0" t="n">
        <f aca="false">RawFinancials!C170</f>
        <v>17115</v>
      </c>
      <c r="C170" s="0" t="str">
        <f aca="false">RawFinancials!P170</f>
        <v>PARTNERS BANK OF NEW ENGLAND</v>
      </c>
      <c r="D170" s="0" t="n">
        <f aca="false">RawFinancials!W170</f>
        <v>20221231</v>
      </c>
      <c r="E170" s="0" t="str">
        <f aca="false">RawFinancials!Z170</f>
        <v>ME</v>
      </c>
      <c r="F170" s="0" t="n">
        <f aca="false">RawFinancials!B170</f>
        <v>1004795</v>
      </c>
      <c r="G170" s="0" t="n">
        <f aca="false">RawFinancials!U170</f>
        <v>0</v>
      </c>
      <c r="H170" s="0" t="n">
        <f aca="false">RawFinancials!O170</f>
        <v>265</v>
      </c>
      <c r="I170" s="0" t="n">
        <f aca="false">IF(AND(ISNUMBER(G170),ISNUMBER(H170)),G170+H170,"")</f>
        <v>265</v>
      </c>
      <c r="J170" s="0" t="n">
        <f aca="false">RawFinancials!D170</f>
        <v>856846</v>
      </c>
      <c r="K170" s="0" t="n">
        <f aca="false">RawFinancials!F170</f>
        <v>78632</v>
      </c>
      <c r="L170" s="0" t="n">
        <f aca="false">RawFinancials!L170</f>
        <v>833453</v>
      </c>
      <c r="M170" s="0" t="n">
        <f aca="false">RawFinancials!N170</f>
        <v>786913</v>
      </c>
      <c r="N170" s="13" t="n">
        <f aca="false">RawFinancials!X170</f>
        <v>0.643393077444468</v>
      </c>
      <c r="O170" s="13" t="n">
        <f aca="false">RawFinancials!V170</f>
        <v>13.9518994818667</v>
      </c>
      <c r="P170" s="13" t="n">
        <f aca="false">IF(AND(ISNUMBER(L170),L170&lt;&gt;0,ISNUMBER(M170)),100*M170/L170,"")</f>
        <v>94.4160018621326</v>
      </c>
      <c r="Q170" s="13" t="n">
        <f aca="false">IF(AND(ISNUMBER(F170),F170&lt;&gt;0,ISNUMBER(K170)),100*K170/F170,"")</f>
        <v>7.82567588413557</v>
      </c>
      <c r="R170" s="11" t="b">
        <f aca="false">AND(ISNUMBER(F170),F170&gt;0,ISNUMBER(G170),G170&gt;=0,ISNUMBER(H170),H170&gt;=0)</f>
        <v>1</v>
      </c>
      <c r="S170" s="13" t="n">
        <f aca="false">IF(R170,100*I170/F170,"")</f>
        <v>0.0263735388810653</v>
      </c>
      <c r="T170" s="11" t="b">
        <f aca="false">NOT(AND(OR(AND(ISBLANK(RawFinancials!B170),ISBLANK(_RawBaseline!B167)),AND(ISNUMBER(RawFinancials!B170),ISNUMBER(_RawBaseline!B167),RawFinancials!B170=_RawBaseline!B167)),OR(AND(ISBLANK(RawFinancials!U170),ISBLANK(_RawBaseline!U167)),AND(ISNUMBER(RawFinancials!U170),ISNUMBER(_RawBaseline!U167),RawFinancials!U170=_RawBaseline!U167)),OR(AND(ISBLANK(RawFinancials!O170),ISBLANK(_RawBaseline!O167)),AND(ISNUMBER(RawFinancials!O170),ISNUMBER(_RawBaseline!O167),RawFinancials!O170=_RawBaseline!O167))))</f>
        <v>0</v>
      </c>
      <c r="U170" s="13" t="n">
        <f aca="false">IF(AND(D170=WF_START_PERIOD,R170,COUNTIFS($B$5:$B$750,B170,$D$5:$D$750,WF_END_PERIOD,$R$5:$R$750,TRUE())&gt;0),SUMIFS($S$5:$S$750,$B$5:$B$750,B170,$D$5:$D$750,WF_END_PERIOD,$R$5:$R$750,TRUE()),0)</f>
        <v>0</v>
      </c>
      <c r="V170" s="0" t="str">
        <f aca="false">IF(AND(D170=WF_START_PERIOD,COUNTIFS($B$5:$B$750,B170,$D$5:$D$750,WF_END_PERIOD)&gt;0),INDEX($E$5:$E$750,MATCH(B170&amp;"|"&amp;WF_END_PERIOD,$AC$5:$AC$750,0)),"")</f>
        <v/>
      </c>
      <c r="W170" s="11" t="b">
        <f aca="false">COUNTIFS($B$5:$B$750,B170,$D$5:$D$750,WF_START_PERIOD,$R$5:$R$750,TRUE())&gt;0</f>
        <v>1</v>
      </c>
      <c r="X170" s="11" t="b">
        <f aca="false">COUNTIFS($B$5:$B$750,B170,$D$5:$D$750,WF_END_PERIOD,$R$5:$R$750,TRUE())&gt;0</f>
        <v>1</v>
      </c>
      <c r="Y170" s="0" t="str">
        <f aca="false">IF(AND(D170=WF_END_PERIOD,COUNTIFS($B$5:$B$750,B170,$D$5:$D$750,WF_START_PERIOD)&gt;0),INDEX($E$5:$E$750,MATCH(B170&amp;"|"&amp;WF_START_PERIOD,$AC$5:$AC$750,0)),"")</f>
        <v/>
      </c>
      <c r="Z170" s="0" t="str">
        <f aca="false">IF(AND(D170=WF_END_PERIOD,R170),1+COUNTIFS($D$5:$D$750,WF_END_PERIOD,$E$5:$E$750,E170,$R$5:$R$750,TRUE(),$S$5:$S$750,"&gt;"&amp;S170)+COUNTIFS($D$5:$D$750,WF_END_PERIOD,$E$5:$E$750,E170,$R$5:$R$750,TRUE(),$S$5:$S$750,S170,$B$5:$B$750,"&lt;"&amp;B170),"")</f>
        <v/>
      </c>
      <c r="AA170" s="0" t="str">
        <f aca="false">IF(AND(D170=WF_END_PERIOD,R170,Z170&lt;&gt;1),1+COUNTIFS($D$5:$D$750,WF_END_PERIOD,$R$5:$R$750,TRUE(),$Z$5:$Z$750,"&lt;&gt;1",$S$5:$S$750,"&gt;"&amp;S170)+COUNTIFS($D$5:$D$750,WF_END_PERIOD,$R$5:$R$750,TRUE(),$Z$5:$Z$750,"&lt;&gt;1",$S$5:$S$750,S170,$B$5:$B$750,"&lt;"&amp;B170),"")</f>
        <v/>
      </c>
      <c r="AB170" s="11" t="b">
        <f aca="false">OR(D170=WF_START_PERIOD,D170=WF_END_PERIOD)</f>
        <v>0</v>
      </c>
      <c r="AC170" s="0" t="str">
        <f aca="false">B170&amp;"|"&amp;D170</f>
        <v>17115|20221231</v>
      </c>
    </row>
    <row r="171" customFormat="false" ht="15" hidden="false" customHeight="false" outlineLevel="0" collapsed="false">
      <c r="A171" s="0" t="n">
        <f aca="false">RawFinancials!A171</f>
        <v>168</v>
      </c>
      <c r="B171" s="0" t="n">
        <f aca="false">RawFinancials!C171</f>
        <v>17180</v>
      </c>
      <c r="C171" s="0" t="str">
        <f aca="false">RawFinancials!P171</f>
        <v>MEREDITH VILLAGE SAVINGS BANK</v>
      </c>
      <c r="D171" s="0" t="n">
        <f aca="false">RawFinancials!W171</f>
        <v>20221231</v>
      </c>
      <c r="E171" s="0" t="str">
        <f aca="false">RawFinancials!Z171</f>
        <v>NH</v>
      </c>
      <c r="F171" s="0" t="n">
        <f aca="false">RawFinancials!B171</f>
        <v>1552881</v>
      </c>
      <c r="G171" s="0" t="n">
        <f aca="false">RawFinancials!U171</f>
        <v>1</v>
      </c>
      <c r="H171" s="0" t="n">
        <f aca="false">RawFinancials!O171</f>
        <v>4104</v>
      </c>
      <c r="I171" s="0" t="n">
        <f aca="false">IF(AND(ISNUMBER(G171),ISNUMBER(H171)),G171+H171,"")</f>
        <v>4105</v>
      </c>
      <c r="J171" s="0" t="n">
        <f aca="false">RawFinancials!D171</f>
        <v>1174035</v>
      </c>
      <c r="K171" s="0" t="n">
        <f aca="false">RawFinancials!F171</f>
        <v>127894</v>
      </c>
      <c r="L171" s="0" t="n">
        <f aca="false">RawFinancials!L171</f>
        <v>1390042</v>
      </c>
      <c r="M171" s="0" t="n">
        <f aca="false">RawFinancials!N171</f>
        <v>1118314</v>
      </c>
      <c r="N171" s="13" t="n">
        <f aca="false">RawFinancials!X171</f>
        <v>0.772403237007327</v>
      </c>
      <c r="O171" s="13" t="n">
        <f aca="false">RawFinancials!V171</f>
        <v>13.6744035365497</v>
      </c>
      <c r="P171" s="13" t="n">
        <f aca="false">IF(AND(ISNUMBER(L171),L171&lt;&gt;0,ISNUMBER(M171)),100*M171/L171,"")</f>
        <v>80.4518136862052</v>
      </c>
      <c r="Q171" s="13" t="n">
        <f aca="false">IF(AND(ISNUMBER(F171),F171&lt;&gt;0,ISNUMBER(K171)),100*K171/F171,"")</f>
        <v>8.23591762665652</v>
      </c>
      <c r="R171" s="11" t="b">
        <f aca="false">AND(ISNUMBER(F171),F171&gt;0,ISNUMBER(G171),G171&gt;=0,ISNUMBER(H171),H171&gt;=0)</f>
        <v>1</v>
      </c>
      <c r="S171" s="13" t="n">
        <f aca="false">IF(R171,100*I171/F171,"")</f>
        <v>0.264347364672502</v>
      </c>
      <c r="T171" s="11" t="b">
        <f aca="false">NOT(AND(OR(AND(ISBLANK(RawFinancials!B171),ISBLANK(_RawBaseline!B168)),AND(ISNUMBER(RawFinancials!B171),ISNUMBER(_RawBaseline!B168),RawFinancials!B171=_RawBaseline!B168)),OR(AND(ISBLANK(RawFinancials!U171),ISBLANK(_RawBaseline!U168)),AND(ISNUMBER(RawFinancials!U171),ISNUMBER(_RawBaseline!U168),RawFinancials!U171=_RawBaseline!U168)),OR(AND(ISBLANK(RawFinancials!O171),ISBLANK(_RawBaseline!O168)),AND(ISNUMBER(RawFinancials!O171),ISNUMBER(_RawBaseline!O168),RawFinancials!O171=_RawBaseline!O168))))</f>
        <v>0</v>
      </c>
      <c r="U171" s="13" t="n">
        <f aca="false">IF(AND(D171=WF_START_PERIOD,R171,COUNTIFS($B$5:$B$750,B171,$D$5:$D$750,WF_END_PERIOD,$R$5:$R$750,TRUE())&gt;0),SUMIFS($S$5:$S$750,$B$5:$B$750,B171,$D$5:$D$750,WF_END_PERIOD,$R$5:$R$750,TRUE()),0)</f>
        <v>0</v>
      </c>
      <c r="V171" s="0" t="str">
        <f aca="false">IF(AND(D171=WF_START_PERIOD,COUNTIFS($B$5:$B$750,B171,$D$5:$D$750,WF_END_PERIOD)&gt;0),INDEX($E$5:$E$750,MATCH(B171&amp;"|"&amp;WF_END_PERIOD,$AC$5:$AC$750,0)),"")</f>
        <v/>
      </c>
      <c r="W171" s="11" t="b">
        <f aca="false">COUNTIFS($B$5:$B$750,B171,$D$5:$D$750,WF_START_PERIOD,$R$5:$R$750,TRUE())&gt;0</f>
        <v>1</v>
      </c>
      <c r="X171" s="11" t="b">
        <f aca="false">COUNTIFS($B$5:$B$750,B171,$D$5:$D$750,WF_END_PERIOD,$R$5:$R$750,TRUE())&gt;0</f>
        <v>1</v>
      </c>
      <c r="Y171" s="0" t="str">
        <f aca="false">IF(AND(D171=WF_END_PERIOD,COUNTIFS($B$5:$B$750,B171,$D$5:$D$750,WF_START_PERIOD)&gt;0),INDEX($E$5:$E$750,MATCH(B171&amp;"|"&amp;WF_START_PERIOD,$AC$5:$AC$750,0)),"")</f>
        <v/>
      </c>
      <c r="Z171" s="0" t="str">
        <f aca="false">IF(AND(D171=WF_END_PERIOD,R171),1+COUNTIFS($D$5:$D$750,WF_END_PERIOD,$E$5:$E$750,E171,$R$5:$R$750,TRUE(),$S$5:$S$750,"&gt;"&amp;S171)+COUNTIFS($D$5:$D$750,WF_END_PERIOD,$E$5:$E$750,E171,$R$5:$R$750,TRUE(),$S$5:$S$750,S171,$B$5:$B$750,"&lt;"&amp;B171),"")</f>
        <v/>
      </c>
      <c r="AA171" s="0" t="str">
        <f aca="false">IF(AND(D171=WF_END_PERIOD,R171,Z171&lt;&gt;1),1+COUNTIFS($D$5:$D$750,WF_END_PERIOD,$R$5:$R$750,TRUE(),$Z$5:$Z$750,"&lt;&gt;1",$S$5:$S$750,"&gt;"&amp;S171)+COUNTIFS($D$5:$D$750,WF_END_PERIOD,$R$5:$R$750,TRUE(),$Z$5:$Z$750,"&lt;&gt;1",$S$5:$S$750,S171,$B$5:$B$750,"&lt;"&amp;B171),"")</f>
        <v/>
      </c>
      <c r="AB171" s="11" t="b">
        <f aca="false">OR(D171=WF_START_PERIOD,D171=WF_END_PERIOD)</f>
        <v>0</v>
      </c>
      <c r="AC171" s="0" t="str">
        <f aca="false">B171&amp;"|"&amp;D171</f>
        <v>17180|20221231</v>
      </c>
    </row>
    <row r="172" customFormat="false" ht="15" hidden="false" customHeight="false" outlineLevel="0" collapsed="false">
      <c r="A172" s="0" t="n">
        <f aca="false">RawFinancials!A172</f>
        <v>169</v>
      </c>
      <c r="B172" s="0" t="n">
        <f aca="false">RawFinancials!C172</f>
        <v>17443</v>
      </c>
      <c r="C172" s="0" t="str">
        <f aca="false">RawFinancials!P172</f>
        <v>PISCATAQUA SAVINGS BANK</v>
      </c>
      <c r="D172" s="0" t="n">
        <f aca="false">RawFinancials!W172</f>
        <v>20221231</v>
      </c>
      <c r="E172" s="0" t="str">
        <f aca="false">RawFinancials!Z172</f>
        <v>NH</v>
      </c>
      <c r="F172" s="0" t="n">
        <f aca="false">RawFinancials!B172</f>
        <v>380965</v>
      </c>
      <c r="G172" s="0" t="n">
        <f aca="false">RawFinancials!U172</f>
        <v>0</v>
      </c>
      <c r="H172" s="0" t="n">
        <f aca="false">RawFinancials!O172</f>
        <v>286</v>
      </c>
      <c r="I172" s="0" t="n">
        <f aca="false">IF(AND(ISNUMBER(G172),ISNUMBER(H172)),G172+H172,"")</f>
        <v>286</v>
      </c>
      <c r="J172" s="0" t="n">
        <f aca="false">RawFinancials!D172</f>
        <v>341206</v>
      </c>
      <c r="K172" s="0" t="n">
        <f aca="false">RawFinancials!F172</f>
        <v>38509</v>
      </c>
      <c r="L172" s="0" t="n">
        <f aca="false">RawFinancials!L172</f>
        <v>206549</v>
      </c>
      <c r="M172" s="0" t="n">
        <f aca="false">RawFinancials!N172</f>
        <v>204563</v>
      </c>
      <c r="N172" s="13" t="n">
        <f aca="false">RawFinancials!X172</f>
        <v>0.432265478536582</v>
      </c>
      <c r="O172" s="13" t="n">
        <f aca="false">RawFinancials!V172</f>
        <v>0</v>
      </c>
      <c r="P172" s="13" t="n">
        <f aca="false">IF(AND(ISNUMBER(L172),L172&lt;&gt;0,ISNUMBER(M172)),100*M172/L172,"")</f>
        <v>99.0384848147413</v>
      </c>
      <c r="Q172" s="13" t="n">
        <f aca="false">IF(AND(ISNUMBER(F172),F172&lt;&gt;0,ISNUMBER(K172)),100*K172/F172,"")</f>
        <v>10.1082776633024</v>
      </c>
      <c r="R172" s="11" t="b">
        <f aca="false">AND(ISNUMBER(F172),F172&gt;0,ISNUMBER(G172),G172&gt;=0,ISNUMBER(H172),H172&gt;=0)</f>
        <v>1</v>
      </c>
      <c r="S172" s="13" t="n">
        <f aca="false">IF(R172,100*I172/F172,"")</f>
        <v>0.0750725132229995</v>
      </c>
      <c r="T172" s="11" t="b">
        <f aca="false">NOT(AND(OR(AND(ISBLANK(RawFinancials!B172),ISBLANK(_RawBaseline!B169)),AND(ISNUMBER(RawFinancials!B172),ISNUMBER(_RawBaseline!B169),RawFinancials!B172=_RawBaseline!B169)),OR(AND(ISBLANK(RawFinancials!U172),ISBLANK(_RawBaseline!U169)),AND(ISNUMBER(RawFinancials!U172),ISNUMBER(_RawBaseline!U169),RawFinancials!U172=_RawBaseline!U169)),OR(AND(ISBLANK(RawFinancials!O172),ISBLANK(_RawBaseline!O169)),AND(ISNUMBER(RawFinancials!O172),ISNUMBER(_RawBaseline!O169),RawFinancials!O172=_RawBaseline!O169))))</f>
        <v>0</v>
      </c>
      <c r="U172" s="13" t="n">
        <f aca="false">IF(AND(D172=WF_START_PERIOD,R172,COUNTIFS($B$5:$B$750,B172,$D$5:$D$750,WF_END_PERIOD,$R$5:$R$750,TRUE())&gt;0),SUMIFS($S$5:$S$750,$B$5:$B$750,B172,$D$5:$D$750,WF_END_PERIOD,$R$5:$R$750,TRUE()),0)</f>
        <v>0</v>
      </c>
      <c r="V172" s="0" t="str">
        <f aca="false">IF(AND(D172=WF_START_PERIOD,COUNTIFS($B$5:$B$750,B172,$D$5:$D$750,WF_END_PERIOD)&gt;0),INDEX($E$5:$E$750,MATCH(B172&amp;"|"&amp;WF_END_PERIOD,$AC$5:$AC$750,0)),"")</f>
        <v/>
      </c>
      <c r="W172" s="11" t="b">
        <f aca="false">COUNTIFS($B$5:$B$750,B172,$D$5:$D$750,WF_START_PERIOD,$R$5:$R$750,TRUE())&gt;0</f>
        <v>1</v>
      </c>
      <c r="X172" s="11" t="b">
        <f aca="false">COUNTIFS($B$5:$B$750,B172,$D$5:$D$750,WF_END_PERIOD,$R$5:$R$750,TRUE())&gt;0</f>
        <v>1</v>
      </c>
      <c r="Y172" s="0" t="str">
        <f aca="false">IF(AND(D172=WF_END_PERIOD,COUNTIFS($B$5:$B$750,B172,$D$5:$D$750,WF_START_PERIOD)&gt;0),INDEX($E$5:$E$750,MATCH(B172&amp;"|"&amp;WF_START_PERIOD,$AC$5:$AC$750,0)),"")</f>
        <v/>
      </c>
      <c r="Z172" s="0" t="str">
        <f aca="false">IF(AND(D172=WF_END_PERIOD,R172),1+COUNTIFS($D$5:$D$750,WF_END_PERIOD,$E$5:$E$750,E172,$R$5:$R$750,TRUE(),$S$5:$S$750,"&gt;"&amp;S172)+COUNTIFS($D$5:$D$750,WF_END_PERIOD,$E$5:$E$750,E172,$R$5:$R$750,TRUE(),$S$5:$S$750,S172,$B$5:$B$750,"&lt;"&amp;B172),"")</f>
        <v/>
      </c>
      <c r="AA172" s="0" t="str">
        <f aca="false">IF(AND(D172=WF_END_PERIOD,R172,Z172&lt;&gt;1),1+COUNTIFS($D$5:$D$750,WF_END_PERIOD,$R$5:$R$750,TRUE(),$Z$5:$Z$750,"&lt;&gt;1",$S$5:$S$750,"&gt;"&amp;S172)+COUNTIFS($D$5:$D$750,WF_END_PERIOD,$R$5:$R$750,TRUE(),$Z$5:$Z$750,"&lt;&gt;1",$S$5:$S$750,S172,$B$5:$B$750,"&lt;"&amp;B172),"")</f>
        <v/>
      </c>
      <c r="AB172" s="11" t="b">
        <f aca="false">OR(D172=WF_START_PERIOD,D172=WF_END_PERIOD)</f>
        <v>0</v>
      </c>
      <c r="AC172" s="0" t="str">
        <f aca="false">B172&amp;"|"&amp;D172</f>
        <v>17443|20221231</v>
      </c>
    </row>
    <row r="173" customFormat="false" ht="15" hidden="false" customHeight="false" outlineLevel="0" collapsed="false">
      <c r="A173" s="0" t="n">
        <f aca="false">RawFinancials!A173</f>
        <v>170</v>
      </c>
      <c r="B173" s="0" t="n">
        <f aca="false">RawFinancials!C173</f>
        <v>17658</v>
      </c>
      <c r="C173" s="0" t="str">
        <f aca="false">RawFinancials!P173</f>
        <v>NORWAY SAVINGS BANK</v>
      </c>
      <c r="D173" s="0" t="n">
        <f aca="false">RawFinancials!W173</f>
        <v>20221231</v>
      </c>
      <c r="E173" s="0" t="str">
        <f aca="false">RawFinancials!Z173</f>
        <v>ME</v>
      </c>
      <c r="F173" s="0" t="n">
        <f aca="false">RawFinancials!B173</f>
        <v>1795136</v>
      </c>
      <c r="G173" s="0" t="n">
        <f aca="false">RawFinancials!U173</f>
        <v>197</v>
      </c>
      <c r="H173" s="0" t="n">
        <f aca="false">RawFinancials!O173</f>
        <v>677</v>
      </c>
      <c r="I173" s="0" t="n">
        <f aca="false">IF(AND(ISNUMBER(G173),ISNUMBER(H173)),G173+H173,"")</f>
        <v>874</v>
      </c>
      <c r="J173" s="0" t="n">
        <f aca="false">RawFinancials!D173</f>
        <v>1531543</v>
      </c>
      <c r="K173" s="0" t="n">
        <f aca="false">RawFinancials!F173</f>
        <v>187871</v>
      </c>
      <c r="L173" s="0" t="n">
        <f aca="false">RawFinancials!L173</f>
        <v>1215074</v>
      </c>
      <c r="M173" s="0" t="n">
        <f aca="false">RawFinancials!N173</f>
        <v>1049471</v>
      </c>
      <c r="N173" s="13" t="n">
        <f aca="false">RawFinancials!X173</f>
        <v>0.528128430999244</v>
      </c>
      <c r="O173" s="13" t="n">
        <f aca="false">RawFinancials!V173</f>
        <v>0</v>
      </c>
      <c r="P173" s="13" t="n">
        <f aca="false">IF(AND(ISNUMBER(L173),L173&lt;&gt;0,ISNUMBER(M173)),100*M173/L173,"")</f>
        <v>86.3709535386322</v>
      </c>
      <c r="Q173" s="13" t="n">
        <f aca="false">IF(AND(ISNUMBER(F173),F173&lt;&gt;0,ISNUMBER(K173)),100*K173/F173,"")</f>
        <v>10.4655580412849</v>
      </c>
      <c r="R173" s="11" t="b">
        <f aca="false">AND(ISNUMBER(F173),F173&gt;0,ISNUMBER(G173),G173&gt;=0,ISNUMBER(H173),H173&gt;=0)</f>
        <v>1</v>
      </c>
      <c r="S173" s="13" t="n">
        <f aca="false">IF(R173,100*I173/F173,"")</f>
        <v>0.0486871189703733</v>
      </c>
      <c r="T173" s="11" t="b">
        <f aca="false">NOT(AND(OR(AND(ISBLANK(RawFinancials!B173),ISBLANK(_RawBaseline!B170)),AND(ISNUMBER(RawFinancials!B173),ISNUMBER(_RawBaseline!B170),RawFinancials!B173=_RawBaseline!B170)),OR(AND(ISBLANK(RawFinancials!U173),ISBLANK(_RawBaseline!U170)),AND(ISNUMBER(RawFinancials!U173),ISNUMBER(_RawBaseline!U170),RawFinancials!U173=_RawBaseline!U170)),OR(AND(ISBLANK(RawFinancials!O173),ISBLANK(_RawBaseline!O170)),AND(ISNUMBER(RawFinancials!O173),ISNUMBER(_RawBaseline!O170),RawFinancials!O173=_RawBaseline!O170))))</f>
        <v>0</v>
      </c>
      <c r="U173" s="13" t="n">
        <f aca="false">IF(AND(D173=WF_START_PERIOD,R173,COUNTIFS($B$5:$B$750,B173,$D$5:$D$750,WF_END_PERIOD,$R$5:$R$750,TRUE())&gt;0),SUMIFS($S$5:$S$750,$B$5:$B$750,B173,$D$5:$D$750,WF_END_PERIOD,$R$5:$R$750,TRUE()),0)</f>
        <v>0</v>
      </c>
      <c r="V173" s="0" t="str">
        <f aca="false">IF(AND(D173=WF_START_PERIOD,COUNTIFS($B$5:$B$750,B173,$D$5:$D$750,WF_END_PERIOD)&gt;0),INDEX($E$5:$E$750,MATCH(B173&amp;"|"&amp;WF_END_PERIOD,$AC$5:$AC$750,0)),"")</f>
        <v/>
      </c>
      <c r="W173" s="11" t="b">
        <f aca="false">COUNTIFS($B$5:$B$750,B173,$D$5:$D$750,WF_START_PERIOD,$R$5:$R$750,TRUE())&gt;0</f>
        <v>1</v>
      </c>
      <c r="X173" s="11" t="b">
        <f aca="false">COUNTIFS($B$5:$B$750,B173,$D$5:$D$750,WF_END_PERIOD,$R$5:$R$750,TRUE())&gt;0</f>
        <v>1</v>
      </c>
      <c r="Y173" s="0" t="str">
        <f aca="false">IF(AND(D173=WF_END_PERIOD,COUNTIFS($B$5:$B$750,B173,$D$5:$D$750,WF_START_PERIOD)&gt;0),INDEX($E$5:$E$750,MATCH(B173&amp;"|"&amp;WF_START_PERIOD,$AC$5:$AC$750,0)),"")</f>
        <v/>
      </c>
      <c r="Z173" s="0" t="str">
        <f aca="false">IF(AND(D173=WF_END_PERIOD,R173),1+COUNTIFS($D$5:$D$750,WF_END_PERIOD,$E$5:$E$750,E173,$R$5:$R$750,TRUE(),$S$5:$S$750,"&gt;"&amp;S173)+COUNTIFS($D$5:$D$750,WF_END_PERIOD,$E$5:$E$750,E173,$R$5:$R$750,TRUE(),$S$5:$S$750,S173,$B$5:$B$750,"&lt;"&amp;B173),"")</f>
        <v/>
      </c>
      <c r="AA173" s="0" t="str">
        <f aca="false">IF(AND(D173=WF_END_PERIOD,R173,Z173&lt;&gt;1),1+COUNTIFS($D$5:$D$750,WF_END_PERIOD,$R$5:$R$750,TRUE(),$Z$5:$Z$750,"&lt;&gt;1",$S$5:$S$750,"&gt;"&amp;S173)+COUNTIFS($D$5:$D$750,WF_END_PERIOD,$R$5:$R$750,TRUE(),$Z$5:$Z$750,"&lt;&gt;1",$S$5:$S$750,S173,$B$5:$B$750,"&lt;"&amp;B173),"")</f>
        <v/>
      </c>
      <c r="AB173" s="11" t="b">
        <f aca="false">OR(D173=WF_START_PERIOD,D173=WF_END_PERIOD)</f>
        <v>0</v>
      </c>
      <c r="AC173" s="0" t="str">
        <f aca="false">B173&amp;"|"&amp;D173</f>
        <v>17658|20221231</v>
      </c>
    </row>
    <row r="174" customFormat="false" ht="15" hidden="false" customHeight="false" outlineLevel="0" collapsed="false">
      <c r="A174" s="0" t="n">
        <f aca="false">RawFinancials!A174</f>
        <v>171</v>
      </c>
      <c r="B174" s="0" t="n">
        <f aca="false">RawFinancials!C174</f>
        <v>17741</v>
      </c>
      <c r="C174" s="0" t="str">
        <f aca="false">RawFinancials!P174</f>
        <v>MAINE COMMUNITY BANK</v>
      </c>
      <c r="D174" s="0" t="n">
        <f aca="false">RawFinancials!W174</f>
        <v>20221231</v>
      </c>
      <c r="E174" s="0" t="str">
        <f aca="false">RawFinancials!Z174</f>
        <v>ME</v>
      </c>
      <c r="F174" s="0" t="n">
        <f aca="false">RawFinancials!B174</f>
        <v>1004289</v>
      </c>
      <c r="G174" s="0" t="n">
        <f aca="false">RawFinancials!U174</f>
        <v>0</v>
      </c>
      <c r="H174" s="0" t="n">
        <f aca="false">RawFinancials!O174</f>
        <v>1820</v>
      </c>
      <c r="I174" s="0" t="n">
        <f aca="false">IF(AND(ISNUMBER(G174),ISNUMBER(H174)),G174+H174,"")</f>
        <v>1820</v>
      </c>
      <c r="J174" s="0" t="n">
        <f aca="false">RawFinancials!D174</f>
        <v>828427</v>
      </c>
      <c r="K174" s="0" t="n">
        <f aca="false">RawFinancials!F174</f>
        <v>130201</v>
      </c>
      <c r="L174" s="0" t="n">
        <f aca="false">RawFinancials!L174</f>
        <v>848425</v>
      </c>
      <c r="M174" s="0" t="n">
        <f aca="false">RawFinancials!N174</f>
        <v>795357</v>
      </c>
      <c r="N174" s="13" t="n">
        <f aca="false">RawFinancials!X174</f>
        <v>0.824176914710342</v>
      </c>
      <c r="O174" s="13" t="n">
        <f aca="false">RawFinancials!V174</f>
        <v>0</v>
      </c>
      <c r="P174" s="13" t="n">
        <f aca="false">IF(AND(ISNUMBER(L174),L174&lt;&gt;0,ISNUMBER(M174)),100*M174/L174,"")</f>
        <v>93.7451159501429</v>
      </c>
      <c r="Q174" s="13" t="n">
        <f aca="false">IF(AND(ISNUMBER(F174),F174&lt;&gt;0,ISNUMBER(K174)),100*K174/F174,"")</f>
        <v>12.9644952797452</v>
      </c>
      <c r="R174" s="11" t="b">
        <f aca="false">AND(ISNUMBER(F174),F174&gt;0,ISNUMBER(G174),G174&gt;=0,ISNUMBER(H174),H174&gt;=0)</f>
        <v>1</v>
      </c>
      <c r="S174" s="13" t="n">
        <f aca="false">IF(R174,100*I174/F174,"")</f>
        <v>0.18122273568664</v>
      </c>
      <c r="T174" s="11" t="b">
        <f aca="false">NOT(AND(OR(AND(ISBLANK(RawFinancials!B174),ISBLANK(_RawBaseline!B171)),AND(ISNUMBER(RawFinancials!B174),ISNUMBER(_RawBaseline!B171),RawFinancials!B174=_RawBaseline!B171)),OR(AND(ISBLANK(RawFinancials!U174),ISBLANK(_RawBaseline!U171)),AND(ISNUMBER(RawFinancials!U174),ISNUMBER(_RawBaseline!U171),RawFinancials!U174=_RawBaseline!U171)),OR(AND(ISBLANK(RawFinancials!O174),ISBLANK(_RawBaseline!O171)),AND(ISNUMBER(RawFinancials!O174),ISNUMBER(_RawBaseline!O171),RawFinancials!O174=_RawBaseline!O171))))</f>
        <v>0</v>
      </c>
      <c r="U174" s="13" t="n">
        <f aca="false">IF(AND(D174=WF_START_PERIOD,R174,COUNTIFS($B$5:$B$750,B174,$D$5:$D$750,WF_END_PERIOD,$R$5:$R$750,TRUE())&gt;0),SUMIFS($S$5:$S$750,$B$5:$B$750,B174,$D$5:$D$750,WF_END_PERIOD,$R$5:$R$750,TRUE()),0)</f>
        <v>0</v>
      </c>
      <c r="V174" s="0" t="str">
        <f aca="false">IF(AND(D174=WF_START_PERIOD,COUNTIFS($B$5:$B$750,B174,$D$5:$D$750,WF_END_PERIOD)&gt;0),INDEX($E$5:$E$750,MATCH(B174&amp;"|"&amp;WF_END_PERIOD,$AC$5:$AC$750,0)),"")</f>
        <v/>
      </c>
      <c r="W174" s="11" t="b">
        <f aca="false">COUNTIFS($B$5:$B$750,B174,$D$5:$D$750,WF_START_PERIOD,$R$5:$R$750,TRUE())&gt;0</f>
        <v>1</v>
      </c>
      <c r="X174" s="11" t="b">
        <f aca="false">COUNTIFS($B$5:$B$750,B174,$D$5:$D$750,WF_END_PERIOD,$R$5:$R$750,TRUE())&gt;0</f>
        <v>1</v>
      </c>
      <c r="Y174" s="0" t="str">
        <f aca="false">IF(AND(D174=WF_END_PERIOD,COUNTIFS($B$5:$B$750,B174,$D$5:$D$750,WF_START_PERIOD)&gt;0),INDEX($E$5:$E$750,MATCH(B174&amp;"|"&amp;WF_START_PERIOD,$AC$5:$AC$750,0)),"")</f>
        <v/>
      </c>
      <c r="Z174" s="0" t="str">
        <f aca="false">IF(AND(D174=WF_END_PERIOD,R174),1+COUNTIFS($D$5:$D$750,WF_END_PERIOD,$E$5:$E$750,E174,$R$5:$R$750,TRUE(),$S$5:$S$750,"&gt;"&amp;S174)+COUNTIFS($D$5:$D$750,WF_END_PERIOD,$E$5:$E$750,E174,$R$5:$R$750,TRUE(),$S$5:$S$750,S174,$B$5:$B$750,"&lt;"&amp;B174),"")</f>
        <v/>
      </c>
      <c r="AA174" s="0" t="str">
        <f aca="false">IF(AND(D174=WF_END_PERIOD,R174,Z174&lt;&gt;1),1+COUNTIFS($D$5:$D$750,WF_END_PERIOD,$R$5:$R$750,TRUE(),$Z$5:$Z$750,"&lt;&gt;1",$S$5:$S$750,"&gt;"&amp;S174)+COUNTIFS($D$5:$D$750,WF_END_PERIOD,$R$5:$R$750,TRUE(),$Z$5:$Z$750,"&lt;&gt;1",$S$5:$S$750,S174,$B$5:$B$750,"&lt;"&amp;B174),"")</f>
        <v/>
      </c>
      <c r="AB174" s="11" t="b">
        <f aca="false">OR(D174=WF_START_PERIOD,D174=WF_END_PERIOD)</f>
        <v>0</v>
      </c>
      <c r="AC174" s="0" t="str">
        <f aca="false">B174&amp;"|"&amp;D174</f>
        <v>17741|20221231</v>
      </c>
    </row>
    <row r="175" customFormat="false" ht="15" hidden="false" customHeight="false" outlineLevel="0" collapsed="false">
      <c r="A175" s="0" t="n">
        <f aca="false">RawFinancials!A175</f>
        <v>172</v>
      </c>
      <c r="B175" s="0" t="n">
        <f aca="false">RawFinancials!C175</f>
        <v>17743</v>
      </c>
      <c r="C175" s="0" t="str">
        <f aca="false">RawFinancials!P175</f>
        <v>SACO &amp; BIDDEFORD SAVINGS INSTITUTION</v>
      </c>
      <c r="D175" s="0" t="n">
        <f aca="false">RawFinancials!W175</f>
        <v>20221231</v>
      </c>
      <c r="E175" s="0" t="str">
        <f aca="false">RawFinancials!Z175</f>
        <v>ME</v>
      </c>
      <c r="F175" s="0" t="n">
        <f aca="false">RawFinancials!B175</f>
        <v>1276362</v>
      </c>
      <c r="G175" s="0" t="n">
        <f aca="false">RawFinancials!U175</f>
        <v>0</v>
      </c>
      <c r="H175" s="0" t="n">
        <f aca="false">RawFinancials!O175</f>
        <v>2426</v>
      </c>
      <c r="I175" s="0" t="n">
        <f aca="false">IF(AND(ISNUMBER(G175),ISNUMBER(H175)),G175+H175,"")</f>
        <v>2426</v>
      </c>
      <c r="J175" s="0" t="n">
        <f aca="false">RawFinancials!D175</f>
        <v>1007618</v>
      </c>
      <c r="K175" s="0" t="n">
        <f aca="false">RawFinancials!F175</f>
        <v>120023</v>
      </c>
      <c r="L175" s="0" t="n">
        <f aca="false">RawFinancials!L175</f>
        <v>984104</v>
      </c>
      <c r="M175" s="0" t="n">
        <f aca="false">RawFinancials!N175</f>
        <v>953202</v>
      </c>
      <c r="N175" s="13" t="n">
        <f aca="false">RawFinancials!X175</f>
        <v>0.417446254000801</v>
      </c>
      <c r="O175" s="13" t="n">
        <f aca="false">RawFinancials!V175</f>
        <v>0</v>
      </c>
      <c r="P175" s="13" t="n">
        <f aca="false">IF(AND(ISNUMBER(L175),L175&lt;&gt;0,ISNUMBER(M175)),100*M175/L175,"")</f>
        <v>96.8598847276304</v>
      </c>
      <c r="Q175" s="13" t="n">
        <f aca="false">IF(AND(ISNUMBER(F175),F175&lt;&gt;0,ISNUMBER(K175)),100*K175/F175,"")</f>
        <v>9.40352345181069</v>
      </c>
      <c r="R175" s="11" t="b">
        <f aca="false">AND(ISNUMBER(F175),F175&gt;0,ISNUMBER(G175),G175&gt;=0,ISNUMBER(H175),H175&gt;=0)</f>
        <v>1</v>
      </c>
      <c r="S175" s="13" t="n">
        <f aca="false">IF(R175,100*I175/F175,"")</f>
        <v>0.190071468752595</v>
      </c>
      <c r="T175" s="11" t="b">
        <f aca="false">NOT(AND(OR(AND(ISBLANK(RawFinancials!B175),ISBLANK(_RawBaseline!B172)),AND(ISNUMBER(RawFinancials!B175),ISNUMBER(_RawBaseline!B172),RawFinancials!B175=_RawBaseline!B172)),OR(AND(ISBLANK(RawFinancials!U175),ISBLANK(_RawBaseline!U172)),AND(ISNUMBER(RawFinancials!U175),ISNUMBER(_RawBaseline!U172),RawFinancials!U175=_RawBaseline!U172)),OR(AND(ISBLANK(RawFinancials!O175),ISBLANK(_RawBaseline!O172)),AND(ISNUMBER(RawFinancials!O175),ISNUMBER(_RawBaseline!O172),RawFinancials!O175=_RawBaseline!O172))))</f>
        <v>0</v>
      </c>
      <c r="U175" s="13" t="n">
        <f aca="false">IF(AND(D175=WF_START_PERIOD,R175,COUNTIFS($B$5:$B$750,B175,$D$5:$D$750,WF_END_PERIOD,$R$5:$R$750,TRUE())&gt;0),SUMIFS($S$5:$S$750,$B$5:$B$750,B175,$D$5:$D$750,WF_END_PERIOD,$R$5:$R$750,TRUE()),0)</f>
        <v>0</v>
      </c>
      <c r="V175" s="0" t="str">
        <f aca="false">IF(AND(D175=WF_START_PERIOD,COUNTIFS($B$5:$B$750,B175,$D$5:$D$750,WF_END_PERIOD)&gt;0),INDEX($E$5:$E$750,MATCH(B175&amp;"|"&amp;WF_END_PERIOD,$AC$5:$AC$750,0)),"")</f>
        <v/>
      </c>
      <c r="W175" s="11" t="b">
        <f aca="false">COUNTIFS($B$5:$B$750,B175,$D$5:$D$750,WF_START_PERIOD,$R$5:$R$750,TRUE())&gt;0</f>
        <v>1</v>
      </c>
      <c r="X175" s="11" t="b">
        <f aca="false">COUNTIFS($B$5:$B$750,B175,$D$5:$D$750,WF_END_PERIOD,$R$5:$R$750,TRUE())&gt;0</f>
        <v>1</v>
      </c>
      <c r="Y175" s="0" t="str">
        <f aca="false">IF(AND(D175=WF_END_PERIOD,COUNTIFS($B$5:$B$750,B175,$D$5:$D$750,WF_START_PERIOD)&gt;0),INDEX($E$5:$E$750,MATCH(B175&amp;"|"&amp;WF_START_PERIOD,$AC$5:$AC$750,0)),"")</f>
        <v/>
      </c>
      <c r="Z175" s="0" t="str">
        <f aca="false">IF(AND(D175=WF_END_PERIOD,R175),1+COUNTIFS($D$5:$D$750,WF_END_PERIOD,$E$5:$E$750,E175,$R$5:$R$750,TRUE(),$S$5:$S$750,"&gt;"&amp;S175)+COUNTIFS($D$5:$D$750,WF_END_PERIOD,$E$5:$E$750,E175,$R$5:$R$750,TRUE(),$S$5:$S$750,S175,$B$5:$B$750,"&lt;"&amp;B175),"")</f>
        <v/>
      </c>
      <c r="AA175" s="0" t="str">
        <f aca="false">IF(AND(D175=WF_END_PERIOD,R175,Z175&lt;&gt;1),1+COUNTIFS($D$5:$D$750,WF_END_PERIOD,$R$5:$R$750,TRUE(),$Z$5:$Z$750,"&lt;&gt;1",$S$5:$S$750,"&gt;"&amp;S175)+COUNTIFS($D$5:$D$750,WF_END_PERIOD,$R$5:$R$750,TRUE(),$Z$5:$Z$750,"&lt;&gt;1",$S$5:$S$750,S175,$B$5:$B$750,"&lt;"&amp;B175),"")</f>
        <v/>
      </c>
      <c r="AB175" s="11" t="b">
        <f aca="false">OR(D175=WF_START_PERIOD,D175=WF_END_PERIOD)</f>
        <v>0</v>
      </c>
      <c r="AC175" s="0" t="str">
        <f aca="false">B175&amp;"|"&amp;D175</f>
        <v>17743|20221231</v>
      </c>
    </row>
    <row r="176" customFormat="false" ht="15" hidden="false" customHeight="false" outlineLevel="0" collapsed="false">
      <c r="A176" s="0" t="n">
        <f aca="false">RawFinancials!A176</f>
        <v>173</v>
      </c>
      <c r="B176" s="0" t="n">
        <f aca="false">RawFinancials!C176</f>
        <v>17748</v>
      </c>
      <c r="C176" s="0" t="str">
        <f aca="false">RawFinancials!P176</f>
        <v>GORHAM SAVINGS BANK</v>
      </c>
      <c r="D176" s="0" t="n">
        <f aca="false">RawFinancials!W176</f>
        <v>20221231</v>
      </c>
      <c r="E176" s="0" t="str">
        <f aca="false">RawFinancials!Z176</f>
        <v>ME</v>
      </c>
      <c r="F176" s="0" t="n">
        <f aca="false">RawFinancials!B176</f>
        <v>1607984</v>
      </c>
      <c r="G176" s="0" t="n">
        <f aca="false">RawFinancials!U176</f>
        <v>0</v>
      </c>
      <c r="H176" s="0" t="n">
        <f aca="false">RawFinancials!O176</f>
        <v>6143</v>
      </c>
      <c r="I176" s="0" t="n">
        <f aca="false">IF(AND(ISNUMBER(G176),ISNUMBER(H176)),G176+H176,"")</f>
        <v>6143</v>
      </c>
      <c r="J176" s="0" t="n">
        <f aca="false">RawFinancials!D176</f>
        <v>1349761</v>
      </c>
      <c r="K176" s="0" t="n">
        <f aca="false">RawFinancials!F176</f>
        <v>106514</v>
      </c>
      <c r="L176" s="0" t="n">
        <f aca="false">RawFinancials!L176</f>
        <v>1241205</v>
      </c>
      <c r="M176" s="0" t="n">
        <f aca="false">RawFinancials!N176</f>
        <v>1039935</v>
      </c>
      <c r="N176" s="13" t="n">
        <f aca="false">RawFinancials!X176</f>
        <v>0.399009983706452</v>
      </c>
      <c r="O176" s="13" t="n">
        <f aca="false">RawFinancials!V176</f>
        <v>0</v>
      </c>
      <c r="P176" s="13" t="n">
        <f aca="false">IF(AND(ISNUMBER(L176),L176&lt;&gt;0,ISNUMBER(M176)),100*M176/L176,"")</f>
        <v>83.7843063796875</v>
      </c>
      <c r="Q176" s="13" t="n">
        <f aca="false">IF(AND(ISNUMBER(F176),F176&lt;&gt;0,ISNUMBER(K176)),100*K176/F176,"")</f>
        <v>6.62407088627748</v>
      </c>
      <c r="R176" s="11" t="b">
        <f aca="false">AND(ISNUMBER(F176),F176&gt;0,ISNUMBER(G176),G176&gt;=0,ISNUMBER(H176),H176&gt;=0)</f>
        <v>1</v>
      </c>
      <c r="S176" s="13" t="n">
        <f aca="false">IF(R176,100*I176/F176,"")</f>
        <v>0.382031164489199</v>
      </c>
      <c r="T176" s="11" t="b">
        <f aca="false">NOT(AND(OR(AND(ISBLANK(RawFinancials!B176),ISBLANK(_RawBaseline!B173)),AND(ISNUMBER(RawFinancials!B176),ISNUMBER(_RawBaseline!B173),RawFinancials!B176=_RawBaseline!B173)),OR(AND(ISBLANK(RawFinancials!U176),ISBLANK(_RawBaseline!U173)),AND(ISNUMBER(RawFinancials!U176),ISNUMBER(_RawBaseline!U173),RawFinancials!U176=_RawBaseline!U173)),OR(AND(ISBLANK(RawFinancials!O176),ISBLANK(_RawBaseline!O173)),AND(ISNUMBER(RawFinancials!O176),ISNUMBER(_RawBaseline!O173),RawFinancials!O176=_RawBaseline!O173))))</f>
        <v>0</v>
      </c>
      <c r="U176" s="13" t="n">
        <f aca="false">IF(AND(D176=WF_START_PERIOD,R176,COUNTIFS($B$5:$B$750,B176,$D$5:$D$750,WF_END_PERIOD,$R$5:$R$750,TRUE())&gt;0),SUMIFS($S$5:$S$750,$B$5:$B$750,B176,$D$5:$D$750,WF_END_PERIOD,$R$5:$R$750,TRUE()),0)</f>
        <v>0</v>
      </c>
      <c r="V176" s="0" t="str">
        <f aca="false">IF(AND(D176=WF_START_PERIOD,COUNTIFS($B$5:$B$750,B176,$D$5:$D$750,WF_END_PERIOD)&gt;0),INDEX($E$5:$E$750,MATCH(B176&amp;"|"&amp;WF_END_PERIOD,$AC$5:$AC$750,0)),"")</f>
        <v/>
      </c>
      <c r="W176" s="11" t="b">
        <f aca="false">COUNTIFS($B$5:$B$750,B176,$D$5:$D$750,WF_START_PERIOD,$R$5:$R$750,TRUE())&gt;0</f>
        <v>1</v>
      </c>
      <c r="X176" s="11" t="b">
        <f aca="false">COUNTIFS($B$5:$B$750,B176,$D$5:$D$750,WF_END_PERIOD,$R$5:$R$750,TRUE())&gt;0</f>
        <v>0</v>
      </c>
      <c r="Y176" s="0" t="str">
        <f aca="false">IF(AND(D176=WF_END_PERIOD,COUNTIFS($B$5:$B$750,B176,$D$5:$D$750,WF_START_PERIOD)&gt;0),INDEX($E$5:$E$750,MATCH(B176&amp;"|"&amp;WF_START_PERIOD,$AC$5:$AC$750,0)),"")</f>
        <v/>
      </c>
      <c r="Z176" s="0" t="str">
        <f aca="false">IF(AND(D176=WF_END_PERIOD,R176),1+COUNTIFS($D$5:$D$750,WF_END_PERIOD,$E$5:$E$750,E176,$R$5:$R$750,TRUE(),$S$5:$S$750,"&gt;"&amp;S176)+COUNTIFS($D$5:$D$750,WF_END_PERIOD,$E$5:$E$750,E176,$R$5:$R$750,TRUE(),$S$5:$S$750,S176,$B$5:$B$750,"&lt;"&amp;B176),"")</f>
        <v/>
      </c>
      <c r="AA176" s="0" t="str">
        <f aca="false">IF(AND(D176=WF_END_PERIOD,R176,Z176&lt;&gt;1),1+COUNTIFS($D$5:$D$750,WF_END_PERIOD,$R$5:$R$750,TRUE(),$Z$5:$Z$750,"&lt;&gt;1",$S$5:$S$750,"&gt;"&amp;S176)+COUNTIFS($D$5:$D$750,WF_END_PERIOD,$R$5:$R$750,TRUE(),$Z$5:$Z$750,"&lt;&gt;1",$S$5:$S$750,S176,$B$5:$B$750,"&lt;"&amp;B176),"")</f>
        <v/>
      </c>
      <c r="AB176" s="11" t="b">
        <f aca="false">OR(D176=WF_START_PERIOD,D176=WF_END_PERIOD)</f>
        <v>0</v>
      </c>
      <c r="AC176" s="0" t="str">
        <f aca="false">B176&amp;"|"&amp;D176</f>
        <v>17748|20221231</v>
      </c>
    </row>
    <row r="177" customFormat="false" ht="15" hidden="false" customHeight="false" outlineLevel="0" collapsed="false">
      <c r="A177" s="0" t="n">
        <f aca="false">RawFinancials!A177</f>
        <v>174</v>
      </c>
      <c r="B177" s="0" t="n">
        <f aca="false">RawFinancials!C177</f>
        <v>17749</v>
      </c>
      <c r="C177" s="0" t="str">
        <f aca="false">RawFinancials!P177</f>
        <v>BATH SAVINGS INSTITUTION</v>
      </c>
      <c r="D177" s="0" t="n">
        <f aca="false">RawFinancials!W177</f>
        <v>20221231</v>
      </c>
      <c r="E177" s="0" t="str">
        <f aca="false">RawFinancials!Z177</f>
        <v>ME</v>
      </c>
      <c r="F177" s="0" t="n">
        <f aca="false">RawFinancials!B177</f>
        <v>1276951</v>
      </c>
      <c r="G177" s="0" t="n">
        <f aca="false">RawFinancials!U177</f>
        <v>0</v>
      </c>
      <c r="H177" s="0" t="n">
        <f aca="false">RawFinancials!O177</f>
        <v>204</v>
      </c>
      <c r="I177" s="0" t="n">
        <f aca="false">IF(AND(ISNUMBER(G177),ISNUMBER(H177)),G177+H177,"")</f>
        <v>204</v>
      </c>
      <c r="J177" s="0" t="n">
        <f aca="false">RawFinancials!D177</f>
        <v>1055695</v>
      </c>
      <c r="K177" s="0" t="n">
        <f aca="false">RawFinancials!F177</f>
        <v>150442</v>
      </c>
      <c r="L177" s="0" t="n">
        <f aca="false">RawFinancials!L177</f>
        <v>724813</v>
      </c>
      <c r="M177" s="0" t="n">
        <f aca="false">RawFinancials!N177</f>
        <v>655371</v>
      </c>
      <c r="N177" s="13" t="n">
        <f aca="false">RawFinancials!X177</f>
        <v>0.633133792451287</v>
      </c>
      <c r="O177" s="13" t="n">
        <f aca="false">RawFinancials!V177</f>
        <v>0</v>
      </c>
      <c r="P177" s="13" t="n">
        <f aca="false">IF(AND(ISNUMBER(L177),L177&lt;&gt;0,ISNUMBER(M177)),100*M177/L177,"")</f>
        <v>90.4193219492476</v>
      </c>
      <c r="Q177" s="13" t="n">
        <f aca="false">IF(AND(ISNUMBER(F177),F177&lt;&gt;0,ISNUMBER(K177)),100*K177/F177,"")</f>
        <v>11.7813447814364</v>
      </c>
      <c r="R177" s="11" t="b">
        <f aca="false">AND(ISNUMBER(F177),F177&gt;0,ISNUMBER(G177),G177&gt;=0,ISNUMBER(H177),H177&gt;=0)</f>
        <v>1</v>
      </c>
      <c r="S177" s="13" t="n">
        <f aca="false">IF(R177,100*I177/F177,"")</f>
        <v>0.015975554269506</v>
      </c>
      <c r="T177" s="11" t="b">
        <f aca="false">NOT(AND(OR(AND(ISBLANK(RawFinancials!B177),ISBLANK(_RawBaseline!B174)),AND(ISNUMBER(RawFinancials!B177),ISNUMBER(_RawBaseline!B174),RawFinancials!B177=_RawBaseline!B174)),OR(AND(ISBLANK(RawFinancials!U177),ISBLANK(_RawBaseline!U174)),AND(ISNUMBER(RawFinancials!U177),ISNUMBER(_RawBaseline!U174),RawFinancials!U177=_RawBaseline!U174)),OR(AND(ISBLANK(RawFinancials!O177),ISBLANK(_RawBaseline!O174)),AND(ISNUMBER(RawFinancials!O177),ISNUMBER(_RawBaseline!O174),RawFinancials!O177=_RawBaseline!O174))))</f>
        <v>0</v>
      </c>
      <c r="U177" s="13" t="n">
        <f aca="false">IF(AND(D177=WF_START_PERIOD,R177,COUNTIFS($B$5:$B$750,B177,$D$5:$D$750,WF_END_PERIOD,$R$5:$R$750,TRUE())&gt;0),SUMIFS($S$5:$S$750,$B$5:$B$750,B177,$D$5:$D$750,WF_END_PERIOD,$R$5:$R$750,TRUE()),0)</f>
        <v>0</v>
      </c>
      <c r="V177" s="0" t="str">
        <f aca="false">IF(AND(D177=WF_START_PERIOD,COUNTIFS($B$5:$B$750,B177,$D$5:$D$750,WF_END_PERIOD)&gt;0),INDEX($E$5:$E$750,MATCH(B177&amp;"|"&amp;WF_END_PERIOD,$AC$5:$AC$750,0)),"")</f>
        <v/>
      </c>
      <c r="W177" s="11" t="b">
        <f aca="false">COUNTIFS($B$5:$B$750,B177,$D$5:$D$750,WF_START_PERIOD,$R$5:$R$750,TRUE())&gt;0</f>
        <v>1</v>
      </c>
      <c r="X177" s="11" t="b">
        <f aca="false">COUNTIFS($B$5:$B$750,B177,$D$5:$D$750,WF_END_PERIOD,$R$5:$R$750,TRUE())&gt;0</f>
        <v>1</v>
      </c>
      <c r="Y177" s="0" t="str">
        <f aca="false">IF(AND(D177=WF_END_PERIOD,COUNTIFS($B$5:$B$750,B177,$D$5:$D$750,WF_START_PERIOD)&gt;0),INDEX($E$5:$E$750,MATCH(B177&amp;"|"&amp;WF_START_PERIOD,$AC$5:$AC$750,0)),"")</f>
        <v/>
      </c>
      <c r="Z177" s="0" t="str">
        <f aca="false">IF(AND(D177=WF_END_PERIOD,R177),1+COUNTIFS($D$5:$D$750,WF_END_PERIOD,$E$5:$E$750,E177,$R$5:$R$750,TRUE(),$S$5:$S$750,"&gt;"&amp;S177)+COUNTIFS($D$5:$D$750,WF_END_PERIOD,$E$5:$E$750,E177,$R$5:$R$750,TRUE(),$S$5:$S$750,S177,$B$5:$B$750,"&lt;"&amp;B177),"")</f>
        <v/>
      </c>
      <c r="AA177" s="0" t="str">
        <f aca="false">IF(AND(D177=WF_END_PERIOD,R177,Z177&lt;&gt;1),1+COUNTIFS($D$5:$D$750,WF_END_PERIOD,$R$5:$R$750,TRUE(),$Z$5:$Z$750,"&lt;&gt;1",$S$5:$S$750,"&gt;"&amp;S177)+COUNTIFS($D$5:$D$750,WF_END_PERIOD,$R$5:$R$750,TRUE(),$Z$5:$Z$750,"&lt;&gt;1",$S$5:$S$750,S177,$B$5:$B$750,"&lt;"&amp;B177),"")</f>
        <v/>
      </c>
      <c r="AB177" s="11" t="b">
        <f aca="false">OR(D177=WF_START_PERIOD,D177=WF_END_PERIOD)</f>
        <v>0</v>
      </c>
      <c r="AC177" s="0" t="str">
        <f aca="false">B177&amp;"|"&amp;D177</f>
        <v>17749|20221231</v>
      </c>
    </row>
    <row r="178" customFormat="false" ht="15" hidden="false" customHeight="false" outlineLevel="0" collapsed="false">
      <c r="A178" s="0" t="n">
        <f aca="false">RawFinancials!A178</f>
        <v>175</v>
      </c>
      <c r="B178" s="0" t="n">
        <f aca="false">RawFinancials!C178</f>
        <v>17751</v>
      </c>
      <c r="C178" s="0" t="str">
        <f aca="false">RawFinancials!P178</f>
        <v>ANDROSCOGGIN SAVINGS BANK</v>
      </c>
      <c r="D178" s="0" t="n">
        <f aca="false">RawFinancials!W178</f>
        <v>20221231</v>
      </c>
      <c r="E178" s="0" t="str">
        <f aca="false">RawFinancials!Z178</f>
        <v>ME</v>
      </c>
      <c r="F178" s="0" t="n">
        <f aca="false">RawFinancials!B178</f>
        <v>1450036</v>
      </c>
      <c r="G178" s="0" t="n">
        <f aca="false">RawFinancials!U178</f>
        <v>0</v>
      </c>
      <c r="H178" s="0" t="n">
        <f aca="false">RawFinancials!O178</f>
        <v>6987</v>
      </c>
      <c r="I178" s="0" t="n">
        <f aca="false">IF(AND(ISNUMBER(G178),ISNUMBER(H178)),G178+H178,"")</f>
        <v>6987</v>
      </c>
      <c r="J178" s="0" t="n">
        <f aca="false">RawFinancials!D178</f>
        <v>1265376</v>
      </c>
      <c r="K178" s="0" t="n">
        <f aca="false">RawFinancials!F178</f>
        <v>125470</v>
      </c>
      <c r="L178" s="0" t="n">
        <f aca="false">RawFinancials!L178</f>
        <v>1210320</v>
      </c>
      <c r="M178" s="0" t="n">
        <f aca="false">RawFinancials!N178</f>
        <v>1045931</v>
      </c>
      <c r="N178" s="13" t="n">
        <f aca="false">RawFinancials!X178</f>
        <v>0.57883178006515</v>
      </c>
      <c r="O178" s="13" t="n">
        <f aca="false">RawFinancials!V178</f>
        <v>13.1251359750373</v>
      </c>
      <c r="P178" s="13" t="n">
        <f aca="false">IF(AND(ISNUMBER(L178),L178&lt;&gt;0,ISNUMBER(M178)),100*M178/L178,"")</f>
        <v>86.417724238218</v>
      </c>
      <c r="Q178" s="13" t="n">
        <f aca="false">IF(AND(ISNUMBER(F178),F178&lt;&gt;0,ISNUMBER(K178)),100*K178/F178,"")</f>
        <v>8.65288861793776</v>
      </c>
      <c r="R178" s="11" t="b">
        <f aca="false">AND(ISNUMBER(F178),F178&gt;0,ISNUMBER(G178),G178&gt;=0,ISNUMBER(H178),H178&gt;=0)</f>
        <v>1</v>
      </c>
      <c r="S178" s="13" t="n">
        <f aca="false">IF(R178,100*I178/F178,"")</f>
        <v>0.481850105790477</v>
      </c>
      <c r="T178" s="11" t="b">
        <f aca="false">NOT(AND(OR(AND(ISBLANK(RawFinancials!B178),ISBLANK(_RawBaseline!B175)),AND(ISNUMBER(RawFinancials!B178),ISNUMBER(_RawBaseline!B175),RawFinancials!B178=_RawBaseline!B175)),OR(AND(ISBLANK(RawFinancials!U178),ISBLANK(_RawBaseline!U175)),AND(ISNUMBER(RawFinancials!U178),ISNUMBER(_RawBaseline!U175),RawFinancials!U178=_RawBaseline!U175)),OR(AND(ISBLANK(RawFinancials!O178),ISBLANK(_RawBaseline!O175)),AND(ISNUMBER(RawFinancials!O178),ISNUMBER(_RawBaseline!O175),RawFinancials!O178=_RawBaseline!O175))))</f>
        <v>0</v>
      </c>
      <c r="U178" s="13" t="n">
        <f aca="false">IF(AND(D178=WF_START_PERIOD,R178,COUNTIFS($B$5:$B$750,B178,$D$5:$D$750,WF_END_PERIOD,$R$5:$R$750,TRUE())&gt;0),SUMIFS($S$5:$S$750,$B$5:$B$750,B178,$D$5:$D$750,WF_END_PERIOD,$R$5:$R$750,TRUE()),0)</f>
        <v>0</v>
      </c>
      <c r="V178" s="0" t="str">
        <f aca="false">IF(AND(D178=WF_START_PERIOD,COUNTIFS($B$5:$B$750,B178,$D$5:$D$750,WF_END_PERIOD)&gt;0),INDEX($E$5:$E$750,MATCH(B178&amp;"|"&amp;WF_END_PERIOD,$AC$5:$AC$750,0)),"")</f>
        <v/>
      </c>
      <c r="W178" s="11" t="b">
        <f aca="false">COUNTIFS($B$5:$B$750,B178,$D$5:$D$750,WF_START_PERIOD,$R$5:$R$750,TRUE())&gt;0</f>
        <v>1</v>
      </c>
      <c r="X178" s="11" t="b">
        <f aca="false">COUNTIFS($B$5:$B$750,B178,$D$5:$D$750,WF_END_PERIOD,$R$5:$R$750,TRUE())&gt;0</f>
        <v>1</v>
      </c>
      <c r="Y178" s="0" t="str">
        <f aca="false">IF(AND(D178=WF_END_PERIOD,COUNTIFS($B$5:$B$750,B178,$D$5:$D$750,WF_START_PERIOD)&gt;0),INDEX($E$5:$E$750,MATCH(B178&amp;"|"&amp;WF_START_PERIOD,$AC$5:$AC$750,0)),"")</f>
        <v/>
      </c>
      <c r="Z178" s="0" t="str">
        <f aca="false">IF(AND(D178=WF_END_PERIOD,R178),1+COUNTIFS($D$5:$D$750,WF_END_PERIOD,$E$5:$E$750,E178,$R$5:$R$750,TRUE(),$S$5:$S$750,"&gt;"&amp;S178)+COUNTIFS($D$5:$D$750,WF_END_PERIOD,$E$5:$E$750,E178,$R$5:$R$750,TRUE(),$S$5:$S$750,S178,$B$5:$B$750,"&lt;"&amp;B178),"")</f>
        <v/>
      </c>
      <c r="AA178" s="0" t="str">
        <f aca="false">IF(AND(D178=WF_END_PERIOD,R178,Z178&lt;&gt;1),1+COUNTIFS($D$5:$D$750,WF_END_PERIOD,$R$5:$R$750,TRUE(),$Z$5:$Z$750,"&lt;&gt;1",$S$5:$S$750,"&gt;"&amp;S178)+COUNTIFS($D$5:$D$750,WF_END_PERIOD,$R$5:$R$750,TRUE(),$Z$5:$Z$750,"&lt;&gt;1",$S$5:$S$750,S178,$B$5:$B$750,"&lt;"&amp;B178),"")</f>
        <v/>
      </c>
      <c r="AB178" s="11" t="b">
        <f aca="false">OR(D178=WF_START_PERIOD,D178=WF_END_PERIOD)</f>
        <v>0</v>
      </c>
      <c r="AC178" s="0" t="str">
        <f aca="false">B178&amp;"|"&amp;D178</f>
        <v>17751|20221231</v>
      </c>
    </row>
    <row r="179" customFormat="false" ht="15" hidden="false" customHeight="false" outlineLevel="0" collapsed="false">
      <c r="A179" s="0" t="n">
        <f aca="false">RawFinancials!A179</f>
        <v>176</v>
      </c>
      <c r="B179" s="0" t="n">
        <f aca="false">RawFinancials!C179</f>
        <v>17897</v>
      </c>
      <c r="C179" s="0" t="str">
        <f aca="false">RawFinancials!P179</f>
        <v>KENNEBEC SAVINGS BANK</v>
      </c>
      <c r="D179" s="0" t="n">
        <f aca="false">RawFinancials!W179</f>
        <v>20221231</v>
      </c>
      <c r="E179" s="0" t="str">
        <f aca="false">RawFinancials!Z179</f>
        <v>ME</v>
      </c>
      <c r="F179" s="0" t="n">
        <f aca="false">RawFinancials!B179</f>
        <v>1640422</v>
      </c>
      <c r="G179" s="0" t="n">
        <f aca="false">RawFinancials!U179</f>
        <v>0</v>
      </c>
      <c r="H179" s="0" t="n">
        <f aca="false">RawFinancials!O179</f>
        <v>3315</v>
      </c>
      <c r="I179" s="0" t="n">
        <f aca="false">IF(AND(ISNUMBER(G179),ISNUMBER(H179)),G179+H179,"")</f>
        <v>3315</v>
      </c>
      <c r="J179" s="0" t="n">
        <f aca="false">RawFinancials!D179</f>
        <v>1346856</v>
      </c>
      <c r="K179" s="0" t="n">
        <f aca="false">RawFinancials!F179</f>
        <v>195954</v>
      </c>
      <c r="L179" s="0" t="n">
        <f aca="false">RawFinancials!L179</f>
        <v>1382026</v>
      </c>
      <c r="M179" s="0" t="n">
        <f aca="false">RawFinancials!N179</f>
        <v>1298561</v>
      </c>
      <c r="N179" s="13" t="n">
        <f aca="false">RawFinancials!X179</f>
        <v>0.289515552655698</v>
      </c>
      <c r="O179" s="13" t="n">
        <f aca="false">RawFinancials!V179</f>
        <v>0</v>
      </c>
      <c r="P179" s="13" t="n">
        <f aca="false">IF(AND(ISNUMBER(L179),L179&lt;&gt;0,ISNUMBER(M179)),100*M179/L179,"")</f>
        <v>93.9606780190821</v>
      </c>
      <c r="Q179" s="13" t="n">
        <f aca="false">IF(AND(ISNUMBER(F179),F179&lt;&gt;0,ISNUMBER(K179)),100*K179/F179,"")</f>
        <v>11.9453408939895</v>
      </c>
      <c r="R179" s="11" t="b">
        <f aca="false">AND(ISNUMBER(F179),F179&gt;0,ISNUMBER(G179),G179&gt;=0,ISNUMBER(H179),H179&gt;=0)</f>
        <v>1</v>
      </c>
      <c r="S179" s="13" t="n">
        <f aca="false">IF(R179,100*I179/F179,"")</f>
        <v>0.202082147154817</v>
      </c>
      <c r="T179" s="11" t="b">
        <f aca="false">NOT(AND(OR(AND(ISBLANK(RawFinancials!B179),ISBLANK(_RawBaseline!B176)),AND(ISNUMBER(RawFinancials!B179),ISNUMBER(_RawBaseline!B176),RawFinancials!B179=_RawBaseline!B176)),OR(AND(ISBLANK(RawFinancials!U179),ISBLANK(_RawBaseline!U176)),AND(ISNUMBER(RawFinancials!U179),ISNUMBER(_RawBaseline!U176),RawFinancials!U179=_RawBaseline!U176)),OR(AND(ISBLANK(RawFinancials!O179),ISBLANK(_RawBaseline!O176)),AND(ISNUMBER(RawFinancials!O179),ISNUMBER(_RawBaseline!O176),RawFinancials!O179=_RawBaseline!O176))))</f>
        <v>0</v>
      </c>
      <c r="U179" s="13" t="n">
        <f aca="false">IF(AND(D179=WF_START_PERIOD,R179,COUNTIFS($B$5:$B$750,B179,$D$5:$D$750,WF_END_PERIOD,$R$5:$R$750,TRUE())&gt;0),SUMIFS($S$5:$S$750,$B$5:$B$750,B179,$D$5:$D$750,WF_END_PERIOD,$R$5:$R$750,TRUE()),0)</f>
        <v>0</v>
      </c>
      <c r="V179" s="0" t="str">
        <f aca="false">IF(AND(D179=WF_START_PERIOD,COUNTIFS($B$5:$B$750,B179,$D$5:$D$750,WF_END_PERIOD)&gt;0),INDEX($E$5:$E$750,MATCH(B179&amp;"|"&amp;WF_END_PERIOD,$AC$5:$AC$750,0)),"")</f>
        <v/>
      </c>
      <c r="W179" s="11" t="b">
        <f aca="false">COUNTIFS($B$5:$B$750,B179,$D$5:$D$750,WF_START_PERIOD,$R$5:$R$750,TRUE())&gt;0</f>
        <v>1</v>
      </c>
      <c r="X179" s="11" t="b">
        <f aca="false">COUNTIFS($B$5:$B$750,B179,$D$5:$D$750,WF_END_PERIOD,$R$5:$R$750,TRUE())&gt;0</f>
        <v>1</v>
      </c>
      <c r="Y179" s="0" t="str">
        <f aca="false">IF(AND(D179=WF_END_PERIOD,COUNTIFS($B$5:$B$750,B179,$D$5:$D$750,WF_START_PERIOD)&gt;0),INDEX($E$5:$E$750,MATCH(B179&amp;"|"&amp;WF_START_PERIOD,$AC$5:$AC$750,0)),"")</f>
        <v/>
      </c>
      <c r="Z179" s="0" t="str">
        <f aca="false">IF(AND(D179=WF_END_PERIOD,R179),1+COUNTIFS($D$5:$D$750,WF_END_PERIOD,$E$5:$E$750,E179,$R$5:$R$750,TRUE(),$S$5:$S$750,"&gt;"&amp;S179)+COUNTIFS($D$5:$D$750,WF_END_PERIOD,$E$5:$E$750,E179,$R$5:$R$750,TRUE(),$S$5:$S$750,S179,$B$5:$B$750,"&lt;"&amp;B179),"")</f>
        <v/>
      </c>
      <c r="AA179" s="0" t="str">
        <f aca="false">IF(AND(D179=WF_END_PERIOD,R179,Z179&lt;&gt;1),1+COUNTIFS($D$5:$D$750,WF_END_PERIOD,$R$5:$R$750,TRUE(),$Z$5:$Z$750,"&lt;&gt;1",$S$5:$S$750,"&gt;"&amp;S179)+COUNTIFS($D$5:$D$750,WF_END_PERIOD,$R$5:$R$750,TRUE(),$Z$5:$Z$750,"&lt;&gt;1",$S$5:$S$750,S179,$B$5:$B$750,"&lt;"&amp;B179),"")</f>
        <v/>
      </c>
      <c r="AB179" s="11" t="b">
        <f aca="false">OR(D179=WF_START_PERIOD,D179=WF_END_PERIOD)</f>
        <v>0</v>
      </c>
      <c r="AC179" s="0" t="str">
        <f aca="false">B179&amp;"|"&amp;D179</f>
        <v>17897|20221231</v>
      </c>
    </row>
    <row r="180" customFormat="false" ht="15" hidden="false" customHeight="false" outlineLevel="0" collapsed="false">
      <c r="A180" s="0" t="n">
        <f aca="false">RawFinancials!A180</f>
        <v>177</v>
      </c>
      <c r="B180" s="0" t="n">
        <f aca="false">RawFinancials!C180</f>
        <v>17951</v>
      </c>
      <c r="C180" s="0" t="str">
        <f aca="false">RawFinancials!P180</f>
        <v>FRANKLIN SAVINGS BANK</v>
      </c>
      <c r="D180" s="0" t="n">
        <f aca="false">RawFinancials!W180</f>
        <v>20221231</v>
      </c>
      <c r="E180" s="0" t="str">
        <f aca="false">RawFinancials!Z180</f>
        <v>NH</v>
      </c>
      <c r="F180" s="0" t="n">
        <f aca="false">RawFinancials!B180</f>
        <v>761892</v>
      </c>
      <c r="G180" s="0" t="n">
        <f aca="false">RawFinancials!U180</f>
        <v>0</v>
      </c>
      <c r="H180" s="0" t="n">
        <f aca="false">RawFinancials!O180</f>
        <v>69</v>
      </c>
      <c r="I180" s="0" t="n">
        <f aca="false">IF(AND(ISNUMBER(G180),ISNUMBER(H180)),G180+H180,"")</f>
        <v>69</v>
      </c>
      <c r="J180" s="0" t="n">
        <f aca="false">RawFinancials!D180</f>
        <v>670773</v>
      </c>
      <c r="K180" s="0" t="n">
        <f aca="false">RawFinancials!F180</f>
        <v>55088</v>
      </c>
      <c r="L180" s="0" t="n">
        <f aca="false">RawFinancials!L180</f>
        <v>532569</v>
      </c>
      <c r="M180" s="0" t="n">
        <f aca="false">RawFinancials!N180</f>
        <v>498217</v>
      </c>
      <c r="N180" s="13" t="n">
        <f aca="false">RawFinancials!X180</f>
        <v>0.957897026346038</v>
      </c>
      <c r="O180" s="13" t="n">
        <f aca="false">RawFinancials!V180</f>
        <v>14.5594363369594</v>
      </c>
      <c r="P180" s="13" t="n">
        <f aca="false">IF(AND(ISNUMBER(L180),L180&lt;&gt;0,ISNUMBER(M180)),100*M180/L180,"")</f>
        <v>93.549755994059</v>
      </c>
      <c r="Q180" s="13" t="n">
        <f aca="false">IF(AND(ISNUMBER(F180),F180&lt;&gt;0,ISNUMBER(K180)),100*K180/F180,"")</f>
        <v>7.23042110955359</v>
      </c>
      <c r="R180" s="11" t="b">
        <f aca="false">AND(ISNUMBER(F180),F180&gt;0,ISNUMBER(G180),G180&gt;=0,ISNUMBER(H180),H180&gt;=0)</f>
        <v>1</v>
      </c>
      <c r="S180" s="13" t="n">
        <f aca="false">IF(R180,100*I180/F180,"")</f>
        <v>0.00905640169472839</v>
      </c>
      <c r="T180" s="11" t="b">
        <f aca="false">NOT(AND(OR(AND(ISBLANK(RawFinancials!B180),ISBLANK(_RawBaseline!B177)),AND(ISNUMBER(RawFinancials!B180),ISNUMBER(_RawBaseline!B177),RawFinancials!B180=_RawBaseline!B177)),OR(AND(ISBLANK(RawFinancials!U180),ISBLANK(_RawBaseline!U177)),AND(ISNUMBER(RawFinancials!U180),ISNUMBER(_RawBaseline!U177),RawFinancials!U180=_RawBaseline!U177)),OR(AND(ISBLANK(RawFinancials!O180),ISBLANK(_RawBaseline!O177)),AND(ISNUMBER(RawFinancials!O180),ISNUMBER(_RawBaseline!O177),RawFinancials!O180=_RawBaseline!O177))))</f>
        <v>0</v>
      </c>
      <c r="U180" s="13" t="n">
        <f aca="false">IF(AND(D180=WF_START_PERIOD,R180,COUNTIFS($B$5:$B$750,B180,$D$5:$D$750,WF_END_PERIOD,$R$5:$R$750,TRUE())&gt;0),SUMIFS($S$5:$S$750,$B$5:$B$750,B180,$D$5:$D$750,WF_END_PERIOD,$R$5:$R$750,TRUE()),0)</f>
        <v>0</v>
      </c>
      <c r="V180" s="0" t="str">
        <f aca="false">IF(AND(D180=WF_START_PERIOD,COUNTIFS($B$5:$B$750,B180,$D$5:$D$750,WF_END_PERIOD)&gt;0),INDEX($E$5:$E$750,MATCH(B180&amp;"|"&amp;WF_END_PERIOD,$AC$5:$AC$750,0)),"")</f>
        <v/>
      </c>
      <c r="W180" s="11" t="b">
        <f aca="false">COUNTIFS($B$5:$B$750,B180,$D$5:$D$750,WF_START_PERIOD,$R$5:$R$750,TRUE())&gt;0</f>
        <v>1</v>
      </c>
      <c r="X180" s="11" t="b">
        <f aca="false">COUNTIFS($B$5:$B$750,B180,$D$5:$D$750,WF_END_PERIOD,$R$5:$R$750,TRUE())&gt;0</f>
        <v>1</v>
      </c>
      <c r="Y180" s="0" t="str">
        <f aca="false">IF(AND(D180=WF_END_PERIOD,COUNTIFS($B$5:$B$750,B180,$D$5:$D$750,WF_START_PERIOD)&gt;0),INDEX($E$5:$E$750,MATCH(B180&amp;"|"&amp;WF_START_PERIOD,$AC$5:$AC$750,0)),"")</f>
        <v/>
      </c>
      <c r="Z180" s="0" t="str">
        <f aca="false">IF(AND(D180=WF_END_PERIOD,R180),1+COUNTIFS($D$5:$D$750,WF_END_PERIOD,$E$5:$E$750,E180,$R$5:$R$750,TRUE(),$S$5:$S$750,"&gt;"&amp;S180)+COUNTIFS($D$5:$D$750,WF_END_PERIOD,$E$5:$E$750,E180,$R$5:$R$750,TRUE(),$S$5:$S$750,S180,$B$5:$B$750,"&lt;"&amp;B180),"")</f>
        <v/>
      </c>
      <c r="AA180" s="0" t="str">
        <f aca="false">IF(AND(D180=WF_END_PERIOD,R180,Z180&lt;&gt;1),1+COUNTIFS($D$5:$D$750,WF_END_PERIOD,$R$5:$R$750,TRUE(),$Z$5:$Z$750,"&lt;&gt;1",$S$5:$S$750,"&gt;"&amp;S180)+COUNTIFS($D$5:$D$750,WF_END_PERIOD,$R$5:$R$750,TRUE(),$Z$5:$Z$750,"&lt;&gt;1",$S$5:$S$750,S180,$B$5:$B$750,"&lt;"&amp;B180),"")</f>
        <v/>
      </c>
      <c r="AB180" s="11" t="b">
        <f aca="false">OR(D180=WF_START_PERIOD,D180=WF_END_PERIOD)</f>
        <v>0</v>
      </c>
      <c r="AC180" s="0" t="str">
        <f aca="false">B180&amp;"|"&amp;D180</f>
        <v>17951|20221231</v>
      </c>
    </row>
    <row r="181" customFormat="false" ht="15" hidden="false" customHeight="false" outlineLevel="0" collapsed="false">
      <c r="A181" s="0" t="n">
        <f aca="false">RawFinancials!A181</f>
        <v>178</v>
      </c>
      <c r="B181" s="0" t="n">
        <f aca="false">RawFinancials!C181</f>
        <v>17960</v>
      </c>
      <c r="C181" s="0" t="str">
        <f aca="false">RawFinancials!P181</f>
        <v>MERRIMACK COUNTY SAVINGS BANK</v>
      </c>
      <c r="D181" s="0" t="n">
        <f aca="false">RawFinancials!W181</f>
        <v>20221231</v>
      </c>
      <c r="E181" s="0" t="str">
        <f aca="false">RawFinancials!Z181</f>
        <v>NH</v>
      </c>
      <c r="F181" s="0" t="n">
        <f aca="false">RawFinancials!B181</f>
        <v>1317746</v>
      </c>
      <c r="G181" s="0" t="n">
        <f aca="false">RawFinancials!U181</f>
        <v>901</v>
      </c>
      <c r="H181" s="0" t="n">
        <f aca="false">RawFinancials!O181</f>
        <v>789</v>
      </c>
      <c r="I181" s="0" t="n">
        <f aca="false">IF(AND(ISNUMBER(G181),ISNUMBER(H181)),G181+H181,"")</f>
        <v>1690</v>
      </c>
      <c r="J181" s="0" t="n">
        <f aca="false">RawFinancials!D181</f>
        <v>1042080</v>
      </c>
      <c r="K181" s="0" t="n">
        <f aca="false">RawFinancials!F181</f>
        <v>104375</v>
      </c>
      <c r="L181" s="0" t="n">
        <f aca="false">RawFinancials!L181</f>
        <v>1117900</v>
      </c>
      <c r="M181" s="0" t="n">
        <f aca="false">RawFinancials!N181</f>
        <v>810216</v>
      </c>
      <c r="N181" s="13" t="n">
        <f aca="false">RawFinancials!X181</f>
        <v>0.767586875249667</v>
      </c>
      <c r="O181" s="13" t="n">
        <f aca="false">RawFinancials!V181</f>
        <v>12.7428677725826</v>
      </c>
      <c r="P181" s="13" t="n">
        <f aca="false">IF(AND(ISNUMBER(L181),L181&lt;&gt;0,ISNUMBER(M181)),100*M181/L181,"")</f>
        <v>72.4766079255747</v>
      </c>
      <c r="Q181" s="13" t="n">
        <f aca="false">IF(AND(ISNUMBER(F181),F181&lt;&gt;0,ISNUMBER(K181)),100*K181/F181,"")</f>
        <v>7.92072220291316</v>
      </c>
      <c r="R181" s="11" t="b">
        <f aca="false">AND(ISNUMBER(F181),F181&gt;0,ISNUMBER(G181),G181&gt;=0,ISNUMBER(H181),H181&gt;=0)</f>
        <v>1</v>
      </c>
      <c r="S181" s="13" t="n">
        <f aca="false">IF(R181,100*I181/F181,"")</f>
        <v>0.128249298423217</v>
      </c>
      <c r="T181" s="11" t="b">
        <f aca="false">NOT(AND(OR(AND(ISBLANK(RawFinancials!B181),ISBLANK(_RawBaseline!B178)),AND(ISNUMBER(RawFinancials!B181),ISNUMBER(_RawBaseline!B178),RawFinancials!B181=_RawBaseline!B178)),OR(AND(ISBLANK(RawFinancials!U181),ISBLANK(_RawBaseline!U178)),AND(ISNUMBER(RawFinancials!U181),ISNUMBER(_RawBaseline!U178),RawFinancials!U181=_RawBaseline!U178)),OR(AND(ISBLANK(RawFinancials!O181),ISBLANK(_RawBaseline!O178)),AND(ISNUMBER(RawFinancials!O181),ISNUMBER(_RawBaseline!O178),RawFinancials!O181=_RawBaseline!O178))))</f>
        <v>0</v>
      </c>
      <c r="U181" s="13" t="n">
        <f aca="false">IF(AND(D181=WF_START_PERIOD,R181,COUNTIFS($B$5:$B$750,B181,$D$5:$D$750,WF_END_PERIOD,$R$5:$R$750,TRUE())&gt;0),SUMIFS($S$5:$S$750,$B$5:$B$750,B181,$D$5:$D$750,WF_END_PERIOD,$R$5:$R$750,TRUE()),0)</f>
        <v>0</v>
      </c>
      <c r="V181" s="0" t="str">
        <f aca="false">IF(AND(D181=WF_START_PERIOD,COUNTIFS($B$5:$B$750,B181,$D$5:$D$750,WF_END_PERIOD)&gt;0),INDEX($E$5:$E$750,MATCH(B181&amp;"|"&amp;WF_END_PERIOD,$AC$5:$AC$750,0)),"")</f>
        <v/>
      </c>
      <c r="W181" s="11" t="b">
        <f aca="false">COUNTIFS($B$5:$B$750,B181,$D$5:$D$750,WF_START_PERIOD,$R$5:$R$750,TRUE())&gt;0</f>
        <v>1</v>
      </c>
      <c r="X181" s="11" t="b">
        <f aca="false">COUNTIFS($B$5:$B$750,B181,$D$5:$D$750,WF_END_PERIOD,$R$5:$R$750,TRUE())&gt;0</f>
        <v>1</v>
      </c>
      <c r="Y181" s="0" t="str">
        <f aca="false">IF(AND(D181=WF_END_PERIOD,COUNTIFS($B$5:$B$750,B181,$D$5:$D$750,WF_START_PERIOD)&gt;0),INDEX($E$5:$E$750,MATCH(B181&amp;"|"&amp;WF_START_PERIOD,$AC$5:$AC$750,0)),"")</f>
        <v/>
      </c>
      <c r="Z181" s="0" t="str">
        <f aca="false">IF(AND(D181=WF_END_PERIOD,R181),1+COUNTIFS($D$5:$D$750,WF_END_PERIOD,$E$5:$E$750,E181,$R$5:$R$750,TRUE(),$S$5:$S$750,"&gt;"&amp;S181)+COUNTIFS($D$5:$D$750,WF_END_PERIOD,$E$5:$E$750,E181,$R$5:$R$750,TRUE(),$S$5:$S$750,S181,$B$5:$B$750,"&lt;"&amp;B181),"")</f>
        <v/>
      </c>
      <c r="AA181" s="0" t="str">
        <f aca="false">IF(AND(D181=WF_END_PERIOD,R181,Z181&lt;&gt;1),1+COUNTIFS($D$5:$D$750,WF_END_PERIOD,$R$5:$R$750,TRUE(),$Z$5:$Z$750,"&lt;&gt;1",$S$5:$S$750,"&gt;"&amp;S181)+COUNTIFS($D$5:$D$750,WF_END_PERIOD,$R$5:$R$750,TRUE(),$Z$5:$Z$750,"&lt;&gt;1",$S$5:$S$750,S181,$B$5:$B$750,"&lt;"&amp;B181),"")</f>
        <v/>
      </c>
      <c r="AB181" s="11" t="b">
        <f aca="false">OR(D181=WF_START_PERIOD,D181=WF_END_PERIOD)</f>
        <v>0</v>
      </c>
      <c r="AC181" s="0" t="str">
        <f aca="false">B181&amp;"|"&amp;D181</f>
        <v>17960|20221231</v>
      </c>
    </row>
    <row r="182" customFormat="false" ht="15" hidden="false" customHeight="false" outlineLevel="0" collapsed="false">
      <c r="A182" s="0" t="n">
        <f aca="false">RawFinancials!A182</f>
        <v>179</v>
      </c>
      <c r="B182" s="0" t="n">
        <f aca="false">RawFinancials!C182</f>
        <v>18012</v>
      </c>
      <c r="C182" s="0" t="str">
        <f aca="false">RawFinancials!P182</f>
        <v>BANK OF NEW HAMPSHIRE</v>
      </c>
      <c r="D182" s="0" t="n">
        <f aca="false">RawFinancials!W182</f>
        <v>20221231</v>
      </c>
      <c r="E182" s="0" t="str">
        <f aca="false">RawFinancials!Z182</f>
        <v>NH</v>
      </c>
      <c r="F182" s="0" t="n">
        <f aca="false">RawFinancials!B182</f>
        <v>2432022</v>
      </c>
      <c r="G182" s="0" t="n">
        <f aca="false">RawFinancials!U182</f>
        <v>0</v>
      </c>
      <c r="H182" s="0" t="n">
        <f aca="false">RawFinancials!O182</f>
        <v>1509</v>
      </c>
      <c r="I182" s="0" t="n">
        <f aca="false">IF(AND(ISNUMBER(G182),ISNUMBER(H182)),G182+H182,"")</f>
        <v>1509</v>
      </c>
      <c r="J182" s="0" t="n">
        <f aca="false">RawFinancials!D182</f>
        <v>2055299</v>
      </c>
      <c r="K182" s="0" t="n">
        <f aca="false">RawFinancials!F182</f>
        <v>239523</v>
      </c>
      <c r="L182" s="0" t="n">
        <f aca="false">RawFinancials!L182</f>
        <v>1963339</v>
      </c>
      <c r="M182" s="0" t="n">
        <f aca="false">RawFinancials!N182</f>
        <v>1858029</v>
      </c>
      <c r="N182" s="13" t="n">
        <f aca="false">RawFinancials!X182</f>
        <v>1.14794471486809</v>
      </c>
      <c r="O182" s="13" t="n">
        <f aca="false">RawFinancials!V182</f>
        <v>12.9616102023348</v>
      </c>
      <c r="P182" s="13" t="n">
        <f aca="false">IF(AND(ISNUMBER(L182),L182&lt;&gt;0,ISNUMBER(M182)),100*M182/L182,"")</f>
        <v>94.636178469434</v>
      </c>
      <c r="Q182" s="13" t="n">
        <f aca="false">IF(AND(ISNUMBER(F182),F182&lt;&gt;0,ISNUMBER(K182)),100*K182/F182,"")</f>
        <v>9.84871847376381</v>
      </c>
      <c r="R182" s="11" t="b">
        <f aca="false">AND(ISNUMBER(F182),F182&gt;0,ISNUMBER(G182),G182&gt;=0,ISNUMBER(H182),H182&gt;=0)</f>
        <v>1</v>
      </c>
      <c r="S182" s="13" t="n">
        <f aca="false">IF(R182,100*I182/F182,"")</f>
        <v>0.0620471360867624</v>
      </c>
      <c r="T182" s="11" t="b">
        <f aca="false">NOT(AND(OR(AND(ISBLANK(RawFinancials!B182),ISBLANK(_RawBaseline!B179)),AND(ISNUMBER(RawFinancials!B182),ISNUMBER(_RawBaseline!B179),RawFinancials!B182=_RawBaseline!B179)),OR(AND(ISBLANK(RawFinancials!U182),ISBLANK(_RawBaseline!U179)),AND(ISNUMBER(RawFinancials!U182),ISNUMBER(_RawBaseline!U179),RawFinancials!U182=_RawBaseline!U179)),OR(AND(ISBLANK(RawFinancials!O182),ISBLANK(_RawBaseline!O179)),AND(ISNUMBER(RawFinancials!O182),ISNUMBER(_RawBaseline!O179),RawFinancials!O182=_RawBaseline!O179))))</f>
        <v>0</v>
      </c>
      <c r="U182" s="13" t="n">
        <f aca="false">IF(AND(D182=WF_START_PERIOD,R182,COUNTIFS($B$5:$B$750,B182,$D$5:$D$750,WF_END_PERIOD,$R$5:$R$750,TRUE())&gt;0),SUMIFS($S$5:$S$750,$B$5:$B$750,B182,$D$5:$D$750,WF_END_PERIOD,$R$5:$R$750,TRUE()),0)</f>
        <v>0</v>
      </c>
      <c r="V182" s="0" t="str">
        <f aca="false">IF(AND(D182=WF_START_PERIOD,COUNTIFS($B$5:$B$750,B182,$D$5:$D$750,WF_END_PERIOD)&gt;0),INDEX($E$5:$E$750,MATCH(B182&amp;"|"&amp;WF_END_PERIOD,$AC$5:$AC$750,0)),"")</f>
        <v/>
      </c>
      <c r="W182" s="11" t="b">
        <f aca="false">COUNTIFS($B$5:$B$750,B182,$D$5:$D$750,WF_START_PERIOD,$R$5:$R$750,TRUE())&gt;0</f>
        <v>1</v>
      </c>
      <c r="X182" s="11" t="b">
        <f aca="false">COUNTIFS($B$5:$B$750,B182,$D$5:$D$750,WF_END_PERIOD,$R$5:$R$750,TRUE())&gt;0</f>
        <v>1</v>
      </c>
      <c r="Y182" s="0" t="str">
        <f aca="false">IF(AND(D182=WF_END_PERIOD,COUNTIFS($B$5:$B$750,B182,$D$5:$D$750,WF_START_PERIOD)&gt;0),INDEX($E$5:$E$750,MATCH(B182&amp;"|"&amp;WF_START_PERIOD,$AC$5:$AC$750,0)),"")</f>
        <v/>
      </c>
      <c r="Z182" s="0" t="str">
        <f aca="false">IF(AND(D182=WF_END_PERIOD,R182),1+COUNTIFS($D$5:$D$750,WF_END_PERIOD,$E$5:$E$750,E182,$R$5:$R$750,TRUE(),$S$5:$S$750,"&gt;"&amp;S182)+COUNTIFS($D$5:$D$750,WF_END_PERIOD,$E$5:$E$750,E182,$R$5:$R$750,TRUE(),$S$5:$S$750,S182,$B$5:$B$750,"&lt;"&amp;B182),"")</f>
        <v/>
      </c>
      <c r="AA182" s="0" t="str">
        <f aca="false">IF(AND(D182=WF_END_PERIOD,R182,Z182&lt;&gt;1),1+COUNTIFS($D$5:$D$750,WF_END_PERIOD,$R$5:$R$750,TRUE(),$Z$5:$Z$750,"&lt;&gt;1",$S$5:$S$750,"&gt;"&amp;S182)+COUNTIFS($D$5:$D$750,WF_END_PERIOD,$R$5:$R$750,TRUE(),$Z$5:$Z$750,"&lt;&gt;1",$S$5:$S$750,S182,$B$5:$B$750,"&lt;"&amp;B182),"")</f>
        <v/>
      </c>
      <c r="AB182" s="11" t="b">
        <f aca="false">OR(D182=WF_START_PERIOD,D182=WF_END_PERIOD)</f>
        <v>0</v>
      </c>
      <c r="AC182" s="0" t="str">
        <f aca="false">B182&amp;"|"&amp;D182</f>
        <v>18012|20221231</v>
      </c>
    </row>
    <row r="183" customFormat="false" ht="15" hidden="false" customHeight="false" outlineLevel="0" collapsed="false">
      <c r="A183" s="0" t="n">
        <f aca="false">RawFinancials!A183</f>
        <v>180</v>
      </c>
      <c r="B183" s="0" t="n">
        <f aca="false">RawFinancials!C183</f>
        <v>18013</v>
      </c>
      <c r="C183" s="0" t="str">
        <f aca="false">RawFinancials!P183</f>
        <v>MASCOMA BANK</v>
      </c>
      <c r="D183" s="0" t="n">
        <f aca="false">RawFinancials!W183</f>
        <v>20221231</v>
      </c>
      <c r="E183" s="0" t="str">
        <f aca="false">RawFinancials!Z183</f>
        <v>NH</v>
      </c>
      <c r="F183" s="0" t="n">
        <f aca="false">RawFinancials!B183</f>
        <v>2733504</v>
      </c>
      <c r="G183" s="0" t="n">
        <f aca="false">RawFinancials!U183</f>
        <v>62</v>
      </c>
      <c r="H183" s="0" t="n">
        <f aca="false">RawFinancials!O183</f>
        <v>1584</v>
      </c>
      <c r="I183" s="0" t="n">
        <f aca="false">IF(AND(ISNUMBER(G183),ISNUMBER(H183)),G183+H183,"")</f>
        <v>1646</v>
      </c>
      <c r="J183" s="0" t="n">
        <f aca="false">RawFinancials!D183</f>
        <v>2369151</v>
      </c>
      <c r="K183" s="0" t="n">
        <f aca="false">RawFinancials!F183</f>
        <v>202913</v>
      </c>
      <c r="L183" s="0" t="n">
        <f aca="false">RawFinancials!L183</f>
        <v>2169489</v>
      </c>
      <c r="M183" s="0" t="n">
        <f aca="false">RawFinancials!N183</f>
        <v>1987119</v>
      </c>
      <c r="N183" s="13" t="n">
        <f aca="false">RawFinancials!X183</f>
        <v>0.710358869365882</v>
      </c>
      <c r="O183" s="13" t="n">
        <f aca="false">RawFinancials!V183</f>
        <v>13.2949257471121</v>
      </c>
      <c r="P183" s="13" t="n">
        <f aca="false">IF(AND(ISNUMBER(L183),L183&lt;&gt;0,ISNUMBER(M183)),100*M183/L183,"")</f>
        <v>91.5938730272428</v>
      </c>
      <c r="Q183" s="13" t="n">
        <f aca="false">IF(AND(ISNUMBER(F183),F183&lt;&gt;0,ISNUMBER(K183)),100*K183/F183,"")</f>
        <v>7.42318284516869</v>
      </c>
      <c r="R183" s="11" t="b">
        <f aca="false">AND(ISNUMBER(F183),F183&gt;0,ISNUMBER(G183),G183&gt;=0,ISNUMBER(H183),H183&gt;=0)</f>
        <v>1</v>
      </c>
      <c r="S183" s="13" t="n">
        <f aca="false">IF(R183,100*I183/F183,"")</f>
        <v>0.0602157523822903</v>
      </c>
      <c r="T183" s="11" t="b">
        <f aca="false">NOT(AND(OR(AND(ISBLANK(RawFinancials!B183),ISBLANK(_RawBaseline!B180)),AND(ISNUMBER(RawFinancials!B183),ISNUMBER(_RawBaseline!B180),RawFinancials!B183=_RawBaseline!B180)),OR(AND(ISBLANK(RawFinancials!U183),ISBLANK(_RawBaseline!U180)),AND(ISNUMBER(RawFinancials!U183),ISNUMBER(_RawBaseline!U180),RawFinancials!U183=_RawBaseline!U180)),OR(AND(ISBLANK(RawFinancials!O183),ISBLANK(_RawBaseline!O180)),AND(ISNUMBER(RawFinancials!O183),ISNUMBER(_RawBaseline!O180),RawFinancials!O183=_RawBaseline!O180))))</f>
        <v>0</v>
      </c>
      <c r="U183" s="13" t="n">
        <f aca="false">IF(AND(D183=WF_START_PERIOD,R183,COUNTIFS($B$5:$B$750,B183,$D$5:$D$750,WF_END_PERIOD,$R$5:$R$750,TRUE())&gt;0),SUMIFS($S$5:$S$750,$B$5:$B$750,B183,$D$5:$D$750,WF_END_PERIOD,$R$5:$R$750,TRUE()),0)</f>
        <v>0</v>
      </c>
      <c r="V183" s="0" t="str">
        <f aca="false">IF(AND(D183=WF_START_PERIOD,COUNTIFS($B$5:$B$750,B183,$D$5:$D$750,WF_END_PERIOD)&gt;0),INDEX($E$5:$E$750,MATCH(B183&amp;"|"&amp;WF_END_PERIOD,$AC$5:$AC$750,0)),"")</f>
        <v/>
      </c>
      <c r="W183" s="11" t="b">
        <f aca="false">COUNTIFS($B$5:$B$750,B183,$D$5:$D$750,WF_START_PERIOD,$R$5:$R$750,TRUE())&gt;0</f>
        <v>1</v>
      </c>
      <c r="X183" s="11" t="b">
        <f aca="false">COUNTIFS($B$5:$B$750,B183,$D$5:$D$750,WF_END_PERIOD,$R$5:$R$750,TRUE())&gt;0</f>
        <v>1</v>
      </c>
      <c r="Y183" s="0" t="str">
        <f aca="false">IF(AND(D183=WF_END_PERIOD,COUNTIFS($B$5:$B$750,B183,$D$5:$D$750,WF_START_PERIOD)&gt;0),INDEX($E$5:$E$750,MATCH(B183&amp;"|"&amp;WF_START_PERIOD,$AC$5:$AC$750,0)),"")</f>
        <v/>
      </c>
      <c r="Z183" s="0" t="str">
        <f aca="false">IF(AND(D183=WF_END_PERIOD,R183),1+COUNTIFS($D$5:$D$750,WF_END_PERIOD,$E$5:$E$750,E183,$R$5:$R$750,TRUE(),$S$5:$S$750,"&gt;"&amp;S183)+COUNTIFS($D$5:$D$750,WF_END_PERIOD,$E$5:$E$750,E183,$R$5:$R$750,TRUE(),$S$5:$S$750,S183,$B$5:$B$750,"&lt;"&amp;B183),"")</f>
        <v/>
      </c>
      <c r="AA183" s="0" t="str">
        <f aca="false">IF(AND(D183=WF_END_PERIOD,R183,Z183&lt;&gt;1),1+COUNTIFS($D$5:$D$750,WF_END_PERIOD,$R$5:$R$750,TRUE(),$Z$5:$Z$750,"&lt;&gt;1",$S$5:$S$750,"&gt;"&amp;S183)+COUNTIFS($D$5:$D$750,WF_END_PERIOD,$R$5:$R$750,TRUE(),$Z$5:$Z$750,"&lt;&gt;1",$S$5:$S$750,S183,$B$5:$B$750,"&lt;"&amp;B183),"")</f>
        <v/>
      </c>
      <c r="AB183" s="11" t="b">
        <f aca="false">OR(D183=WF_START_PERIOD,D183=WF_END_PERIOD)</f>
        <v>0</v>
      </c>
      <c r="AC183" s="0" t="str">
        <f aca="false">B183&amp;"|"&amp;D183</f>
        <v>18013|20221231</v>
      </c>
    </row>
    <row r="184" customFormat="false" ht="15" hidden="false" customHeight="false" outlineLevel="0" collapsed="false">
      <c r="A184" s="0" t="n">
        <f aca="false">RawFinancials!A184</f>
        <v>181</v>
      </c>
      <c r="B184" s="0" t="n">
        <f aca="false">RawFinancials!C184</f>
        <v>18028</v>
      </c>
      <c r="C184" s="0" t="str">
        <f aca="false">RawFinancials!P184</f>
        <v>SUGAR RIVER BANK</v>
      </c>
      <c r="D184" s="0" t="n">
        <f aca="false">RawFinancials!W184</f>
        <v>20221231</v>
      </c>
      <c r="E184" s="0" t="str">
        <f aca="false">RawFinancials!Z184</f>
        <v>NH</v>
      </c>
      <c r="F184" s="0" t="n">
        <f aca="false">RawFinancials!B184</f>
        <v>382131</v>
      </c>
      <c r="G184" s="0" t="n">
        <f aca="false">RawFinancials!U184</f>
        <v>456</v>
      </c>
      <c r="H184" s="0" t="n">
        <f aca="false">RawFinancials!O184</f>
        <v>1059</v>
      </c>
      <c r="I184" s="0" t="n">
        <f aca="false">IF(AND(ISNUMBER(G184),ISNUMBER(H184)),G184+H184,"")</f>
        <v>1515</v>
      </c>
      <c r="J184" s="0" t="n">
        <f aca="false">RawFinancials!D184</f>
        <v>329968</v>
      </c>
      <c r="K184" s="0" t="n">
        <f aca="false">RawFinancials!F184</f>
        <v>35637</v>
      </c>
      <c r="L184" s="0" t="n">
        <f aca="false">RawFinancials!L184</f>
        <v>252236</v>
      </c>
      <c r="M184" s="0" t="n">
        <f aca="false">RawFinancials!N184</f>
        <v>218425</v>
      </c>
      <c r="N184" s="13" t="n">
        <f aca="false">RawFinancials!X184</f>
        <v>0.675459452597504</v>
      </c>
      <c r="O184" s="13" t="n">
        <f aca="false">RawFinancials!V184</f>
        <v>0</v>
      </c>
      <c r="P184" s="13" t="n">
        <f aca="false">IF(AND(ISNUMBER(L184),L184&lt;&gt;0,ISNUMBER(M184)),100*M184/L184,"")</f>
        <v>86.5954899379946</v>
      </c>
      <c r="Q184" s="13" t="n">
        <f aca="false">IF(AND(ISNUMBER(F184),F184&lt;&gt;0,ISNUMBER(K184)),100*K184/F184,"")</f>
        <v>9.32585945657379</v>
      </c>
      <c r="R184" s="11" t="b">
        <f aca="false">AND(ISNUMBER(F184),F184&gt;0,ISNUMBER(G184),G184&gt;=0,ISNUMBER(H184),H184&gt;=0)</f>
        <v>1</v>
      </c>
      <c r="S184" s="13" t="n">
        <f aca="false">IF(R184,100*I184/F184,"")</f>
        <v>0.396460899534453</v>
      </c>
      <c r="T184" s="11" t="b">
        <f aca="false">NOT(AND(OR(AND(ISBLANK(RawFinancials!B184),ISBLANK(_RawBaseline!B181)),AND(ISNUMBER(RawFinancials!B184),ISNUMBER(_RawBaseline!B181),RawFinancials!B184=_RawBaseline!B181)),OR(AND(ISBLANK(RawFinancials!U184),ISBLANK(_RawBaseline!U181)),AND(ISNUMBER(RawFinancials!U184),ISNUMBER(_RawBaseline!U181),RawFinancials!U184=_RawBaseline!U181)),OR(AND(ISBLANK(RawFinancials!O184),ISBLANK(_RawBaseline!O181)),AND(ISNUMBER(RawFinancials!O184),ISNUMBER(_RawBaseline!O181),RawFinancials!O184=_RawBaseline!O181))))</f>
        <v>0</v>
      </c>
      <c r="U184" s="13" t="n">
        <f aca="false">IF(AND(D184=WF_START_PERIOD,R184,COUNTIFS($B$5:$B$750,B184,$D$5:$D$750,WF_END_PERIOD,$R$5:$R$750,TRUE())&gt;0),SUMIFS($S$5:$S$750,$B$5:$B$750,B184,$D$5:$D$750,WF_END_PERIOD,$R$5:$R$750,TRUE()),0)</f>
        <v>0</v>
      </c>
      <c r="V184" s="0" t="str">
        <f aca="false">IF(AND(D184=WF_START_PERIOD,COUNTIFS($B$5:$B$750,B184,$D$5:$D$750,WF_END_PERIOD)&gt;0),INDEX($E$5:$E$750,MATCH(B184&amp;"|"&amp;WF_END_PERIOD,$AC$5:$AC$750,0)),"")</f>
        <v/>
      </c>
      <c r="W184" s="11" t="b">
        <f aca="false">COUNTIFS($B$5:$B$750,B184,$D$5:$D$750,WF_START_PERIOD,$R$5:$R$750,TRUE())&gt;0</f>
        <v>1</v>
      </c>
      <c r="X184" s="11" t="b">
        <f aca="false">COUNTIFS($B$5:$B$750,B184,$D$5:$D$750,WF_END_PERIOD,$R$5:$R$750,TRUE())&gt;0</f>
        <v>1</v>
      </c>
      <c r="Y184" s="0" t="str">
        <f aca="false">IF(AND(D184=WF_END_PERIOD,COUNTIFS($B$5:$B$750,B184,$D$5:$D$750,WF_START_PERIOD)&gt;0),INDEX($E$5:$E$750,MATCH(B184&amp;"|"&amp;WF_START_PERIOD,$AC$5:$AC$750,0)),"")</f>
        <v/>
      </c>
      <c r="Z184" s="0" t="str">
        <f aca="false">IF(AND(D184=WF_END_PERIOD,R184),1+COUNTIFS($D$5:$D$750,WF_END_PERIOD,$E$5:$E$750,E184,$R$5:$R$750,TRUE(),$S$5:$S$750,"&gt;"&amp;S184)+COUNTIFS($D$5:$D$750,WF_END_PERIOD,$E$5:$E$750,E184,$R$5:$R$750,TRUE(),$S$5:$S$750,S184,$B$5:$B$750,"&lt;"&amp;B184),"")</f>
        <v/>
      </c>
      <c r="AA184" s="0" t="str">
        <f aca="false">IF(AND(D184=WF_END_PERIOD,R184,Z184&lt;&gt;1),1+COUNTIFS($D$5:$D$750,WF_END_PERIOD,$R$5:$R$750,TRUE(),$Z$5:$Z$750,"&lt;&gt;1",$S$5:$S$750,"&gt;"&amp;S184)+COUNTIFS($D$5:$D$750,WF_END_PERIOD,$R$5:$R$750,TRUE(),$Z$5:$Z$750,"&lt;&gt;1",$S$5:$S$750,S184,$B$5:$B$750,"&lt;"&amp;B184),"")</f>
        <v/>
      </c>
      <c r="AB184" s="11" t="b">
        <f aca="false">OR(D184=WF_START_PERIOD,D184=WF_END_PERIOD)</f>
        <v>0</v>
      </c>
      <c r="AC184" s="0" t="str">
        <f aca="false">B184&amp;"|"&amp;D184</f>
        <v>18028|20221231</v>
      </c>
    </row>
    <row r="185" customFormat="false" ht="15" hidden="false" customHeight="false" outlineLevel="0" collapsed="false">
      <c r="A185" s="0" t="n">
        <f aca="false">RawFinancials!A185</f>
        <v>182</v>
      </c>
      <c r="B185" s="0" t="n">
        <f aca="false">RawFinancials!C185</f>
        <v>18030</v>
      </c>
      <c r="C185" s="0" t="str">
        <f aca="false">RawFinancials!P185</f>
        <v>SAVINGS BANK OF WALPOLE</v>
      </c>
      <c r="D185" s="0" t="n">
        <f aca="false">RawFinancials!W185</f>
        <v>20221231</v>
      </c>
      <c r="E185" s="0" t="str">
        <f aca="false">RawFinancials!Z185</f>
        <v>NH</v>
      </c>
      <c r="F185" s="0" t="n">
        <f aca="false">RawFinancials!B185</f>
        <v>702716</v>
      </c>
      <c r="G185" s="0" t="n">
        <f aca="false">RawFinancials!U185</f>
        <v>0</v>
      </c>
      <c r="H185" s="0" t="n">
        <f aca="false">RawFinancials!O185</f>
        <v>822</v>
      </c>
      <c r="I185" s="0" t="n">
        <f aca="false">IF(AND(ISNUMBER(G185),ISNUMBER(H185)),G185+H185,"")</f>
        <v>822</v>
      </c>
      <c r="J185" s="0" t="n">
        <f aca="false">RawFinancials!D185</f>
        <v>654989</v>
      </c>
      <c r="K185" s="0" t="n">
        <f aca="false">RawFinancials!F185</f>
        <v>42204</v>
      </c>
      <c r="L185" s="0" t="n">
        <f aca="false">RawFinancials!L185</f>
        <v>551441</v>
      </c>
      <c r="M185" s="0" t="n">
        <f aca="false">RawFinancials!N185</f>
        <v>430473</v>
      </c>
      <c r="N185" s="13" t="n">
        <f aca="false">RawFinancials!X185</f>
        <v>0.385791360891023</v>
      </c>
      <c r="O185" s="13" t="n">
        <f aca="false">RawFinancials!V185</f>
        <v>12.9663643069234</v>
      </c>
      <c r="P185" s="13" t="n">
        <f aca="false">IF(AND(ISNUMBER(L185),L185&lt;&gt;0,ISNUMBER(M185)),100*M185/L185,"")</f>
        <v>78.0632923558459</v>
      </c>
      <c r="Q185" s="13" t="n">
        <f aca="false">IF(AND(ISNUMBER(F185),F185&lt;&gt;0,ISNUMBER(K185)),100*K185/F185,"")</f>
        <v>6.00584019717781</v>
      </c>
      <c r="R185" s="11" t="b">
        <f aca="false">AND(ISNUMBER(F185),F185&gt;0,ISNUMBER(G185),G185&gt;=0,ISNUMBER(H185),H185&gt;=0)</f>
        <v>1</v>
      </c>
      <c r="S185" s="13" t="n">
        <f aca="false">IF(R185,100*I185/F185,"")</f>
        <v>0.116974709555496</v>
      </c>
      <c r="T185" s="11" t="b">
        <f aca="false">NOT(AND(OR(AND(ISBLANK(RawFinancials!B185),ISBLANK(_RawBaseline!B182)),AND(ISNUMBER(RawFinancials!B185),ISNUMBER(_RawBaseline!B182),RawFinancials!B185=_RawBaseline!B182)),OR(AND(ISBLANK(RawFinancials!U185),ISBLANK(_RawBaseline!U182)),AND(ISNUMBER(RawFinancials!U185),ISNUMBER(_RawBaseline!U182),RawFinancials!U185=_RawBaseline!U182)),OR(AND(ISBLANK(RawFinancials!O185),ISBLANK(_RawBaseline!O182)),AND(ISNUMBER(RawFinancials!O185),ISNUMBER(_RawBaseline!O182),RawFinancials!O185=_RawBaseline!O182))))</f>
        <v>0</v>
      </c>
      <c r="U185" s="13" t="n">
        <f aca="false">IF(AND(D185=WF_START_PERIOD,R185,COUNTIFS($B$5:$B$750,B185,$D$5:$D$750,WF_END_PERIOD,$R$5:$R$750,TRUE())&gt;0),SUMIFS($S$5:$S$750,$B$5:$B$750,B185,$D$5:$D$750,WF_END_PERIOD,$R$5:$R$750,TRUE()),0)</f>
        <v>0</v>
      </c>
      <c r="V185" s="0" t="str">
        <f aca="false">IF(AND(D185=WF_START_PERIOD,COUNTIFS($B$5:$B$750,B185,$D$5:$D$750,WF_END_PERIOD)&gt;0),INDEX($E$5:$E$750,MATCH(B185&amp;"|"&amp;WF_END_PERIOD,$AC$5:$AC$750,0)),"")</f>
        <v/>
      </c>
      <c r="W185" s="11" t="b">
        <f aca="false">COUNTIFS($B$5:$B$750,B185,$D$5:$D$750,WF_START_PERIOD,$R$5:$R$750,TRUE())&gt;0</f>
        <v>1</v>
      </c>
      <c r="X185" s="11" t="b">
        <f aca="false">COUNTIFS($B$5:$B$750,B185,$D$5:$D$750,WF_END_PERIOD,$R$5:$R$750,TRUE())&gt;0</f>
        <v>1</v>
      </c>
      <c r="Y185" s="0" t="str">
        <f aca="false">IF(AND(D185=WF_END_PERIOD,COUNTIFS($B$5:$B$750,B185,$D$5:$D$750,WF_START_PERIOD)&gt;0),INDEX($E$5:$E$750,MATCH(B185&amp;"|"&amp;WF_START_PERIOD,$AC$5:$AC$750,0)),"")</f>
        <v/>
      </c>
      <c r="Z185" s="0" t="str">
        <f aca="false">IF(AND(D185=WF_END_PERIOD,R185),1+COUNTIFS($D$5:$D$750,WF_END_PERIOD,$E$5:$E$750,E185,$R$5:$R$750,TRUE(),$S$5:$S$750,"&gt;"&amp;S185)+COUNTIFS($D$5:$D$750,WF_END_PERIOD,$E$5:$E$750,E185,$R$5:$R$750,TRUE(),$S$5:$S$750,S185,$B$5:$B$750,"&lt;"&amp;B185),"")</f>
        <v/>
      </c>
      <c r="AA185" s="0" t="str">
        <f aca="false">IF(AND(D185=WF_END_PERIOD,R185,Z185&lt;&gt;1),1+COUNTIFS($D$5:$D$750,WF_END_PERIOD,$R$5:$R$750,TRUE(),$Z$5:$Z$750,"&lt;&gt;1",$S$5:$S$750,"&gt;"&amp;S185)+COUNTIFS($D$5:$D$750,WF_END_PERIOD,$R$5:$R$750,TRUE(),$Z$5:$Z$750,"&lt;&gt;1",$S$5:$S$750,S185,$B$5:$B$750,"&lt;"&amp;B185),"")</f>
        <v/>
      </c>
      <c r="AB185" s="11" t="b">
        <f aca="false">OR(D185=WF_START_PERIOD,D185=WF_END_PERIOD)</f>
        <v>0</v>
      </c>
      <c r="AC185" s="0" t="str">
        <f aca="false">B185&amp;"|"&amp;D185</f>
        <v>18030|20221231</v>
      </c>
    </row>
    <row r="186" customFormat="false" ht="15" hidden="false" customHeight="false" outlineLevel="0" collapsed="false">
      <c r="A186" s="0" t="n">
        <f aca="false">RawFinancials!A186</f>
        <v>183</v>
      </c>
      <c r="B186" s="0" t="n">
        <f aca="false">RawFinancials!C186</f>
        <v>18031</v>
      </c>
      <c r="C186" s="0" t="str">
        <f aca="false">RawFinancials!P186</f>
        <v>WOODSVILLE GUARANTY SAVINGS BANK</v>
      </c>
      <c r="D186" s="0" t="n">
        <f aca="false">RawFinancials!W186</f>
        <v>20221231</v>
      </c>
      <c r="E186" s="0" t="str">
        <f aca="false">RawFinancials!Z186</f>
        <v>NH</v>
      </c>
      <c r="F186" s="0" t="n">
        <f aca="false">RawFinancials!B186</f>
        <v>648071</v>
      </c>
      <c r="G186" s="0" t="n">
        <f aca="false">RawFinancials!U186</f>
        <v>0</v>
      </c>
      <c r="H186" s="0" t="n">
        <f aca="false">RawFinancials!O186</f>
        <v>630</v>
      </c>
      <c r="I186" s="0" t="n">
        <f aca="false">IF(AND(ISNUMBER(G186),ISNUMBER(H186)),G186+H186,"")</f>
        <v>630</v>
      </c>
      <c r="J186" s="0" t="n">
        <f aca="false">RawFinancials!D186</f>
        <v>582524</v>
      </c>
      <c r="K186" s="0" t="n">
        <f aca="false">RawFinancials!F186</f>
        <v>35327</v>
      </c>
      <c r="L186" s="0" t="n">
        <f aca="false">RawFinancials!L186</f>
        <v>463179</v>
      </c>
      <c r="M186" s="0" t="n">
        <f aca="false">RawFinancials!N186</f>
        <v>421449</v>
      </c>
      <c r="N186" s="13" t="n">
        <f aca="false">RawFinancials!X186</f>
        <v>0.634198912846815</v>
      </c>
      <c r="O186" s="13" t="n">
        <f aca="false">RawFinancials!V186</f>
        <v>16.3655120252505</v>
      </c>
      <c r="P186" s="13" t="n">
        <f aca="false">IF(AND(ISNUMBER(L186),L186&lt;&gt;0,ISNUMBER(M186)),100*M186/L186,"")</f>
        <v>90.9905241817958</v>
      </c>
      <c r="Q186" s="13" t="n">
        <f aca="false">IF(AND(ISNUMBER(F186),F186&lt;&gt;0,ISNUMBER(K186)),100*K186/F186,"")</f>
        <v>5.45110026524872</v>
      </c>
      <c r="R186" s="11" t="b">
        <f aca="false">AND(ISNUMBER(F186),F186&gt;0,ISNUMBER(G186),G186&gt;=0,ISNUMBER(H186),H186&gt;=0)</f>
        <v>1</v>
      </c>
      <c r="S186" s="13" t="n">
        <f aca="false">IF(R186,100*I186/F186,"")</f>
        <v>0.097211570954417</v>
      </c>
      <c r="T186" s="11" t="b">
        <f aca="false">NOT(AND(OR(AND(ISBLANK(RawFinancials!B186),ISBLANK(_RawBaseline!B183)),AND(ISNUMBER(RawFinancials!B186),ISNUMBER(_RawBaseline!B183),RawFinancials!B186=_RawBaseline!B183)),OR(AND(ISBLANK(RawFinancials!U186),ISBLANK(_RawBaseline!U183)),AND(ISNUMBER(RawFinancials!U186),ISNUMBER(_RawBaseline!U183),RawFinancials!U186=_RawBaseline!U183)),OR(AND(ISBLANK(RawFinancials!O186),ISBLANK(_RawBaseline!O183)),AND(ISNUMBER(RawFinancials!O186),ISNUMBER(_RawBaseline!O183),RawFinancials!O186=_RawBaseline!O183))))</f>
        <v>0</v>
      </c>
      <c r="U186" s="13" t="n">
        <f aca="false">IF(AND(D186=WF_START_PERIOD,R186,COUNTIFS($B$5:$B$750,B186,$D$5:$D$750,WF_END_PERIOD,$R$5:$R$750,TRUE())&gt;0),SUMIFS($S$5:$S$750,$B$5:$B$750,B186,$D$5:$D$750,WF_END_PERIOD,$R$5:$R$750,TRUE()),0)</f>
        <v>0</v>
      </c>
      <c r="V186" s="0" t="str">
        <f aca="false">IF(AND(D186=WF_START_PERIOD,COUNTIFS($B$5:$B$750,B186,$D$5:$D$750,WF_END_PERIOD)&gt;0),INDEX($E$5:$E$750,MATCH(B186&amp;"|"&amp;WF_END_PERIOD,$AC$5:$AC$750,0)),"")</f>
        <v/>
      </c>
      <c r="W186" s="11" t="b">
        <f aca="false">COUNTIFS($B$5:$B$750,B186,$D$5:$D$750,WF_START_PERIOD,$R$5:$R$750,TRUE())&gt;0</f>
        <v>1</v>
      </c>
      <c r="X186" s="11" t="b">
        <f aca="false">COUNTIFS($B$5:$B$750,B186,$D$5:$D$750,WF_END_PERIOD,$R$5:$R$750,TRUE())&gt;0</f>
        <v>1</v>
      </c>
      <c r="Y186" s="0" t="str">
        <f aca="false">IF(AND(D186=WF_END_PERIOD,COUNTIFS($B$5:$B$750,B186,$D$5:$D$750,WF_START_PERIOD)&gt;0),INDEX($E$5:$E$750,MATCH(B186&amp;"|"&amp;WF_START_PERIOD,$AC$5:$AC$750,0)),"")</f>
        <v/>
      </c>
      <c r="Z186" s="0" t="str">
        <f aca="false">IF(AND(D186=WF_END_PERIOD,R186),1+COUNTIFS($D$5:$D$750,WF_END_PERIOD,$E$5:$E$750,E186,$R$5:$R$750,TRUE(),$S$5:$S$750,"&gt;"&amp;S186)+COUNTIFS($D$5:$D$750,WF_END_PERIOD,$E$5:$E$750,E186,$R$5:$R$750,TRUE(),$S$5:$S$750,S186,$B$5:$B$750,"&lt;"&amp;B186),"")</f>
        <v/>
      </c>
      <c r="AA186" s="0" t="str">
        <f aca="false">IF(AND(D186=WF_END_PERIOD,R186,Z186&lt;&gt;1),1+COUNTIFS($D$5:$D$750,WF_END_PERIOD,$R$5:$R$750,TRUE(),$Z$5:$Z$750,"&lt;&gt;1",$S$5:$S$750,"&gt;"&amp;S186)+COUNTIFS($D$5:$D$750,WF_END_PERIOD,$R$5:$R$750,TRUE(),$Z$5:$Z$750,"&lt;&gt;1",$S$5:$S$750,S186,$B$5:$B$750,"&lt;"&amp;B186),"")</f>
        <v/>
      </c>
      <c r="AB186" s="11" t="b">
        <f aca="false">OR(D186=WF_START_PERIOD,D186=WF_END_PERIOD)</f>
        <v>0</v>
      </c>
      <c r="AC186" s="0" t="str">
        <f aca="false">B186&amp;"|"&amp;D186</f>
        <v>18031|20221231</v>
      </c>
    </row>
    <row r="187" customFormat="false" ht="15" hidden="false" customHeight="false" outlineLevel="0" collapsed="false">
      <c r="A187" s="0" t="n">
        <f aca="false">RawFinancials!A187</f>
        <v>184</v>
      </c>
      <c r="B187" s="0" t="n">
        <f aca="false">RawFinancials!C187</f>
        <v>18038</v>
      </c>
      <c r="C187" s="0" t="str">
        <f aca="false">RawFinancials!P187</f>
        <v>CLAREMONT SAVINGS BANK</v>
      </c>
      <c r="D187" s="0" t="n">
        <f aca="false">RawFinancials!W187</f>
        <v>20221231</v>
      </c>
      <c r="E187" s="0" t="str">
        <f aca="false">RawFinancials!Z187</f>
        <v>NH</v>
      </c>
      <c r="F187" s="0" t="n">
        <f aca="false">RawFinancials!B187</f>
        <v>530980</v>
      </c>
      <c r="G187" s="0" t="n">
        <f aca="false">RawFinancials!U187</f>
        <v>0</v>
      </c>
      <c r="H187" s="0" t="n">
        <f aca="false">RawFinancials!O187</f>
        <v>2186</v>
      </c>
      <c r="I187" s="0" t="n">
        <f aca="false">IF(AND(ISNUMBER(G187),ISNUMBER(H187)),G187+H187,"")</f>
        <v>2186</v>
      </c>
      <c r="J187" s="0" t="n">
        <f aca="false">RawFinancials!D187</f>
        <v>432649</v>
      </c>
      <c r="K187" s="0" t="n">
        <f aca="false">RawFinancials!F187</f>
        <v>63947</v>
      </c>
      <c r="L187" s="0" t="n">
        <f aca="false">RawFinancials!L187</f>
        <v>405123</v>
      </c>
      <c r="M187" s="0" t="n">
        <f aca="false">RawFinancials!N187</f>
        <v>384424</v>
      </c>
      <c r="N187" s="13" t="n">
        <f aca="false">RawFinancials!X187</f>
        <v>-0.282240555796787</v>
      </c>
      <c r="O187" s="13" t="n">
        <f aca="false">RawFinancials!V187</f>
        <v>0</v>
      </c>
      <c r="P187" s="13" t="n">
        <f aca="false">IF(AND(ISNUMBER(L187),L187&lt;&gt;0,ISNUMBER(M187)),100*M187/L187,"")</f>
        <v>94.8906875195928</v>
      </c>
      <c r="Q187" s="13" t="n">
        <f aca="false">IF(AND(ISNUMBER(F187),F187&lt;&gt;0,ISNUMBER(K187)),100*K187/F187,"")</f>
        <v>12.043203133828</v>
      </c>
      <c r="R187" s="11" t="b">
        <f aca="false">AND(ISNUMBER(F187),F187&gt;0,ISNUMBER(G187),G187&gt;=0,ISNUMBER(H187),H187&gt;=0)</f>
        <v>1</v>
      </c>
      <c r="S187" s="13" t="n">
        <f aca="false">IF(R187,100*I187/F187,"")</f>
        <v>0.411691589137067</v>
      </c>
      <c r="T187" s="11" t="b">
        <f aca="false">NOT(AND(OR(AND(ISBLANK(RawFinancials!B187),ISBLANK(_RawBaseline!B184)),AND(ISNUMBER(RawFinancials!B187),ISNUMBER(_RawBaseline!B184),RawFinancials!B187=_RawBaseline!B184)),OR(AND(ISBLANK(RawFinancials!U187),ISBLANK(_RawBaseline!U184)),AND(ISNUMBER(RawFinancials!U187),ISNUMBER(_RawBaseline!U184),RawFinancials!U187=_RawBaseline!U184)),OR(AND(ISBLANK(RawFinancials!O187),ISBLANK(_RawBaseline!O184)),AND(ISNUMBER(RawFinancials!O187),ISNUMBER(_RawBaseline!O184),RawFinancials!O187=_RawBaseline!O184))))</f>
        <v>0</v>
      </c>
      <c r="U187" s="13" t="n">
        <f aca="false">IF(AND(D187=WF_START_PERIOD,R187,COUNTIFS($B$5:$B$750,B187,$D$5:$D$750,WF_END_PERIOD,$R$5:$R$750,TRUE())&gt;0),SUMIFS($S$5:$S$750,$B$5:$B$750,B187,$D$5:$D$750,WF_END_PERIOD,$R$5:$R$750,TRUE()),0)</f>
        <v>0</v>
      </c>
      <c r="V187" s="0" t="str">
        <f aca="false">IF(AND(D187=WF_START_PERIOD,COUNTIFS($B$5:$B$750,B187,$D$5:$D$750,WF_END_PERIOD)&gt;0),INDEX($E$5:$E$750,MATCH(B187&amp;"|"&amp;WF_END_PERIOD,$AC$5:$AC$750,0)),"")</f>
        <v/>
      </c>
      <c r="W187" s="11" t="b">
        <f aca="false">COUNTIFS($B$5:$B$750,B187,$D$5:$D$750,WF_START_PERIOD,$R$5:$R$750,TRUE())&gt;0</f>
        <v>1</v>
      </c>
      <c r="X187" s="11" t="b">
        <f aca="false">COUNTIFS($B$5:$B$750,B187,$D$5:$D$750,WF_END_PERIOD,$R$5:$R$750,TRUE())&gt;0</f>
        <v>1</v>
      </c>
      <c r="Y187" s="0" t="str">
        <f aca="false">IF(AND(D187=WF_END_PERIOD,COUNTIFS($B$5:$B$750,B187,$D$5:$D$750,WF_START_PERIOD)&gt;0),INDEX($E$5:$E$750,MATCH(B187&amp;"|"&amp;WF_START_PERIOD,$AC$5:$AC$750,0)),"")</f>
        <v/>
      </c>
      <c r="Z187" s="0" t="str">
        <f aca="false">IF(AND(D187=WF_END_PERIOD,R187),1+COUNTIFS($D$5:$D$750,WF_END_PERIOD,$E$5:$E$750,E187,$R$5:$R$750,TRUE(),$S$5:$S$750,"&gt;"&amp;S187)+COUNTIFS($D$5:$D$750,WF_END_PERIOD,$E$5:$E$750,E187,$R$5:$R$750,TRUE(),$S$5:$S$750,S187,$B$5:$B$750,"&lt;"&amp;B187),"")</f>
        <v/>
      </c>
      <c r="AA187" s="0" t="str">
        <f aca="false">IF(AND(D187=WF_END_PERIOD,R187,Z187&lt;&gt;1),1+COUNTIFS($D$5:$D$750,WF_END_PERIOD,$R$5:$R$750,TRUE(),$Z$5:$Z$750,"&lt;&gt;1",$S$5:$S$750,"&gt;"&amp;S187)+COUNTIFS($D$5:$D$750,WF_END_PERIOD,$R$5:$R$750,TRUE(),$Z$5:$Z$750,"&lt;&gt;1",$S$5:$S$750,S187,$B$5:$B$750,"&lt;"&amp;B187),"")</f>
        <v/>
      </c>
      <c r="AB187" s="11" t="b">
        <f aca="false">OR(D187=WF_START_PERIOD,D187=WF_END_PERIOD)</f>
        <v>0</v>
      </c>
      <c r="AC187" s="0" t="str">
        <f aca="false">B187&amp;"|"&amp;D187</f>
        <v>18038|20221231</v>
      </c>
    </row>
    <row r="188" customFormat="false" ht="15" hidden="false" customHeight="false" outlineLevel="0" collapsed="false">
      <c r="A188" s="0" t="n">
        <f aca="false">RawFinancials!A188</f>
        <v>185</v>
      </c>
      <c r="B188" s="0" t="n">
        <f aca="false">RawFinancials!C188</f>
        <v>18408</v>
      </c>
      <c r="C188" s="0" t="str">
        <f aca="false">RawFinancials!P188</f>
        <v>BANGOR SAVINGS BANK</v>
      </c>
      <c r="D188" s="0" t="n">
        <f aca="false">RawFinancials!W188</f>
        <v>20221231</v>
      </c>
      <c r="E188" s="0" t="str">
        <f aca="false">RawFinancials!Z188</f>
        <v>ME</v>
      </c>
      <c r="F188" s="0" t="n">
        <f aca="false">RawFinancials!B188</f>
        <v>7377141</v>
      </c>
      <c r="G188" s="0" t="n">
        <f aca="false">RawFinancials!U188</f>
        <v>0</v>
      </c>
      <c r="H188" s="0" t="n">
        <f aca="false">RawFinancials!O188</f>
        <v>5657</v>
      </c>
      <c r="I188" s="0" t="n">
        <f aca="false">IF(AND(ISNUMBER(G188),ISNUMBER(H188)),G188+H188,"")</f>
        <v>5657</v>
      </c>
      <c r="J188" s="0" t="n">
        <f aca="false">RawFinancials!D188</f>
        <v>5909658</v>
      </c>
      <c r="K188" s="0" t="n">
        <f aca="false">RawFinancials!F188</f>
        <v>349062</v>
      </c>
      <c r="L188" s="0" t="n">
        <f aca="false">RawFinancials!L188</f>
        <v>4697324</v>
      </c>
      <c r="M188" s="0" t="n">
        <f aca="false">RawFinancials!N188</f>
        <v>4276244</v>
      </c>
      <c r="N188" s="13" t="n">
        <f aca="false">RawFinancials!X188</f>
        <v>0.719697481409942</v>
      </c>
      <c r="O188" s="13" t="n">
        <f aca="false">RawFinancials!V188</f>
        <v>11.766441688643</v>
      </c>
      <c r="P188" s="13" t="n">
        <f aca="false">IF(AND(ISNUMBER(L188),L188&lt;&gt;0,ISNUMBER(M188)),100*M188/L188,"")</f>
        <v>91.0357471615754</v>
      </c>
      <c r="Q188" s="13" t="n">
        <f aca="false">IF(AND(ISNUMBER(F188),F188&lt;&gt;0,ISNUMBER(K188)),100*K188/F188,"")</f>
        <v>4.73167043980859</v>
      </c>
      <c r="R188" s="11" t="b">
        <f aca="false">AND(ISNUMBER(F188),F188&gt;0,ISNUMBER(G188),G188&gt;=0,ISNUMBER(H188),H188&gt;=0)</f>
        <v>1</v>
      </c>
      <c r="S188" s="13" t="n">
        <f aca="false">IF(R188,100*I188/F188,"")</f>
        <v>0.0766828233322367</v>
      </c>
      <c r="T188" s="11" t="b">
        <f aca="false">NOT(AND(OR(AND(ISBLANK(RawFinancials!B188),ISBLANK(_RawBaseline!B185)),AND(ISNUMBER(RawFinancials!B188),ISNUMBER(_RawBaseline!B185),RawFinancials!B188=_RawBaseline!B185)),OR(AND(ISBLANK(RawFinancials!U188),ISBLANK(_RawBaseline!U185)),AND(ISNUMBER(RawFinancials!U188),ISNUMBER(_RawBaseline!U185),RawFinancials!U188=_RawBaseline!U185)),OR(AND(ISBLANK(RawFinancials!O188),ISBLANK(_RawBaseline!O185)),AND(ISNUMBER(RawFinancials!O188),ISNUMBER(_RawBaseline!O185),RawFinancials!O188=_RawBaseline!O185))))</f>
        <v>0</v>
      </c>
      <c r="U188" s="13" t="n">
        <f aca="false">IF(AND(D188=WF_START_PERIOD,R188,COUNTIFS($B$5:$B$750,B188,$D$5:$D$750,WF_END_PERIOD,$R$5:$R$750,TRUE())&gt;0),SUMIFS($S$5:$S$750,$B$5:$B$750,B188,$D$5:$D$750,WF_END_PERIOD,$R$5:$R$750,TRUE()),0)</f>
        <v>0</v>
      </c>
      <c r="V188" s="0" t="str">
        <f aca="false">IF(AND(D188=WF_START_PERIOD,COUNTIFS($B$5:$B$750,B188,$D$5:$D$750,WF_END_PERIOD)&gt;0),INDEX($E$5:$E$750,MATCH(B188&amp;"|"&amp;WF_END_PERIOD,$AC$5:$AC$750,0)),"")</f>
        <v/>
      </c>
      <c r="W188" s="11" t="b">
        <f aca="false">COUNTIFS($B$5:$B$750,B188,$D$5:$D$750,WF_START_PERIOD,$R$5:$R$750,TRUE())&gt;0</f>
        <v>1</v>
      </c>
      <c r="X188" s="11" t="b">
        <f aca="false">COUNTIFS($B$5:$B$750,B188,$D$5:$D$750,WF_END_PERIOD,$R$5:$R$750,TRUE())&gt;0</f>
        <v>1</v>
      </c>
      <c r="Y188" s="0" t="str">
        <f aca="false">IF(AND(D188=WF_END_PERIOD,COUNTIFS($B$5:$B$750,B188,$D$5:$D$750,WF_START_PERIOD)&gt;0),INDEX($E$5:$E$750,MATCH(B188&amp;"|"&amp;WF_START_PERIOD,$AC$5:$AC$750,0)),"")</f>
        <v/>
      </c>
      <c r="Z188" s="0" t="str">
        <f aca="false">IF(AND(D188=WF_END_PERIOD,R188),1+COUNTIFS($D$5:$D$750,WF_END_PERIOD,$E$5:$E$750,E188,$R$5:$R$750,TRUE(),$S$5:$S$750,"&gt;"&amp;S188)+COUNTIFS($D$5:$D$750,WF_END_PERIOD,$E$5:$E$750,E188,$R$5:$R$750,TRUE(),$S$5:$S$750,S188,$B$5:$B$750,"&lt;"&amp;B188),"")</f>
        <v/>
      </c>
      <c r="AA188" s="0" t="str">
        <f aca="false">IF(AND(D188=WF_END_PERIOD,R188,Z188&lt;&gt;1),1+COUNTIFS($D$5:$D$750,WF_END_PERIOD,$R$5:$R$750,TRUE(),$Z$5:$Z$750,"&lt;&gt;1",$S$5:$S$750,"&gt;"&amp;S188)+COUNTIFS($D$5:$D$750,WF_END_PERIOD,$R$5:$R$750,TRUE(),$Z$5:$Z$750,"&lt;&gt;1",$S$5:$S$750,S188,$B$5:$B$750,"&lt;"&amp;B188),"")</f>
        <v/>
      </c>
      <c r="AB188" s="11" t="b">
        <f aca="false">OR(D188=WF_START_PERIOD,D188=WF_END_PERIOD)</f>
        <v>0</v>
      </c>
      <c r="AC188" s="0" t="str">
        <f aca="false">B188&amp;"|"&amp;D188</f>
        <v>18408|20221231</v>
      </c>
    </row>
    <row r="189" customFormat="false" ht="15" hidden="false" customHeight="false" outlineLevel="0" collapsed="false">
      <c r="A189" s="0" t="n">
        <f aca="false">RawFinancials!A189</f>
        <v>186</v>
      </c>
      <c r="B189" s="0" t="n">
        <f aca="false">RawFinancials!C189</f>
        <v>19531</v>
      </c>
      <c r="C189" s="0" t="str">
        <f aca="false">RawFinancials!P189</f>
        <v>MACHIAS SAVINGS BANK</v>
      </c>
      <c r="D189" s="0" t="n">
        <f aca="false">RawFinancials!W189</f>
        <v>20221231</v>
      </c>
      <c r="E189" s="0" t="str">
        <f aca="false">RawFinancials!Z189</f>
        <v>ME</v>
      </c>
      <c r="F189" s="0" t="n">
        <f aca="false">RawFinancials!B189</f>
        <v>2360784</v>
      </c>
      <c r="G189" s="0" t="n">
        <f aca="false">RawFinancials!U189</f>
        <v>0</v>
      </c>
      <c r="H189" s="0" t="n">
        <f aca="false">RawFinancials!O189</f>
        <v>8354</v>
      </c>
      <c r="I189" s="0" t="n">
        <f aca="false">IF(AND(ISNUMBER(G189),ISNUMBER(H189)),G189+H189,"")</f>
        <v>8354</v>
      </c>
      <c r="J189" s="0" t="n">
        <f aca="false">RawFinancials!D189</f>
        <v>1966979</v>
      </c>
      <c r="K189" s="0" t="n">
        <f aca="false">RawFinancials!F189</f>
        <v>223250</v>
      </c>
      <c r="L189" s="0" t="n">
        <f aca="false">RawFinancials!L189</f>
        <v>1885573</v>
      </c>
      <c r="M189" s="0" t="n">
        <f aca="false">RawFinancials!N189</f>
        <v>1530116</v>
      </c>
      <c r="N189" s="13" t="n">
        <f aca="false">RawFinancials!X189</f>
        <v>0.703967262708858</v>
      </c>
      <c r="O189" s="13" t="n">
        <f aca="false">RawFinancials!V189</f>
        <v>14.3614098222374</v>
      </c>
      <c r="P189" s="13" t="n">
        <f aca="false">IF(AND(ISNUMBER(L189),L189&lt;&gt;0,ISNUMBER(M189)),100*M189/L189,"")</f>
        <v>81.1485951485305</v>
      </c>
      <c r="Q189" s="13" t="n">
        <f aca="false">IF(AND(ISNUMBER(F189),F189&lt;&gt;0,ISNUMBER(K189)),100*K189/F189,"")</f>
        <v>9.45660424672482</v>
      </c>
      <c r="R189" s="11" t="b">
        <f aca="false">AND(ISNUMBER(F189),F189&gt;0,ISNUMBER(G189),G189&gt;=0,ISNUMBER(H189),H189&gt;=0)</f>
        <v>1</v>
      </c>
      <c r="S189" s="13" t="n">
        <f aca="false">IF(R189,100*I189/F189,"")</f>
        <v>0.353865495530298</v>
      </c>
      <c r="T189" s="11" t="b">
        <f aca="false">NOT(AND(OR(AND(ISBLANK(RawFinancials!B189),ISBLANK(_RawBaseline!B186)),AND(ISNUMBER(RawFinancials!B189),ISNUMBER(_RawBaseline!B186),RawFinancials!B189=_RawBaseline!B186)),OR(AND(ISBLANK(RawFinancials!U189),ISBLANK(_RawBaseline!U186)),AND(ISNUMBER(RawFinancials!U189),ISNUMBER(_RawBaseline!U186),RawFinancials!U189=_RawBaseline!U186)),OR(AND(ISBLANK(RawFinancials!O189),ISBLANK(_RawBaseline!O186)),AND(ISNUMBER(RawFinancials!O189),ISNUMBER(_RawBaseline!O186),RawFinancials!O189=_RawBaseline!O186))))</f>
        <v>0</v>
      </c>
      <c r="U189" s="13" t="n">
        <f aca="false">IF(AND(D189=WF_START_PERIOD,R189,COUNTIFS($B$5:$B$750,B189,$D$5:$D$750,WF_END_PERIOD,$R$5:$R$750,TRUE())&gt;0),SUMIFS($S$5:$S$750,$B$5:$B$750,B189,$D$5:$D$750,WF_END_PERIOD,$R$5:$R$750,TRUE()),0)</f>
        <v>0</v>
      </c>
      <c r="V189" s="0" t="str">
        <f aca="false">IF(AND(D189=WF_START_PERIOD,COUNTIFS($B$5:$B$750,B189,$D$5:$D$750,WF_END_PERIOD)&gt;0),INDEX($E$5:$E$750,MATCH(B189&amp;"|"&amp;WF_END_PERIOD,$AC$5:$AC$750,0)),"")</f>
        <v/>
      </c>
      <c r="W189" s="11" t="b">
        <f aca="false">COUNTIFS($B$5:$B$750,B189,$D$5:$D$750,WF_START_PERIOD,$R$5:$R$750,TRUE())&gt;0</f>
        <v>1</v>
      </c>
      <c r="X189" s="11" t="b">
        <f aca="false">COUNTIFS($B$5:$B$750,B189,$D$5:$D$750,WF_END_PERIOD,$R$5:$R$750,TRUE())&gt;0</f>
        <v>1</v>
      </c>
      <c r="Y189" s="0" t="str">
        <f aca="false">IF(AND(D189=WF_END_PERIOD,COUNTIFS($B$5:$B$750,B189,$D$5:$D$750,WF_START_PERIOD)&gt;0),INDEX($E$5:$E$750,MATCH(B189&amp;"|"&amp;WF_START_PERIOD,$AC$5:$AC$750,0)),"")</f>
        <v/>
      </c>
      <c r="Z189" s="0" t="str">
        <f aca="false">IF(AND(D189=WF_END_PERIOD,R189),1+COUNTIFS($D$5:$D$750,WF_END_PERIOD,$E$5:$E$750,E189,$R$5:$R$750,TRUE(),$S$5:$S$750,"&gt;"&amp;S189)+COUNTIFS($D$5:$D$750,WF_END_PERIOD,$E$5:$E$750,E189,$R$5:$R$750,TRUE(),$S$5:$S$750,S189,$B$5:$B$750,"&lt;"&amp;B189),"")</f>
        <v/>
      </c>
      <c r="AA189" s="0" t="str">
        <f aca="false">IF(AND(D189=WF_END_PERIOD,R189,Z189&lt;&gt;1),1+COUNTIFS($D$5:$D$750,WF_END_PERIOD,$R$5:$R$750,TRUE(),$Z$5:$Z$750,"&lt;&gt;1",$S$5:$S$750,"&gt;"&amp;S189)+COUNTIFS($D$5:$D$750,WF_END_PERIOD,$R$5:$R$750,TRUE(),$Z$5:$Z$750,"&lt;&gt;1",$S$5:$S$750,S189,$B$5:$B$750,"&lt;"&amp;B189),"")</f>
        <v/>
      </c>
      <c r="AB189" s="11" t="b">
        <f aca="false">OR(D189=WF_START_PERIOD,D189=WF_END_PERIOD)</f>
        <v>0</v>
      </c>
      <c r="AC189" s="0" t="str">
        <f aca="false">B189&amp;"|"&amp;D189</f>
        <v>19531|20221231</v>
      </c>
    </row>
    <row r="190" customFormat="false" ht="15" hidden="false" customHeight="false" outlineLevel="0" collapsed="false">
      <c r="A190" s="0" t="n">
        <f aca="false">RawFinancials!A190</f>
        <v>187</v>
      </c>
      <c r="B190" s="0" t="n">
        <f aca="false">RawFinancials!C190</f>
        <v>19532</v>
      </c>
      <c r="C190" s="0" t="str">
        <f aca="false">RawFinancials!P190</f>
        <v>SKOWHEGAN SAVINGS BANK</v>
      </c>
      <c r="D190" s="0" t="n">
        <f aca="false">RawFinancials!W190</f>
        <v>20221231</v>
      </c>
      <c r="E190" s="0" t="str">
        <f aca="false">RawFinancials!Z190</f>
        <v>ME</v>
      </c>
      <c r="F190" s="0" t="n">
        <f aca="false">RawFinancials!B190</f>
        <v>774373</v>
      </c>
      <c r="G190" s="0" t="n">
        <f aca="false">RawFinancials!U190</f>
        <v>0</v>
      </c>
      <c r="H190" s="0" t="n">
        <f aca="false">RawFinancials!O190</f>
        <v>797</v>
      </c>
      <c r="I190" s="0" t="n">
        <f aca="false">IF(AND(ISNUMBER(G190),ISNUMBER(H190)),G190+H190,"")</f>
        <v>797</v>
      </c>
      <c r="J190" s="0" t="n">
        <f aca="false">RawFinancials!D190</f>
        <v>673912</v>
      </c>
      <c r="K190" s="0" t="n">
        <f aca="false">RawFinancials!F190</f>
        <v>87739</v>
      </c>
      <c r="L190" s="0" t="n">
        <f aca="false">RawFinancials!L190</f>
        <v>544282</v>
      </c>
      <c r="M190" s="0" t="n">
        <f aca="false">RawFinancials!N190</f>
        <v>460817</v>
      </c>
      <c r="N190" s="13" t="n">
        <f aca="false">RawFinancials!X190</f>
        <v>0.722576685653743</v>
      </c>
      <c r="O190" s="13" t="n">
        <f aca="false">RawFinancials!V190</f>
        <v>20.8845928529584</v>
      </c>
      <c r="P190" s="13" t="n">
        <f aca="false">IF(AND(ISNUMBER(L190),L190&lt;&gt;0,ISNUMBER(M190)),100*M190/L190,"")</f>
        <v>84.6651184496272</v>
      </c>
      <c r="Q190" s="13" t="n">
        <f aca="false">IF(AND(ISNUMBER(F190),F190&lt;&gt;0,ISNUMBER(K190)),100*K190/F190,"")</f>
        <v>11.3303278910809</v>
      </c>
      <c r="R190" s="11" t="b">
        <f aca="false">AND(ISNUMBER(F190),F190&gt;0,ISNUMBER(G190),G190&gt;=0,ISNUMBER(H190),H190&gt;=0)</f>
        <v>1</v>
      </c>
      <c r="S190" s="13" t="n">
        <f aca="false">IF(R190,100*I190/F190,"")</f>
        <v>0.102921976876776</v>
      </c>
      <c r="T190" s="11" t="b">
        <f aca="false">NOT(AND(OR(AND(ISBLANK(RawFinancials!B190),ISBLANK(_RawBaseline!B187)),AND(ISNUMBER(RawFinancials!B190),ISNUMBER(_RawBaseline!B187),RawFinancials!B190=_RawBaseline!B187)),OR(AND(ISBLANK(RawFinancials!U190),ISBLANK(_RawBaseline!U187)),AND(ISNUMBER(RawFinancials!U190),ISNUMBER(_RawBaseline!U187),RawFinancials!U190=_RawBaseline!U187)),OR(AND(ISBLANK(RawFinancials!O190),ISBLANK(_RawBaseline!O187)),AND(ISNUMBER(RawFinancials!O190),ISNUMBER(_RawBaseline!O187),RawFinancials!O190=_RawBaseline!O187))))</f>
        <v>0</v>
      </c>
      <c r="U190" s="13" t="n">
        <f aca="false">IF(AND(D190=WF_START_PERIOD,R190,COUNTIFS($B$5:$B$750,B190,$D$5:$D$750,WF_END_PERIOD,$R$5:$R$750,TRUE())&gt;0),SUMIFS($S$5:$S$750,$B$5:$B$750,B190,$D$5:$D$750,WF_END_PERIOD,$R$5:$R$750,TRUE()),0)</f>
        <v>0</v>
      </c>
      <c r="V190" s="0" t="str">
        <f aca="false">IF(AND(D190=WF_START_PERIOD,COUNTIFS($B$5:$B$750,B190,$D$5:$D$750,WF_END_PERIOD)&gt;0),INDEX($E$5:$E$750,MATCH(B190&amp;"|"&amp;WF_END_PERIOD,$AC$5:$AC$750,0)),"")</f>
        <v/>
      </c>
      <c r="W190" s="11" t="b">
        <f aca="false">COUNTIFS($B$5:$B$750,B190,$D$5:$D$750,WF_START_PERIOD,$R$5:$R$750,TRUE())&gt;0</f>
        <v>1</v>
      </c>
      <c r="X190" s="11" t="b">
        <f aca="false">COUNTIFS($B$5:$B$750,B190,$D$5:$D$750,WF_END_PERIOD,$R$5:$R$750,TRUE())&gt;0</f>
        <v>1</v>
      </c>
      <c r="Y190" s="0" t="str">
        <f aca="false">IF(AND(D190=WF_END_PERIOD,COUNTIFS($B$5:$B$750,B190,$D$5:$D$750,WF_START_PERIOD)&gt;0),INDEX($E$5:$E$750,MATCH(B190&amp;"|"&amp;WF_START_PERIOD,$AC$5:$AC$750,0)),"")</f>
        <v/>
      </c>
      <c r="Z190" s="0" t="str">
        <f aca="false">IF(AND(D190=WF_END_PERIOD,R190),1+COUNTIFS($D$5:$D$750,WF_END_PERIOD,$E$5:$E$750,E190,$R$5:$R$750,TRUE(),$S$5:$S$750,"&gt;"&amp;S190)+COUNTIFS($D$5:$D$750,WF_END_PERIOD,$E$5:$E$750,E190,$R$5:$R$750,TRUE(),$S$5:$S$750,S190,$B$5:$B$750,"&lt;"&amp;B190),"")</f>
        <v/>
      </c>
      <c r="AA190" s="0" t="str">
        <f aca="false">IF(AND(D190=WF_END_PERIOD,R190,Z190&lt;&gt;1),1+COUNTIFS($D$5:$D$750,WF_END_PERIOD,$R$5:$R$750,TRUE(),$Z$5:$Z$750,"&lt;&gt;1",$S$5:$S$750,"&gt;"&amp;S190)+COUNTIFS($D$5:$D$750,WF_END_PERIOD,$R$5:$R$750,TRUE(),$Z$5:$Z$750,"&lt;&gt;1",$S$5:$S$750,S190,$B$5:$B$750,"&lt;"&amp;B190),"")</f>
        <v/>
      </c>
      <c r="AB190" s="11" t="b">
        <f aca="false">OR(D190=WF_START_PERIOD,D190=WF_END_PERIOD)</f>
        <v>0</v>
      </c>
      <c r="AC190" s="0" t="str">
        <f aca="false">B190&amp;"|"&amp;D190</f>
        <v>19532|20221231</v>
      </c>
    </row>
    <row r="191" customFormat="false" ht="15" hidden="false" customHeight="false" outlineLevel="0" collapsed="false">
      <c r="A191" s="0" t="n">
        <f aca="false">RawFinancials!A191</f>
        <v>188</v>
      </c>
      <c r="B191" s="0" t="n">
        <f aca="false">RawFinancials!C191</f>
        <v>19690</v>
      </c>
      <c r="C191" s="0" t="str">
        <f aca="false">RawFinancials!P191</f>
        <v>NORTHEAST BANK</v>
      </c>
      <c r="D191" s="0" t="n">
        <f aca="false">RawFinancials!W191</f>
        <v>20221231</v>
      </c>
      <c r="E191" s="0" t="str">
        <f aca="false">RawFinancials!Z191</f>
        <v>ME</v>
      </c>
      <c r="F191" s="0" t="n">
        <f aca="false">RawFinancials!B191</f>
        <v>2809418</v>
      </c>
      <c r="G191" s="0" t="n">
        <f aca="false">RawFinancials!U191</f>
        <v>0</v>
      </c>
      <c r="H191" s="0" t="n">
        <f aca="false">RawFinancials!O191</f>
        <v>12899</v>
      </c>
      <c r="I191" s="0" t="n">
        <f aca="false">IF(AND(ISNUMBER(G191),ISNUMBER(H191)),G191+H191,"")</f>
        <v>12899</v>
      </c>
      <c r="J191" s="0" t="n">
        <f aca="false">RawFinancials!D191</f>
        <v>2251472</v>
      </c>
      <c r="K191" s="0" t="n">
        <f aca="false">RawFinancials!F191</f>
        <v>263427</v>
      </c>
      <c r="L191" s="0" t="n">
        <f aca="false">RawFinancials!L191</f>
        <v>2504757</v>
      </c>
      <c r="M191" s="0" t="n">
        <f aca="false">RawFinancials!N191</f>
        <v>2024933</v>
      </c>
      <c r="N191" s="13" t="n">
        <f aca="false">RawFinancials!X191</f>
        <v>2.20866479041863</v>
      </c>
      <c r="O191" s="13" t="n">
        <f aca="false">RawFinancials!V191</f>
        <v>11.1047375715636</v>
      </c>
      <c r="P191" s="13" t="n">
        <f aca="false">IF(AND(ISNUMBER(L191),L191&lt;&gt;0,ISNUMBER(M191)),100*M191/L191,"")</f>
        <v>80.8434910053151</v>
      </c>
      <c r="Q191" s="13" t="n">
        <f aca="false">IF(AND(ISNUMBER(F191),F191&lt;&gt;0,ISNUMBER(K191)),100*K191/F191,"")</f>
        <v>9.37656838533817</v>
      </c>
      <c r="R191" s="11" t="b">
        <f aca="false">AND(ISNUMBER(F191),F191&gt;0,ISNUMBER(G191),G191&gt;=0,ISNUMBER(H191),H191&gt;=0)</f>
        <v>1</v>
      </c>
      <c r="S191" s="13" t="n">
        <f aca="false">IF(R191,100*I191/F191,"")</f>
        <v>0.45913424061496</v>
      </c>
      <c r="T191" s="11" t="b">
        <f aca="false">NOT(AND(OR(AND(ISBLANK(RawFinancials!B191),ISBLANK(_RawBaseline!B188)),AND(ISNUMBER(RawFinancials!B191),ISNUMBER(_RawBaseline!B188),RawFinancials!B191=_RawBaseline!B188)),OR(AND(ISBLANK(RawFinancials!U191),ISBLANK(_RawBaseline!U188)),AND(ISNUMBER(RawFinancials!U191),ISNUMBER(_RawBaseline!U188),RawFinancials!U191=_RawBaseline!U188)),OR(AND(ISBLANK(RawFinancials!O191),ISBLANK(_RawBaseline!O188)),AND(ISNUMBER(RawFinancials!O191),ISNUMBER(_RawBaseline!O188),RawFinancials!O191=_RawBaseline!O188))))</f>
        <v>0</v>
      </c>
      <c r="U191" s="13" t="n">
        <f aca="false">IF(AND(D191=WF_START_PERIOD,R191,COUNTIFS($B$5:$B$750,B191,$D$5:$D$750,WF_END_PERIOD,$R$5:$R$750,TRUE())&gt;0),SUMIFS($S$5:$S$750,$B$5:$B$750,B191,$D$5:$D$750,WF_END_PERIOD,$R$5:$R$750,TRUE()),0)</f>
        <v>0</v>
      </c>
      <c r="V191" s="0" t="str">
        <f aca="false">IF(AND(D191=WF_START_PERIOD,COUNTIFS($B$5:$B$750,B191,$D$5:$D$750,WF_END_PERIOD)&gt;0),INDEX($E$5:$E$750,MATCH(B191&amp;"|"&amp;WF_END_PERIOD,$AC$5:$AC$750,0)),"")</f>
        <v/>
      </c>
      <c r="W191" s="11" t="b">
        <f aca="false">COUNTIFS($B$5:$B$750,B191,$D$5:$D$750,WF_START_PERIOD,$R$5:$R$750,TRUE())&gt;0</f>
        <v>1</v>
      </c>
      <c r="X191" s="11" t="b">
        <f aca="false">COUNTIFS($B$5:$B$750,B191,$D$5:$D$750,WF_END_PERIOD,$R$5:$R$750,TRUE())&gt;0</f>
        <v>1</v>
      </c>
      <c r="Y191" s="0" t="str">
        <f aca="false">IF(AND(D191=WF_END_PERIOD,COUNTIFS($B$5:$B$750,B191,$D$5:$D$750,WF_START_PERIOD)&gt;0),INDEX($E$5:$E$750,MATCH(B191&amp;"|"&amp;WF_START_PERIOD,$AC$5:$AC$750,0)),"")</f>
        <v/>
      </c>
      <c r="Z191" s="0" t="str">
        <f aca="false">IF(AND(D191=WF_END_PERIOD,R191),1+COUNTIFS($D$5:$D$750,WF_END_PERIOD,$E$5:$E$750,E191,$R$5:$R$750,TRUE(),$S$5:$S$750,"&gt;"&amp;S191)+COUNTIFS($D$5:$D$750,WF_END_PERIOD,$E$5:$E$750,E191,$R$5:$R$750,TRUE(),$S$5:$S$750,S191,$B$5:$B$750,"&lt;"&amp;B191),"")</f>
        <v/>
      </c>
      <c r="AA191" s="0" t="str">
        <f aca="false">IF(AND(D191=WF_END_PERIOD,R191,Z191&lt;&gt;1),1+COUNTIFS($D$5:$D$750,WF_END_PERIOD,$R$5:$R$750,TRUE(),$Z$5:$Z$750,"&lt;&gt;1",$S$5:$S$750,"&gt;"&amp;S191)+COUNTIFS($D$5:$D$750,WF_END_PERIOD,$R$5:$R$750,TRUE(),$Z$5:$Z$750,"&lt;&gt;1",$S$5:$S$750,S191,$B$5:$B$750,"&lt;"&amp;B191),"")</f>
        <v/>
      </c>
      <c r="AB191" s="11" t="b">
        <f aca="false">OR(D191=WF_START_PERIOD,D191=WF_END_PERIOD)</f>
        <v>0</v>
      </c>
      <c r="AC191" s="0" t="str">
        <f aca="false">B191&amp;"|"&amp;D191</f>
        <v>19690|20221231</v>
      </c>
    </row>
    <row r="192" customFormat="false" ht="15" hidden="false" customHeight="false" outlineLevel="0" collapsed="false">
      <c r="A192" s="0" t="n">
        <f aca="false">RawFinancials!A192</f>
        <v>189</v>
      </c>
      <c r="B192" s="0" t="n">
        <f aca="false">RawFinancials!C192</f>
        <v>19836</v>
      </c>
      <c r="C192" s="0" t="str">
        <f aca="false">RawFinancials!P192</f>
        <v>FRANKLIN SAVINGS BANK</v>
      </c>
      <c r="D192" s="0" t="n">
        <f aca="false">RawFinancials!W192</f>
        <v>20221231</v>
      </c>
      <c r="E192" s="0" t="str">
        <f aca="false">RawFinancials!Z192</f>
        <v>ME</v>
      </c>
      <c r="F192" s="0" t="n">
        <f aca="false">RawFinancials!B192</f>
        <v>578817</v>
      </c>
      <c r="G192" s="0" t="n">
        <f aca="false">RawFinancials!U192</f>
        <v>106</v>
      </c>
      <c r="H192" s="0" t="n">
        <f aca="false">RawFinancials!O192</f>
        <v>1681</v>
      </c>
      <c r="I192" s="0" t="n">
        <f aca="false">IF(AND(ISNUMBER(G192),ISNUMBER(H192)),G192+H192,"")</f>
        <v>1787</v>
      </c>
      <c r="J192" s="0" t="n">
        <f aca="false">RawFinancials!D192</f>
        <v>445845</v>
      </c>
      <c r="K192" s="0" t="n">
        <f aca="false">RawFinancials!F192</f>
        <v>116585</v>
      </c>
      <c r="L192" s="0" t="n">
        <f aca="false">RawFinancials!L192</f>
        <v>483136</v>
      </c>
      <c r="M192" s="0" t="n">
        <f aca="false">RawFinancials!N192</f>
        <v>416786</v>
      </c>
      <c r="N192" s="13" t="n">
        <f aca="false">RawFinancials!X192</f>
        <v>0.83577055943012</v>
      </c>
      <c r="O192" s="13" t="n">
        <f aca="false">RawFinancials!V192</f>
        <v>28.2794278089045</v>
      </c>
      <c r="P192" s="13" t="n">
        <f aca="false">IF(AND(ISNUMBER(L192),L192&lt;&gt;0,ISNUMBER(M192)),100*M192/L192,"")</f>
        <v>86.266806861836</v>
      </c>
      <c r="Q192" s="13" t="n">
        <f aca="false">IF(AND(ISNUMBER(F192),F192&lt;&gt;0,ISNUMBER(K192)),100*K192/F192,"")</f>
        <v>20.1419446906362</v>
      </c>
      <c r="R192" s="11" t="b">
        <f aca="false">AND(ISNUMBER(F192),F192&gt;0,ISNUMBER(G192),G192&gt;=0,ISNUMBER(H192),H192&gt;=0)</f>
        <v>1</v>
      </c>
      <c r="S192" s="13" t="n">
        <f aca="false">IF(R192,100*I192/F192,"")</f>
        <v>0.308733157457366</v>
      </c>
      <c r="T192" s="11" t="b">
        <f aca="false">NOT(AND(OR(AND(ISBLANK(RawFinancials!B192),ISBLANK(_RawBaseline!B189)),AND(ISNUMBER(RawFinancials!B192),ISNUMBER(_RawBaseline!B189),RawFinancials!B192=_RawBaseline!B189)),OR(AND(ISBLANK(RawFinancials!U192),ISBLANK(_RawBaseline!U189)),AND(ISNUMBER(RawFinancials!U192),ISNUMBER(_RawBaseline!U189),RawFinancials!U192=_RawBaseline!U189)),OR(AND(ISBLANK(RawFinancials!O192),ISBLANK(_RawBaseline!O189)),AND(ISNUMBER(RawFinancials!O192),ISNUMBER(_RawBaseline!O189),RawFinancials!O192=_RawBaseline!O189))))</f>
        <v>0</v>
      </c>
      <c r="U192" s="13" t="n">
        <f aca="false">IF(AND(D192=WF_START_PERIOD,R192,COUNTIFS($B$5:$B$750,B192,$D$5:$D$750,WF_END_PERIOD,$R$5:$R$750,TRUE())&gt;0),SUMIFS($S$5:$S$750,$B$5:$B$750,B192,$D$5:$D$750,WF_END_PERIOD,$R$5:$R$750,TRUE()),0)</f>
        <v>0</v>
      </c>
      <c r="V192" s="0" t="str">
        <f aca="false">IF(AND(D192=WF_START_PERIOD,COUNTIFS($B$5:$B$750,B192,$D$5:$D$750,WF_END_PERIOD)&gt;0),INDEX($E$5:$E$750,MATCH(B192&amp;"|"&amp;WF_END_PERIOD,$AC$5:$AC$750,0)),"")</f>
        <v/>
      </c>
      <c r="W192" s="11" t="b">
        <f aca="false">COUNTIFS($B$5:$B$750,B192,$D$5:$D$750,WF_START_PERIOD,$R$5:$R$750,TRUE())&gt;0</f>
        <v>1</v>
      </c>
      <c r="X192" s="11" t="b">
        <f aca="false">COUNTIFS($B$5:$B$750,B192,$D$5:$D$750,WF_END_PERIOD,$R$5:$R$750,TRUE())&gt;0</f>
        <v>1</v>
      </c>
      <c r="Y192" s="0" t="str">
        <f aca="false">IF(AND(D192=WF_END_PERIOD,COUNTIFS($B$5:$B$750,B192,$D$5:$D$750,WF_START_PERIOD)&gt;0),INDEX($E$5:$E$750,MATCH(B192&amp;"|"&amp;WF_START_PERIOD,$AC$5:$AC$750,0)),"")</f>
        <v/>
      </c>
      <c r="Z192" s="0" t="str">
        <f aca="false">IF(AND(D192=WF_END_PERIOD,R192),1+COUNTIFS($D$5:$D$750,WF_END_PERIOD,$E$5:$E$750,E192,$R$5:$R$750,TRUE(),$S$5:$S$750,"&gt;"&amp;S192)+COUNTIFS($D$5:$D$750,WF_END_PERIOD,$E$5:$E$750,E192,$R$5:$R$750,TRUE(),$S$5:$S$750,S192,$B$5:$B$750,"&lt;"&amp;B192),"")</f>
        <v/>
      </c>
      <c r="AA192" s="0" t="str">
        <f aca="false">IF(AND(D192=WF_END_PERIOD,R192,Z192&lt;&gt;1),1+COUNTIFS($D$5:$D$750,WF_END_PERIOD,$R$5:$R$750,TRUE(),$Z$5:$Z$750,"&lt;&gt;1",$S$5:$S$750,"&gt;"&amp;S192)+COUNTIFS($D$5:$D$750,WF_END_PERIOD,$R$5:$R$750,TRUE(),$Z$5:$Z$750,"&lt;&gt;1",$S$5:$S$750,S192,$B$5:$B$750,"&lt;"&amp;B192),"")</f>
        <v/>
      </c>
      <c r="AB192" s="11" t="b">
        <f aca="false">OR(D192=WF_START_PERIOD,D192=WF_END_PERIOD)</f>
        <v>0</v>
      </c>
      <c r="AC192" s="0" t="str">
        <f aca="false">B192&amp;"|"&amp;D192</f>
        <v>19836|20221231</v>
      </c>
    </row>
    <row r="193" customFormat="false" ht="15" hidden="false" customHeight="false" outlineLevel="0" collapsed="false">
      <c r="A193" s="0" t="n">
        <f aca="false">RawFinancials!A193</f>
        <v>190</v>
      </c>
      <c r="B193" s="0" t="n">
        <f aca="false">RawFinancials!C193</f>
        <v>24540</v>
      </c>
      <c r="C193" s="0" t="str">
        <f aca="false">RawFinancials!P193</f>
        <v>BANK OF NEW ENGLAND</v>
      </c>
      <c r="D193" s="0" t="n">
        <f aca="false">RawFinancials!W193</f>
        <v>20221231</v>
      </c>
      <c r="E193" s="0" t="str">
        <f aca="false">RawFinancials!Z193</f>
        <v>NH</v>
      </c>
      <c r="F193" s="0" t="n">
        <f aca="false">RawFinancials!B193</f>
        <v>1260196</v>
      </c>
      <c r="G193" s="0" t="n">
        <f aca="false">RawFinancials!U193</f>
        <v>0</v>
      </c>
      <c r="H193" s="0" t="n">
        <f aca="false">RawFinancials!O193</f>
        <v>372</v>
      </c>
      <c r="I193" s="0" t="n">
        <f aca="false">IF(AND(ISNUMBER(G193),ISNUMBER(H193)),G193+H193,"")</f>
        <v>372</v>
      </c>
      <c r="J193" s="0" t="n">
        <f aca="false">RawFinancials!D193</f>
        <v>1017970</v>
      </c>
      <c r="K193" s="0" t="n">
        <f aca="false">RawFinancials!F193</f>
        <v>214985</v>
      </c>
      <c r="L193" s="0" t="n">
        <f aca="false">RawFinancials!L193</f>
        <v>1087189</v>
      </c>
      <c r="M193" s="0" t="n">
        <f aca="false">RawFinancials!N193</f>
        <v>1047480</v>
      </c>
      <c r="N193" s="13" t="n">
        <f aca="false">RawFinancials!X193</f>
        <v>2.4490506964624</v>
      </c>
      <c r="O193" s="13" t="n">
        <f aca="false">RawFinancials!V193</f>
        <v>0</v>
      </c>
      <c r="P193" s="13" t="n">
        <f aca="false">IF(AND(ISNUMBER(L193),L193&lt;&gt;0,ISNUMBER(M193)),100*M193/L193,"")</f>
        <v>96.3475531853247</v>
      </c>
      <c r="Q193" s="13" t="n">
        <f aca="false">IF(AND(ISNUMBER(F193),F193&lt;&gt;0,ISNUMBER(K193)),100*K193/F193,"")</f>
        <v>17.0596478643005</v>
      </c>
      <c r="R193" s="11" t="b">
        <f aca="false">AND(ISNUMBER(F193),F193&gt;0,ISNUMBER(G193),G193&gt;=0,ISNUMBER(H193),H193&gt;=0)</f>
        <v>1</v>
      </c>
      <c r="S193" s="13" t="n">
        <f aca="false">IF(R193,100*I193/F193,"")</f>
        <v>0.0295192176455091</v>
      </c>
      <c r="T193" s="11" t="b">
        <f aca="false">NOT(AND(OR(AND(ISBLANK(RawFinancials!B193),ISBLANK(_RawBaseline!B190)),AND(ISNUMBER(RawFinancials!B193),ISNUMBER(_RawBaseline!B190),RawFinancials!B193=_RawBaseline!B190)),OR(AND(ISBLANK(RawFinancials!U193),ISBLANK(_RawBaseline!U190)),AND(ISNUMBER(RawFinancials!U193),ISNUMBER(_RawBaseline!U190),RawFinancials!U193=_RawBaseline!U190)),OR(AND(ISBLANK(RawFinancials!O193),ISBLANK(_RawBaseline!O190)),AND(ISNUMBER(RawFinancials!O193),ISNUMBER(_RawBaseline!O190),RawFinancials!O193=_RawBaseline!O190))))</f>
        <v>0</v>
      </c>
      <c r="U193" s="13" t="n">
        <f aca="false">IF(AND(D193=WF_START_PERIOD,R193,COUNTIFS($B$5:$B$750,B193,$D$5:$D$750,WF_END_PERIOD,$R$5:$R$750,TRUE())&gt;0),SUMIFS($S$5:$S$750,$B$5:$B$750,B193,$D$5:$D$750,WF_END_PERIOD,$R$5:$R$750,TRUE()),0)</f>
        <v>0</v>
      </c>
      <c r="V193" s="0" t="str">
        <f aca="false">IF(AND(D193=WF_START_PERIOD,COUNTIFS($B$5:$B$750,B193,$D$5:$D$750,WF_END_PERIOD)&gt;0),INDEX($E$5:$E$750,MATCH(B193&amp;"|"&amp;WF_END_PERIOD,$AC$5:$AC$750,0)),"")</f>
        <v/>
      </c>
      <c r="W193" s="11" t="b">
        <f aca="false">COUNTIFS($B$5:$B$750,B193,$D$5:$D$750,WF_START_PERIOD,$R$5:$R$750,TRUE())&gt;0</f>
        <v>1</v>
      </c>
      <c r="X193" s="11" t="b">
        <f aca="false">COUNTIFS($B$5:$B$750,B193,$D$5:$D$750,WF_END_PERIOD,$R$5:$R$750,TRUE())&gt;0</f>
        <v>1</v>
      </c>
      <c r="Y193" s="0" t="str">
        <f aca="false">IF(AND(D193=WF_END_PERIOD,COUNTIFS($B$5:$B$750,B193,$D$5:$D$750,WF_START_PERIOD)&gt;0),INDEX($E$5:$E$750,MATCH(B193&amp;"|"&amp;WF_START_PERIOD,$AC$5:$AC$750,0)),"")</f>
        <v/>
      </c>
      <c r="Z193" s="0" t="str">
        <f aca="false">IF(AND(D193=WF_END_PERIOD,R193),1+COUNTIFS($D$5:$D$750,WF_END_PERIOD,$E$5:$E$750,E193,$R$5:$R$750,TRUE(),$S$5:$S$750,"&gt;"&amp;S193)+COUNTIFS($D$5:$D$750,WF_END_PERIOD,$E$5:$E$750,E193,$R$5:$R$750,TRUE(),$S$5:$S$750,S193,$B$5:$B$750,"&lt;"&amp;B193),"")</f>
        <v/>
      </c>
      <c r="AA193" s="0" t="str">
        <f aca="false">IF(AND(D193=WF_END_PERIOD,R193,Z193&lt;&gt;1),1+COUNTIFS($D$5:$D$750,WF_END_PERIOD,$R$5:$R$750,TRUE(),$Z$5:$Z$750,"&lt;&gt;1",$S$5:$S$750,"&gt;"&amp;S193)+COUNTIFS($D$5:$D$750,WF_END_PERIOD,$R$5:$R$750,TRUE(),$Z$5:$Z$750,"&lt;&gt;1",$S$5:$S$750,S193,$B$5:$B$750,"&lt;"&amp;B193),"")</f>
        <v/>
      </c>
      <c r="AB193" s="11" t="b">
        <f aca="false">OR(D193=WF_START_PERIOD,D193=WF_END_PERIOD)</f>
        <v>0</v>
      </c>
      <c r="AC193" s="0" t="str">
        <f aca="false">B193&amp;"|"&amp;D193</f>
        <v>24540|20221231</v>
      </c>
    </row>
    <row r="194" customFormat="false" ht="15" hidden="false" customHeight="false" outlineLevel="0" collapsed="false">
      <c r="A194" s="0" t="n">
        <f aca="false">RawFinancials!A194</f>
        <v>191</v>
      </c>
      <c r="B194" s="0" t="n">
        <f aca="false">RawFinancials!C194</f>
        <v>27824</v>
      </c>
      <c r="C194" s="0" t="str">
        <f aca="false">RawFinancials!P194</f>
        <v>SALEM CO-OPERATIVE BANK</v>
      </c>
      <c r="D194" s="0" t="n">
        <f aca="false">RawFinancials!W194</f>
        <v>20221231</v>
      </c>
      <c r="E194" s="0" t="str">
        <f aca="false">RawFinancials!Z194</f>
        <v>NH</v>
      </c>
      <c r="F194" s="0" t="n">
        <f aca="false">RawFinancials!B194</f>
        <v>487232</v>
      </c>
      <c r="G194" s="0" t="n">
        <f aca="false">RawFinancials!U194</f>
        <v>0</v>
      </c>
      <c r="H194" s="0" t="n">
        <f aca="false">RawFinancials!O194</f>
        <v>881</v>
      </c>
      <c r="I194" s="0" t="n">
        <f aca="false">IF(AND(ISNUMBER(G194),ISNUMBER(H194)),G194+H194,"")</f>
        <v>881</v>
      </c>
      <c r="J194" s="0" t="n">
        <f aca="false">RawFinancials!D194</f>
        <v>385881</v>
      </c>
      <c r="K194" s="0" t="n">
        <f aca="false">RawFinancials!F194</f>
        <v>66059</v>
      </c>
      <c r="L194" s="0" t="n">
        <f aca="false">RawFinancials!L194</f>
        <v>403625</v>
      </c>
      <c r="M194" s="0" t="n">
        <f aca="false">RawFinancials!N194</f>
        <v>342567</v>
      </c>
      <c r="N194" s="13" t="n">
        <f aca="false">RawFinancials!X194</f>
        <v>0.24575653263604</v>
      </c>
      <c r="O194" s="13" t="n">
        <f aca="false">RawFinancials!V194</f>
        <v>23.0970442865222</v>
      </c>
      <c r="P194" s="13" t="n">
        <f aca="false">IF(AND(ISNUMBER(L194),L194&lt;&gt;0,ISNUMBER(M194)),100*M194/L194,"")</f>
        <v>84.8725921337876</v>
      </c>
      <c r="Q194" s="13" t="n">
        <f aca="false">IF(AND(ISNUMBER(F194),F194&lt;&gt;0,ISNUMBER(K194)),100*K194/F194,"")</f>
        <v>13.558017535794</v>
      </c>
      <c r="R194" s="11" t="b">
        <f aca="false">AND(ISNUMBER(F194),F194&gt;0,ISNUMBER(G194),G194&gt;=0,ISNUMBER(H194),H194&gt;=0)</f>
        <v>1</v>
      </c>
      <c r="S194" s="13" t="n">
        <f aca="false">IF(R194,100*I194/F194,"")</f>
        <v>0.180817351898069</v>
      </c>
      <c r="T194" s="11" t="b">
        <f aca="false">NOT(AND(OR(AND(ISBLANK(RawFinancials!B194),ISBLANK(_RawBaseline!B191)),AND(ISNUMBER(RawFinancials!B194),ISNUMBER(_RawBaseline!B191),RawFinancials!B194=_RawBaseline!B191)),OR(AND(ISBLANK(RawFinancials!U194),ISBLANK(_RawBaseline!U191)),AND(ISNUMBER(RawFinancials!U194),ISNUMBER(_RawBaseline!U191),RawFinancials!U194=_RawBaseline!U191)),OR(AND(ISBLANK(RawFinancials!O194),ISBLANK(_RawBaseline!O191)),AND(ISNUMBER(RawFinancials!O194),ISNUMBER(_RawBaseline!O191),RawFinancials!O194=_RawBaseline!O191))))</f>
        <v>0</v>
      </c>
      <c r="U194" s="13" t="n">
        <f aca="false">IF(AND(D194=WF_START_PERIOD,R194,COUNTIFS($B$5:$B$750,B194,$D$5:$D$750,WF_END_PERIOD,$R$5:$R$750,TRUE())&gt;0),SUMIFS($S$5:$S$750,$B$5:$B$750,B194,$D$5:$D$750,WF_END_PERIOD,$R$5:$R$750,TRUE()),0)</f>
        <v>0</v>
      </c>
      <c r="V194" s="0" t="str">
        <f aca="false">IF(AND(D194=WF_START_PERIOD,COUNTIFS($B$5:$B$750,B194,$D$5:$D$750,WF_END_PERIOD)&gt;0),INDEX($E$5:$E$750,MATCH(B194&amp;"|"&amp;WF_END_PERIOD,$AC$5:$AC$750,0)),"")</f>
        <v/>
      </c>
      <c r="W194" s="11" t="b">
        <f aca="false">COUNTIFS($B$5:$B$750,B194,$D$5:$D$750,WF_START_PERIOD,$R$5:$R$750,TRUE())&gt;0</f>
        <v>1</v>
      </c>
      <c r="X194" s="11" t="b">
        <f aca="false">COUNTIFS($B$5:$B$750,B194,$D$5:$D$750,WF_END_PERIOD,$R$5:$R$750,TRUE())&gt;0</f>
        <v>1</v>
      </c>
      <c r="Y194" s="0" t="str">
        <f aca="false">IF(AND(D194=WF_END_PERIOD,COUNTIFS($B$5:$B$750,B194,$D$5:$D$750,WF_START_PERIOD)&gt;0),INDEX($E$5:$E$750,MATCH(B194&amp;"|"&amp;WF_START_PERIOD,$AC$5:$AC$750,0)),"")</f>
        <v/>
      </c>
      <c r="Z194" s="0" t="str">
        <f aca="false">IF(AND(D194=WF_END_PERIOD,R194),1+COUNTIFS($D$5:$D$750,WF_END_PERIOD,$E$5:$E$750,E194,$R$5:$R$750,TRUE(),$S$5:$S$750,"&gt;"&amp;S194)+COUNTIFS($D$5:$D$750,WF_END_PERIOD,$E$5:$E$750,E194,$R$5:$R$750,TRUE(),$S$5:$S$750,S194,$B$5:$B$750,"&lt;"&amp;B194),"")</f>
        <v/>
      </c>
      <c r="AA194" s="0" t="str">
        <f aca="false">IF(AND(D194=WF_END_PERIOD,R194,Z194&lt;&gt;1),1+COUNTIFS($D$5:$D$750,WF_END_PERIOD,$R$5:$R$750,TRUE(),$Z$5:$Z$750,"&lt;&gt;1",$S$5:$S$750,"&gt;"&amp;S194)+COUNTIFS($D$5:$D$750,WF_END_PERIOD,$R$5:$R$750,TRUE(),$Z$5:$Z$750,"&lt;&gt;1",$S$5:$S$750,S194,$B$5:$B$750,"&lt;"&amp;B194),"")</f>
        <v/>
      </c>
      <c r="AB194" s="11" t="b">
        <f aca="false">OR(D194=WF_START_PERIOD,D194=WF_END_PERIOD)</f>
        <v>0</v>
      </c>
      <c r="AC194" s="0" t="str">
        <f aca="false">B194&amp;"|"&amp;D194</f>
        <v>27824|20221231</v>
      </c>
    </row>
    <row r="195" customFormat="false" ht="15" hidden="false" customHeight="false" outlineLevel="0" collapsed="false">
      <c r="A195" s="0" t="n">
        <f aca="false">RawFinancials!A195</f>
        <v>192</v>
      </c>
      <c r="B195" s="0" t="n">
        <f aca="false">RawFinancials!C195</f>
        <v>28155</v>
      </c>
      <c r="C195" s="0" t="str">
        <f aca="false">RawFinancials!P195</f>
        <v>PROFILE BANK</v>
      </c>
      <c r="D195" s="0" t="n">
        <f aca="false">RawFinancials!W195</f>
        <v>20221231</v>
      </c>
      <c r="E195" s="0" t="str">
        <f aca="false">RawFinancials!Z195</f>
        <v>NH</v>
      </c>
      <c r="F195" s="0" t="n">
        <f aca="false">RawFinancials!B195</f>
        <v>297675</v>
      </c>
      <c r="G195" s="0" t="n">
        <f aca="false">RawFinancials!U195</f>
        <v>0</v>
      </c>
      <c r="H195" s="0" t="n">
        <f aca="false">RawFinancials!O195</f>
        <v>67</v>
      </c>
      <c r="I195" s="0" t="n">
        <f aca="false">IF(AND(ISNUMBER(G195),ISNUMBER(H195)),G195+H195,"")</f>
        <v>67</v>
      </c>
      <c r="J195" s="0" t="n">
        <f aca="false">RawFinancials!D195</f>
        <v>258019</v>
      </c>
      <c r="K195" s="0" t="n">
        <f aca="false">RawFinancials!F195</f>
        <v>27626</v>
      </c>
      <c r="L195" s="0" t="n">
        <f aca="false">RawFinancials!L195</f>
        <v>158085</v>
      </c>
      <c r="M195" s="0" t="n">
        <f aca="false">RawFinancials!N195</f>
        <v>146082</v>
      </c>
      <c r="N195" s="13" t="n">
        <f aca="false">RawFinancials!X195</f>
        <v>0.129023320625668</v>
      </c>
      <c r="O195" s="13" t="n">
        <f aca="false">RawFinancials!V195</f>
        <v>18.1932924630364</v>
      </c>
      <c r="P195" s="13" t="n">
        <f aca="false">IF(AND(ISNUMBER(L195),L195&lt;&gt;0,ISNUMBER(M195)),100*M195/L195,"")</f>
        <v>92.4072492646361</v>
      </c>
      <c r="Q195" s="13" t="n">
        <f aca="false">IF(AND(ISNUMBER(F195),F195&lt;&gt;0,ISNUMBER(K195)),100*K195/F195,"")</f>
        <v>9.28059124884522</v>
      </c>
      <c r="R195" s="11" t="b">
        <f aca="false">AND(ISNUMBER(F195),F195&gt;0,ISNUMBER(G195),G195&gt;=0,ISNUMBER(H195),H195&gt;=0)</f>
        <v>1</v>
      </c>
      <c r="S195" s="13" t="n">
        <f aca="false">IF(R195,100*I195/F195,"")</f>
        <v>0.0225077685395146</v>
      </c>
      <c r="T195" s="11" t="b">
        <f aca="false">NOT(AND(OR(AND(ISBLANK(RawFinancials!B195),ISBLANK(_RawBaseline!B192)),AND(ISNUMBER(RawFinancials!B195),ISNUMBER(_RawBaseline!B192),RawFinancials!B195=_RawBaseline!B192)),OR(AND(ISBLANK(RawFinancials!U195),ISBLANK(_RawBaseline!U192)),AND(ISNUMBER(RawFinancials!U195),ISNUMBER(_RawBaseline!U192),RawFinancials!U195=_RawBaseline!U192)),OR(AND(ISBLANK(RawFinancials!O195),ISBLANK(_RawBaseline!O192)),AND(ISNUMBER(RawFinancials!O195),ISNUMBER(_RawBaseline!O192),RawFinancials!O195=_RawBaseline!O192))))</f>
        <v>0</v>
      </c>
      <c r="U195" s="13" t="n">
        <f aca="false">IF(AND(D195=WF_START_PERIOD,R195,COUNTIFS($B$5:$B$750,B195,$D$5:$D$750,WF_END_PERIOD,$R$5:$R$750,TRUE())&gt;0),SUMIFS($S$5:$S$750,$B$5:$B$750,B195,$D$5:$D$750,WF_END_PERIOD,$R$5:$R$750,TRUE()),0)</f>
        <v>0</v>
      </c>
      <c r="V195" s="0" t="str">
        <f aca="false">IF(AND(D195=WF_START_PERIOD,COUNTIFS($B$5:$B$750,B195,$D$5:$D$750,WF_END_PERIOD)&gt;0),INDEX($E$5:$E$750,MATCH(B195&amp;"|"&amp;WF_END_PERIOD,$AC$5:$AC$750,0)),"")</f>
        <v/>
      </c>
      <c r="W195" s="11" t="b">
        <f aca="false">COUNTIFS($B$5:$B$750,B195,$D$5:$D$750,WF_START_PERIOD,$R$5:$R$750,TRUE())&gt;0</f>
        <v>1</v>
      </c>
      <c r="X195" s="11" t="b">
        <f aca="false">COUNTIFS($B$5:$B$750,B195,$D$5:$D$750,WF_END_PERIOD,$R$5:$R$750,TRUE())&gt;0</f>
        <v>1</v>
      </c>
      <c r="Y195" s="0" t="str">
        <f aca="false">IF(AND(D195=WF_END_PERIOD,COUNTIFS($B$5:$B$750,B195,$D$5:$D$750,WF_START_PERIOD)&gt;0),INDEX($E$5:$E$750,MATCH(B195&amp;"|"&amp;WF_START_PERIOD,$AC$5:$AC$750,0)),"")</f>
        <v/>
      </c>
      <c r="Z195" s="0" t="str">
        <f aca="false">IF(AND(D195=WF_END_PERIOD,R195),1+COUNTIFS($D$5:$D$750,WF_END_PERIOD,$E$5:$E$750,E195,$R$5:$R$750,TRUE(),$S$5:$S$750,"&gt;"&amp;S195)+COUNTIFS($D$5:$D$750,WF_END_PERIOD,$E$5:$E$750,E195,$R$5:$R$750,TRUE(),$S$5:$S$750,S195,$B$5:$B$750,"&lt;"&amp;B195),"")</f>
        <v/>
      </c>
      <c r="AA195" s="0" t="str">
        <f aca="false">IF(AND(D195=WF_END_PERIOD,R195,Z195&lt;&gt;1),1+COUNTIFS($D$5:$D$750,WF_END_PERIOD,$R$5:$R$750,TRUE(),$Z$5:$Z$750,"&lt;&gt;1",$S$5:$S$750,"&gt;"&amp;S195)+COUNTIFS($D$5:$D$750,WF_END_PERIOD,$R$5:$R$750,TRUE(),$Z$5:$Z$750,"&lt;&gt;1",$S$5:$S$750,S195,$B$5:$B$750,"&lt;"&amp;B195),"")</f>
        <v/>
      </c>
      <c r="AB195" s="11" t="b">
        <f aca="false">OR(D195=WF_START_PERIOD,D195=WF_END_PERIOD)</f>
        <v>0</v>
      </c>
      <c r="AC195" s="0" t="str">
        <f aca="false">B195&amp;"|"&amp;D195</f>
        <v>28155|20221231</v>
      </c>
    </row>
    <row r="196" customFormat="false" ht="15" hidden="false" customHeight="false" outlineLevel="0" collapsed="false">
      <c r="A196" s="0" t="n">
        <f aca="false">RawFinancials!A196</f>
        <v>193</v>
      </c>
      <c r="B196" s="0" t="n">
        <f aca="false">RawFinancials!C196</f>
        <v>28288</v>
      </c>
      <c r="C196" s="0" t="str">
        <f aca="false">RawFinancials!P196</f>
        <v>AUBURN SAVINGS BANK, FSB</v>
      </c>
      <c r="D196" s="0" t="n">
        <f aca="false">RawFinancials!W196</f>
        <v>20221231</v>
      </c>
      <c r="E196" s="0" t="str">
        <f aca="false">RawFinancials!Z196</f>
        <v>ME</v>
      </c>
      <c r="F196" s="0" t="n">
        <f aca="false">RawFinancials!B196</f>
        <v>101567</v>
      </c>
      <c r="G196" s="0" t="n">
        <f aca="false">RawFinancials!U196</f>
        <v>0</v>
      </c>
      <c r="H196" s="0" t="n">
        <f aca="false">RawFinancials!O196</f>
        <v>364</v>
      </c>
      <c r="I196" s="0" t="n">
        <f aca="false">IF(AND(ISNUMBER(G196),ISNUMBER(H196)),G196+H196,"")</f>
        <v>364</v>
      </c>
      <c r="J196" s="0" t="n">
        <f aca="false">RawFinancials!D196</f>
        <v>81268</v>
      </c>
      <c r="K196" s="0" t="n">
        <f aca="false">RawFinancials!F196</f>
        <v>5901</v>
      </c>
      <c r="L196" s="0" t="n">
        <f aca="false">RawFinancials!L196</f>
        <v>78728</v>
      </c>
      <c r="M196" s="0" t="n">
        <f aca="false">RawFinancials!N196</f>
        <v>74650</v>
      </c>
      <c r="N196" s="13" t="n">
        <f aca="false">RawFinancials!X196</f>
        <v>0.0982367028867114</v>
      </c>
      <c r="O196" s="13" t="n">
        <f aca="false">RawFinancials!V196</f>
        <v>13.6622857582046</v>
      </c>
      <c r="P196" s="13" t="n">
        <f aca="false">IF(AND(ISNUMBER(L196),L196&lt;&gt;0,ISNUMBER(M196)),100*M196/L196,"")</f>
        <v>94.8201402296515</v>
      </c>
      <c r="Q196" s="13" t="n">
        <f aca="false">IF(AND(ISNUMBER(F196),F196&lt;&gt;0,ISNUMBER(K196)),100*K196/F196,"")</f>
        <v>5.80995795878583</v>
      </c>
      <c r="R196" s="11" t="b">
        <f aca="false">AND(ISNUMBER(F196),F196&gt;0,ISNUMBER(G196),G196&gt;=0,ISNUMBER(H196),H196&gt;=0)</f>
        <v>1</v>
      </c>
      <c r="S196" s="13" t="n">
        <f aca="false">IF(R196,100*I196/F196,"")</f>
        <v>0.358384120826646</v>
      </c>
      <c r="T196" s="11" t="b">
        <f aca="false">NOT(AND(OR(AND(ISBLANK(RawFinancials!B196),ISBLANK(_RawBaseline!B193)),AND(ISNUMBER(RawFinancials!B196),ISNUMBER(_RawBaseline!B193),RawFinancials!B196=_RawBaseline!B193)),OR(AND(ISBLANK(RawFinancials!U196),ISBLANK(_RawBaseline!U193)),AND(ISNUMBER(RawFinancials!U196),ISNUMBER(_RawBaseline!U193),RawFinancials!U196=_RawBaseline!U193)),OR(AND(ISBLANK(RawFinancials!O196),ISBLANK(_RawBaseline!O193)),AND(ISNUMBER(RawFinancials!O196),ISNUMBER(_RawBaseline!O193),RawFinancials!O196=_RawBaseline!O193))))</f>
        <v>0</v>
      </c>
      <c r="U196" s="13" t="n">
        <f aca="false">IF(AND(D196=WF_START_PERIOD,R196,COUNTIFS($B$5:$B$750,B196,$D$5:$D$750,WF_END_PERIOD,$R$5:$R$750,TRUE())&gt;0),SUMIFS($S$5:$S$750,$B$5:$B$750,B196,$D$5:$D$750,WF_END_PERIOD,$R$5:$R$750,TRUE()),0)</f>
        <v>0</v>
      </c>
      <c r="V196" s="0" t="str">
        <f aca="false">IF(AND(D196=WF_START_PERIOD,COUNTIFS($B$5:$B$750,B196,$D$5:$D$750,WF_END_PERIOD)&gt;0),INDEX($E$5:$E$750,MATCH(B196&amp;"|"&amp;WF_END_PERIOD,$AC$5:$AC$750,0)),"")</f>
        <v/>
      </c>
      <c r="W196" s="11" t="b">
        <f aca="false">COUNTIFS($B$5:$B$750,B196,$D$5:$D$750,WF_START_PERIOD,$R$5:$R$750,TRUE())&gt;0</f>
        <v>1</v>
      </c>
      <c r="X196" s="11" t="b">
        <f aca="false">COUNTIFS($B$5:$B$750,B196,$D$5:$D$750,WF_END_PERIOD,$R$5:$R$750,TRUE())&gt;0</f>
        <v>1</v>
      </c>
      <c r="Y196" s="0" t="str">
        <f aca="false">IF(AND(D196=WF_END_PERIOD,COUNTIFS($B$5:$B$750,B196,$D$5:$D$750,WF_START_PERIOD)&gt;0),INDEX($E$5:$E$750,MATCH(B196&amp;"|"&amp;WF_START_PERIOD,$AC$5:$AC$750,0)),"")</f>
        <v/>
      </c>
      <c r="Z196" s="0" t="str">
        <f aca="false">IF(AND(D196=WF_END_PERIOD,R196),1+COUNTIFS($D$5:$D$750,WF_END_PERIOD,$E$5:$E$750,E196,$R$5:$R$750,TRUE(),$S$5:$S$750,"&gt;"&amp;S196)+COUNTIFS($D$5:$D$750,WF_END_PERIOD,$E$5:$E$750,E196,$R$5:$R$750,TRUE(),$S$5:$S$750,S196,$B$5:$B$750,"&lt;"&amp;B196),"")</f>
        <v/>
      </c>
      <c r="AA196" s="0" t="str">
        <f aca="false">IF(AND(D196=WF_END_PERIOD,R196,Z196&lt;&gt;1),1+COUNTIFS($D$5:$D$750,WF_END_PERIOD,$R$5:$R$750,TRUE(),$Z$5:$Z$750,"&lt;&gt;1",$S$5:$S$750,"&gt;"&amp;S196)+COUNTIFS($D$5:$D$750,WF_END_PERIOD,$R$5:$R$750,TRUE(),$Z$5:$Z$750,"&lt;&gt;1",$S$5:$S$750,S196,$B$5:$B$750,"&lt;"&amp;B196),"")</f>
        <v/>
      </c>
      <c r="AB196" s="11" t="b">
        <f aca="false">OR(D196=WF_START_PERIOD,D196=WF_END_PERIOD)</f>
        <v>0</v>
      </c>
      <c r="AC196" s="0" t="str">
        <f aca="false">B196&amp;"|"&amp;D196</f>
        <v>28288|20221231</v>
      </c>
    </row>
    <row r="197" customFormat="false" ht="15" hidden="false" customHeight="false" outlineLevel="0" collapsed="false">
      <c r="A197" s="0" t="n">
        <f aca="false">RawFinancials!A197</f>
        <v>194</v>
      </c>
      <c r="B197" s="0" t="n">
        <f aca="false">RawFinancials!C197</f>
        <v>28369</v>
      </c>
      <c r="C197" s="0" t="str">
        <f aca="false">RawFinancials!P197</f>
        <v>ROCKLAND SAVINGS BANK, FSB</v>
      </c>
      <c r="D197" s="0" t="n">
        <f aca="false">RawFinancials!W197</f>
        <v>20221231</v>
      </c>
      <c r="E197" s="0" t="str">
        <f aca="false">RawFinancials!Z197</f>
        <v>ME</v>
      </c>
      <c r="F197" s="0" t="n">
        <f aca="false">RawFinancials!B197</f>
        <v>86156</v>
      </c>
      <c r="G197" s="0" t="n">
        <f aca="false">RawFinancials!U197</f>
        <v>0</v>
      </c>
      <c r="H197" s="0" t="n">
        <f aca="false">RawFinancials!O197</f>
        <v>243</v>
      </c>
      <c r="I197" s="0" t="n">
        <f aca="false">IF(AND(ISNUMBER(G197),ISNUMBER(H197)),G197+H197,"")</f>
        <v>243</v>
      </c>
      <c r="J197" s="0" t="n">
        <f aca="false">RawFinancials!D197</f>
        <v>76209</v>
      </c>
      <c r="K197" s="0" t="n">
        <f aca="false">RawFinancials!F197</f>
        <v>9537</v>
      </c>
      <c r="L197" s="0" t="n">
        <f aca="false">RawFinancials!L197</f>
        <v>73364</v>
      </c>
      <c r="M197" s="0" t="n">
        <f aca="false">RawFinancials!N197</f>
        <v>62199</v>
      </c>
      <c r="N197" s="13" t="n">
        <f aca="false">RawFinancials!X197</f>
        <v>0.120898935398517</v>
      </c>
      <c r="O197" s="13" t="n">
        <f aca="false">RawFinancials!V197</f>
        <v>0</v>
      </c>
      <c r="P197" s="13" t="n">
        <f aca="false">IF(AND(ISNUMBER(L197),L197&lt;&gt;0,ISNUMBER(M197)),100*M197/L197,"")</f>
        <v>84.7813641568072</v>
      </c>
      <c r="Q197" s="13" t="n">
        <f aca="false">IF(AND(ISNUMBER(F197),F197&lt;&gt;0,ISNUMBER(K197)),100*K197/F197,"")</f>
        <v>11.069455406472</v>
      </c>
      <c r="R197" s="11" t="b">
        <f aca="false">AND(ISNUMBER(F197),F197&gt;0,ISNUMBER(G197),G197&gt;=0,ISNUMBER(H197),H197&gt;=0)</f>
        <v>1</v>
      </c>
      <c r="S197" s="13" t="n">
        <f aca="false">IF(R197,100*I197/F197,"")</f>
        <v>0.282046520265565</v>
      </c>
      <c r="T197" s="11" t="b">
        <f aca="false">NOT(AND(OR(AND(ISBLANK(RawFinancials!B197),ISBLANK(_RawBaseline!B194)),AND(ISNUMBER(RawFinancials!B197),ISNUMBER(_RawBaseline!B194),RawFinancials!B197=_RawBaseline!B194)),OR(AND(ISBLANK(RawFinancials!U197),ISBLANK(_RawBaseline!U194)),AND(ISNUMBER(RawFinancials!U197),ISNUMBER(_RawBaseline!U194),RawFinancials!U197=_RawBaseline!U194)),OR(AND(ISBLANK(RawFinancials!O197),ISBLANK(_RawBaseline!O194)),AND(ISNUMBER(RawFinancials!O197),ISNUMBER(_RawBaseline!O194),RawFinancials!O197=_RawBaseline!O194))))</f>
        <v>0</v>
      </c>
      <c r="U197" s="13" t="n">
        <f aca="false">IF(AND(D197=WF_START_PERIOD,R197,COUNTIFS($B$5:$B$750,B197,$D$5:$D$750,WF_END_PERIOD,$R$5:$R$750,TRUE())&gt;0),SUMIFS($S$5:$S$750,$B$5:$B$750,B197,$D$5:$D$750,WF_END_PERIOD,$R$5:$R$750,TRUE()),0)</f>
        <v>0</v>
      </c>
      <c r="V197" s="0" t="str">
        <f aca="false">IF(AND(D197=WF_START_PERIOD,COUNTIFS($B$5:$B$750,B197,$D$5:$D$750,WF_END_PERIOD)&gt;0),INDEX($E$5:$E$750,MATCH(B197&amp;"|"&amp;WF_END_PERIOD,$AC$5:$AC$750,0)),"")</f>
        <v/>
      </c>
      <c r="W197" s="11" t="b">
        <f aca="false">COUNTIFS($B$5:$B$750,B197,$D$5:$D$750,WF_START_PERIOD,$R$5:$R$750,TRUE())&gt;0</f>
        <v>1</v>
      </c>
      <c r="X197" s="11" t="b">
        <f aca="false">COUNTIFS($B$5:$B$750,B197,$D$5:$D$750,WF_END_PERIOD,$R$5:$R$750,TRUE())&gt;0</f>
        <v>1</v>
      </c>
      <c r="Y197" s="0" t="str">
        <f aca="false">IF(AND(D197=WF_END_PERIOD,COUNTIFS($B$5:$B$750,B197,$D$5:$D$750,WF_START_PERIOD)&gt;0),INDEX($E$5:$E$750,MATCH(B197&amp;"|"&amp;WF_START_PERIOD,$AC$5:$AC$750,0)),"")</f>
        <v/>
      </c>
      <c r="Z197" s="0" t="str">
        <f aca="false">IF(AND(D197=WF_END_PERIOD,R197),1+COUNTIFS($D$5:$D$750,WF_END_PERIOD,$E$5:$E$750,E197,$R$5:$R$750,TRUE(),$S$5:$S$750,"&gt;"&amp;S197)+COUNTIFS($D$5:$D$750,WF_END_PERIOD,$E$5:$E$750,E197,$R$5:$R$750,TRUE(),$S$5:$S$750,S197,$B$5:$B$750,"&lt;"&amp;B197),"")</f>
        <v/>
      </c>
      <c r="AA197" s="0" t="str">
        <f aca="false">IF(AND(D197=WF_END_PERIOD,R197,Z197&lt;&gt;1),1+COUNTIFS($D$5:$D$750,WF_END_PERIOD,$R$5:$R$750,TRUE(),$Z$5:$Z$750,"&lt;&gt;1",$S$5:$S$750,"&gt;"&amp;S197)+COUNTIFS($D$5:$D$750,WF_END_PERIOD,$R$5:$R$750,TRUE(),$Z$5:$Z$750,"&lt;&gt;1",$S$5:$S$750,S197,$B$5:$B$750,"&lt;"&amp;B197),"")</f>
        <v/>
      </c>
      <c r="AB197" s="11" t="b">
        <f aca="false">OR(D197=WF_START_PERIOD,D197=WF_END_PERIOD)</f>
        <v>0</v>
      </c>
      <c r="AC197" s="0" t="str">
        <f aca="false">B197&amp;"|"&amp;D197</f>
        <v>28369|20221231</v>
      </c>
    </row>
    <row r="198" customFormat="false" ht="15" hidden="false" customHeight="false" outlineLevel="0" collapsed="false">
      <c r="A198" s="0" t="n">
        <f aca="false">RawFinancials!A198</f>
        <v>195</v>
      </c>
      <c r="B198" s="0" t="n">
        <f aca="false">RawFinancials!C198</f>
        <v>28837</v>
      </c>
      <c r="C198" s="0" t="str">
        <f aca="false">RawFinancials!P198</f>
        <v>THE BRATTLEBORO SAVINGS AND LOAN ASSOCIATION</v>
      </c>
      <c r="D198" s="0" t="n">
        <f aca="false">RawFinancials!W198</f>
        <v>20221231</v>
      </c>
      <c r="E198" s="0" t="str">
        <f aca="false">RawFinancials!Z198</f>
        <v>VT</v>
      </c>
      <c r="F198" s="0" t="n">
        <f aca="false">RawFinancials!B198</f>
        <v>309393</v>
      </c>
      <c r="G198" s="0" t="n">
        <f aca="false">RawFinancials!U198</f>
        <v>0</v>
      </c>
      <c r="H198" s="0" t="n">
        <f aca="false">RawFinancials!O198</f>
        <v>19</v>
      </c>
      <c r="I198" s="0" t="n">
        <f aca="false">IF(AND(ISNUMBER(G198),ISNUMBER(H198)),G198+H198,"")</f>
        <v>19</v>
      </c>
      <c r="J198" s="0" t="n">
        <f aca="false">RawFinancials!D198</f>
        <v>282476</v>
      </c>
      <c r="K198" s="0" t="n">
        <f aca="false">RawFinancials!F198</f>
        <v>23557</v>
      </c>
      <c r="L198" s="0" t="n">
        <f aca="false">RawFinancials!L198</f>
        <v>188508</v>
      </c>
      <c r="M198" s="0" t="n">
        <f aca="false">RawFinancials!N198</f>
        <v>179883</v>
      </c>
      <c r="N198" s="13" t="n">
        <f aca="false">RawFinancials!X198</f>
        <v>0.587269738016854</v>
      </c>
      <c r="O198" s="13" t="n">
        <f aca="false">RawFinancials!V198</f>
        <v>15.4061497879384</v>
      </c>
      <c r="P198" s="13" t="n">
        <f aca="false">IF(AND(ISNUMBER(L198),L198&lt;&gt;0,ISNUMBER(M198)),100*M198/L198,"")</f>
        <v>95.4245973645681</v>
      </c>
      <c r="Q198" s="13" t="n">
        <f aca="false">IF(AND(ISNUMBER(F198),F198&lt;&gt;0,ISNUMBER(K198)),100*K198/F198,"")</f>
        <v>7.61394084546192</v>
      </c>
      <c r="R198" s="11" t="b">
        <f aca="false">AND(ISNUMBER(F198),F198&gt;0,ISNUMBER(G198),G198&gt;=0,ISNUMBER(H198),H198&gt;=0)</f>
        <v>1</v>
      </c>
      <c r="S198" s="13" t="n">
        <f aca="false">IF(R198,100*I198/F198,"")</f>
        <v>0.00614105684356143</v>
      </c>
      <c r="T198" s="11" t="b">
        <f aca="false">NOT(AND(OR(AND(ISBLANK(RawFinancials!B198),ISBLANK(_RawBaseline!B195)),AND(ISNUMBER(RawFinancials!B198),ISNUMBER(_RawBaseline!B195),RawFinancials!B198=_RawBaseline!B195)),OR(AND(ISBLANK(RawFinancials!U198),ISBLANK(_RawBaseline!U195)),AND(ISNUMBER(RawFinancials!U198),ISNUMBER(_RawBaseline!U195),RawFinancials!U198=_RawBaseline!U195)),OR(AND(ISBLANK(RawFinancials!O198),ISBLANK(_RawBaseline!O195)),AND(ISNUMBER(RawFinancials!O198),ISNUMBER(_RawBaseline!O195),RawFinancials!O198=_RawBaseline!O195))))</f>
        <v>0</v>
      </c>
      <c r="U198" s="13" t="n">
        <f aca="false">IF(AND(D198=WF_START_PERIOD,R198,COUNTIFS($B$5:$B$750,B198,$D$5:$D$750,WF_END_PERIOD,$R$5:$R$750,TRUE())&gt;0),SUMIFS($S$5:$S$750,$B$5:$B$750,B198,$D$5:$D$750,WF_END_PERIOD,$R$5:$R$750,TRUE()),0)</f>
        <v>0</v>
      </c>
      <c r="V198" s="0" t="str">
        <f aca="false">IF(AND(D198=WF_START_PERIOD,COUNTIFS($B$5:$B$750,B198,$D$5:$D$750,WF_END_PERIOD)&gt;0),INDEX($E$5:$E$750,MATCH(B198&amp;"|"&amp;WF_END_PERIOD,$AC$5:$AC$750,0)),"")</f>
        <v/>
      </c>
      <c r="W198" s="11" t="b">
        <f aca="false">COUNTIFS($B$5:$B$750,B198,$D$5:$D$750,WF_START_PERIOD,$R$5:$R$750,TRUE())&gt;0</f>
        <v>1</v>
      </c>
      <c r="X198" s="11" t="b">
        <f aca="false">COUNTIFS($B$5:$B$750,B198,$D$5:$D$750,WF_END_PERIOD,$R$5:$R$750,TRUE())&gt;0</f>
        <v>1</v>
      </c>
      <c r="Y198" s="0" t="str">
        <f aca="false">IF(AND(D198=WF_END_PERIOD,COUNTIFS($B$5:$B$750,B198,$D$5:$D$750,WF_START_PERIOD)&gt;0),INDEX($E$5:$E$750,MATCH(B198&amp;"|"&amp;WF_START_PERIOD,$AC$5:$AC$750,0)),"")</f>
        <v/>
      </c>
      <c r="Z198" s="0" t="str">
        <f aca="false">IF(AND(D198=WF_END_PERIOD,R198),1+COUNTIFS($D$5:$D$750,WF_END_PERIOD,$E$5:$E$750,E198,$R$5:$R$750,TRUE(),$S$5:$S$750,"&gt;"&amp;S198)+COUNTIFS($D$5:$D$750,WF_END_PERIOD,$E$5:$E$750,E198,$R$5:$R$750,TRUE(),$S$5:$S$750,S198,$B$5:$B$750,"&lt;"&amp;B198),"")</f>
        <v/>
      </c>
      <c r="AA198" s="0" t="str">
        <f aca="false">IF(AND(D198=WF_END_PERIOD,R198,Z198&lt;&gt;1),1+COUNTIFS($D$5:$D$750,WF_END_PERIOD,$R$5:$R$750,TRUE(),$Z$5:$Z$750,"&lt;&gt;1",$S$5:$S$750,"&gt;"&amp;S198)+COUNTIFS($D$5:$D$750,WF_END_PERIOD,$R$5:$R$750,TRUE(),$Z$5:$Z$750,"&lt;&gt;1",$S$5:$S$750,S198,$B$5:$B$750,"&lt;"&amp;B198),"")</f>
        <v/>
      </c>
      <c r="AB198" s="11" t="b">
        <f aca="false">OR(D198=WF_START_PERIOD,D198=WF_END_PERIOD)</f>
        <v>0</v>
      </c>
      <c r="AC198" s="0" t="str">
        <f aca="false">B198&amp;"|"&amp;D198</f>
        <v>28837|20221231</v>
      </c>
    </row>
    <row r="199" customFormat="false" ht="15" hidden="false" customHeight="false" outlineLevel="0" collapsed="false">
      <c r="A199" s="0" t="n">
        <f aca="false">RawFinancials!A199</f>
        <v>196</v>
      </c>
      <c r="B199" s="0" t="n">
        <f aca="false">RawFinancials!C199</f>
        <v>29636</v>
      </c>
      <c r="C199" s="0" t="str">
        <f aca="false">RawFinancials!P199</f>
        <v>FIRST FEDERAL SAVINGS AND LOAN ASSOCIATION OF BATH</v>
      </c>
      <c r="D199" s="0" t="n">
        <f aca="false">RawFinancials!W199</f>
        <v>20221231</v>
      </c>
      <c r="E199" s="0" t="str">
        <f aca="false">RawFinancials!Z199</f>
        <v>ME</v>
      </c>
      <c r="F199" s="0" t="n">
        <f aca="false">RawFinancials!B199</f>
        <v>181529</v>
      </c>
      <c r="G199" s="0" t="n">
        <f aca="false">RawFinancials!U199</f>
        <v>0</v>
      </c>
      <c r="H199" s="0" t="n">
        <f aca="false">RawFinancials!O199</f>
        <v>2260</v>
      </c>
      <c r="I199" s="0" t="n">
        <f aca="false">IF(AND(ISNUMBER(G199),ISNUMBER(H199)),G199+H199,"")</f>
        <v>2260</v>
      </c>
      <c r="J199" s="0" t="n">
        <f aca="false">RawFinancials!D199</f>
        <v>149099</v>
      </c>
      <c r="K199" s="0" t="n">
        <f aca="false">RawFinancials!F199</f>
        <v>24331</v>
      </c>
      <c r="L199" s="0" t="n">
        <f aca="false">RawFinancials!L199</f>
        <v>125359</v>
      </c>
      <c r="M199" s="0" t="n">
        <f aca="false">RawFinancials!N199</f>
        <v>121892</v>
      </c>
      <c r="N199" s="13" t="n">
        <f aca="false">RawFinancials!X199</f>
        <v>0.361070715672017</v>
      </c>
      <c r="O199" s="13" t="n">
        <f aca="false">RawFinancials!V199</f>
        <v>27.508772658375</v>
      </c>
      <c r="P199" s="13" t="n">
        <f aca="false">IF(AND(ISNUMBER(L199),L199&lt;&gt;0,ISNUMBER(M199)),100*M199/L199,"")</f>
        <v>97.2343429669988</v>
      </c>
      <c r="Q199" s="13" t="n">
        <f aca="false">IF(AND(ISNUMBER(F199),F199&lt;&gt;0,ISNUMBER(K199)),100*K199/F199,"")</f>
        <v>13.4033680568945</v>
      </c>
      <c r="R199" s="11" t="b">
        <f aca="false">AND(ISNUMBER(F199),F199&gt;0,ISNUMBER(G199),G199&gt;=0,ISNUMBER(H199),H199&gt;=0)</f>
        <v>1</v>
      </c>
      <c r="S199" s="13" t="n">
        <f aca="false">IF(R199,100*I199/F199,"")</f>
        <v>1.24498014091412</v>
      </c>
      <c r="T199" s="11" t="b">
        <f aca="false">NOT(AND(OR(AND(ISBLANK(RawFinancials!B199),ISBLANK(_RawBaseline!B196)),AND(ISNUMBER(RawFinancials!B199),ISNUMBER(_RawBaseline!B196),RawFinancials!B199=_RawBaseline!B196)),OR(AND(ISBLANK(RawFinancials!U199),ISBLANK(_RawBaseline!U196)),AND(ISNUMBER(RawFinancials!U199),ISNUMBER(_RawBaseline!U196),RawFinancials!U199=_RawBaseline!U196)),OR(AND(ISBLANK(RawFinancials!O199),ISBLANK(_RawBaseline!O196)),AND(ISNUMBER(RawFinancials!O199),ISNUMBER(_RawBaseline!O196),RawFinancials!O199=_RawBaseline!O196))))</f>
        <v>0</v>
      </c>
      <c r="U199" s="13" t="n">
        <f aca="false">IF(AND(D199=WF_START_PERIOD,R199,COUNTIFS($B$5:$B$750,B199,$D$5:$D$750,WF_END_PERIOD,$R$5:$R$750,TRUE())&gt;0),SUMIFS($S$5:$S$750,$B$5:$B$750,B199,$D$5:$D$750,WF_END_PERIOD,$R$5:$R$750,TRUE()),0)</f>
        <v>0</v>
      </c>
      <c r="V199" s="0" t="str">
        <f aca="false">IF(AND(D199=WF_START_PERIOD,COUNTIFS($B$5:$B$750,B199,$D$5:$D$750,WF_END_PERIOD)&gt;0),INDEX($E$5:$E$750,MATCH(B199&amp;"|"&amp;WF_END_PERIOD,$AC$5:$AC$750,0)),"")</f>
        <v/>
      </c>
      <c r="W199" s="11" t="b">
        <f aca="false">COUNTIFS($B$5:$B$750,B199,$D$5:$D$750,WF_START_PERIOD,$R$5:$R$750,TRUE())&gt;0</f>
        <v>1</v>
      </c>
      <c r="X199" s="11" t="b">
        <f aca="false">COUNTIFS($B$5:$B$750,B199,$D$5:$D$750,WF_END_PERIOD,$R$5:$R$750,TRUE())&gt;0</f>
        <v>1</v>
      </c>
      <c r="Y199" s="0" t="str">
        <f aca="false">IF(AND(D199=WF_END_PERIOD,COUNTIFS($B$5:$B$750,B199,$D$5:$D$750,WF_START_PERIOD)&gt;0),INDEX($E$5:$E$750,MATCH(B199&amp;"|"&amp;WF_START_PERIOD,$AC$5:$AC$750,0)),"")</f>
        <v/>
      </c>
      <c r="Z199" s="0" t="str">
        <f aca="false">IF(AND(D199=WF_END_PERIOD,R199),1+COUNTIFS($D$5:$D$750,WF_END_PERIOD,$E$5:$E$750,E199,$R$5:$R$750,TRUE(),$S$5:$S$750,"&gt;"&amp;S199)+COUNTIFS($D$5:$D$750,WF_END_PERIOD,$E$5:$E$750,E199,$R$5:$R$750,TRUE(),$S$5:$S$750,S199,$B$5:$B$750,"&lt;"&amp;B199),"")</f>
        <v/>
      </c>
      <c r="AA199" s="0" t="str">
        <f aca="false">IF(AND(D199=WF_END_PERIOD,R199,Z199&lt;&gt;1),1+COUNTIFS($D$5:$D$750,WF_END_PERIOD,$R$5:$R$750,TRUE(),$Z$5:$Z$750,"&lt;&gt;1",$S$5:$S$750,"&gt;"&amp;S199)+COUNTIFS($D$5:$D$750,WF_END_PERIOD,$R$5:$R$750,TRUE(),$Z$5:$Z$750,"&lt;&gt;1",$S$5:$S$750,S199,$B$5:$B$750,"&lt;"&amp;B199),"")</f>
        <v/>
      </c>
      <c r="AB199" s="11" t="b">
        <f aca="false">OR(D199=WF_START_PERIOD,D199=WF_END_PERIOD)</f>
        <v>0</v>
      </c>
      <c r="AC199" s="0" t="str">
        <f aca="false">B199&amp;"|"&amp;D199</f>
        <v>29636|20221231</v>
      </c>
    </row>
    <row r="200" customFormat="false" ht="15" hidden="false" customHeight="false" outlineLevel="0" collapsed="false">
      <c r="A200" s="0" t="n">
        <f aca="false">RawFinancials!A200</f>
        <v>197</v>
      </c>
      <c r="B200" s="0" t="n">
        <f aca="false">RawFinancials!C200</f>
        <v>29743</v>
      </c>
      <c r="C200" s="0" t="str">
        <f aca="false">RawFinancials!P200</f>
        <v>AROOSTOOK COUNTY FEDERAL SAVINGS AND LOAN ASSOCIATION</v>
      </c>
      <c r="D200" s="0" t="n">
        <f aca="false">RawFinancials!W200</f>
        <v>20221231</v>
      </c>
      <c r="E200" s="0" t="str">
        <f aca="false">RawFinancials!Z200</f>
        <v>ME</v>
      </c>
      <c r="F200" s="0" t="n">
        <f aca="false">RawFinancials!B200</f>
        <v>185569</v>
      </c>
      <c r="G200" s="0" t="n">
        <f aca="false">RawFinancials!U200</f>
        <v>0</v>
      </c>
      <c r="H200" s="0" t="n">
        <f aca="false">RawFinancials!O200</f>
        <v>643</v>
      </c>
      <c r="I200" s="0" t="n">
        <f aca="false">IF(AND(ISNUMBER(G200),ISNUMBER(H200)),G200+H200,"")</f>
        <v>643</v>
      </c>
      <c r="J200" s="0" t="n">
        <f aca="false">RawFinancials!D200</f>
        <v>165554</v>
      </c>
      <c r="K200" s="0" t="n">
        <f aca="false">RawFinancials!F200</f>
        <v>15292</v>
      </c>
      <c r="L200" s="0" t="n">
        <f aca="false">RawFinancials!L200</f>
        <v>123871</v>
      </c>
      <c r="M200" s="0" t="n">
        <f aca="false">RawFinancials!N200</f>
        <v>81025</v>
      </c>
      <c r="N200" s="13" t="n">
        <f aca="false">RawFinancials!X200</f>
        <v>0.780066196271609</v>
      </c>
      <c r="O200" s="13" t="n">
        <f aca="false">RawFinancials!V200</f>
        <v>17.815004611099</v>
      </c>
      <c r="P200" s="13" t="n">
        <f aca="false">IF(AND(ISNUMBER(L200),L200&lt;&gt;0,ISNUMBER(M200)),100*M200/L200,"")</f>
        <v>65.4107902576067</v>
      </c>
      <c r="Q200" s="13" t="n">
        <f aca="false">IF(AND(ISNUMBER(F200),F200&lt;&gt;0,ISNUMBER(K200)),100*K200/F200,"")</f>
        <v>8.24060053133875</v>
      </c>
      <c r="R200" s="11" t="b">
        <f aca="false">AND(ISNUMBER(F200),F200&gt;0,ISNUMBER(G200),G200&gt;=0,ISNUMBER(H200),H200&gt;=0)</f>
        <v>1</v>
      </c>
      <c r="S200" s="13" t="n">
        <f aca="false">IF(R200,100*I200/F200,"")</f>
        <v>0.346501840285824</v>
      </c>
      <c r="T200" s="11" t="b">
        <f aca="false">NOT(AND(OR(AND(ISBLANK(RawFinancials!B200),ISBLANK(_RawBaseline!B197)),AND(ISNUMBER(RawFinancials!B200),ISNUMBER(_RawBaseline!B197),RawFinancials!B200=_RawBaseline!B197)),OR(AND(ISBLANK(RawFinancials!U200),ISBLANK(_RawBaseline!U197)),AND(ISNUMBER(RawFinancials!U200),ISNUMBER(_RawBaseline!U197),RawFinancials!U200=_RawBaseline!U197)),OR(AND(ISBLANK(RawFinancials!O200),ISBLANK(_RawBaseline!O197)),AND(ISNUMBER(RawFinancials!O200),ISNUMBER(_RawBaseline!O197),RawFinancials!O200=_RawBaseline!O197))))</f>
        <v>0</v>
      </c>
      <c r="U200" s="13" t="n">
        <f aca="false">IF(AND(D200=WF_START_PERIOD,R200,COUNTIFS($B$5:$B$750,B200,$D$5:$D$750,WF_END_PERIOD,$R$5:$R$750,TRUE())&gt;0),SUMIFS($S$5:$S$750,$B$5:$B$750,B200,$D$5:$D$750,WF_END_PERIOD,$R$5:$R$750,TRUE()),0)</f>
        <v>0</v>
      </c>
      <c r="V200" s="0" t="str">
        <f aca="false">IF(AND(D200=WF_START_PERIOD,COUNTIFS($B$5:$B$750,B200,$D$5:$D$750,WF_END_PERIOD)&gt;0),INDEX($E$5:$E$750,MATCH(B200&amp;"|"&amp;WF_END_PERIOD,$AC$5:$AC$750,0)),"")</f>
        <v/>
      </c>
      <c r="W200" s="11" t="b">
        <f aca="false">COUNTIFS($B$5:$B$750,B200,$D$5:$D$750,WF_START_PERIOD,$R$5:$R$750,TRUE())&gt;0</f>
        <v>1</v>
      </c>
      <c r="X200" s="11" t="b">
        <f aca="false">COUNTIFS($B$5:$B$750,B200,$D$5:$D$750,WF_END_PERIOD,$R$5:$R$750,TRUE())&gt;0</f>
        <v>1</v>
      </c>
      <c r="Y200" s="0" t="str">
        <f aca="false">IF(AND(D200=WF_END_PERIOD,COUNTIFS($B$5:$B$750,B200,$D$5:$D$750,WF_START_PERIOD)&gt;0),INDEX($E$5:$E$750,MATCH(B200&amp;"|"&amp;WF_START_PERIOD,$AC$5:$AC$750,0)),"")</f>
        <v/>
      </c>
      <c r="Z200" s="0" t="str">
        <f aca="false">IF(AND(D200=WF_END_PERIOD,R200),1+COUNTIFS($D$5:$D$750,WF_END_PERIOD,$E$5:$E$750,E200,$R$5:$R$750,TRUE(),$S$5:$S$750,"&gt;"&amp;S200)+COUNTIFS($D$5:$D$750,WF_END_PERIOD,$E$5:$E$750,E200,$R$5:$R$750,TRUE(),$S$5:$S$750,S200,$B$5:$B$750,"&lt;"&amp;B200),"")</f>
        <v/>
      </c>
      <c r="AA200" s="0" t="str">
        <f aca="false">IF(AND(D200=WF_END_PERIOD,R200,Z200&lt;&gt;1),1+COUNTIFS($D$5:$D$750,WF_END_PERIOD,$R$5:$R$750,TRUE(),$Z$5:$Z$750,"&lt;&gt;1",$S$5:$S$750,"&gt;"&amp;S200)+COUNTIFS($D$5:$D$750,WF_END_PERIOD,$R$5:$R$750,TRUE(),$Z$5:$Z$750,"&lt;&gt;1",$S$5:$S$750,S200,$B$5:$B$750,"&lt;"&amp;B200),"")</f>
        <v/>
      </c>
      <c r="AB200" s="11" t="b">
        <f aca="false">OR(D200=WF_START_PERIOD,D200=WF_END_PERIOD)</f>
        <v>0</v>
      </c>
      <c r="AC200" s="0" t="str">
        <f aca="false">B200&amp;"|"&amp;D200</f>
        <v>29743|20221231</v>
      </c>
    </row>
    <row r="201" customFormat="false" ht="15" hidden="false" customHeight="false" outlineLevel="0" collapsed="false">
      <c r="A201" s="0" t="n">
        <f aca="false">RawFinancials!A201</f>
        <v>198</v>
      </c>
      <c r="B201" s="0" t="n">
        <f aca="false">RawFinancials!C201</f>
        <v>29744</v>
      </c>
      <c r="C201" s="0" t="str">
        <f aca="false">RawFinancials!P201</f>
        <v>FIRST SEACOAST BANK</v>
      </c>
      <c r="D201" s="0" t="n">
        <f aca="false">RawFinancials!W201</f>
        <v>20221231</v>
      </c>
      <c r="E201" s="0" t="str">
        <f aca="false">RawFinancials!Z201</f>
        <v>NH</v>
      </c>
      <c r="F201" s="0" t="n">
        <f aca="false">RawFinancials!B201</f>
        <v>537395</v>
      </c>
      <c r="G201" s="0" t="n">
        <f aca="false">RawFinancials!U201</f>
        <v>0</v>
      </c>
      <c r="H201" s="0" t="n">
        <f aca="false">RawFinancials!O201</f>
        <v>89</v>
      </c>
      <c r="I201" s="0" t="n">
        <f aca="false">IF(AND(ISNUMBER(G201),ISNUMBER(H201)),G201+H201,"")</f>
        <v>89</v>
      </c>
      <c r="J201" s="0" t="n">
        <f aca="false">RawFinancials!D201</f>
        <v>393417</v>
      </c>
      <c r="K201" s="0" t="n">
        <f aca="false">RawFinancials!F201</f>
        <v>39950</v>
      </c>
      <c r="L201" s="0" t="n">
        <f aca="false">RawFinancials!L201</f>
        <v>402003</v>
      </c>
      <c r="M201" s="0" t="n">
        <f aca="false">RawFinancials!N201</f>
        <v>369776</v>
      </c>
      <c r="N201" s="13" t="n">
        <f aca="false">RawFinancials!X201</f>
        <v>-0.0975161331550553</v>
      </c>
      <c r="O201" s="13" t="n">
        <f aca="false">RawFinancials!V201</f>
        <v>15.5322247414503</v>
      </c>
      <c r="P201" s="13" t="n">
        <f aca="false">IF(AND(ISNUMBER(L201),L201&lt;&gt;0,ISNUMBER(M201)),100*M201/L201,"")</f>
        <v>91.9833931587575</v>
      </c>
      <c r="Q201" s="13" t="n">
        <f aca="false">IF(AND(ISNUMBER(F201),F201&lt;&gt;0,ISNUMBER(K201)),100*K201/F201,"")</f>
        <v>7.43401036481545</v>
      </c>
      <c r="R201" s="11" t="b">
        <f aca="false">AND(ISNUMBER(F201),F201&gt;0,ISNUMBER(G201),G201&gt;=0,ISNUMBER(H201),H201&gt;=0)</f>
        <v>1</v>
      </c>
      <c r="S201" s="13" t="n">
        <f aca="false">IF(R201,100*I201/F201,"")</f>
        <v>0.0165613747801896</v>
      </c>
      <c r="T201" s="11" t="b">
        <f aca="false">NOT(AND(OR(AND(ISBLANK(RawFinancials!B201),ISBLANK(_RawBaseline!B198)),AND(ISNUMBER(RawFinancials!B201),ISNUMBER(_RawBaseline!B198),RawFinancials!B201=_RawBaseline!B198)),OR(AND(ISBLANK(RawFinancials!U201),ISBLANK(_RawBaseline!U198)),AND(ISNUMBER(RawFinancials!U201),ISNUMBER(_RawBaseline!U198),RawFinancials!U201=_RawBaseline!U198)),OR(AND(ISBLANK(RawFinancials!O201),ISBLANK(_RawBaseline!O198)),AND(ISNUMBER(RawFinancials!O201),ISNUMBER(_RawBaseline!O198),RawFinancials!O201=_RawBaseline!O198))))</f>
        <v>0</v>
      </c>
      <c r="U201" s="13" t="n">
        <f aca="false">IF(AND(D201=WF_START_PERIOD,R201,COUNTIFS($B$5:$B$750,B201,$D$5:$D$750,WF_END_PERIOD,$R$5:$R$750,TRUE())&gt;0),SUMIFS($S$5:$S$750,$B$5:$B$750,B201,$D$5:$D$750,WF_END_PERIOD,$R$5:$R$750,TRUE()),0)</f>
        <v>0</v>
      </c>
      <c r="V201" s="0" t="str">
        <f aca="false">IF(AND(D201=WF_START_PERIOD,COUNTIFS($B$5:$B$750,B201,$D$5:$D$750,WF_END_PERIOD)&gt;0),INDEX($E$5:$E$750,MATCH(B201&amp;"|"&amp;WF_END_PERIOD,$AC$5:$AC$750,0)),"")</f>
        <v/>
      </c>
      <c r="W201" s="11" t="b">
        <f aca="false">COUNTIFS($B$5:$B$750,B201,$D$5:$D$750,WF_START_PERIOD,$R$5:$R$750,TRUE())&gt;0</f>
        <v>1</v>
      </c>
      <c r="X201" s="11" t="b">
        <f aca="false">COUNTIFS($B$5:$B$750,B201,$D$5:$D$750,WF_END_PERIOD,$R$5:$R$750,TRUE())&gt;0</f>
        <v>1</v>
      </c>
      <c r="Y201" s="0" t="str">
        <f aca="false">IF(AND(D201=WF_END_PERIOD,COUNTIFS($B$5:$B$750,B201,$D$5:$D$750,WF_START_PERIOD)&gt;0),INDEX($E$5:$E$750,MATCH(B201&amp;"|"&amp;WF_START_PERIOD,$AC$5:$AC$750,0)),"")</f>
        <v/>
      </c>
      <c r="Z201" s="0" t="str">
        <f aca="false">IF(AND(D201=WF_END_PERIOD,R201),1+COUNTIFS($D$5:$D$750,WF_END_PERIOD,$E$5:$E$750,E201,$R$5:$R$750,TRUE(),$S$5:$S$750,"&gt;"&amp;S201)+COUNTIFS($D$5:$D$750,WF_END_PERIOD,$E$5:$E$750,E201,$R$5:$R$750,TRUE(),$S$5:$S$750,S201,$B$5:$B$750,"&lt;"&amp;B201),"")</f>
        <v/>
      </c>
      <c r="AA201" s="0" t="str">
        <f aca="false">IF(AND(D201=WF_END_PERIOD,R201,Z201&lt;&gt;1),1+COUNTIFS($D$5:$D$750,WF_END_PERIOD,$R$5:$R$750,TRUE(),$Z$5:$Z$750,"&lt;&gt;1",$S$5:$S$750,"&gt;"&amp;S201)+COUNTIFS($D$5:$D$750,WF_END_PERIOD,$R$5:$R$750,TRUE(),$Z$5:$Z$750,"&lt;&gt;1",$S$5:$S$750,S201,$B$5:$B$750,"&lt;"&amp;B201),"")</f>
        <v/>
      </c>
      <c r="AB201" s="11" t="b">
        <f aca="false">OR(D201=WF_START_PERIOD,D201=WF_END_PERIOD)</f>
        <v>0</v>
      </c>
      <c r="AC201" s="0" t="str">
        <f aca="false">B201&amp;"|"&amp;D201</f>
        <v>29744|20221231</v>
      </c>
    </row>
    <row r="202" customFormat="false" ht="15" hidden="false" customHeight="false" outlineLevel="0" collapsed="false">
      <c r="A202" s="0" t="n">
        <f aca="false">RawFinancials!A202</f>
        <v>199</v>
      </c>
      <c r="B202" s="0" t="n">
        <f aca="false">RawFinancials!C202</f>
        <v>30350</v>
      </c>
      <c r="C202" s="0" t="str">
        <f aca="false">RawFinancials!P202</f>
        <v>THE BANK OF BENNINGTON</v>
      </c>
      <c r="D202" s="0" t="n">
        <f aca="false">RawFinancials!W202</f>
        <v>20221231</v>
      </c>
      <c r="E202" s="0" t="str">
        <f aca="false">RawFinancials!Z202</f>
        <v>VT</v>
      </c>
      <c r="F202" s="0" t="n">
        <f aca="false">RawFinancials!B202</f>
        <v>551789</v>
      </c>
      <c r="G202" s="0" t="n">
        <f aca="false">RawFinancials!U202</f>
        <v>0</v>
      </c>
      <c r="H202" s="0" t="n">
        <f aca="false">RawFinancials!O202</f>
        <v>1476</v>
      </c>
      <c r="I202" s="0" t="n">
        <f aca="false">IF(AND(ISNUMBER(G202),ISNUMBER(H202)),G202+H202,"")</f>
        <v>1476</v>
      </c>
      <c r="J202" s="0" t="n">
        <f aca="false">RawFinancials!D202</f>
        <v>463644</v>
      </c>
      <c r="K202" s="0" t="n">
        <f aca="false">RawFinancials!F202</f>
        <v>51142</v>
      </c>
      <c r="L202" s="0" t="n">
        <f aca="false">RawFinancials!L202</f>
        <v>392714</v>
      </c>
      <c r="M202" s="0" t="n">
        <f aca="false">RawFinancials!N202</f>
        <v>373732</v>
      </c>
      <c r="N202" s="13" t="n">
        <f aca="false">RawFinancials!X202</f>
        <v>0.726111639299295</v>
      </c>
      <c r="O202" s="13" t="n">
        <f aca="false">RawFinancials!V202</f>
        <v>20.9587789111335</v>
      </c>
      <c r="P202" s="13" t="n">
        <f aca="false">IF(AND(ISNUMBER(L202),L202&lt;&gt;0,ISNUMBER(M202)),100*M202/L202,"")</f>
        <v>95.1664570145195</v>
      </c>
      <c r="Q202" s="13" t="n">
        <f aca="false">IF(AND(ISNUMBER(F202),F202&lt;&gt;0,ISNUMBER(K202)),100*K202/F202,"")</f>
        <v>9.26839788397377</v>
      </c>
      <c r="R202" s="11" t="b">
        <f aca="false">AND(ISNUMBER(F202),F202&gt;0,ISNUMBER(G202),G202&gt;=0,ISNUMBER(H202),H202&gt;=0)</f>
        <v>1</v>
      </c>
      <c r="S202" s="13" t="n">
        <f aca="false">IF(R202,100*I202/F202,"")</f>
        <v>0.2674935527892</v>
      </c>
      <c r="T202" s="11" t="b">
        <f aca="false">NOT(AND(OR(AND(ISBLANK(RawFinancials!B202),ISBLANK(_RawBaseline!B199)),AND(ISNUMBER(RawFinancials!B202),ISNUMBER(_RawBaseline!B199),RawFinancials!B202=_RawBaseline!B199)),OR(AND(ISBLANK(RawFinancials!U202),ISBLANK(_RawBaseline!U199)),AND(ISNUMBER(RawFinancials!U202),ISNUMBER(_RawBaseline!U199),RawFinancials!U202=_RawBaseline!U199)),OR(AND(ISBLANK(RawFinancials!O202),ISBLANK(_RawBaseline!O199)),AND(ISNUMBER(RawFinancials!O202),ISNUMBER(_RawBaseline!O199),RawFinancials!O202=_RawBaseline!O199))))</f>
        <v>0</v>
      </c>
      <c r="U202" s="13" t="n">
        <f aca="false">IF(AND(D202=WF_START_PERIOD,R202,COUNTIFS($B$5:$B$750,B202,$D$5:$D$750,WF_END_PERIOD,$R$5:$R$750,TRUE())&gt;0),SUMIFS($S$5:$S$750,$B$5:$B$750,B202,$D$5:$D$750,WF_END_PERIOD,$R$5:$R$750,TRUE()),0)</f>
        <v>0</v>
      </c>
      <c r="V202" s="0" t="str">
        <f aca="false">IF(AND(D202=WF_START_PERIOD,COUNTIFS($B$5:$B$750,B202,$D$5:$D$750,WF_END_PERIOD)&gt;0),INDEX($E$5:$E$750,MATCH(B202&amp;"|"&amp;WF_END_PERIOD,$AC$5:$AC$750,0)),"")</f>
        <v/>
      </c>
      <c r="W202" s="11" t="b">
        <f aca="false">COUNTIFS($B$5:$B$750,B202,$D$5:$D$750,WF_START_PERIOD,$R$5:$R$750,TRUE())&gt;0</f>
        <v>1</v>
      </c>
      <c r="X202" s="11" t="b">
        <f aca="false">COUNTIFS($B$5:$B$750,B202,$D$5:$D$750,WF_END_PERIOD,$R$5:$R$750,TRUE())&gt;0</f>
        <v>1</v>
      </c>
      <c r="Y202" s="0" t="str">
        <f aca="false">IF(AND(D202=WF_END_PERIOD,COUNTIFS($B$5:$B$750,B202,$D$5:$D$750,WF_START_PERIOD)&gt;0),INDEX($E$5:$E$750,MATCH(B202&amp;"|"&amp;WF_START_PERIOD,$AC$5:$AC$750,0)),"")</f>
        <v/>
      </c>
      <c r="Z202" s="0" t="str">
        <f aca="false">IF(AND(D202=WF_END_PERIOD,R202),1+COUNTIFS($D$5:$D$750,WF_END_PERIOD,$E$5:$E$750,E202,$R$5:$R$750,TRUE(),$S$5:$S$750,"&gt;"&amp;S202)+COUNTIFS($D$5:$D$750,WF_END_PERIOD,$E$5:$E$750,E202,$R$5:$R$750,TRUE(),$S$5:$S$750,S202,$B$5:$B$750,"&lt;"&amp;B202),"")</f>
        <v/>
      </c>
      <c r="AA202" s="0" t="str">
        <f aca="false">IF(AND(D202=WF_END_PERIOD,R202,Z202&lt;&gt;1),1+COUNTIFS($D$5:$D$750,WF_END_PERIOD,$R$5:$R$750,TRUE(),$Z$5:$Z$750,"&lt;&gt;1",$S$5:$S$750,"&gt;"&amp;S202)+COUNTIFS($D$5:$D$750,WF_END_PERIOD,$R$5:$R$750,TRUE(),$Z$5:$Z$750,"&lt;&gt;1",$S$5:$S$750,S202,$B$5:$B$750,"&lt;"&amp;B202),"")</f>
        <v/>
      </c>
      <c r="AB202" s="11" t="b">
        <f aca="false">OR(D202=WF_START_PERIOD,D202=WF_END_PERIOD)</f>
        <v>0</v>
      </c>
      <c r="AC202" s="0" t="str">
        <f aca="false">B202&amp;"|"&amp;D202</f>
        <v>30350|20221231</v>
      </c>
    </row>
    <row r="203" customFormat="false" ht="15" hidden="false" customHeight="false" outlineLevel="0" collapsed="false">
      <c r="A203" s="0" t="n">
        <f aca="false">RawFinancials!A203</f>
        <v>200</v>
      </c>
      <c r="B203" s="0" t="n">
        <f aca="false">RawFinancials!C203</f>
        <v>30878</v>
      </c>
      <c r="C203" s="0" t="str">
        <f aca="false">RawFinancials!P203</f>
        <v>BAR HARBOR SAVINGS AND LOAN ASSOCIATION</v>
      </c>
      <c r="D203" s="0" t="n">
        <f aca="false">RawFinancials!W203</f>
        <v>20221231</v>
      </c>
      <c r="E203" s="0" t="str">
        <f aca="false">RawFinancials!Z203</f>
        <v>ME</v>
      </c>
      <c r="F203" s="0" t="n">
        <f aca="false">RawFinancials!B203</f>
        <v>101068</v>
      </c>
      <c r="G203" s="0" t="n">
        <f aca="false">RawFinancials!U203</f>
        <v>0</v>
      </c>
      <c r="H203" s="0" t="n">
        <f aca="false">RawFinancials!O203</f>
        <v>710</v>
      </c>
      <c r="I203" s="0" t="n">
        <f aca="false">IF(AND(ISNUMBER(G203),ISNUMBER(H203)),G203+H203,"")</f>
        <v>710</v>
      </c>
      <c r="J203" s="0" t="n">
        <f aca="false">RawFinancials!D203</f>
        <v>73524</v>
      </c>
      <c r="K203" s="0" t="n">
        <f aca="false">RawFinancials!F203</f>
        <v>12458</v>
      </c>
      <c r="L203" s="0" t="n">
        <f aca="false">RawFinancials!L203</f>
        <v>81665</v>
      </c>
      <c r="M203" s="0" t="n">
        <f aca="false">RawFinancials!N203</f>
        <v>81554</v>
      </c>
      <c r="N203" s="13" t="n">
        <f aca="false">RawFinancials!X203</f>
        <v>0.311874884536767</v>
      </c>
      <c r="O203" s="13" t="n">
        <f aca="false">RawFinancials!V203</f>
        <v>0</v>
      </c>
      <c r="P203" s="13" t="n">
        <f aca="false">IF(AND(ISNUMBER(L203),L203&lt;&gt;0,ISNUMBER(M203)),100*M203/L203,"")</f>
        <v>99.8640788587522</v>
      </c>
      <c r="Q203" s="13" t="n">
        <f aca="false">IF(AND(ISNUMBER(F203),F203&lt;&gt;0,ISNUMBER(K203)),100*K203/F203,"")</f>
        <v>12.3263545335814</v>
      </c>
      <c r="R203" s="11" t="b">
        <f aca="false">AND(ISNUMBER(F203),F203&gt;0,ISNUMBER(G203),G203&gt;=0,ISNUMBER(H203),H203&gt;=0)</f>
        <v>1</v>
      </c>
      <c r="S203" s="13" t="n">
        <f aca="false">IF(R203,100*I203/F203,"")</f>
        <v>0.702497328531286</v>
      </c>
      <c r="T203" s="11" t="b">
        <f aca="false">NOT(AND(OR(AND(ISBLANK(RawFinancials!B203),ISBLANK(_RawBaseline!B200)),AND(ISNUMBER(RawFinancials!B203),ISNUMBER(_RawBaseline!B200),RawFinancials!B203=_RawBaseline!B200)),OR(AND(ISBLANK(RawFinancials!U203),ISBLANK(_RawBaseline!U200)),AND(ISNUMBER(RawFinancials!U203),ISNUMBER(_RawBaseline!U200),RawFinancials!U203=_RawBaseline!U200)),OR(AND(ISBLANK(RawFinancials!O203),ISBLANK(_RawBaseline!O200)),AND(ISNUMBER(RawFinancials!O203),ISNUMBER(_RawBaseline!O200),RawFinancials!O203=_RawBaseline!O200))))</f>
        <v>0</v>
      </c>
      <c r="U203" s="13" t="n">
        <f aca="false">IF(AND(D203=WF_START_PERIOD,R203,COUNTIFS($B$5:$B$750,B203,$D$5:$D$750,WF_END_PERIOD,$R$5:$R$750,TRUE())&gt;0),SUMIFS($S$5:$S$750,$B$5:$B$750,B203,$D$5:$D$750,WF_END_PERIOD,$R$5:$R$750,TRUE()),0)</f>
        <v>0</v>
      </c>
      <c r="V203" s="0" t="str">
        <f aca="false">IF(AND(D203=WF_START_PERIOD,COUNTIFS($B$5:$B$750,B203,$D$5:$D$750,WF_END_PERIOD)&gt;0),INDEX($E$5:$E$750,MATCH(B203&amp;"|"&amp;WF_END_PERIOD,$AC$5:$AC$750,0)),"")</f>
        <v/>
      </c>
      <c r="W203" s="11" t="b">
        <f aca="false">COUNTIFS($B$5:$B$750,B203,$D$5:$D$750,WF_START_PERIOD,$R$5:$R$750,TRUE())&gt;0</f>
        <v>1</v>
      </c>
      <c r="X203" s="11" t="b">
        <f aca="false">COUNTIFS($B$5:$B$750,B203,$D$5:$D$750,WF_END_PERIOD,$R$5:$R$750,TRUE())&gt;0</f>
        <v>1</v>
      </c>
      <c r="Y203" s="0" t="str">
        <f aca="false">IF(AND(D203=WF_END_PERIOD,COUNTIFS($B$5:$B$750,B203,$D$5:$D$750,WF_START_PERIOD)&gt;0),INDEX($E$5:$E$750,MATCH(B203&amp;"|"&amp;WF_START_PERIOD,$AC$5:$AC$750,0)),"")</f>
        <v/>
      </c>
      <c r="Z203" s="0" t="str">
        <f aca="false">IF(AND(D203=WF_END_PERIOD,R203),1+COUNTIFS($D$5:$D$750,WF_END_PERIOD,$E$5:$E$750,E203,$R$5:$R$750,TRUE(),$S$5:$S$750,"&gt;"&amp;S203)+COUNTIFS($D$5:$D$750,WF_END_PERIOD,$E$5:$E$750,E203,$R$5:$R$750,TRUE(),$S$5:$S$750,S203,$B$5:$B$750,"&lt;"&amp;B203),"")</f>
        <v/>
      </c>
      <c r="AA203" s="0" t="str">
        <f aca="false">IF(AND(D203=WF_END_PERIOD,R203,Z203&lt;&gt;1),1+COUNTIFS($D$5:$D$750,WF_END_PERIOD,$R$5:$R$750,TRUE(),$Z$5:$Z$750,"&lt;&gt;1",$S$5:$S$750,"&gt;"&amp;S203)+COUNTIFS($D$5:$D$750,WF_END_PERIOD,$R$5:$R$750,TRUE(),$Z$5:$Z$750,"&lt;&gt;1",$S$5:$S$750,S203,$B$5:$B$750,"&lt;"&amp;B203),"")</f>
        <v/>
      </c>
      <c r="AB203" s="11" t="b">
        <f aca="false">OR(D203=WF_START_PERIOD,D203=WF_END_PERIOD)</f>
        <v>0</v>
      </c>
      <c r="AC203" s="0" t="str">
        <f aca="false">B203&amp;"|"&amp;D203</f>
        <v>30878|20221231</v>
      </c>
    </row>
    <row r="204" customFormat="false" ht="15" hidden="false" customHeight="false" outlineLevel="0" collapsed="false">
      <c r="A204" s="0" t="n">
        <f aca="false">RawFinancials!A204</f>
        <v>201</v>
      </c>
      <c r="B204" s="0" t="n">
        <f aca="false">RawFinancials!C204</f>
        <v>33418</v>
      </c>
      <c r="C204" s="0" t="str">
        <f aca="false">RawFinancials!P204</f>
        <v>LEDYARD NATIONAL BANK</v>
      </c>
      <c r="D204" s="0" t="n">
        <f aca="false">RawFinancials!W204</f>
        <v>20221231</v>
      </c>
      <c r="E204" s="0" t="str">
        <f aca="false">RawFinancials!Z204</f>
        <v>VT</v>
      </c>
      <c r="F204" s="0" t="n">
        <f aca="false">RawFinancials!B204</f>
        <v>742176</v>
      </c>
      <c r="G204" s="0" t="n">
        <f aca="false">RawFinancials!U204</f>
        <v>0</v>
      </c>
      <c r="H204" s="0" t="n">
        <f aca="false">RawFinancials!O204</f>
        <v>1487</v>
      </c>
      <c r="I204" s="0" t="n">
        <f aca="false">IF(AND(ISNUMBER(G204),ISNUMBER(H204)),G204+H204,"")</f>
        <v>1487</v>
      </c>
      <c r="J204" s="0" t="n">
        <f aca="false">RawFinancials!D204</f>
        <v>574586</v>
      </c>
      <c r="K204" s="0" t="n">
        <f aca="false">RawFinancials!F204</f>
        <v>65423</v>
      </c>
      <c r="L204" s="0" t="n">
        <f aca="false">RawFinancials!L204</f>
        <v>362057</v>
      </c>
      <c r="M204" s="0" t="n">
        <f aca="false">RawFinancials!N204</f>
        <v>308351</v>
      </c>
      <c r="N204" s="13" t="n">
        <f aca="false">RawFinancials!X204</f>
        <v>1.03439074331582</v>
      </c>
      <c r="O204" s="13" t="n">
        <f aca="false">RawFinancials!V204</f>
        <v>18.7624877592514</v>
      </c>
      <c r="P204" s="13" t="n">
        <f aca="false">IF(AND(ISNUMBER(L204),L204&lt;&gt;0,ISNUMBER(M204)),100*M204/L204,"")</f>
        <v>85.1664240713479</v>
      </c>
      <c r="Q204" s="13" t="n">
        <f aca="false">IF(AND(ISNUMBER(F204),F204&lt;&gt;0,ISNUMBER(K204)),100*K204/F204,"")</f>
        <v>8.81502500754538</v>
      </c>
      <c r="R204" s="11" t="b">
        <f aca="false">AND(ISNUMBER(F204),F204&gt;0,ISNUMBER(G204),G204&gt;=0,ISNUMBER(H204),H204&gt;=0)</f>
        <v>1</v>
      </c>
      <c r="S204" s="13" t="n">
        <f aca="false">IF(R204,100*I204/F204,"")</f>
        <v>0.200356788686242</v>
      </c>
      <c r="T204" s="11" t="b">
        <f aca="false">NOT(AND(OR(AND(ISBLANK(RawFinancials!B204),ISBLANK(_RawBaseline!B201)),AND(ISNUMBER(RawFinancials!B204),ISNUMBER(_RawBaseline!B201),RawFinancials!B204=_RawBaseline!B201)),OR(AND(ISBLANK(RawFinancials!U204),ISBLANK(_RawBaseline!U201)),AND(ISNUMBER(RawFinancials!U204),ISNUMBER(_RawBaseline!U201),RawFinancials!U204=_RawBaseline!U201)),OR(AND(ISBLANK(RawFinancials!O204),ISBLANK(_RawBaseline!O201)),AND(ISNUMBER(RawFinancials!O204),ISNUMBER(_RawBaseline!O201),RawFinancials!O204=_RawBaseline!O201))))</f>
        <v>0</v>
      </c>
      <c r="U204" s="13" t="n">
        <f aca="false">IF(AND(D204=WF_START_PERIOD,R204,COUNTIFS($B$5:$B$750,B204,$D$5:$D$750,WF_END_PERIOD,$R$5:$R$750,TRUE())&gt;0),SUMIFS($S$5:$S$750,$B$5:$B$750,B204,$D$5:$D$750,WF_END_PERIOD,$R$5:$R$750,TRUE()),0)</f>
        <v>0</v>
      </c>
      <c r="V204" s="0" t="str">
        <f aca="false">IF(AND(D204=WF_START_PERIOD,COUNTIFS($B$5:$B$750,B204,$D$5:$D$750,WF_END_PERIOD)&gt;0),INDEX($E$5:$E$750,MATCH(B204&amp;"|"&amp;WF_END_PERIOD,$AC$5:$AC$750,0)),"")</f>
        <v/>
      </c>
      <c r="W204" s="11" t="b">
        <f aca="false">COUNTIFS($B$5:$B$750,B204,$D$5:$D$750,WF_START_PERIOD,$R$5:$R$750,TRUE())&gt;0</f>
        <v>1</v>
      </c>
      <c r="X204" s="11" t="b">
        <f aca="false">COUNTIFS($B$5:$B$750,B204,$D$5:$D$750,WF_END_PERIOD,$R$5:$R$750,TRUE())&gt;0</f>
        <v>1</v>
      </c>
      <c r="Y204" s="0" t="str">
        <f aca="false">IF(AND(D204=WF_END_PERIOD,COUNTIFS($B$5:$B$750,B204,$D$5:$D$750,WF_START_PERIOD)&gt;0),INDEX($E$5:$E$750,MATCH(B204&amp;"|"&amp;WF_START_PERIOD,$AC$5:$AC$750,0)),"")</f>
        <v/>
      </c>
      <c r="Z204" s="0" t="str">
        <f aca="false">IF(AND(D204=WF_END_PERIOD,R204),1+COUNTIFS($D$5:$D$750,WF_END_PERIOD,$E$5:$E$750,E204,$R$5:$R$750,TRUE(),$S$5:$S$750,"&gt;"&amp;S204)+COUNTIFS($D$5:$D$750,WF_END_PERIOD,$E$5:$E$750,E204,$R$5:$R$750,TRUE(),$S$5:$S$750,S204,$B$5:$B$750,"&lt;"&amp;B204),"")</f>
        <v/>
      </c>
      <c r="AA204" s="0" t="str">
        <f aca="false">IF(AND(D204=WF_END_PERIOD,R204,Z204&lt;&gt;1),1+COUNTIFS($D$5:$D$750,WF_END_PERIOD,$R$5:$R$750,TRUE(),$Z$5:$Z$750,"&lt;&gt;1",$S$5:$S$750,"&gt;"&amp;S204)+COUNTIFS($D$5:$D$750,WF_END_PERIOD,$R$5:$R$750,TRUE(),$Z$5:$Z$750,"&lt;&gt;1",$S$5:$S$750,S204,$B$5:$B$750,"&lt;"&amp;B204),"")</f>
        <v/>
      </c>
      <c r="AB204" s="11" t="b">
        <f aca="false">OR(D204=WF_START_PERIOD,D204=WF_END_PERIOD)</f>
        <v>0</v>
      </c>
      <c r="AC204" s="0" t="str">
        <f aca="false">B204&amp;"|"&amp;D204</f>
        <v>33418|20221231</v>
      </c>
    </row>
    <row r="205" customFormat="false" ht="15" hidden="false" customHeight="false" outlineLevel="0" collapsed="false">
      <c r="A205" s="0" t="n">
        <f aca="false">RawFinancials!A205</f>
        <v>202</v>
      </c>
      <c r="B205" s="0" t="n">
        <f aca="false">RawFinancials!C205</f>
        <v>35206</v>
      </c>
      <c r="C205" s="0" t="str">
        <f aca="false">RawFinancials!P205</f>
        <v>FIDELITY PERSONAL TRUST COMPANY, FSB</v>
      </c>
      <c r="D205" s="0" t="n">
        <f aca="false">RawFinancials!W205</f>
        <v>20221231</v>
      </c>
      <c r="E205" s="0" t="str">
        <f aca="false">RawFinancials!Z205</f>
        <v>NH</v>
      </c>
      <c r="F205" s="0" t="n">
        <f aca="false">RawFinancials!B205</f>
        <v>65008</v>
      </c>
      <c r="G205" s="0" t="n">
        <f aca="false">RawFinancials!U205</f>
        <v>0</v>
      </c>
      <c r="H205" s="0" t="n">
        <f aca="false">RawFinancials!O205</f>
        <v>0</v>
      </c>
      <c r="I205" s="0" t="n">
        <f aca="false">IF(AND(ISNUMBER(G205),ISNUMBER(H205)),G205+H205,"")</f>
        <v>0</v>
      </c>
      <c r="J205" s="0" t="n">
        <f aca="false">RawFinancials!D205</f>
        <v>500</v>
      </c>
      <c r="K205" s="0" t="n">
        <f aca="false">RawFinancials!F205</f>
        <v>60620</v>
      </c>
      <c r="L205" s="0" t="n">
        <f aca="false">RawFinancials!L205</f>
        <v>0</v>
      </c>
      <c r="M205" s="0" t="n">
        <f aca="false">RawFinancials!N205</f>
        <v>0</v>
      </c>
      <c r="N205" s="13" t="n">
        <f aca="false">RawFinancials!X205</f>
        <v>6.0520993219523</v>
      </c>
      <c r="O205" s="13" t="n">
        <f aca="false">RawFinancials!V205</f>
        <v>0</v>
      </c>
      <c r="P205" s="13" t="str">
        <f aca="false">IF(AND(ISNUMBER(L205),L205&lt;&gt;0,ISNUMBER(M205)),100*M205/L205,"")</f>
        <v/>
      </c>
      <c r="Q205" s="13" t="n">
        <f aca="false">IF(AND(ISNUMBER(F205),F205&lt;&gt;0,ISNUMBER(K205)),100*K205/F205,"")</f>
        <v>93.2500615308885</v>
      </c>
      <c r="R205" s="11" t="b">
        <f aca="false">AND(ISNUMBER(F205),F205&gt;0,ISNUMBER(G205),G205&gt;=0,ISNUMBER(H205),H205&gt;=0)</f>
        <v>1</v>
      </c>
      <c r="S205" s="13" t="n">
        <f aca="false">IF(R205,100*I205/F205,"")</f>
        <v>0</v>
      </c>
      <c r="T205" s="11" t="b">
        <f aca="false">NOT(AND(OR(AND(ISBLANK(RawFinancials!B205),ISBLANK(_RawBaseline!B202)),AND(ISNUMBER(RawFinancials!B205),ISNUMBER(_RawBaseline!B202),RawFinancials!B205=_RawBaseline!B202)),OR(AND(ISBLANK(RawFinancials!U205),ISBLANK(_RawBaseline!U202)),AND(ISNUMBER(RawFinancials!U205),ISNUMBER(_RawBaseline!U202),RawFinancials!U205=_RawBaseline!U202)),OR(AND(ISBLANK(RawFinancials!O205),ISBLANK(_RawBaseline!O202)),AND(ISNUMBER(RawFinancials!O205),ISNUMBER(_RawBaseline!O202),RawFinancials!O205=_RawBaseline!O202))))</f>
        <v>0</v>
      </c>
      <c r="U205" s="13" t="n">
        <f aca="false">IF(AND(D205=WF_START_PERIOD,R205,COUNTIFS($B$5:$B$750,B205,$D$5:$D$750,WF_END_PERIOD,$R$5:$R$750,TRUE())&gt;0),SUMIFS($S$5:$S$750,$B$5:$B$750,B205,$D$5:$D$750,WF_END_PERIOD,$R$5:$R$750,TRUE()),0)</f>
        <v>0</v>
      </c>
      <c r="V205" s="0" t="str">
        <f aca="false">IF(AND(D205=WF_START_PERIOD,COUNTIFS($B$5:$B$750,B205,$D$5:$D$750,WF_END_PERIOD)&gt;0),INDEX($E$5:$E$750,MATCH(B205&amp;"|"&amp;WF_END_PERIOD,$AC$5:$AC$750,0)),"")</f>
        <v/>
      </c>
      <c r="W205" s="11" t="b">
        <f aca="false">COUNTIFS($B$5:$B$750,B205,$D$5:$D$750,WF_START_PERIOD,$R$5:$R$750,TRUE())&gt;0</f>
        <v>1</v>
      </c>
      <c r="X205" s="11" t="b">
        <f aca="false">COUNTIFS($B$5:$B$750,B205,$D$5:$D$750,WF_END_PERIOD,$R$5:$R$750,TRUE())&gt;0</f>
        <v>1</v>
      </c>
      <c r="Y205" s="0" t="str">
        <f aca="false">IF(AND(D205=WF_END_PERIOD,COUNTIFS($B$5:$B$750,B205,$D$5:$D$750,WF_START_PERIOD)&gt;0),INDEX($E$5:$E$750,MATCH(B205&amp;"|"&amp;WF_START_PERIOD,$AC$5:$AC$750,0)),"")</f>
        <v/>
      </c>
      <c r="Z205" s="0" t="str">
        <f aca="false">IF(AND(D205=WF_END_PERIOD,R205),1+COUNTIFS($D$5:$D$750,WF_END_PERIOD,$E$5:$E$750,E205,$R$5:$R$750,TRUE(),$S$5:$S$750,"&gt;"&amp;S205)+COUNTIFS($D$5:$D$750,WF_END_PERIOD,$E$5:$E$750,E205,$R$5:$R$750,TRUE(),$S$5:$S$750,S205,$B$5:$B$750,"&lt;"&amp;B205),"")</f>
        <v/>
      </c>
      <c r="AA205" s="0" t="str">
        <f aca="false">IF(AND(D205=WF_END_PERIOD,R205,Z205&lt;&gt;1),1+COUNTIFS($D$5:$D$750,WF_END_PERIOD,$R$5:$R$750,TRUE(),$Z$5:$Z$750,"&lt;&gt;1",$S$5:$S$750,"&gt;"&amp;S205)+COUNTIFS($D$5:$D$750,WF_END_PERIOD,$R$5:$R$750,TRUE(),$Z$5:$Z$750,"&lt;&gt;1",$S$5:$S$750,S205,$B$5:$B$750,"&lt;"&amp;B205),"")</f>
        <v/>
      </c>
      <c r="AB205" s="11" t="b">
        <f aca="false">OR(D205=WF_START_PERIOD,D205=WF_END_PERIOD)</f>
        <v>0</v>
      </c>
      <c r="AC205" s="0" t="str">
        <f aca="false">B205&amp;"|"&amp;D205</f>
        <v>35206|20221231</v>
      </c>
    </row>
    <row r="206" customFormat="false" ht="15" hidden="false" customHeight="false" outlineLevel="0" collapsed="false">
      <c r="A206" s="0" t="n">
        <f aca="false">RawFinancials!A206</f>
        <v>203</v>
      </c>
      <c r="B206" s="0" t="n">
        <f aca="false">RawFinancials!C206</f>
        <v>4255</v>
      </c>
      <c r="C206" s="0" t="str">
        <f aca="false">RawFinancials!P206</f>
        <v>THE CAMDEN NATIONAL BANK</v>
      </c>
      <c r="D206" s="0" t="n">
        <f aca="false">RawFinancials!W206</f>
        <v>20221231</v>
      </c>
      <c r="E206" s="0" t="str">
        <f aca="false">RawFinancials!Z206</f>
        <v>ME</v>
      </c>
      <c r="F206" s="0" t="n">
        <f aca="false">RawFinancials!B206</f>
        <v>5662457</v>
      </c>
      <c r="G206" s="0" t="n">
        <f aca="false">RawFinancials!U206</f>
        <v>0</v>
      </c>
      <c r="H206" s="0" t="n">
        <f aca="false">RawFinancials!O206</f>
        <v>2991</v>
      </c>
      <c r="I206" s="0" t="n">
        <f aca="false">IF(AND(ISNUMBER(G206),ISNUMBER(H206)),G206+H206,"")</f>
        <v>2991</v>
      </c>
      <c r="J206" s="0" t="n">
        <f aca="false">RawFinancials!D206</f>
        <v>4867005</v>
      </c>
      <c r="K206" s="0" t="n">
        <f aca="false">RawFinancials!F206</f>
        <v>460754</v>
      </c>
      <c r="L206" s="0" t="n">
        <f aca="false">RawFinancials!L206</f>
        <v>4015550</v>
      </c>
      <c r="M206" s="0" t="n">
        <f aca="false">RawFinancials!N206</f>
        <v>3596765</v>
      </c>
      <c r="N206" s="13" t="n">
        <f aca="false">RawFinancials!X206</f>
        <v>1.15861850141068</v>
      </c>
      <c r="O206" s="13" t="n">
        <f aca="false">RawFinancials!V206</f>
        <v>13.0289267440629</v>
      </c>
      <c r="P206" s="13" t="n">
        <f aca="false">IF(AND(ISNUMBER(L206),L206&lt;&gt;0,ISNUMBER(M206)),100*M206/L206,"")</f>
        <v>89.5709180560571</v>
      </c>
      <c r="Q206" s="13" t="n">
        <f aca="false">IF(AND(ISNUMBER(F206),F206&lt;&gt;0,ISNUMBER(K206)),100*K206/F206,"")</f>
        <v>8.13699777322812</v>
      </c>
      <c r="R206" s="11" t="b">
        <f aca="false">AND(ISNUMBER(F206),F206&gt;0,ISNUMBER(G206),G206&gt;=0,ISNUMBER(H206),H206&gt;=0)</f>
        <v>1</v>
      </c>
      <c r="S206" s="13" t="n">
        <f aca="false">IF(R206,100*I206/F206,"")</f>
        <v>0.0528215931705972</v>
      </c>
      <c r="T206" s="11" t="b">
        <f aca="false">NOT(AND(OR(AND(ISBLANK(RawFinancials!B206),ISBLANK(_RawBaseline!B203)),AND(ISNUMBER(RawFinancials!B206),ISNUMBER(_RawBaseline!B203),RawFinancials!B206=_RawBaseline!B203)),OR(AND(ISBLANK(RawFinancials!U206),ISBLANK(_RawBaseline!U203)),AND(ISNUMBER(RawFinancials!U206),ISNUMBER(_RawBaseline!U203),RawFinancials!U206=_RawBaseline!U203)),OR(AND(ISBLANK(RawFinancials!O206),ISBLANK(_RawBaseline!O203)),AND(ISNUMBER(RawFinancials!O206),ISNUMBER(_RawBaseline!O203),RawFinancials!O206=_RawBaseline!O203))))</f>
        <v>0</v>
      </c>
      <c r="U206" s="13" t="n">
        <f aca="false">IF(AND(D206=WF_START_PERIOD,R206,COUNTIFS($B$5:$B$750,B206,$D$5:$D$750,WF_END_PERIOD,$R$5:$R$750,TRUE())&gt;0),SUMIFS($S$5:$S$750,$B$5:$B$750,B206,$D$5:$D$750,WF_END_PERIOD,$R$5:$R$750,TRUE()),0)</f>
        <v>0</v>
      </c>
      <c r="V206" s="0" t="str">
        <f aca="false">IF(AND(D206=WF_START_PERIOD,COUNTIFS($B$5:$B$750,B206,$D$5:$D$750,WF_END_PERIOD)&gt;0),INDEX($E$5:$E$750,MATCH(B206&amp;"|"&amp;WF_END_PERIOD,$AC$5:$AC$750,0)),"")</f>
        <v/>
      </c>
      <c r="W206" s="11" t="b">
        <f aca="false">COUNTIFS($B$5:$B$750,B206,$D$5:$D$750,WF_START_PERIOD,$R$5:$R$750,TRUE())&gt;0</f>
        <v>1</v>
      </c>
      <c r="X206" s="11" t="b">
        <f aca="false">COUNTIFS($B$5:$B$750,B206,$D$5:$D$750,WF_END_PERIOD,$R$5:$R$750,TRUE())&gt;0</f>
        <v>1</v>
      </c>
      <c r="Y206" s="0" t="str">
        <f aca="false">IF(AND(D206=WF_END_PERIOD,COUNTIFS($B$5:$B$750,B206,$D$5:$D$750,WF_START_PERIOD)&gt;0),INDEX($E$5:$E$750,MATCH(B206&amp;"|"&amp;WF_START_PERIOD,$AC$5:$AC$750,0)),"")</f>
        <v/>
      </c>
      <c r="Z206" s="0" t="str">
        <f aca="false">IF(AND(D206=WF_END_PERIOD,R206),1+COUNTIFS($D$5:$D$750,WF_END_PERIOD,$E$5:$E$750,E206,$R$5:$R$750,TRUE(),$S$5:$S$750,"&gt;"&amp;S206)+COUNTIFS($D$5:$D$750,WF_END_PERIOD,$E$5:$E$750,E206,$R$5:$R$750,TRUE(),$S$5:$S$750,S206,$B$5:$B$750,"&lt;"&amp;B206),"")</f>
        <v/>
      </c>
      <c r="AA206" s="0" t="str">
        <f aca="false">IF(AND(D206=WF_END_PERIOD,R206,Z206&lt;&gt;1),1+COUNTIFS($D$5:$D$750,WF_END_PERIOD,$R$5:$R$750,TRUE(),$Z$5:$Z$750,"&lt;&gt;1",$S$5:$S$750,"&gt;"&amp;S206)+COUNTIFS($D$5:$D$750,WF_END_PERIOD,$R$5:$R$750,TRUE(),$Z$5:$Z$750,"&lt;&gt;1",$S$5:$S$750,S206,$B$5:$B$750,"&lt;"&amp;B206),"")</f>
        <v/>
      </c>
      <c r="AB206" s="11" t="b">
        <f aca="false">OR(D206=WF_START_PERIOD,D206=WF_END_PERIOD)</f>
        <v>0</v>
      </c>
      <c r="AC206" s="0" t="str">
        <f aca="false">B206&amp;"|"&amp;D206</f>
        <v>4255|20221231</v>
      </c>
    </row>
    <row r="207" customFormat="false" ht="15" hidden="false" customHeight="false" outlineLevel="0" collapsed="false">
      <c r="A207" s="0" t="n">
        <f aca="false">RawFinancials!A207</f>
        <v>204</v>
      </c>
      <c r="B207" s="0" t="n">
        <f aca="false">RawFinancials!C207</f>
        <v>4256</v>
      </c>
      <c r="C207" s="0" t="str">
        <f aca="false">RawFinancials!P207</f>
        <v>FIRST NATIONAL BANK</v>
      </c>
      <c r="D207" s="0" t="n">
        <f aca="false">RawFinancials!W207</f>
        <v>20221231</v>
      </c>
      <c r="E207" s="0" t="str">
        <f aca="false">RawFinancials!Z207</f>
        <v>ME</v>
      </c>
      <c r="F207" s="0" t="n">
        <f aca="false">RawFinancials!B207</f>
        <v>2704047</v>
      </c>
      <c r="G207" s="0" t="n">
        <f aca="false">RawFinancials!U207</f>
        <v>242</v>
      </c>
      <c r="H207" s="0" t="n">
        <f aca="false">RawFinancials!O207</f>
        <v>1755</v>
      </c>
      <c r="I207" s="0" t="n">
        <f aca="false">IF(AND(ISNUMBER(G207),ISNUMBER(H207)),G207+H207,"")</f>
        <v>1997</v>
      </c>
      <c r="J207" s="0" t="n">
        <f aca="false">RawFinancials!D207</f>
        <v>2379757</v>
      </c>
      <c r="K207" s="0" t="n">
        <f aca="false">RawFinancials!F207</f>
        <v>200180</v>
      </c>
      <c r="L207" s="0" t="n">
        <f aca="false">RawFinancials!L207</f>
        <v>1914949</v>
      </c>
      <c r="M207" s="0" t="n">
        <f aca="false">RawFinancials!N207</f>
        <v>1533908</v>
      </c>
      <c r="N207" s="13" t="n">
        <f aca="false">RawFinancials!X207</f>
        <v>1.53167395198859</v>
      </c>
      <c r="O207" s="13" t="n">
        <f aca="false">RawFinancials!V207</f>
        <v>13.5201318899043</v>
      </c>
      <c r="P207" s="13" t="n">
        <f aca="false">IF(AND(ISNUMBER(L207),L207&lt;&gt;0,ISNUMBER(M207)),100*M207/L207,"")</f>
        <v>80.101767723318</v>
      </c>
      <c r="Q207" s="13" t="n">
        <f aca="false">IF(AND(ISNUMBER(F207),F207&lt;&gt;0,ISNUMBER(K207)),100*K207/F207,"")</f>
        <v>7.40297783285572</v>
      </c>
      <c r="R207" s="11" t="b">
        <f aca="false">AND(ISNUMBER(F207),F207&gt;0,ISNUMBER(G207),G207&gt;=0,ISNUMBER(H207),H207&gt;=0)</f>
        <v>1</v>
      </c>
      <c r="S207" s="13" t="n">
        <f aca="false">IF(R207,100*I207/F207,"")</f>
        <v>0.0738522666211053</v>
      </c>
      <c r="T207" s="11" t="b">
        <f aca="false">NOT(AND(OR(AND(ISBLANK(RawFinancials!B207),ISBLANK(_RawBaseline!B204)),AND(ISNUMBER(RawFinancials!B207),ISNUMBER(_RawBaseline!B204),RawFinancials!B207=_RawBaseline!B204)),OR(AND(ISBLANK(RawFinancials!U207),ISBLANK(_RawBaseline!U204)),AND(ISNUMBER(RawFinancials!U207),ISNUMBER(_RawBaseline!U204),RawFinancials!U207=_RawBaseline!U204)),OR(AND(ISBLANK(RawFinancials!O207),ISBLANK(_RawBaseline!O204)),AND(ISNUMBER(RawFinancials!O207),ISNUMBER(_RawBaseline!O204),RawFinancials!O207=_RawBaseline!O204))))</f>
        <v>0</v>
      </c>
      <c r="U207" s="13" t="n">
        <f aca="false">IF(AND(D207=WF_START_PERIOD,R207,COUNTIFS($B$5:$B$750,B207,$D$5:$D$750,WF_END_PERIOD,$R$5:$R$750,TRUE())&gt;0),SUMIFS($S$5:$S$750,$B$5:$B$750,B207,$D$5:$D$750,WF_END_PERIOD,$R$5:$R$750,TRUE()),0)</f>
        <v>0</v>
      </c>
      <c r="V207" s="0" t="str">
        <f aca="false">IF(AND(D207=WF_START_PERIOD,COUNTIFS($B$5:$B$750,B207,$D$5:$D$750,WF_END_PERIOD)&gt;0),INDEX($E$5:$E$750,MATCH(B207&amp;"|"&amp;WF_END_PERIOD,$AC$5:$AC$750,0)),"")</f>
        <v/>
      </c>
      <c r="W207" s="11" t="b">
        <f aca="false">COUNTIFS($B$5:$B$750,B207,$D$5:$D$750,WF_START_PERIOD,$R$5:$R$750,TRUE())&gt;0</f>
        <v>1</v>
      </c>
      <c r="X207" s="11" t="b">
        <f aca="false">COUNTIFS($B$5:$B$750,B207,$D$5:$D$750,WF_END_PERIOD,$R$5:$R$750,TRUE())&gt;0</f>
        <v>1</v>
      </c>
      <c r="Y207" s="0" t="str">
        <f aca="false">IF(AND(D207=WF_END_PERIOD,COUNTIFS($B$5:$B$750,B207,$D$5:$D$750,WF_START_PERIOD)&gt;0),INDEX($E$5:$E$750,MATCH(B207&amp;"|"&amp;WF_START_PERIOD,$AC$5:$AC$750,0)),"")</f>
        <v/>
      </c>
      <c r="Z207" s="0" t="str">
        <f aca="false">IF(AND(D207=WF_END_PERIOD,R207),1+COUNTIFS($D$5:$D$750,WF_END_PERIOD,$E$5:$E$750,E207,$R$5:$R$750,TRUE(),$S$5:$S$750,"&gt;"&amp;S207)+COUNTIFS($D$5:$D$750,WF_END_PERIOD,$E$5:$E$750,E207,$R$5:$R$750,TRUE(),$S$5:$S$750,S207,$B$5:$B$750,"&lt;"&amp;B207),"")</f>
        <v/>
      </c>
      <c r="AA207" s="0" t="str">
        <f aca="false">IF(AND(D207=WF_END_PERIOD,R207,Z207&lt;&gt;1),1+COUNTIFS($D$5:$D$750,WF_END_PERIOD,$R$5:$R$750,TRUE(),$Z$5:$Z$750,"&lt;&gt;1",$S$5:$S$750,"&gt;"&amp;S207)+COUNTIFS($D$5:$D$750,WF_END_PERIOD,$R$5:$R$750,TRUE(),$Z$5:$Z$750,"&lt;&gt;1",$S$5:$S$750,S207,$B$5:$B$750,"&lt;"&amp;B207),"")</f>
        <v/>
      </c>
      <c r="AB207" s="11" t="b">
        <f aca="false">OR(D207=WF_START_PERIOD,D207=WF_END_PERIOD)</f>
        <v>0</v>
      </c>
      <c r="AC207" s="0" t="str">
        <f aca="false">B207&amp;"|"&amp;D207</f>
        <v>4256|20221231</v>
      </c>
    </row>
    <row r="208" customFormat="false" ht="15" hidden="false" customHeight="false" outlineLevel="0" collapsed="false">
      <c r="A208" s="0" t="n">
        <f aca="false">RawFinancials!A208</f>
        <v>205</v>
      </c>
      <c r="B208" s="0" t="n">
        <f aca="false">RawFinancials!C208</f>
        <v>59086</v>
      </c>
      <c r="C208" s="0" t="str">
        <f aca="false">RawFinancials!P208</f>
        <v>PRIMARY BANK</v>
      </c>
      <c r="D208" s="0" t="n">
        <f aca="false">RawFinancials!W208</f>
        <v>20221231</v>
      </c>
      <c r="E208" s="0" t="str">
        <f aca="false">RawFinancials!Z208</f>
        <v>NH</v>
      </c>
      <c r="F208" s="0" t="n">
        <f aca="false">RawFinancials!B208</f>
        <v>654191</v>
      </c>
      <c r="G208" s="0" t="n">
        <f aca="false">RawFinancials!U208</f>
        <v>341</v>
      </c>
      <c r="H208" s="0" t="n">
        <f aca="false">RawFinancials!O208</f>
        <v>2111</v>
      </c>
      <c r="I208" s="0" t="n">
        <f aca="false">IF(AND(ISNUMBER(G208),ISNUMBER(H208)),G208+H208,"")</f>
        <v>2452</v>
      </c>
      <c r="J208" s="0" t="n">
        <f aca="false">RawFinancials!D208</f>
        <v>564578</v>
      </c>
      <c r="K208" s="0" t="n">
        <f aca="false">RawFinancials!F208</f>
        <v>76313</v>
      </c>
      <c r="L208" s="0" t="n">
        <f aca="false">RawFinancials!L208</f>
        <v>575471</v>
      </c>
      <c r="M208" s="0" t="n">
        <f aca="false">RawFinancials!N208</f>
        <v>455851</v>
      </c>
      <c r="N208" s="13" t="n">
        <f aca="false">RawFinancials!X208</f>
        <v>1.57591595036138</v>
      </c>
      <c r="O208" s="13" t="n">
        <f aca="false">RawFinancials!V208</f>
        <v>13.9312588297769</v>
      </c>
      <c r="P208" s="13" t="n">
        <f aca="false">IF(AND(ISNUMBER(L208),L208&lt;&gt;0,ISNUMBER(M208)),100*M208/L208,"")</f>
        <v>79.2135485541409</v>
      </c>
      <c r="Q208" s="13" t="n">
        <f aca="false">IF(AND(ISNUMBER(F208),F208&lt;&gt;0,ISNUMBER(K208)),100*K208/F208,"")</f>
        <v>11.6652476111717</v>
      </c>
      <c r="R208" s="11" t="b">
        <f aca="false">AND(ISNUMBER(F208),F208&gt;0,ISNUMBER(G208),G208&gt;=0,ISNUMBER(H208),H208&gt;=0)</f>
        <v>1</v>
      </c>
      <c r="S208" s="13" t="n">
        <f aca="false">IF(R208,100*I208/F208,"")</f>
        <v>0.374814083348747</v>
      </c>
      <c r="T208" s="11" t="b">
        <f aca="false">NOT(AND(OR(AND(ISBLANK(RawFinancials!B208),ISBLANK(_RawBaseline!B205)),AND(ISNUMBER(RawFinancials!B208),ISNUMBER(_RawBaseline!B205),RawFinancials!B208=_RawBaseline!B205)),OR(AND(ISBLANK(RawFinancials!U208),ISBLANK(_RawBaseline!U205)),AND(ISNUMBER(RawFinancials!U208),ISNUMBER(_RawBaseline!U205),RawFinancials!U208=_RawBaseline!U205)),OR(AND(ISBLANK(RawFinancials!O208),ISBLANK(_RawBaseline!O205)),AND(ISNUMBER(RawFinancials!O208),ISNUMBER(_RawBaseline!O205),RawFinancials!O208=_RawBaseline!O205))))</f>
        <v>0</v>
      </c>
      <c r="U208" s="13" t="n">
        <f aca="false">IF(AND(D208=WF_START_PERIOD,R208,COUNTIFS($B$5:$B$750,B208,$D$5:$D$750,WF_END_PERIOD,$R$5:$R$750,TRUE())&gt;0),SUMIFS($S$5:$S$750,$B$5:$B$750,B208,$D$5:$D$750,WF_END_PERIOD,$R$5:$R$750,TRUE()),0)</f>
        <v>0</v>
      </c>
      <c r="V208" s="0" t="str">
        <f aca="false">IF(AND(D208=WF_START_PERIOD,COUNTIFS($B$5:$B$750,B208,$D$5:$D$750,WF_END_PERIOD)&gt;0),INDEX($E$5:$E$750,MATCH(B208&amp;"|"&amp;WF_END_PERIOD,$AC$5:$AC$750,0)),"")</f>
        <v/>
      </c>
      <c r="W208" s="11" t="b">
        <f aca="false">COUNTIFS($B$5:$B$750,B208,$D$5:$D$750,WF_START_PERIOD,$R$5:$R$750,TRUE())&gt;0</f>
        <v>1</v>
      </c>
      <c r="X208" s="11" t="b">
        <f aca="false">COUNTIFS($B$5:$B$750,B208,$D$5:$D$750,WF_END_PERIOD,$R$5:$R$750,TRUE())&gt;0</f>
        <v>1</v>
      </c>
      <c r="Y208" s="0" t="str">
        <f aca="false">IF(AND(D208=WF_END_PERIOD,COUNTIFS($B$5:$B$750,B208,$D$5:$D$750,WF_START_PERIOD)&gt;0),INDEX($E$5:$E$750,MATCH(B208&amp;"|"&amp;WF_START_PERIOD,$AC$5:$AC$750,0)),"")</f>
        <v/>
      </c>
      <c r="Z208" s="0" t="str">
        <f aca="false">IF(AND(D208=WF_END_PERIOD,R208),1+COUNTIFS($D$5:$D$750,WF_END_PERIOD,$E$5:$E$750,E208,$R$5:$R$750,TRUE(),$S$5:$S$750,"&gt;"&amp;S208)+COUNTIFS($D$5:$D$750,WF_END_PERIOD,$E$5:$E$750,E208,$R$5:$R$750,TRUE(),$S$5:$S$750,S208,$B$5:$B$750,"&lt;"&amp;B208),"")</f>
        <v/>
      </c>
      <c r="AA208" s="0" t="str">
        <f aca="false">IF(AND(D208=WF_END_PERIOD,R208,Z208&lt;&gt;1),1+COUNTIFS($D$5:$D$750,WF_END_PERIOD,$R$5:$R$750,TRUE(),$Z$5:$Z$750,"&lt;&gt;1",$S$5:$S$750,"&gt;"&amp;S208)+COUNTIFS($D$5:$D$750,WF_END_PERIOD,$R$5:$R$750,TRUE(),$Z$5:$Z$750,"&lt;&gt;1",$S$5:$S$750,S208,$B$5:$B$750,"&lt;"&amp;B208),"")</f>
        <v/>
      </c>
      <c r="AB208" s="11" t="b">
        <f aca="false">OR(D208=WF_START_PERIOD,D208=WF_END_PERIOD)</f>
        <v>0</v>
      </c>
      <c r="AC208" s="0" t="str">
        <f aca="false">B208&amp;"|"&amp;D208</f>
        <v>59086|20221231</v>
      </c>
    </row>
    <row r="209" customFormat="false" ht="15" hidden="false" customHeight="false" outlineLevel="0" collapsed="false">
      <c r="A209" s="0" t="n">
        <f aca="false">RawFinancials!A209</f>
        <v>206</v>
      </c>
      <c r="B209" s="0" t="n">
        <f aca="false">RawFinancials!C209</f>
        <v>59176</v>
      </c>
      <c r="C209" s="0" t="str">
        <f aca="false">RawFinancials!P209</f>
        <v>THE MILLYARD BANK</v>
      </c>
      <c r="D209" s="0" t="n">
        <f aca="false">RawFinancials!W209</f>
        <v>20221231</v>
      </c>
      <c r="E209" s="0" t="str">
        <f aca="false">RawFinancials!Z209</f>
        <v>NH</v>
      </c>
      <c r="F209" s="0" t="n">
        <f aca="false">RawFinancials!B209</f>
        <v>176672</v>
      </c>
      <c r="G209" s="0" t="n">
        <f aca="false">RawFinancials!U209</f>
        <v>0</v>
      </c>
      <c r="H209" s="0" t="n">
        <f aca="false">RawFinancials!O209</f>
        <v>0</v>
      </c>
      <c r="I209" s="0" t="n">
        <f aca="false">IF(AND(ISNUMBER(G209),ISNUMBER(H209)),G209+H209,"")</f>
        <v>0</v>
      </c>
      <c r="J209" s="0" t="n">
        <f aca="false">RawFinancials!D209</f>
        <v>151831</v>
      </c>
      <c r="K209" s="0" t="n">
        <f aca="false">RawFinancials!F209</f>
        <v>23234</v>
      </c>
      <c r="L209" s="0" t="n">
        <f aca="false">RawFinancials!L209</f>
        <v>134845</v>
      </c>
      <c r="M209" s="0" t="n">
        <f aca="false">RawFinancials!N209</f>
        <v>116593</v>
      </c>
      <c r="N209" s="13" t="n">
        <f aca="false">RawFinancials!X209</f>
        <v>0.876801587341154</v>
      </c>
      <c r="O209" s="13" t="n">
        <f aca="false">RawFinancials!V209</f>
        <v>18.312919218431</v>
      </c>
      <c r="P209" s="13" t="n">
        <f aca="false">IF(AND(ISNUMBER(L209),L209&lt;&gt;0,ISNUMBER(M209)),100*M209/L209,"")</f>
        <v>86.4644591938893</v>
      </c>
      <c r="Q209" s="13" t="n">
        <f aca="false">IF(AND(ISNUMBER(F209),F209&lt;&gt;0,ISNUMBER(K209)),100*K209/F209,"")</f>
        <v>13.1509237456982</v>
      </c>
      <c r="R209" s="11" t="b">
        <f aca="false">AND(ISNUMBER(F209),F209&gt;0,ISNUMBER(G209),G209&gt;=0,ISNUMBER(H209),H209&gt;=0)</f>
        <v>1</v>
      </c>
      <c r="S209" s="13" t="n">
        <f aca="false">IF(R209,100*I209/F209,"")</f>
        <v>0</v>
      </c>
      <c r="T209" s="11" t="b">
        <f aca="false">NOT(AND(OR(AND(ISBLANK(RawFinancials!B209),ISBLANK(_RawBaseline!B206)),AND(ISNUMBER(RawFinancials!B209),ISNUMBER(_RawBaseline!B206),RawFinancials!B209=_RawBaseline!B206)),OR(AND(ISBLANK(RawFinancials!U209),ISBLANK(_RawBaseline!U206)),AND(ISNUMBER(RawFinancials!U209),ISNUMBER(_RawBaseline!U206),RawFinancials!U209=_RawBaseline!U206)),OR(AND(ISBLANK(RawFinancials!O209),ISBLANK(_RawBaseline!O206)),AND(ISNUMBER(RawFinancials!O209),ISNUMBER(_RawBaseline!O206),RawFinancials!O209=_RawBaseline!O206))))</f>
        <v>0</v>
      </c>
      <c r="U209" s="13" t="n">
        <f aca="false">IF(AND(D209=WF_START_PERIOD,R209,COUNTIFS($B$5:$B$750,B209,$D$5:$D$750,WF_END_PERIOD,$R$5:$R$750,TRUE())&gt;0),SUMIFS($S$5:$S$750,$B$5:$B$750,B209,$D$5:$D$750,WF_END_PERIOD,$R$5:$R$750,TRUE()),0)</f>
        <v>0</v>
      </c>
      <c r="V209" s="0" t="str">
        <f aca="false">IF(AND(D209=WF_START_PERIOD,COUNTIFS($B$5:$B$750,B209,$D$5:$D$750,WF_END_PERIOD)&gt;0),INDEX($E$5:$E$750,MATCH(B209&amp;"|"&amp;WF_END_PERIOD,$AC$5:$AC$750,0)),"")</f>
        <v/>
      </c>
      <c r="W209" s="11" t="b">
        <f aca="false">COUNTIFS($B$5:$B$750,B209,$D$5:$D$750,WF_START_PERIOD,$R$5:$R$750,TRUE())&gt;0</f>
        <v>1</v>
      </c>
      <c r="X209" s="11" t="b">
        <f aca="false">COUNTIFS($B$5:$B$750,B209,$D$5:$D$750,WF_END_PERIOD,$R$5:$R$750,TRUE())&gt;0</f>
        <v>1</v>
      </c>
      <c r="Y209" s="0" t="str">
        <f aca="false">IF(AND(D209=WF_END_PERIOD,COUNTIFS($B$5:$B$750,B209,$D$5:$D$750,WF_START_PERIOD)&gt;0),INDEX($E$5:$E$750,MATCH(B209&amp;"|"&amp;WF_START_PERIOD,$AC$5:$AC$750,0)),"")</f>
        <v/>
      </c>
      <c r="Z209" s="0" t="str">
        <f aca="false">IF(AND(D209=WF_END_PERIOD,R209),1+COUNTIFS($D$5:$D$750,WF_END_PERIOD,$E$5:$E$750,E209,$R$5:$R$750,TRUE(),$S$5:$S$750,"&gt;"&amp;S209)+COUNTIFS($D$5:$D$750,WF_END_PERIOD,$E$5:$E$750,E209,$R$5:$R$750,TRUE(),$S$5:$S$750,S209,$B$5:$B$750,"&lt;"&amp;B209),"")</f>
        <v/>
      </c>
      <c r="AA209" s="0" t="str">
        <f aca="false">IF(AND(D209=WF_END_PERIOD,R209,Z209&lt;&gt;1),1+COUNTIFS($D$5:$D$750,WF_END_PERIOD,$R$5:$R$750,TRUE(),$Z$5:$Z$750,"&lt;&gt;1",$S$5:$S$750,"&gt;"&amp;S209)+COUNTIFS($D$5:$D$750,WF_END_PERIOD,$R$5:$R$750,TRUE(),$Z$5:$Z$750,"&lt;&gt;1",$S$5:$S$750,S209,$B$5:$B$750,"&lt;"&amp;B209),"")</f>
        <v/>
      </c>
      <c r="AB209" s="11" t="b">
        <f aca="false">OR(D209=WF_START_PERIOD,D209=WF_END_PERIOD)</f>
        <v>0</v>
      </c>
      <c r="AC209" s="0" t="str">
        <f aca="false">B209&amp;"|"&amp;D209</f>
        <v>59176|20221231</v>
      </c>
    </row>
    <row r="210" customFormat="false" ht="15" hidden="false" customHeight="false" outlineLevel="0" collapsed="false">
      <c r="A210" s="0" t="n">
        <f aca="false">RawFinancials!A210</f>
        <v>207</v>
      </c>
      <c r="B210" s="0" t="n">
        <f aca="false">RawFinancials!C210</f>
        <v>59289</v>
      </c>
      <c r="C210" s="0" t="str">
        <f aca="false">RawFinancials!P210</f>
        <v>WALDEN MUTUAL BANK</v>
      </c>
      <c r="D210" s="0" t="n">
        <f aca="false">RawFinancials!W210</f>
        <v>20221231</v>
      </c>
      <c r="E210" s="0" t="str">
        <f aca="false">RawFinancials!Z210</f>
        <v>NH</v>
      </c>
      <c r="F210" s="0" t="n">
        <f aca="false">RawFinancials!B210</f>
        <v>22693</v>
      </c>
      <c r="G210" s="0" t="n">
        <f aca="false">RawFinancials!U210</f>
        <v>0</v>
      </c>
      <c r="H210" s="0" t="n">
        <f aca="false">RawFinancials!O210</f>
        <v>0</v>
      </c>
      <c r="I210" s="0" t="n">
        <f aca="false">IF(AND(ISNUMBER(G210),ISNUMBER(H210)),G210+H210,"")</f>
        <v>0</v>
      </c>
      <c r="J210" s="0" t="n">
        <f aca="false">RawFinancials!D210</f>
        <v>525</v>
      </c>
      <c r="K210" s="0" t="n">
        <f aca="false">RawFinancials!F210</f>
        <v>21542</v>
      </c>
      <c r="L210" s="0" t="n">
        <f aca="false">RawFinancials!L210</f>
        <v>4726</v>
      </c>
      <c r="M210" s="0" t="n">
        <f aca="false">RawFinancials!N210</f>
        <v>2961</v>
      </c>
      <c r="N210" s="13" t="n">
        <f aca="false">RawFinancials!X210</f>
        <v>-12.4840259110739</v>
      </c>
      <c r="O210" s="13" t="n">
        <f aca="false">RawFinancials!V210</f>
        <v>0</v>
      </c>
      <c r="P210" s="13" t="n">
        <f aca="false">IF(AND(ISNUMBER(L210),L210&lt;&gt;0,ISNUMBER(M210)),100*M210/L210,"")</f>
        <v>62.6534066864156</v>
      </c>
      <c r="Q210" s="13" t="n">
        <f aca="false">IF(AND(ISNUMBER(F210),F210&lt;&gt;0,ISNUMBER(K210)),100*K210/F210,"")</f>
        <v>94.9279513506368</v>
      </c>
      <c r="R210" s="11" t="b">
        <f aca="false">AND(ISNUMBER(F210),F210&gt;0,ISNUMBER(G210),G210&gt;=0,ISNUMBER(H210),H210&gt;=0)</f>
        <v>1</v>
      </c>
      <c r="S210" s="13" t="n">
        <f aca="false">IF(R210,100*I210/F210,"")</f>
        <v>0</v>
      </c>
      <c r="T210" s="11" t="b">
        <f aca="false">NOT(AND(OR(AND(ISBLANK(RawFinancials!B210),ISBLANK(_RawBaseline!B207)),AND(ISNUMBER(RawFinancials!B210),ISNUMBER(_RawBaseline!B207),RawFinancials!B210=_RawBaseline!B207)),OR(AND(ISBLANK(RawFinancials!U210),ISBLANK(_RawBaseline!U207)),AND(ISNUMBER(RawFinancials!U210),ISNUMBER(_RawBaseline!U207),RawFinancials!U210=_RawBaseline!U207)),OR(AND(ISBLANK(RawFinancials!O210),ISBLANK(_RawBaseline!O207)),AND(ISNUMBER(RawFinancials!O210),ISNUMBER(_RawBaseline!O207),RawFinancials!O210=_RawBaseline!O207))))</f>
        <v>0</v>
      </c>
      <c r="U210" s="13" t="n">
        <f aca="false">IF(AND(D210=WF_START_PERIOD,R210,COUNTIFS($B$5:$B$750,B210,$D$5:$D$750,WF_END_PERIOD,$R$5:$R$750,TRUE())&gt;0),SUMIFS($S$5:$S$750,$B$5:$B$750,B210,$D$5:$D$750,WF_END_PERIOD,$R$5:$R$750,TRUE()),0)</f>
        <v>0</v>
      </c>
      <c r="V210" s="0" t="str">
        <f aca="false">IF(AND(D210=WF_START_PERIOD,COUNTIFS($B$5:$B$750,B210,$D$5:$D$750,WF_END_PERIOD)&gt;0),INDEX($E$5:$E$750,MATCH(B210&amp;"|"&amp;WF_END_PERIOD,$AC$5:$AC$750,0)),"")</f>
        <v/>
      </c>
      <c r="W210" s="11" t="b">
        <f aca="false">COUNTIFS($B$5:$B$750,B210,$D$5:$D$750,WF_START_PERIOD,$R$5:$R$750,TRUE())&gt;0</f>
        <v>1</v>
      </c>
      <c r="X210" s="11" t="b">
        <f aca="false">COUNTIFS($B$5:$B$750,B210,$D$5:$D$750,WF_END_PERIOD,$R$5:$R$750,TRUE())&gt;0</f>
        <v>1</v>
      </c>
      <c r="Y210" s="0" t="str">
        <f aca="false">IF(AND(D210=WF_END_PERIOD,COUNTIFS($B$5:$B$750,B210,$D$5:$D$750,WF_START_PERIOD)&gt;0),INDEX($E$5:$E$750,MATCH(B210&amp;"|"&amp;WF_START_PERIOD,$AC$5:$AC$750,0)),"")</f>
        <v/>
      </c>
      <c r="Z210" s="0" t="str">
        <f aca="false">IF(AND(D210=WF_END_PERIOD,R210),1+COUNTIFS($D$5:$D$750,WF_END_PERIOD,$E$5:$E$750,E210,$R$5:$R$750,TRUE(),$S$5:$S$750,"&gt;"&amp;S210)+COUNTIFS($D$5:$D$750,WF_END_PERIOD,$E$5:$E$750,E210,$R$5:$R$750,TRUE(),$S$5:$S$750,S210,$B$5:$B$750,"&lt;"&amp;B210),"")</f>
        <v/>
      </c>
      <c r="AA210" s="0" t="str">
        <f aca="false">IF(AND(D210=WF_END_PERIOD,R210,Z210&lt;&gt;1),1+COUNTIFS($D$5:$D$750,WF_END_PERIOD,$R$5:$R$750,TRUE(),$Z$5:$Z$750,"&lt;&gt;1",$S$5:$S$750,"&gt;"&amp;S210)+COUNTIFS($D$5:$D$750,WF_END_PERIOD,$R$5:$R$750,TRUE(),$Z$5:$Z$750,"&lt;&gt;1",$S$5:$S$750,S210,$B$5:$B$750,"&lt;"&amp;B210),"")</f>
        <v/>
      </c>
      <c r="AB210" s="11" t="b">
        <f aca="false">OR(D210=WF_START_PERIOD,D210=WF_END_PERIOD)</f>
        <v>0</v>
      </c>
      <c r="AC210" s="0" t="str">
        <f aca="false">B210&amp;"|"&amp;D210</f>
        <v>59289|20221231</v>
      </c>
    </row>
    <row r="211" customFormat="false" ht="15" hidden="false" customHeight="false" outlineLevel="0" collapsed="false">
      <c r="A211" s="0" t="n">
        <f aca="false">RawFinancials!A211</f>
        <v>208</v>
      </c>
      <c r="B211" s="0" t="n">
        <f aca="false">RawFinancials!C211</f>
        <v>59298</v>
      </c>
      <c r="C211" s="0" t="str">
        <f aca="false">RawFinancials!P211</f>
        <v>BANK OF BURLINGTON</v>
      </c>
      <c r="D211" s="0" t="n">
        <f aca="false">RawFinancials!W211</f>
        <v>20221231</v>
      </c>
      <c r="E211" s="0" t="str">
        <f aca="false">RawFinancials!Z211</f>
        <v>VT</v>
      </c>
      <c r="F211" s="0" t="n">
        <f aca="false">RawFinancials!B211</f>
        <v>87230</v>
      </c>
      <c r="G211" s="0" t="n">
        <f aca="false">RawFinancials!U211</f>
        <v>0</v>
      </c>
      <c r="H211" s="0" t="n">
        <f aca="false">RawFinancials!O211</f>
        <v>0</v>
      </c>
      <c r="I211" s="0" t="n">
        <f aca="false">IF(AND(ISNUMBER(G211),ISNUMBER(H211)),G211+H211,"")</f>
        <v>0</v>
      </c>
      <c r="J211" s="0" t="n">
        <f aca="false">RawFinancials!D211</f>
        <v>56740</v>
      </c>
      <c r="K211" s="0" t="n">
        <f aca="false">RawFinancials!F211</f>
        <v>29627</v>
      </c>
      <c r="L211" s="0" t="n">
        <f aca="false">RawFinancials!L211</f>
        <v>22351</v>
      </c>
      <c r="M211" s="0" t="n">
        <f aca="false">RawFinancials!N211</f>
        <v>15722</v>
      </c>
      <c r="N211" s="13" t="n">
        <f aca="false">RawFinancials!X211</f>
        <v>-2.33883632131498</v>
      </c>
      <c r="O211" s="13" t="n">
        <f aca="false">RawFinancials!V211</f>
        <v>0</v>
      </c>
      <c r="P211" s="13" t="n">
        <f aca="false">IF(AND(ISNUMBER(L211),L211&lt;&gt;0,ISNUMBER(M211)),100*M211/L211,"")</f>
        <v>70.3413717507047</v>
      </c>
      <c r="Q211" s="13" t="n">
        <f aca="false">IF(AND(ISNUMBER(F211),F211&lt;&gt;0,ISNUMBER(K211)),100*K211/F211,"")</f>
        <v>33.9642324888227</v>
      </c>
      <c r="R211" s="11" t="b">
        <f aca="false">AND(ISNUMBER(F211),F211&gt;0,ISNUMBER(G211),G211&gt;=0,ISNUMBER(H211),H211&gt;=0)</f>
        <v>1</v>
      </c>
      <c r="S211" s="13" t="n">
        <f aca="false">IF(R211,100*I211/F211,"")</f>
        <v>0</v>
      </c>
      <c r="T211" s="11" t="b">
        <f aca="false">NOT(AND(OR(AND(ISBLANK(RawFinancials!B211),ISBLANK(_RawBaseline!B208)),AND(ISNUMBER(RawFinancials!B211),ISNUMBER(_RawBaseline!B208),RawFinancials!B211=_RawBaseline!B208)),OR(AND(ISBLANK(RawFinancials!U211),ISBLANK(_RawBaseline!U208)),AND(ISNUMBER(RawFinancials!U211),ISNUMBER(_RawBaseline!U208),RawFinancials!U211=_RawBaseline!U208)),OR(AND(ISBLANK(RawFinancials!O211),ISBLANK(_RawBaseline!O208)),AND(ISNUMBER(RawFinancials!O211),ISNUMBER(_RawBaseline!O208),RawFinancials!O211=_RawBaseline!O208))))</f>
        <v>0</v>
      </c>
      <c r="U211" s="13" t="n">
        <f aca="false">IF(AND(D211=WF_START_PERIOD,R211,COUNTIFS($B$5:$B$750,B211,$D$5:$D$750,WF_END_PERIOD,$R$5:$R$750,TRUE())&gt;0),SUMIFS($S$5:$S$750,$B$5:$B$750,B211,$D$5:$D$750,WF_END_PERIOD,$R$5:$R$750,TRUE()),0)</f>
        <v>0</v>
      </c>
      <c r="V211" s="0" t="str">
        <f aca="false">IF(AND(D211=WF_START_PERIOD,COUNTIFS($B$5:$B$750,B211,$D$5:$D$750,WF_END_PERIOD)&gt;0),INDEX($E$5:$E$750,MATCH(B211&amp;"|"&amp;WF_END_PERIOD,$AC$5:$AC$750,0)),"")</f>
        <v/>
      </c>
      <c r="W211" s="11" t="b">
        <f aca="false">COUNTIFS($B$5:$B$750,B211,$D$5:$D$750,WF_START_PERIOD,$R$5:$R$750,TRUE())&gt;0</f>
        <v>1</v>
      </c>
      <c r="X211" s="11" t="b">
        <f aca="false">COUNTIFS($B$5:$B$750,B211,$D$5:$D$750,WF_END_PERIOD,$R$5:$R$750,TRUE())&gt;0</f>
        <v>1</v>
      </c>
      <c r="Y211" s="0" t="str">
        <f aca="false">IF(AND(D211=WF_END_PERIOD,COUNTIFS($B$5:$B$750,B211,$D$5:$D$750,WF_START_PERIOD)&gt;0),INDEX($E$5:$E$750,MATCH(B211&amp;"|"&amp;WF_START_PERIOD,$AC$5:$AC$750,0)),"")</f>
        <v/>
      </c>
      <c r="Z211" s="0" t="str">
        <f aca="false">IF(AND(D211=WF_END_PERIOD,R211),1+COUNTIFS($D$5:$D$750,WF_END_PERIOD,$E$5:$E$750,E211,$R$5:$R$750,TRUE(),$S$5:$S$750,"&gt;"&amp;S211)+COUNTIFS($D$5:$D$750,WF_END_PERIOD,$E$5:$E$750,E211,$R$5:$R$750,TRUE(),$S$5:$S$750,S211,$B$5:$B$750,"&lt;"&amp;B211),"")</f>
        <v/>
      </c>
      <c r="AA211" s="0" t="str">
        <f aca="false">IF(AND(D211=WF_END_PERIOD,R211,Z211&lt;&gt;1),1+COUNTIFS($D$5:$D$750,WF_END_PERIOD,$R$5:$R$750,TRUE(),$Z$5:$Z$750,"&lt;&gt;1",$S$5:$S$750,"&gt;"&amp;S211)+COUNTIFS($D$5:$D$750,WF_END_PERIOD,$R$5:$R$750,TRUE(),$Z$5:$Z$750,"&lt;&gt;1",$S$5:$S$750,S211,$B$5:$B$750,"&lt;"&amp;B211),"")</f>
        <v/>
      </c>
      <c r="AB211" s="11" t="b">
        <f aca="false">OR(D211=WF_START_PERIOD,D211=WF_END_PERIOD)</f>
        <v>0</v>
      </c>
      <c r="AC211" s="0" t="str">
        <f aca="false">B211&amp;"|"&amp;D211</f>
        <v>59298|20221231</v>
      </c>
    </row>
    <row r="212" customFormat="false" ht="15" hidden="false" customHeight="false" outlineLevel="0" collapsed="false">
      <c r="A212" s="0" t="n">
        <f aca="false">RawFinancials!A212</f>
        <v>209</v>
      </c>
      <c r="B212" s="0" t="n">
        <f aca="false">RawFinancials!C212</f>
        <v>6271</v>
      </c>
      <c r="C212" s="0" t="str">
        <f aca="false">RawFinancials!P212</f>
        <v>COMMUNITY NATIONAL BANK</v>
      </c>
      <c r="D212" s="0" t="n">
        <f aca="false">RawFinancials!W212</f>
        <v>20221231</v>
      </c>
      <c r="E212" s="0" t="str">
        <f aca="false">RawFinancials!Z212</f>
        <v>VT</v>
      </c>
      <c r="F212" s="0" t="n">
        <f aca="false">RawFinancials!B212</f>
        <v>1055421</v>
      </c>
      <c r="G212" s="0" t="n">
        <f aca="false">RawFinancials!U212</f>
        <v>573</v>
      </c>
      <c r="H212" s="0" t="n">
        <f aca="false">RawFinancials!O212</f>
        <v>7890</v>
      </c>
      <c r="I212" s="0" t="n">
        <f aca="false">IF(AND(ISNUMBER(G212),ISNUMBER(H212)),G212+H212,"")</f>
        <v>8463</v>
      </c>
      <c r="J212" s="0" t="n">
        <f aca="false">RawFinancials!D212</f>
        <v>924344</v>
      </c>
      <c r="K212" s="0" t="n">
        <f aca="false">RawFinancials!F212</f>
        <v>87018</v>
      </c>
      <c r="L212" s="0" t="n">
        <f aca="false">RawFinancials!L212</f>
        <v>749042</v>
      </c>
      <c r="M212" s="0" t="n">
        <f aca="false">RawFinancials!N212</f>
        <v>589916</v>
      </c>
      <c r="N212" s="13" t="n">
        <f aca="false">RawFinancials!X212</f>
        <v>1.42847962432808</v>
      </c>
      <c r="O212" s="13" t="n">
        <f aca="false">RawFinancials!V212</f>
        <v>14.8923999335706</v>
      </c>
      <c r="P212" s="13" t="n">
        <f aca="false">IF(AND(ISNUMBER(L212),L212&lt;&gt;0,ISNUMBER(M212)),100*M212/L212,"")</f>
        <v>78.7560644129435</v>
      </c>
      <c r="Q212" s="13" t="n">
        <f aca="false">IF(AND(ISNUMBER(F212),F212&lt;&gt;0,ISNUMBER(K212)),100*K212/F212,"")</f>
        <v>8.24486152919072</v>
      </c>
      <c r="R212" s="11" t="b">
        <f aca="false">AND(ISNUMBER(F212),F212&gt;0,ISNUMBER(G212),G212&gt;=0,ISNUMBER(H212),H212&gt;=0)</f>
        <v>1</v>
      </c>
      <c r="S212" s="13" t="n">
        <f aca="false">IF(R212,100*I212/F212,"")</f>
        <v>0.801860110799387</v>
      </c>
      <c r="T212" s="11" t="b">
        <f aca="false">NOT(AND(OR(AND(ISBLANK(RawFinancials!B212),ISBLANK(_RawBaseline!B209)),AND(ISNUMBER(RawFinancials!B212),ISNUMBER(_RawBaseline!B209),RawFinancials!B212=_RawBaseline!B209)),OR(AND(ISBLANK(RawFinancials!U212),ISBLANK(_RawBaseline!U209)),AND(ISNUMBER(RawFinancials!U212),ISNUMBER(_RawBaseline!U209),RawFinancials!U212=_RawBaseline!U209)),OR(AND(ISBLANK(RawFinancials!O212),ISBLANK(_RawBaseline!O209)),AND(ISNUMBER(RawFinancials!O212),ISNUMBER(_RawBaseline!O209),RawFinancials!O212=_RawBaseline!O209))))</f>
        <v>0</v>
      </c>
      <c r="U212" s="13" t="n">
        <f aca="false">IF(AND(D212=WF_START_PERIOD,R212,COUNTIFS($B$5:$B$750,B212,$D$5:$D$750,WF_END_PERIOD,$R$5:$R$750,TRUE())&gt;0),SUMIFS($S$5:$S$750,$B$5:$B$750,B212,$D$5:$D$750,WF_END_PERIOD,$R$5:$R$750,TRUE()),0)</f>
        <v>0</v>
      </c>
      <c r="V212" s="0" t="str">
        <f aca="false">IF(AND(D212=WF_START_PERIOD,COUNTIFS($B$5:$B$750,B212,$D$5:$D$750,WF_END_PERIOD)&gt;0),INDEX($E$5:$E$750,MATCH(B212&amp;"|"&amp;WF_END_PERIOD,$AC$5:$AC$750,0)),"")</f>
        <v/>
      </c>
      <c r="W212" s="11" t="b">
        <f aca="false">COUNTIFS($B$5:$B$750,B212,$D$5:$D$750,WF_START_PERIOD,$R$5:$R$750,TRUE())&gt;0</f>
        <v>1</v>
      </c>
      <c r="X212" s="11" t="b">
        <f aca="false">COUNTIFS($B$5:$B$750,B212,$D$5:$D$750,WF_END_PERIOD,$R$5:$R$750,TRUE())&gt;0</f>
        <v>1</v>
      </c>
      <c r="Y212" s="0" t="str">
        <f aca="false">IF(AND(D212=WF_END_PERIOD,COUNTIFS($B$5:$B$750,B212,$D$5:$D$750,WF_START_PERIOD)&gt;0),INDEX($E$5:$E$750,MATCH(B212&amp;"|"&amp;WF_START_PERIOD,$AC$5:$AC$750,0)),"")</f>
        <v/>
      </c>
      <c r="Z212" s="0" t="str">
        <f aca="false">IF(AND(D212=WF_END_PERIOD,R212),1+COUNTIFS($D$5:$D$750,WF_END_PERIOD,$E$5:$E$750,E212,$R$5:$R$750,TRUE(),$S$5:$S$750,"&gt;"&amp;S212)+COUNTIFS($D$5:$D$750,WF_END_PERIOD,$E$5:$E$750,E212,$R$5:$R$750,TRUE(),$S$5:$S$750,S212,$B$5:$B$750,"&lt;"&amp;B212),"")</f>
        <v/>
      </c>
      <c r="AA212" s="0" t="str">
        <f aca="false">IF(AND(D212=WF_END_PERIOD,R212,Z212&lt;&gt;1),1+COUNTIFS($D$5:$D$750,WF_END_PERIOD,$R$5:$R$750,TRUE(),$Z$5:$Z$750,"&lt;&gt;1",$S$5:$S$750,"&gt;"&amp;S212)+COUNTIFS($D$5:$D$750,WF_END_PERIOD,$R$5:$R$750,TRUE(),$Z$5:$Z$750,"&lt;&gt;1",$S$5:$S$750,S212,$B$5:$B$750,"&lt;"&amp;B212),"")</f>
        <v/>
      </c>
      <c r="AB212" s="11" t="b">
        <f aca="false">OR(D212=WF_START_PERIOD,D212=WF_END_PERIOD)</f>
        <v>0</v>
      </c>
      <c r="AC212" s="0" t="str">
        <f aca="false">B212&amp;"|"&amp;D212</f>
        <v>6271|20221231</v>
      </c>
    </row>
    <row r="213" customFormat="false" ht="15" hidden="false" customHeight="false" outlineLevel="0" collapsed="false">
      <c r="A213" s="0" t="n">
        <f aca="false">RawFinancials!A213</f>
        <v>210</v>
      </c>
      <c r="B213" s="0" t="n">
        <f aca="false">RawFinancials!C213</f>
        <v>6275</v>
      </c>
      <c r="C213" s="0" t="str">
        <f aca="false">RawFinancials!P213</f>
        <v>THE NATIONAL BANK OF MIDDLEBURY</v>
      </c>
      <c r="D213" s="0" t="n">
        <f aca="false">RawFinancials!W213</f>
        <v>20221231</v>
      </c>
      <c r="E213" s="0" t="str">
        <f aca="false">RawFinancials!Z213</f>
        <v>VT</v>
      </c>
      <c r="F213" s="0" t="n">
        <f aca="false">RawFinancials!B213</f>
        <v>534246</v>
      </c>
      <c r="G213" s="0" t="n">
        <f aca="false">RawFinancials!U213</f>
        <v>0</v>
      </c>
      <c r="H213" s="0" t="n">
        <f aca="false">RawFinancials!O213</f>
        <v>1436</v>
      </c>
      <c r="I213" s="0" t="n">
        <f aca="false">IF(AND(ISNUMBER(G213),ISNUMBER(H213)),G213+H213,"")</f>
        <v>1436</v>
      </c>
      <c r="J213" s="0" t="n">
        <f aca="false">RawFinancials!D213</f>
        <v>499882</v>
      </c>
      <c r="K213" s="0" t="n">
        <f aca="false">RawFinancials!F213</f>
        <v>24487</v>
      </c>
      <c r="L213" s="0" t="n">
        <f aca="false">RawFinancials!L213</f>
        <v>310667</v>
      </c>
      <c r="M213" s="0" t="n">
        <f aca="false">RawFinancials!N213</f>
        <v>252290</v>
      </c>
      <c r="N213" s="13" t="n">
        <f aca="false">RawFinancials!X213</f>
        <v>0.583126084404197</v>
      </c>
      <c r="O213" s="13" t="n">
        <f aca="false">RawFinancials!V213</f>
        <v>15.6864385509914</v>
      </c>
      <c r="P213" s="13" t="n">
        <f aca="false">IF(AND(ISNUMBER(L213),L213&lt;&gt;0,ISNUMBER(M213)),100*M213/L213,"")</f>
        <v>81.2091403335404</v>
      </c>
      <c r="Q213" s="13" t="n">
        <f aca="false">IF(AND(ISNUMBER(F213),F213&lt;&gt;0,ISNUMBER(K213)),100*K213/F213,"")</f>
        <v>4.58346903860768</v>
      </c>
      <c r="R213" s="11" t="b">
        <f aca="false">AND(ISNUMBER(F213),F213&gt;0,ISNUMBER(G213),G213&gt;=0,ISNUMBER(H213),H213&gt;=0)</f>
        <v>1</v>
      </c>
      <c r="S213" s="13" t="n">
        <f aca="false">IF(R213,100*I213/F213,"")</f>
        <v>0.268790033055933</v>
      </c>
      <c r="T213" s="11" t="b">
        <f aca="false">NOT(AND(OR(AND(ISBLANK(RawFinancials!B213),ISBLANK(_RawBaseline!B210)),AND(ISNUMBER(RawFinancials!B213),ISNUMBER(_RawBaseline!B210),RawFinancials!B213=_RawBaseline!B210)),OR(AND(ISBLANK(RawFinancials!U213),ISBLANK(_RawBaseline!U210)),AND(ISNUMBER(RawFinancials!U213),ISNUMBER(_RawBaseline!U210),RawFinancials!U213=_RawBaseline!U210)),OR(AND(ISBLANK(RawFinancials!O213),ISBLANK(_RawBaseline!O210)),AND(ISNUMBER(RawFinancials!O213),ISNUMBER(_RawBaseline!O210),RawFinancials!O213=_RawBaseline!O210))))</f>
        <v>0</v>
      </c>
      <c r="U213" s="13" t="n">
        <f aca="false">IF(AND(D213=WF_START_PERIOD,R213,COUNTIFS($B$5:$B$750,B213,$D$5:$D$750,WF_END_PERIOD,$R$5:$R$750,TRUE())&gt;0),SUMIFS($S$5:$S$750,$B$5:$B$750,B213,$D$5:$D$750,WF_END_PERIOD,$R$5:$R$750,TRUE()),0)</f>
        <v>0</v>
      </c>
      <c r="V213" s="0" t="str">
        <f aca="false">IF(AND(D213=WF_START_PERIOD,COUNTIFS($B$5:$B$750,B213,$D$5:$D$750,WF_END_PERIOD)&gt;0),INDEX($E$5:$E$750,MATCH(B213&amp;"|"&amp;WF_END_PERIOD,$AC$5:$AC$750,0)),"")</f>
        <v/>
      </c>
      <c r="W213" s="11" t="b">
        <f aca="false">COUNTIFS($B$5:$B$750,B213,$D$5:$D$750,WF_START_PERIOD,$R$5:$R$750,TRUE())&gt;0</f>
        <v>1</v>
      </c>
      <c r="X213" s="11" t="b">
        <f aca="false">COUNTIFS($B$5:$B$750,B213,$D$5:$D$750,WF_END_PERIOD,$R$5:$R$750,TRUE())&gt;0</f>
        <v>1</v>
      </c>
      <c r="Y213" s="0" t="str">
        <f aca="false">IF(AND(D213=WF_END_PERIOD,COUNTIFS($B$5:$B$750,B213,$D$5:$D$750,WF_START_PERIOD)&gt;0),INDEX($E$5:$E$750,MATCH(B213&amp;"|"&amp;WF_START_PERIOD,$AC$5:$AC$750,0)),"")</f>
        <v/>
      </c>
      <c r="Z213" s="0" t="str">
        <f aca="false">IF(AND(D213=WF_END_PERIOD,R213),1+COUNTIFS($D$5:$D$750,WF_END_PERIOD,$E$5:$E$750,E213,$R$5:$R$750,TRUE(),$S$5:$S$750,"&gt;"&amp;S213)+COUNTIFS($D$5:$D$750,WF_END_PERIOD,$E$5:$E$750,E213,$R$5:$R$750,TRUE(),$S$5:$S$750,S213,$B$5:$B$750,"&lt;"&amp;B213),"")</f>
        <v/>
      </c>
      <c r="AA213" s="0" t="str">
        <f aca="false">IF(AND(D213=WF_END_PERIOD,R213,Z213&lt;&gt;1),1+COUNTIFS($D$5:$D$750,WF_END_PERIOD,$R$5:$R$750,TRUE(),$Z$5:$Z$750,"&lt;&gt;1",$S$5:$S$750,"&gt;"&amp;S213)+COUNTIFS($D$5:$D$750,WF_END_PERIOD,$R$5:$R$750,TRUE(),$Z$5:$Z$750,"&lt;&gt;1",$S$5:$S$750,S213,$B$5:$B$750,"&lt;"&amp;B213),"")</f>
        <v/>
      </c>
      <c r="AB213" s="11" t="b">
        <f aca="false">OR(D213=WF_START_PERIOD,D213=WF_END_PERIOD)</f>
        <v>0</v>
      </c>
      <c r="AC213" s="0" t="str">
        <f aca="false">B213&amp;"|"&amp;D213</f>
        <v>6275|20221231</v>
      </c>
    </row>
    <row r="214" customFormat="false" ht="15" hidden="false" customHeight="false" outlineLevel="0" collapsed="false">
      <c r="A214" s="0" t="n">
        <f aca="false">RawFinancials!A214</f>
        <v>211</v>
      </c>
      <c r="B214" s="0" t="n">
        <f aca="false">RawFinancials!C214</f>
        <v>6280</v>
      </c>
      <c r="C214" s="0" t="str">
        <f aca="false">RawFinancials!P214</f>
        <v>THE FIRST NATIONAL BANK OF ORWELL</v>
      </c>
      <c r="D214" s="0" t="n">
        <f aca="false">RawFinancials!W214</f>
        <v>20221231</v>
      </c>
      <c r="E214" s="0" t="str">
        <f aca="false">RawFinancials!Z214</f>
        <v>VT</v>
      </c>
      <c r="F214" s="0" t="n">
        <f aca="false">RawFinancials!B214</f>
        <v>84636</v>
      </c>
      <c r="G214" s="0" t="n">
        <f aca="false">RawFinancials!U214</f>
        <v>0</v>
      </c>
      <c r="H214" s="0" t="n">
        <f aca="false">RawFinancials!O214</f>
        <v>622</v>
      </c>
      <c r="I214" s="0" t="n">
        <f aca="false">IF(AND(ISNUMBER(G214),ISNUMBER(H214)),G214+H214,"")</f>
        <v>622</v>
      </c>
      <c r="J214" s="0" t="n">
        <f aca="false">RawFinancials!D214</f>
        <v>75635</v>
      </c>
      <c r="K214" s="0" t="n">
        <f aca="false">RawFinancials!F214</f>
        <v>8605</v>
      </c>
      <c r="L214" s="0" t="n">
        <f aca="false">RawFinancials!L214</f>
        <v>63400</v>
      </c>
      <c r="M214" s="0" t="n">
        <f aca="false">RawFinancials!N214</f>
        <v>54882</v>
      </c>
      <c r="N214" s="13" t="n">
        <f aca="false">RawFinancials!X214</f>
        <v>1.43133896209814</v>
      </c>
      <c r="O214" s="13" t="n">
        <f aca="false">RawFinancials!V214</f>
        <v>0</v>
      </c>
      <c r="P214" s="13" t="n">
        <f aca="false">IF(AND(ISNUMBER(L214),L214&lt;&gt;0,ISNUMBER(M214)),100*M214/L214,"")</f>
        <v>86.5646687697161</v>
      </c>
      <c r="Q214" s="13" t="n">
        <f aca="false">IF(AND(ISNUMBER(F214),F214&lt;&gt;0,ISNUMBER(K214)),100*K214/F214,"")</f>
        <v>10.1670683869748</v>
      </c>
      <c r="R214" s="11" t="b">
        <f aca="false">AND(ISNUMBER(F214),F214&gt;0,ISNUMBER(G214),G214&gt;=0,ISNUMBER(H214),H214&gt;=0)</f>
        <v>1</v>
      </c>
      <c r="S214" s="13" t="n">
        <f aca="false">IF(R214,100*I214/F214,"")</f>
        <v>0.734911857838272</v>
      </c>
      <c r="T214" s="11" t="b">
        <f aca="false">NOT(AND(OR(AND(ISBLANK(RawFinancials!B214),ISBLANK(_RawBaseline!B211)),AND(ISNUMBER(RawFinancials!B214),ISNUMBER(_RawBaseline!B211),RawFinancials!B214=_RawBaseline!B211)),OR(AND(ISBLANK(RawFinancials!U214),ISBLANK(_RawBaseline!U211)),AND(ISNUMBER(RawFinancials!U214),ISNUMBER(_RawBaseline!U211),RawFinancials!U214=_RawBaseline!U211)),OR(AND(ISBLANK(RawFinancials!O214),ISBLANK(_RawBaseline!O211)),AND(ISNUMBER(RawFinancials!O214),ISNUMBER(_RawBaseline!O211),RawFinancials!O214=_RawBaseline!O211))))</f>
        <v>0</v>
      </c>
      <c r="U214" s="13" t="n">
        <f aca="false">IF(AND(D214=WF_START_PERIOD,R214,COUNTIFS($B$5:$B$750,B214,$D$5:$D$750,WF_END_PERIOD,$R$5:$R$750,TRUE())&gt;0),SUMIFS($S$5:$S$750,$B$5:$B$750,B214,$D$5:$D$750,WF_END_PERIOD,$R$5:$R$750,TRUE()),0)</f>
        <v>0</v>
      </c>
      <c r="V214" s="0" t="str">
        <f aca="false">IF(AND(D214=WF_START_PERIOD,COUNTIFS($B$5:$B$750,B214,$D$5:$D$750,WF_END_PERIOD)&gt;0),INDEX($E$5:$E$750,MATCH(B214&amp;"|"&amp;WF_END_PERIOD,$AC$5:$AC$750,0)),"")</f>
        <v/>
      </c>
      <c r="W214" s="11" t="b">
        <f aca="false">COUNTIFS($B$5:$B$750,B214,$D$5:$D$750,WF_START_PERIOD,$R$5:$R$750,TRUE())&gt;0</f>
        <v>1</v>
      </c>
      <c r="X214" s="11" t="b">
        <f aca="false">COUNTIFS($B$5:$B$750,B214,$D$5:$D$750,WF_END_PERIOD,$R$5:$R$750,TRUE())&gt;0</f>
        <v>1</v>
      </c>
      <c r="Y214" s="0" t="str">
        <f aca="false">IF(AND(D214=WF_END_PERIOD,COUNTIFS($B$5:$B$750,B214,$D$5:$D$750,WF_START_PERIOD)&gt;0),INDEX($E$5:$E$750,MATCH(B214&amp;"|"&amp;WF_START_PERIOD,$AC$5:$AC$750,0)),"")</f>
        <v/>
      </c>
      <c r="Z214" s="0" t="str">
        <f aca="false">IF(AND(D214=WF_END_PERIOD,R214),1+COUNTIFS($D$5:$D$750,WF_END_PERIOD,$E$5:$E$750,E214,$R$5:$R$750,TRUE(),$S$5:$S$750,"&gt;"&amp;S214)+COUNTIFS($D$5:$D$750,WF_END_PERIOD,$E$5:$E$750,E214,$R$5:$R$750,TRUE(),$S$5:$S$750,S214,$B$5:$B$750,"&lt;"&amp;B214),"")</f>
        <v/>
      </c>
      <c r="AA214" s="0" t="str">
        <f aca="false">IF(AND(D214=WF_END_PERIOD,R214,Z214&lt;&gt;1),1+COUNTIFS($D$5:$D$750,WF_END_PERIOD,$R$5:$R$750,TRUE(),$Z$5:$Z$750,"&lt;&gt;1",$S$5:$S$750,"&gt;"&amp;S214)+COUNTIFS($D$5:$D$750,WF_END_PERIOD,$R$5:$R$750,TRUE(),$Z$5:$Z$750,"&lt;&gt;1",$S$5:$S$750,S214,$B$5:$B$750,"&lt;"&amp;B214),"")</f>
        <v/>
      </c>
      <c r="AB214" s="11" t="b">
        <f aca="false">OR(D214=WF_START_PERIOD,D214=WF_END_PERIOD)</f>
        <v>0</v>
      </c>
      <c r="AC214" s="0" t="str">
        <f aca="false">B214&amp;"|"&amp;D214</f>
        <v>6280|20221231</v>
      </c>
    </row>
    <row r="215" customFormat="false" ht="15" hidden="false" customHeight="false" outlineLevel="0" collapsed="false">
      <c r="A215" s="0" t="n">
        <f aca="false">RawFinancials!A215</f>
        <v>212</v>
      </c>
      <c r="B215" s="0" t="n">
        <f aca="false">RawFinancials!C215</f>
        <v>11971</v>
      </c>
      <c r="C215" s="0" t="str">
        <f aca="false">RawFinancials!P215</f>
        <v>BAR HARBOR BANK &amp; TRUST</v>
      </c>
      <c r="D215" s="0" t="n">
        <f aca="false">RawFinancials!W215</f>
        <v>20230331</v>
      </c>
      <c r="E215" s="0" t="str">
        <f aca="false">RawFinancials!Z215</f>
        <v>ME</v>
      </c>
      <c r="F215" s="0" t="n">
        <f aca="false">RawFinancials!B215</f>
        <v>3925512</v>
      </c>
      <c r="G215" s="0" t="n">
        <f aca="false">RawFinancials!U215</f>
        <v>138</v>
      </c>
      <c r="H215" s="0" t="n">
        <f aca="false">RawFinancials!O215</f>
        <v>7795</v>
      </c>
      <c r="I215" s="0" t="n">
        <f aca="false">IF(AND(ISNUMBER(G215),ISNUMBER(H215)),G215+H215,"")</f>
        <v>7933</v>
      </c>
      <c r="J215" s="0" t="n">
        <f aca="false">RawFinancials!D215</f>
        <v>3061414</v>
      </c>
      <c r="K215" s="0" t="n">
        <f aca="false">RawFinancials!F215</f>
        <v>461427</v>
      </c>
      <c r="L215" s="0" t="n">
        <f aca="false">RawFinancials!L215</f>
        <v>2944469</v>
      </c>
      <c r="M215" s="0" t="n">
        <f aca="false">RawFinancials!N215</f>
        <v>2595296</v>
      </c>
      <c r="N215" s="13" t="n">
        <f aca="false">RawFinancials!X215</f>
        <v>1.46140641727275</v>
      </c>
      <c r="O215" s="13" t="n">
        <f aca="false">RawFinancials!V215</f>
        <v>13.4222908894178</v>
      </c>
      <c r="P215" s="13" t="n">
        <f aca="false">IF(AND(ISNUMBER(L215),L215&lt;&gt;0,ISNUMBER(M215)),100*M215/L215,"")</f>
        <v>88.1413932359281</v>
      </c>
      <c r="Q215" s="13" t="n">
        <f aca="false">IF(AND(ISNUMBER(F215),F215&lt;&gt;0,ISNUMBER(K215)),100*K215/F215,"")</f>
        <v>11.7545685760227</v>
      </c>
      <c r="R215" s="11" t="b">
        <f aca="false">AND(ISNUMBER(F215),F215&gt;0,ISNUMBER(G215),G215&gt;=0,ISNUMBER(H215),H215&gt;=0)</f>
        <v>1</v>
      </c>
      <c r="S215" s="13" t="n">
        <f aca="false">IF(R215,100*I215/F215,"")</f>
        <v>0.202088288101017</v>
      </c>
      <c r="T215" s="11" t="b">
        <f aca="false">NOT(AND(OR(AND(ISBLANK(RawFinancials!B215),ISBLANK(_RawBaseline!B212)),AND(ISNUMBER(RawFinancials!B215),ISNUMBER(_RawBaseline!B212),RawFinancials!B215=_RawBaseline!B212)),OR(AND(ISBLANK(RawFinancials!U215),ISBLANK(_RawBaseline!U212)),AND(ISNUMBER(RawFinancials!U215),ISNUMBER(_RawBaseline!U212),RawFinancials!U215=_RawBaseline!U212)),OR(AND(ISBLANK(RawFinancials!O215),ISBLANK(_RawBaseline!O212)),AND(ISNUMBER(RawFinancials!O215),ISNUMBER(_RawBaseline!O212),RawFinancials!O215=_RawBaseline!O212))))</f>
        <v>0</v>
      </c>
      <c r="U215" s="13" t="n">
        <f aca="false">IF(AND(D215=WF_START_PERIOD,R215,COUNTIFS($B$5:$B$750,B215,$D$5:$D$750,WF_END_PERIOD,$R$5:$R$750,TRUE())&gt;0),SUMIFS($S$5:$S$750,$B$5:$B$750,B215,$D$5:$D$750,WF_END_PERIOD,$R$5:$R$750,TRUE()),0)</f>
        <v>0</v>
      </c>
      <c r="V215" s="0" t="str">
        <f aca="false">IF(AND(D215=WF_START_PERIOD,COUNTIFS($B$5:$B$750,B215,$D$5:$D$750,WF_END_PERIOD)&gt;0),INDEX($E$5:$E$750,MATCH(B215&amp;"|"&amp;WF_END_PERIOD,$AC$5:$AC$750,0)),"")</f>
        <v/>
      </c>
      <c r="W215" s="11" t="b">
        <f aca="false">COUNTIFS($B$5:$B$750,B215,$D$5:$D$750,WF_START_PERIOD,$R$5:$R$750,TRUE())&gt;0</f>
        <v>1</v>
      </c>
      <c r="X215" s="11" t="b">
        <f aca="false">COUNTIFS($B$5:$B$750,B215,$D$5:$D$750,WF_END_PERIOD,$R$5:$R$750,TRUE())&gt;0</f>
        <v>1</v>
      </c>
      <c r="Y215" s="0" t="str">
        <f aca="false">IF(AND(D215=WF_END_PERIOD,COUNTIFS($B$5:$B$750,B215,$D$5:$D$750,WF_START_PERIOD)&gt;0),INDEX($E$5:$E$750,MATCH(B215&amp;"|"&amp;WF_START_PERIOD,$AC$5:$AC$750,0)),"")</f>
        <v/>
      </c>
      <c r="Z215" s="0" t="str">
        <f aca="false">IF(AND(D215=WF_END_PERIOD,R215),1+COUNTIFS($D$5:$D$750,WF_END_PERIOD,$E$5:$E$750,E215,$R$5:$R$750,TRUE(),$S$5:$S$750,"&gt;"&amp;S215)+COUNTIFS($D$5:$D$750,WF_END_PERIOD,$E$5:$E$750,E215,$R$5:$R$750,TRUE(),$S$5:$S$750,S215,$B$5:$B$750,"&lt;"&amp;B215),"")</f>
        <v/>
      </c>
      <c r="AA215" s="0" t="str">
        <f aca="false">IF(AND(D215=WF_END_PERIOD,R215,Z215&lt;&gt;1),1+COUNTIFS($D$5:$D$750,WF_END_PERIOD,$R$5:$R$750,TRUE(),$Z$5:$Z$750,"&lt;&gt;1",$S$5:$S$750,"&gt;"&amp;S215)+COUNTIFS($D$5:$D$750,WF_END_PERIOD,$R$5:$R$750,TRUE(),$Z$5:$Z$750,"&lt;&gt;1",$S$5:$S$750,S215,$B$5:$B$750,"&lt;"&amp;B215),"")</f>
        <v/>
      </c>
      <c r="AB215" s="11" t="b">
        <f aca="false">OR(D215=WF_START_PERIOD,D215=WF_END_PERIOD)</f>
        <v>0</v>
      </c>
      <c r="AC215" s="0" t="str">
        <f aca="false">B215&amp;"|"&amp;D215</f>
        <v>11971|20230331</v>
      </c>
    </row>
    <row r="216" customFormat="false" ht="15" hidden="false" customHeight="false" outlineLevel="0" collapsed="false">
      <c r="A216" s="0" t="n">
        <f aca="false">RawFinancials!A216</f>
        <v>213</v>
      </c>
      <c r="B216" s="0" t="n">
        <f aca="false">RawFinancials!C216</f>
        <v>12874</v>
      </c>
      <c r="C216" s="0" t="str">
        <f aca="false">RawFinancials!P216</f>
        <v>KATAHDIN TRUST COMPANY</v>
      </c>
      <c r="D216" s="0" t="n">
        <f aca="false">RawFinancials!W216</f>
        <v>20230331</v>
      </c>
      <c r="E216" s="0" t="str">
        <f aca="false">RawFinancials!Z216</f>
        <v>ME</v>
      </c>
      <c r="F216" s="0" t="n">
        <f aca="false">RawFinancials!B216</f>
        <v>980710</v>
      </c>
      <c r="G216" s="0" t="n">
        <f aca="false">RawFinancials!U216</f>
        <v>6</v>
      </c>
      <c r="H216" s="0" t="n">
        <f aca="false">RawFinancials!O216</f>
        <v>468</v>
      </c>
      <c r="I216" s="0" t="n">
        <f aca="false">IF(AND(ISNUMBER(G216),ISNUMBER(H216)),G216+H216,"")</f>
        <v>474</v>
      </c>
      <c r="J216" s="0" t="n">
        <f aca="false">RawFinancials!D216</f>
        <v>858980</v>
      </c>
      <c r="K216" s="0" t="n">
        <f aca="false">RawFinancials!F216</f>
        <v>100647</v>
      </c>
      <c r="L216" s="0" t="n">
        <f aca="false">RawFinancials!L216</f>
        <v>760973</v>
      </c>
      <c r="M216" s="0" t="n">
        <f aca="false">RawFinancials!N216</f>
        <v>608741</v>
      </c>
      <c r="N216" s="13" t="n">
        <f aca="false">RawFinancials!X216</f>
        <v>1.11202375687117</v>
      </c>
      <c r="O216" s="13" t="n">
        <f aca="false">RawFinancials!V216</f>
        <v>15.7448301196799</v>
      </c>
      <c r="P216" s="13" t="n">
        <f aca="false">IF(AND(ISNUMBER(L216),L216&lt;&gt;0,ISNUMBER(M216)),100*M216/L216,"")</f>
        <v>79.9950852395552</v>
      </c>
      <c r="Q216" s="13" t="n">
        <f aca="false">IF(AND(ISNUMBER(F216),F216&lt;&gt;0,ISNUMBER(K216)),100*K216/F216,"")</f>
        <v>10.2626668434094</v>
      </c>
      <c r="R216" s="11" t="b">
        <f aca="false">AND(ISNUMBER(F216),F216&gt;0,ISNUMBER(G216),G216&gt;=0,ISNUMBER(H216),H216&gt;=0)</f>
        <v>1</v>
      </c>
      <c r="S216" s="13" t="n">
        <f aca="false">IF(R216,100*I216/F216,"")</f>
        <v>0.0483323306584006</v>
      </c>
      <c r="T216" s="11" t="b">
        <f aca="false">NOT(AND(OR(AND(ISBLANK(RawFinancials!B216),ISBLANK(_RawBaseline!B213)),AND(ISNUMBER(RawFinancials!B216),ISNUMBER(_RawBaseline!B213),RawFinancials!B216=_RawBaseline!B213)),OR(AND(ISBLANK(RawFinancials!U216),ISBLANK(_RawBaseline!U213)),AND(ISNUMBER(RawFinancials!U216),ISNUMBER(_RawBaseline!U213),RawFinancials!U216=_RawBaseline!U213)),OR(AND(ISBLANK(RawFinancials!O216),ISBLANK(_RawBaseline!O213)),AND(ISNUMBER(RawFinancials!O216),ISNUMBER(_RawBaseline!O213),RawFinancials!O216=_RawBaseline!O213))))</f>
        <v>0</v>
      </c>
      <c r="U216" s="13" t="n">
        <f aca="false">IF(AND(D216=WF_START_PERIOD,R216,COUNTIFS($B$5:$B$750,B216,$D$5:$D$750,WF_END_PERIOD,$R$5:$R$750,TRUE())&gt;0),SUMIFS($S$5:$S$750,$B$5:$B$750,B216,$D$5:$D$750,WF_END_PERIOD,$R$5:$R$750,TRUE()),0)</f>
        <v>0</v>
      </c>
      <c r="V216" s="0" t="str">
        <f aca="false">IF(AND(D216=WF_START_PERIOD,COUNTIFS($B$5:$B$750,B216,$D$5:$D$750,WF_END_PERIOD)&gt;0),INDEX($E$5:$E$750,MATCH(B216&amp;"|"&amp;WF_END_PERIOD,$AC$5:$AC$750,0)),"")</f>
        <v/>
      </c>
      <c r="W216" s="11" t="b">
        <f aca="false">COUNTIFS($B$5:$B$750,B216,$D$5:$D$750,WF_START_PERIOD,$R$5:$R$750,TRUE())&gt;0</f>
        <v>1</v>
      </c>
      <c r="X216" s="11" t="b">
        <f aca="false">COUNTIFS($B$5:$B$750,B216,$D$5:$D$750,WF_END_PERIOD,$R$5:$R$750,TRUE())&gt;0</f>
        <v>1</v>
      </c>
      <c r="Y216" s="0" t="str">
        <f aca="false">IF(AND(D216=WF_END_PERIOD,COUNTIFS($B$5:$B$750,B216,$D$5:$D$750,WF_START_PERIOD)&gt;0),INDEX($E$5:$E$750,MATCH(B216&amp;"|"&amp;WF_START_PERIOD,$AC$5:$AC$750,0)),"")</f>
        <v/>
      </c>
      <c r="Z216" s="0" t="str">
        <f aca="false">IF(AND(D216=WF_END_PERIOD,R216),1+COUNTIFS($D$5:$D$750,WF_END_PERIOD,$E$5:$E$750,E216,$R$5:$R$750,TRUE(),$S$5:$S$750,"&gt;"&amp;S216)+COUNTIFS($D$5:$D$750,WF_END_PERIOD,$E$5:$E$750,E216,$R$5:$R$750,TRUE(),$S$5:$S$750,S216,$B$5:$B$750,"&lt;"&amp;B216),"")</f>
        <v/>
      </c>
      <c r="AA216" s="0" t="str">
        <f aca="false">IF(AND(D216=WF_END_PERIOD,R216,Z216&lt;&gt;1),1+COUNTIFS($D$5:$D$750,WF_END_PERIOD,$R$5:$R$750,TRUE(),$Z$5:$Z$750,"&lt;&gt;1",$S$5:$S$750,"&gt;"&amp;S216)+COUNTIFS($D$5:$D$750,WF_END_PERIOD,$R$5:$R$750,TRUE(),$Z$5:$Z$750,"&lt;&gt;1",$S$5:$S$750,S216,$B$5:$B$750,"&lt;"&amp;B216),"")</f>
        <v/>
      </c>
      <c r="AB216" s="11" t="b">
        <f aca="false">OR(D216=WF_START_PERIOD,D216=WF_END_PERIOD)</f>
        <v>0</v>
      </c>
      <c r="AC216" s="0" t="str">
        <f aca="false">B216&amp;"|"&amp;D216</f>
        <v>12874|20230331</v>
      </c>
    </row>
    <row r="217" customFormat="false" ht="15" hidden="false" customHeight="false" outlineLevel="0" collapsed="false">
      <c r="A217" s="0" t="n">
        <f aca="false">RawFinancials!A217</f>
        <v>214</v>
      </c>
      <c r="B217" s="0" t="n">
        <f aca="false">RawFinancials!C217</f>
        <v>13063</v>
      </c>
      <c r="C217" s="0" t="str">
        <f aca="false">RawFinancials!P217</f>
        <v>KENNEBUNK SAVINGS BANK</v>
      </c>
      <c r="D217" s="0" t="n">
        <f aca="false">RawFinancials!W217</f>
        <v>20230331</v>
      </c>
      <c r="E217" s="0" t="str">
        <f aca="false">RawFinancials!Z217</f>
        <v>ME</v>
      </c>
      <c r="F217" s="0" t="n">
        <f aca="false">RawFinancials!B217</f>
        <v>1853851</v>
      </c>
      <c r="G217" s="0" t="n">
        <f aca="false">RawFinancials!U217</f>
        <v>892</v>
      </c>
      <c r="H217" s="0" t="n">
        <f aca="false">RawFinancials!O217</f>
        <v>519</v>
      </c>
      <c r="I217" s="0" t="n">
        <f aca="false">IF(AND(ISNUMBER(G217),ISNUMBER(H217)),G217+H217,"")</f>
        <v>1411</v>
      </c>
      <c r="J217" s="0" t="n">
        <f aca="false">RawFinancials!D217</f>
        <v>1620191</v>
      </c>
      <c r="K217" s="0" t="n">
        <f aca="false">RawFinancials!F217</f>
        <v>141179</v>
      </c>
      <c r="L217" s="0" t="n">
        <f aca="false">RawFinancials!L217</f>
        <v>1379139</v>
      </c>
      <c r="M217" s="0" t="n">
        <f aca="false">RawFinancials!N217</f>
        <v>1316711</v>
      </c>
      <c r="N217" s="13" t="n">
        <f aca="false">RawFinancials!X217</f>
        <v>0.432313134919347</v>
      </c>
      <c r="O217" s="13" t="n">
        <f aca="false">RawFinancials!V217</f>
        <v>0</v>
      </c>
      <c r="P217" s="13" t="n">
        <f aca="false">IF(AND(ISNUMBER(L217),L217&lt;&gt;0,ISNUMBER(M217)),100*M217/L217,"")</f>
        <v>95.4734076840696</v>
      </c>
      <c r="Q217" s="13" t="n">
        <f aca="false">IF(AND(ISNUMBER(F217),F217&lt;&gt;0,ISNUMBER(K217)),100*K217/F217,"")</f>
        <v>7.61544482269611</v>
      </c>
      <c r="R217" s="11" t="b">
        <f aca="false">AND(ISNUMBER(F217),F217&gt;0,ISNUMBER(G217),G217&gt;=0,ISNUMBER(H217),H217&gt;=0)</f>
        <v>1</v>
      </c>
      <c r="S217" s="13" t="n">
        <f aca="false">IF(R217,100*I217/F217,"")</f>
        <v>0.0761118342304748</v>
      </c>
      <c r="T217" s="11" t="b">
        <f aca="false">NOT(AND(OR(AND(ISBLANK(RawFinancials!B217),ISBLANK(_RawBaseline!B214)),AND(ISNUMBER(RawFinancials!B217),ISNUMBER(_RawBaseline!B214),RawFinancials!B217=_RawBaseline!B214)),OR(AND(ISBLANK(RawFinancials!U217),ISBLANK(_RawBaseline!U214)),AND(ISNUMBER(RawFinancials!U217),ISNUMBER(_RawBaseline!U214),RawFinancials!U217=_RawBaseline!U214)),OR(AND(ISBLANK(RawFinancials!O217),ISBLANK(_RawBaseline!O214)),AND(ISNUMBER(RawFinancials!O217),ISNUMBER(_RawBaseline!O214),RawFinancials!O217=_RawBaseline!O214))))</f>
        <v>0</v>
      </c>
      <c r="U217" s="13" t="n">
        <f aca="false">IF(AND(D217=WF_START_PERIOD,R217,COUNTIFS($B$5:$B$750,B217,$D$5:$D$750,WF_END_PERIOD,$R$5:$R$750,TRUE())&gt;0),SUMIFS($S$5:$S$750,$B$5:$B$750,B217,$D$5:$D$750,WF_END_PERIOD,$R$5:$R$750,TRUE()),0)</f>
        <v>0</v>
      </c>
      <c r="V217" s="0" t="str">
        <f aca="false">IF(AND(D217=WF_START_PERIOD,COUNTIFS($B$5:$B$750,B217,$D$5:$D$750,WF_END_PERIOD)&gt;0),INDEX($E$5:$E$750,MATCH(B217&amp;"|"&amp;WF_END_PERIOD,$AC$5:$AC$750,0)),"")</f>
        <v/>
      </c>
      <c r="W217" s="11" t="b">
        <f aca="false">COUNTIFS($B$5:$B$750,B217,$D$5:$D$750,WF_START_PERIOD,$R$5:$R$750,TRUE())&gt;0</f>
        <v>1</v>
      </c>
      <c r="X217" s="11" t="b">
        <f aca="false">COUNTIFS($B$5:$B$750,B217,$D$5:$D$750,WF_END_PERIOD,$R$5:$R$750,TRUE())&gt;0</f>
        <v>1</v>
      </c>
      <c r="Y217" s="0" t="str">
        <f aca="false">IF(AND(D217=WF_END_PERIOD,COUNTIFS($B$5:$B$750,B217,$D$5:$D$750,WF_START_PERIOD)&gt;0),INDEX($E$5:$E$750,MATCH(B217&amp;"|"&amp;WF_START_PERIOD,$AC$5:$AC$750,0)),"")</f>
        <v/>
      </c>
      <c r="Z217" s="0" t="str">
        <f aca="false">IF(AND(D217=WF_END_PERIOD,R217),1+COUNTIFS($D$5:$D$750,WF_END_PERIOD,$E$5:$E$750,E217,$R$5:$R$750,TRUE(),$S$5:$S$750,"&gt;"&amp;S217)+COUNTIFS($D$5:$D$750,WF_END_PERIOD,$E$5:$E$750,E217,$R$5:$R$750,TRUE(),$S$5:$S$750,S217,$B$5:$B$750,"&lt;"&amp;B217),"")</f>
        <v/>
      </c>
      <c r="AA217" s="0" t="str">
        <f aca="false">IF(AND(D217=WF_END_PERIOD,R217,Z217&lt;&gt;1),1+COUNTIFS($D$5:$D$750,WF_END_PERIOD,$R$5:$R$750,TRUE(),$Z$5:$Z$750,"&lt;&gt;1",$S$5:$S$750,"&gt;"&amp;S217)+COUNTIFS($D$5:$D$750,WF_END_PERIOD,$R$5:$R$750,TRUE(),$Z$5:$Z$750,"&lt;&gt;1",$S$5:$S$750,S217,$B$5:$B$750,"&lt;"&amp;B217),"")</f>
        <v/>
      </c>
      <c r="AB217" s="11" t="b">
        <f aca="false">OR(D217=WF_START_PERIOD,D217=WF_END_PERIOD)</f>
        <v>0</v>
      </c>
      <c r="AC217" s="0" t="str">
        <f aca="false">B217&amp;"|"&amp;D217</f>
        <v>13063|20230331</v>
      </c>
    </row>
    <row r="218" customFormat="false" ht="15" hidden="false" customHeight="false" outlineLevel="0" collapsed="false">
      <c r="A218" s="0" t="n">
        <f aca="false">RawFinancials!A218</f>
        <v>215</v>
      </c>
      <c r="B218" s="0" t="n">
        <f aca="false">RawFinancials!C218</f>
        <v>14134</v>
      </c>
      <c r="C218" s="0" t="str">
        <f aca="false">RawFinancials!P218</f>
        <v>PASSUMPSIC SAVINGS BANK</v>
      </c>
      <c r="D218" s="0" t="n">
        <f aca="false">RawFinancials!W218</f>
        <v>20230331</v>
      </c>
      <c r="E218" s="0" t="str">
        <f aca="false">RawFinancials!Z218</f>
        <v>VT</v>
      </c>
      <c r="F218" s="0" t="n">
        <f aca="false">RawFinancials!B218</f>
        <v>835568</v>
      </c>
      <c r="G218" s="0" t="n">
        <f aca="false">RawFinancials!U218</f>
        <v>0</v>
      </c>
      <c r="H218" s="0" t="n">
        <f aca="false">RawFinancials!O218</f>
        <v>12896</v>
      </c>
      <c r="I218" s="0" t="n">
        <f aca="false">IF(AND(ISNUMBER(G218),ISNUMBER(H218)),G218+H218,"")</f>
        <v>12896</v>
      </c>
      <c r="J218" s="0" t="n">
        <f aca="false">RawFinancials!D218</f>
        <v>701903</v>
      </c>
      <c r="K218" s="0" t="n">
        <f aca="false">RawFinancials!F218</f>
        <v>99761</v>
      </c>
      <c r="L218" s="0" t="n">
        <f aca="false">RawFinancials!L218</f>
        <v>632893</v>
      </c>
      <c r="M218" s="0" t="n">
        <f aca="false">RawFinancials!N218</f>
        <v>551797</v>
      </c>
      <c r="N218" s="13" t="n">
        <f aca="false">RawFinancials!X218</f>
        <v>0.694511246075301</v>
      </c>
      <c r="O218" s="13" t="n">
        <f aca="false">RawFinancials!V218</f>
        <v>17.7441561803976</v>
      </c>
      <c r="P218" s="13" t="n">
        <f aca="false">IF(AND(ISNUMBER(L218),L218&lt;&gt;0,ISNUMBER(M218)),100*M218/L218,"")</f>
        <v>87.1864596385171</v>
      </c>
      <c r="Q218" s="13" t="n">
        <f aca="false">IF(AND(ISNUMBER(F218),F218&lt;&gt;0,ISNUMBER(K218)),100*K218/F218,"")</f>
        <v>11.9393035635639</v>
      </c>
      <c r="R218" s="11" t="b">
        <f aca="false">AND(ISNUMBER(F218),F218&gt;0,ISNUMBER(G218),G218&gt;=0,ISNUMBER(H218),H218&gt;=0)</f>
        <v>1</v>
      </c>
      <c r="S218" s="13" t="n">
        <f aca="false">IF(R218,100*I218/F218,"")</f>
        <v>1.54338126878961</v>
      </c>
      <c r="T218" s="11" t="b">
        <f aca="false">NOT(AND(OR(AND(ISBLANK(RawFinancials!B218),ISBLANK(_RawBaseline!B215)),AND(ISNUMBER(RawFinancials!B218),ISNUMBER(_RawBaseline!B215),RawFinancials!B218=_RawBaseline!B215)),OR(AND(ISBLANK(RawFinancials!U218),ISBLANK(_RawBaseline!U215)),AND(ISNUMBER(RawFinancials!U218),ISNUMBER(_RawBaseline!U215),RawFinancials!U218=_RawBaseline!U215)),OR(AND(ISBLANK(RawFinancials!O218),ISBLANK(_RawBaseline!O215)),AND(ISNUMBER(RawFinancials!O218),ISNUMBER(_RawBaseline!O215),RawFinancials!O218=_RawBaseline!O215))))</f>
        <v>0</v>
      </c>
      <c r="U218" s="13" t="n">
        <f aca="false">IF(AND(D218=WF_START_PERIOD,R218,COUNTIFS($B$5:$B$750,B218,$D$5:$D$750,WF_END_PERIOD,$R$5:$R$750,TRUE())&gt;0),SUMIFS($S$5:$S$750,$B$5:$B$750,B218,$D$5:$D$750,WF_END_PERIOD,$R$5:$R$750,TRUE()),0)</f>
        <v>0</v>
      </c>
      <c r="V218" s="0" t="str">
        <f aca="false">IF(AND(D218=WF_START_PERIOD,COUNTIFS($B$5:$B$750,B218,$D$5:$D$750,WF_END_PERIOD)&gt;0),INDEX($E$5:$E$750,MATCH(B218&amp;"|"&amp;WF_END_PERIOD,$AC$5:$AC$750,0)),"")</f>
        <v/>
      </c>
      <c r="W218" s="11" t="b">
        <f aca="false">COUNTIFS($B$5:$B$750,B218,$D$5:$D$750,WF_START_PERIOD,$R$5:$R$750,TRUE())&gt;0</f>
        <v>1</v>
      </c>
      <c r="X218" s="11" t="b">
        <f aca="false">COUNTIFS($B$5:$B$750,B218,$D$5:$D$750,WF_END_PERIOD,$R$5:$R$750,TRUE())&gt;0</f>
        <v>1</v>
      </c>
      <c r="Y218" s="0" t="str">
        <f aca="false">IF(AND(D218=WF_END_PERIOD,COUNTIFS($B$5:$B$750,B218,$D$5:$D$750,WF_START_PERIOD)&gt;0),INDEX($E$5:$E$750,MATCH(B218&amp;"|"&amp;WF_START_PERIOD,$AC$5:$AC$750,0)),"")</f>
        <v/>
      </c>
      <c r="Z218" s="0" t="str">
        <f aca="false">IF(AND(D218=WF_END_PERIOD,R218),1+COUNTIFS($D$5:$D$750,WF_END_PERIOD,$E$5:$E$750,E218,$R$5:$R$750,TRUE(),$S$5:$S$750,"&gt;"&amp;S218)+COUNTIFS($D$5:$D$750,WF_END_PERIOD,$E$5:$E$750,E218,$R$5:$R$750,TRUE(),$S$5:$S$750,S218,$B$5:$B$750,"&lt;"&amp;B218),"")</f>
        <v/>
      </c>
      <c r="AA218" s="0" t="str">
        <f aca="false">IF(AND(D218=WF_END_PERIOD,R218,Z218&lt;&gt;1),1+COUNTIFS($D$5:$D$750,WF_END_PERIOD,$R$5:$R$750,TRUE(),$Z$5:$Z$750,"&lt;&gt;1",$S$5:$S$750,"&gt;"&amp;S218)+COUNTIFS($D$5:$D$750,WF_END_PERIOD,$R$5:$R$750,TRUE(),$Z$5:$Z$750,"&lt;&gt;1",$S$5:$S$750,S218,$B$5:$B$750,"&lt;"&amp;B218),"")</f>
        <v/>
      </c>
      <c r="AB218" s="11" t="b">
        <f aca="false">OR(D218=WF_START_PERIOD,D218=WF_END_PERIOD)</f>
        <v>0</v>
      </c>
      <c r="AC218" s="0" t="str">
        <f aca="false">B218&amp;"|"&amp;D218</f>
        <v>14134|20230331</v>
      </c>
    </row>
    <row r="219" customFormat="false" ht="15" hidden="false" customHeight="false" outlineLevel="0" collapsed="false">
      <c r="A219" s="0" t="n">
        <f aca="false">RawFinancials!A219</f>
        <v>216</v>
      </c>
      <c r="B219" s="0" t="n">
        <f aca="false">RawFinancials!C219</f>
        <v>14136</v>
      </c>
      <c r="C219" s="0" t="str">
        <f aca="false">RawFinancials!P219</f>
        <v>WELLS RIVER SAVINGS BANK</v>
      </c>
      <c r="D219" s="0" t="n">
        <f aca="false">RawFinancials!W219</f>
        <v>20230331</v>
      </c>
      <c r="E219" s="0" t="str">
        <f aca="false">RawFinancials!Z219</f>
        <v>VT</v>
      </c>
      <c r="F219" s="0" t="n">
        <f aca="false">RawFinancials!B219</f>
        <v>223596</v>
      </c>
      <c r="G219" s="0" t="n">
        <f aca="false">RawFinancials!U219</f>
        <v>256</v>
      </c>
      <c r="H219" s="0" t="n">
        <f aca="false">RawFinancials!O219</f>
        <v>73</v>
      </c>
      <c r="I219" s="0" t="n">
        <f aca="false">IF(AND(ISNUMBER(G219),ISNUMBER(H219)),G219+H219,"")</f>
        <v>329</v>
      </c>
      <c r="J219" s="0" t="n">
        <f aca="false">RawFinancials!D219</f>
        <v>203232</v>
      </c>
      <c r="K219" s="0" t="n">
        <f aca="false">RawFinancials!F219</f>
        <v>15756</v>
      </c>
      <c r="L219" s="0" t="n">
        <f aca="false">RawFinancials!L219</f>
        <v>144100</v>
      </c>
      <c r="M219" s="0" t="n">
        <f aca="false">RawFinancials!N219</f>
        <v>115852</v>
      </c>
      <c r="N219" s="13" t="n">
        <f aca="false">RawFinancials!X219</f>
        <v>0.561314041483233</v>
      </c>
      <c r="O219" s="13" t="n">
        <f aca="false">RawFinancials!V219</f>
        <v>17.6630149084257</v>
      </c>
      <c r="P219" s="13" t="n">
        <f aca="false">IF(AND(ISNUMBER(L219),L219&lt;&gt;0,ISNUMBER(M219)),100*M219/L219,"")</f>
        <v>80.3969465648855</v>
      </c>
      <c r="Q219" s="13" t="n">
        <f aca="false">IF(AND(ISNUMBER(F219),F219&lt;&gt;0,ISNUMBER(K219)),100*K219/F219,"")</f>
        <v>7.04663768582622</v>
      </c>
      <c r="R219" s="11" t="b">
        <f aca="false">AND(ISNUMBER(F219),F219&gt;0,ISNUMBER(G219),G219&gt;=0,ISNUMBER(H219),H219&gt;=0)</f>
        <v>1</v>
      </c>
      <c r="S219" s="13" t="n">
        <f aca="false">IF(R219,100*I219/F219,"")</f>
        <v>0.147140378182078</v>
      </c>
      <c r="T219" s="11" t="b">
        <f aca="false">NOT(AND(OR(AND(ISBLANK(RawFinancials!B219),ISBLANK(_RawBaseline!B216)),AND(ISNUMBER(RawFinancials!B219),ISNUMBER(_RawBaseline!B216),RawFinancials!B219=_RawBaseline!B216)),OR(AND(ISBLANK(RawFinancials!U219),ISBLANK(_RawBaseline!U216)),AND(ISNUMBER(RawFinancials!U219),ISNUMBER(_RawBaseline!U216),RawFinancials!U219=_RawBaseline!U216)),OR(AND(ISBLANK(RawFinancials!O219),ISBLANK(_RawBaseline!O216)),AND(ISNUMBER(RawFinancials!O219),ISNUMBER(_RawBaseline!O216),RawFinancials!O219=_RawBaseline!O216))))</f>
        <v>0</v>
      </c>
      <c r="U219" s="13" t="n">
        <f aca="false">IF(AND(D219=WF_START_PERIOD,R219,COUNTIFS($B$5:$B$750,B219,$D$5:$D$750,WF_END_PERIOD,$R$5:$R$750,TRUE())&gt;0),SUMIFS($S$5:$S$750,$B$5:$B$750,B219,$D$5:$D$750,WF_END_PERIOD,$R$5:$R$750,TRUE()),0)</f>
        <v>0</v>
      </c>
      <c r="V219" s="0" t="str">
        <f aca="false">IF(AND(D219=WF_START_PERIOD,COUNTIFS($B$5:$B$750,B219,$D$5:$D$750,WF_END_PERIOD)&gt;0),INDEX($E$5:$E$750,MATCH(B219&amp;"|"&amp;WF_END_PERIOD,$AC$5:$AC$750,0)),"")</f>
        <v/>
      </c>
      <c r="W219" s="11" t="b">
        <f aca="false">COUNTIFS($B$5:$B$750,B219,$D$5:$D$750,WF_START_PERIOD,$R$5:$R$750,TRUE())&gt;0</f>
        <v>1</v>
      </c>
      <c r="X219" s="11" t="b">
        <f aca="false">COUNTIFS($B$5:$B$750,B219,$D$5:$D$750,WF_END_PERIOD,$R$5:$R$750,TRUE())&gt;0</f>
        <v>1</v>
      </c>
      <c r="Y219" s="0" t="str">
        <f aca="false">IF(AND(D219=WF_END_PERIOD,COUNTIFS($B$5:$B$750,B219,$D$5:$D$750,WF_START_PERIOD)&gt;0),INDEX($E$5:$E$750,MATCH(B219&amp;"|"&amp;WF_START_PERIOD,$AC$5:$AC$750,0)),"")</f>
        <v/>
      </c>
      <c r="Z219" s="0" t="str">
        <f aca="false">IF(AND(D219=WF_END_PERIOD,R219),1+COUNTIFS($D$5:$D$750,WF_END_PERIOD,$E$5:$E$750,E219,$R$5:$R$750,TRUE(),$S$5:$S$750,"&gt;"&amp;S219)+COUNTIFS($D$5:$D$750,WF_END_PERIOD,$E$5:$E$750,E219,$R$5:$R$750,TRUE(),$S$5:$S$750,S219,$B$5:$B$750,"&lt;"&amp;B219),"")</f>
        <v/>
      </c>
      <c r="AA219" s="0" t="str">
        <f aca="false">IF(AND(D219=WF_END_PERIOD,R219,Z219&lt;&gt;1),1+COUNTIFS($D$5:$D$750,WF_END_PERIOD,$R$5:$R$750,TRUE(),$Z$5:$Z$750,"&lt;&gt;1",$S$5:$S$750,"&gt;"&amp;S219)+COUNTIFS($D$5:$D$750,WF_END_PERIOD,$R$5:$R$750,TRUE(),$Z$5:$Z$750,"&lt;&gt;1",$S$5:$S$750,S219,$B$5:$B$750,"&lt;"&amp;B219),"")</f>
        <v/>
      </c>
      <c r="AB219" s="11" t="b">
        <f aca="false">OR(D219=WF_START_PERIOD,D219=WF_END_PERIOD)</f>
        <v>0</v>
      </c>
      <c r="AC219" s="0" t="str">
        <f aca="false">B219&amp;"|"&amp;D219</f>
        <v>14136|20230331</v>
      </c>
    </row>
    <row r="220" customFormat="false" ht="15" hidden="false" customHeight="false" outlineLevel="0" collapsed="false">
      <c r="A220" s="0" t="n">
        <f aca="false">RawFinancials!A220</f>
        <v>217</v>
      </c>
      <c r="B220" s="0" t="n">
        <f aca="false">RawFinancials!C220</f>
        <v>14140</v>
      </c>
      <c r="C220" s="0" t="str">
        <f aca="false">RawFinancials!P220</f>
        <v>NORTHFIELD SAVINGS BANK</v>
      </c>
      <c r="D220" s="0" t="n">
        <f aca="false">RawFinancials!W220</f>
        <v>20230331</v>
      </c>
      <c r="E220" s="0" t="str">
        <f aca="false">RawFinancials!Z220</f>
        <v>VT</v>
      </c>
      <c r="F220" s="0" t="n">
        <f aca="false">RawFinancials!B220</f>
        <v>1413583</v>
      </c>
      <c r="G220" s="0" t="n">
        <f aca="false">RawFinancials!U220</f>
        <v>0</v>
      </c>
      <c r="H220" s="0" t="n">
        <f aca="false">RawFinancials!O220</f>
        <v>2395</v>
      </c>
      <c r="I220" s="0" t="n">
        <f aca="false">IF(AND(ISNUMBER(G220),ISNUMBER(H220)),G220+H220,"")</f>
        <v>2395</v>
      </c>
      <c r="J220" s="0" t="n">
        <f aca="false">RawFinancials!D220</f>
        <v>1126353</v>
      </c>
      <c r="K220" s="0" t="n">
        <f aca="false">RawFinancials!F220</f>
        <v>121200</v>
      </c>
      <c r="L220" s="0" t="n">
        <f aca="false">RawFinancials!L220</f>
        <v>993363</v>
      </c>
      <c r="M220" s="0" t="n">
        <f aca="false">RawFinancials!N220</f>
        <v>890367</v>
      </c>
      <c r="N220" s="13" t="n">
        <f aca="false">RawFinancials!X220</f>
        <v>0.454340029379335</v>
      </c>
      <c r="O220" s="13" t="n">
        <f aca="false">RawFinancials!V220</f>
        <v>0</v>
      </c>
      <c r="P220" s="13" t="n">
        <f aca="false">IF(AND(ISNUMBER(L220),L220&lt;&gt;0,ISNUMBER(M220)),100*M220/L220,"")</f>
        <v>89.6315848285068</v>
      </c>
      <c r="Q220" s="13" t="n">
        <f aca="false">IF(AND(ISNUMBER(F220),F220&lt;&gt;0,ISNUMBER(K220)),100*K220/F220,"")</f>
        <v>8.57395710050277</v>
      </c>
      <c r="R220" s="11" t="b">
        <f aca="false">AND(ISNUMBER(F220),F220&gt;0,ISNUMBER(G220),G220&gt;=0,ISNUMBER(H220),H220&gt;=0)</f>
        <v>1</v>
      </c>
      <c r="S220" s="13" t="n">
        <f aca="false">IF(R220,100*I220/F220,"")</f>
        <v>0.169427617621321</v>
      </c>
      <c r="T220" s="11" t="b">
        <f aca="false">NOT(AND(OR(AND(ISBLANK(RawFinancials!B220),ISBLANK(_RawBaseline!B217)),AND(ISNUMBER(RawFinancials!B220),ISNUMBER(_RawBaseline!B217),RawFinancials!B220=_RawBaseline!B217)),OR(AND(ISBLANK(RawFinancials!U220),ISBLANK(_RawBaseline!U217)),AND(ISNUMBER(RawFinancials!U220),ISNUMBER(_RawBaseline!U217),RawFinancials!U220=_RawBaseline!U217)),OR(AND(ISBLANK(RawFinancials!O220),ISBLANK(_RawBaseline!O217)),AND(ISNUMBER(RawFinancials!O220),ISNUMBER(_RawBaseline!O217),RawFinancials!O220=_RawBaseline!O217))))</f>
        <v>0</v>
      </c>
      <c r="U220" s="13" t="n">
        <f aca="false">IF(AND(D220=WF_START_PERIOD,R220,COUNTIFS($B$5:$B$750,B220,$D$5:$D$750,WF_END_PERIOD,$R$5:$R$750,TRUE())&gt;0),SUMIFS($S$5:$S$750,$B$5:$B$750,B220,$D$5:$D$750,WF_END_PERIOD,$R$5:$R$750,TRUE()),0)</f>
        <v>0</v>
      </c>
      <c r="V220" s="0" t="str">
        <f aca="false">IF(AND(D220=WF_START_PERIOD,COUNTIFS($B$5:$B$750,B220,$D$5:$D$750,WF_END_PERIOD)&gt;0),INDEX($E$5:$E$750,MATCH(B220&amp;"|"&amp;WF_END_PERIOD,$AC$5:$AC$750,0)),"")</f>
        <v/>
      </c>
      <c r="W220" s="11" t="b">
        <f aca="false">COUNTIFS($B$5:$B$750,B220,$D$5:$D$750,WF_START_PERIOD,$R$5:$R$750,TRUE())&gt;0</f>
        <v>1</v>
      </c>
      <c r="X220" s="11" t="b">
        <f aca="false">COUNTIFS($B$5:$B$750,B220,$D$5:$D$750,WF_END_PERIOD,$R$5:$R$750,TRUE())&gt;0</f>
        <v>1</v>
      </c>
      <c r="Y220" s="0" t="str">
        <f aca="false">IF(AND(D220=WF_END_PERIOD,COUNTIFS($B$5:$B$750,B220,$D$5:$D$750,WF_START_PERIOD)&gt;0),INDEX($E$5:$E$750,MATCH(B220&amp;"|"&amp;WF_START_PERIOD,$AC$5:$AC$750,0)),"")</f>
        <v/>
      </c>
      <c r="Z220" s="0" t="str">
        <f aca="false">IF(AND(D220=WF_END_PERIOD,R220),1+COUNTIFS($D$5:$D$750,WF_END_PERIOD,$E$5:$E$750,E220,$R$5:$R$750,TRUE(),$S$5:$S$750,"&gt;"&amp;S220)+COUNTIFS($D$5:$D$750,WF_END_PERIOD,$E$5:$E$750,E220,$R$5:$R$750,TRUE(),$S$5:$S$750,S220,$B$5:$B$750,"&lt;"&amp;B220),"")</f>
        <v/>
      </c>
      <c r="AA220" s="0" t="str">
        <f aca="false">IF(AND(D220=WF_END_PERIOD,R220,Z220&lt;&gt;1),1+COUNTIFS($D$5:$D$750,WF_END_PERIOD,$R$5:$R$750,TRUE(),$Z$5:$Z$750,"&lt;&gt;1",$S$5:$S$750,"&gt;"&amp;S220)+COUNTIFS($D$5:$D$750,WF_END_PERIOD,$R$5:$R$750,TRUE(),$Z$5:$Z$750,"&lt;&gt;1",$S$5:$S$750,S220,$B$5:$B$750,"&lt;"&amp;B220),"")</f>
        <v/>
      </c>
      <c r="AB220" s="11" t="b">
        <f aca="false">OR(D220=WF_START_PERIOD,D220=WF_END_PERIOD)</f>
        <v>0</v>
      </c>
      <c r="AC220" s="0" t="str">
        <f aca="false">B220&amp;"|"&amp;D220</f>
        <v>14140|20230331</v>
      </c>
    </row>
    <row r="221" customFormat="false" ht="15" hidden="false" customHeight="false" outlineLevel="0" collapsed="false">
      <c r="A221" s="0" t="n">
        <f aca="false">RawFinancials!A221</f>
        <v>218</v>
      </c>
      <c r="B221" s="0" t="n">
        <f aca="false">RawFinancials!C221</f>
        <v>14158</v>
      </c>
      <c r="C221" s="0" t="str">
        <f aca="false">RawFinancials!P221</f>
        <v>UNION BANK</v>
      </c>
      <c r="D221" s="0" t="n">
        <f aca="false">RawFinancials!W221</f>
        <v>20230331</v>
      </c>
      <c r="E221" s="0" t="str">
        <f aca="false">RawFinancials!Z221</f>
        <v>VT</v>
      </c>
      <c r="F221" s="0" t="n">
        <f aca="false">RawFinancials!B221</f>
        <v>1361586</v>
      </c>
      <c r="G221" s="0" t="n">
        <f aca="false">RawFinancials!U221</f>
        <v>175</v>
      </c>
      <c r="H221" s="0" t="n">
        <f aca="false">RawFinancials!O221</f>
        <v>2174</v>
      </c>
      <c r="I221" s="0" t="n">
        <f aca="false">IF(AND(ISNUMBER(G221),ISNUMBER(H221)),G221+H221,"")</f>
        <v>2349</v>
      </c>
      <c r="J221" s="0" t="n">
        <f aca="false">RawFinancials!D221</f>
        <v>1229192</v>
      </c>
      <c r="K221" s="0" t="n">
        <f aca="false">RawFinancials!F221</f>
        <v>76684</v>
      </c>
      <c r="L221" s="0" t="n">
        <f aca="false">RawFinancials!L221</f>
        <v>976616</v>
      </c>
      <c r="M221" s="0" t="n">
        <f aca="false">RawFinancials!N221</f>
        <v>836877</v>
      </c>
      <c r="N221" s="13" t="n">
        <f aca="false">RawFinancials!X221</f>
        <v>0.950553779137124</v>
      </c>
      <c r="O221" s="13" t="n">
        <f aca="false">RawFinancials!V221</f>
        <v>13.6817856840481</v>
      </c>
      <c r="P221" s="13" t="n">
        <f aca="false">IF(AND(ISNUMBER(L221),L221&lt;&gt;0,ISNUMBER(M221)),100*M221/L221,"")</f>
        <v>85.691510276301</v>
      </c>
      <c r="Q221" s="13" t="n">
        <f aca="false">IF(AND(ISNUMBER(F221),F221&lt;&gt;0,ISNUMBER(K221)),100*K221/F221,"")</f>
        <v>5.631961550721</v>
      </c>
      <c r="R221" s="11" t="b">
        <f aca="false">AND(ISNUMBER(F221),F221&gt;0,ISNUMBER(G221),G221&gt;=0,ISNUMBER(H221),H221&gt;=0)</f>
        <v>1</v>
      </c>
      <c r="S221" s="13" t="n">
        <f aca="false">IF(R221,100*I221/F221,"")</f>
        <v>0.172519400170096</v>
      </c>
      <c r="T221" s="11" t="b">
        <f aca="false">NOT(AND(OR(AND(ISBLANK(RawFinancials!B221),ISBLANK(_RawBaseline!B218)),AND(ISNUMBER(RawFinancials!B221),ISNUMBER(_RawBaseline!B218),RawFinancials!B221=_RawBaseline!B218)),OR(AND(ISBLANK(RawFinancials!U221),ISBLANK(_RawBaseline!U218)),AND(ISNUMBER(RawFinancials!U221),ISNUMBER(_RawBaseline!U218),RawFinancials!U221=_RawBaseline!U218)),OR(AND(ISBLANK(RawFinancials!O221),ISBLANK(_RawBaseline!O218)),AND(ISNUMBER(RawFinancials!O221),ISNUMBER(_RawBaseline!O218),RawFinancials!O221=_RawBaseline!O218))))</f>
        <v>0</v>
      </c>
      <c r="U221" s="13" t="n">
        <f aca="false">IF(AND(D221=WF_START_PERIOD,R221,COUNTIFS($B$5:$B$750,B221,$D$5:$D$750,WF_END_PERIOD,$R$5:$R$750,TRUE())&gt;0),SUMIFS($S$5:$S$750,$B$5:$B$750,B221,$D$5:$D$750,WF_END_PERIOD,$R$5:$R$750,TRUE()),0)</f>
        <v>0</v>
      </c>
      <c r="V221" s="0" t="str">
        <f aca="false">IF(AND(D221=WF_START_PERIOD,COUNTIFS($B$5:$B$750,B221,$D$5:$D$750,WF_END_PERIOD)&gt;0),INDEX($E$5:$E$750,MATCH(B221&amp;"|"&amp;WF_END_PERIOD,$AC$5:$AC$750,0)),"")</f>
        <v/>
      </c>
      <c r="W221" s="11" t="b">
        <f aca="false">COUNTIFS($B$5:$B$750,B221,$D$5:$D$750,WF_START_PERIOD,$R$5:$R$750,TRUE())&gt;0</f>
        <v>1</v>
      </c>
      <c r="X221" s="11" t="b">
        <f aca="false">COUNTIFS($B$5:$B$750,B221,$D$5:$D$750,WF_END_PERIOD,$R$5:$R$750,TRUE())&gt;0</f>
        <v>1</v>
      </c>
      <c r="Y221" s="0" t="str">
        <f aca="false">IF(AND(D221=WF_END_PERIOD,COUNTIFS($B$5:$B$750,B221,$D$5:$D$750,WF_START_PERIOD)&gt;0),INDEX($E$5:$E$750,MATCH(B221&amp;"|"&amp;WF_START_PERIOD,$AC$5:$AC$750,0)),"")</f>
        <v/>
      </c>
      <c r="Z221" s="0" t="str">
        <f aca="false">IF(AND(D221=WF_END_PERIOD,R221),1+COUNTIFS($D$5:$D$750,WF_END_PERIOD,$E$5:$E$750,E221,$R$5:$R$750,TRUE(),$S$5:$S$750,"&gt;"&amp;S221)+COUNTIFS($D$5:$D$750,WF_END_PERIOD,$E$5:$E$750,E221,$R$5:$R$750,TRUE(),$S$5:$S$750,S221,$B$5:$B$750,"&lt;"&amp;B221),"")</f>
        <v/>
      </c>
      <c r="AA221" s="0" t="str">
        <f aca="false">IF(AND(D221=WF_END_PERIOD,R221,Z221&lt;&gt;1),1+COUNTIFS($D$5:$D$750,WF_END_PERIOD,$R$5:$R$750,TRUE(),$Z$5:$Z$750,"&lt;&gt;1",$S$5:$S$750,"&gt;"&amp;S221)+COUNTIFS($D$5:$D$750,WF_END_PERIOD,$R$5:$R$750,TRUE(),$Z$5:$Z$750,"&lt;&gt;1",$S$5:$S$750,S221,$B$5:$B$750,"&lt;"&amp;B221),"")</f>
        <v/>
      </c>
      <c r="AB221" s="11" t="b">
        <f aca="false">OR(D221=WF_START_PERIOD,D221=WF_END_PERIOD)</f>
        <v>0</v>
      </c>
      <c r="AC221" s="0" t="str">
        <f aca="false">B221&amp;"|"&amp;D221</f>
        <v>14158|20230331</v>
      </c>
    </row>
    <row r="222" customFormat="false" ht="15" hidden="false" customHeight="false" outlineLevel="0" collapsed="false">
      <c r="A222" s="0" t="n">
        <f aca="false">RawFinancials!A222</f>
        <v>219</v>
      </c>
      <c r="B222" s="0" t="n">
        <f aca="false">RawFinancials!C222</f>
        <v>14168</v>
      </c>
      <c r="C222" s="0" t="str">
        <f aca="false">RawFinancials!P222</f>
        <v>PEOPLES TRUST COMPANY OF ST. ALBANS</v>
      </c>
      <c r="D222" s="0" t="n">
        <f aca="false">RawFinancials!W222</f>
        <v>20230331</v>
      </c>
      <c r="E222" s="0" t="str">
        <f aca="false">RawFinancials!Z222</f>
        <v>VT</v>
      </c>
      <c r="F222" s="0" t="n">
        <f aca="false">RawFinancials!B222</f>
        <v>356091</v>
      </c>
      <c r="G222" s="0" t="n">
        <f aca="false">RawFinancials!U222</f>
        <v>0</v>
      </c>
      <c r="H222" s="0" t="n">
        <f aca="false">RawFinancials!O222</f>
        <v>977</v>
      </c>
      <c r="I222" s="0" t="n">
        <f aca="false">IF(AND(ISNUMBER(G222),ISNUMBER(H222)),G222+H222,"")</f>
        <v>977</v>
      </c>
      <c r="J222" s="0" t="n">
        <f aca="false">RawFinancials!D222</f>
        <v>318086</v>
      </c>
      <c r="K222" s="0" t="n">
        <f aca="false">RawFinancials!F222</f>
        <v>33166</v>
      </c>
      <c r="L222" s="0" t="n">
        <f aca="false">RawFinancials!L222</f>
        <v>213563</v>
      </c>
      <c r="M222" s="0" t="n">
        <f aca="false">RawFinancials!N222</f>
        <v>178006</v>
      </c>
      <c r="N222" s="13" t="n">
        <f aca="false">RawFinancials!X222</f>
        <v>0.78798488592015</v>
      </c>
      <c r="O222" s="13" t="n">
        <f aca="false">RawFinancials!V222</f>
        <v>17.5009100837277</v>
      </c>
      <c r="P222" s="13" t="n">
        <f aca="false">IF(AND(ISNUMBER(L222),L222&lt;&gt;0,ISNUMBER(M222)),100*M222/L222,"")</f>
        <v>83.350580390798</v>
      </c>
      <c r="Q222" s="13" t="n">
        <f aca="false">IF(AND(ISNUMBER(F222),F222&lt;&gt;0,ISNUMBER(K222)),100*K222/F222,"")</f>
        <v>9.31391133165399</v>
      </c>
      <c r="R222" s="11" t="b">
        <f aca="false">AND(ISNUMBER(F222),F222&gt;0,ISNUMBER(G222),G222&gt;=0,ISNUMBER(H222),H222&gt;=0)</f>
        <v>1</v>
      </c>
      <c r="S222" s="13" t="n">
        <f aca="false">IF(R222,100*I222/F222,"")</f>
        <v>0.274368068836337</v>
      </c>
      <c r="T222" s="11" t="b">
        <f aca="false">NOT(AND(OR(AND(ISBLANK(RawFinancials!B222),ISBLANK(_RawBaseline!B219)),AND(ISNUMBER(RawFinancials!B222),ISNUMBER(_RawBaseline!B219),RawFinancials!B222=_RawBaseline!B219)),OR(AND(ISBLANK(RawFinancials!U222),ISBLANK(_RawBaseline!U219)),AND(ISNUMBER(RawFinancials!U222),ISNUMBER(_RawBaseline!U219),RawFinancials!U222=_RawBaseline!U219)),OR(AND(ISBLANK(RawFinancials!O222),ISBLANK(_RawBaseline!O219)),AND(ISNUMBER(RawFinancials!O222),ISNUMBER(_RawBaseline!O219),RawFinancials!O222=_RawBaseline!O219))))</f>
        <v>0</v>
      </c>
      <c r="U222" s="13" t="n">
        <f aca="false">IF(AND(D222=WF_START_PERIOD,R222,COUNTIFS($B$5:$B$750,B222,$D$5:$D$750,WF_END_PERIOD,$R$5:$R$750,TRUE())&gt;0),SUMIFS($S$5:$S$750,$B$5:$B$750,B222,$D$5:$D$750,WF_END_PERIOD,$R$5:$R$750,TRUE()),0)</f>
        <v>0</v>
      </c>
      <c r="V222" s="0" t="str">
        <f aca="false">IF(AND(D222=WF_START_PERIOD,COUNTIFS($B$5:$B$750,B222,$D$5:$D$750,WF_END_PERIOD)&gt;0),INDEX($E$5:$E$750,MATCH(B222&amp;"|"&amp;WF_END_PERIOD,$AC$5:$AC$750,0)),"")</f>
        <v/>
      </c>
      <c r="W222" s="11" t="b">
        <f aca="false">COUNTIFS($B$5:$B$750,B222,$D$5:$D$750,WF_START_PERIOD,$R$5:$R$750,TRUE())&gt;0</f>
        <v>1</v>
      </c>
      <c r="X222" s="11" t="b">
        <f aca="false">COUNTIFS($B$5:$B$750,B222,$D$5:$D$750,WF_END_PERIOD,$R$5:$R$750,TRUE())&gt;0</f>
        <v>1</v>
      </c>
      <c r="Y222" s="0" t="str">
        <f aca="false">IF(AND(D222=WF_END_PERIOD,COUNTIFS($B$5:$B$750,B222,$D$5:$D$750,WF_START_PERIOD)&gt;0),INDEX($E$5:$E$750,MATCH(B222&amp;"|"&amp;WF_START_PERIOD,$AC$5:$AC$750,0)),"")</f>
        <v/>
      </c>
      <c r="Z222" s="0" t="str">
        <f aca="false">IF(AND(D222=WF_END_PERIOD,R222),1+COUNTIFS($D$5:$D$750,WF_END_PERIOD,$E$5:$E$750,E222,$R$5:$R$750,TRUE(),$S$5:$S$750,"&gt;"&amp;S222)+COUNTIFS($D$5:$D$750,WF_END_PERIOD,$E$5:$E$750,E222,$R$5:$R$750,TRUE(),$S$5:$S$750,S222,$B$5:$B$750,"&lt;"&amp;B222),"")</f>
        <v/>
      </c>
      <c r="AA222" s="0" t="str">
        <f aca="false">IF(AND(D222=WF_END_PERIOD,R222,Z222&lt;&gt;1),1+COUNTIFS($D$5:$D$750,WF_END_PERIOD,$R$5:$R$750,TRUE(),$Z$5:$Z$750,"&lt;&gt;1",$S$5:$S$750,"&gt;"&amp;S222)+COUNTIFS($D$5:$D$750,WF_END_PERIOD,$R$5:$R$750,TRUE(),$Z$5:$Z$750,"&lt;&gt;1",$S$5:$S$750,S222,$B$5:$B$750,"&lt;"&amp;B222),"")</f>
        <v/>
      </c>
      <c r="AB222" s="11" t="b">
        <f aca="false">OR(D222=WF_START_PERIOD,D222=WF_END_PERIOD)</f>
        <v>0</v>
      </c>
      <c r="AC222" s="0" t="str">
        <f aca="false">B222&amp;"|"&amp;D222</f>
        <v>14168|20230331</v>
      </c>
    </row>
    <row r="223" customFormat="false" ht="15" hidden="false" customHeight="false" outlineLevel="0" collapsed="false">
      <c r="A223" s="0" t="n">
        <f aca="false">RawFinancials!A223</f>
        <v>220</v>
      </c>
      <c r="B223" s="0" t="n">
        <f aca="false">RawFinancials!C223</f>
        <v>14240</v>
      </c>
      <c r="C223" s="0" t="str">
        <f aca="false">RawFinancials!P223</f>
        <v>NORTHWAY BANK</v>
      </c>
      <c r="D223" s="0" t="n">
        <f aca="false">RawFinancials!W223</f>
        <v>20230331</v>
      </c>
      <c r="E223" s="0" t="str">
        <f aca="false">RawFinancials!Z223</f>
        <v>NH</v>
      </c>
      <c r="F223" s="0" t="n">
        <f aca="false">RawFinancials!B223</f>
        <v>1364518</v>
      </c>
      <c r="G223" s="0" t="n">
        <f aca="false">RawFinancials!U223</f>
        <v>0</v>
      </c>
      <c r="H223" s="0" t="n">
        <f aca="false">RawFinancials!O223</f>
        <v>2251</v>
      </c>
      <c r="I223" s="0" t="n">
        <f aca="false">IF(AND(ISNUMBER(G223),ISNUMBER(H223)),G223+H223,"")</f>
        <v>2251</v>
      </c>
      <c r="J223" s="0" t="n">
        <f aca="false">RawFinancials!D223</f>
        <v>1019790</v>
      </c>
      <c r="K223" s="0" t="n">
        <f aca="false">RawFinancials!F223</f>
        <v>86202</v>
      </c>
      <c r="L223" s="0" t="n">
        <f aca="false">RawFinancials!L223</f>
        <v>950254</v>
      </c>
      <c r="M223" s="0" t="n">
        <f aca="false">RawFinancials!N223</f>
        <v>832225</v>
      </c>
      <c r="N223" s="13" t="n">
        <f aca="false">RawFinancials!X223</f>
        <v>0.441424322134583</v>
      </c>
      <c r="O223" s="13" t="n">
        <f aca="false">RawFinancials!V223</f>
        <v>14.7648949355952</v>
      </c>
      <c r="P223" s="13" t="n">
        <f aca="false">IF(AND(ISNUMBER(L223),L223&lt;&gt;0,ISNUMBER(M223)),100*M223/L223,"")</f>
        <v>87.5792156623387</v>
      </c>
      <c r="Q223" s="13" t="n">
        <f aca="false">IF(AND(ISNUMBER(F223),F223&lt;&gt;0,ISNUMBER(K223)),100*K223/F223,"")</f>
        <v>6.31739559316916</v>
      </c>
      <c r="R223" s="11" t="b">
        <f aca="false">AND(ISNUMBER(F223),F223&gt;0,ISNUMBER(G223),G223&gt;=0,ISNUMBER(H223),H223&gt;=0)</f>
        <v>1</v>
      </c>
      <c r="S223" s="13" t="n">
        <f aca="false">IF(R223,100*I223/F223,"")</f>
        <v>0.164966676877843</v>
      </c>
      <c r="T223" s="11" t="b">
        <f aca="false">NOT(AND(OR(AND(ISBLANK(RawFinancials!B223),ISBLANK(_RawBaseline!B220)),AND(ISNUMBER(RawFinancials!B223),ISNUMBER(_RawBaseline!B220),RawFinancials!B223=_RawBaseline!B220)),OR(AND(ISBLANK(RawFinancials!U223),ISBLANK(_RawBaseline!U220)),AND(ISNUMBER(RawFinancials!U223),ISNUMBER(_RawBaseline!U220),RawFinancials!U223=_RawBaseline!U220)),OR(AND(ISBLANK(RawFinancials!O223),ISBLANK(_RawBaseline!O220)),AND(ISNUMBER(RawFinancials!O223),ISNUMBER(_RawBaseline!O220),RawFinancials!O223=_RawBaseline!O220))))</f>
        <v>0</v>
      </c>
      <c r="U223" s="13" t="n">
        <f aca="false">IF(AND(D223=WF_START_PERIOD,R223,COUNTIFS($B$5:$B$750,B223,$D$5:$D$750,WF_END_PERIOD,$R$5:$R$750,TRUE())&gt;0),SUMIFS($S$5:$S$750,$B$5:$B$750,B223,$D$5:$D$750,WF_END_PERIOD,$R$5:$R$750,TRUE()),0)</f>
        <v>0</v>
      </c>
      <c r="V223" s="0" t="str">
        <f aca="false">IF(AND(D223=WF_START_PERIOD,COUNTIFS($B$5:$B$750,B223,$D$5:$D$750,WF_END_PERIOD)&gt;0),INDEX($E$5:$E$750,MATCH(B223&amp;"|"&amp;WF_END_PERIOD,$AC$5:$AC$750,0)),"")</f>
        <v/>
      </c>
      <c r="W223" s="11" t="b">
        <f aca="false">COUNTIFS($B$5:$B$750,B223,$D$5:$D$750,WF_START_PERIOD,$R$5:$R$750,TRUE())&gt;0</f>
        <v>1</v>
      </c>
      <c r="X223" s="11" t="b">
        <f aca="false">COUNTIFS($B$5:$B$750,B223,$D$5:$D$750,WF_END_PERIOD,$R$5:$R$750,TRUE())&gt;0</f>
        <v>0</v>
      </c>
      <c r="Y223" s="0" t="str">
        <f aca="false">IF(AND(D223=WF_END_PERIOD,COUNTIFS($B$5:$B$750,B223,$D$5:$D$750,WF_START_PERIOD)&gt;0),INDEX($E$5:$E$750,MATCH(B223&amp;"|"&amp;WF_START_PERIOD,$AC$5:$AC$750,0)),"")</f>
        <v/>
      </c>
      <c r="Z223" s="0" t="str">
        <f aca="false">IF(AND(D223=WF_END_PERIOD,R223),1+COUNTIFS($D$5:$D$750,WF_END_PERIOD,$E$5:$E$750,E223,$R$5:$R$750,TRUE(),$S$5:$S$750,"&gt;"&amp;S223)+COUNTIFS($D$5:$D$750,WF_END_PERIOD,$E$5:$E$750,E223,$R$5:$R$750,TRUE(),$S$5:$S$750,S223,$B$5:$B$750,"&lt;"&amp;B223),"")</f>
        <v/>
      </c>
      <c r="AA223" s="0" t="str">
        <f aca="false">IF(AND(D223=WF_END_PERIOD,R223,Z223&lt;&gt;1),1+COUNTIFS($D$5:$D$750,WF_END_PERIOD,$R$5:$R$750,TRUE(),$Z$5:$Z$750,"&lt;&gt;1",$S$5:$S$750,"&gt;"&amp;S223)+COUNTIFS($D$5:$D$750,WF_END_PERIOD,$R$5:$R$750,TRUE(),$Z$5:$Z$750,"&lt;&gt;1",$S$5:$S$750,S223,$B$5:$B$750,"&lt;"&amp;B223),"")</f>
        <v/>
      </c>
      <c r="AB223" s="11" t="b">
        <f aca="false">OR(D223=WF_START_PERIOD,D223=WF_END_PERIOD)</f>
        <v>0</v>
      </c>
      <c r="AC223" s="0" t="str">
        <f aca="false">B223&amp;"|"&amp;D223</f>
        <v>14240|20230331</v>
      </c>
    </row>
    <row r="224" customFormat="false" ht="15" hidden="false" customHeight="false" outlineLevel="0" collapsed="false">
      <c r="A224" s="0" t="n">
        <f aca="false">RawFinancials!A224</f>
        <v>221</v>
      </c>
      <c r="B224" s="0" t="n">
        <f aca="false">RawFinancials!C224</f>
        <v>17115</v>
      </c>
      <c r="C224" s="0" t="str">
        <f aca="false">RawFinancials!P224</f>
        <v>PARTNERS BANK OF NEW ENGLAND</v>
      </c>
      <c r="D224" s="0" t="n">
        <f aca="false">RawFinancials!W224</f>
        <v>20230331</v>
      </c>
      <c r="E224" s="0" t="str">
        <f aca="false">RawFinancials!Z224</f>
        <v>ME</v>
      </c>
      <c r="F224" s="0" t="n">
        <f aca="false">RawFinancials!B224</f>
        <v>1044604</v>
      </c>
      <c r="G224" s="0" t="n">
        <f aca="false">RawFinancials!U224</f>
        <v>0</v>
      </c>
      <c r="H224" s="0" t="n">
        <f aca="false">RawFinancials!O224</f>
        <v>259</v>
      </c>
      <c r="I224" s="0" t="n">
        <f aca="false">IF(AND(ISNUMBER(G224),ISNUMBER(H224)),G224+H224,"")</f>
        <v>259</v>
      </c>
      <c r="J224" s="0" t="n">
        <f aca="false">RawFinancials!D224</f>
        <v>888210</v>
      </c>
      <c r="K224" s="0" t="n">
        <f aca="false">RawFinancials!F224</f>
        <v>82605</v>
      </c>
      <c r="L224" s="0" t="n">
        <f aca="false">RawFinancials!L224</f>
        <v>860779</v>
      </c>
      <c r="M224" s="0" t="n">
        <f aca="false">RawFinancials!N224</f>
        <v>814065</v>
      </c>
      <c r="N224" s="13" t="n">
        <f aca="false">RawFinancials!X224</f>
        <v>0.694447494119008</v>
      </c>
      <c r="O224" s="13" t="n">
        <f aca="false">RawFinancials!V224</f>
        <v>13.626834654189</v>
      </c>
      <c r="P224" s="13" t="n">
        <f aca="false">IF(AND(ISNUMBER(L224),L224&lt;&gt;0,ISNUMBER(M224)),100*M224/L224,"")</f>
        <v>94.5730553370842</v>
      </c>
      <c r="Q224" s="13" t="n">
        <f aca="false">IF(AND(ISNUMBER(F224),F224&lt;&gt;0,ISNUMBER(K224)),100*K224/F224,"")</f>
        <v>7.90778132191721</v>
      </c>
      <c r="R224" s="11" t="b">
        <f aca="false">AND(ISNUMBER(F224),F224&gt;0,ISNUMBER(G224),G224&gt;=0,ISNUMBER(H224),H224&gt;=0)</f>
        <v>1</v>
      </c>
      <c r="S224" s="13" t="n">
        <f aca="false">IF(R224,100*I224/F224,"")</f>
        <v>0.0247940846483452</v>
      </c>
      <c r="T224" s="11" t="b">
        <f aca="false">NOT(AND(OR(AND(ISBLANK(RawFinancials!B224),ISBLANK(_RawBaseline!B221)),AND(ISNUMBER(RawFinancials!B224),ISNUMBER(_RawBaseline!B221),RawFinancials!B224=_RawBaseline!B221)),OR(AND(ISBLANK(RawFinancials!U224),ISBLANK(_RawBaseline!U221)),AND(ISNUMBER(RawFinancials!U224),ISNUMBER(_RawBaseline!U221),RawFinancials!U224=_RawBaseline!U221)),OR(AND(ISBLANK(RawFinancials!O224),ISBLANK(_RawBaseline!O221)),AND(ISNUMBER(RawFinancials!O224),ISNUMBER(_RawBaseline!O221),RawFinancials!O224=_RawBaseline!O221))))</f>
        <v>0</v>
      </c>
      <c r="U224" s="13" t="n">
        <f aca="false">IF(AND(D224=WF_START_PERIOD,R224,COUNTIFS($B$5:$B$750,B224,$D$5:$D$750,WF_END_PERIOD,$R$5:$R$750,TRUE())&gt;0),SUMIFS($S$5:$S$750,$B$5:$B$750,B224,$D$5:$D$750,WF_END_PERIOD,$R$5:$R$750,TRUE()),0)</f>
        <v>0</v>
      </c>
      <c r="V224" s="0" t="str">
        <f aca="false">IF(AND(D224=WF_START_PERIOD,COUNTIFS($B$5:$B$750,B224,$D$5:$D$750,WF_END_PERIOD)&gt;0),INDEX($E$5:$E$750,MATCH(B224&amp;"|"&amp;WF_END_PERIOD,$AC$5:$AC$750,0)),"")</f>
        <v/>
      </c>
      <c r="W224" s="11" t="b">
        <f aca="false">COUNTIFS($B$5:$B$750,B224,$D$5:$D$750,WF_START_PERIOD,$R$5:$R$750,TRUE())&gt;0</f>
        <v>1</v>
      </c>
      <c r="X224" s="11" t="b">
        <f aca="false">COUNTIFS($B$5:$B$750,B224,$D$5:$D$750,WF_END_PERIOD,$R$5:$R$750,TRUE())&gt;0</f>
        <v>1</v>
      </c>
      <c r="Y224" s="0" t="str">
        <f aca="false">IF(AND(D224=WF_END_PERIOD,COUNTIFS($B$5:$B$750,B224,$D$5:$D$750,WF_START_PERIOD)&gt;0),INDEX($E$5:$E$750,MATCH(B224&amp;"|"&amp;WF_START_PERIOD,$AC$5:$AC$750,0)),"")</f>
        <v/>
      </c>
      <c r="Z224" s="0" t="str">
        <f aca="false">IF(AND(D224=WF_END_PERIOD,R224),1+COUNTIFS($D$5:$D$750,WF_END_PERIOD,$E$5:$E$750,E224,$R$5:$R$750,TRUE(),$S$5:$S$750,"&gt;"&amp;S224)+COUNTIFS($D$5:$D$750,WF_END_PERIOD,$E$5:$E$750,E224,$R$5:$R$750,TRUE(),$S$5:$S$750,S224,$B$5:$B$750,"&lt;"&amp;B224),"")</f>
        <v/>
      </c>
      <c r="AA224" s="0" t="str">
        <f aca="false">IF(AND(D224=WF_END_PERIOD,R224,Z224&lt;&gt;1),1+COUNTIFS($D$5:$D$750,WF_END_PERIOD,$R$5:$R$750,TRUE(),$Z$5:$Z$750,"&lt;&gt;1",$S$5:$S$750,"&gt;"&amp;S224)+COUNTIFS($D$5:$D$750,WF_END_PERIOD,$R$5:$R$750,TRUE(),$Z$5:$Z$750,"&lt;&gt;1",$S$5:$S$750,S224,$B$5:$B$750,"&lt;"&amp;B224),"")</f>
        <v/>
      </c>
      <c r="AB224" s="11" t="b">
        <f aca="false">OR(D224=WF_START_PERIOD,D224=WF_END_PERIOD)</f>
        <v>0</v>
      </c>
      <c r="AC224" s="0" t="str">
        <f aca="false">B224&amp;"|"&amp;D224</f>
        <v>17115|20230331</v>
      </c>
    </row>
    <row r="225" customFormat="false" ht="15" hidden="false" customHeight="false" outlineLevel="0" collapsed="false">
      <c r="A225" s="0" t="n">
        <f aca="false">RawFinancials!A225</f>
        <v>222</v>
      </c>
      <c r="B225" s="0" t="n">
        <f aca="false">RawFinancials!C225</f>
        <v>17180</v>
      </c>
      <c r="C225" s="0" t="str">
        <f aca="false">RawFinancials!P225</f>
        <v>MEREDITH VILLAGE SAVINGS BANK</v>
      </c>
      <c r="D225" s="0" t="n">
        <f aca="false">RawFinancials!W225</f>
        <v>20230331</v>
      </c>
      <c r="E225" s="0" t="str">
        <f aca="false">RawFinancials!Z225</f>
        <v>NH</v>
      </c>
      <c r="F225" s="0" t="n">
        <f aca="false">RawFinancials!B225</f>
        <v>1570158</v>
      </c>
      <c r="G225" s="0" t="n">
        <f aca="false">RawFinancials!U225</f>
        <v>0</v>
      </c>
      <c r="H225" s="0" t="n">
        <f aca="false">RawFinancials!O225</f>
        <v>4701</v>
      </c>
      <c r="I225" s="0" t="n">
        <f aca="false">IF(AND(ISNUMBER(G225),ISNUMBER(H225)),G225+H225,"")</f>
        <v>4701</v>
      </c>
      <c r="J225" s="0" t="n">
        <f aca="false">RawFinancials!D225</f>
        <v>1147694</v>
      </c>
      <c r="K225" s="0" t="n">
        <f aca="false">RawFinancials!F225</f>
        <v>131076</v>
      </c>
      <c r="L225" s="0" t="n">
        <f aca="false">RawFinancials!L225</f>
        <v>1410571</v>
      </c>
      <c r="M225" s="0" t="n">
        <f aca="false">RawFinancials!N225</f>
        <v>1135680</v>
      </c>
      <c r="N225" s="13" t="n">
        <f aca="false">RawFinancials!X225</f>
        <v>0.508991402284762</v>
      </c>
      <c r="O225" s="13" t="n">
        <f aca="false">RawFinancials!V225</f>
        <v>13.7737837295927</v>
      </c>
      <c r="P225" s="13" t="n">
        <f aca="false">IF(AND(ISNUMBER(L225),L225&lt;&gt;0,ISNUMBER(M225)),100*M225/L225,"")</f>
        <v>80.5120763151944</v>
      </c>
      <c r="Q225" s="13" t="n">
        <f aca="false">IF(AND(ISNUMBER(F225),F225&lt;&gt;0,ISNUMBER(K225)),100*K225/F225,"")</f>
        <v>8.34794969678211</v>
      </c>
      <c r="R225" s="11" t="b">
        <f aca="false">AND(ISNUMBER(F225),F225&gt;0,ISNUMBER(G225),G225&gt;=0,ISNUMBER(H225),H225&gt;=0)</f>
        <v>1</v>
      </c>
      <c r="S225" s="13" t="n">
        <f aca="false">IF(R225,100*I225/F225,"")</f>
        <v>0.299396621231749</v>
      </c>
      <c r="T225" s="11" t="b">
        <f aca="false">NOT(AND(OR(AND(ISBLANK(RawFinancials!B225),ISBLANK(_RawBaseline!B222)),AND(ISNUMBER(RawFinancials!B225),ISNUMBER(_RawBaseline!B222),RawFinancials!B225=_RawBaseline!B222)),OR(AND(ISBLANK(RawFinancials!U225),ISBLANK(_RawBaseline!U222)),AND(ISNUMBER(RawFinancials!U225),ISNUMBER(_RawBaseline!U222),RawFinancials!U225=_RawBaseline!U222)),OR(AND(ISBLANK(RawFinancials!O225),ISBLANK(_RawBaseline!O222)),AND(ISNUMBER(RawFinancials!O225),ISNUMBER(_RawBaseline!O222),RawFinancials!O225=_RawBaseline!O222))))</f>
        <v>0</v>
      </c>
      <c r="U225" s="13" t="n">
        <f aca="false">IF(AND(D225=WF_START_PERIOD,R225,COUNTIFS($B$5:$B$750,B225,$D$5:$D$750,WF_END_PERIOD,$R$5:$R$750,TRUE())&gt;0),SUMIFS($S$5:$S$750,$B$5:$B$750,B225,$D$5:$D$750,WF_END_PERIOD,$R$5:$R$750,TRUE()),0)</f>
        <v>0</v>
      </c>
      <c r="V225" s="0" t="str">
        <f aca="false">IF(AND(D225=WF_START_PERIOD,COUNTIFS($B$5:$B$750,B225,$D$5:$D$750,WF_END_PERIOD)&gt;0),INDEX($E$5:$E$750,MATCH(B225&amp;"|"&amp;WF_END_PERIOD,$AC$5:$AC$750,0)),"")</f>
        <v/>
      </c>
      <c r="W225" s="11" t="b">
        <f aca="false">COUNTIFS($B$5:$B$750,B225,$D$5:$D$750,WF_START_PERIOD,$R$5:$R$750,TRUE())&gt;0</f>
        <v>1</v>
      </c>
      <c r="X225" s="11" t="b">
        <f aca="false">COUNTIFS($B$5:$B$750,B225,$D$5:$D$750,WF_END_PERIOD,$R$5:$R$750,TRUE())&gt;0</f>
        <v>1</v>
      </c>
      <c r="Y225" s="0" t="str">
        <f aca="false">IF(AND(D225=WF_END_PERIOD,COUNTIFS($B$5:$B$750,B225,$D$5:$D$750,WF_START_PERIOD)&gt;0),INDEX($E$5:$E$750,MATCH(B225&amp;"|"&amp;WF_START_PERIOD,$AC$5:$AC$750,0)),"")</f>
        <v/>
      </c>
      <c r="Z225" s="0" t="str">
        <f aca="false">IF(AND(D225=WF_END_PERIOD,R225),1+COUNTIFS($D$5:$D$750,WF_END_PERIOD,$E$5:$E$750,E225,$R$5:$R$750,TRUE(),$S$5:$S$750,"&gt;"&amp;S225)+COUNTIFS($D$5:$D$750,WF_END_PERIOD,$E$5:$E$750,E225,$R$5:$R$750,TRUE(),$S$5:$S$750,S225,$B$5:$B$750,"&lt;"&amp;B225),"")</f>
        <v/>
      </c>
      <c r="AA225" s="0" t="str">
        <f aca="false">IF(AND(D225=WF_END_PERIOD,R225,Z225&lt;&gt;1),1+COUNTIFS($D$5:$D$750,WF_END_PERIOD,$R$5:$R$750,TRUE(),$Z$5:$Z$750,"&lt;&gt;1",$S$5:$S$750,"&gt;"&amp;S225)+COUNTIFS($D$5:$D$750,WF_END_PERIOD,$R$5:$R$750,TRUE(),$Z$5:$Z$750,"&lt;&gt;1",$S$5:$S$750,S225,$B$5:$B$750,"&lt;"&amp;B225),"")</f>
        <v/>
      </c>
      <c r="AB225" s="11" t="b">
        <f aca="false">OR(D225=WF_START_PERIOD,D225=WF_END_PERIOD)</f>
        <v>0</v>
      </c>
      <c r="AC225" s="0" t="str">
        <f aca="false">B225&amp;"|"&amp;D225</f>
        <v>17180|20230331</v>
      </c>
    </row>
    <row r="226" customFormat="false" ht="15" hidden="false" customHeight="false" outlineLevel="0" collapsed="false">
      <c r="A226" s="0" t="n">
        <f aca="false">RawFinancials!A226</f>
        <v>223</v>
      </c>
      <c r="B226" s="0" t="n">
        <f aca="false">RawFinancials!C226</f>
        <v>17443</v>
      </c>
      <c r="C226" s="0" t="str">
        <f aca="false">RawFinancials!P226</f>
        <v>PISCATAQUA SAVINGS BANK</v>
      </c>
      <c r="D226" s="0" t="n">
        <f aca="false">RawFinancials!W226</f>
        <v>20230331</v>
      </c>
      <c r="E226" s="0" t="str">
        <f aca="false">RawFinancials!Z226</f>
        <v>NH</v>
      </c>
      <c r="F226" s="0" t="n">
        <f aca="false">RawFinancials!B226</f>
        <v>371402</v>
      </c>
      <c r="G226" s="0" t="n">
        <f aca="false">RawFinancials!U226</f>
        <v>0</v>
      </c>
      <c r="H226" s="0" t="n">
        <f aca="false">RawFinancials!O226</f>
        <v>250</v>
      </c>
      <c r="I226" s="0" t="n">
        <f aca="false">IF(AND(ISNUMBER(G226),ISNUMBER(H226)),G226+H226,"")</f>
        <v>250</v>
      </c>
      <c r="J226" s="0" t="n">
        <f aca="false">RawFinancials!D226</f>
        <v>330910</v>
      </c>
      <c r="K226" s="0" t="n">
        <f aca="false">RawFinancials!F226</f>
        <v>39228</v>
      </c>
      <c r="L226" s="0" t="n">
        <f aca="false">RawFinancials!L226</f>
        <v>208618</v>
      </c>
      <c r="M226" s="0" t="n">
        <f aca="false">RawFinancials!N226</f>
        <v>206692</v>
      </c>
      <c r="N226" s="13" t="n">
        <f aca="false">RawFinancials!X226</f>
        <v>0.103141153187208</v>
      </c>
      <c r="O226" s="13" t="n">
        <f aca="false">RawFinancials!V226</f>
        <v>0</v>
      </c>
      <c r="P226" s="13" t="n">
        <f aca="false">IF(AND(ISNUMBER(L226),L226&lt;&gt;0,ISNUMBER(M226)),100*M226/L226,"")</f>
        <v>99.0767814857778</v>
      </c>
      <c r="Q226" s="13" t="n">
        <f aca="false">IF(AND(ISNUMBER(F226),F226&lt;&gt;0,ISNUMBER(K226)),100*K226/F226,"")</f>
        <v>10.5621402146461</v>
      </c>
      <c r="R226" s="11" t="b">
        <f aca="false">AND(ISNUMBER(F226),F226&gt;0,ISNUMBER(G226),G226&gt;=0,ISNUMBER(H226),H226&gt;=0)</f>
        <v>1</v>
      </c>
      <c r="S226" s="13" t="n">
        <f aca="false">IF(R226,100*I226/F226,"")</f>
        <v>0.0673125077409384</v>
      </c>
      <c r="T226" s="11" t="b">
        <f aca="false">NOT(AND(OR(AND(ISBLANK(RawFinancials!B226),ISBLANK(_RawBaseline!B223)),AND(ISNUMBER(RawFinancials!B226),ISNUMBER(_RawBaseline!B223),RawFinancials!B226=_RawBaseline!B223)),OR(AND(ISBLANK(RawFinancials!U226),ISBLANK(_RawBaseline!U223)),AND(ISNUMBER(RawFinancials!U226),ISNUMBER(_RawBaseline!U223),RawFinancials!U226=_RawBaseline!U223)),OR(AND(ISBLANK(RawFinancials!O226),ISBLANK(_RawBaseline!O223)),AND(ISNUMBER(RawFinancials!O226),ISNUMBER(_RawBaseline!O223),RawFinancials!O226=_RawBaseline!O223))))</f>
        <v>0</v>
      </c>
      <c r="U226" s="13" t="n">
        <f aca="false">IF(AND(D226=WF_START_PERIOD,R226,COUNTIFS($B$5:$B$750,B226,$D$5:$D$750,WF_END_PERIOD,$R$5:$R$750,TRUE())&gt;0),SUMIFS($S$5:$S$750,$B$5:$B$750,B226,$D$5:$D$750,WF_END_PERIOD,$R$5:$R$750,TRUE()),0)</f>
        <v>0</v>
      </c>
      <c r="V226" s="0" t="str">
        <f aca="false">IF(AND(D226=WF_START_PERIOD,COUNTIFS($B$5:$B$750,B226,$D$5:$D$750,WF_END_PERIOD)&gt;0),INDEX($E$5:$E$750,MATCH(B226&amp;"|"&amp;WF_END_PERIOD,$AC$5:$AC$750,0)),"")</f>
        <v/>
      </c>
      <c r="W226" s="11" t="b">
        <f aca="false">COUNTIFS($B$5:$B$750,B226,$D$5:$D$750,WF_START_PERIOD,$R$5:$R$750,TRUE())&gt;0</f>
        <v>1</v>
      </c>
      <c r="X226" s="11" t="b">
        <f aca="false">COUNTIFS($B$5:$B$750,B226,$D$5:$D$750,WF_END_PERIOD,$R$5:$R$750,TRUE())&gt;0</f>
        <v>1</v>
      </c>
      <c r="Y226" s="0" t="str">
        <f aca="false">IF(AND(D226=WF_END_PERIOD,COUNTIFS($B$5:$B$750,B226,$D$5:$D$750,WF_START_PERIOD)&gt;0),INDEX($E$5:$E$750,MATCH(B226&amp;"|"&amp;WF_START_PERIOD,$AC$5:$AC$750,0)),"")</f>
        <v/>
      </c>
      <c r="Z226" s="0" t="str">
        <f aca="false">IF(AND(D226=WF_END_PERIOD,R226),1+COUNTIFS($D$5:$D$750,WF_END_PERIOD,$E$5:$E$750,E226,$R$5:$R$750,TRUE(),$S$5:$S$750,"&gt;"&amp;S226)+COUNTIFS($D$5:$D$750,WF_END_PERIOD,$E$5:$E$750,E226,$R$5:$R$750,TRUE(),$S$5:$S$750,S226,$B$5:$B$750,"&lt;"&amp;B226),"")</f>
        <v/>
      </c>
      <c r="AA226" s="0" t="str">
        <f aca="false">IF(AND(D226=WF_END_PERIOD,R226,Z226&lt;&gt;1),1+COUNTIFS($D$5:$D$750,WF_END_PERIOD,$R$5:$R$750,TRUE(),$Z$5:$Z$750,"&lt;&gt;1",$S$5:$S$750,"&gt;"&amp;S226)+COUNTIFS($D$5:$D$750,WF_END_PERIOD,$R$5:$R$750,TRUE(),$Z$5:$Z$750,"&lt;&gt;1",$S$5:$S$750,S226,$B$5:$B$750,"&lt;"&amp;B226),"")</f>
        <v/>
      </c>
      <c r="AB226" s="11" t="b">
        <f aca="false">OR(D226=WF_START_PERIOD,D226=WF_END_PERIOD)</f>
        <v>0</v>
      </c>
      <c r="AC226" s="0" t="str">
        <f aca="false">B226&amp;"|"&amp;D226</f>
        <v>17443|20230331</v>
      </c>
    </row>
    <row r="227" customFormat="false" ht="15" hidden="false" customHeight="false" outlineLevel="0" collapsed="false">
      <c r="A227" s="0" t="n">
        <f aca="false">RawFinancials!A227</f>
        <v>224</v>
      </c>
      <c r="B227" s="0" t="n">
        <f aca="false">RawFinancials!C227</f>
        <v>17658</v>
      </c>
      <c r="C227" s="0" t="str">
        <f aca="false">RawFinancials!P227</f>
        <v>NORWAY SAVINGS BANK</v>
      </c>
      <c r="D227" s="0" t="n">
        <f aca="false">RawFinancials!W227</f>
        <v>20230331</v>
      </c>
      <c r="E227" s="0" t="str">
        <f aca="false">RawFinancials!Z227</f>
        <v>ME</v>
      </c>
      <c r="F227" s="0" t="n">
        <f aca="false">RawFinancials!B227</f>
        <v>1830565</v>
      </c>
      <c r="G227" s="0" t="n">
        <f aca="false">RawFinancials!U227</f>
        <v>0</v>
      </c>
      <c r="H227" s="0" t="n">
        <f aca="false">RawFinancials!O227</f>
        <v>672</v>
      </c>
      <c r="I227" s="0" t="n">
        <f aca="false">IF(AND(ISNUMBER(G227),ISNUMBER(H227)),G227+H227,"")</f>
        <v>672</v>
      </c>
      <c r="J227" s="0" t="n">
        <f aca="false">RawFinancials!D227</f>
        <v>1563995</v>
      </c>
      <c r="K227" s="0" t="n">
        <f aca="false">RawFinancials!F227</f>
        <v>199630</v>
      </c>
      <c r="L227" s="0" t="n">
        <f aca="false">RawFinancials!L227</f>
        <v>1233738</v>
      </c>
      <c r="M227" s="0" t="n">
        <f aca="false">RawFinancials!N227</f>
        <v>1063253</v>
      </c>
      <c r="N227" s="13" t="n">
        <f aca="false">RawFinancials!X227</f>
        <v>1.0847005861763</v>
      </c>
      <c r="O227" s="13" t="n">
        <f aca="false">RawFinancials!V227</f>
        <v>0</v>
      </c>
      <c r="P227" s="13" t="n">
        <f aca="false">IF(AND(ISNUMBER(L227),L227&lt;&gt;0,ISNUMBER(M227)),100*M227/L227,"")</f>
        <v>86.1814258781038</v>
      </c>
      <c r="Q227" s="13" t="n">
        <f aca="false">IF(AND(ISNUMBER(F227),F227&lt;&gt;0,ISNUMBER(K227)),100*K227/F227,"")</f>
        <v>10.9053762089847</v>
      </c>
      <c r="R227" s="11" t="b">
        <f aca="false">AND(ISNUMBER(F227),F227&gt;0,ISNUMBER(G227),G227&gt;=0,ISNUMBER(H227),H227&gt;=0)</f>
        <v>1</v>
      </c>
      <c r="S227" s="13" t="n">
        <f aca="false">IF(R227,100*I227/F227,"")</f>
        <v>0.0367099775206016</v>
      </c>
      <c r="T227" s="11" t="b">
        <f aca="false">NOT(AND(OR(AND(ISBLANK(RawFinancials!B227),ISBLANK(_RawBaseline!B224)),AND(ISNUMBER(RawFinancials!B227),ISNUMBER(_RawBaseline!B224),RawFinancials!B227=_RawBaseline!B224)),OR(AND(ISBLANK(RawFinancials!U227),ISBLANK(_RawBaseline!U224)),AND(ISNUMBER(RawFinancials!U227),ISNUMBER(_RawBaseline!U224),RawFinancials!U227=_RawBaseline!U224)),OR(AND(ISBLANK(RawFinancials!O227),ISBLANK(_RawBaseline!O224)),AND(ISNUMBER(RawFinancials!O227),ISNUMBER(_RawBaseline!O224),RawFinancials!O227=_RawBaseline!O224))))</f>
        <v>0</v>
      </c>
      <c r="U227" s="13" t="n">
        <f aca="false">IF(AND(D227=WF_START_PERIOD,R227,COUNTIFS($B$5:$B$750,B227,$D$5:$D$750,WF_END_PERIOD,$R$5:$R$750,TRUE())&gt;0),SUMIFS($S$5:$S$750,$B$5:$B$750,B227,$D$5:$D$750,WF_END_PERIOD,$R$5:$R$750,TRUE()),0)</f>
        <v>0</v>
      </c>
      <c r="V227" s="0" t="str">
        <f aca="false">IF(AND(D227=WF_START_PERIOD,COUNTIFS($B$5:$B$750,B227,$D$5:$D$750,WF_END_PERIOD)&gt;0),INDEX($E$5:$E$750,MATCH(B227&amp;"|"&amp;WF_END_PERIOD,$AC$5:$AC$750,0)),"")</f>
        <v/>
      </c>
      <c r="W227" s="11" t="b">
        <f aca="false">COUNTIFS($B$5:$B$750,B227,$D$5:$D$750,WF_START_PERIOD,$R$5:$R$750,TRUE())&gt;0</f>
        <v>1</v>
      </c>
      <c r="X227" s="11" t="b">
        <f aca="false">COUNTIFS($B$5:$B$750,B227,$D$5:$D$750,WF_END_PERIOD,$R$5:$R$750,TRUE())&gt;0</f>
        <v>1</v>
      </c>
      <c r="Y227" s="0" t="str">
        <f aca="false">IF(AND(D227=WF_END_PERIOD,COUNTIFS($B$5:$B$750,B227,$D$5:$D$750,WF_START_PERIOD)&gt;0),INDEX($E$5:$E$750,MATCH(B227&amp;"|"&amp;WF_START_PERIOD,$AC$5:$AC$750,0)),"")</f>
        <v/>
      </c>
      <c r="Z227" s="0" t="str">
        <f aca="false">IF(AND(D227=WF_END_PERIOD,R227),1+COUNTIFS($D$5:$D$750,WF_END_PERIOD,$E$5:$E$750,E227,$R$5:$R$750,TRUE(),$S$5:$S$750,"&gt;"&amp;S227)+COUNTIFS($D$5:$D$750,WF_END_PERIOD,$E$5:$E$750,E227,$R$5:$R$750,TRUE(),$S$5:$S$750,S227,$B$5:$B$750,"&lt;"&amp;B227),"")</f>
        <v/>
      </c>
      <c r="AA227" s="0" t="str">
        <f aca="false">IF(AND(D227=WF_END_PERIOD,R227,Z227&lt;&gt;1),1+COUNTIFS($D$5:$D$750,WF_END_PERIOD,$R$5:$R$750,TRUE(),$Z$5:$Z$750,"&lt;&gt;1",$S$5:$S$750,"&gt;"&amp;S227)+COUNTIFS($D$5:$D$750,WF_END_PERIOD,$R$5:$R$750,TRUE(),$Z$5:$Z$750,"&lt;&gt;1",$S$5:$S$750,S227,$B$5:$B$750,"&lt;"&amp;B227),"")</f>
        <v/>
      </c>
      <c r="AB227" s="11" t="b">
        <f aca="false">OR(D227=WF_START_PERIOD,D227=WF_END_PERIOD)</f>
        <v>0</v>
      </c>
      <c r="AC227" s="0" t="str">
        <f aca="false">B227&amp;"|"&amp;D227</f>
        <v>17658|20230331</v>
      </c>
    </row>
    <row r="228" customFormat="false" ht="15" hidden="false" customHeight="false" outlineLevel="0" collapsed="false">
      <c r="A228" s="0" t="n">
        <f aca="false">RawFinancials!A228</f>
        <v>225</v>
      </c>
      <c r="B228" s="0" t="n">
        <f aca="false">RawFinancials!C228</f>
        <v>17741</v>
      </c>
      <c r="C228" s="0" t="str">
        <f aca="false">RawFinancials!P228</f>
        <v>MAINE COMMUNITY BANK</v>
      </c>
      <c r="D228" s="0" t="n">
        <f aca="false">RawFinancials!W228</f>
        <v>20230331</v>
      </c>
      <c r="E228" s="0" t="str">
        <f aca="false">RawFinancials!Z228</f>
        <v>ME</v>
      </c>
      <c r="F228" s="0" t="n">
        <f aca="false">RawFinancials!B228</f>
        <v>1010266</v>
      </c>
      <c r="G228" s="0" t="n">
        <f aca="false">RawFinancials!U228</f>
        <v>0</v>
      </c>
      <c r="H228" s="0" t="n">
        <f aca="false">RawFinancials!O228</f>
        <v>1676</v>
      </c>
      <c r="I228" s="0" t="n">
        <f aca="false">IF(AND(ISNUMBER(G228),ISNUMBER(H228)),G228+H228,"")</f>
        <v>1676</v>
      </c>
      <c r="J228" s="0" t="n">
        <f aca="false">RawFinancials!D228</f>
        <v>833199</v>
      </c>
      <c r="K228" s="0" t="n">
        <f aca="false">RawFinancials!F228</f>
        <v>132521</v>
      </c>
      <c r="L228" s="0" t="n">
        <f aca="false">RawFinancials!L228</f>
        <v>842535</v>
      </c>
      <c r="M228" s="0" t="n">
        <f aca="false">RawFinancials!N228</f>
        <v>791960</v>
      </c>
      <c r="N228" s="13" t="n">
        <f aca="false">RawFinancials!X228</f>
        <v>0.783895202662623</v>
      </c>
      <c r="O228" s="13" t="n">
        <f aca="false">RawFinancials!V228</f>
        <v>0</v>
      </c>
      <c r="P228" s="13" t="n">
        <f aca="false">IF(AND(ISNUMBER(L228),L228&lt;&gt;0,ISNUMBER(M228)),100*M228/L228,"")</f>
        <v>93.9972820120232</v>
      </c>
      <c r="Q228" s="13" t="n">
        <f aca="false">IF(AND(ISNUMBER(F228),F228&lt;&gt;0,ISNUMBER(K228)),100*K228/F228,"")</f>
        <v>13.1174363979388</v>
      </c>
      <c r="R228" s="11" t="b">
        <f aca="false">AND(ISNUMBER(F228),F228&gt;0,ISNUMBER(G228),G228&gt;=0,ISNUMBER(H228),H228&gt;=0)</f>
        <v>1</v>
      </c>
      <c r="S228" s="13" t="n">
        <f aca="false">IF(R228,100*I228/F228,"")</f>
        <v>0.165896902399962</v>
      </c>
      <c r="T228" s="11" t="b">
        <f aca="false">NOT(AND(OR(AND(ISBLANK(RawFinancials!B228),ISBLANK(_RawBaseline!B225)),AND(ISNUMBER(RawFinancials!B228),ISNUMBER(_RawBaseline!B225),RawFinancials!B228=_RawBaseline!B225)),OR(AND(ISBLANK(RawFinancials!U228),ISBLANK(_RawBaseline!U225)),AND(ISNUMBER(RawFinancials!U228),ISNUMBER(_RawBaseline!U225),RawFinancials!U228=_RawBaseline!U225)),OR(AND(ISBLANK(RawFinancials!O228),ISBLANK(_RawBaseline!O225)),AND(ISNUMBER(RawFinancials!O228),ISNUMBER(_RawBaseline!O225),RawFinancials!O228=_RawBaseline!O225))))</f>
        <v>0</v>
      </c>
      <c r="U228" s="13" t="n">
        <f aca="false">IF(AND(D228=WF_START_PERIOD,R228,COUNTIFS($B$5:$B$750,B228,$D$5:$D$750,WF_END_PERIOD,$R$5:$R$750,TRUE())&gt;0),SUMIFS($S$5:$S$750,$B$5:$B$750,B228,$D$5:$D$750,WF_END_PERIOD,$R$5:$R$750,TRUE()),0)</f>
        <v>0</v>
      </c>
      <c r="V228" s="0" t="str">
        <f aca="false">IF(AND(D228=WF_START_PERIOD,COUNTIFS($B$5:$B$750,B228,$D$5:$D$750,WF_END_PERIOD)&gt;0),INDEX($E$5:$E$750,MATCH(B228&amp;"|"&amp;WF_END_PERIOD,$AC$5:$AC$750,0)),"")</f>
        <v/>
      </c>
      <c r="W228" s="11" t="b">
        <f aca="false">COUNTIFS($B$5:$B$750,B228,$D$5:$D$750,WF_START_PERIOD,$R$5:$R$750,TRUE())&gt;0</f>
        <v>1</v>
      </c>
      <c r="X228" s="11" t="b">
        <f aca="false">COUNTIFS($B$5:$B$750,B228,$D$5:$D$750,WF_END_PERIOD,$R$5:$R$750,TRUE())&gt;0</f>
        <v>1</v>
      </c>
      <c r="Y228" s="0" t="str">
        <f aca="false">IF(AND(D228=WF_END_PERIOD,COUNTIFS($B$5:$B$750,B228,$D$5:$D$750,WF_START_PERIOD)&gt;0),INDEX($E$5:$E$750,MATCH(B228&amp;"|"&amp;WF_START_PERIOD,$AC$5:$AC$750,0)),"")</f>
        <v/>
      </c>
      <c r="Z228" s="0" t="str">
        <f aca="false">IF(AND(D228=WF_END_PERIOD,R228),1+COUNTIFS($D$5:$D$750,WF_END_PERIOD,$E$5:$E$750,E228,$R$5:$R$750,TRUE(),$S$5:$S$750,"&gt;"&amp;S228)+COUNTIFS($D$5:$D$750,WF_END_PERIOD,$E$5:$E$750,E228,$R$5:$R$750,TRUE(),$S$5:$S$750,S228,$B$5:$B$750,"&lt;"&amp;B228),"")</f>
        <v/>
      </c>
      <c r="AA228" s="0" t="str">
        <f aca="false">IF(AND(D228=WF_END_PERIOD,R228,Z228&lt;&gt;1),1+COUNTIFS($D$5:$D$750,WF_END_PERIOD,$R$5:$R$750,TRUE(),$Z$5:$Z$750,"&lt;&gt;1",$S$5:$S$750,"&gt;"&amp;S228)+COUNTIFS($D$5:$D$750,WF_END_PERIOD,$R$5:$R$750,TRUE(),$Z$5:$Z$750,"&lt;&gt;1",$S$5:$S$750,S228,$B$5:$B$750,"&lt;"&amp;B228),"")</f>
        <v/>
      </c>
      <c r="AB228" s="11" t="b">
        <f aca="false">OR(D228=WF_START_PERIOD,D228=WF_END_PERIOD)</f>
        <v>0</v>
      </c>
      <c r="AC228" s="0" t="str">
        <f aca="false">B228&amp;"|"&amp;D228</f>
        <v>17741|20230331</v>
      </c>
    </row>
    <row r="229" customFormat="false" ht="15" hidden="false" customHeight="false" outlineLevel="0" collapsed="false">
      <c r="A229" s="0" t="n">
        <f aca="false">RawFinancials!A229</f>
        <v>226</v>
      </c>
      <c r="B229" s="0" t="n">
        <f aca="false">RawFinancials!C229</f>
        <v>17743</v>
      </c>
      <c r="C229" s="0" t="str">
        <f aca="false">RawFinancials!P229</f>
        <v>SACO &amp; BIDDEFORD SAVINGS INSTITUTION</v>
      </c>
      <c r="D229" s="0" t="n">
        <f aca="false">RawFinancials!W229</f>
        <v>20230331</v>
      </c>
      <c r="E229" s="0" t="str">
        <f aca="false">RawFinancials!Z229</f>
        <v>ME</v>
      </c>
      <c r="F229" s="0" t="n">
        <f aca="false">RawFinancials!B229</f>
        <v>1303794</v>
      </c>
      <c r="G229" s="0" t="n">
        <f aca="false">RawFinancials!U229</f>
        <v>0</v>
      </c>
      <c r="H229" s="0" t="n">
        <f aca="false">RawFinancials!O229</f>
        <v>2506</v>
      </c>
      <c r="I229" s="0" t="n">
        <f aca="false">IF(AND(ISNUMBER(G229),ISNUMBER(H229)),G229+H229,"")</f>
        <v>2506</v>
      </c>
      <c r="J229" s="0" t="n">
        <f aca="false">RawFinancials!D229</f>
        <v>997602</v>
      </c>
      <c r="K229" s="0" t="n">
        <f aca="false">RawFinancials!F229</f>
        <v>122164</v>
      </c>
      <c r="L229" s="0" t="n">
        <f aca="false">RawFinancials!L229</f>
        <v>1009203</v>
      </c>
      <c r="M229" s="0" t="n">
        <f aca="false">RawFinancials!N229</f>
        <v>979266</v>
      </c>
      <c r="N229" s="13" t="n">
        <f aca="false">RawFinancials!X229</f>
        <v>0.0852661622010452</v>
      </c>
      <c r="O229" s="13" t="n">
        <f aca="false">RawFinancials!V229</f>
        <v>0</v>
      </c>
      <c r="P229" s="13" t="n">
        <f aca="false">IF(AND(ISNUMBER(L229),L229&lt;&gt;0,ISNUMBER(M229)),100*M229/L229,"")</f>
        <v>97.0335997812135</v>
      </c>
      <c r="Q229" s="13" t="n">
        <f aca="false">IF(AND(ISNUMBER(F229),F229&lt;&gt;0,ISNUMBER(K229)),100*K229/F229,"")</f>
        <v>9.36988511988857</v>
      </c>
      <c r="R229" s="11" t="b">
        <f aca="false">AND(ISNUMBER(F229),F229&gt;0,ISNUMBER(G229),G229&gt;=0,ISNUMBER(H229),H229&gt;=0)</f>
        <v>1</v>
      </c>
      <c r="S229" s="13" t="n">
        <f aca="false">IF(R229,100*I229/F229,"")</f>
        <v>0.192208278301634</v>
      </c>
      <c r="T229" s="11" t="b">
        <f aca="false">NOT(AND(OR(AND(ISBLANK(RawFinancials!B229),ISBLANK(_RawBaseline!B226)),AND(ISNUMBER(RawFinancials!B229),ISNUMBER(_RawBaseline!B226),RawFinancials!B229=_RawBaseline!B226)),OR(AND(ISBLANK(RawFinancials!U229),ISBLANK(_RawBaseline!U226)),AND(ISNUMBER(RawFinancials!U229),ISNUMBER(_RawBaseline!U226),RawFinancials!U229=_RawBaseline!U226)),OR(AND(ISBLANK(RawFinancials!O229),ISBLANK(_RawBaseline!O226)),AND(ISNUMBER(RawFinancials!O229),ISNUMBER(_RawBaseline!O226),RawFinancials!O229=_RawBaseline!O226))))</f>
        <v>0</v>
      </c>
      <c r="U229" s="13" t="n">
        <f aca="false">IF(AND(D229=WF_START_PERIOD,R229,COUNTIFS($B$5:$B$750,B229,$D$5:$D$750,WF_END_PERIOD,$R$5:$R$750,TRUE())&gt;0),SUMIFS($S$5:$S$750,$B$5:$B$750,B229,$D$5:$D$750,WF_END_PERIOD,$R$5:$R$750,TRUE()),0)</f>
        <v>0</v>
      </c>
      <c r="V229" s="0" t="str">
        <f aca="false">IF(AND(D229=WF_START_PERIOD,COUNTIFS($B$5:$B$750,B229,$D$5:$D$750,WF_END_PERIOD)&gt;0),INDEX($E$5:$E$750,MATCH(B229&amp;"|"&amp;WF_END_PERIOD,$AC$5:$AC$750,0)),"")</f>
        <v/>
      </c>
      <c r="W229" s="11" t="b">
        <f aca="false">COUNTIFS($B$5:$B$750,B229,$D$5:$D$750,WF_START_PERIOD,$R$5:$R$750,TRUE())&gt;0</f>
        <v>1</v>
      </c>
      <c r="X229" s="11" t="b">
        <f aca="false">COUNTIFS($B$5:$B$750,B229,$D$5:$D$750,WF_END_PERIOD,$R$5:$R$750,TRUE())&gt;0</f>
        <v>1</v>
      </c>
      <c r="Y229" s="0" t="str">
        <f aca="false">IF(AND(D229=WF_END_PERIOD,COUNTIFS($B$5:$B$750,B229,$D$5:$D$750,WF_START_PERIOD)&gt;0),INDEX($E$5:$E$750,MATCH(B229&amp;"|"&amp;WF_START_PERIOD,$AC$5:$AC$750,0)),"")</f>
        <v/>
      </c>
      <c r="Z229" s="0" t="str">
        <f aca="false">IF(AND(D229=WF_END_PERIOD,R229),1+COUNTIFS($D$5:$D$750,WF_END_PERIOD,$E$5:$E$750,E229,$R$5:$R$750,TRUE(),$S$5:$S$750,"&gt;"&amp;S229)+COUNTIFS($D$5:$D$750,WF_END_PERIOD,$E$5:$E$750,E229,$R$5:$R$750,TRUE(),$S$5:$S$750,S229,$B$5:$B$750,"&lt;"&amp;B229),"")</f>
        <v/>
      </c>
      <c r="AA229" s="0" t="str">
        <f aca="false">IF(AND(D229=WF_END_PERIOD,R229,Z229&lt;&gt;1),1+COUNTIFS($D$5:$D$750,WF_END_PERIOD,$R$5:$R$750,TRUE(),$Z$5:$Z$750,"&lt;&gt;1",$S$5:$S$750,"&gt;"&amp;S229)+COUNTIFS($D$5:$D$750,WF_END_PERIOD,$R$5:$R$750,TRUE(),$Z$5:$Z$750,"&lt;&gt;1",$S$5:$S$750,S229,$B$5:$B$750,"&lt;"&amp;B229),"")</f>
        <v/>
      </c>
      <c r="AB229" s="11" t="b">
        <f aca="false">OR(D229=WF_START_PERIOD,D229=WF_END_PERIOD)</f>
        <v>0</v>
      </c>
      <c r="AC229" s="0" t="str">
        <f aca="false">B229&amp;"|"&amp;D229</f>
        <v>17743|20230331</v>
      </c>
    </row>
    <row r="230" customFormat="false" ht="15" hidden="false" customHeight="false" outlineLevel="0" collapsed="false">
      <c r="A230" s="0" t="n">
        <f aca="false">RawFinancials!A230</f>
        <v>227</v>
      </c>
      <c r="B230" s="0" t="n">
        <f aca="false">RawFinancials!C230</f>
        <v>17748</v>
      </c>
      <c r="C230" s="0" t="str">
        <f aca="false">RawFinancials!P230</f>
        <v>GORHAM SAVINGS BANK</v>
      </c>
      <c r="D230" s="0" t="n">
        <f aca="false">RawFinancials!W230</f>
        <v>20230331</v>
      </c>
      <c r="E230" s="0" t="str">
        <f aca="false">RawFinancials!Z230</f>
        <v>ME</v>
      </c>
      <c r="F230" s="0" t="n">
        <f aca="false">RawFinancials!B230</f>
        <v>1649776</v>
      </c>
      <c r="G230" s="0" t="n">
        <f aca="false">RawFinancials!U230</f>
        <v>0</v>
      </c>
      <c r="H230" s="0" t="n">
        <f aca="false">RawFinancials!O230</f>
        <v>6401</v>
      </c>
      <c r="I230" s="0" t="n">
        <f aca="false">IF(AND(ISNUMBER(G230),ISNUMBER(H230)),G230+H230,"")</f>
        <v>6401</v>
      </c>
      <c r="J230" s="0" t="n">
        <f aca="false">RawFinancials!D230</f>
        <v>1413359</v>
      </c>
      <c r="K230" s="0" t="n">
        <f aca="false">RawFinancials!F230</f>
        <v>110285</v>
      </c>
      <c r="L230" s="0" t="n">
        <f aca="false">RawFinancials!L230</f>
        <v>1247367</v>
      </c>
      <c r="M230" s="0" t="n">
        <f aca="false">RawFinancials!N230</f>
        <v>1051242</v>
      </c>
      <c r="N230" s="13" t="n">
        <f aca="false">RawFinancials!X230</f>
        <v>0.111242080447915</v>
      </c>
      <c r="O230" s="13" t="n">
        <f aca="false">RawFinancials!V230</f>
        <v>0</v>
      </c>
      <c r="P230" s="13" t="n">
        <f aca="false">IF(AND(ISNUMBER(L230),L230&lt;&gt;0,ISNUMBER(M230)),100*M230/L230,"")</f>
        <v>84.276880821763</v>
      </c>
      <c r="Q230" s="13" t="n">
        <f aca="false">IF(AND(ISNUMBER(F230),F230&lt;&gt;0,ISNUMBER(K230)),100*K230/F230,"")</f>
        <v>6.68484691255055</v>
      </c>
      <c r="R230" s="11" t="b">
        <f aca="false">AND(ISNUMBER(F230),F230&gt;0,ISNUMBER(G230),G230&gt;=0,ISNUMBER(H230),H230&gt;=0)</f>
        <v>1</v>
      </c>
      <c r="S230" s="13" t="n">
        <f aca="false">IF(R230,100*I230/F230,"")</f>
        <v>0.387992066801796</v>
      </c>
      <c r="T230" s="11" t="b">
        <f aca="false">NOT(AND(OR(AND(ISBLANK(RawFinancials!B230),ISBLANK(_RawBaseline!B227)),AND(ISNUMBER(RawFinancials!B230),ISNUMBER(_RawBaseline!B227),RawFinancials!B230=_RawBaseline!B227)),OR(AND(ISBLANK(RawFinancials!U230),ISBLANK(_RawBaseline!U227)),AND(ISNUMBER(RawFinancials!U230),ISNUMBER(_RawBaseline!U227),RawFinancials!U230=_RawBaseline!U227)),OR(AND(ISBLANK(RawFinancials!O230),ISBLANK(_RawBaseline!O227)),AND(ISNUMBER(RawFinancials!O230),ISNUMBER(_RawBaseline!O227),RawFinancials!O230=_RawBaseline!O227))))</f>
        <v>0</v>
      </c>
      <c r="U230" s="13" t="n">
        <f aca="false">IF(AND(D230=WF_START_PERIOD,R230,COUNTIFS($B$5:$B$750,B230,$D$5:$D$750,WF_END_PERIOD,$R$5:$R$750,TRUE())&gt;0),SUMIFS($S$5:$S$750,$B$5:$B$750,B230,$D$5:$D$750,WF_END_PERIOD,$R$5:$R$750,TRUE()),0)</f>
        <v>0</v>
      </c>
      <c r="V230" s="0" t="str">
        <f aca="false">IF(AND(D230=WF_START_PERIOD,COUNTIFS($B$5:$B$750,B230,$D$5:$D$750,WF_END_PERIOD)&gt;0),INDEX($E$5:$E$750,MATCH(B230&amp;"|"&amp;WF_END_PERIOD,$AC$5:$AC$750,0)),"")</f>
        <v/>
      </c>
      <c r="W230" s="11" t="b">
        <f aca="false">COUNTIFS($B$5:$B$750,B230,$D$5:$D$750,WF_START_PERIOD,$R$5:$R$750,TRUE())&gt;0</f>
        <v>1</v>
      </c>
      <c r="X230" s="11" t="b">
        <f aca="false">COUNTIFS($B$5:$B$750,B230,$D$5:$D$750,WF_END_PERIOD,$R$5:$R$750,TRUE())&gt;0</f>
        <v>0</v>
      </c>
      <c r="Y230" s="0" t="str">
        <f aca="false">IF(AND(D230=WF_END_PERIOD,COUNTIFS($B$5:$B$750,B230,$D$5:$D$750,WF_START_PERIOD)&gt;0),INDEX($E$5:$E$750,MATCH(B230&amp;"|"&amp;WF_START_PERIOD,$AC$5:$AC$750,0)),"")</f>
        <v/>
      </c>
      <c r="Z230" s="0" t="str">
        <f aca="false">IF(AND(D230=WF_END_PERIOD,R230),1+COUNTIFS($D$5:$D$750,WF_END_PERIOD,$E$5:$E$750,E230,$R$5:$R$750,TRUE(),$S$5:$S$750,"&gt;"&amp;S230)+COUNTIFS($D$5:$D$750,WF_END_PERIOD,$E$5:$E$750,E230,$R$5:$R$750,TRUE(),$S$5:$S$750,S230,$B$5:$B$750,"&lt;"&amp;B230),"")</f>
        <v/>
      </c>
      <c r="AA230" s="0" t="str">
        <f aca="false">IF(AND(D230=WF_END_PERIOD,R230,Z230&lt;&gt;1),1+COUNTIFS($D$5:$D$750,WF_END_PERIOD,$R$5:$R$750,TRUE(),$Z$5:$Z$750,"&lt;&gt;1",$S$5:$S$750,"&gt;"&amp;S230)+COUNTIFS($D$5:$D$750,WF_END_PERIOD,$R$5:$R$750,TRUE(),$Z$5:$Z$750,"&lt;&gt;1",$S$5:$S$750,S230,$B$5:$B$750,"&lt;"&amp;B230),"")</f>
        <v/>
      </c>
      <c r="AB230" s="11" t="b">
        <f aca="false">OR(D230=WF_START_PERIOD,D230=WF_END_PERIOD)</f>
        <v>0</v>
      </c>
      <c r="AC230" s="0" t="str">
        <f aca="false">B230&amp;"|"&amp;D230</f>
        <v>17748|20230331</v>
      </c>
    </row>
    <row r="231" customFormat="false" ht="15" hidden="false" customHeight="false" outlineLevel="0" collapsed="false">
      <c r="A231" s="0" t="n">
        <f aca="false">RawFinancials!A231</f>
        <v>228</v>
      </c>
      <c r="B231" s="0" t="n">
        <f aca="false">RawFinancials!C231</f>
        <v>17749</v>
      </c>
      <c r="C231" s="0" t="str">
        <f aca="false">RawFinancials!P231</f>
        <v>BATH SAVINGS INSTITUTION</v>
      </c>
      <c r="D231" s="0" t="n">
        <f aca="false">RawFinancials!W231</f>
        <v>20230331</v>
      </c>
      <c r="E231" s="0" t="str">
        <f aca="false">RawFinancials!Z231</f>
        <v>ME</v>
      </c>
      <c r="F231" s="0" t="n">
        <f aca="false">RawFinancials!B231</f>
        <v>1286254</v>
      </c>
      <c r="G231" s="0" t="n">
        <f aca="false">RawFinancials!U231</f>
        <v>0</v>
      </c>
      <c r="H231" s="0" t="n">
        <f aca="false">RawFinancials!O231</f>
        <v>210</v>
      </c>
      <c r="I231" s="0" t="n">
        <f aca="false">IF(AND(ISNUMBER(G231),ISNUMBER(H231)),G231+H231,"")</f>
        <v>210</v>
      </c>
      <c r="J231" s="0" t="n">
        <f aca="false">RawFinancials!D231</f>
        <v>1024638</v>
      </c>
      <c r="K231" s="0" t="n">
        <f aca="false">RawFinancials!F231</f>
        <v>162250</v>
      </c>
      <c r="L231" s="0" t="n">
        <f aca="false">RawFinancials!L231</f>
        <v>748128</v>
      </c>
      <c r="M231" s="0" t="n">
        <f aca="false">RawFinancials!N231</f>
        <v>677598</v>
      </c>
      <c r="N231" s="13" t="n">
        <f aca="false">RawFinancials!X231</f>
        <v>1.31710105122298</v>
      </c>
      <c r="O231" s="13" t="n">
        <f aca="false">RawFinancials!V231</f>
        <v>0</v>
      </c>
      <c r="P231" s="13" t="n">
        <f aca="false">IF(AND(ISNUMBER(L231),L231&lt;&gt;0,ISNUMBER(M231)),100*M231/L231,"")</f>
        <v>90.5724688823303</v>
      </c>
      <c r="Q231" s="13" t="n">
        <f aca="false">IF(AND(ISNUMBER(F231),F231&lt;&gt;0,ISNUMBER(K231)),100*K231/F231,"")</f>
        <v>12.6141493048807</v>
      </c>
      <c r="R231" s="11" t="b">
        <f aca="false">AND(ISNUMBER(F231),F231&gt;0,ISNUMBER(G231),G231&gt;=0,ISNUMBER(H231),H231&gt;=0)</f>
        <v>1</v>
      </c>
      <c r="S231" s="13" t="n">
        <f aca="false">IF(R231,100*I231/F231,"")</f>
        <v>0.0163264798399072</v>
      </c>
      <c r="T231" s="11" t="b">
        <f aca="false">NOT(AND(OR(AND(ISBLANK(RawFinancials!B231),ISBLANK(_RawBaseline!B228)),AND(ISNUMBER(RawFinancials!B231),ISNUMBER(_RawBaseline!B228),RawFinancials!B231=_RawBaseline!B228)),OR(AND(ISBLANK(RawFinancials!U231),ISBLANK(_RawBaseline!U228)),AND(ISNUMBER(RawFinancials!U231),ISNUMBER(_RawBaseline!U228),RawFinancials!U231=_RawBaseline!U228)),OR(AND(ISBLANK(RawFinancials!O231),ISBLANK(_RawBaseline!O228)),AND(ISNUMBER(RawFinancials!O231),ISNUMBER(_RawBaseline!O228),RawFinancials!O231=_RawBaseline!O228))))</f>
        <v>0</v>
      </c>
      <c r="U231" s="13" t="n">
        <f aca="false">IF(AND(D231=WF_START_PERIOD,R231,COUNTIFS($B$5:$B$750,B231,$D$5:$D$750,WF_END_PERIOD,$R$5:$R$750,TRUE())&gt;0),SUMIFS($S$5:$S$750,$B$5:$B$750,B231,$D$5:$D$750,WF_END_PERIOD,$R$5:$R$750,TRUE()),0)</f>
        <v>0</v>
      </c>
      <c r="V231" s="0" t="str">
        <f aca="false">IF(AND(D231=WF_START_PERIOD,COUNTIFS($B$5:$B$750,B231,$D$5:$D$750,WF_END_PERIOD)&gt;0),INDEX($E$5:$E$750,MATCH(B231&amp;"|"&amp;WF_END_PERIOD,$AC$5:$AC$750,0)),"")</f>
        <v/>
      </c>
      <c r="W231" s="11" t="b">
        <f aca="false">COUNTIFS($B$5:$B$750,B231,$D$5:$D$750,WF_START_PERIOD,$R$5:$R$750,TRUE())&gt;0</f>
        <v>1</v>
      </c>
      <c r="X231" s="11" t="b">
        <f aca="false">COUNTIFS($B$5:$B$750,B231,$D$5:$D$750,WF_END_PERIOD,$R$5:$R$750,TRUE())&gt;0</f>
        <v>1</v>
      </c>
      <c r="Y231" s="0" t="str">
        <f aca="false">IF(AND(D231=WF_END_PERIOD,COUNTIFS($B$5:$B$750,B231,$D$5:$D$750,WF_START_PERIOD)&gt;0),INDEX($E$5:$E$750,MATCH(B231&amp;"|"&amp;WF_START_PERIOD,$AC$5:$AC$750,0)),"")</f>
        <v/>
      </c>
      <c r="Z231" s="0" t="str">
        <f aca="false">IF(AND(D231=WF_END_PERIOD,R231),1+COUNTIFS($D$5:$D$750,WF_END_PERIOD,$E$5:$E$750,E231,$R$5:$R$750,TRUE(),$S$5:$S$750,"&gt;"&amp;S231)+COUNTIFS($D$5:$D$750,WF_END_PERIOD,$E$5:$E$750,E231,$R$5:$R$750,TRUE(),$S$5:$S$750,S231,$B$5:$B$750,"&lt;"&amp;B231),"")</f>
        <v/>
      </c>
      <c r="AA231" s="0" t="str">
        <f aca="false">IF(AND(D231=WF_END_PERIOD,R231,Z231&lt;&gt;1),1+COUNTIFS($D$5:$D$750,WF_END_PERIOD,$R$5:$R$750,TRUE(),$Z$5:$Z$750,"&lt;&gt;1",$S$5:$S$750,"&gt;"&amp;S231)+COUNTIFS($D$5:$D$750,WF_END_PERIOD,$R$5:$R$750,TRUE(),$Z$5:$Z$750,"&lt;&gt;1",$S$5:$S$750,S231,$B$5:$B$750,"&lt;"&amp;B231),"")</f>
        <v/>
      </c>
      <c r="AB231" s="11" t="b">
        <f aca="false">OR(D231=WF_START_PERIOD,D231=WF_END_PERIOD)</f>
        <v>0</v>
      </c>
      <c r="AC231" s="0" t="str">
        <f aca="false">B231&amp;"|"&amp;D231</f>
        <v>17749|20230331</v>
      </c>
    </row>
    <row r="232" customFormat="false" ht="15" hidden="false" customHeight="false" outlineLevel="0" collapsed="false">
      <c r="A232" s="0" t="n">
        <f aca="false">RawFinancials!A232</f>
        <v>229</v>
      </c>
      <c r="B232" s="0" t="n">
        <f aca="false">RawFinancials!C232</f>
        <v>17751</v>
      </c>
      <c r="C232" s="0" t="str">
        <f aca="false">RawFinancials!P232</f>
        <v>ANDROSCOGGIN SAVINGS BANK</v>
      </c>
      <c r="D232" s="0" t="n">
        <f aca="false">RawFinancials!W232</f>
        <v>20230331</v>
      </c>
      <c r="E232" s="0" t="str">
        <f aca="false">RawFinancials!Z232</f>
        <v>ME</v>
      </c>
      <c r="F232" s="0" t="n">
        <f aca="false">RawFinancials!B232</f>
        <v>1498353</v>
      </c>
      <c r="G232" s="0" t="n">
        <f aca="false">RawFinancials!U232</f>
        <v>0</v>
      </c>
      <c r="H232" s="0" t="n">
        <f aca="false">RawFinancials!O232</f>
        <v>2844</v>
      </c>
      <c r="I232" s="0" t="n">
        <f aca="false">IF(AND(ISNUMBER(G232),ISNUMBER(H232)),G232+H232,"")</f>
        <v>2844</v>
      </c>
      <c r="J232" s="0" t="n">
        <f aca="false">RawFinancials!D232</f>
        <v>1191607</v>
      </c>
      <c r="K232" s="0" t="n">
        <f aca="false">RawFinancials!F232</f>
        <v>129181</v>
      </c>
      <c r="L232" s="0" t="n">
        <f aca="false">RawFinancials!L232</f>
        <v>1213041</v>
      </c>
      <c r="M232" s="0" t="n">
        <f aca="false">RawFinancials!N232</f>
        <v>1050455</v>
      </c>
      <c r="N232" s="13" t="n">
        <f aca="false">RawFinancials!X232</f>
        <v>0.577400064916807</v>
      </c>
      <c r="O232" s="13" t="n">
        <f aca="false">RawFinancials!V232</f>
        <v>13.1459416871701</v>
      </c>
      <c r="P232" s="13" t="n">
        <f aca="false">IF(AND(ISNUMBER(L232),L232&lt;&gt;0,ISNUMBER(M232)),100*M232/L232,"")</f>
        <v>86.5968256637657</v>
      </c>
      <c r="Q232" s="13" t="n">
        <f aca="false">IF(AND(ISNUMBER(F232),F232&lt;&gt;0,ISNUMBER(K232)),100*K232/F232,"")</f>
        <v>8.62153311002147</v>
      </c>
      <c r="R232" s="11" t="b">
        <f aca="false">AND(ISNUMBER(F232),F232&gt;0,ISNUMBER(G232),G232&gt;=0,ISNUMBER(H232),H232&gt;=0)</f>
        <v>1</v>
      </c>
      <c r="S232" s="13" t="n">
        <f aca="false">IF(R232,100*I232/F232,"")</f>
        <v>0.189808409633778</v>
      </c>
      <c r="T232" s="11" t="b">
        <f aca="false">NOT(AND(OR(AND(ISBLANK(RawFinancials!B232),ISBLANK(_RawBaseline!B229)),AND(ISNUMBER(RawFinancials!B232),ISNUMBER(_RawBaseline!B229),RawFinancials!B232=_RawBaseline!B229)),OR(AND(ISBLANK(RawFinancials!U232),ISBLANK(_RawBaseline!U229)),AND(ISNUMBER(RawFinancials!U232),ISNUMBER(_RawBaseline!U229),RawFinancials!U232=_RawBaseline!U229)),OR(AND(ISBLANK(RawFinancials!O232),ISBLANK(_RawBaseline!O229)),AND(ISNUMBER(RawFinancials!O232),ISNUMBER(_RawBaseline!O229),RawFinancials!O232=_RawBaseline!O229))))</f>
        <v>0</v>
      </c>
      <c r="U232" s="13" t="n">
        <f aca="false">IF(AND(D232=WF_START_PERIOD,R232,COUNTIFS($B$5:$B$750,B232,$D$5:$D$750,WF_END_PERIOD,$R$5:$R$750,TRUE())&gt;0),SUMIFS($S$5:$S$750,$B$5:$B$750,B232,$D$5:$D$750,WF_END_PERIOD,$R$5:$R$750,TRUE()),0)</f>
        <v>0</v>
      </c>
      <c r="V232" s="0" t="str">
        <f aca="false">IF(AND(D232=WF_START_PERIOD,COUNTIFS($B$5:$B$750,B232,$D$5:$D$750,WF_END_PERIOD)&gt;0),INDEX($E$5:$E$750,MATCH(B232&amp;"|"&amp;WF_END_PERIOD,$AC$5:$AC$750,0)),"")</f>
        <v/>
      </c>
      <c r="W232" s="11" t="b">
        <f aca="false">COUNTIFS($B$5:$B$750,B232,$D$5:$D$750,WF_START_PERIOD,$R$5:$R$750,TRUE())&gt;0</f>
        <v>1</v>
      </c>
      <c r="X232" s="11" t="b">
        <f aca="false">COUNTIFS($B$5:$B$750,B232,$D$5:$D$750,WF_END_PERIOD,$R$5:$R$750,TRUE())&gt;0</f>
        <v>1</v>
      </c>
      <c r="Y232" s="0" t="str">
        <f aca="false">IF(AND(D232=WF_END_PERIOD,COUNTIFS($B$5:$B$750,B232,$D$5:$D$750,WF_START_PERIOD)&gt;0),INDEX($E$5:$E$750,MATCH(B232&amp;"|"&amp;WF_START_PERIOD,$AC$5:$AC$750,0)),"")</f>
        <v/>
      </c>
      <c r="Z232" s="0" t="str">
        <f aca="false">IF(AND(D232=WF_END_PERIOD,R232),1+COUNTIFS($D$5:$D$750,WF_END_PERIOD,$E$5:$E$750,E232,$R$5:$R$750,TRUE(),$S$5:$S$750,"&gt;"&amp;S232)+COUNTIFS($D$5:$D$750,WF_END_PERIOD,$E$5:$E$750,E232,$R$5:$R$750,TRUE(),$S$5:$S$750,S232,$B$5:$B$750,"&lt;"&amp;B232),"")</f>
        <v/>
      </c>
      <c r="AA232" s="0" t="str">
        <f aca="false">IF(AND(D232=WF_END_PERIOD,R232,Z232&lt;&gt;1),1+COUNTIFS($D$5:$D$750,WF_END_PERIOD,$R$5:$R$750,TRUE(),$Z$5:$Z$750,"&lt;&gt;1",$S$5:$S$750,"&gt;"&amp;S232)+COUNTIFS($D$5:$D$750,WF_END_PERIOD,$R$5:$R$750,TRUE(),$Z$5:$Z$750,"&lt;&gt;1",$S$5:$S$750,S232,$B$5:$B$750,"&lt;"&amp;B232),"")</f>
        <v/>
      </c>
      <c r="AB232" s="11" t="b">
        <f aca="false">OR(D232=WF_START_PERIOD,D232=WF_END_PERIOD)</f>
        <v>0</v>
      </c>
      <c r="AC232" s="0" t="str">
        <f aca="false">B232&amp;"|"&amp;D232</f>
        <v>17751|20230331</v>
      </c>
    </row>
    <row r="233" customFormat="false" ht="15" hidden="false" customHeight="false" outlineLevel="0" collapsed="false">
      <c r="A233" s="0" t="n">
        <f aca="false">RawFinancials!A233</f>
        <v>230</v>
      </c>
      <c r="B233" s="0" t="n">
        <f aca="false">RawFinancials!C233</f>
        <v>17897</v>
      </c>
      <c r="C233" s="0" t="str">
        <f aca="false">RawFinancials!P233</f>
        <v>KENNEBEC SAVINGS BANK</v>
      </c>
      <c r="D233" s="0" t="n">
        <f aca="false">RawFinancials!W233</f>
        <v>20230331</v>
      </c>
      <c r="E233" s="0" t="str">
        <f aca="false">RawFinancials!Z233</f>
        <v>ME</v>
      </c>
      <c r="F233" s="0" t="n">
        <f aca="false">RawFinancials!B233</f>
        <v>1665050</v>
      </c>
      <c r="G233" s="0" t="n">
        <f aca="false">RawFinancials!U233</f>
        <v>16</v>
      </c>
      <c r="H233" s="0" t="n">
        <f aca="false">RawFinancials!O233</f>
        <v>3806</v>
      </c>
      <c r="I233" s="0" t="n">
        <f aca="false">IF(AND(ISNUMBER(G233),ISNUMBER(H233)),G233+H233,"")</f>
        <v>3822</v>
      </c>
      <c r="J233" s="0" t="n">
        <f aca="false">RawFinancials!D233</f>
        <v>1329955</v>
      </c>
      <c r="K233" s="0" t="n">
        <f aca="false">RawFinancials!F233</f>
        <v>200040</v>
      </c>
      <c r="L233" s="0" t="n">
        <f aca="false">RawFinancials!L233</f>
        <v>1405330</v>
      </c>
      <c r="M233" s="0" t="n">
        <f aca="false">RawFinancials!N233</f>
        <v>1322849</v>
      </c>
      <c r="N233" s="13" t="n">
        <f aca="false">RawFinancials!X233</f>
        <v>0.65685021685254</v>
      </c>
      <c r="O233" s="13" t="n">
        <f aca="false">RawFinancials!V233</f>
        <v>0</v>
      </c>
      <c r="P233" s="13" t="n">
        <f aca="false">IF(AND(ISNUMBER(L233),L233&lt;&gt;0,ISNUMBER(M233)),100*M233/L233,"")</f>
        <v>94.1308447126298</v>
      </c>
      <c r="Q233" s="13" t="n">
        <f aca="false">IF(AND(ISNUMBER(F233),F233&lt;&gt;0,ISNUMBER(K233)),100*K233/F233,"")</f>
        <v>12.0140536320231</v>
      </c>
      <c r="R233" s="11" t="b">
        <f aca="false">AND(ISNUMBER(F233),F233&gt;0,ISNUMBER(G233),G233&gt;=0,ISNUMBER(H233),H233&gt;=0)</f>
        <v>1</v>
      </c>
      <c r="S233" s="13" t="n">
        <f aca="false">IF(R233,100*I233/F233,"")</f>
        <v>0.229542656376685</v>
      </c>
      <c r="T233" s="11" t="b">
        <f aca="false">NOT(AND(OR(AND(ISBLANK(RawFinancials!B233),ISBLANK(_RawBaseline!B230)),AND(ISNUMBER(RawFinancials!B233),ISNUMBER(_RawBaseline!B230),RawFinancials!B233=_RawBaseline!B230)),OR(AND(ISBLANK(RawFinancials!U233),ISBLANK(_RawBaseline!U230)),AND(ISNUMBER(RawFinancials!U233),ISNUMBER(_RawBaseline!U230),RawFinancials!U233=_RawBaseline!U230)),OR(AND(ISBLANK(RawFinancials!O233),ISBLANK(_RawBaseline!O230)),AND(ISNUMBER(RawFinancials!O233),ISNUMBER(_RawBaseline!O230),RawFinancials!O233=_RawBaseline!O230))))</f>
        <v>0</v>
      </c>
      <c r="U233" s="13" t="n">
        <f aca="false">IF(AND(D233=WF_START_PERIOD,R233,COUNTIFS($B$5:$B$750,B233,$D$5:$D$750,WF_END_PERIOD,$R$5:$R$750,TRUE())&gt;0),SUMIFS($S$5:$S$750,$B$5:$B$750,B233,$D$5:$D$750,WF_END_PERIOD,$R$5:$R$750,TRUE()),0)</f>
        <v>0</v>
      </c>
      <c r="V233" s="0" t="str">
        <f aca="false">IF(AND(D233=WF_START_PERIOD,COUNTIFS($B$5:$B$750,B233,$D$5:$D$750,WF_END_PERIOD)&gt;0),INDEX($E$5:$E$750,MATCH(B233&amp;"|"&amp;WF_END_PERIOD,$AC$5:$AC$750,0)),"")</f>
        <v/>
      </c>
      <c r="W233" s="11" t="b">
        <f aca="false">COUNTIFS($B$5:$B$750,B233,$D$5:$D$750,WF_START_PERIOD,$R$5:$R$750,TRUE())&gt;0</f>
        <v>1</v>
      </c>
      <c r="X233" s="11" t="b">
        <f aca="false">COUNTIFS($B$5:$B$750,B233,$D$5:$D$750,WF_END_PERIOD,$R$5:$R$750,TRUE())&gt;0</f>
        <v>1</v>
      </c>
      <c r="Y233" s="0" t="str">
        <f aca="false">IF(AND(D233=WF_END_PERIOD,COUNTIFS($B$5:$B$750,B233,$D$5:$D$750,WF_START_PERIOD)&gt;0),INDEX($E$5:$E$750,MATCH(B233&amp;"|"&amp;WF_START_PERIOD,$AC$5:$AC$750,0)),"")</f>
        <v/>
      </c>
      <c r="Z233" s="0" t="str">
        <f aca="false">IF(AND(D233=WF_END_PERIOD,R233),1+COUNTIFS($D$5:$D$750,WF_END_PERIOD,$E$5:$E$750,E233,$R$5:$R$750,TRUE(),$S$5:$S$750,"&gt;"&amp;S233)+COUNTIFS($D$5:$D$750,WF_END_PERIOD,$E$5:$E$750,E233,$R$5:$R$750,TRUE(),$S$5:$S$750,S233,$B$5:$B$750,"&lt;"&amp;B233),"")</f>
        <v/>
      </c>
      <c r="AA233" s="0" t="str">
        <f aca="false">IF(AND(D233=WF_END_PERIOD,R233,Z233&lt;&gt;1),1+COUNTIFS($D$5:$D$750,WF_END_PERIOD,$R$5:$R$750,TRUE(),$Z$5:$Z$750,"&lt;&gt;1",$S$5:$S$750,"&gt;"&amp;S233)+COUNTIFS($D$5:$D$750,WF_END_PERIOD,$R$5:$R$750,TRUE(),$Z$5:$Z$750,"&lt;&gt;1",$S$5:$S$750,S233,$B$5:$B$750,"&lt;"&amp;B233),"")</f>
        <v/>
      </c>
      <c r="AB233" s="11" t="b">
        <f aca="false">OR(D233=WF_START_PERIOD,D233=WF_END_PERIOD)</f>
        <v>0</v>
      </c>
      <c r="AC233" s="0" t="str">
        <f aca="false">B233&amp;"|"&amp;D233</f>
        <v>17897|20230331</v>
      </c>
    </row>
    <row r="234" customFormat="false" ht="15" hidden="false" customHeight="false" outlineLevel="0" collapsed="false">
      <c r="A234" s="0" t="n">
        <f aca="false">RawFinancials!A234</f>
        <v>231</v>
      </c>
      <c r="B234" s="0" t="n">
        <f aca="false">RawFinancials!C234</f>
        <v>17951</v>
      </c>
      <c r="C234" s="0" t="str">
        <f aca="false">RawFinancials!P234</f>
        <v>FRANKLIN SAVINGS BANK</v>
      </c>
      <c r="D234" s="0" t="n">
        <f aca="false">RawFinancials!W234</f>
        <v>20230331</v>
      </c>
      <c r="E234" s="0" t="str">
        <f aca="false">RawFinancials!Z234</f>
        <v>NH</v>
      </c>
      <c r="F234" s="0" t="n">
        <f aca="false">RawFinancials!B234</f>
        <v>753464</v>
      </c>
      <c r="G234" s="0" t="n">
        <f aca="false">RawFinancials!U234</f>
        <v>0</v>
      </c>
      <c r="H234" s="0" t="n">
        <f aca="false">RawFinancials!O234</f>
        <v>68</v>
      </c>
      <c r="I234" s="0" t="n">
        <f aca="false">IF(AND(ISNUMBER(G234),ISNUMBER(H234)),G234+H234,"")</f>
        <v>68</v>
      </c>
      <c r="J234" s="0" t="n">
        <f aca="false">RawFinancials!D234</f>
        <v>678863</v>
      </c>
      <c r="K234" s="0" t="n">
        <f aca="false">RawFinancials!F234</f>
        <v>57390</v>
      </c>
      <c r="L234" s="0" t="n">
        <f aca="false">RawFinancials!L234</f>
        <v>536149</v>
      </c>
      <c r="M234" s="0" t="n">
        <f aca="false">RawFinancials!N234</f>
        <v>498891</v>
      </c>
      <c r="N234" s="13" t="n">
        <f aca="false">RawFinancials!X234</f>
        <v>0.569635122043929</v>
      </c>
      <c r="O234" s="13" t="n">
        <f aca="false">RawFinancials!V234</f>
        <v>14.6626029628837</v>
      </c>
      <c r="P234" s="13" t="n">
        <f aca="false">IF(AND(ISNUMBER(L234),L234&lt;&gt;0,ISNUMBER(M234)),100*M234/L234,"")</f>
        <v>93.0508123674576</v>
      </c>
      <c r="Q234" s="13" t="n">
        <f aca="false">IF(AND(ISNUMBER(F234),F234&lt;&gt;0,ISNUMBER(K234)),100*K234/F234,"")</f>
        <v>7.61682044530329</v>
      </c>
      <c r="R234" s="11" t="b">
        <f aca="false">AND(ISNUMBER(F234),F234&gt;0,ISNUMBER(G234),G234&gt;=0,ISNUMBER(H234),H234&gt;=0)</f>
        <v>1</v>
      </c>
      <c r="S234" s="13" t="n">
        <f aca="false">IF(R234,100*I234/F234,"")</f>
        <v>0.00902498327723687</v>
      </c>
      <c r="T234" s="11" t="b">
        <f aca="false">NOT(AND(OR(AND(ISBLANK(RawFinancials!B234),ISBLANK(_RawBaseline!B231)),AND(ISNUMBER(RawFinancials!B234),ISNUMBER(_RawBaseline!B231),RawFinancials!B234=_RawBaseline!B231)),OR(AND(ISBLANK(RawFinancials!U234),ISBLANK(_RawBaseline!U231)),AND(ISNUMBER(RawFinancials!U234),ISNUMBER(_RawBaseline!U231),RawFinancials!U234=_RawBaseline!U231)),OR(AND(ISBLANK(RawFinancials!O234),ISBLANK(_RawBaseline!O231)),AND(ISNUMBER(RawFinancials!O234),ISNUMBER(_RawBaseline!O231),RawFinancials!O234=_RawBaseline!O231))))</f>
        <v>0</v>
      </c>
      <c r="U234" s="13" t="n">
        <f aca="false">IF(AND(D234=WF_START_PERIOD,R234,COUNTIFS($B$5:$B$750,B234,$D$5:$D$750,WF_END_PERIOD,$R$5:$R$750,TRUE())&gt;0),SUMIFS($S$5:$S$750,$B$5:$B$750,B234,$D$5:$D$750,WF_END_PERIOD,$R$5:$R$750,TRUE()),0)</f>
        <v>0</v>
      </c>
      <c r="V234" s="0" t="str">
        <f aca="false">IF(AND(D234=WF_START_PERIOD,COUNTIFS($B$5:$B$750,B234,$D$5:$D$750,WF_END_PERIOD)&gt;0),INDEX($E$5:$E$750,MATCH(B234&amp;"|"&amp;WF_END_PERIOD,$AC$5:$AC$750,0)),"")</f>
        <v/>
      </c>
      <c r="W234" s="11" t="b">
        <f aca="false">COUNTIFS($B$5:$B$750,B234,$D$5:$D$750,WF_START_PERIOD,$R$5:$R$750,TRUE())&gt;0</f>
        <v>1</v>
      </c>
      <c r="X234" s="11" t="b">
        <f aca="false">COUNTIFS($B$5:$B$750,B234,$D$5:$D$750,WF_END_PERIOD,$R$5:$R$750,TRUE())&gt;0</f>
        <v>1</v>
      </c>
      <c r="Y234" s="0" t="str">
        <f aca="false">IF(AND(D234=WF_END_PERIOD,COUNTIFS($B$5:$B$750,B234,$D$5:$D$750,WF_START_PERIOD)&gt;0),INDEX($E$5:$E$750,MATCH(B234&amp;"|"&amp;WF_START_PERIOD,$AC$5:$AC$750,0)),"")</f>
        <v/>
      </c>
      <c r="Z234" s="0" t="str">
        <f aca="false">IF(AND(D234=WF_END_PERIOD,R234),1+COUNTIFS($D$5:$D$750,WF_END_PERIOD,$E$5:$E$750,E234,$R$5:$R$750,TRUE(),$S$5:$S$750,"&gt;"&amp;S234)+COUNTIFS($D$5:$D$750,WF_END_PERIOD,$E$5:$E$750,E234,$R$5:$R$750,TRUE(),$S$5:$S$750,S234,$B$5:$B$750,"&lt;"&amp;B234),"")</f>
        <v/>
      </c>
      <c r="AA234" s="0" t="str">
        <f aca="false">IF(AND(D234=WF_END_PERIOD,R234,Z234&lt;&gt;1),1+COUNTIFS($D$5:$D$750,WF_END_PERIOD,$R$5:$R$750,TRUE(),$Z$5:$Z$750,"&lt;&gt;1",$S$5:$S$750,"&gt;"&amp;S234)+COUNTIFS($D$5:$D$750,WF_END_PERIOD,$R$5:$R$750,TRUE(),$Z$5:$Z$750,"&lt;&gt;1",$S$5:$S$750,S234,$B$5:$B$750,"&lt;"&amp;B234),"")</f>
        <v/>
      </c>
      <c r="AB234" s="11" t="b">
        <f aca="false">OR(D234=WF_START_PERIOD,D234=WF_END_PERIOD)</f>
        <v>0</v>
      </c>
      <c r="AC234" s="0" t="str">
        <f aca="false">B234&amp;"|"&amp;D234</f>
        <v>17951|20230331</v>
      </c>
    </row>
    <row r="235" customFormat="false" ht="15" hidden="false" customHeight="false" outlineLevel="0" collapsed="false">
      <c r="A235" s="0" t="n">
        <f aca="false">RawFinancials!A235</f>
        <v>232</v>
      </c>
      <c r="B235" s="0" t="n">
        <f aca="false">RawFinancials!C235</f>
        <v>17960</v>
      </c>
      <c r="C235" s="0" t="str">
        <f aca="false">RawFinancials!P235</f>
        <v>MERRIMACK COUNTY SAVINGS BANK</v>
      </c>
      <c r="D235" s="0" t="n">
        <f aca="false">RawFinancials!W235</f>
        <v>20230331</v>
      </c>
      <c r="E235" s="0" t="str">
        <f aca="false">RawFinancials!Z235</f>
        <v>NH</v>
      </c>
      <c r="F235" s="0" t="n">
        <f aca="false">RawFinancials!B235</f>
        <v>1332758</v>
      </c>
      <c r="G235" s="0" t="n">
        <f aca="false">RawFinancials!U235</f>
        <v>0</v>
      </c>
      <c r="H235" s="0" t="n">
        <f aca="false">RawFinancials!O235</f>
        <v>821</v>
      </c>
      <c r="I235" s="0" t="n">
        <f aca="false">IF(AND(ISNUMBER(G235),ISNUMBER(H235)),G235+H235,"")</f>
        <v>821</v>
      </c>
      <c r="J235" s="0" t="n">
        <f aca="false">RawFinancials!D235</f>
        <v>1015763</v>
      </c>
      <c r="K235" s="0" t="n">
        <f aca="false">RawFinancials!F235</f>
        <v>107964</v>
      </c>
      <c r="L235" s="0" t="n">
        <f aca="false">RawFinancials!L235</f>
        <v>1141207</v>
      </c>
      <c r="M235" s="0" t="n">
        <f aca="false">RawFinancials!N235</f>
        <v>821435</v>
      </c>
      <c r="N235" s="13" t="n">
        <f aca="false">RawFinancials!X235</f>
        <v>0.555969732548979</v>
      </c>
      <c r="O235" s="13" t="n">
        <f aca="false">RawFinancials!V235</f>
        <v>12.874141309121</v>
      </c>
      <c r="P235" s="13" t="n">
        <f aca="false">IF(AND(ISNUMBER(L235),L235&lt;&gt;0,ISNUMBER(M235)),100*M235/L235,"")</f>
        <v>71.979491888851</v>
      </c>
      <c r="Q235" s="13" t="n">
        <f aca="false">IF(AND(ISNUMBER(F235),F235&lt;&gt;0,ISNUMBER(K235)),100*K235/F235,"")</f>
        <v>8.10079549325534</v>
      </c>
      <c r="R235" s="11" t="b">
        <f aca="false">AND(ISNUMBER(F235),F235&gt;0,ISNUMBER(G235),G235&gt;=0,ISNUMBER(H235),H235&gt;=0)</f>
        <v>1</v>
      </c>
      <c r="S235" s="13" t="n">
        <f aca="false">IF(R235,100*I235/F235,"")</f>
        <v>0.061601581082237</v>
      </c>
      <c r="T235" s="11" t="b">
        <f aca="false">NOT(AND(OR(AND(ISBLANK(RawFinancials!B235),ISBLANK(_RawBaseline!B232)),AND(ISNUMBER(RawFinancials!B235),ISNUMBER(_RawBaseline!B232),RawFinancials!B235=_RawBaseline!B232)),OR(AND(ISBLANK(RawFinancials!U235),ISBLANK(_RawBaseline!U232)),AND(ISNUMBER(RawFinancials!U235),ISNUMBER(_RawBaseline!U232),RawFinancials!U235=_RawBaseline!U232)),OR(AND(ISBLANK(RawFinancials!O235),ISBLANK(_RawBaseline!O232)),AND(ISNUMBER(RawFinancials!O235),ISNUMBER(_RawBaseline!O232),RawFinancials!O235=_RawBaseline!O232))))</f>
        <v>0</v>
      </c>
      <c r="U235" s="13" t="n">
        <f aca="false">IF(AND(D235=WF_START_PERIOD,R235,COUNTIFS($B$5:$B$750,B235,$D$5:$D$750,WF_END_PERIOD,$R$5:$R$750,TRUE())&gt;0),SUMIFS($S$5:$S$750,$B$5:$B$750,B235,$D$5:$D$750,WF_END_PERIOD,$R$5:$R$750,TRUE()),0)</f>
        <v>0</v>
      </c>
      <c r="V235" s="0" t="str">
        <f aca="false">IF(AND(D235=WF_START_PERIOD,COUNTIFS($B$5:$B$750,B235,$D$5:$D$750,WF_END_PERIOD)&gt;0),INDEX($E$5:$E$750,MATCH(B235&amp;"|"&amp;WF_END_PERIOD,$AC$5:$AC$750,0)),"")</f>
        <v/>
      </c>
      <c r="W235" s="11" t="b">
        <f aca="false">COUNTIFS($B$5:$B$750,B235,$D$5:$D$750,WF_START_PERIOD,$R$5:$R$750,TRUE())&gt;0</f>
        <v>1</v>
      </c>
      <c r="X235" s="11" t="b">
        <f aca="false">COUNTIFS($B$5:$B$750,B235,$D$5:$D$750,WF_END_PERIOD,$R$5:$R$750,TRUE())&gt;0</f>
        <v>1</v>
      </c>
      <c r="Y235" s="0" t="str">
        <f aca="false">IF(AND(D235=WF_END_PERIOD,COUNTIFS($B$5:$B$750,B235,$D$5:$D$750,WF_START_PERIOD)&gt;0),INDEX($E$5:$E$750,MATCH(B235&amp;"|"&amp;WF_START_PERIOD,$AC$5:$AC$750,0)),"")</f>
        <v/>
      </c>
      <c r="Z235" s="0" t="str">
        <f aca="false">IF(AND(D235=WF_END_PERIOD,R235),1+COUNTIFS($D$5:$D$750,WF_END_PERIOD,$E$5:$E$750,E235,$R$5:$R$750,TRUE(),$S$5:$S$750,"&gt;"&amp;S235)+COUNTIFS($D$5:$D$750,WF_END_PERIOD,$E$5:$E$750,E235,$R$5:$R$750,TRUE(),$S$5:$S$750,S235,$B$5:$B$750,"&lt;"&amp;B235),"")</f>
        <v/>
      </c>
      <c r="AA235" s="0" t="str">
        <f aca="false">IF(AND(D235=WF_END_PERIOD,R235,Z235&lt;&gt;1),1+COUNTIFS($D$5:$D$750,WF_END_PERIOD,$R$5:$R$750,TRUE(),$Z$5:$Z$750,"&lt;&gt;1",$S$5:$S$750,"&gt;"&amp;S235)+COUNTIFS($D$5:$D$750,WF_END_PERIOD,$R$5:$R$750,TRUE(),$Z$5:$Z$750,"&lt;&gt;1",$S$5:$S$750,S235,$B$5:$B$750,"&lt;"&amp;B235),"")</f>
        <v/>
      </c>
      <c r="AB235" s="11" t="b">
        <f aca="false">OR(D235=WF_START_PERIOD,D235=WF_END_PERIOD)</f>
        <v>0</v>
      </c>
      <c r="AC235" s="0" t="str">
        <f aca="false">B235&amp;"|"&amp;D235</f>
        <v>17960|20230331</v>
      </c>
    </row>
    <row r="236" customFormat="false" ht="15" hidden="false" customHeight="false" outlineLevel="0" collapsed="false">
      <c r="A236" s="0" t="n">
        <f aca="false">RawFinancials!A236</f>
        <v>233</v>
      </c>
      <c r="B236" s="0" t="n">
        <f aca="false">RawFinancials!C236</f>
        <v>18012</v>
      </c>
      <c r="C236" s="0" t="str">
        <f aca="false">RawFinancials!P236</f>
        <v>BANK OF NEW HAMPSHIRE</v>
      </c>
      <c r="D236" s="0" t="n">
        <f aca="false">RawFinancials!W236</f>
        <v>20230331</v>
      </c>
      <c r="E236" s="0" t="str">
        <f aca="false">RawFinancials!Z236</f>
        <v>NH</v>
      </c>
      <c r="F236" s="0" t="n">
        <f aca="false">RawFinancials!B236</f>
        <v>2429028</v>
      </c>
      <c r="G236" s="0" t="n">
        <f aca="false">RawFinancials!U236</f>
        <v>0</v>
      </c>
      <c r="H236" s="0" t="n">
        <f aca="false">RawFinancials!O236</f>
        <v>1410</v>
      </c>
      <c r="I236" s="0" t="n">
        <f aca="false">IF(AND(ISNUMBER(G236),ISNUMBER(H236)),G236+H236,"")</f>
        <v>1410</v>
      </c>
      <c r="J236" s="0" t="n">
        <f aca="false">RawFinancials!D236</f>
        <v>2050411</v>
      </c>
      <c r="K236" s="0" t="n">
        <f aca="false">RawFinancials!F236</f>
        <v>248764</v>
      </c>
      <c r="L236" s="0" t="n">
        <f aca="false">RawFinancials!L236</f>
        <v>1975493</v>
      </c>
      <c r="M236" s="0" t="n">
        <f aca="false">RawFinancials!N236</f>
        <v>1870355</v>
      </c>
      <c r="N236" s="13" t="n">
        <f aca="false">RawFinancials!X236</f>
        <v>0.993530204379712</v>
      </c>
      <c r="O236" s="13" t="n">
        <f aca="false">RawFinancials!V236</f>
        <v>13.3370750765378</v>
      </c>
      <c r="P236" s="13" t="n">
        <f aca="false">IF(AND(ISNUMBER(L236),L236&lt;&gt;0,ISNUMBER(M236)),100*M236/L236,"")</f>
        <v>94.6778854696018</v>
      </c>
      <c r="Q236" s="13" t="n">
        <f aca="false">IF(AND(ISNUMBER(F236),F236&lt;&gt;0,ISNUMBER(K236)),100*K236/F236,"")</f>
        <v>10.2412981653567</v>
      </c>
      <c r="R236" s="11" t="b">
        <f aca="false">AND(ISNUMBER(F236),F236&gt;0,ISNUMBER(G236),G236&gt;=0,ISNUMBER(H236),H236&gt;=0)</f>
        <v>1</v>
      </c>
      <c r="S236" s="13" t="n">
        <f aca="false">IF(R236,100*I236/F236,"")</f>
        <v>0.0580479105222336</v>
      </c>
      <c r="T236" s="11" t="b">
        <f aca="false">NOT(AND(OR(AND(ISBLANK(RawFinancials!B236),ISBLANK(_RawBaseline!B233)),AND(ISNUMBER(RawFinancials!B236),ISNUMBER(_RawBaseline!B233),RawFinancials!B236=_RawBaseline!B233)),OR(AND(ISBLANK(RawFinancials!U236),ISBLANK(_RawBaseline!U233)),AND(ISNUMBER(RawFinancials!U236),ISNUMBER(_RawBaseline!U233),RawFinancials!U236=_RawBaseline!U233)),OR(AND(ISBLANK(RawFinancials!O236),ISBLANK(_RawBaseline!O233)),AND(ISNUMBER(RawFinancials!O236),ISNUMBER(_RawBaseline!O233),RawFinancials!O236=_RawBaseline!O233))))</f>
        <v>0</v>
      </c>
      <c r="U236" s="13" t="n">
        <f aca="false">IF(AND(D236=WF_START_PERIOD,R236,COUNTIFS($B$5:$B$750,B236,$D$5:$D$750,WF_END_PERIOD,$R$5:$R$750,TRUE())&gt;0),SUMIFS($S$5:$S$750,$B$5:$B$750,B236,$D$5:$D$750,WF_END_PERIOD,$R$5:$R$750,TRUE()),0)</f>
        <v>0</v>
      </c>
      <c r="V236" s="0" t="str">
        <f aca="false">IF(AND(D236=WF_START_PERIOD,COUNTIFS($B$5:$B$750,B236,$D$5:$D$750,WF_END_PERIOD)&gt;0),INDEX($E$5:$E$750,MATCH(B236&amp;"|"&amp;WF_END_PERIOD,$AC$5:$AC$750,0)),"")</f>
        <v/>
      </c>
      <c r="W236" s="11" t="b">
        <f aca="false">COUNTIFS($B$5:$B$750,B236,$D$5:$D$750,WF_START_PERIOD,$R$5:$R$750,TRUE())&gt;0</f>
        <v>1</v>
      </c>
      <c r="X236" s="11" t="b">
        <f aca="false">COUNTIFS($B$5:$B$750,B236,$D$5:$D$750,WF_END_PERIOD,$R$5:$R$750,TRUE())&gt;0</f>
        <v>1</v>
      </c>
      <c r="Y236" s="0" t="str">
        <f aca="false">IF(AND(D236=WF_END_PERIOD,COUNTIFS($B$5:$B$750,B236,$D$5:$D$750,WF_START_PERIOD)&gt;0),INDEX($E$5:$E$750,MATCH(B236&amp;"|"&amp;WF_START_PERIOD,$AC$5:$AC$750,0)),"")</f>
        <v/>
      </c>
      <c r="Z236" s="0" t="str">
        <f aca="false">IF(AND(D236=WF_END_PERIOD,R236),1+COUNTIFS($D$5:$D$750,WF_END_PERIOD,$E$5:$E$750,E236,$R$5:$R$750,TRUE(),$S$5:$S$750,"&gt;"&amp;S236)+COUNTIFS($D$5:$D$750,WF_END_PERIOD,$E$5:$E$750,E236,$R$5:$R$750,TRUE(),$S$5:$S$750,S236,$B$5:$B$750,"&lt;"&amp;B236),"")</f>
        <v/>
      </c>
      <c r="AA236" s="0" t="str">
        <f aca="false">IF(AND(D236=WF_END_PERIOD,R236,Z236&lt;&gt;1),1+COUNTIFS($D$5:$D$750,WF_END_PERIOD,$R$5:$R$750,TRUE(),$Z$5:$Z$750,"&lt;&gt;1",$S$5:$S$750,"&gt;"&amp;S236)+COUNTIFS($D$5:$D$750,WF_END_PERIOD,$R$5:$R$750,TRUE(),$Z$5:$Z$750,"&lt;&gt;1",$S$5:$S$750,S236,$B$5:$B$750,"&lt;"&amp;B236),"")</f>
        <v/>
      </c>
      <c r="AB236" s="11" t="b">
        <f aca="false">OR(D236=WF_START_PERIOD,D236=WF_END_PERIOD)</f>
        <v>0</v>
      </c>
      <c r="AC236" s="0" t="str">
        <f aca="false">B236&amp;"|"&amp;D236</f>
        <v>18012|20230331</v>
      </c>
    </row>
    <row r="237" customFormat="false" ht="15" hidden="false" customHeight="false" outlineLevel="0" collapsed="false">
      <c r="A237" s="0" t="n">
        <f aca="false">RawFinancials!A237</f>
        <v>234</v>
      </c>
      <c r="B237" s="0" t="n">
        <f aca="false">RawFinancials!C237</f>
        <v>18013</v>
      </c>
      <c r="C237" s="0" t="str">
        <f aca="false">RawFinancials!P237</f>
        <v>MASCOMA BANK</v>
      </c>
      <c r="D237" s="0" t="n">
        <f aca="false">RawFinancials!W237</f>
        <v>20230331</v>
      </c>
      <c r="E237" s="0" t="str">
        <f aca="false">RawFinancials!Z237</f>
        <v>NH</v>
      </c>
      <c r="F237" s="0" t="n">
        <f aca="false">RawFinancials!B237</f>
        <v>2733301</v>
      </c>
      <c r="G237" s="0" t="n">
        <f aca="false">RawFinancials!U237</f>
        <v>0</v>
      </c>
      <c r="H237" s="0" t="n">
        <f aca="false">RawFinancials!O237</f>
        <v>1023</v>
      </c>
      <c r="I237" s="0" t="n">
        <f aca="false">IF(AND(ISNUMBER(G237),ISNUMBER(H237)),G237+H237,"")</f>
        <v>1023</v>
      </c>
      <c r="J237" s="0" t="n">
        <f aca="false">RawFinancials!D237</f>
        <v>2369188</v>
      </c>
      <c r="K237" s="0" t="n">
        <f aca="false">RawFinancials!F237</f>
        <v>210055</v>
      </c>
      <c r="L237" s="0" t="n">
        <f aca="false">RawFinancials!L237</f>
        <v>2203643</v>
      </c>
      <c r="M237" s="0" t="n">
        <f aca="false">RawFinancials!N237</f>
        <v>2017963</v>
      </c>
      <c r="N237" s="13" t="n">
        <f aca="false">RawFinancials!X237</f>
        <v>0.443403413877027</v>
      </c>
      <c r="O237" s="13" t="n">
        <f aca="false">RawFinancials!V237</f>
        <v>13.3103871528666</v>
      </c>
      <c r="P237" s="13" t="n">
        <f aca="false">IF(AND(ISNUMBER(L237),L237&lt;&gt;0,ISNUMBER(M237)),100*M237/L237,"")</f>
        <v>91.5739527682115</v>
      </c>
      <c r="Q237" s="13" t="n">
        <f aca="false">IF(AND(ISNUMBER(F237),F237&lt;&gt;0,ISNUMBER(K237)),100*K237/F237,"")</f>
        <v>7.68502993267116</v>
      </c>
      <c r="R237" s="11" t="b">
        <f aca="false">AND(ISNUMBER(F237),F237&gt;0,ISNUMBER(G237),G237&gt;=0,ISNUMBER(H237),H237&gt;=0)</f>
        <v>1</v>
      </c>
      <c r="S237" s="13" t="n">
        <f aca="false">IF(R237,100*I237/F237,"")</f>
        <v>0.0374272720055347</v>
      </c>
      <c r="T237" s="11" t="b">
        <f aca="false">NOT(AND(OR(AND(ISBLANK(RawFinancials!B237),ISBLANK(_RawBaseline!B234)),AND(ISNUMBER(RawFinancials!B237),ISNUMBER(_RawBaseline!B234),RawFinancials!B237=_RawBaseline!B234)),OR(AND(ISBLANK(RawFinancials!U237),ISBLANK(_RawBaseline!U234)),AND(ISNUMBER(RawFinancials!U237),ISNUMBER(_RawBaseline!U234),RawFinancials!U237=_RawBaseline!U234)),OR(AND(ISBLANK(RawFinancials!O237),ISBLANK(_RawBaseline!O234)),AND(ISNUMBER(RawFinancials!O237),ISNUMBER(_RawBaseline!O234),RawFinancials!O237=_RawBaseline!O234))))</f>
        <v>0</v>
      </c>
      <c r="U237" s="13" t="n">
        <f aca="false">IF(AND(D237=WF_START_PERIOD,R237,COUNTIFS($B$5:$B$750,B237,$D$5:$D$750,WF_END_PERIOD,$R$5:$R$750,TRUE())&gt;0),SUMIFS($S$5:$S$750,$B$5:$B$750,B237,$D$5:$D$750,WF_END_PERIOD,$R$5:$R$750,TRUE()),0)</f>
        <v>0</v>
      </c>
      <c r="V237" s="0" t="str">
        <f aca="false">IF(AND(D237=WF_START_PERIOD,COUNTIFS($B$5:$B$750,B237,$D$5:$D$750,WF_END_PERIOD)&gt;0),INDEX($E$5:$E$750,MATCH(B237&amp;"|"&amp;WF_END_PERIOD,$AC$5:$AC$750,0)),"")</f>
        <v/>
      </c>
      <c r="W237" s="11" t="b">
        <f aca="false">COUNTIFS($B$5:$B$750,B237,$D$5:$D$750,WF_START_PERIOD,$R$5:$R$750,TRUE())&gt;0</f>
        <v>1</v>
      </c>
      <c r="X237" s="11" t="b">
        <f aca="false">COUNTIFS($B$5:$B$750,B237,$D$5:$D$750,WF_END_PERIOD,$R$5:$R$750,TRUE())&gt;0</f>
        <v>1</v>
      </c>
      <c r="Y237" s="0" t="str">
        <f aca="false">IF(AND(D237=WF_END_PERIOD,COUNTIFS($B$5:$B$750,B237,$D$5:$D$750,WF_START_PERIOD)&gt;0),INDEX($E$5:$E$750,MATCH(B237&amp;"|"&amp;WF_START_PERIOD,$AC$5:$AC$750,0)),"")</f>
        <v/>
      </c>
      <c r="Z237" s="0" t="str">
        <f aca="false">IF(AND(D237=WF_END_PERIOD,R237),1+COUNTIFS($D$5:$D$750,WF_END_PERIOD,$E$5:$E$750,E237,$R$5:$R$750,TRUE(),$S$5:$S$750,"&gt;"&amp;S237)+COUNTIFS($D$5:$D$750,WF_END_PERIOD,$E$5:$E$750,E237,$R$5:$R$750,TRUE(),$S$5:$S$750,S237,$B$5:$B$750,"&lt;"&amp;B237),"")</f>
        <v/>
      </c>
      <c r="AA237" s="0" t="str">
        <f aca="false">IF(AND(D237=WF_END_PERIOD,R237,Z237&lt;&gt;1),1+COUNTIFS($D$5:$D$750,WF_END_PERIOD,$R$5:$R$750,TRUE(),$Z$5:$Z$750,"&lt;&gt;1",$S$5:$S$750,"&gt;"&amp;S237)+COUNTIFS($D$5:$D$750,WF_END_PERIOD,$R$5:$R$750,TRUE(),$Z$5:$Z$750,"&lt;&gt;1",$S$5:$S$750,S237,$B$5:$B$750,"&lt;"&amp;B237),"")</f>
        <v/>
      </c>
      <c r="AB237" s="11" t="b">
        <f aca="false">OR(D237=WF_START_PERIOD,D237=WF_END_PERIOD)</f>
        <v>0</v>
      </c>
      <c r="AC237" s="0" t="str">
        <f aca="false">B237&amp;"|"&amp;D237</f>
        <v>18013|20230331</v>
      </c>
    </row>
    <row r="238" customFormat="false" ht="15" hidden="false" customHeight="false" outlineLevel="0" collapsed="false">
      <c r="A238" s="0" t="n">
        <f aca="false">RawFinancials!A238</f>
        <v>235</v>
      </c>
      <c r="B238" s="0" t="n">
        <f aca="false">RawFinancials!C238</f>
        <v>18028</v>
      </c>
      <c r="C238" s="0" t="str">
        <f aca="false">RawFinancials!P238</f>
        <v>SUGAR RIVER BANK</v>
      </c>
      <c r="D238" s="0" t="n">
        <f aca="false">RawFinancials!W238</f>
        <v>20230331</v>
      </c>
      <c r="E238" s="0" t="str">
        <f aca="false">RawFinancials!Z238</f>
        <v>NH</v>
      </c>
      <c r="F238" s="0" t="n">
        <f aca="false">RawFinancials!B238</f>
        <v>384151</v>
      </c>
      <c r="G238" s="0" t="n">
        <f aca="false">RawFinancials!U238</f>
        <v>163</v>
      </c>
      <c r="H238" s="0" t="n">
        <f aca="false">RawFinancials!O238</f>
        <v>1519</v>
      </c>
      <c r="I238" s="0" t="n">
        <f aca="false">IF(AND(ISNUMBER(G238),ISNUMBER(H238)),G238+H238,"")</f>
        <v>1682</v>
      </c>
      <c r="J238" s="0" t="n">
        <f aca="false">RawFinancials!D238</f>
        <v>321675</v>
      </c>
      <c r="K238" s="0" t="n">
        <f aca="false">RawFinancials!F238</f>
        <v>38054</v>
      </c>
      <c r="L238" s="0" t="n">
        <f aca="false">RawFinancials!L238</f>
        <v>253368</v>
      </c>
      <c r="M238" s="0" t="n">
        <f aca="false">RawFinancials!N238</f>
        <v>222649</v>
      </c>
      <c r="N238" s="13" t="n">
        <f aca="false">RawFinancials!X238</f>
        <v>0.60865321121989</v>
      </c>
      <c r="O238" s="13" t="n">
        <f aca="false">RawFinancials!V238</f>
        <v>0</v>
      </c>
      <c r="P238" s="13" t="n">
        <f aca="false">IF(AND(ISNUMBER(L238),L238&lt;&gt;0,ISNUMBER(M238)),100*M238/L238,"")</f>
        <v>87.8757380568975</v>
      </c>
      <c r="Q238" s="13" t="n">
        <f aca="false">IF(AND(ISNUMBER(F238),F238&lt;&gt;0,ISNUMBER(K238)),100*K238/F238,"")</f>
        <v>9.90600050500975</v>
      </c>
      <c r="R238" s="11" t="b">
        <f aca="false">AND(ISNUMBER(F238),F238&gt;0,ISNUMBER(G238),G238&gt;=0,ISNUMBER(H238),H238&gt;=0)</f>
        <v>1</v>
      </c>
      <c r="S238" s="13" t="n">
        <f aca="false">IF(R238,100*I238/F238,"")</f>
        <v>0.437848658470237</v>
      </c>
      <c r="T238" s="11" t="b">
        <f aca="false">NOT(AND(OR(AND(ISBLANK(RawFinancials!B238),ISBLANK(_RawBaseline!B235)),AND(ISNUMBER(RawFinancials!B238),ISNUMBER(_RawBaseline!B235),RawFinancials!B238=_RawBaseline!B235)),OR(AND(ISBLANK(RawFinancials!U238),ISBLANK(_RawBaseline!U235)),AND(ISNUMBER(RawFinancials!U238),ISNUMBER(_RawBaseline!U235),RawFinancials!U238=_RawBaseline!U235)),OR(AND(ISBLANK(RawFinancials!O238),ISBLANK(_RawBaseline!O235)),AND(ISNUMBER(RawFinancials!O238),ISNUMBER(_RawBaseline!O235),RawFinancials!O238=_RawBaseline!O235))))</f>
        <v>0</v>
      </c>
      <c r="U238" s="13" t="n">
        <f aca="false">IF(AND(D238=WF_START_PERIOD,R238,COUNTIFS($B$5:$B$750,B238,$D$5:$D$750,WF_END_PERIOD,$R$5:$R$750,TRUE())&gt;0),SUMIFS($S$5:$S$750,$B$5:$B$750,B238,$D$5:$D$750,WF_END_PERIOD,$R$5:$R$750,TRUE()),0)</f>
        <v>0</v>
      </c>
      <c r="V238" s="0" t="str">
        <f aca="false">IF(AND(D238=WF_START_PERIOD,COUNTIFS($B$5:$B$750,B238,$D$5:$D$750,WF_END_PERIOD)&gt;0),INDEX($E$5:$E$750,MATCH(B238&amp;"|"&amp;WF_END_PERIOD,$AC$5:$AC$750,0)),"")</f>
        <v/>
      </c>
      <c r="W238" s="11" t="b">
        <f aca="false">COUNTIFS($B$5:$B$750,B238,$D$5:$D$750,WF_START_PERIOD,$R$5:$R$750,TRUE())&gt;0</f>
        <v>1</v>
      </c>
      <c r="X238" s="11" t="b">
        <f aca="false">COUNTIFS($B$5:$B$750,B238,$D$5:$D$750,WF_END_PERIOD,$R$5:$R$750,TRUE())&gt;0</f>
        <v>1</v>
      </c>
      <c r="Y238" s="0" t="str">
        <f aca="false">IF(AND(D238=WF_END_PERIOD,COUNTIFS($B$5:$B$750,B238,$D$5:$D$750,WF_START_PERIOD)&gt;0),INDEX($E$5:$E$750,MATCH(B238&amp;"|"&amp;WF_START_PERIOD,$AC$5:$AC$750,0)),"")</f>
        <v/>
      </c>
      <c r="Z238" s="0" t="str">
        <f aca="false">IF(AND(D238=WF_END_PERIOD,R238),1+COUNTIFS($D$5:$D$750,WF_END_PERIOD,$E$5:$E$750,E238,$R$5:$R$750,TRUE(),$S$5:$S$750,"&gt;"&amp;S238)+COUNTIFS($D$5:$D$750,WF_END_PERIOD,$E$5:$E$750,E238,$R$5:$R$750,TRUE(),$S$5:$S$750,S238,$B$5:$B$750,"&lt;"&amp;B238),"")</f>
        <v/>
      </c>
      <c r="AA238" s="0" t="str">
        <f aca="false">IF(AND(D238=WF_END_PERIOD,R238,Z238&lt;&gt;1),1+COUNTIFS($D$5:$D$750,WF_END_PERIOD,$R$5:$R$750,TRUE(),$Z$5:$Z$750,"&lt;&gt;1",$S$5:$S$750,"&gt;"&amp;S238)+COUNTIFS($D$5:$D$750,WF_END_PERIOD,$R$5:$R$750,TRUE(),$Z$5:$Z$750,"&lt;&gt;1",$S$5:$S$750,S238,$B$5:$B$750,"&lt;"&amp;B238),"")</f>
        <v/>
      </c>
      <c r="AB238" s="11" t="b">
        <f aca="false">OR(D238=WF_START_PERIOD,D238=WF_END_PERIOD)</f>
        <v>0</v>
      </c>
      <c r="AC238" s="0" t="str">
        <f aca="false">B238&amp;"|"&amp;D238</f>
        <v>18028|20230331</v>
      </c>
    </row>
    <row r="239" customFormat="false" ht="15" hidden="false" customHeight="false" outlineLevel="0" collapsed="false">
      <c r="A239" s="0" t="n">
        <f aca="false">RawFinancials!A239</f>
        <v>236</v>
      </c>
      <c r="B239" s="0" t="n">
        <f aca="false">RawFinancials!C239</f>
        <v>18030</v>
      </c>
      <c r="C239" s="0" t="str">
        <f aca="false">RawFinancials!P239</f>
        <v>SAVINGS BANK OF WALPOLE</v>
      </c>
      <c r="D239" s="0" t="n">
        <f aca="false">RawFinancials!W239</f>
        <v>20230331</v>
      </c>
      <c r="E239" s="0" t="str">
        <f aca="false">RawFinancials!Z239</f>
        <v>NH</v>
      </c>
      <c r="F239" s="0" t="n">
        <f aca="false">RawFinancials!B239</f>
        <v>704016</v>
      </c>
      <c r="G239" s="0" t="n">
        <f aca="false">RawFinancials!U239</f>
        <v>0</v>
      </c>
      <c r="H239" s="0" t="n">
        <f aca="false">RawFinancials!O239</f>
        <v>501</v>
      </c>
      <c r="I239" s="0" t="n">
        <f aca="false">IF(AND(ISNUMBER(G239),ISNUMBER(H239)),G239+H239,"")</f>
        <v>501</v>
      </c>
      <c r="J239" s="0" t="n">
        <f aca="false">RawFinancials!D239</f>
        <v>652422</v>
      </c>
      <c r="K239" s="0" t="n">
        <f aca="false">RawFinancials!F239</f>
        <v>44712</v>
      </c>
      <c r="L239" s="0" t="n">
        <f aca="false">RawFinancials!L239</f>
        <v>558490</v>
      </c>
      <c r="M239" s="0" t="n">
        <f aca="false">RawFinancials!N239</f>
        <v>437108</v>
      </c>
      <c r="N239" s="13" t="n">
        <f aca="false">RawFinancials!X239</f>
        <v>0.626132056425815</v>
      </c>
      <c r="O239" s="13" t="n">
        <f aca="false">RawFinancials!V239</f>
        <v>12.9898118719735</v>
      </c>
      <c r="P239" s="13" t="n">
        <f aca="false">IF(AND(ISNUMBER(L239),L239&lt;&gt;0,ISNUMBER(M239)),100*M239/L239,"")</f>
        <v>78.2660387831474</v>
      </c>
      <c r="Q239" s="13" t="n">
        <f aca="false">IF(AND(ISNUMBER(F239),F239&lt;&gt;0,ISNUMBER(K239)),100*K239/F239,"")</f>
        <v>6.35099202290857</v>
      </c>
      <c r="R239" s="11" t="b">
        <f aca="false">AND(ISNUMBER(F239),F239&gt;0,ISNUMBER(G239),G239&gt;=0,ISNUMBER(H239),H239&gt;=0)</f>
        <v>1</v>
      </c>
      <c r="S239" s="13" t="n">
        <f aca="false">IF(R239,100*I239/F239,"")</f>
        <v>0.0711631553828322</v>
      </c>
      <c r="T239" s="11" t="b">
        <f aca="false">NOT(AND(OR(AND(ISBLANK(RawFinancials!B239),ISBLANK(_RawBaseline!B236)),AND(ISNUMBER(RawFinancials!B239),ISNUMBER(_RawBaseline!B236),RawFinancials!B239=_RawBaseline!B236)),OR(AND(ISBLANK(RawFinancials!U239),ISBLANK(_RawBaseline!U236)),AND(ISNUMBER(RawFinancials!U239),ISNUMBER(_RawBaseline!U236),RawFinancials!U239=_RawBaseline!U236)),OR(AND(ISBLANK(RawFinancials!O239),ISBLANK(_RawBaseline!O236)),AND(ISNUMBER(RawFinancials!O239),ISNUMBER(_RawBaseline!O236),RawFinancials!O239=_RawBaseline!O236))))</f>
        <v>0</v>
      </c>
      <c r="U239" s="13" t="n">
        <f aca="false">IF(AND(D239=WF_START_PERIOD,R239,COUNTIFS($B$5:$B$750,B239,$D$5:$D$750,WF_END_PERIOD,$R$5:$R$750,TRUE())&gt;0),SUMIFS($S$5:$S$750,$B$5:$B$750,B239,$D$5:$D$750,WF_END_PERIOD,$R$5:$R$750,TRUE()),0)</f>
        <v>0</v>
      </c>
      <c r="V239" s="0" t="str">
        <f aca="false">IF(AND(D239=WF_START_PERIOD,COUNTIFS($B$5:$B$750,B239,$D$5:$D$750,WF_END_PERIOD)&gt;0),INDEX($E$5:$E$750,MATCH(B239&amp;"|"&amp;WF_END_PERIOD,$AC$5:$AC$750,0)),"")</f>
        <v/>
      </c>
      <c r="W239" s="11" t="b">
        <f aca="false">COUNTIFS($B$5:$B$750,B239,$D$5:$D$750,WF_START_PERIOD,$R$5:$R$750,TRUE())&gt;0</f>
        <v>1</v>
      </c>
      <c r="X239" s="11" t="b">
        <f aca="false">COUNTIFS($B$5:$B$750,B239,$D$5:$D$750,WF_END_PERIOD,$R$5:$R$750,TRUE())&gt;0</f>
        <v>1</v>
      </c>
      <c r="Y239" s="0" t="str">
        <f aca="false">IF(AND(D239=WF_END_PERIOD,COUNTIFS($B$5:$B$750,B239,$D$5:$D$750,WF_START_PERIOD)&gt;0),INDEX($E$5:$E$750,MATCH(B239&amp;"|"&amp;WF_START_PERIOD,$AC$5:$AC$750,0)),"")</f>
        <v/>
      </c>
      <c r="Z239" s="0" t="str">
        <f aca="false">IF(AND(D239=WF_END_PERIOD,R239),1+COUNTIFS($D$5:$D$750,WF_END_PERIOD,$E$5:$E$750,E239,$R$5:$R$750,TRUE(),$S$5:$S$750,"&gt;"&amp;S239)+COUNTIFS($D$5:$D$750,WF_END_PERIOD,$E$5:$E$750,E239,$R$5:$R$750,TRUE(),$S$5:$S$750,S239,$B$5:$B$750,"&lt;"&amp;B239),"")</f>
        <v/>
      </c>
      <c r="AA239" s="0" t="str">
        <f aca="false">IF(AND(D239=WF_END_PERIOD,R239,Z239&lt;&gt;1),1+COUNTIFS($D$5:$D$750,WF_END_PERIOD,$R$5:$R$750,TRUE(),$Z$5:$Z$750,"&lt;&gt;1",$S$5:$S$750,"&gt;"&amp;S239)+COUNTIFS($D$5:$D$750,WF_END_PERIOD,$R$5:$R$750,TRUE(),$Z$5:$Z$750,"&lt;&gt;1",$S$5:$S$750,S239,$B$5:$B$750,"&lt;"&amp;B239),"")</f>
        <v/>
      </c>
      <c r="AB239" s="11" t="b">
        <f aca="false">OR(D239=WF_START_PERIOD,D239=WF_END_PERIOD)</f>
        <v>0</v>
      </c>
      <c r="AC239" s="0" t="str">
        <f aca="false">B239&amp;"|"&amp;D239</f>
        <v>18030|20230331</v>
      </c>
    </row>
    <row r="240" customFormat="false" ht="15" hidden="false" customHeight="false" outlineLevel="0" collapsed="false">
      <c r="A240" s="0" t="n">
        <f aca="false">RawFinancials!A240</f>
        <v>237</v>
      </c>
      <c r="B240" s="0" t="n">
        <f aca="false">RawFinancials!C240</f>
        <v>18031</v>
      </c>
      <c r="C240" s="0" t="str">
        <f aca="false">RawFinancials!P240</f>
        <v>WOODSVILLE GUARANTY SAVINGS BANK</v>
      </c>
      <c r="D240" s="0" t="n">
        <f aca="false">RawFinancials!W240</f>
        <v>20230331</v>
      </c>
      <c r="E240" s="0" t="str">
        <f aca="false">RawFinancials!Z240</f>
        <v>NH</v>
      </c>
      <c r="F240" s="0" t="n">
        <f aca="false">RawFinancials!B240</f>
        <v>653889</v>
      </c>
      <c r="G240" s="0" t="n">
        <f aca="false">RawFinancials!U240</f>
        <v>0</v>
      </c>
      <c r="H240" s="0" t="n">
        <f aca="false">RawFinancials!O240</f>
        <v>861</v>
      </c>
      <c r="I240" s="0" t="n">
        <f aca="false">IF(AND(ISNUMBER(G240),ISNUMBER(H240)),G240+H240,"")</f>
        <v>861</v>
      </c>
      <c r="J240" s="0" t="n">
        <f aca="false">RawFinancials!D240</f>
        <v>579895</v>
      </c>
      <c r="K240" s="0" t="n">
        <f aca="false">RawFinancials!F240</f>
        <v>37639</v>
      </c>
      <c r="L240" s="0" t="n">
        <f aca="false">RawFinancials!L240</f>
        <v>467587</v>
      </c>
      <c r="M240" s="0" t="n">
        <f aca="false">RawFinancials!N240</f>
        <v>424817</v>
      </c>
      <c r="N240" s="13" t="n">
        <f aca="false">RawFinancials!X240</f>
        <v>0.311530308150788</v>
      </c>
      <c r="O240" s="13" t="n">
        <f aca="false">RawFinancials!V240</f>
        <v>16.3983634751584</v>
      </c>
      <c r="P240" s="13" t="n">
        <f aca="false">IF(AND(ISNUMBER(L240),L240&lt;&gt;0,ISNUMBER(M240)),100*M240/L240,"")</f>
        <v>90.8530391135767</v>
      </c>
      <c r="Q240" s="13" t="n">
        <f aca="false">IF(AND(ISNUMBER(F240),F240&lt;&gt;0,ISNUMBER(K240)),100*K240/F240,"")</f>
        <v>5.75617574236606</v>
      </c>
      <c r="R240" s="11" t="b">
        <f aca="false">AND(ISNUMBER(F240),F240&gt;0,ISNUMBER(G240),G240&gt;=0,ISNUMBER(H240),H240&gt;=0)</f>
        <v>1</v>
      </c>
      <c r="S240" s="13" t="n">
        <f aca="false">IF(R240,100*I240/F240,"")</f>
        <v>0.131673724439469</v>
      </c>
      <c r="T240" s="11" t="b">
        <f aca="false">NOT(AND(OR(AND(ISBLANK(RawFinancials!B240),ISBLANK(_RawBaseline!B237)),AND(ISNUMBER(RawFinancials!B240),ISNUMBER(_RawBaseline!B237),RawFinancials!B240=_RawBaseline!B237)),OR(AND(ISBLANK(RawFinancials!U240),ISBLANK(_RawBaseline!U237)),AND(ISNUMBER(RawFinancials!U240),ISNUMBER(_RawBaseline!U237),RawFinancials!U240=_RawBaseline!U237)),OR(AND(ISBLANK(RawFinancials!O240),ISBLANK(_RawBaseline!O237)),AND(ISNUMBER(RawFinancials!O240),ISNUMBER(_RawBaseline!O237),RawFinancials!O240=_RawBaseline!O237))))</f>
        <v>0</v>
      </c>
      <c r="U240" s="13" t="n">
        <f aca="false">IF(AND(D240=WF_START_PERIOD,R240,COUNTIFS($B$5:$B$750,B240,$D$5:$D$750,WF_END_PERIOD,$R$5:$R$750,TRUE())&gt;0),SUMIFS($S$5:$S$750,$B$5:$B$750,B240,$D$5:$D$750,WF_END_PERIOD,$R$5:$R$750,TRUE()),0)</f>
        <v>0</v>
      </c>
      <c r="V240" s="0" t="str">
        <f aca="false">IF(AND(D240=WF_START_PERIOD,COUNTIFS($B$5:$B$750,B240,$D$5:$D$750,WF_END_PERIOD)&gt;0),INDEX($E$5:$E$750,MATCH(B240&amp;"|"&amp;WF_END_PERIOD,$AC$5:$AC$750,0)),"")</f>
        <v/>
      </c>
      <c r="W240" s="11" t="b">
        <f aca="false">COUNTIFS($B$5:$B$750,B240,$D$5:$D$750,WF_START_PERIOD,$R$5:$R$750,TRUE())&gt;0</f>
        <v>1</v>
      </c>
      <c r="X240" s="11" t="b">
        <f aca="false">COUNTIFS($B$5:$B$750,B240,$D$5:$D$750,WF_END_PERIOD,$R$5:$R$750,TRUE())&gt;0</f>
        <v>1</v>
      </c>
      <c r="Y240" s="0" t="str">
        <f aca="false">IF(AND(D240=WF_END_PERIOD,COUNTIFS($B$5:$B$750,B240,$D$5:$D$750,WF_START_PERIOD)&gt;0),INDEX($E$5:$E$750,MATCH(B240&amp;"|"&amp;WF_START_PERIOD,$AC$5:$AC$750,0)),"")</f>
        <v/>
      </c>
      <c r="Z240" s="0" t="str">
        <f aca="false">IF(AND(D240=WF_END_PERIOD,R240),1+COUNTIFS($D$5:$D$750,WF_END_PERIOD,$E$5:$E$750,E240,$R$5:$R$750,TRUE(),$S$5:$S$750,"&gt;"&amp;S240)+COUNTIFS($D$5:$D$750,WF_END_PERIOD,$E$5:$E$750,E240,$R$5:$R$750,TRUE(),$S$5:$S$750,S240,$B$5:$B$750,"&lt;"&amp;B240),"")</f>
        <v/>
      </c>
      <c r="AA240" s="0" t="str">
        <f aca="false">IF(AND(D240=WF_END_PERIOD,R240,Z240&lt;&gt;1),1+COUNTIFS($D$5:$D$750,WF_END_PERIOD,$R$5:$R$750,TRUE(),$Z$5:$Z$750,"&lt;&gt;1",$S$5:$S$750,"&gt;"&amp;S240)+COUNTIFS($D$5:$D$750,WF_END_PERIOD,$R$5:$R$750,TRUE(),$Z$5:$Z$750,"&lt;&gt;1",$S$5:$S$750,S240,$B$5:$B$750,"&lt;"&amp;B240),"")</f>
        <v/>
      </c>
      <c r="AB240" s="11" t="b">
        <f aca="false">OR(D240=WF_START_PERIOD,D240=WF_END_PERIOD)</f>
        <v>0</v>
      </c>
      <c r="AC240" s="0" t="str">
        <f aca="false">B240&amp;"|"&amp;D240</f>
        <v>18031|20230331</v>
      </c>
    </row>
    <row r="241" customFormat="false" ht="15" hidden="false" customHeight="false" outlineLevel="0" collapsed="false">
      <c r="A241" s="0" t="n">
        <f aca="false">RawFinancials!A241</f>
        <v>238</v>
      </c>
      <c r="B241" s="0" t="n">
        <f aca="false">RawFinancials!C241</f>
        <v>18038</v>
      </c>
      <c r="C241" s="0" t="str">
        <f aca="false">RawFinancials!P241</f>
        <v>CLAREMONT SAVINGS BANK</v>
      </c>
      <c r="D241" s="0" t="n">
        <f aca="false">RawFinancials!W241</f>
        <v>20230331</v>
      </c>
      <c r="E241" s="0" t="str">
        <f aca="false">RawFinancials!Z241</f>
        <v>NH</v>
      </c>
      <c r="F241" s="0" t="n">
        <f aca="false">RawFinancials!B241</f>
        <v>548592</v>
      </c>
      <c r="G241" s="0" t="n">
        <f aca="false">RawFinancials!U241</f>
        <v>0</v>
      </c>
      <c r="H241" s="0" t="n">
        <f aca="false">RawFinancials!O241</f>
        <v>2269</v>
      </c>
      <c r="I241" s="0" t="n">
        <f aca="false">IF(AND(ISNUMBER(G241),ISNUMBER(H241)),G241+H241,"")</f>
        <v>2269</v>
      </c>
      <c r="J241" s="0" t="n">
        <f aca="false">RawFinancials!D241</f>
        <v>453467</v>
      </c>
      <c r="K241" s="0" t="n">
        <f aca="false">RawFinancials!F241</f>
        <v>65334</v>
      </c>
      <c r="L241" s="0" t="n">
        <f aca="false">RawFinancials!L241</f>
        <v>418300</v>
      </c>
      <c r="M241" s="0" t="n">
        <f aca="false">RawFinancials!N241</f>
        <v>397248</v>
      </c>
      <c r="N241" s="13" t="n">
        <f aca="false">RawFinancials!X241</f>
        <v>0.0703982689436184</v>
      </c>
      <c r="O241" s="13" t="n">
        <f aca="false">RawFinancials!V241</f>
        <v>0</v>
      </c>
      <c r="P241" s="13" t="n">
        <f aca="false">IF(AND(ISNUMBER(L241),L241&lt;&gt;0,ISNUMBER(M241)),100*M241/L241,"")</f>
        <v>94.9672483863256</v>
      </c>
      <c r="Q241" s="13" t="n">
        <f aca="false">IF(AND(ISNUMBER(F241),F241&lt;&gt;0,ISNUMBER(K241)),100*K241/F241,"")</f>
        <v>11.909397147607</v>
      </c>
      <c r="R241" s="11" t="b">
        <f aca="false">AND(ISNUMBER(F241),F241&gt;0,ISNUMBER(G241),G241&gt;=0,ISNUMBER(H241),H241&gt;=0)</f>
        <v>1</v>
      </c>
      <c r="S241" s="13" t="n">
        <f aca="false">IF(R241,100*I241/F241,"")</f>
        <v>0.41360428150611</v>
      </c>
      <c r="T241" s="11" t="b">
        <f aca="false">NOT(AND(OR(AND(ISBLANK(RawFinancials!B241),ISBLANK(_RawBaseline!B238)),AND(ISNUMBER(RawFinancials!B241),ISNUMBER(_RawBaseline!B238),RawFinancials!B241=_RawBaseline!B238)),OR(AND(ISBLANK(RawFinancials!U241),ISBLANK(_RawBaseline!U238)),AND(ISNUMBER(RawFinancials!U241),ISNUMBER(_RawBaseline!U238),RawFinancials!U241=_RawBaseline!U238)),OR(AND(ISBLANK(RawFinancials!O241),ISBLANK(_RawBaseline!O238)),AND(ISNUMBER(RawFinancials!O241),ISNUMBER(_RawBaseline!O238),RawFinancials!O241=_RawBaseline!O238))))</f>
        <v>0</v>
      </c>
      <c r="U241" s="13" t="n">
        <f aca="false">IF(AND(D241=WF_START_PERIOD,R241,COUNTIFS($B$5:$B$750,B241,$D$5:$D$750,WF_END_PERIOD,$R$5:$R$750,TRUE())&gt;0),SUMIFS($S$5:$S$750,$B$5:$B$750,B241,$D$5:$D$750,WF_END_PERIOD,$R$5:$R$750,TRUE()),0)</f>
        <v>0</v>
      </c>
      <c r="V241" s="0" t="str">
        <f aca="false">IF(AND(D241=WF_START_PERIOD,COUNTIFS($B$5:$B$750,B241,$D$5:$D$750,WF_END_PERIOD)&gt;0),INDEX($E$5:$E$750,MATCH(B241&amp;"|"&amp;WF_END_PERIOD,$AC$5:$AC$750,0)),"")</f>
        <v/>
      </c>
      <c r="W241" s="11" t="b">
        <f aca="false">COUNTIFS($B$5:$B$750,B241,$D$5:$D$750,WF_START_PERIOD,$R$5:$R$750,TRUE())&gt;0</f>
        <v>1</v>
      </c>
      <c r="X241" s="11" t="b">
        <f aca="false">COUNTIFS($B$5:$B$750,B241,$D$5:$D$750,WF_END_PERIOD,$R$5:$R$750,TRUE())&gt;0</f>
        <v>1</v>
      </c>
      <c r="Y241" s="0" t="str">
        <f aca="false">IF(AND(D241=WF_END_PERIOD,COUNTIFS($B$5:$B$750,B241,$D$5:$D$750,WF_START_PERIOD)&gt;0),INDEX($E$5:$E$750,MATCH(B241&amp;"|"&amp;WF_START_PERIOD,$AC$5:$AC$750,0)),"")</f>
        <v/>
      </c>
      <c r="Z241" s="0" t="str">
        <f aca="false">IF(AND(D241=WF_END_PERIOD,R241),1+COUNTIFS($D$5:$D$750,WF_END_PERIOD,$E$5:$E$750,E241,$R$5:$R$750,TRUE(),$S$5:$S$750,"&gt;"&amp;S241)+COUNTIFS($D$5:$D$750,WF_END_PERIOD,$E$5:$E$750,E241,$R$5:$R$750,TRUE(),$S$5:$S$750,S241,$B$5:$B$750,"&lt;"&amp;B241),"")</f>
        <v/>
      </c>
      <c r="AA241" s="0" t="str">
        <f aca="false">IF(AND(D241=WF_END_PERIOD,R241,Z241&lt;&gt;1),1+COUNTIFS($D$5:$D$750,WF_END_PERIOD,$R$5:$R$750,TRUE(),$Z$5:$Z$750,"&lt;&gt;1",$S$5:$S$750,"&gt;"&amp;S241)+COUNTIFS($D$5:$D$750,WF_END_PERIOD,$R$5:$R$750,TRUE(),$Z$5:$Z$750,"&lt;&gt;1",$S$5:$S$750,S241,$B$5:$B$750,"&lt;"&amp;B241),"")</f>
        <v/>
      </c>
      <c r="AB241" s="11" t="b">
        <f aca="false">OR(D241=WF_START_PERIOD,D241=WF_END_PERIOD)</f>
        <v>0</v>
      </c>
      <c r="AC241" s="0" t="str">
        <f aca="false">B241&amp;"|"&amp;D241</f>
        <v>18038|20230331</v>
      </c>
    </row>
    <row r="242" customFormat="false" ht="15" hidden="false" customHeight="false" outlineLevel="0" collapsed="false">
      <c r="A242" s="0" t="n">
        <f aca="false">RawFinancials!A242</f>
        <v>239</v>
      </c>
      <c r="B242" s="0" t="n">
        <f aca="false">RawFinancials!C242</f>
        <v>18408</v>
      </c>
      <c r="C242" s="0" t="str">
        <f aca="false">RawFinancials!P242</f>
        <v>BANGOR SAVINGS BANK</v>
      </c>
      <c r="D242" s="0" t="n">
        <f aca="false">RawFinancials!W242</f>
        <v>20230331</v>
      </c>
      <c r="E242" s="0" t="str">
        <f aca="false">RawFinancials!Z242</f>
        <v>ME</v>
      </c>
      <c r="F242" s="0" t="n">
        <f aca="false">RawFinancials!B242</f>
        <v>7408655</v>
      </c>
      <c r="G242" s="0" t="n">
        <f aca="false">RawFinancials!U242</f>
        <v>0</v>
      </c>
      <c r="H242" s="0" t="n">
        <f aca="false">RawFinancials!O242</f>
        <v>2650</v>
      </c>
      <c r="I242" s="0" t="n">
        <f aca="false">IF(AND(ISNUMBER(G242),ISNUMBER(H242)),G242+H242,"")</f>
        <v>2650</v>
      </c>
      <c r="J242" s="0" t="n">
        <f aca="false">RawFinancials!D242</f>
        <v>5909216</v>
      </c>
      <c r="K242" s="0" t="n">
        <f aca="false">RawFinancials!F242</f>
        <v>379605</v>
      </c>
      <c r="L242" s="0" t="n">
        <f aca="false">RawFinancials!L242</f>
        <v>4709677</v>
      </c>
      <c r="M242" s="0" t="n">
        <f aca="false">RawFinancials!N242</f>
        <v>4284764</v>
      </c>
      <c r="N242" s="13" t="n">
        <f aca="false">RawFinancials!X242</f>
        <v>0.0727725446773376</v>
      </c>
      <c r="O242" s="13" t="n">
        <f aca="false">RawFinancials!V242</f>
        <v>11.786074914701</v>
      </c>
      <c r="P242" s="13" t="n">
        <f aca="false">IF(AND(ISNUMBER(L242),L242&lt;&gt;0,ISNUMBER(M242)),100*M242/L242,"")</f>
        <v>90.9778738541942</v>
      </c>
      <c r="Q242" s="13" t="n">
        <f aca="false">IF(AND(ISNUMBER(F242),F242&lt;&gt;0,ISNUMBER(K242)),100*K242/F242,"")</f>
        <v>5.12380452322318</v>
      </c>
      <c r="R242" s="11" t="b">
        <f aca="false">AND(ISNUMBER(F242),F242&gt;0,ISNUMBER(G242),G242&gt;=0,ISNUMBER(H242),H242&gt;=0)</f>
        <v>1</v>
      </c>
      <c r="S242" s="13" t="n">
        <f aca="false">IF(R242,100*I242/F242,"")</f>
        <v>0.0357689756102828</v>
      </c>
      <c r="T242" s="11" t="b">
        <f aca="false">NOT(AND(OR(AND(ISBLANK(RawFinancials!B242),ISBLANK(_RawBaseline!B239)),AND(ISNUMBER(RawFinancials!B242),ISNUMBER(_RawBaseline!B239),RawFinancials!B242=_RawBaseline!B239)),OR(AND(ISBLANK(RawFinancials!U242),ISBLANK(_RawBaseline!U239)),AND(ISNUMBER(RawFinancials!U242),ISNUMBER(_RawBaseline!U239),RawFinancials!U242=_RawBaseline!U239)),OR(AND(ISBLANK(RawFinancials!O242),ISBLANK(_RawBaseline!O239)),AND(ISNUMBER(RawFinancials!O242),ISNUMBER(_RawBaseline!O239),RawFinancials!O242=_RawBaseline!O239))))</f>
        <v>0</v>
      </c>
      <c r="U242" s="13" t="n">
        <f aca="false">IF(AND(D242=WF_START_PERIOD,R242,COUNTIFS($B$5:$B$750,B242,$D$5:$D$750,WF_END_PERIOD,$R$5:$R$750,TRUE())&gt;0),SUMIFS($S$5:$S$750,$B$5:$B$750,B242,$D$5:$D$750,WF_END_PERIOD,$R$5:$R$750,TRUE()),0)</f>
        <v>0</v>
      </c>
      <c r="V242" s="0" t="str">
        <f aca="false">IF(AND(D242=WF_START_PERIOD,COUNTIFS($B$5:$B$750,B242,$D$5:$D$750,WF_END_PERIOD)&gt;0),INDEX($E$5:$E$750,MATCH(B242&amp;"|"&amp;WF_END_PERIOD,$AC$5:$AC$750,0)),"")</f>
        <v/>
      </c>
      <c r="W242" s="11" t="b">
        <f aca="false">COUNTIFS($B$5:$B$750,B242,$D$5:$D$750,WF_START_PERIOD,$R$5:$R$750,TRUE())&gt;0</f>
        <v>1</v>
      </c>
      <c r="X242" s="11" t="b">
        <f aca="false">COUNTIFS($B$5:$B$750,B242,$D$5:$D$750,WF_END_PERIOD,$R$5:$R$750,TRUE())&gt;0</f>
        <v>1</v>
      </c>
      <c r="Y242" s="0" t="str">
        <f aca="false">IF(AND(D242=WF_END_PERIOD,COUNTIFS($B$5:$B$750,B242,$D$5:$D$750,WF_START_PERIOD)&gt;0),INDEX($E$5:$E$750,MATCH(B242&amp;"|"&amp;WF_START_PERIOD,$AC$5:$AC$750,0)),"")</f>
        <v/>
      </c>
      <c r="Z242" s="0" t="str">
        <f aca="false">IF(AND(D242=WF_END_PERIOD,R242),1+COUNTIFS($D$5:$D$750,WF_END_PERIOD,$E$5:$E$750,E242,$R$5:$R$750,TRUE(),$S$5:$S$750,"&gt;"&amp;S242)+COUNTIFS($D$5:$D$750,WF_END_PERIOD,$E$5:$E$750,E242,$R$5:$R$750,TRUE(),$S$5:$S$750,S242,$B$5:$B$750,"&lt;"&amp;B242),"")</f>
        <v/>
      </c>
      <c r="AA242" s="0" t="str">
        <f aca="false">IF(AND(D242=WF_END_PERIOD,R242,Z242&lt;&gt;1),1+COUNTIFS($D$5:$D$750,WF_END_PERIOD,$R$5:$R$750,TRUE(),$Z$5:$Z$750,"&lt;&gt;1",$S$5:$S$750,"&gt;"&amp;S242)+COUNTIFS($D$5:$D$750,WF_END_PERIOD,$R$5:$R$750,TRUE(),$Z$5:$Z$750,"&lt;&gt;1",$S$5:$S$750,S242,$B$5:$B$750,"&lt;"&amp;B242),"")</f>
        <v/>
      </c>
      <c r="AB242" s="11" t="b">
        <f aca="false">OR(D242=WF_START_PERIOD,D242=WF_END_PERIOD)</f>
        <v>0</v>
      </c>
      <c r="AC242" s="0" t="str">
        <f aca="false">B242&amp;"|"&amp;D242</f>
        <v>18408|20230331</v>
      </c>
    </row>
    <row r="243" customFormat="false" ht="15" hidden="false" customHeight="false" outlineLevel="0" collapsed="false">
      <c r="A243" s="0" t="n">
        <f aca="false">RawFinancials!A243</f>
        <v>240</v>
      </c>
      <c r="B243" s="0" t="n">
        <f aca="false">RawFinancials!C243</f>
        <v>19531</v>
      </c>
      <c r="C243" s="0" t="str">
        <f aca="false">RawFinancials!P243</f>
        <v>MACHIAS SAVINGS BANK</v>
      </c>
      <c r="D243" s="0" t="n">
        <f aca="false">RawFinancials!W243</f>
        <v>20230331</v>
      </c>
      <c r="E243" s="0" t="str">
        <f aca="false">RawFinancials!Z243</f>
        <v>ME</v>
      </c>
      <c r="F243" s="0" t="n">
        <f aca="false">RawFinancials!B243</f>
        <v>2391401</v>
      </c>
      <c r="G243" s="0" t="n">
        <f aca="false">RawFinancials!U243</f>
        <v>0</v>
      </c>
      <c r="H243" s="0" t="n">
        <f aca="false">RawFinancials!O243</f>
        <v>14969</v>
      </c>
      <c r="I243" s="0" t="n">
        <f aca="false">IF(AND(ISNUMBER(G243),ISNUMBER(H243)),G243+H243,"")</f>
        <v>14969</v>
      </c>
      <c r="J243" s="0" t="n">
        <f aca="false">RawFinancials!D243</f>
        <v>1997122</v>
      </c>
      <c r="K243" s="0" t="n">
        <f aca="false">RawFinancials!F243</f>
        <v>231126</v>
      </c>
      <c r="L243" s="0" t="n">
        <f aca="false">RawFinancials!L243</f>
        <v>1912462</v>
      </c>
      <c r="M243" s="0" t="n">
        <f aca="false">RawFinancials!N243</f>
        <v>1564296</v>
      </c>
      <c r="N243" s="13" t="n">
        <f aca="false">RawFinancials!X243</f>
        <v>0.598798237021496</v>
      </c>
      <c r="O243" s="13" t="n">
        <f aca="false">RawFinancials!V243</f>
        <v>14.2370552569306</v>
      </c>
      <c r="P243" s="13" t="n">
        <f aca="false">IF(AND(ISNUMBER(L243),L243&lt;&gt;0,ISNUMBER(M243)),100*M243/L243,"")</f>
        <v>81.7948801074218</v>
      </c>
      <c r="Q243" s="13" t="n">
        <f aca="false">IF(AND(ISNUMBER(F243),F243&lt;&gt;0,ISNUMBER(K243)),100*K243/F243,"")</f>
        <v>9.66487845409448</v>
      </c>
      <c r="R243" s="11" t="b">
        <f aca="false">AND(ISNUMBER(F243),F243&gt;0,ISNUMBER(G243),G243&gt;=0,ISNUMBER(H243),H243&gt;=0)</f>
        <v>1</v>
      </c>
      <c r="S243" s="13" t="n">
        <f aca="false">IF(R243,100*I243/F243,"")</f>
        <v>0.625951063832456</v>
      </c>
      <c r="T243" s="11" t="b">
        <f aca="false">NOT(AND(OR(AND(ISBLANK(RawFinancials!B243),ISBLANK(_RawBaseline!B240)),AND(ISNUMBER(RawFinancials!B243),ISNUMBER(_RawBaseline!B240),RawFinancials!B243=_RawBaseline!B240)),OR(AND(ISBLANK(RawFinancials!U243),ISBLANK(_RawBaseline!U240)),AND(ISNUMBER(RawFinancials!U243),ISNUMBER(_RawBaseline!U240),RawFinancials!U243=_RawBaseline!U240)),OR(AND(ISBLANK(RawFinancials!O243),ISBLANK(_RawBaseline!O240)),AND(ISNUMBER(RawFinancials!O243),ISNUMBER(_RawBaseline!O240),RawFinancials!O243=_RawBaseline!O240))))</f>
        <v>0</v>
      </c>
      <c r="U243" s="13" t="n">
        <f aca="false">IF(AND(D243=WF_START_PERIOD,R243,COUNTIFS($B$5:$B$750,B243,$D$5:$D$750,WF_END_PERIOD,$R$5:$R$750,TRUE())&gt;0),SUMIFS($S$5:$S$750,$B$5:$B$750,B243,$D$5:$D$750,WF_END_PERIOD,$R$5:$R$750,TRUE()),0)</f>
        <v>0</v>
      </c>
      <c r="V243" s="0" t="str">
        <f aca="false">IF(AND(D243=WF_START_PERIOD,COUNTIFS($B$5:$B$750,B243,$D$5:$D$750,WF_END_PERIOD)&gt;0),INDEX($E$5:$E$750,MATCH(B243&amp;"|"&amp;WF_END_PERIOD,$AC$5:$AC$750,0)),"")</f>
        <v/>
      </c>
      <c r="W243" s="11" t="b">
        <f aca="false">COUNTIFS($B$5:$B$750,B243,$D$5:$D$750,WF_START_PERIOD,$R$5:$R$750,TRUE())&gt;0</f>
        <v>1</v>
      </c>
      <c r="X243" s="11" t="b">
        <f aca="false">COUNTIFS($B$5:$B$750,B243,$D$5:$D$750,WF_END_PERIOD,$R$5:$R$750,TRUE())&gt;0</f>
        <v>1</v>
      </c>
      <c r="Y243" s="0" t="str">
        <f aca="false">IF(AND(D243=WF_END_PERIOD,COUNTIFS($B$5:$B$750,B243,$D$5:$D$750,WF_START_PERIOD)&gt;0),INDEX($E$5:$E$750,MATCH(B243&amp;"|"&amp;WF_START_PERIOD,$AC$5:$AC$750,0)),"")</f>
        <v/>
      </c>
      <c r="Z243" s="0" t="str">
        <f aca="false">IF(AND(D243=WF_END_PERIOD,R243),1+COUNTIFS($D$5:$D$750,WF_END_PERIOD,$E$5:$E$750,E243,$R$5:$R$750,TRUE(),$S$5:$S$750,"&gt;"&amp;S243)+COUNTIFS($D$5:$D$750,WF_END_PERIOD,$E$5:$E$750,E243,$R$5:$R$750,TRUE(),$S$5:$S$750,S243,$B$5:$B$750,"&lt;"&amp;B243),"")</f>
        <v/>
      </c>
      <c r="AA243" s="0" t="str">
        <f aca="false">IF(AND(D243=WF_END_PERIOD,R243,Z243&lt;&gt;1),1+COUNTIFS($D$5:$D$750,WF_END_PERIOD,$R$5:$R$750,TRUE(),$Z$5:$Z$750,"&lt;&gt;1",$S$5:$S$750,"&gt;"&amp;S243)+COUNTIFS($D$5:$D$750,WF_END_PERIOD,$R$5:$R$750,TRUE(),$Z$5:$Z$750,"&lt;&gt;1",$S$5:$S$750,S243,$B$5:$B$750,"&lt;"&amp;B243),"")</f>
        <v/>
      </c>
      <c r="AB243" s="11" t="b">
        <f aca="false">OR(D243=WF_START_PERIOD,D243=WF_END_PERIOD)</f>
        <v>0</v>
      </c>
      <c r="AC243" s="0" t="str">
        <f aca="false">B243&amp;"|"&amp;D243</f>
        <v>19531|20230331</v>
      </c>
    </row>
    <row r="244" customFormat="false" ht="15" hidden="false" customHeight="false" outlineLevel="0" collapsed="false">
      <c r="A244" s="0" t="n">
        <f aca="false">RawFinancials!A244</f>
        <v>241</v>
      </c>
      <c r="B244" s="0" t="n">
        <f aca="false">RawFinancials!C244</f>
        <v>19532</v>
      </c>
      <c r="C244" s="0" t="str">
        <f aca="false">RawFinancials!P244</f>
        <v>SKOWHEGAN SAVINGS BANK</v>
      </c>
      <c r="D244" s="0" t="n">
        <f aca="false">RawFinancials!W244</f>
        <v>20230331</v>
      </c>
      <c r="E244" s="0" t="str">
        <f aca="false">RawFinancials!Z244</f>
        <v>ME</v>
      </c>
      <c r="F244" s="0" t="n">
        <f aca="false">RawFinancials!B244</f>
        <v>781513</v>
      </c>
      <c r="G244" s="0" t="n">
        <f aca="false">RawFinancials!U244</f>
        <v>0</v>
      </c>
      <c r="H244" s="0" t="n">
        <f aca="false">RawFinancials!O244</f>
        <v>712</v>
      </c>
      <c r="I244" s="0" t="n">
        <f aca="false">IF(AND(ISNUMBER(G244),ISNUMBER(H244)),G244+H244,"")</f>
        <v>712</v>
      </c>
      <c r="J244" s="0" t="n">
        <f aca="false">RawFinancials!D244</f>
        <v>676028</v>
      </c>
      <c r="K244" s="0" t="n">
        <f aca="false">RawFinancials!F244</f>
        <v>91464</v>
      </c>
      <c r="L244" s="0" t="n">
        <f aca="false">RawFinancials!L244</f>
        <v>558105</v>
      </c>
      <c r="M244" s="0" t="n">
        <f aca="false">RawFinancials!N244</f>
        <v>465968</v>
      </c>
      <c r="N244" s="13" t="n">
        <f aca="false">RawFinancials!X244</f>
        <v>0.829366675964692</v>
      </c>
      <c r="O244" s="13" t="n">
        <f aca="false">RawFinancials!V244</f>
        <v>21.6495094755333</v>
      </c>
      <c r="P244" s="13" t="n">
        <f aca="false">IF(AND(ISNUMBER(L244),L244&lt;&gt;0,ISNUMBER(M244)),100*M244/L244,"")</f>
        <v>83.4910993451053</v>
      </c>
      <c r="Q244" s="13" t="n">
        <f aca="false">IF(AND(ISNUMBER(F244),F244&lt;&gt;0,ISNUMBER(K244)),100*K244/F244,"")</f>
        <v>11.7034521498683</v>
      </c>
      <c r="R244" s="11" t="b">
        <f aca="false">AND(ISNUMBER(F244),F244&gt;0,ISNUMBER(G244),G244&gt;=0,ISNUMBER(H244),H244&gt;=0)</f>
        <v>1</v>
      </c>
      <c r="S244" s="13" t="n">
        <f aca="false">IF(R244,100*I244/F244,"")</f>
        <v>0.0911053303016073</v>
      </c>
      <c r="T244" s="11" t="b">
        <f aca="false">NOT(AND(OR(AND(ISBLANK(RawFinancials!B244),ISBLANK(_RawBaseline!B241)),AND(ISNUMBER(RawFinancials!B244),ISNUMBER(_RawBaseline!B241),RawFinancials!B244=_RawBaseline!B241)),OR(AND(ISBLANK(RawFinancials!U244),ISBLANK(_RawBaseline!U241)),AND(ISNUMBER(RawFinancials!U244),ISNUMBER(_RawBaseline!U241),RawFinancials!U244=_RawBaseline!U241)),OR(AND(ISBLANK(RawFinancials!O244),ISBLANK(_RawBaseline!O241)),AND(ISNUMBER(RawFinancials!O244),ISNUMBER(_RawBaseline!O241),RawFinancials!O244=_RawBaseline!O241))))</f>
        <v>0</v>
      </c>
      <c r="U244" s="13" t="n">
        <f aca="false">IF(AND(D244=WF_START_PERIOD,R244,COUNTIFS($B$5:$B$750,B244,$D$5:$D$750,WF_END_PERIOD,$R$5:$R$750,TRUE())&gt;0),SUMIFS($S$5:$S$750,$B$5:$B$750,B244,$D$5:$D$750,WF_END_PERIOD,$R$5:$R$750,TRUE()),0)</f>
        <v>0</v>
      </c>
      <c r="V244" s="0" t="str">
        <f aca="false">IF(AND(D244=WF_START_PERIOD,COUNTIFS($B$5:$B$750,B244,$D$5:$D$750,WF_END_PERIOD)&gt;0),INDEX($E$5:$E$750,MATCH(B244&amp;"|"&amp;WF_END_PERIOD,$AC$5:$AC$750,0)),"")</f>
        <v/>
      </c>
      <c r="W244" s="11" t="b">
        <f aca="false">COUNTIFS($B$5:$B$750,B244,$D$5:$D$750,WF_START_PERIOD,$R$5:$R$750,TRUE())&gt;0</f>
        <v>1</v>
      </c>
      <c r="X244" s="11" t="b">
        <f aca="false">COUNTIFS($B$5:$B$750,B244,$D$5:$D$750,WF_END_PERIOD,$R$5:$R$750,TRUE())&gt;0</f>
        <v>1</v>
      </c>
      <c r="Y244" s="0" t="str">
        <f aca="false">IF(AND(D244=WF_END_PERIOD,COUNTIFS($B$5:$B$750,B244,$D$5:$D$750,WF_START_PERIOD)&gt;0),INDEX($E$5:$E$750,MATCH(B244&amp;"|"&amp;WF_START_PERIOD,$AC$5:$AC$750,0)),"")</f>
        <v/>
      </c>
      <c r="Z244" s="0" t="str">
        <f aca="false">IF(AND(D244=WF_END_PERIOD,R244),1+COUNTIFS($D$5:$D$750,WF_END_PERIOD,$E$5:$E$750,E244,$R$5:$R$750,TRUE(),$S$5:$S$750,"&gt;"&amp;S244)+COUNTIFS($D$5:$D$750,WF_END_PERIOD,$E$5:$E$750,E244,$R$5:$R$750,TRUE(),$S$5:$S$750,S244,$B$5:$B$750,"&lt;"&amp;B244),"")</f>
        <v/>
      </c>
      <c r="AA244" s="0" t="str">
        <f aca="false">IF(AND(D244=WF_END_PERIOD,R244,Z244&lt;&gt;1),1+COUNTIFS($D$5:$D$750,WF_END_PERIOD,$R$5:$R$750,TRUE(),$Z$5:$Z$750,"&lt;&gt;1",$S$5:$S$750,"&gt;"&amp;S244)+COUNTIFS($D$5:$D$750,WF_END_PERIOD,$R$5:$R$750,TRUE(),$Z$5:$Z$750,"&lt;&gt;1",$S$5:$S$750,S244,$B$5:$B$750,"&lt;"&amp;B244),"")</f>
        <v/>
      </c>
      <c r="AB244" s="11" t="b">
        <f aca="false">OR(D244=WF_START_PERIOD,D244=WF_END_PERIOD)</f>
        <v>0</v>
      </c>
      <c r="AC244" s="0" t="str">
        <f aca="false">B244&amp;"|"&amp;D244</f>
        <v>19532|20230331</v>
      </c>
    </row>
    <row r="245" customFormat="false" ht="15" hidden="false" customHeight="false" outlineLevel="0" collapsed="false">
      <c r="A245" s="0" t="n">
        <f aca="false">RawFinancials!A245</f>
        <v>242</v>
      </c>
      <c r="B245" s="0" t="n">
        <f aca="false">RawFinancials!C245</f>
        <v>19690</v>
      </c>
      <c r="C245" s="0" t="str">
        <f aca="false">RawFinancials!P245</f>
        <v>NORTHEAST BANK</v>
      </c>
      <c r="D245" s="0" t="n">
        <f aca="false">RawFinancials!W245</f>
        <v>20230331</v>
      </c>
      <c r="E245" s="0" t="str">
        <f aca="false">RawFinancials!Z245</f>
        <v>ME</v>
      </c>
      <c r="F245" s="0" t="n">
        <f aca="false">RawFinancials!B245</f>
        <v>2866479</v>
      </c>
      <c r="G245" s="0" t="n">
        <f aca="false">RawFinancials!U245</f>
        <v>0</v>
      </c>
      <c r="H245" s="0" t="n">
        <f aca="false">RawFinancials!O245</f>
        <v>14522</v>
      </c>
      <c r="I245" s="0" t="n">
        <f aca="false">IF(AND(ISNUMBER(G245),ISNUMBER(H245)),G245+H245,"")</f>
        <v>14522</v>
      </c>
      <c r="J245" s="0" t="n">
        <f aca="false">RawFinancials!D245</f>
        <v>2150204</v>
      </c>
      <c r="K245" s="0" t="n">
        <f aca="false">RawFinancials!F245</f>
        <v>283869</v>
      </c>
      <c r="L245" s="0" t="n">
        <f aca="false">RawFinancials!L245</f>
        <v>2509795</v>
      </c>
      <c r="M245" s="0" t="n">
        <f aca="false">RawFinancials!N245</f>
        <v>2010351</v>
      </c>
      <c r="N245" s="13" t="n">
        <f aca="false">RawFinancials!X245</f>
        <v>1.76423215572799</v>
      </c>
      <c r="O245" s="13" t="n">
        <f aca="false">RawFinancials!V245</f>
        <v>11.8894271150854</v>
      </c>
      <c r="P245" s="13" t="n">
        <f aca="false">IF(AND(ISNUMBER(L245),L245&lt;&gt;0,ISNUMBER(M245)),100*M245/L245,"")</f>
        <v>80.100207387456</v>
      </c>
      <c r="Q245" s="13" t="n">
        <f aca="false">IF(AND(ISNUMBER(F245),F245&lt;&gt;0,ISNUMBER(K245)),100*K245/F245,"")</f>
        <v>9.9030552814097</v>
      </c>
      <c r="R245" s="11" t="b">
        <f aca="false">AND(ISNUMBER(F245),F245&gt;0,ISNUMBER(G245),G245&gt;=0,ISNUMBER(H245),H245&gt;=0)</f>
        <v>1</v>
      </c>
      <c r="S245" s="13" t="n">
        <f aca="false">IF(R245,100*I245/F245,"")</f>
        <v>0.506614560929977</v>
      </c>
      <c r="T245" s="11" t="b">
        <f aca="false">NOT(AND(OR(AND(ISBLANK(RawFinancials!B245),ISBLANK(_RawBaseline!B242)),AND(ISNUMBER(RawFinancials!B245),ISNUMBER(_RawBaseline!B242),RawFinancials!B245=_RawBaseline!B242)),OR(AND(ISBLANK(RawFinancials!U245),ISBLANK(_RawBaseline!U242)),AND(ISNUMBER(RawFinancials!U245),ISNUMBER(_RawBaseline!U242),RawFinancials!U245=_RawBaseline!U242)),OR(AND(ISBLANK(RawFinancials!O245),ISBLANK(_RawBaseline!O242)),AND(ISNUMBER(RawFinancials!O245),ISNUMBER(_RawBaseline!O242),RawFinancials!O245=_RawBaseline!O242))))</f>
        <v>0</v>
      </c>
      <c r="U245" s="13" t="n">
        <f aca="false">IF(AND(D245=WF_START_PERIOD,R245,COUNTIFS($B$5:$B$750,B245,$D$5:$D$750,WF_END_PERIOD,$R$5:$R$750,TRUE())&gt;0),SUMIFS($S$5:$S$750,$B$5:$B$750,B245,$D$5:$D$750,WF_END_PERIOD,$R$5:$R$750,TRUE()),0)</f>
        <v>0</v>
      </c>
      <c r="V245" s="0" t="str">
        <f aca="false">IF(AND(D245=WF_START_PERIOD,COUNTIFS($B$5:$B$750,B245,$D$5:$D$750,WF_END_PERIOD)&gt;0),INDEX($E$5:$E$750,MATCH(B245&amp;"|"&amp;WF_END_PERIOD,$AC$5:$AC$750,0)),"")</f>
        <v/>
      </c>
      <c r="W245" s="11" t="b">
        <f aca="false">COUNTIFS($B$5:$B$750,B245,$D$5:$D$750,WF_START_PERIOD,$R$5:$R$750,TRUE())&gt;0</f>
        <v>1</v>
      </c>
      <c r="X245" s="11" t="b">
        <f aca="false">COUNTIFS($B$5:$B$750,B245,$D$5:$D$750,WF_END_PERIOD,$R$5:$R$750,TRUE())&gt;0</f>
        <v>1</v>
      </c>
      <c r="Y245" s="0" t="str">
        <f aca="false">IF(AND(D245=WF_END_PERIOD,COUNTIFS($B$5:$B$750,B245,$D$5:$D$750,WF_START_PERIOD)&gt;0),INDEX($E$5:$E$750,MATCH(B245&amp;"|"&amp;WF_START_PERIOD,$AC$5:$AC$750,0)),"")</f>
        <v/>
      </c>
      <c r="Z245" s="0" t="str">
        <f aca="false">IF(AND(D245=WF_END_PERIOD,R245),1+COUNTIFS($D$5:$D$750,WF_END_PERIOD,$E$5:$E$750,E245,$R$5:$R$750,TRUE(),$S$5:$S$750,"&gt;"&amp;S245)+COUNTIFS($D$5:$D$750,WF_END_PERIOD,$E$5:$E$750,E245,$R$5:$R$750,TRUE(),$S$5:$S$750,S245,$B$5:$B$750,"&lt;"&amp;B245),"")</f>
        <v/>
      </c>
      <c r="AA245" s="0" t="str">
        <f aca="false">IF(AND(D245=WF_END_PERIOD,R245,Z245&lt;&gt;1),1+COUNTIFS($D$5:$D$750,WF_END_PERIOD,$R$5:$R$750,TRUE(),$Z$5:$Z$750,"&lt;&gt;1",$S$5:$S$750,"&gt;"&amp;S245)+COUNTIFS($D$5:$D$750,WF_END_PERIOD,$R$5:$R$750,TRUE(),$Z$5:$Z$750,"&lt;&gt;1",$S$5:$S$750,S245,$B$5:$B$750,"&lt;"&amp;B245),"")</f>
        <v/>
      </c>
      <c r="AB245" s="11" t="b">
        <f aca="false">OR(D245=WF_START_PERIOD,D245=WF_END_PERIOD)</f>
        <v>0</v>
      </c>
      <c r="AC245" s="0" t="str">
        <f aca="false">B245&amp;"|"&amp;D245</f>
        <v>19690|20230331</v>
      </c>
    </row>
    <row r="246" customFormat="false" ht="15" hidden="false" customHeight="false" outlineLevel="0" collapsed="false">
      <c r="A246" s="0" t="n">
        <f aca="false">RawFinancials!A246</f>
        <v>243</v>
      </c>
      <c r="B246" s="0" t="n">
        <f aca="false">RawFinancials!C246</f>
        <v>19836</v>
      </c>
      <c r="C246" s="0" t="str">
        <f aca="false">RawFinancials!P246</f>
        <v>FRANKLIN SAVINGS BANK</v>
      </c>
      <c r="D246" s="0" t="n">
        <f aca="false">RawFinancials!W246</f>
        <v>20230331</v>
      </c>
      <c r="E246" s="0" t="str">
        <f aca="false">RawFinancials!Z246</f>
        <v>ME</v>
      </c>
      <c r="F246" s="0" t="n">
        <f aca="false">RawFinancials!B246</f>
        <v>600233</v>
      </c>
      <c r="G246" s="0" t="n">
        <f aca="false">RawFinancials!U246</f>
        <v>40</v>
      </c>
      <c r="H246" s="0" t="n">
        <f aca="false">RawFinancials!O246</f>
        <v>2423</v>
      </c>
      <c r="I246" s="0" t="n">
        <f aca="false">IF(AND(ISNUMBER(G246),ISNUMBER(H246)),G246+H246,"")</f>
        <v>2463</v>
      </c>
      <c r="J246" s="0" t="n">
        <f aca="false">RawFinancials!D246</f>
        <v>442530</v>
      </c>
      <c r="K246" s="0" t="n">
        <f aca="false">RawFinancials!F246</f>
        <v>118387</v>
      </c>
      <c r="L246" s="0" t="n">
        <f aca="false">RawFinancials!L246</f>
        <v>497024</v>
      </c>
      <c r="M246" s="0" t="n">
        <f aca="false">RawFinancials!N246</f>
        <v>430517</v>
      </c>
      <c r="N246" s="13" t="n">
        <f aca="false">RawFinancials!X246</f>
        <v>0.661549552605912</v>
      </c>
      <c r="O246" s="13" t="n">
        <f aca="false">RawFinancials!V246</f>
        <v>27.6259114445736</v>
      </c>
      <c r="P246" s="13" t="n">
        <f aca="false">IF(AND(ISNUMBER(L246),L246&lt;&gt;0,ISNUMBER(M246)),100*M246/L246,"")</f>
        <v>86.6189560262684</v>
      </c>
      <c r="Q246" s="13" t="n">
        <f aca="false">IF(AND(ISNUMBER(F246),F246&lt;&gt;0,ISNUMBER(K246)),100*K246/F246,"")</f>
        <v>19.7235073713041</v>
      </c>
      <c r="R246" s="11" t="b">
        <f aca="false">AND(ISNUMBER(F246),F246&gt;0,ISNUMBER(G246),G246&gt;=0,ISNUMBER(H246),H246&gt;=0)</f>
        <v>1</v>
      </c>
      <c r="S246" s="13" t="n">
        <f aca="false">IF(R246,100*I246/F246,"")</f>
        <v>0.410340651047177</v>
      </c>
      <c r="T246" s="11" t="b">
        <f aca="false">NOT(AND(OR(AND(ISBLANK(RawFinancials!B246),ISBLANK(_RawBaseline!B243)),AND(ISNUMBER(RawFinancials!B246),ISNUMBER(_RawBaseline!B243),RawFinancials!B246=_RawBaseline!B243)),OR(AND(ISBLANK(RawFinancials!U246),ISBLANK(_RawBaseline!U243)),AND(ISNUMBER(RawFinancials!U246),ISNUMBER(_RawBaseline!U243),RawFinancials!U246=_RawBaseline!U243)),OR(AND(ISBLANK(RawFinancials!O246),ISBLANK(_RawBaseline!O243)),AND(ISNUMBER(RawFinancials!O246),ISNUMBER(_RawBaseline!O243),RawFinancials!O246=_RawBaseline!O243))))</f>
        <v>0</v>
      </c>
      <c r="U246" s="13" t="n">
        <f aca="false">IF(AND(D246=WF_START_PERIOD,R246,COUNTIFS($B$5:$B$750,B246,$D$5:$D$750,WF_END_PERIOD,$R$5:$R$750,TRUE())&gt;0),SUMIFS($S$5:$S$750,$B$5:$B$750,B246,$D$5:$D$750,WF_END_PERIOD,$R$5:$R$750,TRUE()),0)</f>
        <v>0</v>
      </c>
      <c r="V246" s="0" t="str">
        <f aca="false">IF(AND(D246=WF_START_PERIOD,COUNTIFS($B$5:$B$750,B246,$D$5:$D$750,WF_END_PERIOD)&gt;0),INDEX($E$5:$E$750,MATCH(B246&amp;"|"&amp;WF_END_PERIOD,$AC$5:$AC$750,0)),"")</f>
        <v/>
      </c>
      <c r="W246" s="11" t="b">
        <f aca="false">COUNTIFS($B$5:$B$750,B246,$D$5:$D$750,WF_START_PERIOD,$R$5:$R$750,TRUE())&gt;0</f>
        <v>1</v>
      </c>
      <c r="X246" s="11" t="b">
        <f aca="false">COUNTIFS($B$5:$B$750,B246,$D$5:$D$750,WF_END_PERIOD,$R$5:$R$750,TRUE())&gt;0</f>
        <v>1</v>
      </c>
      <c r="Y246" s="0" t="str">
        <f aca="false">IF(AND(D246=WF_END_PERIOD,COUNTIFS($B$5:$B$750,B246,$D$5:$D$750,WF_START_PERIOD)&gt;0),INDEX($E$5:$E$750,MATCH(B246&amp;"|"&amp;WF_START_PERIOD,$AC$5:$AC$750,0)),"")</f>
        <v/>
      </c>
      <c r="Z246" s="0" t="str">
        <f aca="false">IF(AND(D246=WF_END_PERIOD,R246),1+COUNTIFS($D$5:$D$750,WF_END_PERIOD,$E$5:$E$750,E246,$R$5:$R$750,TRUE(),$S$5:$S$750,"&gt;"&amp;S246)+COUNTIFS($D$5:$D$750,WF_END_PERIOD,$E$5:$E$750,E246,$R$5:$R$750,TRUE(),$S$5:$S$750,S246,$B$5:$B$750,"&lt;"&amp;B246),"")</f>
        <v/>
      </c>
      <c r="AA246" s="0" t="str">
        <f aca="false">IF(AND(D246=WF_END_PERIOD,R246,Z246&lt;&gt;1),1+COUNTIFS($D$5:$D$750,WF_END_PERIOD,$R$5:$R$750,TRUE(),$Z$5:$Z$750,"&lt;&gt;1",$S$5:$S$750,"&gt;"&amp;S246)+COUNTIFS($D$5:$D$750,WF_END_PERIOD,$R$5:$R$750,TRUE(),$Z$5:$Z$750,"&lt;&gt;1",$S$5:$S$750,S246,$B$5:$B$750,"&lt;"&amp;B246),"")</f>
        <v/>
      </c>
      <c r="AB246" s="11" t="b">
        <f aca="false">OR(D246=WF_START_PERIOD,D246=WF_END_PERIOD)</f>
        <v>0</v>
      </c>
      <c r="AC246" s="0" t="str">
        <f aca="false">B246&amp;"|"&amp;D246</f>
        <v>19836|20230331</v>
      </c>
    </row>
    <row r="247" customFormat="false" ht="15" hidden="false" customHeight="false" outlineLevel="0" collapsed="false">
      <c r="A247" s="0" t="n">
        <f aca="false">RawFinancials!A247</f>
        <v>244</v>
      </c>
      <c r="B247" s="0" t="n">
        <f aca="false">RawFinancials!C247</f>
        <v>24540</v>
      </c>
      <c r="C247" s="0" t="str">
        <f aca="false">RawFinancials!P247</f>
        <v>BANK OF NEW ENGLAND</v>
      </c>
      <c r="D247" s="0" t="n">
        <f aca="false">RawFinancials!W247</f>
        <v>20230331</v>
      </c>
      <c r="E247" s="0" t="str">
        <f aca="false">RawFinancials!Z247</f>
        <v>NH</v>
      </c>
      <c r="F247" s="0" t="n">
        <f aca="false">RawFinancials!B247</f>
        <v>1306028</v>
      </c>
      <c r="G247" s="0" t="n">
        <f aca="false">RawFinancials!U247</f>
        <v>0</v>
      </c>
      <c r="H247" s="0" t="n">
        <f aca="false">RawFinancials!O247</f>
        <v>358</v>
      </c>
      <c r="I247" s="0" t="n">
        <f aca="false">IF(AND(ISNUMBER(G247),ISNUMBER(H247)),G247+H247,"")</f>
        <v>358</v>
      </c>
      <c r="J247" s="0" t="n">
        <f aca="false">RawFinancials!D247</f>
        <v>1050825</v>
      </c>
      <c r="K247" s="0" t="n">
        <f aca="false">RawFinancials!F247</f>
        <v>223212</v>
      </c>
      <c r="L247" s="0" t="n">
        <f aca="false">RawFinancials!L247</f>
        <v>1134464</v>
      </c>
      <c r="M247" s="0" t="n">
        <f aca="false">RawFinancials!N247</f>
        <v>1099219</v>
      </c>
      <c r="N247" s="13" t="n">
        <f aca="false">RawFinancials!X247</f>
        <v>2.21929184669772</v>
      </c>
      <c r="O247" s="13" t="n">
        <f aca="false">RawFinancials!V247</f>
        <v>0</v>
      </c>
      <c r="P247" s="13" t="n">
        <f aca="false">IF(AND(ISNUMBER(L247),L247&lt;&gt;0,ISNUMBER(M247)),100*M247/L247,"")</f>
        <v>96.893246502313</v>
      </c>
      <c r="Q247" s="13" t="n">
        <f aca="false">IF(AND(ISNUMBER(F247),F247&lt;&gt;0,ISNUMBER(K247)),100*K247/F247,"")</f>
        <v>17.0909046360415</v>
      </c>
      <c r="R247" s="11" t="b">
        <f aca="false">AND(ISNUMBER(F247),F247&gt;0,ISNUMBER(G247),G247&gt;=0,ISNUMBER(H247),H247&gt;=0)</f>
        <v>1</v>
      </c>
      <c r="S247" s="13" t="n">
        <f aca="false">IF(R247,100*I247/F247,"")</f>
        <v>0.0274113571837664</v>
      </c>
      <c r="T247" s="11" t="b">
        <f aca="false">NOT(AND(OR(AND(ISBLANK(RawFinancials!B247),ISBLANK(_RawBaseline!B244)),AND(ISNUMBER(RawFinancials!B247),ISNUMBER(_RawBaseline!B244),RawFinancials!B247=_RawBaseline!B244)),OR(AND(ISBLANK(RawFinancials!U247),ISBLANK(_RawBaseline!U244)),AND(ISNUMBER(RawFinancials!U247),ISNUMBER(_RawBaseline!U244),RawFinancials!U247=_RawBaseline!U244)),OR(AND(ISBLANK(RawFinancials!O247),ISBLANK(_RawBaseline!O244)),AND(ISNUMBER(RawFinancials!O247),ISNUMBER(_RawBaseline!O244),RawFinancials!O247=_RawBaseline!O244))))</f>
        <v>0</v>
      </c>
      <c r="U247" s="13" t="n">
        <f aca="false">IF(AND(D247=WF_START_PERIOD,R247,COUNTIFS($B$5:$B$750,B247,$D$5:$D$750,WF_END_PERIOD,$R$5:$R$750,TRUE())&gt;0),SUMIFS($S$5:$S$750,$B$5:$B$750,B247,$D$5:$D$750,WF_END_PERIOD,$R$5:$R$750,TRUE()),0)</f>
        <v>0</v>
      </c>
      <c r="V247" s="0" t="str">
        <f aca="false">IF(AND(D247=WF_START_PERIOD,COUNTIFS($B$5:$B$750,B247,$D$5:$D$750,WF_END_PERIOD)&gt;0),INDEX($E$5:$E$750,MATCH(B247&amp;"|"&amp;WF_END_PERIOD,$AC$5:$AC$750,0)),"")</f>
        <v/>
      </c>
      <c r="W247" s="11" t="b">
        <f aca="false">COUNTIFS($B$5:$B$750,B247,$D$5:$D$750,WF_START_PERIOD,$R$5:$R$750,TRUE())&gt;0</f>
        <v>1</v>
      </c>
      <c r="X247" s="11" t="b">
        <f aca="false">COUNTIFS($B$5:$B$750,B247,$D$5:$D$750,WF_END_PERIOD,$R$5:$R$750,TRUE())&gt;0</f>
        <v>1</v>
      </c>
      <c r="Y247" s="0" t="str">
        <f aca="false">IF(AND(D247=WF_END_PERIOD,COUNTIFS($B$5:$B$750,B247,$D$5:$D$750,WF_START_PERIOD)&gt;0),INDEX($E$5:$E$750,MATCH(B247&amp;"|"&amp;WF_START_PERIOD,$AC$5:$AC$750,0)),"")</f>
        <v/>
      </c>
      <c r="Z247" s="0" t="str">
        <f aca="false">IF(AND(D247=WF_END_PERIOD,R247),1+COUNTIFS($D$5:$D$750,WF_END_PERIOD,$E$5:$E$750,E247,$R$5:$R$750,TRUE(),$S$5:$S$750,"&gt;"&amp;S247)+COUNTIFS($D$5:$D$750,WF_END_PERIOD,$E$5:$E$750,E247,$R$5:$R$750,TRUE(),$S$5:$S$750,S247,$B$5:$B$750,"&lt;"&amp;B247),"")</f>
        <v/>
      </c>
      <c r="AA247" s="0" t="str">
        <f aca="false">IF(AND(D247=WF_END_PERIOD,R247,Z247&lt;&gt;1),1+COUNTIFS($D$5:$D$750,WF_END_PERIOD,$R$5:$R$750,TRUE(),$Z$5:$Z$750,"&lt;&gt;1",$S$5:$S$750,"&gt;"&amp;S247)+COUNTIFS($D$5:$D$750,WF_END_PERIOD,$R$5:$R$750,TRUE(),$Z$5:$Z$750,"&lt;&gt;1",$S$5:$S$750,S247,$B$5:$B$750,"&lt;"&amp;B247),"")</f>
        <v/>
      </c>
      <c r="AB247" s="11" t="b">
        <f aca="false">OR(D247=WF_START_PERIOD,D247=WF_END_PERIOD)</f>
        <v>0</v>
      </c>
      <c r="AC247" s="0" t="str">
        <f aca="false">B247&amp;"|"&amp;D247</f>
        <v>24540|20230331</v>
      </c>
    </row>
    <row r="248" customFormat="false" ht="15" hidden="false" customHeight="false" outlineLevel="0" collapsed="false">
      <c r="A248" s="0" t="n">
        <f aca="false">RawFinancials!A248</f>
        <v>245</v>
      </c>
      <c r="B248" s="0" t="n">
        <f aca="false">RawFinancials!C248</f>
        <v>27824</v>
      </c>
      <c r="C248" s="0" t="str">
        <f aca="false">RawFinancials!P248</f>
        <v>SALEM CO-OPERATIVE BANK</v>
      </c>
      <c r="D248" s="0" t="n">
        <f aca="false">RawFinancials!W248</f>
        <v>20230331</v>
      </c>
      <c r="E248" s="0" t="str">
        <f aca="false">RawFinancials!Z248</f>
        <v>NH</v>
      </c>
      <c r="F248" s="0" t="n">
        <f aca="false">RawFinancials!B248</f>
        <v>495672</v>
      </c>
      <c r="G248" s="0" t="n">
        <f aca="false">RawFinancials!U248</f>
        <v>0</v>
      </c>
      <c r="H248" s="0" t="n">
        <f aca="false">RawFinancials!O248</f>
        <v>1218</v>
      </c>
      <c r="I248" s="0" t="n">
        <f aca="false">IF(AND(ISNUMBER(G248),ISNUMBER(H248)),G248+H248,"")</f>
        <v>1218</v>
      </c>
      <c r="J248" s="0" t="n">
        <f aca="false">RawFinancials!D248</f>
        <v>388458</v>
      </c>
      <c r="K248" s="0" t="n">
        <f aca="false">RawFinancials!F248</f>
        <v>66508</v>
      </c>
      <c r="L248" s="0" t="n">
        <f aca="false">RawFinancials!L248</f>
        <v>409171</v>
      </c>
      <c r="M248" s="0" t="n">
        <f aca="false">RawFinancials!N248</f>
        <v>347963</v>
      </c>
      <c r="N248" s="13" t="n">
        <f aca="false">RawFinancials!X248</f>
        <v>-0.20429258605113</v>
      </c>
      <c r="O248" s="13" t="n">
        <f aca="false">RawFinancials!V248</f>
        <v>23.0543893100379</v>
      </c>
      <c r="P248" s="13" t="n">
        <f aca="false">IF(AND(ISNUMBER(L248),L248&lt;&gt;0,ISNUMBER(M248)),100*M248/L248,"")</f>
        <v>85.0409730894907</v>
      </c>
      <c r="Q248" s="13" t="n">
        <f aca="false">IF(AND(ISNUMBER(F248),F248&lt;&gt;0,ISNUMBER(K248)),100*K248/F248,"")</f>
        <v>13.4177439919947</v>
      </c>
      <c r="R248" s="11" t="b">
        <f aca="false">AND(ISNUMBER(F248),F248&gt;0,ISNUMBER(G248),G248&gt;=0,ISNUMBER(H248),H248&gt;=0)</f>
        <v>1</v>
      </c>
      <c r="S248" s="13" t="n">
        <f aca="false">IF(R248,100*I248/F248,"")</f>
        <v>0.245727013024742</v>
      </c>
      <c r="T248" s="11" t="b">
        <f aca="false">NOT(AND(OR(AND(ISBLANK(RawFinancials!B248),ISBLANK(_RawBaseline!B245)),AND(ISNUMBER(RawFinancials!B248),ISNUMBER(_RawBaseline!B245),RawFinancials!B248=_RawBaseline!B245)),OR(AND(ISBLANK(RawFinancials!U248),ISBLANK(_RawBaseline!U245)),AND(ISNUMBER(RawFinancials!U248),ISNUMBER(_RawBaseline!U245),RawFinancials!U248=_RawBaseline!U245)),OR(AND(ISBLANK(RawFinancials!O248),ISBLANK(_RawBaseline!O245)),AND(ISNUMBER(RawFinancials!O248),ISNUMBER(_RawBaseline!O245),RawFinancials!O248=_RawBaseline!O245))))</f>
        <v>0</v>
      </c>
      <c r="U248" s="13" t="n">
        <f aca="false">IF(AND(D248=WF_START_PERIOD,R248,COUNTIFS($B$5:$B$750,B248,$D$5:$D$750,WF_END_PERIOD,$R$5:$R$750,TRUE())&gt;0),SUMIFS($S$5:$S$750,$B$5:$B$750,B248,$D$5:$D$750,WF_END_PERIOD,$R$5:$R$750,TRUE()),0)</f>
        <v>0</v>
      </c>
      <c r="V248" s="0" t="str">
        <f aca="false">IF(AND(D248=WF_START_PERIOD,COUNTIFS($B$5:$B$750,B248,$D$5:$D$750,WF_END_PERIOD)&gt;0),INDEX($E$5:$E$750,MATCH(B248&amp;"|"&amp;WF_END_PERIOD,$AC$5:$AC$750,0)),"")</f>
        <v/>
      </c>
      <c r="W248" s="11" t="b">
        <f aca="false">COUNTIFS($B$5:$B$750,B248,$D$5:$D$750,WF_START_PERIOD,$R$5:$R$750,TRUE())&gt;0</f>
        <v>1</v>
      </c>
      <c r="X248" s="11" t="b">
        <f aca="false">COUNTIFS($B$5:$B$750,B248,$D$5:$D$750,WF_END_PERIOD,$R$5:$R$750,TRUE())&gt;0</f>
        <v>1</v>
      </c>
      <c r="Y248" s="0" t="str">
        <f aca="false">IF(AND(D248=WF_END_PERIOD,COUNTIFS($B$5:$B$750,B248,$D$5:$D$750,WF_START_PERIOD)&gt;0),INDEX($E$5:$E$750,MATCH(B248&amp;"|"&amp;WF_START_PERIOD,$AC$5:$AC$750,0)),"")</f>
        <v/>
      </c>
      <c r="Z248" s="0" t="str">
        <f aca="false">IF(AND(D248=WF_END_PERIOD,R248),1+COUNTIFS($D$5:$D$750,WF_END_PERIOD,$E$5:$E$750,E248,$R$5:$R$750,TRUE(),$S$5:$S$750,"&gt;"&amp;S248)+COUNTIFS($D$5:$D$750,WF_END_PERIOD,$E$5:$E$750,E248,$R$5:$R$750,TRUE(),$S$5:$S$750,S248,$B$5:$B$750,"&lt;"&amp;B248),"")</f>
        <v/>
      </c>
      <c r="AA248" s="0" t="str">
        <f aca="false">IF(AND(D248=WF_END_PERIOD,R248,Z248&lt;&gt;1),1+COUNTIFS($D$5:$D$750,WF_END_PERIOD,$R$5:$R$750,TRUE(),$Z$5:$Z$750,"&lt;&gt;1",$S$5:$S$750,"&gt;"&amp;S248)+COUNTIFS($D$5:$D$750,WF_END_PERIOD,$R$5:$R$750,TRUE(),$Z$5:$Z$750,"&lt;&gt;1",$S$5:$S$750,S248,$B$5:$B$750,"&lt;"&amp;B248),"")</f>
        <v/>
      </c>
      <c r="AB248" s="11" t="b">
        <f aca="false">OR(D248=WF_START_PERIOD,D248=WF_END_PERIOD)</f>
        <v>0</v>
      </c>
      <c r="AC248" s="0" t="str">
        <f aca="false">B248&amp;"|"&amp;D248</f>
        <v>27824|20230331</v>
      </c>
    </row>
    <row r="249" customFormat="false" ht="15" hidden="false" customHeight="false" outlineLevel="0" collapsed="false">
      <c r="A249" s="0" t="n">
        <f aca="false">RawFinancials!A249</f>
        <v>246</v>
      </c>
      <c r="B249" s="0" t="n">
        <f aca="false">RawFinancials!C249</f>
        <v>28155</v>
      </c>
      <c r="C249" s="0" t="str">
        <f aca="false">RawFinancials!P249</f>
        <v>PROFILE BANK</v>
      </c>
      <c r="D249" s="0" t="n">
        <f aca="false">RawFinancials!W249</f>
        <v>20230331</v>
      </c>
      <c r="E249" s="0" t="str">
        <f aca="false">RawFinancials!Z249</f>
        <v>NH</v>
      </c>
      <c r="F249" s="0" t="n">
        <f aca="false">RawFinancials!B249</f>
        <v>300236</v>
      </c>
      <c r="G249" s="0" t="n">
        <f aca="false">RawFinancials!U249</f>
        <v>0</v>
      </c>
      <c r="H249" s="0" t="n">
        <f aca="false">RawFinancials!O249</f>
        <v>52</v>
      </c>
      <c r="I249" s="0" t="n">
        <f aca="false">IF(AND(ISNUMBER(G249),ISNUMBER(H249)),G249+H249,"")</f>
        <v>52</v>
      </c>
      <c r="J249" s="0" t="n">
        <f aca="false">RawFinancials!D249</f>
        <v>253151</v>
      </c>
      <c r="K249" s="0" t="n">
        <f aca="false">RawFinancials!F249</f>
        <v>27786</v>
      </c>
      <c r="L249" s="0" t="n">
        <f aca="false">RawFinancials!L249</f>
        <v>160817</v>
      </c>
      <c r="M249" s="0" t="n">
        <f aca="false">RawFinancials!N249</f>
        <v>148519</v>
      </c>
      <c r="N249" s="13" t="n">
        <f aca="false">RawFinancials!X249</f>
        <v>0.092321432453994</v>
      </c>
      <c r="O249" s="13" t="n">
        <f aca="false">RawFinancials!V249</f>
        <v>17.8546426332098</v>
      </c>
      <c r="P249" s="13" t="n">
        <f aca="false">IF(AND(ISNUMBER(L249),L249&lt;&gt;0,ISNUMBER(M249)),100*M249/L249,"")</f>
        <v>92.3527985225443</v>
      </c>
      <c r="Q249" s="13" t="n">
        <f aca="false">IF(AND(ISNUMBER(F249),F249&lt;&gt;0,ISNUMBER(K249)),100*K249/F249,"")</f>
        <v>9.25471962056516</v>
      </c>
      <c r="R249" s="11" t="b">
        <f aca="false">AND(ISNUMBER(F249),F249&gt;0,ISNUMBER(G249),G249&gt;=0,ISNUMBER(H249),H249&gt;=0)</f>
        <v>1</v>
      </c>
      <c r="S249" s="13" t="n">
        <f aca="false">IF(R249,100*I249/F249,"")</f>
        <v>0.0173197084959832</v>
      </c>
      <c r="T249" s="11" t="b">
        <f aca="false">NOT(AND(OR(AND(ISBLANK(RawFinancials!B249),ISBLANK(_RawBaseline!B246)),AND(ISNUMBER(RawFinancials!B249),ISNUMBER(_RawBaseline!B246),RawFinancials!B249=_RawBaseline!B246)),OR(AND(ISBLANK(RawFinancials!U249),ISBLANK(_RawBaseline!U246)),AND(ISNUMBER(RawFinancials!U249),ISNUMBER(_RawBaseline!U246),RawFinancials!U249=_RawBaseline!U246)),OR(AND(ISBLANK(RawFinancials!O249),ISBLANK(_RawBaseline!O246)),AND(ISNUMBER(RawFinancials!O249),ISNUMBER(_RawBaseline!O246),RawFinancials!O249=_RawBaseline!O246))))</f>
        <v>0</v>
      </c>
      <c r="U249" s="13" t="n">
        <f aca="false">IF(AND(D249=WF_START_PERIOD,R249,COUNTIFS($B$5:$B$750,B249,$D$5:$D$750,WF_END_PERIOD,$R$5:$R$750,TRUE())&gt;0),SUMIFS($S$5:$S$750,$B$5:$B$750,B249,$D$5:$D$750,WF_END_PERIOD,$R$5:$R$750,TRUE()),0)</f>
        <v>0</v>
      </c>
      <c r="V249" s="0" t="str">
        <f aca="false">IF(AND(D249=WF_START_PERIOD,COUNTIFS($B$5:$B$750,B249,$D$5:$D$750,WF_END_PERIOD)&gt;0),INDEX($E$5:$E$750,MATCH(B249&amp;"|"&amp;WF_END_PERIOD,$AC$5:$AC$750,0)),"")</f>
        <v/>
      </c>
      <c r="W249" s="11" t="b">
        <f aca="false">COUNTIFS($B$5:$B$750,B249,$D$5:$D$750,WF_START_PERIOD,$R$5:$R$750,TRUE())&gt;0</f>
        <v>1</v>
      </c>
      <c r="X249" s="11" t="b">
        <f aca="false">COUNTIFS($B$5:$B$750,B249,$D$5:$D$750,WF_END_PERIOD,$R$5:$R$750,TRUE())&gt;0</f>
        <v>1</v>
      </c>
      <c r="Y249" s="0" t="str">
        <f aca="false">IF(AND(D249=WF_END_PERIOD,COUNTIFS($B$5:$B$750,B249,$D$5:$D$750,WF_START_PERIOD)&gt;0),INDEX($E$5:$E$750,MATCH(B249&amp;"|"&amp;WF_START_PERIOD,$AC$5:$AC$750,0)),"")</f>
        <v/>
      </c>
      <c r="Z249" s="0" t="str">
        <f aca="false">IF(AND(D249=WF_END_PERIOD,R249),1+COUNTIFS($D$5:$D$750,WF_END_PERIOD,$E$5:$E$750,E249,$R$5:$R$750,TRUE(),$S$5:$S$750,"&gt;"&amp;S249)+COUNTIFS($D$5:$D$750,WF_END_PERIOD,$E$5:$E$750,E249,$R$5:$R$750,TRUE(),$S$5:$S$750,S249,$B$5:$B$750,"&lt;"&amp;B249),"")</f>
        <v/>
      </c>
      <c r="AA249" s="0" t="str">
        <f aca="false">IF(AND(D249=WF_END_PERIOD,R249,Z249&lt;&gt;1),1+COUNTIFS($D$5:$D$750,WF_END_PERIOD,$R$5:$R$750,TRUE(),$Z$5:$Z$750,"&lt;&gt;1",$S$5:$S$750,"&gt;"&amp;S249)+COUNTIFS($D$5:$D$750,WF_END_PERIOD,$R$5:$R$750,TRUE(),$Z$5:$Z$750,"&lt;&gt;1",$S$5:$S$750,S249,$B$5:$B$750,"&lt;"&amp;B249),"")</f>
        <v/>
      </c>
      <c r="AB249" s="11" t="b">
        <f aca="false">OR(D249=WF_START_PERIOD,D249=WF_END_PERIOD)</f>
        <v>0</v>
      </c>
      <c r="AC249" s="0" t="str">
        <f aca="false">B249&amp;"|"&amp;D249</f>
        <v>28155|20230331</v>
      </c>
    </row>
    <row r="250" customFormat="false" ht="15" hidden="false" customHeight="false" outlineLevel="0" collapsed="false">
      <c r="A250" s="0" t="n">
        <f aca="false">RawFinancials!A250</f>
        <v>247</v>
      </c>
      <c r="B250" s="0" t="n">
        <f aca="false">RawFinancials!C250</f>
        <v>28288</v>
      </c>
      <c r="C250" s="0" t="str">
        <f aca="false">RawFinancials!P250</f>
        <v>AUBURN SAVINGS BANK, FSB</v>
      </c>
      <c r="D250" s="0" t="n">
        <f aca="false">RawFinancials!W250</f>
        <v>20230331</v>
      </c>
      <c r="E250" s="0" t="str">
        <f aca="false">RawFinancials!Z250</f>
        <v>ME</v>
      </c>
      <c r="F250" s="0" t="n">
        <f aca="false">RawFinancials!B250</f>
        <v>101744</v>
      </c>
      <c r="G250" s="0" t="n">
        <f aca="false">RawFinancials!U250</f>
        <v>0</v>
      </c>
      <c r="H250" s="0" t="n">
        <f aca="false">RawFinancials!O250</f>
        <v>270</v>
      </c>
      <c r="I250" s="0" t="n">
        <f aca="false">IF(AND(ISNUMBER(G250),ISNUMBER(H250)),G250+H250,"")</f>
        <v>270</v>
      </c>
      <c r="J250" s="0" t="n">
        <f aca="false">RawFinancials!D250</f>
        <v>79637</v>
      </c>
      <c r="K250" s="0" t="n">
        <f aca="false">RawFinancials!F250</f>
        <v>6128</v>
      </c>
      <c r="L250" s="0" t="n">
        <f aca="false">RawFinancials!L250</f>
        <v>79160</v>
      </c>
      <c r="M250" s="0" t="n">
        <f aca="false">RawFinancials!N250</f>
        <v>75313</v>
      </c>
      <c r="N250" s="13" t="n">
        <f aca="false">RawFinancials!X250</f>
        <v>0.0747623099586348</v>
      </c>
      <c r="O250" s="13" t="n">
        <f aca="false">RawFinancials!V250</f>
        <v>13.7641491928002</v>
      </c>
      <c r="P250" s="13" t="n">
        <f aca="false">IF(AND(ISNUMBER(L250),L250&lt;&gt;0,ISNUMBER(M250)),100*M250/L250,"")</f>
        <v>95.1402223345124</v>
      </c>
      <c r="Q250" s="13" t="n">
        <f aca="false">IF(AND(ISNUMBER(F250),F250&lt;&gt;0,ISNUMBER(K250)),100*K250/F250,"")</f>
        <v>6.02295958484038</v>
      </c>
      <c r="R250" s="11" t="b">
        <f aca="false">AND(ISNUMBER(F250),F250&gt;0,ISNUMBER(G250),G250&gt;=0,ISNUMBER(H250),H250&gt;=0)</f>
        <v>1</v>
      </c>
      <c r="S250" s="13" t="n">
        <f aca="false">IF(R250,100*I250/F250,"")</f>
        <v>0.265371913822928</v>
      </c>
      <c r="T250" s="11" t="b">
        <f aca="false">NOT(AND(OR(AND(ISBLANK(RawFinancials!B250),ISBLANK(_RawBaseline!B247)),AND(ISNUMBER(RawFinancials!B250),ISNUMBER(_RawBaseline!B247),RawFinancials!B250=_RawBaseline!B247)),OR(AND(ISBLANK(RawFinancials!U250),ISBLANK(_RawBaseline!U247)),AND(ISNUMBER(RawFinancials!U250),ISNUMBER(_RawBaseline!U247),RawFinancials!U250=_RawBaseline!U247)),OR(AND(ISBLANK(RawFinancials!O250),ISBLANK(_RawBaseline!O247)),AND(ISNUMBER(RawFinancials!O250),ISNUMBER(_RawBaseline!O247),RawFinancials!O250=_RawBaseline!O247))))</f>
        <v>0</v>
      </c>
      <c r="U250" s="13" t="n">
        <f aca="false">IF(AND(D250=WF_START_PERIOD,R250,COUNTIFS($B$5:$B$750,B250,$D$5:$D$750,WF_END_PERIOD,$R$5:$R$750,TRUE())&gt;0),SUMIFS($S$5:$S$750,$B$5:$B$750,B250,$D$5:$D$750,WF_END_PERIOD,$R$5:$R$750,TRUE()),0)</f>
        <v>0</v>
      </c>
      <c r="V250" s="0" t="str">
        <f aca="false">IF(AND(D250=WF_START_PERIOD,COUNTIFS($B$5:$B$750,B250,$D$5:$D$750,WF_END_PERIOD)&gt;0),INDEX($E$5:$E$750,MATCH(B250&amp;"|"&amp;WF_END_PERIOD,$AC$5:$AC$750,0)),"")</f>
        <v/>
      </c>
      <c r="W250" s="11" t="b">
        <f aca="false">COUNTIFS($B$5:$B$750,B250,$D$5:$D$750,WF_START_PERIOD,$R$5:$R$750,TRUE())&gt;0</f>
        <v>1</v>
      </c>
      <c r="X250" s="11" t="b">
        <f aca="false">COUNTIFS($B$5:$B$750,B250,$D$5:$D$750,WF_END_PERIOD,$R$5:$R$750,TRUE())&gt;0</f>
        <v>1</v>
      </c>
      <c r="Y250" s="0" t="str">
        <f aca="false">IF(AND(D250=WF_END_PERIOD,COUNTIFS($B$5:$B$750,B250,$D$5:$D$750,WF_START_PERIOD)&gt;0),INDEX($E$5:$E$750,MATCH(B250&amp;"|"&amp;WF_START_PERIOD,$AC$5:$AC$750,0)),"")</f>
        <v/>
      </c>
      <c r="Z250" s="0" t="str">
        <f aca="false">IF(AND(D250=WF_END_PERIOD,R250),1+COUNTIFS($D$5:$D$750,WF_END_PERIOD,$E$5:$E$750,E250,$R$5:$R$750,TRUE(),$S$5:$S$750,"&gt;"&amp;S250)+COUNTIFS($D$5:$D$750,WF_END_PERIOD,$E$5:$E$750,E250,$R$5:$R$750,TRUE(),$S$5:$S$750,S250,$B$5:$B$750,"&lt;"&amp;B250),"")</f>
        <v/>
      </c>
      <c r="AA250" s="0" t="str">
        <f aca="false">IF(AND(D250=WF_END_PERIOD,R250,Z250&lt;&gt;1),1+COUNTIFS($D$5:$D$750,WF_END_PERIOD,$R$5:$R$750,TRUE(),$Z$5:$Z$750,"&lt;&gt;1",$S$5:$S$750,"&gt;"&amp;S250)+COUNTIFS($D$5:$D$750,WF_END_PERIOD,$R$5:$R$750,TRUE(),$Z$5:$Z$750,"&lt;&gt;1",$S$5:$S$750,S250,$B$5:$B$750,"&lt;"&amp;B250),"")</f>
        <v/>
      </c>
      <c r="AB250" s="11" t="b">
        <f aca="false">OR(D250=WF_START_PERIOD,D250=WF_END_PERIOD)</f>
        <v>0</v>
      </c>
      <c r="AC250" s="0" t="str">
        <f aca="false">B250&amp;"|"&amp;D250</f>
        <v>28288|20230331</v>
      </c>
    </row>
    <row r="251" customFormat="false" ht="15" hidden="false" customHeight="false" outlineLevel="0" collapsed="false">
      <c r="A251" s="0" t="n">
        <f aca="false">RawFinancials!A251</f>
        <v>248</v>
      </c>
      <c r="B251" s="0" t="n">
        <f aca="false">RawFinancials!C251</f>
        <v>28369</v>
      </c>
      <c r="C251" s="0" t="str">
        <f aca="false">RawFinancials!P251</f>
        <v>ROCKLAND SAVINGS BANK, FSB</v>
      </c>
      <c r="D251" s="0" t="n">
        <f aca="false">RawFinancials!W251</f>
        <v>20230331</v>
      </c>
      <c r="E251" s="0" t="str">
        <f aca="false">RawFinancials!Z251</f>
        <v>ME</v>
      </c>
      <c r="F251" s="0" t="n">
        <f aca="false">RawFinancials!B251</f>
        <v>87275</v>
      </c>
      <c r="G251" s="0" t="n">
        <f aca="false">RawFinancials!U251</f>
        <v>0</v>
      </c>
      <c r="H251" s="0" t="n">
        <f aca="false">RawFinancials!O251</f>
        <v>326</v>
      </c>
      <c r="I251" s="0" t="n">
        <f aca="false">IF(AND(ISNUMBER(G251),ISNUMBER(H251)),G251+H251,"")</f>
        <v>326</v>
      </c>
      <c r="J251" s="0" t="n">
        <f aca="false">RawFinancials!D251</f>
        <v>77349</v>
      </c>
      <c r="K251" s="0" t="n">
        <f aca="false">RawFinancials!F251</f>
        <v>9500</v>
      </c>
      <c r="L251" s="0" t="n">
        <f aca="false">RawFinancials!L251</f>
        <v>73207</v>
      </c>
      <c r="M251" s="0" t="n">
        <f aca="false">RawFinancials!N251</f>
        <v>61622</v>
      </c>
      <c r="N251" s="13" t="n">
        <f aca="false">RawFinancials!X251</f>
        <v>-0.0922557097635371</v>
      </c>
      <c r="O251" s="13" t="n">
        <f aca="false">RawFinancials!V251</f>
        <v>0</v>
      </c>
      <c r="P251" s="13" t="n">
        <f aca="false">IF(AND(ISNUMBER(L251),L251&lt;&gt;0,ISNUMBER(M251)),100*M251/L251,"")</f>
        <v>84.1750105864193</v>
      </c>
      <c r="Q251" s="13" t="n">
        <f aca="false">IF(AND(ISNUMBER(F251),F251&lt;&gt;0,ISNUMBER(K251)),100*K251/F251,"")</f>
        <v>10.8851331996563</v>
      </c>
      <c r="R251" s="11" t="b">
        <f aca="false">AND(ISNUMBER(F251),F251&gt;0,ISNUMBER(G251),G251&gt;=0,ISNUMBER(H251),H251&gt;=0)</f>
        <v>1</v>
      </c>
      <c r="S251" s="13" t="n">
        <f aca="false">IF(R251,100*I251/F251,"")</f>
        <v>0.373531939272415</v>
      </c>
      <c r="T251" s="11" t="b">
        <f aca="false">NOT(AND(OR(AND(ISBLANK(RawFinancials!B251),ISBLANK(_RawBaseline!B248)),AND(ISNUMBER(RawFinancials!B251),ISNUMBER(_RawBaseline!B248),RawFinancials!B251=_RawBaseline!B248)),OR(AND(ISBLANK(RawFinancials!U251),ISBLANK(_RawBaseline!U248)),AND(ISNUMBER(RawFinancials!U251),ISNUMBER(_RawBaseline!U248),RawFinancials!U251=_RawBaseline!U248)),OR(AND(ISBLANK(RawFinancials!O251),ISBLANK(_RawBaseline!O248)),AND(ISNUMBER(RawFinancials!O251),ISNUMBER(_RawBaseline!O248),RawFinancials!O251=_RawBaseline!O248))))</f>
        <v>0</v>
      </c>
      <c r="U251" s="13" t="n">
        <f aca="false">IF(AND(D251=WF_START_PERIOD,R251,COUNTIFS($B$5:$B$750,B251,$D$5:$D$750,WF_END_PERIOD,$R$5:$R$750,TRUE())&gt;0),SUMIFS($S$5:$S$750,$B$5:$B$750,B251,$D$5:$D$750,WF_END_PERIOD,$R$5:$R$750,TRUE()),0)</f>
        <v>0</v>
      </c>
      <c r="V251" s="0" t="str">
        <f aca="false">IF(AND(D251=WF_START_PERIOD,COUNTIFS($B$5:$B$750,B251,$D$5:$D$750,WF_END_PERIOD)&gt;0),INDEX($E$5:$E$750,MATCH(B251&amp;"|"&amp;WF_END_PERIOD,$AC$5:$AC$750,0)),"")</f>
        <v/>
      </c>
      <c r="W251" s="11" t="b">
        <f aca="false">COUNTIFS($B$5:$B$750,B251,$D$5:$D$750,WF_START_PERIOD,$R$5:$R$750,TRUE())&gt;0</f>
        <v>1</v>
      </c>
      <c r="X251" s="11" t="b">
        <f aca="false">COUNTIFS($B$5:$B$750,B251,$D$5:$D$750,WF_END_PERIOD,$R$5:$R$750,TRUE())&gt;0</f>
        <v>1</v>
      </c>
      <c r="Y251" s="0" t="str">
        <f aca="false">IF(AND(D251=WF_END_PERIOD,COUNTIFS($B$5:$B$750,B251,$D$5:$D$750,WF_START_PERIOD)&gt;0),INDEX($E$5:$E$750,MATCH(B251&amp;"|"&amp;WF_START_PERIOD,$AC$5:$AC$750,0)),"")</f>
        <v/>
      </c>
      <c r="Z251" s="0" t="str">
        <f aca="false">IF(AND(D251=WF_END_PERIOD,R251),1+COUNTIFS($D$5:$D$750,WF_END_PERIOD,$E$5:$E$750,E251,$R$5:$R$750,TRUE(),$S$5:$S$750,"&gt;"&amp;S251)+COUNTIFS($D$5:$D$750,WF_END_PERIOD,$E$5:$E$750,E251,$R$5:$R$750,TRUE(),$S$5:$S$750,S251,$B$5:$B$750,"&lt;"&amp;B251),"")</f>
        <v/>
      </c>
      <c r="AA251" s="0" t="str">
        <f aca="false">IF(AND(D251=WF_END_PERIOD,R251,Z251&lt;&gt;1),1+COUNTIFS($D$5:$D$750,WF_END_PERIOD,$R$5:$R$750,TRUE(),$Z$5:$Z$750,"&lt;&gt;1",$S$5:$S$750,"&gt;"&amp;S251)+COUNTIFS($D$5:$D$750,WF_END_PERIOD,$R$5:$R$750,TRUE(),$Z$5:$Z$750,"&lt;&gt;1",$S$5:$S$750,S251,$B$5:$B$750,"&lt;"&amp;B251),"")</f>
        <v/>
      </c>
      <c r="AB251" s="11" t="b">
        <f aca="false">OR(D251=WF_START_PERIOD,D251=WF_END_PERIOD)</f>
        <v>0</v>
      </c>
      <c r="AC251" s="0" t="str">
        <f aca="false">B251&amp;"|"&amp;D251</f>
        <v>28369|20230331</v>
      </c>
    </row>
    <row r="252" customFormat="false" ht="15" hidden="false" customHeight="false" outlineLevel="0" collapsed="false">
      <c r="A252" s="0" t="n">
        <f aca="false">RawFinancials!A252</f>
        <v>249</v>
      </c>
      <c r="B252" s="0" t="n">
        <f aca="false">RawFinancials!C252</f>
        <v>28837</v>
      </c>
      <c r="C252" s="0" t="str">
        <f aca="false">RawFinancials!P252</f>
        <v>THE BRATTLEBORO SAVINGS AND LOAN ASSOCIATION</v>
      </c>
      <c r="D252" s="0" t="n">
        <f aca="false">RawFinancials!W252</f>
        <v>20230331</v>
      </c>
      <c r="E252" s="0" t="str">
        <f aca="false">RawFinancials!Z252</f>
        <v>VT</v>
      </c>
      <c r="F252" s="0" t="n">
        <f aca="false">RawFinancials!B252</f>
        <v>288419</v>
      </c>
      <c r="G252" s="0" t="n">
        <f aca="false">RawFinancials!U252</f>
        <v>0</v>
      </c>
      <c r="H252" s="0" t="n">
        <f aca="false">RawFinancials!O252</f>
        <v>19</v>
      </c>
      <c r="I252" s="0" t="n">
        <f aca="false">IF(AND(ISNUMBER(G252),ISNUMBER(H252)),G252+H252,"")</f>
        <v>19</v>
      </c>
      <c r="J252" s="0" t="n">
        <f aca="false">RawFinancials!D252</f>
        <v>260987</v>
      </c>
      <c r="K252" s="0" t="n">
        <f aca="false">RawFinancials!F252</f>
        <v>24341</v>
      </c>
      <c r="L252" s="0" t="n">
        <f aca="false">RawFinancials!L252</f>
        <v>188100</v>
      </c>
      <c r="M252" s="0" t="n">
        <f aca="false">RawFinancials!N252</f>
        <v>179697</v>
      </c>
      <c r="N252" s="13" t="n">
        <f aca="false">RawFinancials!X252</f>
        <v>0.859132971569657</v>
      </c>
      <c r="O252" s="13" t="n">
        <f aca="false">RawFinancials!V252</f>
        <v>16.3411097226028</v>
      </c>
      <c r="P252" s="13" t="n">
        <f aca="false">IF(AND(ISNUMBER(L252),L252&lt;&gt;0,ISNUMBER(M252)),100*M252/L252,"")</f>
        <v>95.5326953748006</v>
      </c>
      <c r="Q252" s="13" t="n">
        <f aca="false">IF(AND(ISNUMBER(F252),F252&lt;&gt;0,ISNUMBER(K252)),100*K252/F252,"")</f>
        <v>8.4394578720542</v>
      </c>
      <c r="R252" s="11" t="b">
        <f aca="false">AND(ISNUMBER(F252),F252&gt;0,ISNUMBER(G252),G252&gt;=0,ISNUMBER(H252),H252&gt;=0)</f>
        <v>1</v>
      </c>
      <c r="S252" s="13" t="n">
        <f aca="false">IF(R252,100*I252/F252,"")</f>
        <v>0.00658763812370198</v>
      </c>
      <c r="T252" s="11" t="b">
        <f aca="false">NOT(AND(OR(AND(ISBLANK(RawFinancials!B252),ISBLANK(_RawBaseline!B249)),AND(ISNUMBER(RawFinancials!B252),ISNUMBER(_RawBaseline!B249),RawFinancials!B252=_RawBaseline!B249)),OR(AND(ISBLANK(RawFinancials!U252),ISBLANK(_RawBaseline!U249)),AND(ISNUMBER(RawFinancials!U252),ISNUMBER(_RawBaseline!U249),RawFinancials!U252=_RawBaseline!U249)),OR(AND(ISBLANK(RawFinancials!O252),ISBLANK(_RawBaseline!O249)),AND(ISNUMBER(RawFinancials!O252),ISNUMBER(_RawBaseline!O249),RawFinancials!O252=_RawBaseline!O249))))</f>
        <v>0</v>
      </c>
      <c r="U252" s="13" t="n">
        <f aca="false">IF(AND(D252=WF_START_PERIOD,R252,COUNTIFS($B$5:$B$750,B252,$D$5:$D$750,WF_END_PERIOD,$R$5:$R$750,TRUE())&gt;0),SUMIFS($S$5:$S$750,$B$5:$B$750,B252,$D$5:$D$750,WF_END_PERIOD,$R$5:$R$750,TRUE()),0)</f>
        <v>0</v>
      </c>
      <c r="V252" s="0" t="str">
        <f aca="false">IF(AND(D252=WF_START_PERIOD,COUNTIFS($B$5:$B$750,B252,$D$5:$D$750,WF_END_PERIOD)&gt;0),INDEX($E$5:$E$750,MATCH(B252&amp;"|"&amp;WF_END_PERIOD,$AC$5:$AC$750,0)),"")</f>
        <v/>
      </c>
      <c r="W252" s="11" t="b">
        <f aca="false">COUNTIFS($B$5:$B$750,B252,$D$5:$D$750,WF_START_PERIOD,$R$5:$R$750,TRUE())&gt;0</f>
        <v>1</v>
      </c>
      <c r="X252" s="11" t="b">
        <f aca="false">COUNTIFS($B$5:$B$750,B252,$D$5:$D$750,WF_END_PERIOD,$R$5:$R$750,TRUE())&gt;0</f>
        <v>1</v>
      </c>
      <c r="Y252" s="0" t="str">
        <f aca="false">IF(AND(D252=WF_END_PERIOD,COUNTIFS($B$5:$B$750,B252,$D$5:$D$750,WF_START_PERIOD)&gt;0),INDEX($E$5:$E$750,MATCH(B252&amp;"|"&amp;WF_START_PERIOD,$AC$5:$AC$750,0)),"")</f>
        <v/>
      </c>
      <c r="Z252" s="0" t="str">
        <f aca="false">IF(AND(D252=WF_END_PERIOD,R252),1+COUNTIFS($D$5:$D$750,WF_END_PERIOD,$E$5:$E$750,E252,$R$5:$R$750,TRUE(),$S$5:$S$750,"&gt;"&amp;S252)+COUNTIFS($D$5:$D$750,WF_END_PERIOD,$E$5:$E$750,E252,$R$5:$R$750,TRUE(),$S$5:$S$750,S252,$B$5:$B$750,"&lt;"&amp;B252),"")</f>
        <v/>
      </c>
      <c r="AA252" s="0" t="str">
        <f aca="false">IF(AND(D252=WF_END_PERIOD,R252,Z252&lt;&gt;1),1+COUNTIFS($D$5:$D$750,WF_END_PERIOD,$R$5:$R$750,TRUE(),$Z$5:$Z$750,"&lt;&gt;1",$S$5:$S$750,"&gt;"&amp;S252)+COUNTIFS($D$5:$D$750,WF_END_PERIOD,$R$5:$R$750,TRUE(),$Z$5:$Z$750,"&lt;&gt;1",$S$5:$S$750,S252,$B$5:$B$750,"&lt;"&amp;B252),"")</f>
        <v/>
      </c>
      <c r="AB252" s="11" t="b">
        <f aca="false">OR(D252=WF_START_PERIOD,D252=WF_END_PERIOD)</f>
        <v>0</v>
      </c>
      <c r="AC252" s="0" t="str">
        <f aca="false">B252&amp;"|"&amp;D252</f>
        <v>28837|20230331</v>
      </c>
    </row>
    <row r="253" customFormat="false" ht="15" hidden="false" customHeight="false" outlineLevel="0" collapsed="false">
      <c r="A253" s="0" t="n">
        <f aca="false">RawFinancials!A253</f>
        <v>250</v>
      </c>
      <c r="B253" s="0" t="n">
        <f aca="false">RawFinancials!C253</f>
        <v>29636</v>
      </c>
      <c r="C253" s="0" t="str">
        <f aca="false">RawFinancials!P253</f>
        <v>FIRST FEDERAL SAVINGS AND LOAN ASSOCIATION OF BATH</v>
      </c>
      <c r="D253" s="0" t="n">
        <f aca="false">RawFinancials!W253</f>
        <v>20230331</v>
      </c>
      <c r="E253" s="0" t="str">
        <f aca="false">RawFinancials!Z253</f>
        <v>ME</v>
      </c>
      <c r="F253" s="0" t="n">
        <f aca="false">RawFinancials!B253</f>
        <v>185057</v>
      </c>
      <c r="G253" s="0" t="n">
        <f aca="false">RawFinancials!U253</f>
        <v>0</v>
      </c>
      <c r="H253" s="0" t="n">
        <f aca="false">RawFinancials!O253</f>
        <v>2472</v>
      </c>
      <c r="I253" s="0" t="n">
        <f aca="false">IF(AND(ISNUMBER(G253),ISNUMBER(H253)),G253+H253,"")</f>
        <v>2472</v>
      </c>
      <c r="J253" s="0" t="n">
        <f aca="false">RawFinancials!D253</f>
        <v>147344</v>
      </c>
      <c r="K253" s="0" t="n">
        <f aca="false">RawFinancials!F253</f>
        <v>24743</v>
      </c>
      <c r="L253" s="0" t="n">
        <f aca="false">RawFinancials!L253</f>
        <v>127987</v>
      </c>
      <c r="M253" s="0" t="n">
        <f aca="false">RawFinancials!N253</f>
        <v>124654</v>
      </c>
      <c r="N253" s="13" t="n">
        <f aca="false">RawFinancials!X253</f>
        <v>0.327344743116213</v>
      </c>
      <c r="O253" s="13" t="n">
        <f aca="false">RawFinancials!V253</f>
        <v>26.4550684388018</v>
      </c>
      <c r="P253" s="13" t="n">
        <f aca="false">IF(AND(ISNUMBER(L253),L253&lt;&gt;0,ISNUMBER(M253)),100*M253/L253,"")</f>
        <v>97.3958292639096</v>
      </c>
      <c r="Q253" s="13" t="n">
        <f aca="false">IF(AND(ISNUMBER(F253),F253&lt;&gt;0,ISNUMBER(K253)),100*K253/F253,"")</f>
        <v>13.3704750428246</v>
      </c>
      <c r="R253" s="11" t="b">
        <f aca="false">AND(ISNUMBER(F253),F253&gt;0,ISNUMBER(G253),G253&gt;=0,ISNUMBER(H253),H253&gt;=0)</f>
        <v>1</v>
      </c>
      <c r="S253" s="13" t="n">
        <f aca="false">IF(R253,100*I253/F253,"")</f>
        <v>1.33580464397456</v>
      </c>
      <c r="T253" s="11" t="b">
        <f aca="false">NOT(AND(OR(AND(ISBLANK(RawFinancials!B253),ISBLANK(_RawBaseline!B250)),AND(ISNUMBER(RawFinancials!B253),ISNUMBER(_RawBaseline!B250),RawFinancials!B253=_RawBaseline!B250)),OR(AND(ISBLANK(RawFinancials!U253),ISBLANK(_RawBaseline!U250)),AND(ISNUMBER(RawFinancials!U253),ISNUMBER(_RawBaseline!U250),RawFinancials!U253=_RawBaseline!U250)),OR(AND(ISBLANK(RawFinancials!O253),ISBLANK(_RawBaseline!O250)),AND(ISNUMBER(RawFinancials!O253),ISNUMBER(_RawBaseline!O250),RawFinancials!O253=_RawBaseline!O250))))</f>
        <v>0</v>
      </c>
      <c r="U253" s="13" t="n">
        <f aca="false">IF(AND(D253=WF_START_PERIOD,R253,COUNTIFS($B$5:$B$750,B253,$D$5:$D$750,WF_END_PERIOD,$R$5:$R$750,TRUE())&gt;0),SUMIFS($S$5:$S$750,$B$5:$B$750,B253,$D$5:$D$750,WF_END_PERIOD,$R$5:$R$750,TRUE()),0)</f>
        <v>0</v>
      </c>
      <c r="V253" s="0" t="str">
        <f aca="false">IF(AND(D253=WF_START_PERIOD,COUNTIFS($B$5:$B$750,B253,$D$5:$D$750,WF_END_PERIOD)&gt;0),INDEX($E$5:$E$750,MATCH(B253&amp;"|"&amp;WF_END_PERIOD,$AC$5:$AC$750,0)),"")</f>
        <v/>
      </c>
      <c r="W253" s="11" t="b">
        <f aca="false">COUNTIFS($B$5:$B$750,B253,$D$5:$D$750,WF_START_PERIOD,$R$5:$R$750,TRUE())&gt;0</f>
        <v>1</v>
      </c>
      <c r="X253" s="11" t="b">
        <f aca="false">COUNTIFS($B$5:$B$750,B253,$D$5:$D$750,WF_END_PERIOD,$R$5:$R$750,TRUE())&gt;0</f>
        <v>1</v>
      </c>
      <c r="Y253" s="0" t="str">
        <f aca="false">IF(AND(D253=WF_END_PERIOD,COUNTIFS($B$5:$B$750,B253,$D$5:$D$750,WF_START_PERIOD)&gt;0),INDEX($E$5:$E$750,MATCH(B253&amp;"|"&amp;WF_START_PERIOD,$AC$5:$AC$750,0)),"")</f>
        <v/>
      </c>
      <c r="Z253" s="0" t="str">
        <f aca="false">IF(AND(D253=WF_END_PERIOD,R253),1+COUNTIFS($D$5:$D$750,WF_END_PERIOD,$E$5:$E$750,E253,$R$5:$R$750,TRUE(),$S$5:$S$750,"&gt;"&amp;S253)+COUNTIFS($D$5:$D$750,WF_END_PERIOD,$E$5:$E$750,E253,$R$5:$R$750,TRUE(),$S$5:$S$750,S253,$B$5:$B$750,"&lt;"&amp;B253),"")</f>
        <v/>
      </c>
      <c r="AA253" s="0" t="str">
        <f aca="false">IF(AND(D253=WF_END_PERIOD,R253,Z253&lt;&gt;1),1+COUNTIFS($D$5:$D$750,WF_END_PERIOD,$R$5:$R$750,TRUE(),$Z$5:$Z$750,"&lt;&gt;1",$S$5:$S$750,"&gt;"&amp;S253)+COUNTIFS($D$5:$D$750,WF_END_PERIOD,$R$5:$R$750,TRUE(),$Z$5:$Z$750,"&lt;&gt;1",$S$5:$S$750,S253,$B$5:$B$750,"&lt;"&amp;B253),"")</f>
        <v/>
      </c>
      <c r="AB253" s="11" t="b">
        <f aca="false">OR(D253=WF_START_PERIOD,D253=WF_END_PERIOD)</f>
        <v>0</v>
      </c>
      <c r="AC253" s="0" t="str">
        <f aca="false">B253&amp;"|"&amp;D253</f>
        <v>29636|20230331</v>
      </c>
    </row>
    <row r="254" customFormat="false" ht="15" hidden="false" customHeight="false" outlineLevel="0" collapsed="false">
      <c r="A254" s="0" t="n">
        <f aca="false">RawFinancials!A254</f>
        <v>251</v>
      </c>
      <c r="B254" s="0" t="n">
        <f aca="false">RawFinancials!C254</f>
        <v>29743</v>
      </c>
      <c r="C254" s="0" t="str">
        <f aca="false">RawFinancials!P254</f>
        <v>AROOSTOOK COUNTY FEDERAL SAVINGS AND LOAN ASSOCIATION</v>
      </c>
      <c r="D254" s="0" t="n">
        <f aca="false">RawFinancials!W254</f>
        <v>20230331</v>
      </c>
      <c r="E254" s="0" t="str">
        <f aca="false">RawFinancials!Z254</f>
        <v>ME</v>
      </c>
      <c r="F254" s="0" t="n">
        <f aca="false">RawFinancials!B254</f>
        <v>189487</v>
      </c>
      <c r="G254" s="0" t="n">
        <f aca="false">RawFinancials!U254</f>
        <v>0</v>
      </c>
      <c r="H254" s="0" t="n">
        <f aca="false">RawFinancials!O254</f>
        <v>203</v>
      </c>
      <c r="I254" s="0" t="n">
        <f aca="false">IF(AND(ISNUMBER(G254),ISNUMBER(H254)),G254+H254,"")</f>
        <v>203</v>
      </c>
      <c r="J254" s="0" t="n">
        <f aca="false">RawFinancials!D254</f>
        <v>163950</v>
      </c>
      <c r="K254" s="0" t="n">
        <f aca="false">RawFinancials!F254</f>
        <v>16226</v>
      </c>
      <c r="L254" s="0" t="n">
        <f aca="false">RawFinancials!L254</f>
        <v>126279</v>
      </c>
      <c r="M254" s="0" t="n">
        <f aca="false">RawFinancials!N254</f>
        <v>80937</v>
      </c>
      <c r="N254" s="13" t="n">
        <f aca="false">RawFinancials!X254</f>
        <v>0.71029392943987</v>
      </c>
      <c r="O254" s="13" t="n">
        <f aca="false">RawFinancials!V254</f>
        <v>17.9095834111713</v>
      </c>
      <c r="P254" s="13" t="n">
        <f aca="false">IF(AND(ISNUMBER(L254),L254&lt;&gt;0,ISNUMBER(M254)),100*M254/L254,"")</f>
        <v>64.0937923170123</v>
      </c>
      <c r="Q254" s="13" t="n">
        <f aca="false">IF(AND(ISNUMBER(F254),F254&lt;&gt;0,ISNUMBER(K254)),100*K254/F254,"")</f>
        <v>8.5631204251479</v>
      </c>
      <c r="R254" s="11" t="b">
        <f aca="false">AND(ISNUMBER(F254),F254&gt;0,ISNUMBER(G254),G254&gt;=0,ISNUMBER(H254),H254&gt;=0)</f>
        <v>1</v>
      </c>
      <c r="S254" s="13" t="n">
        <f aca="false">IF(R254,100*I254/F254,"")</f>
        <v>0.107131359934982</v>
      </c>
      <c r="T254" s="11" t="b">
        <f aca="false">NOT(AND(OR(AND(ISBLANK(RawFinancials!B254),ISBLANK(_RawBaseline!B251)),AND(ISNUMBER(RawFinancials!B254),ISNUMBER(_RawBaseline!B251),RawFinancials!B254=_RawBaseline!B251)),OR(AND(ISBLANK(RawFinancials!U254),ISBLANK(_RawBaseline!U251)),AND(ISNUMBER(RawFinancials!U254),ISNUMBER(_RawBaseline!U251),RawFinancials!U254=_RawBaseline!U251)),OR(AND(ISBLANK(RawFinancials!O254),ISBLANK(_RawBaseline!O251)),AND(ISNUMBER(RawFinancials!O254),ISNUMBER(_RawBaseline!O251),RawFinancials!O254=_RawBaseline!O251))))</f>
        <v>0</v>
      </c>
      <c r="U254" s="13" t="n">
        <f aca="false">IF(AND(D254=WF_START_PERIOD,R254,COUNTIFS($B$5:$B$750,B254,$D$5:$D$750,WF_END_PERIOD,$R$5:$R$750,TRUE())&gt;0),SUMIFS($S$5:$S$750,$B$5:$B$750,B254,$D$5:$D$750,WF_END_PERIOD,$R$5:$R$750,TRUE()),0)</f>
        <v>0</v>
      </c>
      <c r="V254" s="0" t="str">
        <f aca="false">IF(AND(D254=WF_START_PERIOD,COUNTIFS($B$5:$B$750,B254,$D$5:$D$750,WF_END_PERIOD)&gt;0),INDEX($E$5:$E$750,MATCH(B254&amp;"|"&amp;WF_END_PERIOD,$AC$5:$AC$750,0)),"")</f>
        <v/>
      </c>
      <c r="W254" s="11" t="b">
        <f aca="false">COUNTIFS($B$5:$B$750,B254,$D$5:$D$750,WF_START_PERIOD,$R$5:$R$750,TRUE())&gt;0</f>
        <v>1</v>
      </c>
      <c r="X254" s="11" t="b">
        <f aca="false">COUNTIFS($B$5:$B$750,B254,$D$5:$D$750,WF_END_PERIOD,$R$5:$R$750,TRUE())&gt;0</f>
        <v>1</v>
      </c>
      <c r="Y254" s="0" t="str">
        <f aca="false">IF(AND(D254=WF_END_PERIOD,COUNTIFS($B$5:$B$750,B254,$D$5:$D$750,WF_START_PERIOD)&gt;0),INDEX($E$5:$E$750,MATCH(B254&amp;"|"&amp;WF_START_PERIOD,$AC$5:$AC$750,0)),"")</f>
        <v/>
      </c>
      <c r="Z254" s="0" t="str">
        <f aca="false">IF(AND(D254=WF_END_PERIOD,R254),1+COUNTIFS($D$5:$D$750,WF_END_PERIOD,$E$5:$E$750,E254,$R$5:$R$750,TRUE(),$S$5:$S$750,"&gt;"&amp;S254)+COUNTIFS($D$5:$D$750,WF_END_PERIOD,$E$5:$E$750,E254,$R$5:$R$750,TRUE(),$S$5:$S$750,S254,$B$5:$B$750,"&lt;"&amp;B254),"")</f>
        <v/>
      </c>
      <c r="AA254" s="0" t="str">
        <f aca="false">IF(AND(D254=WF_END_PERIOD,R254,Z254&lt;&gt;1),1+COUNTIFS($D$5:$D$750,WF_END_PERIOD,$R$5:$R$750,TRUE(),$Z$5:$Z$750,"&lt;&gt;1",$S$5:$S$750,"&gt;"&amp;S254)+COUNTIFS($D$5:$D$750,WF_END_PERIOD,$R$5:$R$750,TRUE(),$Z$5:$Z$750,"&lt;&gt;1",$S$5:$S$750,S254,$B$5:$B$750,"&lt;"&amp;B254),"")</f>
        <v/>
      </c>
      <c r="AB254" s="11" t="b">
        <f aca="false">OR(D254=WF_START_PERIOD,D254=WF_END_PERIOD)</f>
        <v>0</v>
      </c>
      <c r="AC254" s="0" t="str">
        <f aca="false">B254&amp;"|"&amp;D254</f>
        <v>29743|20230331</v>
      </c>
    </row>
    <row r="255" customFormat="false" ht="15" hidden="false" customHeight="false" outlineLevel="0" collapsed="false">
      <c r="A255" s="0" t="n">
        <f aca="false">RawFinancials!A255</f>
        <v>252</v>
      </c>
      <c r="B255" s="0" t="n">
        <f aca="false">RawFinancials!C255</f>
        <v>29744</v>
      </c>
      <c r="C255" s="0" t="str">
        <f aca="false">RawFinancials!P255</f>
        <v>FIRST SEACOAST BANK</v>
      </c>
      <c r="D255" s="0" t="n">
        <f aca="false">RawFinancials!W255</f>
        <v>20230331</v>
      </c>
      <c r="E255" s="0" t="str">
        <f aca="false">RawFinancials!Z255</f>
        <v>NH</v>
      </c>
      <c r="F255" s="0" t="n">
        <f aca="false">RawFinancials!B255</f>
        <v>548387</v>
      </c>
      <c r="G255" s="0" t="n">
        <f aca="false">RawFinancials!U255</f>
        <v>0</v>
      </c>
      <c r="H255" s="0" t="n">
        <f aca="false">RawFinancials!O255</f>
        <v>88</v>
      </c>
      <c r="I255" s="0" t="n">
        <f aca="false">IF(AND(ISNUMBER(G255),ISNUMBER(H255)),G255+H255,"")</f>
        <v>88</v>
      </c>
      <c r="J255" s="0" t="n">
        <f aca="false">RawFinancials!D255</f>
        <v>438333</v>
      </c>
      <c r="K255" s="0" t="n">
        <f aca="false">RawFinancials!F255</f>
        <v>54173</v>
      </c>
      <c r="L255" s="0" t="n">
        <f aca="false">RawFinancials!L255</f>
        <v>405809</v>
      </c>
      <c r="M255" s="0" t="n">
        <f aca="false">RawFinancials!N255</f>
        <v>372826</v>
      </c>
      <c r="N255" s="13" t="n">
        <f aca="false">RawFinancials!X255</f>
        <v>0.341873414737028</v>
      </c>
      <c r="O255" s="13" t="n">
        <f aca="false">RawFinancials!V255</f>
        <v>19.7611282318518</v>
      </c>
      <c r="P255" s="13" t="n">
        <f aca="false">IF(AND(ISNUMBER(L255),L255&lt;&gt;0,ISNUMBER(M255)),100*M255/L255,"")</f>
        <v>91.8722847447937</v>
      </c>
      <c r="Q255" s="13" t="n">
        <f aca="false">IF(AND(ISNUMBER(F255),F255&lt;&gt;0,ISNUMBER(K255)),100*K255/F255,"")</f>
        <v>9.87860762563664</v>
      </c>
      <c r="R255" s="11" t="b">
        <f aca="false">AND(ISNUMBER(F255),F255&gt;0,ISNUMBER(G255),G255&gt;=0,ISNUMBER(H255),H255&gt;=0)</f>
        <v>1</v>
      </c>
      <c r="S255" s="13" t="n">
        <f aca="false">IF(R255,100*I255/F255,"")</f>
        <v>0.0160470616553638</v>
      </c>
      <c r="T255" s="11" t="b">
        <f aca="false">NOT(AND(OR(AND(ISBLANK(RawFinancials!B255),ISBLANK(_RawBaseline!B252)),AND(ISNUMBER(RawFinancials!B255),ISNUMBER(_RawBaseline!B252),RawFinancials!B255=_RawBaseline!B252)),OR(AND(ISBLANK(RawFinancials!U255),ISBLANK(_RawBaseline!U252)),AND(ISNUMBER(RawFinancials!U255),ISNUMBER(_RawBaseline!U252),RawFinancials!U255=_RawBaseline!U252)),OR(AND(ISBLANK(RawFinancials!O255),ISBLANK(_RawBaseline!O252)),AND(ISNUMBER(RawFinancials!O255),ISNUMBER(_RawBaseline!O252),RawFinancials!O255=_RawBaseline!O252))))</f>
        <v>0</v>
      </c>
      <c r="U255" s="13" t="n">
        <f aca="false">IF(AND(D255=WF_START_PERIOD,R255,COUNTIFS($B$5:$B$750,B255,$D$5:$D$750,WF_END_PERIOD,$R$5:$R$750,TRUE())&gt;0),SUMIFS($S$5:$S$750,$B$5:$B$750,B255,$D$5:$D$750,WF_END_PERIOD,$R$5:$R$750,TRUE()),0)</f>
        <v>0</v>
      </c>
      <c r="V255" s="0" t="str">
        <f aca="false">IF(AND(D255=WF_START_PERIOD,COUNTIFS($B$5:$B$750,B255,$D$5:$D$750,WF_END_PERIOD)&gt;0),INDEX($E$5:$E$750,MATCH(B255&amp;"|"&amp;WF_END_PERIOD,$AC$5:$AC$750,0)),"")</f>
        <v/>
      </c>
      <c r="W255" s="11" t="b">
        <f aca="false">COUNTIFS($B$5:$B$750,B255,$D$5:$D$750,WF_START_PERIOD,$R$5:$R$750,TRUE())&gt;0</f>
        <v>1</v>
      </c>
      <c r="X255" s="11" t="b">
        <f aca="false">COUNTIFS($B$5:$B$750,B255,$D$5:$D$750,WF_END_PERIOD,$R$5:$R$750,TRUE())&gt;0</f>
        <v>1</v>
      </c>
      <c r="Y255" s="0" t="str">
        <f aca="false">IF(AND(D255=WF_END_PERIOD,COUNTIFS($B$5:$B$750,B255,$D$5:$D$750,WF_START_PERIOD)&gt;0),INDEX($E$5:$E$750,MATCH(B255&amp;"|"&amp;WF_START_PERIOD,$AC$5:$AC$750,0)),"")</f>
        <v/>
      </c>
      <c r="Z255" s="0" t="str">
        <f aca="false">IF(AND(D255=WF_END_PERIOD,R255),1+COUNTIFS($D$5:$D$750,WF_END_PERIOD,$E$5:$E$750,E255,$R$5:$R$750,TRUE(),$S$5:$S$750,"&gt;"&amp;S255)+COUNTIFS($D$5:$D$750,WF_END_PERIOD,$E$5:$E$750,E255,$R$5:$R$750,TRUE(),$S$5:$S$750,S255,$B$5:$B$750,"&lt;"&amp;B255),"")</f>
        <v/>
      </c>
      <c r="AA255" s="0" t="str">
        <f aca="false">IF(AND(D255=WF_END_PERIOD,R255,Z255&lt;&gt;1),1+COUNTIFS($D$5:$D$750,WF_END_PERIOD,$R$5:$R$750,TRUE(),$Z$5:$Z$750,"&lt;&gt;1",$S$5:$S$750,"&gt;"&amp;S255)+COUNTIFS($D$5:$D$750,WF_END_PERIOD,$R$5:$R$750,TRUE(),$Z$5:$Z$750,"&lt;&gt;1",$S$5:$S$750,S255,$B$5:$B$750,"&lt;"&amp;B255),"")</f>
        <v/>
      </c>
      <c r="AB255" s="11" t="b">
        <f aca="false">OR(D255=WF_START_PERIOD,D255=WF_END_PERIOD)</f>
        <v>0</v>
      </c>
      <c r="AC255" s="0" t="str">
        <f aca="false">B255&amp;"|"&amp;D255</f>
        <v>29744|20230331</v>
      </c>
    </row>
    <row r="256" customFormat="false" ht="15" hidden="false" customHeight="false" outlineLevel="0" collapsed="false">
      <c r="A256" s="0" t="n">
        <f aca="false">RawFinancials!A256</f>
        <v>253</v>
      </c>
      <c r="B256" s="0" t="n">
        <f aca="false">RawFinancials!C256</f>
        <v>30350</v>
      </c>
      <c r="C256" s="0" t="str">
        <f aca="false">RawFinancials!P256</f>
        <v>THE BANK OF BENNINGTON</v>
      </c>
      <c r="D256" s="0" t="n">
        <f aca="false">RawFinancials!W256</f>
        <v>20230331</v>
      </c>
      <c r="E256" s="0" t="str">
        <f aca="false">RawFinancials!Z256</f>
        <v>VT</v>
      </c>
      <c r="F256" s="0" t="n">
        <f aca="false">RawFinancials!B256</f>
        <v>554362</v>
      </c>
      <c r="G256" s="0" t="n">
        <f aca="false">RawFinancials!U256</f>
        <v>0</v>
      </c>
      <c r="H256" s="0" t="n">
        <f aca="false">RawFinancials!O256</f>
        <v>1313</v>
      </c>
      <c r="I256" s="0" t="n">
        <f aca="false">IF(AND(ISNUMBER(G256),ISNUMBER(H256)),G256+H256,"")</f>
        <v>1313</v>
      </c>
      <c r="J256" s="0" t="n">
        <f aca="false">RawFinancials!D256</f>
        <v>454335</v>
      </c>
      <c r="K256" s="0" t="n">
        <f aca="false">RawFinancials!F256</f>
        <v>53124</v>
      </c>
      <c r="L256" s="0" t="n">
        <f aca="false">RawFinancials!L256</f>
        <v>393124</v>
      </c>
      <c r="M256" s="0" t="n">
        <f aca="false">RawFinancials!N256</f>
        <v>373761</v>
      </c>
      <c r="N256" s="13" t="n">
        <f aca="false">RawFinancials!X256</f>
        <v>0.821587649425802</v>
      </c>
      <c r="O256" s="13" t="n">
        <f aca="false">RawFinancials!V256</f>
        <v>21.4867285184799</v>
      </c>
      <c r="P256" s="13" t="n">
        <f aca="false">IF(AND(ISNUMBER(L256),L256&lt;&gt;0,ISNUMBER(M256)),100*M256/L256,"")</f>
        <v>95.0745820657096</v>
      </c>
      <c r="Q256" s="13" t="n">
        <f aca="false">IF(AND(ISNUMBER(F256),F256&lt;&gt;0,ISNUMBER(K256)),100*K256/F256,"")</f>
        <v>9.58290791937398</v>
      </c>
      <c r="R256" s="11" t="b">
        <f aca="false">AND(ISNUMBER(F256),F256&gt;0,ISNUMBER(G256),G256&gt;=0,ISNUMBER(H256),H256&gt;=0)</f>
        <v>1</v>
      </c>
      <c r="S256" s="13" t="n">
        <f aca="false">IF(R256,100*I256/F256,"")</f>
        <v>0.236848846060877</v>
      </c>
      <c r="T256" s="11" t="b">
        <f aca="false">NOT(AND(OR(AND(ISBLANK(RawFinancials!B256),ISBLANK(_RawBaseline!B253)),AND(ISNUMBER(RawFinancials!B256),ISNUMBER(_RawBaseline!B253),RawFinancials!B256=_RawBaseline!B253)),OR(AND(ISBLANK(RawFinancials!U256),ISBLANK(_RawBaseline!U253)),AND(ISNUMBER(RawFinancials!U256),ISNUMBER(_RawBaseline!U253),RawFinancials!U256=_RawBaseline!U253)),OR(AND(ISBLANK(RawFinancials!O256),ISBLANK(_RawBaseline!O253)),AND(ISNUMBER(RawFinancials!O256),ISNUMBER(_RawBaseline!O253),RawFinancials!O256=_RawBaseline!O253))))</f>
        <v>0</v>
      </c>
      <c r="U256" s="13" t="n">
        <f aca="false">IF(AND(D256=WF_START_PERIOD,R256,COUNTIFS($B$5:$B$750,B256,$D$5:$D$750,WF_END_PERIOD,$R$5:$R$750,TRUE())&gt;0),SUMIFS($S$5:$S$750,$B$5:$B$750,B256,$D$5:$D$750,WF_END_PERIOD,$R$5:$R$750,TRUE()),0)</f>
        <v>0</v>
      </c>
      <c r="V256" s="0" t="str">
        <f aca="false">IF(AND(D256=WF_START_PERIOD,COUNTIFS($B$5:$B$750,B256,$D$5:$D$750,WF_END_PERIOD)&gt;0),INDEX($E$5:$E$750,MATCH(B256&amp;"|"&amp;WF_END_PERIOD,$AC$5:$AC$750,0)),"")</f>
        <v/>
      </c>
      <c r="W256" s="11" t="b">
        <f aca="false">COUNTIFS($B$5:$B$750,B256,$D$5:$D$750,WF_START_PERIOD,$R$5:$R$750,TRUE())&gt;0</f>
        <v>1</v>
      </c>
      <c r="X256" s="11" t="b">
        <f aca="false">COUNTIFS($B$5:$B$750,B256,$D$5:$D$750,WF_END_PERIOD,$R$5:$R$750,TRUE())&gt;0</f>
        <v>1</v>
      </c>
      <c r="Y256" s="0" t="str">
        <f aca="false">IF(AND(D256=WF_END_PERIOD,COUNTIFS($B$5:$B$750,B256,$D$5:$D$750,WF_START_PERIOD)&gt;0),INDEX($E$5:$E$750,MATCH(B256&amp;"|"&amp;WF_START_PERIOD,$AC$5:$AC$750,0)),"")</f>
        <v/>
      </c>
      <c r="Z256" s="0" t="str">
        <f aca="false">IF(AND(D256=WF_END_PERIOD,R256),1+COUNTIFS($D$5:$D$750,WF_END_PERIOD,$E$5:$E$750,E256,$R$5:$R$750,TRUE(),$S$5:$S$750,"&gt;"&amp;S256)+COUNTIFS($D$5:$D$750,WF_END_PERIOD,$E$5:$E$750,E256,$R$5:$R$750,TRUE(),$S$5:$S$750,S256,$B$5:$B$750,"&lt;"&amp;B256),"")</f>
        <v/>
      </c>
      <c r="AA256" s="0" t="str">
        <f aca="false">IF(AND(D256=WF_END_PERIOD,R256,Z256&lt;&gt;1),1+COUNTIFS($D$5:$D$750,WF_END_PERIOD,$R$5:$R$750,TRUE(),$Z$5:$Z$750,"&lt;&gt;1",$S$5:$S$750,"&gt;"&amp;S256)+COUNTIFS($D$5:$D$750,WF_END_PERIOD,$R$5:$R$750,TRUE(),$Z$5:$Z$750,"&lt;&gt;1",$S$5:$S$750,S256,$B$5:$B$750,"&lt;"&amp;B256),"")</f>
        <v/>
      </c>
      <c r="AB256" s="11" t="b">
        <f aca="false">OR(D256=WF_START_PERIOD,D256=WF_END_PERIOD)</f>
        <v>0</v>
      </c>
      <c r="AC256" s="0" t="str">
        <f aca="false">B256&amp;"|"&amp;D256</f>
        <v>30350|20230331</v>
      </c>
    </row>
    <row r="257" customFormat="false" ht="15" hidden="false" customHeight="false" outlineLevel="0" collapsed="false">
      <c r="A257" s="0" t="n">
        <f aca="false">RawFinancials!A257</f>
        <v>254</v>
      </c>
      <c r="B257" s="0" t="n">
        <f aca="false">RawFinancials!C257</f>
        <v>30878</v>
      </c>
      <c r="C257" s="0" t="str">
        <f aca="false">RawFinancials!P257</f>
        <v>BAR HARBOR SAVINGS AND LOAN ASSOCIATION</v>
      </c>
      <c r="D257" s="0" t="n">
        <f aca="false">RawFinancials!W257</f>
        <v>20230331</v>
      </c>
      <c r="E257" s="0" t="str">
        <f aca="false">RawFinancials!Z257</f>
        <v>ME</v>
      </c>
      <c r="F257" s="0" t="n">
        <f aca="false">RawFinancials!B257</f>
        <v>104047</v>
      </c>
      <c r="G257" s="0" t="n">
        <f aca="false">RawFinancials!U257</f>
        <v>0</v>
      </c>
      <c r="H257" s="0" t="n">
        <f aca="false">RawFinancials!O257</f>
        <v>710</v>
      </c>
      <c r="I257" s="0" t="n">
        <f aca="false">IF(AND(ISNUMBER(G257),ISNUMBER(H257)),G257+H257,"")</f>
        <v>710</v>
      </c>
      <c r="J257" s="0" t="n">
        <f aca="false">RawFinancials!D257</f>
        <v>76408</v>
      </c>
      <c r="K257" s="0" t="n">
        <f aca="false">RawFinancials!F257</f>
        <v>12490</v>
      </c>
      <c r="L257" s="0" t="n">
        <f aca="false">RawFinancials!L257</f>
        <v>83118</v>
      </c>
      <c r="M257" s="0" t="n">
        <f aca="false">RawFinancials!N257</f>
        <v>83020</v>
      </c>
      <c r="N257" s="13" t="n">
        <f aca="false">RawFinancials!X257</f>
        <v>-0.300319333057066</v>
      </c>
      <c r="O257" s="13" t="n">
        <f aca="false">RawFinancials!V257</f>
        <v>0</v>
      </c>
      <c r="P257" s="13" t="n">
        <f aca="false">IF(AND(ISNUMBER(L257),L257&lt;&gt;0,ISNUMBER(M257)),100*M257/L257,"")</f>
        <v>99.8820953343439</v>
      </c>
      <c r="Q257" s="13" t="n">
        <f aca="false">IF(AND(ISNUMBER(F257),F257&lt;&gt;0,ISNUMBER(K257)),100*K257/F257,"")</f>
        <v>12.0041904139475</v>
      </c>
      <c r="R257" s="11" t="b">
        <f aca="false">AND(ISNUMBER(F257),F257&gt;0,ISNUMBER(G257),G257&gt;=0,ISNUMBER(H257),H257&gt;=0)</f>
        <v>1</v>
      </c>
      <c r="S257" s="13" t="n">
        <f aca="false">IF(R257,100*I257/F257,"")</f>
        <v>0.682383922650341</v>
      </c>
      <c r="T257" s="11" t="b">
        <f aca="false">NOT(AND(OR(AND(ISBLANK(RawFinancials!B257),ISBLANK(_RawBaseline!B254)),AND(ISNUMBER(RawFinancials!B257),ISNUMBER(_RawBaseline!B254),RawFinancials!B257=_RawBaseline!B254)),OR(AND(ISBLANK(RawFinancials!U257),ISBLANK(_RawBaseline!U254)),AND(ISNUMBER(RawFinancials!U257),ISNUMBER(_RawBaseline!U254),RawFinancials!U257=_RawBaseline!U254)),OR(AND(ISBLANK(RawFinancials!O257),ISBLANK(_RawBaseline!O254)),AND(ISNUMBER(RawFinancials!O257),ISNUMBER(_RawBaseline!O254),RawFinancials!O257=_RawBaseline!O254))))</f>
        <v>0</v>
      </c>
      <c r="U257" s="13" t="n">
        <f aca="false">IF(AND(D257=WF_START_PERIOD,R257,COUNTIFS($B$5:$B$750,B257,$D$5:$D$750,WF_END_PERIOD,$R$5:$R$750,TRUE())&gt;0),SUMIFS($S$5:$S$750,$B$5:$B$750,B257,$D$5:$D$750,WF_END_PERIOD,$R$5:$R$750,TRUE()),0)</f>
        <v>0</v>
      </c>
      <c r="V257" s="0" t="str">
        <f aca="false">IF(AND(D257=WF_START_PERIOD,COUNTIFS($B$5:$B$750,B257,$D$5:$D$750,WF_END_PERIOD)&gt;0),INDEX($E$5:$E$750,MATCH(B257&amp;"|"&amp;WF_END_PERIOD,$AC$5:$AC$750,0)),"")</f>
        <v/>
      </c>
      <c r="W257" s="11" t="b">
        <f aca="false">COUNTIFS($B$5:$B$750,B257,$D$5:$D$750,WF_START_PERIOD,$R$5:$R$750,TRUE())&gt;0</f>
        <v>1</v>
      </c>
      <c r="X257" s="11" t="b">
        <f aca="false">COUNTIFS($B$5:$B$750,B257,$D$5:$D$750,WF_END_PERIOD,$R$5:$R$750,TRUE())&gt;0</f>
        <v>1</v>
      </c>
      <c r="Y257" s="0" t="str">
        <f aca="false">IF(AND(D257=WF_END_PERIOD,COUNTIFS($B$5:$B$750,B257,$D$5:$D$750,WF_START_PERIOD)&gt;0),INDEX($E$5:$E$750,MATCH(B257&amp;"|"&amp;WF_START_PERIOD,$AC$5:$AC$750,0)),"")</f>
        <v/>
      </c>
      <c r="Z257" s="0" t="str">
        <f aca="false">IF(AND(D257=WF_END_PERIOD,R257),1+COUNTIFS($D$5:$D$750,WF_END_PERIOD,$E$5:$E$750,E257,$R$5:$R$750,TRUE(),$S$5:$S$750,"&gt;"&amp;S257)+COUNTIFS($D$5:$D$750,WF_END_PERIOD,$E$5:$E$750,E257,$R$5:$R$750,TRUE(),$S$5:$S$750,S257,$B$5:$B$750,"&lt;"&amp;B257),"")</f>
        <v/>
      </c>
      <c r="AA257" s="0" t="str">
        <f aca="false">IF(AND(D257=WF_END_PERIOD,R257,Z257&lt;&gt;1),1+COUNTIFS($D$5:$D$750,WF_END_PERIOD,$R$5:$R$750,TRUE(),$Z$5:$Z$750,"&lt;&gt;1",$S$5:$S$750,"&gt;"&amp;S257)+COUNTIFS($D$5:$D$750,WF_END_PERIOD,$R$5:$R$750,TRUE(),$Z$5:$Z$750,"&lt;&gt;1",$S$5:$S$750,S257,$B$5:$B$750,"&lt;"&amp;B257),"")</f>
        <v/>
      </c>
      <c r="AB257" s="11" t="b">
        <f aca="false">OR(D257=WF_START_PERIOD,D257=WF_END_PERIOD)</f>
        <v>0</v>
      </c>
      <c r="AC257" s="0" t="str">
        <f aca="false">B257&amp;"|"&amp;D257</f>
        <v>30878|20230331</v>
      </c>
    </row>
    <row r="258" customFormat="false" ht="15" hidden="false" customHeight="false" outlineLevel="0" collapsed="false">
      <c r="A258" s="0" t="n">
        <f aca="false">RawFinancials!A258</f>
        <v>255</v>
      </c>
      <c r="B258" s="0" t="n">
        <f aca="false">RawFinancials!C258</f>
        <v>33418</v>
      </c>
      <c r="C258" s="0" t="str">
        <f aca="false">RawFinancials!P258</f>
        <v>LEDYARD NATIONAL BANK</v>
      </c>
      <c r="D258" s="0" t="n">
        <f aca="false">RawFinancials!W258</f>
        <v>20230331</v>
      </c>
      <c r="E258" s="0" t="str">
        <f aca="false">RawFinancials!Z258</f>
        <v>VT</v>
      </c>
      <c r="F258" s="0" t="n">
        <f aca="false">RawFinancials!B258</f>
        <v>745394</v>
      </c>
      <c r="G258" s="0" t="n">
        <f aca="false">RawFinancials!U258</f>
        <v>0</v>
      </c>
      <c r="H258" s="0" t="n">
        <f aca="false">RawFinancials!O258</f>
        <v>1287</v>
      </c>
      <c r="I258" s="0" t="n">
        <f aca="false">IF(AND(ISNUMBER(G258),ISNUMBER(H258)),G258+H258,"")</f>
        <v>1287</v>
      </c>
      <c r="J258" s="0" t="n">
        <f aca="false">RawFinancials!D258</f>
        <v>529254</v>
      </c>
      <c r="K258" s="0" t="n">
        <f aca="false">RawFinancials!F258</f>
        <v>67356</v>
      </c>
      <c r="L258" s="0" t="n">
        <f aca="false">RawFinancials!L258</f>
        <v>363499</v>
      </c>
      <c r="M258" s="0" t="n">
        <f aca="false">RawFinancials!N258</f>
        <v>305729</v>
      </c>
      <c r="N258" s="13" t="n">
        <f aca="false">RawFinancials!X258</f>
        <v>0.931989755103962</v>
      </c>
      <c r="O258" s="13" t="n">
        <f aca="false">RawFinancials!V258</f>
        <v>18.9057850876711</v>
      </c>
      <c r="P258" s="13" t="n">
        <f aca="false">IF(AND(ISNUMBER(L258),L258&lt;&gt;0,ISNUMBER(M258)),100*M258/L258,"")</f>
        <v>84.1072465123701</v>
      </c>
      <c r="Q258" s="13" t="n">
        <f aca="false">IF(AND(ISNUMBER(F258),F258&lt;&gt;0,ISNUMBER(K258)),100*K258/F258,"")</f>
        <v>9.03629489907351</v>
      </c>
      <c r="R258" s="11" t="b">
        <f aca="false">AND(ISNUMBER(F258),F258&gt;0,ISNUMBER(G258),G258&gt;=0,ISNUMBER(H258),H258&gt;=0)</f>
        <v>1</v>
      </c>
      <c r="S258" s="13" t="n">
        <f aca="false">IF(R258,100*I258/F258,"")</f>
        <v>0.172660364854024</v>
      </c>
      <c r="T258" s="11" t="b">
        <f aca="false">NOT(AND(OR(AND(ISBLANK(RawFinancials!B258),ISBLANK(_RawBaseline!B255)),AND(ISNUMBER(RawFinancials!B258),ISNUMBER(_RawBaseline!B255),RawFinancials!B258=_RawBaseline!B255)),OR(AND(ISBLANK(RawFinancials!U258),ISBLANK(_RawBaseline!U255)),AND(ISNUMBER(RawFinancials!U258),ISNUMBER(_RawBaseline!U255),RawFinancials!U258=_RawBaseline!U255)),OR(AND(ISBLANK(RawFinancials!O258),ISBLANK(_RawBaseline!O255)),AND(ISNUMBER(RawFinancials!O258),ISNUMBER(_RawBaseline!O255),RawFinancials!O258=_RawBaseline!O255))))</f>
        <v>0</v>
      </c>
      <c r="U258" s="13" t="n">
        <f aca="false">IF(AND(D258=WF_START_PERIOD,R258,COUNTIFS($B$5:$B$750,B258,$D$5:$D$750,WF_END_PERIOD,$R$5:$R$750,TRUE())&gt;0),SUMIFS($S$5:$S$750,$B$5:$B$750,B258,$D$5:$D$750,WF_END_PERIOD,$R$5:$R$750,TRUE()),0)</f>
        <v>0</v>
      </c>
      <c r="V258" s="0" t="str">
        <f aca="false">IF(AND(D258=WF_START_PERIOD,COUNTIFS($B$5:$B$750,B258,$D$5:$D$750,WF_END_PERIOD)&gt;0),INDEX($E$5:$E$750,MATCH(B258&amp;"|"&amp;WF_END_PERIOD,$AC$5:$AC$750,0)),"")</f>
        <v/>
      </c>
      <c r="W258" s="11" t="b">
        <f aca="false">COUNTIFS($B$5:$B$750,B258,$D$5:$D$750,WF_START_PERIOD,$R$5:$R$750,TRUE())&gt;0</f>
        <v>1</v>
      </c>
      <c r="X258" s="11" t="b">
        <f aca="false">COUNTIFS($B$5:$B$750,B258,$D$5:$D$750,WF_END_PERIOD,$R$5:$R$750,TRUE())&gt;0</f>
        <v>1</v>
      </c>
      <c r="Y258" s="0" t="str">
        <f aca="false">IF(AND(D258=WF_END_PERIOD,COUNTIFS($B$5:$B$750,B258,$D$5:$D$750,WF_START_PERIOD)&gt;0),INDEX($E$5:$E$750,MATCH(B258&amp;"|"&amp;WF_START_PERIOD,$AC$5:$AC$750,0)),"")</f>
        <v/>
      </c>
      <c r="Z258" s="0" t="str">
        <f aca="false">IF(AND(D258=WF_END_PERIOD,R258),1+COUNTIFS($D$5:$D$750,WF_END_PERIOD,$E$5:$E$750,E258,$R$5:$R$750,TRUE(),$S$5:$S$750,"&gt;"&amp;S258)+COUNTIFS($D$5:$D$750,WF_END_PERIOD,$E$5:$E$750,E258,$R$5:$R$750,TRUE(),$S$5:$S$750,S258,$B$5:$B$750,"&lt;"&amp;B258),"")</f>
        <v/>
      </c>
      <c r="AA258" s="0" t="str">
        <f aca="false">IF(AND(D258=WF_END_PERIOD,R258,Z258&lt;&gt;1),1+COUNTIFS($D$5:$D$750,WF_END_PERIOD,$R$5:$R$750,TRUE(),$Z$5:$Z$750,"&lt;&gt;1",$S$5:$S$750,"&gt;"&amp;S258)+COUNTIFS($D$5:$D$750,WF_END_PERIOD,$R$5:$R$750,TRUE(),$Z$5:$Z$750,"&lt;&gt;1",$S$5:$S$750,S258,$B$5:$B$750,"&lt;"&amp;B258),"")</f>
        <v/>
      </c>
      <c r="AB258" s="11" t="b">
        <f aca="false">OR(D258=WF_START_PERIOD,D258=WF_END_PERIOD)</f>
        <v>0</v>
      </c>
      <c r="AC258" s="0" t="str">
        <f aca="false">B258&amp;"|"&amp;D258</f>
        <v>33418|20230331</v>
      </c>
    </row>
    <row r="259" customFormat="false" ht="15" hidden="false" customHeight="false" outlineLevel="0" collapsed="false">
      <c r="A259" s="0" t="n">
        <f aca="false">RawFinancials!A259</f>
        <v>256</v>
      </c>
      <c r="B259" s="0" t="n">
        <f aca="false">RawFinancials!C259</f>
        <v>35206</v>
      </c>
      <c r="C259" s="0" t="str">
        <f aca="false">RawFinancials!P259</f>
        <v>FIDELITY PERSONAL TRUST COMPANY, FSB</v>
      </c>
      <c r="D259" s="0" t="n">
        <f aca="false">RawFinancials!W259</f>
        <v>20230331</v>
      </c>
      <c r="E259" s="0" t="str">
        <f aca="false">RawFinancials!Z259</f>
        <v>NH</v>
      </c>
      <c r="F259" s="0" t="n">
        <f aca="false">RawFinancials!B259</f>
        <v>66610</v>
      </c>
      <c r="G259" s="0" t="n">
        <f aca="false">RawFinancials!U259</f>
        <v>0</v>
      </c>
      <c r="H259" s="0" t="n">
        <f aca="false">RawFinancials!O259</f>
        <v>0</v>
      </c>
      <c r="I259" s="0" t="n">
        <f aca="false">IF(AND(ISNUMBER(G259),ISNUMBER(H259)),G259+H259,"")</f>
        <v>0</v>
      </c>
      <c r="J259" s="0" t="n">
        <f aca="false">RawFinancials!D259</f>
        <v>500</v>
      </c>
      <c r="K259" s="0" t="n">
        <f aca="false">RawFinancials!F259</f>
        <v>64048</v>
      </c>
      <c r="L259" s="0" t="n">
        <f aca="false">RawFinancials!L259</f>
        <v>0</v>
      </c>
      <c r="M259" s="0" t="n">
        <f aca="false">RawFinancials!N259</f>
        <v>0</v>
      </c>
      <c r="N259" s="13" t="n">
        <f aca="false">RawFinancials!X259</f>
        <v>20.8360558586212</v>
      </c>
      <c r="O259" s="13" t="n">
        <f aca="false">RawFinancials!V259</f>
        <v>0</v>
      </c>
      <c r="P259" s="13" t="str">
        <f aca="false">IF(AND(ISNUMBER(L259),L259&lt;&gt;0,ISNUMBER(M259)),100*M259/L259,"")</f>
        <v/>
      </c>
      <c r="Q259" s="13" t="n">
        <f aca="false">IF(AND(ISNUMBER(F259),F259&lt;&gt;0,ISNUMBER(K259)),100*K259/F259,"")</f>
        <v>96.1537306710704</v>
      </c>
      <c r="R259" s="11" t="b">
        <f aca="false">AND(ISNUMBER(F259),F259&gt;0,ISNUMBER(G259),G259&gt;=0,ISNUMBER(H259),H259&gt;=0)</f>
        <v>1</v>
      </c>
      <c r="S259" s="13" t="n">
        <f aca="false">IF(R259,100*I259/F259,"")</f>
        <v>0</v>
      </c>
      <c r="T259" s="11" t="b">
        <f aca="false">NOT(AND(OR(AND(ISBLANK(RawFinancials!B259),ISBLANK(_RawBaseline!B256)),AND(ISNUMBER(RawFinancials!B259),ISNUMBER(_RawBaseline!B256),RawFinancials!B259=_RawBaseline!B256)),OR(AND(ISBLANK(RawFinancials!U259),ISBLANK(_RawBaseline!U256)),AND(ISNUMBER(RawFinancials!U259),ISNUMBER(_RawBaseline!U256),RawFinancials!U259=_RawBaseline!U256)),OR(AND(ISBLANK(RawFinancials!O259),ISBLANK(_RawBaseline!O256)),AND(ISNUMBER(RawFinancials!O259),ISNUMBER(_RawBaseline!O256),RawFinancials!O259=_RawBaseline!O256))))</f>
        <v>0</v>
      </c>
      <c r="U259" s="13" t="n">
        <f aca="false">IF(AND(D259=WF_START_PERIOD,R259,COUNTIFS($B$5:$B$750,B259,$D$5:$D$750,WF_END_PERIOD,$R$5:$R$750,TRUE())&gt;0),SUMIFS($S$5:$S$750,$B$5:$B$750,B259,$D$5:$D$750,WF_END_PERIOD,$R$5:$R$750,TRUE()),0)</f>
        <v>0</v>
      </c>
      <c r="V259" s="0" t="str">
        <f aca="false">IF(AND(D259=WF_START_PERIOD,COUNTIFS($B$5:$B$750,B259,$D$5:$D$750,WF_END_PERIOD)&gt;0),INDEX($E$5:$E$750,MATCH(B259&amp;"|"&amp;WF_END_PERIOD,$AC$5:$AC$750,0)),"")</f>
        <v/>
      </c>
      <c r="W259" s="11" t="b">
        <f aca="false">COUNTIFS($B$5:$B$750,B259,$D$5:$D$750,WF_START_PERIOD,$R$5:$R$750,TRUE())&gt;0</f>
        <v>1</v>
      </c>
      <c r="X259" s="11" t="b">
        <f aca="false">COUNTIFS($B$5:$B$750,B259,$D$5:$D$750,WF_END_PERIOD,$R$5:$R$750,TRUE())&gt;0</f>
        <v>1</v>
      </c>
      <c r="Y259" s="0" t="str">
        <f aca="false">IF(AND(D259=WF_END_PERIOD,COUNTIFS($B$5:$B$750,B259,$D$5:$D$750,WF_START_PERIOD)&gt;0),INDEX($E$5:$E$750,MATCH(B259&amp;"|"&amp;WF_START_PERIOD,$AC$5:$AC$750,0)),"")</f>
        <v/>
      </c>
      <c r="Z259" s="0" t="str">
        <f aca="false">IF(AND(D259=WF_END_PERIOD,R259),1+COUNTIFS($D$5:$D$750,WF_END_PERIOD,$E$5:$E$750,E259,$R$5:$R$750,TRUE(),$S$5:$S$750,"&gt;"&amp;S259)+COUNTIFS($D$5:$D$750,WF_END_PERIOD,$E$5:$E$750,E259,$R$5:$R$750,TRUE(),$S$5:$S$750,S259,$B$5:$B$750,"&lt;"&amp;B259),"")</f>
        <v/>
      </c>
      <c r="AA259" s="0" t="str">
        <f aca="false">IF(AND(D259=WF_END_PERIOD,R259,Z259&lt;&gt;1),1+COUNTIFS($D$5:$D$750,WF_END_PERIOD,$R$5:$R$750,TRUE(),$Z$5:$Z$750,"&lt;&gt;1",$S$5:$S$750,"&gt;"&amp;S259)+COUNTIFS($D$5:$D$750,WF_END_PERIOD,$R$5:$R$750,TRUE(),$Z$5:$Z$750,"&lt;&gt;1",$S$5:$S$750,S259,$B$5:$B$750,"&lt;"&amp;B259),"")</f>
        <v/>
      </c>
      <c r="AB259" s="11" t="b">
        <f aca="false">OR(D259=WF_START_PERIOD,D259=WF_END_PERIOD)</f>
        <v>0</v>
      </c>
      <c r="AC259" s="0" t="str">
        <f aca="false">B259&amp;"|"&amp;D259</f>
        <v>35206|20230331</v>
      </c>
    </row>
    <row r="260" customFormat="false" ht="15" hidden="false" customHeight="false" outlineLevel="0" collapsed="false">
      <c r="A260" s="0" t="n">
        <f aca="false">RawFinancials!A260</f>
        <v>257</v>
      </c>
      <c r="B260" s="0" t="n">
        <f aca="false">RawFinancials!C260</f>
        <v>4255</v>
      </c>
      <c r="C260" s="0" t="str">
        <f aca="false">RawFinancials!P260</f>
        <v>THE CAMDEN NATIONAL BANK</v>
      </c>
      <c r="D260" s="0" t="n">
        <f aca="false">RawFinancials!W260</f>
        <v>20230331</v>
      </c>
      <c r="E260" s="0" t="str">
        <f aca="false">RawFinancials!Z260</f>
        <v>ME</v>
      </c>
      <c r="F260" s="0" t="n">
        <f aca="false">RawFinancials!B260</f>
        <v>5707400</v>
      </c>
      <c r="G260" s="0" t="n">
        <f aca="false">RawFinancials!U260</f>
        <v>0</v>
      </c>
      <c r="H260" s="0" t="n">
        <f aca="false">RawFinancials!O260</f>
        <v>2958</v>
      </c>
      <c r="I260" s="0" t="n">
        <f aca="false">IF(AND(ISNUMBER(G260),ISNUMBER(H260)),G260+H260,"")</f>
        <v>2958</v>
      </c>
      <c r="J260" s="0" t="n">
        <f aca="false">RawFinancials!D260</f>
        <v>4682533</v>
      </c>
      <c r="K260" s="0" t="n">
        <f aca="false">RawFinancials!F260</f>
        <v>475108</v>
      </c>
      <c r="L260" s="0" t="n">
        <f aca="false">RawFinancials!L260</f>
        <v>4077670</v>
      </c>
      <c r="M260" s="0" t="n">
        <f aca="false">RawFinancials!N260</f>
        <v>3668834</v>
      </c>
      <c r="N260" s="13" t="n">
        <f aca="false">RawFinancials!X260</f>
        <v>0.937848206885979</v>
      </c>
      <c r="O260" s="13" t="n">
        <f aca="false">RawFinancials!V260</f>
        <v>13.1782412567421</v>
      </c>
      <c r="P260" s="13" t="n">
        <f aca="false">IF(AND(ISNUMBER(L260),L260&lt;&gt;0,ISNUMBER(M260)),100*M260/L260,"")</f>
        <v>89.9737840482432</v>
      </c>
      <c r="Q260" s="13" t="n">
        <f aca="false">IF(AND(ISNUMBER(F260),F260&lt;&gt;0,ISNUMBER(K260)),100*K260/F260,"")</f>
        <v>8.3244209272173</v>
      </c>
      <c r="R260" s="11" t="b">
        <f aca="false">AND(ISNUMBER(F260),F260&gt;0,ISNUMBER(G260),G260&gt;=0,ISNUMBER(H260),H260&gt;=0)</f>
        <v>1</v>
      </c>
      <c r="S260" s="13" t="n">
        <f aca="false">IF(R260,100*I260/F260,"")</f>
        <v>0.0518274520797561</v>
      </c>
      <c r="T260" s="11" t="b">
        <f aca="false">NOT(AND(OR(AND(ISBLANK(RawFinancials!B260),ISBLANK(_RawBaseline!B257)),AND(ISNUMBER(RawFinancials!B260),ISNUMBER(_RawBaseline!B257),RawFinancials!B260=_RawBaseline!B257)),OR(AND(ISBLANK(RawFinancials!U260),ISBLANK(_RawBaseline!U257)),AND(ISNUMBER(RawFinancials!U260),ISNUMBER(_RawBaseline!U257),RawFinancials!U260=_RawBaseline!U257)),OR(AND(ISBLANK(RawFinancials!O260),ISBLANK(_RawBaseline!O257)),AND(ISNUMBER(RawFinancials!O260),ISNUMBER(_RawBaseline!O257),RawFinancials!O260=_RawBaseline!O257))))</f>
        <v>0</v>
      </c>
      <c r="U260" s="13" t="n">
        <f aca="false">IF(AND(D260=WF_START_PERIOD,R260,COUNTIFS($B$5:$B$750,B260,$D$5:$D$750,WF_END_PERIOD,$R$5:$R$750,TRUE())&gt;0),SUMIFS($S$5:$S$750,$B$5:$B$750,B260,$D$5:$D$750,WF_END_PERIOD,$R$5:$R$750,TRUE()),0)</f>
        <v>0</v>
      </c>
      <c r="V260" s="0" t="str">
        <f aca="false">IF(AND(D260=WF_START_PERIOD,COUNTIFS($B$5:$B$750,B260,$D$5:$D$750,WF_END_PERIOD)&gt;0),INDEX($E$5:$E$750,MATCH(B260&amp;"|"&amp;WF_END_PERIOD,$AC$5:$AC$750,0)),"")</f>
        <v/>
      </c>
      <c r="W260" s="11" t="b">
        <f aca="false">COUNTIFS($B$5:$B$750,B260,$D$5:$D$750,WF_START_PERIOD,$R$5:$R$750,TRUE())&gt;0</f>
        <v>1</v>
      </c>
      <c r="X260" s="11" t="b">
        <f aca="false">COUNTIFS($B$5:$B$750,B260,$D$5:$D$750,WF_END_PERIOD,$R$5:$R$750,TRUE())&gt;0</f>
        <v>1</v>
      </c>
      <c r="Y260" s="0" t="str">
        <f aca="false">IF(AND(D260=WF_END_PERIOD,COUNTIFS($B$5:$B$750,B260,$D$5:$D$750,WF_START_PERIOD)&gt;0),INDEX($E$5:$E$750,MATCH(B260&amp;"|"&amp;WF_START_PERIOD,$AC$5:$AC$750,0)),"")</f>
        <v/>
      </c>
      <c r="Z260" s="0" t="str">
        <f aca="false">IF(AND(D260=WF_END_PERIOD,R260),1+COUNTIFS($D$5:$D$750,WF_END_PERIOD,$E$5:$E$750,E260,$R$5:$R$750,TRUE(),$S$5:$S$750,"&gt;"&amp;S260)+COUNTIFS($D$5:$D$750,WF_END_PERIOD,$E$5:$E$750,E260,$R$5:$R$750,TRUE(),$S$5:$S$750,S260,$B$5:$B$750,"&lt;"&amp;B260),"")</f>
        <v/>
      </c>
      <c r="AA260" s="0" t="str">
        <f aca="false">IF(AND(D260=WF_END_PERIOD,R260,Z260&lt;&gt;1),1+COUNTIFS($D$5:$D$750,WF_END_PERIOD,$R$5:$R$750,TRUE(),$Z$5:$Z$750,"&lt;&gt;1",$S$5:$S$750,"&gt;"&amp;S260)+COUNTIFS($D$5:$D$750,WF_END_PERIOD,$R$5:$R$750,TRUE(),$Z$5:$Z$750,"&lt;&gt;1",$S$5:$S$750,S260,$B$5:$B$750,"&lt;"&amp;B260),"")</f>
        <v/>
      </c>
      <c r="AB260" s="11" t="b">
        <f aca="false">OR(D260=WF_START_PERIOD,D260=WF_END_PERIOD)</f>
        <v>0</v>
      </c>
      <c r="AC260" s="0" t="str">
        <f aca="false">B260&amp;"|"&amp;D260</f>
        <v>4255|20230331</v>
      </c>
    </row>
    <row r="261" customFormat="false" ht="15" hidden="false" customHeight="false" outlineLevel="0" collapsed="false">
      <c r="A261" s="0" t="n">
        <f aca="false">RawFinancials!A261</f>
        <v>258</v>
      </c>
      <c r="B261" s="0" t="n">
        <f aca="false">RawFinancials!C261</f>
        <v>4256</v>
      </c>
      <c r="C261" s="0" t="str">
        <f aca="false">RawFinancials!P261</f>
        <v>FIRST NATIONAL BANK</v>
      </c>
      <c r="D261" s="0" t="n">
        <f aca="false">RawFinancials!W261</f>
        <v>20230331</v>
      </c>
      <c r="E261" s="0" t="str">
        <f aca="false">RawFinancials!Z261</f>
        <v>ME</v>
      </c>
      <c r="F261" s="0" t="n">
        <f aca="false">RawFinancials!B261</f>
        <v>2776791</v>
      </c>
      <c r="G261" s="0" t="n">
        <f aca="false">RawFinancials!U261</f>
        <v>208</v>
      </c>
      <c r="H261" s="0" t="n">
        <f aca="false">RawFinancials!O261</f>
        <v>1800</v>
      </c>
      <c r="I261" s="0" t="n">
        <f aca="false">IF(AND(ISNUMBER(G261),ISNUMBER(H261)),G261+H261,"")</f>
        <v>2008</v>
      </c>
      <c r="J261" s="0" t="n">
        <f aca="false">RawFinancials!D261</f>
        <v>2467296</v>
      </c>
      <c r="K261" s="0" t="n">
        <f aca="false">RawFinancials!F261</f>
        <v>199927</v>
      </c>
      <c r="L261" s="0" t="n">
        <f aca="false">RawFinancials!L261</f>
        <v>1982847</v>
      </c>
      <c r="M261" s="0" t="n">
        <f aca="false">RawFinancials!N261</f>
        <v>1576558</v>
      </c>
      <c r="N261" s="13" t="n">
        <f aca="false">RawFinancials!X261</f>
        <v>1.19339414885096</v>
      </c>
      <c r="O261" s="13" t="n">
        <f aca="false">RawFinancials!V261</f>
        <v>13.6350384316431</v>
      </c>
      <c r="P261" s="13" t="n">
        <f aca="false">IF(AND(ISNUMBER(L261),L261&lt;&gt;0,ISNUMBER(M261)),100*M261/L261,"")</f>
        <v>79.5098159363784</v>
      </c>
      <c r="Q261" s="13" t="n">
        <f aca="false">IF(AND(ISNUMBER(F261),F261&lt;&gt;0,ISNUMBER(K261)),100*K261/F261,"")</f>
        <v>7.1999297030277</v>
      </c>
      <c r="R261" s="11" t="b">
        <f aca="false">AND(ISNUMBER(F261),F261&gt;0,ISNUMBER(G261),G261&gt;=0,ISNUMBER(H261),H261&gt;=0)</f>
        <v>1</v>
      </c>
      <c r="S261" s="13" t="n">
        <f aca="false">IF(R261,100*I261/F261,"")</f>
        <v>0.072313688714779</v>
      </c>
      <c r="T261" s="11" t="b">
        <f aca="false">NOT(AND(OR(AND(ISBLANK(RawFinancials!B261),ISBLANK(_RawBaseline!B258)),AND(ISNUMBER(RawFinancials!B261),ISNUMBER(_RawBaseline!B258),RawFinancials!B261=_RawBaseline!B258)),OR(AND(ISBLANK(RawFinancials!U261),ISBLANK(_RawBaseline!U258)),AND(ISNUMBER(RawFinancials!U261),ISNUMBER(_RawBaseline!U258),RawFinancials!U261=_RawBaseline!U258)),OR(AND(ISBLANK(RawFinancials!O261),ISBLANK(_RawBaseline!O258)),AND(ISNUMBER(RawFinancials!O261),ISNUMBER(_RawBaseline!O258),RawFinancials!O261=_RawBaseline!O258))))</f>
        <v>0</v>
      </c>
      <c r="U261" s="13" t="n">
        <f aca="false">IF(AND(D261=WF_START_PERIOD,R261,COUNTIFS($B$5:$B$750,B261,$D$5:$D$750,WF_END_PERIOD,$R$5:$R$750,TRUE())&gt;0),SUMIFS($S$5:$S$750,$B$5:$B$750,B261,$D$5:$D$750,WF_END_PERIOD,$R$5:$R$750,TRUE()),0)</f>
        <v>0</v>
      </c>
      <c r="V261" s="0" t="str">
        <f aca="false">IF(AND(D261=WF_START_PERIOD,COUNTIFS($B$5:$B$750,B261,$D$5:$D$750,WF_END_PERIOD)&gt;0),INDEX($E$5:$E$750,MATCH(B261&amp;"|"&amp;WF_END_PERIOD,$AC$5:$AC$750,0)),"")</f>
        <v/>
      </c>
      <c r="W261" s="11" t="b">
        <f aca="false">COUNTIFS($B$5:$B$750,B261,$D$5:$D$750,WF_START_PERIOD,$R$5:$R$750,TRUE())&gt;0</f>
        <v>1</v>
      </c>
      <c r="X261" s="11" t="b">
        <f aca="false">COUNTIFS($B$5:$B$750,B261,$D$5:$D$750,WF_END_PERIOD,$R$5:$R$750,TRUE())&gt;0</f>
        <v>1</v>
      </c>
      <c r="Y261" s="0" t="str">
        <f aca="false">IF(AND(D261=WF_END_PERIOD,COUNTIFS($B$5:$B$750,B261,$D$5:$D$750,WF_START_PERIOD)&gt;0),INDEX($E$5:$E$750,MATCH(B261&amp;"|"&amp;WF_START_PERIOD,$AC$5:$AC$750,0)),"")</f>
        <v/>
      </c>
      <c r="Z261" s="0" t="str">
        <f aca="false">IF(AND(D261=WF_END_PERIOD,R261),1+COUNTIFS($D$5:$D$750,WF_END_PERIOD,$E$5:$E$750,E261,$R$5:$R$750,TRUE(),$S$5:$S$750,"&gt;"&amp;S261)+COUNTIFS($D$5:$D$750,WF_END_PERIOD,$E$5:$E$750,E261,$R$5:$R$750,TRUE(),$S$5:$S$750,S261,$B$5:$B$750,"&lt;"&amp;B261),"")</f>
        <v/>
      </c>
      <c r="AA261" s="0" t="str">
        <f aca="false">IF(AND(D261=WF_END_PERIOD,R261,Z261&lt;&gt;1),1+COUNTIFS($D$5:$D$750,WF_END_PERIOD,$R$5:$R$750,TRUE(),$Z$5:$Z$750,"&lt;&gt;1",$S$5:$S$750,"&gt;"&amp;S261)+COUNTIFS($D$5:$D$750,WF_END_PERIOD,$R$5:$R$750,TRUE(),$Z$5:$Z$750,"&lt;&gt;1",$S$5:$S$750,S261,$B$5:$B$750,"&lt;"&amp;B261),"")</f>
        <v/>
      </c>
      <c r="AB261" s="11" t="b">
        <f aca="false">OR(D261=WF_START_PERIOD,D261=WF_END_PERIOD)</f>
        <v>0</v>
      </c>
      <c r="AC261" s="0" t="str">
        <f aca="false">B261&amp;"|"&amp;D261</f>
        <v>4256|20230331</v>
      </c>
    </row>
    <row r="262" customFormat="false" ht="15" hidden="false" customHeight="false" outlineLevel="0" collapsed="false">
      <c r="A262" s="0" t="n">
        <f aca="false">RawFinancials!A262</f>
        <v>259</v>
      </c>
      <c r="B262" s="0" t="n">
        <f aca="false">RawFinancials!C262</f>
        <v>59086</v>
      </c>
      <c r="C262" s="0" t="str">
        <f aca="false">RawFinancials!P262</f>
        <v>PRIMARY BANK</v>
      </c>
      <c r="D262" s="0" t="n">
        <f aca="false">RawFinancials!W262</f>
        <v>20230331</v>
      </c>
      <c r="E262" s="0" t="str">
        <f aca="false">RawFinancials!Z262</f>
        <v>NH</v>
      </c>
      <c r="F262" s="0" t="n">
        <f aca="false">RawFinancials!B262</f>
        <v>693867</v>
      </c>
      <c r="G262" s="0" t="n">
        <f aca="false">RawFinancials!U262</f>
        <v>0</v>
      </c>
      <c r="H262" s="0" t="n">
        <f aca="false">RawFinancials!O262</f>
        <v>4263</v>
      </c>
      <c r="I262" s="0" t="n">
        <f aca="false">IF(AND(ISNUMBER(G262),ISNUMBER(H262)),G262+H262,"")</f>
        <v>4263</v>
      </c>
      <c r="J262" s="0" t="n">
        <f aca="false">RawFinancials!D262</f>
        <v>607363</v>
      </c>
      <c r="K262" s="0" t="n">
        <f aca="false">RawFinancials!F262</f>
        <v>80605</v>
      </c>
      <c r="L262" s="0" t="n">
        <f aca="false">RawFinancials!L262</f>
        <v>581159</v>
      </c>
      <c r="M262" s="0" t="n">
        <f aca="false">RawFinancials!N262</f>
        <v>463062</v>
      </c>
      <c r="N262" s="13" t="n">
        <f aca="false">RawFinancials!X262</f>
        <v>1.65037409369627</v>
      </c>
      <c r="O262" s="13" t="n">
        <f aca="false">RawFinancials!V262</f>
        <v>14.3503452916795</v>
      </c>
      <c r="P262" s="13" t="n">
        <f aca="false">IF(AND(ISNUMBER(L262),L262&lt;&gt;0,ISNUMBER(M262)),100*M262/L262,"")</f>
        <v>79.6790551294913</v>
      </c>
      <c r="Q262" s="13" t="n">
        <f aca="false">IF(AND(ISNUMBER(F262),F262&lt;&gt;0,ISNUMBER(K262)),100*K262/F262,"")</f>
        <v>11.6167795845602</v>
      </c>
      <c r="R262" s="11" t="b">
        <f aca="false">AND(ISNUMBER(F262),F262&gt;0,ISNUMBER(G262),G262&gt;=0,ISNUMBER(H262),H262&gt;=0)</f>
        <v>1</v>
      </c>
      <c r="S262" s="13" t="n">
        <f aca="false">IF(R262,100*I262/F262,"")</f>
        <v>0.614382871645431</v>
      </c>
      <c r="T262" s="11" t="b">
        <f aca="false">NOT(AND(OR(AND(ISBLANK(RawFinancials!B262),ISBLANK(_RawBaseline!B259)),AND(ISNUMBER(RawFinancials!B262),ISNUMBER(_RawBaseline!B259),RawFinancials!B262=_RawBaseline!B259)),OR(AND(ISBLANK(RawFinancials!U262),ISBLANK(_RawBaseline!U259)),AND(ISNUMBER(RawFinancials!U262),ISNUMBER(_RawBaseline!U259),RawFinancials!U262=_RawBaseline!U259)),OR(AND(ISBLANK(RawFinancials!O262),ISBLANK(_RawBaseline!O259)),AND(ISNUMBER(RawFinancials!O262),ISNUMBER(_RawBaseline!O259),RawFinancials!O262=_RawBaseline!O259))))</f>
        <v>0</v>
      </c>
      <c r="U262" s="13" t="n">
        <f aca="false">IF(AND(D262=WF_START_PERIOD,R262,COUNTIFS($B$5:$B$750,B262,$D$5:$D$750,WF_END_PERIOD,$R$5:$R$750,TRUE())&gt;0),SUMIFS($S$5:$S$750,$B$5:$B$750,B262,$D$5:$D$750,WF_END_PERIOD,$R$5:$R$750,TRUE()),0)</f>
        <v>0</v>
      </c>
      <c r="V262" s="0" t="str">
        <f aca="false">IF(AND(D262=WF_START_PERIOD,COUNTIFS($B$5:$B$750,B262,$D$5:$D$750,WF_END_PERIOD)&gt;0),INDEX($E$5:$E$750,MATCH(B262&amp;"|"&amp;WF_END_PERIOD,$AC$5:$AC$750,0)),"")</f>
        <v/>
      </c>
      <c r="W262" s="11" t="b">
        <f aca="false">COUNTIFS($B$5:$B$750,B262,$D$5:$D$750,WF_START_PERIOD,$R$5:$R$750,TRUE())&gt;0</f>
        <v>1</v>
      </c>
      <c r="X262" s="11" t="b">
        <f aca="false">COUNTIFS($B$5:$B$750,B262,$D$5:$D$750,WF_END_PERIOD,$R$5:$R$750,TRUE())&gt;0</f>
        <v>1</v>
      </c>
      <c r="Y262" s="0" t="str">
        <f aca="false">IF(AND(D262=WF_END_PERIOD,COUNTIFS($B$5:$B$750,B262,$D$5:$D$750,WF_START_PERIOD)&gt;0),INDEX($E$5:$E$750,MATCH(B262&amp;"|"&amp;WF_START_PERIOD,$AC$5:$AC$750,0)),"")</f>
        <v/>
      </c>
      <c r="Z262" s="0" t="str">
        <f aca="false">IF(AND(D262=WF_END_PERIOD,R262),1+COUNTIFS($D$5:$D$750,WF_END_PERIOD,$E$5:$E$750,E262,$R$5:$R$750,TRUE(),$S$5:$S$750,"&gt;"&amp;S262)+COUNTIFS($D$5:$D$750,WF_END_PERIOD,$E$5:$E$750,E262,$R$5:$R$750,TRUE(),$S$5:$S$750,S262,$B$5:$B$750,"&lt;"&amp;B262),"")</f>
        <v/>
      </c>
      <c r="AA262" s="0" t="str">
        <f aca="false">IF(AND(D262=WF_END_PERIOD,R262,Z262&lt;&gt;1),1+COUNTIFS($D$5:$D$750,WF_END_PERIOD,$R$5:$R$750,TRUE(),$Z$5:$Z$750,"&lt;&gt;1",$S$5:$S$750,"&gt;"&amp;S262)+COUNTIFS($D$5:$D$750,WF_END_PERIOD,$R$5:$R$750,TRUE(),$Z$5:$Z$750,"&lt;&gt;1",$S$5:$S$750,S262,$B$5:$B$750,"&lt;"&amp;B262),"")</f>
        <v/>
      </c>
      <c r="AB262" s="11" t="b">
        <f aca="false">OR(D262=WF_START_PERIOD,D262=WF_END_PERIOD)</f>
        <v>0</v>
      </c>
      <c r="AC262" s="0" t="str">
        <f aca="false">B262&amp;"|"&amp;D262</f>
        <v>59086|20230331</v>
      </c>
    </row>
    <row r="263" customFormat="false" ht="15" hidden="false" customHeight="false" outlineLevel="0" collapsed="false">
      <c r="A263" s="0" t="n">
        <f aca="false">RawFinancials!A263</f>
        <v>260</v>
      </c>
      <c r="B263" s="0" t="n">
        <f aca="false">RawFinancials!C263</f>
        <v>59176</v>
      </c>
      <c r="C263" s="0" t="str">
        <f aca="false">RawFinancials!P263</f>
        <v>THE MILLYARD BANK</v>
      </c>
      <c r="D263" s="0" t="n">
        <f aca="false">RawFinancials!W263</f>
        <v>20230331</v>
      </c>
      <c r="E263" s="0" t="str">
        <f aca="false">RawFinancials!Z263</f>
        <v>NH</v>
      </c>
      <c r="F263" s="0" t="n">
        <f aca="false">RawFinancials!B263</f>
        <v>191655</v>
      </c>
      <c r="G263" s="0" t="n">
        <f aca="false">RawFinancials!U263</f>
        <v>0</v>
      </c>
      <c r="H263" s="0" t="n">
        <f aca="false">RawFinancials!O263</f>
        <v>0</v>
      </c>
      <c r="I263" s="0" t="n">
        <f aca="false">IF(AND(ISNUMBER(G263),ISNUMBER(H263)),G263+H263,"")</f>
        <v>0</v>
      </c>
      <c r="J263" s="0" t="n">
        <f aca="false">RawFinancials!D263</f>
        <v>161440</v>
      </c>
      <c r="K263" s="0" t="n">
        <f aca="false">RawFinancials!F263</f>
        <v>23472</v>
      </c>
      <c r="L263" s="0" t="n">
        <f aca="false">RawFinancials!L263</f>
        <v>138506</v>
      </c>
      <c r="M263" s="0" t="n">
        <f aca="false">RawFinancials!N263</f>
        <v>119629</v>
      </c>
      <c r="N263" s="13" t="n">
        <f aca="false">RawFinancials!X263</f>
        <v>0.210682355624214</v>
      </c>
      <c r="O263" s="13" t="n">
        <f aca="false">RawFinancials!V263</f>
        <v>18.2380826024283</v>
      </c>
      <c r="P263" s="13" t="n">
        <f aca="false">IF(AND(ISNUMBER(L263),L263&lt;&gt;0,ISNUMBER(M263)),100*M263/L263,"")</f>
        <v>86.370987538446</v>
      </c>
      <c r="Q263" s="13" t="n">
        <f aca="false">IF(AND(ISNUMBER(F263),F263&lt;&gt;0,ISNUMBER(K263)),100*K263/F263,"")</f>
        <v>12.2470063395163</v>
      </c>
      <c r="R263" s="11" t="b">
        <f aca="false">AND(ISNUMBER(F263),F263&gt;0,ISNUMBER(G263),G263&gt;=0,ISNUMBER(H263),H263&gt;=0)</f>
        <v>1</v>
      </c>
      <c r="S263" s="13" t="n">
        <f aca="false">IF(R263,100*I263/F263,"")</f>
        <v>0</v>
      </c>
      <c r="T263" s="11" t="b">
        <f aca="false">NOT(AND(OR(AND(ISBLANK(RawFinancials!B263),ISBLANK(_RawBaseline!B260)),AND(ISNUMBER(RawFinancials!B263),ISNUMBER(_RawBaseline!B260),RawFinancials!B263=_RawBaseline!B260)),OR(AND(ISBLANK(RawFinancials!U263),ISBLANK(_RawBaseline!U260)),AND(ISNUMBER(RawFinancials!U263),ISNUMBER(_RawBaseline!U260),RawFinancials!U263=_RawBaseline!U260)),OR(AND(ISBLANK(RawFinancials!O263),ISBLANK(_RawBaseline!O260)),AND(ISNUMBER(RawFinancials!O263),ISNUMBER(_RawBaseline!O260),RawFinancials!O263=_RawBaseline!O260))))</f>
        <v>0</v>
      </c>
      <c r="U263" s="13" t="n">
        <f aca="false">IF(AND(D263=WF_START_PERIOD,R263,COUNTIFS($B$5:$B$750,B263,$D$5:$D$750,WF_END_PERIOD,$R$5:$R$750,TRUE())&gt;0),SUMIFS($S$5:$S$750,$B$5:$B$750,B263,$D$5:$D$750,WF_END_PERIOD,$R$5:$R$750,TRUE()),0)</f>
        <v>0</v>
      </c>
      <c r="V263" s="0" t="str">
        <f aca="false">IF(AND(D263=WF_START_PERIOD,COUNTIFS($B$5:$B$750,B263,$D$5:$D$750,WF_END_PERIOD)&gt;0),INDEX($E$5:$E$750,MATCH(B263&amp;"|"&amp;WF_END_PERIOD,$AC$5:$AC$750,0)),"")</f>
        <v/>
      </c>
      <c r="W263" s="11" t="b">
        <f aca="false">COUNTIFS($B$5:$B$750,B263,$D$5:$D$750,WF_START_PERIOD,$R$5:$R$750,TRUE())&gt;0</f>
        <v>1</v>
      </c>
      <c r="X263" s="11" t="b">
        <f aca="false">COUNTIFS($B$5:$B$750,B263,$D$5:$D$750,WF_END_PERIOD,$R$5:$R$750,TRUE())&gt;0</f>
        <v>1</v>
      </c>
      <c r="Y263" s="0" t="str">
        <f aca="false">IF(AND(D263=WF_END_PERIOD,COUNTIFS($B$5:$B$750,B263,$D$5:$D$750,WF_START_PERIOD)&gt;0),INDEX($E$5:$E$750,MATCH(B263&amp;"|"&amp;WF_START_PERIOD,$AC$5:$AC$750,0)),"")</f>
        <v/>
      </c>
      <c r="Z263" s="0" t="str">
        <f aca="false">IF(AND(D263=WF_END_PERIOD,R263),1+COUNTIFS($D$5:$D$750,WF_END_PERIOD,$E$5:$E$750,E263,$R$5:$R$750,TRUE(),$S$5:$S$750,"&gt;"&amp;S263)+COUNTIFS($D$5:$D$750,WF_END_PERIOD,$E$5:$E$750,E263,$R$5:$R$750,TRUE(),$S$5:$S$750,S263,$B$5:$B$750,"&lt;"&amp;B263),"")</f>
        <v/>
      </c>
      <c r="AA263" s="0" t="str">
        <f aca="false">IF(AND(D263=WF_END_PERIOD,R263,Z263&lt;&gt;1),1+COUNTIFS($D$5:$D$750,WF_END_PERIOD,$R$5:$R$750,TRUE(),$Z$5:$Z$750,"&lt;&gt;1",$S$5:$S$750,"&gt;"&amp;S263)+COUNTIFS($D$5:$D$750,WF_END_PERIOD,$R$5:$R$750,TRUE(),$Z$5:$Z$750,"&lt;&gt;1",$S$5:$S$750,S263,$B$5:$B$750,"&lt;"&amp;B263),"")</f>
        <v/>
      </c>
      <c r="AB263" s="11" t="b">
        <f aca="false">OR(D263=WF_START_PERIOD,D263=WF_END_PERIOD)</f>
        <v>0</v>
      </c>
      <c r="AC263" s="0" t="str">
        <f aca="false">B263&amp;"|"&amp;D263</f>
        <v>59176|20230331</v>
      </c>
    </row>
    <row r="264" customFormat="false" ht="15" hidden="false" customHeight="false" outlineLevel="0" collapsed="false">
      <c r="A264" s="0" t="n">
        <f aca="false">RawFinancials!A264</f>
        <v>261</v>
      </c>
      <c r="B264" s="0" t="n">
        <f aca="false">RawFinancials!C264</f>
        <v>59289</v>
      </c>
      <c r="C264" s="0" t="str">
        <f aca="false">RawFinancials!P264</f>
        <v>WALDEN MUTUAL BANK</v>
      </c>
      <c r="D264" s="0" t="n">
        <f aca="false">RawFinancials!W264</f>
        <v>20230331</v>
      </c>
      <c r="E264" s="0" t="str">
        <f aca="false">RawFinancials!Z264</f>
        <v>NH</v>
      </c>
      <c r="F264" s="0" t="n">
        <f aca="false">RawFinancials!B264</f>
        <v>44619</v>
      </c>
      <c r="G264" s="0" t="n">
        <f aca="false">RawFinancials!U264</f>
        <v>0</v>
      </c>
      <c r="H264" s="0" t="n">
        <f aca="false">RawFinancials!O264</f>
        <v>0</v>
      </c>
      <c r="I264" s="0" t="n">
        <f aca="false">IF(AND(ISNUMBER(G264),ISNUMBER(H264)),G264+H264,"")</f>
        <v>0</v>
      </c>
      <c r="J264" s="0" t="n">
        <f aca="false">RawFinancials!D264</f>
        <v>22939</v>
      </c>
      <c r="K264" s="0" t="n">
        <f aca="false">RawFinancials!F264</f>
        <v>20800</v>
      </c>
      <c r="L264" s="0" t="n">
        <f aca="false">RawFinancials!L264</f>
        <v>11029</v>
      </c>
      <c r="M264" s="0" t="n">
        <f aca="false">RawFinancials!N264</f>
        <v>4676</v>
      </c>
      <c r="N264" s="13" t="n">
        <f aca="false">RawFinancials!X264</f>
        <v>-8.18873306394105</v>
      </c>
      <c r="O264" s="13" t="n">
        <f aca="false">RawFinancials!V264</f>
        <v>0</v>
      </c>
      <c r="P264" s="13" t="n">
        <f aca="false">IF(AND(ISNUMBER(L264),L264&lt;&gt;0,ISNUMBER(M264)),100*M264/L264,"")</f>
        <v>42.3973161664702</v>
      </c>
      <c r="Q264" s="13" t="n">
        <f aca="false">IF(AND(ISNUMBER(F264),F264&lt;&gt;0,ISNUMBER(K264)),100*K264/F264,"")</f>
        <v>46.6169120778144</v>
      </c>
      <c r="R264" s="11" t="b">
        <f aca="false">AND(ISNUMBER(F264),F264&gt;0,ISNUMBER(G264),G264&gt;=0,ISNUMBER(H264),H264&gt;=0)</f>
        <v>1</v>
      </c>
      <c r="S264" s="13" t="n">
        <f aca="false">IF(R264,100*I264/F264,"")</f>
        <v>0</v>
      </c>
      <c r="T264" s="11" t="b">
        <f aca="false">NOT(AND(OR(AND(ISBLANK(RawFinancials!B264),ISBLANK(_RawBaseline!B261)),AND(ISNUMBER(RawFinancials!B264),ISNUMBER(_RawBaseline!B261),RawFinancials!B264=_RawBaseline!B261)),OR(AND(ISBLANK(RawFinancials!U264),ISBLANK(_RawBaseline!U261)),AND(ISNUMBER(RawFinancials!U264),ISNUMBER(_RawBaseline!U261),RawFinancials!U264=_RawBaseline!U261)),OR(AND(ISBLANK(RawFinancials!O264),ISBLANK(_RawBaseline!O261)),AND(ISNUMBER(RawFinancials!O264),ISNUMBER(_RawBaseline!O261),RawFinancials!O264=_RawBaseline!O261))))</f>
        <v>0</v>
      </c>
      <c r="U264" s="13" t="n">
        <f aca="false">IF(AND(D264=WF_START_PERIOD,R264,COUNTIFS($B$5:$B$750,B264,$D$5:$D$750,WF_END_PERIOD,$R$5:$R$750,TRUE())&gt;0),SUMIFS($S$5:$S$750,$B$5:$B$750,B264,$D$5:$D$750,WF_END_PERIOD,$R$5:$R$750,TRUE()),0)</f>
        <v>0</v>
      </c>
      <c r="V264" s="0" t="str">
        <f aca="false">IF(AND(D264=WF_START_PERIOD,COUNTIFS($B$5:$B$750,B264,$D$5:$D$750,WF_END_PERIOD)&gt;0),INDEX($E$5:$E$750,MATCH(B264&amp;"|"&amp;WF_END_PERIOD,$AC$5:$AC$750,0)),"")</f>
        <v/>
      </c>
      <c r="W264" s="11" t="b">
        <f aca="false">COUNTIFS($B$5:$B$750,B264,$D$5:$D$750,WF_START_PERIOD,$R$5:$R$750,TRUE())&gt;0</f>
        <v>1</v>
      </c>
      <c r="X264" s="11" t="b">
        <f aca="false">COUNTIFS($B$5:$B$750,B264,$D$5:$D$750,WF_END_PERIOD,$R$5:$R$750,TRUE())&gt;0</f>
        <v>1</v>
      </c>
      <c r="Y264" s="0" t="str">
        <f aca="false">IF(AND(D264=WF_END_PERIOD,COUNTIFS($B$5:$B$750,B264,$D$5:$D$750,WF_START_PERIOD)&gt;0),INDEX($E$5:$E$750,MATCH(B264&amp;"|"&amp;WF_START_PERIOD,$AC$5:$AC$750,0)),"")</f>
        <v/>
      </c>
      <c r="Z264" s="0" t="str">
        <f aca="false">IF(AND(D264=WF_END_PERIOD,R264),1+COUNTIFS($D$5:$D$750,WF_END_PERIOD,$E$5:$E$750,E264,$R$5:$R$750,TRUE(),$S$5:$S$750,"&gt;"&amp;S264)+COUNTIFS($D$5:$D$750,WF_END_PERIOD,$E$5:$E$750,E264,$R$5:$R$750,TRUE(),$S$5:$S$750,S264,$B$5:$B$750,"&lt;"&amp;B264),"")</f>
        <v/>
      </c>
      <c r="AA264" s="0" t="str">
        <f aca="false">IF(AND(D264=WF_END_PERIOD,R264,Z264&lt;&gt;1),1+COUNTIFS($D$5:$D$750,WF_END_PERIOD,$R$5:$R$750,TRUE(),$Z$5:$Z$750,"&lt;&gt;1",$S$5:$S$750,"&gt;"&amp;S264)+COUNTIFS($D$5:$D$750,WF_END_PERIOD,$R$5:$R$750,TRUE(),$Z$5:$Z$750,"&lt;&gt;1",$S$5:$S$750,S264,$B$5:$B$750,"&lt;"&amp;B264),"")</f>
        <v/>
      </c>
      <c r="AB264" s="11" t="b">
        <f aca="false">OR(D264=WF_START_PERIOD,D264=WF_END_PERIOD)</f>
        <v>0</v>
      </c>
      <c r="AC264" s="0" t="str">
        <f aca="false">B264&amp;"|"&amp;D264</f>
        <v>59289|20230331</v>
      </c>
    </row>
    <row r="265" customFormat="false" ht="15" hidden="false" customHeight="false" outlineLevel="0" collapsed="false">
      <c r="A265" s="0" t="n">
        <f aca="false">RawFinancials!A265</f>
        <v>262</v>
      </c>
      <c r="B265" s="0" t="n">
        <f aca="false">RawFinancials!C265</f>
        <v>59298</v>
      </c>
      <c r="C265" s="0" t="str">
        <f aca="false">RawFinancials!P265</f>
        <v>BANK OF BURLINGTON</v>
      </c>
      <c r="D265" s="0" t="n">
        <f aca="false">RawFinancials!W265</f>
        <v>20230331</v>
      </c>
      <c r="E265" s="0" t="str">
        <f aca="false">RawFinancials!Z265</f>
        <v>VT</v>
      </c>
      <c r="F265" s="0" t="n">
        <f aca="false">RawFinancials!B265</f>
        <v>115337</v>
      </c>
      <c r="G265" s="0" t="n">
        <f aca="false">RawFinancials!U265</f>
        <v>0</v>
      </c>
      <c r="H265" s="0" t="n">
        <f aca="false">RawFinancials!O265</f>
        <v>0</v>
      </c>
      <c r="I265" s="0" t="n">
        <f aca="false">IF(AND(ISNUMBER(G265),ISNUMBER(H265)),G265+H265,"")</f>
        <v>0</v>
      </c>
      <c r="J265" s="0" t="n">
        <f aca="false">RawFinancials!D265</f>
        <v>85635</v>
      </c>
      <c r="K265" s="0" t="n">
        <f aca="false">RawFinancials!F265</f>
        <v>28720</v>
      </c>
      <c r="L265" s="0" t="n">
        <f aca="false">RawFinancials!L265</f>
        <v>37121</v>
      </c>
      <c r="M265" s="0" t="n">
        <f aca="false">RawFinancials!N265</f>
        <v>28863</v>
      </c>
      <c r="N265" s="13" t="n">
        <f aca="false">RawFinancials!X265</f>
        <v>-3.58202471281107</v>
      </c>
      <c r="O265" s="13" t="n">
        <f aca="false">RawFinancials!V265</f>
        <v>0</v>
      </c>
      <c r="P265" s="13" t="n">
        <f aca="false">IF(AND(ISNUMBER(L265),L265&lt;&gt;0,ISNUMBER(M265)),100*M265/L265,"")</f>
        <v>77.7538320627138</v>
      </c>
      <c r="Q265" s="13" t="n">
        <f aca="false">IF(AND(ISNUMBER(F265),F265&lt;&gt;0,ISNUMBER(K265)),100*K265/F265,"")</f>
        <v>24.9009424555867</v>
      </c>
      <c r="R265" s="11" t="b">
        <f aca="false">AND(ISNUMBER(F265),F265&gt;0,ISNUMBER(G265),G265&gt;=0,ISNUMBER(H265),H265&gt;=0)</f>
        <v>1</v>
      </c>
      <c r="S265" s="13" t="n">
        <f aca="false">IF(R265,100*I265/F265,"")</f>
        <v>0</v>
      </c>
      <c r="T265" s="11" t="b">
        <f aca="false">NOT(AND(OR(AND(ISBLANK(RawFinancials!B265),ISBLANK(_RawBaseline!B262)),AND(ISNUMBER(RawFinancials!B265),ISNUMBER(_RawBaseline!B262),RawFinancials!B265=_RawBaseline!B262)),OR(AND(ISBLANK(RawFinancials!U265),ISBLANK(_RawBaseline!U262)),AND(ISNUMBER(RawFinancials!U265),ISNUMBER(_RawBaseline!U262),RawFinancials!U265=_RawBaseline!U262)),OR(AND(ISBLANK(RawFinancials!O265),ISBLANK(_RawBaseline!O262)),AND(ISNUMBER(RawFinancials!O265),ISNUMBER(_RawBaseline!O262),RawFinancials!O265=_RawBaseline!O262))))</f>
        <v>0</v>
      </c>
      <c r="U265" s="13" t="n">
        <f aca="false">IF(AND(D265=WF_START_PERIOD,R265,COUNTIFS($B$5:$B$750,B265,$D$5:$D$750,WF_END_PERIOD,$R$5:$R$750,TRUE())&gt;0),SUMIFS($S$5:$S$750,$B$5:$B$750,B265,$D$5:$D$750,WF_END_PERIOD,$R$5:$R$750,TRUE()),0)</f>
        <v>0</v>
      </c>
      <c r="V265" s="0" t="str">
        <f aca="false">IF(AND(D265=WF_START_PERIOD,COUNTIFS($B$5:$B$750,B265,$D$5:$D$750,WF_END_PERIOD)&gt;0),INDEX($E$5:$E$750,MATCH(B265&amp;"|"&amp;WF_END_PERIOD,$AC$5:$AC$750,0)),"")</f>
        <v/>
      </c>
      <c r="W265" s="11" t="b">
        <f aca="false">COUNTIFS($B$5:$B$750,B265,$D$5:$D$750,WF_START_PERIOD,$R$5:$R$750,TRUE())&gt;0</f>
        <v>1</v>
      </c>
      <c r="X265" s="11" t="b">
        <f aca="false">COUNTIFS($B$5:$B$750,B265,$D$5:$D$750,WF_END_PERIOD,$R$5:$R$750,TRUE())&gt;0</f>
        <v>1</v>
      </c>
      <c r="Y265" s="0" t="str">
        <f aca="false">IF(AND(D265=WF_END_PERIOD,COUNTIFS($B$5:$B$750,B265,$D$5:$D$750,WF_START_PERIOD)&gt;0),INDEX($E$5:$E$750,MATCH(B265&amp;"|"&amp;WF_START_PERIOD,$AC$5:$AC$750,0)),"")</f>
        <v/>
      </c>
      <c r="Z265" s="0" t="str">
        <f aca="false">IF(AND(D265=WF_END_PERIOD,R265),1+COUNTIFS($D$5:$D$750,WF_END_PERIOD,$E$5:$E$750,E265,$R$5:$R$750,TRUE(),$S$5:$S$750,"&gt;"&amp;S265)+COUNTIFS($D$5:$D$750,WF_END_PERIOD,$E$5:$E$750,E265,$R$5:$R$750,TRUE(),$S$5:$S$750,S265,$B$5:$B$750,"&lt;"&amp;B265),"")</f>
        <v/>
      </c>
      <c r="AA265" s="0" t="str">
        <f aca="false">IF(AND(D265=WF_END_PERIOD,R265,Z265&lt;&gt;1),1+COUNTIFS($D$5:$D$750,WF_END_PERIOD,$R$5:$R$750,TRUE(),$Z$5:$Z$750,"&lt;&gt;1",$S$5:$S$750,"&gt;"&amp;S265)+COUNTIFS($D$5:$D$750,WF_END_PERIOD,$R$5:$R$750,TRUE(),$Z$5:$Z$750,"&lt;&gt;1",$S$5:$S$750,S265,$B$5:$B$750,"&lt;"&amp;B265),"")</f>
        <v/>
      </c>
      <c r="AB265" s="11" t="b">
        <f aca="false">OR(D265=WF_START_PERIOD,D265=WF_END_PERIOD)</f>
        <v>0</v>
      </c>
      <c r="AC265" s="0" t="str">
        <f aca="false">B265&amp;"|"&amp;D265</f>
        <v>59298|20230331</v>
      </c>
    </row>
    <row r="266" customFormat="false" ht="15" hidden="false" customHeight="false" outlineLevel="0" collapsed="false">
      <c r="A266" s="0" t="n">
        <f aca="false">RawFinancials!A266</f>
        <v>263</v>
      </c>
      <c r="B266" s="0" t="n">
        <f aca="false">RawFinancials!C266</f>
        <v>6271</v>
      </c>
      <c r="C266" s="0" t="str">
        <f aca="false">RawFinancials!P266</f>
        <v>COMMUNITY NATIONAL BANK</v>
      </c>
      <c r="D266" s="0" t="n">
        <f aca="false">RawFinancials!W266</f>
        <v>20230331</v>
      </c>
      <c r="E266" s="0" t="str">
        <f aca="false">RawFinancials!Z266</f>
        <v>VT</v>
      </c>
      <c r="F266" s="0" t="n">
        <f aca="false">RawFinancials!B266</f>
        <v>1030080</v>
      </c>
      <c r="G266" s="0" t="n">
        <f aca="false">RawFinancials!U266</f>
        <v>176</v>
      </c>
      <c r="H266" s="0" t="n">
        <f aca="false">RawFinancials!O266</f>
        <v>8482</v>
      </c>
      <c r="I266" s="0" t="n">
        <f aca="false">IF(AND(ISNUMBER(G266),ISNUMBER(H266)),G266+H266,"")</f>
        <v>8658</v>
      </c>
      <c r="J266" s="0" t="n">
        <f aca="false">RawFinancials!D266</f>
        <v>889655</v>
      </c>
      <c r="K266" s="0" t="n">
        <f aca="false">RawFinancials!F266</f>
        <v>91934</v>
      </c>
      <c r="L266" s="0" t="n">
        <f aca="false">RawFinancials!L266</f>
        <v>759096</v>
      </c>
      <c r="M266" s="0" t="n">
        <f aca="false">RawFinancials!N266</f>
        <v>593607</v>
      </c>
      <c r="N266" s="13" t="n">
        <f aca="false">RawFinancials!X266</f>
        <v>1.38518274505742</v>
      </c>
      <c r="O266" s="13" t="n">
        <f aca="false">RawFinancials!V266</f>
        <v>15.0686740437823</v>
      </c>
      <c r="P266" s="13" t="n">
        <f aca="false">IF(AND(ISNUMBER(L266),L266&lt;&gt;0,ISNUMBER(M266)),100*M266/L266,"")</f>
        <v>78.199200101173</v>
      </c>
      <c r="Q266" s="13" t="n">
        <f aca="false">IF(AND(ISNUMBER(F266),F266&lt;&gt;0,ISNUMBER(K266)),100*K266/F266,"")</f>
        <v>8.92493786890339</v>
      </c>
      <c r="R266" s="11" t="b">
        <f aca="false">AND(ISNUMBER(F266),F266&gt;0,ISNUMBER(G266),G266&gt;=0,ISNUMBER(H266),H266&gt;=0)</f>
        <v>1</v>
      </c>
      <c r="S266" s="13" t="n">
        <f aca="false">IF(R266,100*I266/F266,"")</f>
        <v>0.84051724137931</v>
      </c>
      <c r="T266" s="11" t="b">
        <f aca="false">NOT(AND(OR(AND(ISBLANK(RawFinancials!B266),ISBLANK(_RawBaseline!B263)),AND(ISNUMBER(RawFinancials!B266),ISNUMBER(_RawBaseline!B263),RawFinancials!B266=_RawBaseline!B263)),OR(AND(ISBLANK(RawFinancials!U266),ISBLANK(_RawBaseline!U263)),AND(ISNUMBER(RawFinancials!U266),ISNUMBER(_RawBaseline!U263),RawFinancials!U266=_RawBaseline!U263)),OR(AND(ISBLANK(RawFinancials!O266),ISBLANK(_RawBaseline!O263)),AND(ISNUMBER(RawFinancials!O266),ISNUMBER(_RawBaseline!O263),RawFinancials!O266=_RawBaseline!O263))))</f>
        <v>0</v>
      </c>
      <c r="U266" s="13" t="n">
        <f aca="false">IF(AND(D266=WF_START_PERIOD,R266,COUNTIFS($B$5:$B$750,B266,$D$5:$D$750,WF_END_PERIOD,$R$5:$R$750,TRUE())&gt;0),SUMIFS($S$5:$S$750,$B$5:$B$750,B266,$D$5:$D$750,WF_END_PERIOD,$R$5:$R$750,TRUE()),0)</f>
        <v>0</v>
      </c>
      <c r="V266" s="0" t="str">
        <f aca="false">IF(AND(D266=WF_START_PERIOD,COUNTIFS($B$5:$B$750,B266,$D$5:$D$750,WF_END_PERIOD)&gt;0),INDEX($E$5:$E$750,MATCH(B266&amp;"|"&amp;WF_END_PERIOD,$AC$5:$AC$750,0)),"")</f>
        <v/>
      </c>
      <c r="W266" s="11" t="b">
        <f aca="false">COUNTIFS($B$5:$B$750,B266,$D$5:$D$750,WF_START_PERIOD,$R$5:$R$750,TRUE())&gt;0</f>
        <v>1</v>
      </c>
      <c r="X266" s="11" t="b">
        <f aca="false">COUNTIFS($B$5:$B$750,B266,$D$5:$D$750,WF_END_PERIOD,$R$5:$R$750,TRUE())&gt;0</f>
        <v>1</v>
      </c>
      <c r="Y266" s="0" t="str">
        <f aca="false">IF(AND(D266=WF_END_PERIOD,COUNTIFS($B$5:$B$750,B266,$D$5:$D$750,WF_START_PERIOD)&gt;0),INDEX($E$5:$E$750,MATCH(B266&amp;"|"&amp;WF_START_PERIOD,$AC$5:$AC$750,0)),"")</f>
        <v/>
      </c>
      <c r="Z266" s="0" t="str">
        <f aca="false">IF(AND(D266=WF_END_PERIOD,R266),1+COUNTIFS($D$5:$D$750,WF_END_PERIOD,$E$5:$E$750,E266,$R$5:$R$750,TRUE(),$S$5:$S$750,"&gt;"&amp;S266)+COUNTIFS($D$5:$D$750,WF_END_PERIOD,$E$5:$E$750,E266,$R$5:$R$750,TRUE(),$S$5:$S$750,S266,$B$5:$B$750,"&lt;"&amp;B266),"")</f>
        <v/>
      </c>
      <c r="AA266" s="0" t="str">
        <f aca="false">IF(AND(D266=WF_END_PERIOD,R266,Z266&lt;&gt;1),1+COUNTIFS($D$5:$D$750,WF_END_PERIOD,$R$5:$R$750,TRUE(),$Z$5:$Z$750,"&lt;&gt;1",$S$5:$S$750,"&gt;"&amp;S266)+COUNTIFS($D$5:$D$750,WF_END_PERIOD,$R$5:$R$750,TRUE(),$Z$5:$Z$750,"&lt;&gt;1",$S$5:$S$750,S266,$B$5:$B$750,"&lt;"&amp;B266),"")</f>
        <v/>
      </c>
      <c r="AB266" s="11" t="b">
        <f aca="false">OR(D266=WF_START_PERIOD,D266=WF_END_PERIOD)</f>
        <v>0</v>
      </c>
      <c r="AC266" s="0" t="str">
        <f aca="false">B266&amp;"|"&amp;D266</f>
        <v>6271|20230331</v>
      </c>
    </row>
    <row r="267" customFormat="false" ht="15" hidden="false" customHeight="false" outlineLevel="0" collapsed="false">
      <c r="A267" s="0" t="n">
        <f aca="false">RawFinancials!A267</f>
        <v>264</v>
      </c>
      <c r="B267" s="0" t="n">
        <f aca="false">RawFinancials!C267</f>
        <v>6275</v>
      </c>
      <c r="C267" s="0" t="str">
        <f aca="false">RawFinancials!P267</f>
        <v>THE NATIONAL BANK OF MIDDLEBURY</v>
      </c>
      <c r="D267" s="0" t="n">
        <f aca="false">RawFinancials!W267</f>
        <v>20230331</v>
      </c>
      <c r="E267" s="0" t="str">
        <f aca="false">RawFinancials!Z267</f>
        <v>VT</v>
      </c>
      <c r="F267" s="0" t="n">
        <f aca="false">RawFinancials!B267</f>
        <v>537695</v>
      </c>
      <c r="G267" s="0" t="n">
        <f aca="false">RawFinancials!U267</f>
        <v>0</v>
      </c>
      <c r="H267" s="0" t="n">
        <f aca="false">RawFinancials!O267</f>
        <v>1344</v>
      </c>
      <c r="I267" s="0" t="n">
        <f aca="false">IF(AND(ISNUMBER(G267),ISNUMBER(H267)),G267+H267,"")</f>
        <v>1344</v>
      </c>
      <c r="J267" s="0" t="n">
        <f aca="false">RawFinancials!D267</f>
        <v>478571</v>
      </c>
      <c r="K267" s="0" t="n">
        <f aca="false">RawFinancials!F267</f>
        <v>28866</v>
      </c>
      <c r="L267" s="0" t="n">
        <f aca="false">RawFinancials!L267</f>
        <v>316204</v>
      </c>
      <c r="M267" s="0" t="n">
        <f aca="false">RawFinancials!N267</f>
        <v>257983</v>
      </c>
      <c r="N267" s="13" t="n">
        <f aca="false">RawFinancials!X267</f>
        <v>0.598540404742425</v>
      </c>
      <c r="O267" s="13" t="n">
        <f aca="false">RawFinancials!V267</f>
        <v>15.478889436504</v>
      </c>
      <c r="P267" s="13" t="n">
        <f aca="false">IF(AND(ISNUMBER(L267),L267&lt;&gt;0,ISNUMBER(M267)),100*M267/L267,"")</f>
        <v>81.5875194494693</v>
      </c>
      <c r="Q267" s="13" t="n">
        <f aca="false">IF(AND(ISNUMBER(F267),F267&lt;&gt;0,ISNUMBER(K267)),100*K267/F267,"")</f>
        <v>5.36847097332131</v>
      </c>
      <c r="R267" s="11" t="b">
        <f aca="false">AND(ISNUMBER(F267),F267&gt;0,ISNUMBER(G267),G267&gt;=0,ISNUMBER(H267),H267&gt;=0)</f>
        <v>1</v>
      </c>
      <c r="S267" s="13" t="n">
        <f aca="false">IF(R267,100*I267/F267,"")</f>
        <v>0.249955829977961</v>
      </c>
      <c r="T267" s="11" t="b">
        <f aca="false">NOT(AND(OR(AND(ISBLANK(RawFinancials!B267),ISBLANK(_RawBaseline!B264)),AND(ISNUMBER(RawFinancials!B267),ISNUMBER(_RawBaseline!B264),RawFinancials!B267=_RawBaseline!B264)),OR(AND(ISBLANK(RawFinancials!U267),ISBLANK(_RawBaseline!U264)),AND(ISNUMBER(RawFinancials!U267),ISNUMBER(_RawBaseline!U264),RawFinancials!U267=_RawBaseline!U264)),OR(AND(ISBLANK(RawFinancials!O267),ISBLANK(_RawBaseline!O264)),AND(ISNUMBER(RawFinancials!O267),ISNUMBER(_RawBaseline!O264),RawFinancials!O267=_RawBaseline!O264))))</f>
        <v>0</v>
      </c>
      <c r="U267" s="13" t="n">
        <f aca="false">IF(AND(D267=WF_START_PERIOD,R267,COUNTIFS($B$5:$B$750,B267,$D$5:$D$750,WF_END_PERIOD,$R$5:$R$750,TRUE())&gt;0),SUMIFS($S$5:$S$750,$B$5:$B$750,B267,$D$5:$D$750,WF_END_PERIOD,$R$5:$R$750,TRUE()),0)</f>
        <v>0</v>
      </c>
      <c r="V267" s="0" t="str">
        <f aca="false">IF(AND(D267=WF_START_PERIOD,COUNTIFS($B$5:$B$750,B267,$D$5:$D$750,WF_END_PERIOD)&gt;0),INDEX($E$5:$E$750,MATCH(B267&amp;"|"&amp;WF_END_PERIOD,$AC$5:$AC$750,0)),"")</f>
        <v/>
      </c>
      <c r="W267" s="11" t="b">
        <f aca="false">COUNTIFS($B$5:$B$750,B267,$D$5:$D$750,WF_START_PERIOD,$R$5:$R$750,TRUE())&gt;0</f>
        <v>1</v>
      </c>
      <c r="X267" s="11" t="b">
        <f aca="false">COUNTIFS($B$5:$B$750,B267,$D$5:$D$750,WF_END_PERIOD,$R$5:$R$750,TRUE())&gt;0</f>
        <v>1</v>
      </c>
      <c r="Y267" s="0" t="str">
        <f aca="false">IF(AND(D267=WF_END_PERIOD,COUNTIFS($B$5:$B$750,B267,$D$5:$D$750,WF_START_PERIOD)&gt;0),INDEX($E$5:$E$750,MATCH(B267&amp;"|"&amp;WF_START_PERIOD,$AC$5:$AC$750,0)),"")</f>
        <v/>
      </c>
      <c r="Z267" s="0" t="str">
        <f aca="false">IF(AND(D267=WF_END_PERIOD,R267),1+COUNTIFS($D$5:$D$750,WF_END_PERIOD,$E$5:$E$750,E267,$R$5:$R$750,TRUE(),$S$5:$S$750,"&gt;"&amp;S267)+COUNTIFS($D$5:$D$750,WF_END_PERIOD,$E$5:$E$750,E267,$R$5:$R$750,TRUE(),$S$5:$S$750,S267,$B$5:$B$750,"&lt;"&amp;B267),"")</f>
        <v/>
      </c>
      <c r="AA267" s="0" t="str">
        <f aca="false">IF(AND(D267=WF_END_PERIOD,R267,Z267&lt;&gt;1),1+COUNTIFS($D$5:$D$750,WF_END_PERIOD,$R$5:$R$750,TRUE(),$Z$5:$Z$750,"&lt;&gt;1",$S$5:$S$750,"&gt;"&amp;S267)+COUNTIFS($D$5:$D$750,WF_END_PERIOD,$R$5:$R$750,TRUE(),$Z$5:$Z$750,"&lt;&gt;1",$S$5:$S$750,S267,$B$5:$B$750,"&lt;"&amp;B267),"")</f>
        <v/>
      </c>
      <c r="AB267" s="11" t="b">
        <f aca="false">OR(D267=WF_START_PERIOD,D267=WF_END_PERIOD)</f>
        <v>0</v>
      </c>
      <c r="AC267" s="0" t="str">
        <f aca="false">B267&amp;"|"&amp;D267</f>
        <v>6275|20230331</v>
      </c>
    </row>
    <row r="268" customFormat="false" ht="15" hidden="false" customHeight="false" outlineLevel="0" collapsed="false">
      <c r="A268" s="0" t="n">
        <f aca="false">RawFinancials!A268</f>
        <v>265</v>
      </c>
      <c r="B268" s="0" t="n">
        <f aca="false">RawFinancials!C268</f>
        <v>6280</v>
      </c>
      <c r="C268" s="0" t="str">
        <f aca="false">RawFinancials!P268</f>
        <v>THE FIRST NATIONAL BANK OF ORWELL</v>
      </c>
      <c r="D268" s="0" t="n">
        <f aca="false">RawFinancials!W268</f>
        <v>20230331</v>
      </c>
      <c r="E268" s="0" t="str">
        <f aca="false">RawFinancials!Z268</f>
        <v>VT</v>
      </c>
      <c r="F268" s="0" t="n">
        <f aca="false">RawFinancials!B268</f>
        <v>83956</v>
      </c>
      <c r="G268" s="0" t="n">
        <f aca="false">RawFinancials!U268</f>
        <v>0</v>
      </c>
      <c r="H268" s="0" t="n">
        <f aca="false">RawFinancials!O268</f>
        <v>597</v>
      </c>
      <c r="I268" s="0" t="n">
        <f aca="false">IF(AND(ISNUMBER(G268),ISNUMBER(H268)),G268+H268,"")</f>
        <v>597</v>
      </c>
      <c r="J268" s="0" t="n">
        <f aca="false">RawFinancials!D268</f>
        <v>74763</v>
      </c>
      <c r="K268" s="0" t="n">
        <f aca="false">RawFinancials!F268</f>
        <v>9018</v>
      </c>
      <c r="L268" s="0" t="n">
        <f aca="false">RawFinancials!L268</f>
        <v>63645</v>
      </c>
      <c r="M268" s="0" t="n">
        <f aca="false">RawFinancials!N268</f>
        <v>55677</v>
      </c>
      <c r="N268" s="13" t="n">
        <f aca="false">RawFinancials!X268</f>
        <v>1.95501565910601</v>
      </c>
      <c r="O268" s="13" t="n">
        <f aca="false">RawFinancials!V268</f>
        <v>0</v>
      </c>
      <c r="P268" s="13" t="n">
        <f aca="false">IF(AND(ISNUMBER(L268),L268&lt;&gt;0,ISNUMBER(M268)),100*M268/L268,"")</f>
        <v>87.4805562102286</v>
      </c>
      <c r="Q268" s="13" t="n">
        <f aca="false">IF(AND(ISNUMBER(F268),F268&lt;&gt;0,ISNUMBER(K268)),100*K268/F268,"")</f>
        <v>10.7413407022726</v>
      </c>
      <c r="R268" s="11" t="b">
        <f aca="false">AND(ISNUMBER(F268),F268&gt;0,ISNUMBER(G268),G268&gt;=0,ISNUMBER(H268),H268&gt;=0)</f>
        <v>1</v>
      </c>
      <c r="S268" s="13" t="n">
        <f aca="false">IF(R268,100*I268/F268,"")</f>
        <v>0.711086759731288</v>
      </c>
      <c r="T268" s="11" t="b">
        <f aca="false">NOT(AND(OR(AND(ISBLANK(RawFinancials!B268),ISBLANK(_RawBaseline!B265)),AND(ISNUMBER(RawFinancials!B268),ISNUMBER(_RawBaseline!B265),RawFinancials!B268=_RawBaseline!B265)),OR(AND(ISBLANK(RawFinancials!U268),ISBLANK(_RawBaseline!U265)),AND(ISNUMBER(RawFinancials!U268),ISNUMBER(_RawBaseline!U265),RawFinancials!U268=_RawBaseline!U265)),OR(AND(ISBLANK(RawFinancials!O268),ISBLANK(_RawBaseline!O265)),AND(ISNUMBER(RawFinancials!O268),ISNUMBER(_RawBaseline!O265),RawFinancials!O268=_RawBaseline!O265))))</f>
        <v>0</v>
      </c>
      <c r="U268" s="13" t="n">
        <f aca="false">IF(AND(D268=WF_START_PERIOD,R268,COUNTIFS($B$5:$B$750,B268,$D$5:$D$750,WF_END_PERIOD,$R$5:$R$750,TRUE())&gt;0),SUMIFS($S$5:$S$750,$B$5:$B$750,B268,$D$5:$D$750,WF_END_PERIOD,$R$5:$R$750,TRUE()),0)</f>
        <v>0</v>
      </c>
      <c r="V268" s="0" t="str">
        <f aca="false">IF(AND(D268=WF_START_PERIOD,COUNTIFS($B$5:$B$750,B268,$D$5:$D$750,WF_END_PERIOD)&gt;0),INDEX($E$5:$E$750,MATCH(B268&amp;"|"&amp;WF_END_PERIOD,$AC$5:$AC$750,0)),"")</f>
        <v/>
      </c>
      <c r="W268" s="11" t="b">
        <f aca="false">COUNTIFS($B$5:$B$750,B268,$D$5:$D$750,WF_START_PERIOD,$R$5:$R$750,TRUE())&gt;0</f>
        <v>1</v>
      </c>
      <c r="X268" s="11" t="b">
        <f aca="false">COUNTIFS($B$5:$B$750,B268,$D$5:$D$750,WF_END_PERIOD,$R$5:$R$750,TRUE())&gt;0</f>
        <v>1</v>
      </c>
      <c r="Y268" s="0" t="str">
        <f aca="false">IF(AND(D268=WF_END_PERIOD,COUNTIFS($B$5:$B$750,B268,$D$5:$D$750,WF_START_PERIOD)&gt;0),INDEX($E$5:$E$750,MATCH(B268&amp;"|"&amp;WF_START_PERIOD,$AC$5:$AC$750,0)),"")</f>
        <v/>
      </c>
      <c r="Z268" s="0" t="str">
        <f aca="false">IF(AND(D268=WF_END_PERIOD,R268),1+COUNTIFS($D$5:$D$750,WF_END_PERIOD,$E$5:$E$750,E268,$R$5:$R$750,TRUE(),$S$5:$S$750,"&gt;"&amp;S268)+COUNTIFS($D$5:$D$750,WF_END_PERIOD,$E$5:$E$750,E268,$R$5:$R$750,TRUE(),$S$5:$S$750,S268,$B$5:$B$750,"&lt;"&amp;B268),"")</f>
        <v/>
      </c>
      <c r="AA268" s="0" t="str">
        <f aca="false">IF(AND(D268=WF_END_PERIOD,R268,Z268&lt;&gt;1),1+COUNTIFS($D$5:$D$750,WF_END_PERIOD,$R$5:$R$750,TRUE(),$Z$5:$Z$750,"&lt;&gt;1",$S$5:$S$750,"&gt;"&amp;S268)+COUNTIFS($D$5:$D$750,WF_END_PERIOD,$R$5:$R$750,TRUE(),$Z$5:$Z$750,"&lt;&gt;1",$S$5:$S$750,S268,$B$5:$B$750,"&lt;"&amp;B268),"")</f>
        <v/>
      </c>
      <c r="AB268" s="11" t="b">
        <f aca="false">OR(D268=WF_START_PERIOD,D268=WF_END_PERIOD)</f>
        <v>0</v>
      </c>
      <c r="AC268" s="0" t="str">
        <f aca="false">B268&amp;"|"&amp;D268</f>
        <v>6280|20230331</v>
      </c>
    </row>
    <row r="269" customFormat="false" ht="15" hidden="false" customHeight="false" outlineLevel="0" collapsed="false">
      <c r="A269" s="0" t="n">
        <f aca="false">RawFinancials!A269</f>
        <v>266</v>
      </c>
      <c r="B269" s="0" t="n">
        <f aca="false">RawFinancials!C269</f>
        <v>11971</v>
      </c>
      <c r="C269" s="0" t="str">
        <f aca="false">RawFinancials!P269</f>
        <v>BAR HARBOR BANK &amp; TRUST</v>
      </c>
      <c r="D269" s="0" t="n">
        <f aca="false">RawFinancials!W269</f>
        <v>20230630</v>
      </c>
      <c r="E269" s="0" t="str">
        <f aca="false">RawFinancials!Z269</f>
        <v>ME</v>
      </c>
      <c r="F269" s="0" t="n">
        <f aca="false">RawFinancials!B269</f>
        <v>4024714</v>
      </c>
      <c r="G269" s="0" t="n">
        <f aca="false">RawFinancials!U269</f>
        <v>568</v>
      </c>
      <c r="H269" s="0" t="n">
        <f aca="false">RawFinancials!O269</f>
        <v>6704</v>
      </c>
      <c r="I269" s="0" t="n">
        <f aca="false">IF(AND(ISNUMBER(G269),ISNUMBER(H269)),G269+H269,"")</f>
        <v>7272</v>
      </c>
      <c r="J269" s="0" t="n">
        <f aca="false">RawFinancials!D269</f>
        <v>3097302</v>
      </c>
      <c r="K269" s="0" t="n">
        <f aca="false">RawFinancials!F269</f>
        <v>463527</v>
      </c>
      <c r="L269" s="0" t="n">
        <f aca="false">RawFinancials!L269</f>
        <v>3011149</v>
      </c>
      <c r="M269" s="0" t="n">
        <f aca="false">RawFinancials!N269</f>
        <v>2647016</v>
      </c>
      <c r="N269" s="13" t="n">
        <f aca="false">RawFinancials!X269</f>
        <v>1.34667895852712</v>
      </c>
      <c r="O269" s="13" t="n">
        <f aca="false">RawFinancials!V269</f>
        <v>13.2942278137619</v>
      </c>
      <c r="P269" s="13" t="n">
        <f aca="false">IF(AND(ISNUMBER(L269),L269&lt;&gt;0,ISNUMBER(M269)),100*M269/L269,"")</f>
        <v>87.9071743045595</v>
      </c>
      <c r="Q269" s="13" t="n">
        <f aca="false">IF(AND(ISNUMBER(F269),F269&lt;&gt;0,ISNUMBER(K269)),100*K269/F269,"")</f>
        <v>11.5170171097872</v>
      </c>
      <c r="R269" s="11" t="b">
        <f aca="false">AND(ISNUMBER(F269),F269&gt;0,ISNUMBER(G269),G269&gt;=0,ISNUMBER(H269),H269&gt;=0)</f>
        <v>1</v>
      </c>
      <c r="S269" s="13" t="n">
        <f aca="false">IF(R269,100*I269/F269,"")</f>
        <v>0.180683646092617</v>
      </c>
      <c r="T269" s="11" t="b">
        <f aca="false">NOT(AND(OR(AND(ISBLANK(RawFinancials!B269),ISBLANK(_RawBaseline!B266)),AND(ISNUMBER(RawFinancials!B269),ISNUMBER(_RawBaseline!B266),RawFinancials!B269=_RawBaseline!B266)),OR(AND(ISBLANK(RawFinancials!U269),ISBLANK(_RawBaseline!U266)),AND(ISNUMBER(RawFinancials!U269),ISNUMBER(_RawBaseline!U266),RawFinancials!U269=_RawBaseline!U266)),OR(AND(ISBLANK(RawFinancials!O269),ISBLANK(_RawBaseline!O266)),AND(ISNUMBER(RawFinancials!O269),ISNUMBER(_RawBaseline!O266),RawFinancials!O269=_RawBaseline!O266))))</f>
        <v>0</v>
      </c>
      <c r="U269" s="13" t="n">
        <f aca="false">IF(AND(D269=WF_START_PERIOD,R269,COUNTIFS($B$5:$B$750,B269,$D$5:$D$750,WF_END_PERIOD,$R$5:$R$750,TRUE())&gt;0),SUMIFS($S$5:$S$750,$B$5:$B$750,B269,$D$5:$D$750,WF_END_PERIOD,$R$5:$R$750,TRUE()),0)</f>
        <v>0</v>
      </c>
      <c r="V269" s="0" t="str">
        <f aca="false">IF(AND(D269=WF_START_PERIOD,COUNTIFS($B$5:$B$750,B269,$D$5:$D$750,WF_END_PERIOD)&gt;0),INDEX($E$5:$E$750,MATCH(B269&amp;"|"&amp;WF_END_PERIOD,$AC$5:$AC$750,0)),"")</f>
        <v/>
      </c>
      <c r="W269" s="11" t="b">
        <f aca="false">COUNTIFS($B$5:$B$750,B269,$D$5:$D$750,WF_START_PERIOD,$R$5:$R$750,TRUE())&gt;0</f>
        <v>1</v>
      </c>
      <c r="X269" s="11" t="b">
        <f aca="false">COUNTIFS($B$5:$B$750,B269,$D$5:$D$750,WF_END_PERIOD,$R$5:$R$750,TRUE())&gt;0</f>
        <v>1</v>
      </c>
      <c r="Y269" s="0" t="str">
        <f aca="false">IF(AND(D269=WF_END_PERIOD,COUNTIFS($B$5:$B$750,B269,$D$5:$D$750,WF_START_PERIOD)&gt;0),INDEX($E$5:$E$750,MATCH(B269&amp;"|"&amp;WF_START_PERIOD,$AC$5:$AC$750,0)),"")</f>
        <v/>
      </c>
      <c r="Z269" s="0" t="str">
        <f aca="false">IF(AND(D269=WF_END_PERIOD,R269),1+COUNTIFS($D$5:$D$750,WF_END_PERIOD,$E$5:$E$750,E269,$R$5:$R$750,TRUE(),$S$5:$S$750,"&gt;"&amp;S269)+COUNTIFS($D$5:$D$750,WF_END_PERIOD,$E$5:$E$750,E269,$R$5:$R$750,TRUE(),$S$5:$S$750,S269,$B$5:$B$750,"&lt;"&amp;B269),"")</f>
        <v/>
      </c>
      <c r="AA269" s="0" t="str">
        <f aca="false">IF(AND(D269=WF_END_PERIOD,R269,Z269&lt;&gt;1),1+COUNTIFS($D$5:$D$750,WF_END_PERIOD,$R$5:$R$750,TRUE(),$Z$5:$Z$750,"&lt;&gt;1",$S$5:$S$750,"&gt;"&amp;S269)+COUNTIFS($D$5:$D$750,WF_END_PERIOD,$R$5:$R$750,TRUE(),$Z$5:$Z$750,"&lt;&gt;1",$S$5:$S$750,S269,$B$5:$B$750,"&lt;"&amp;B269),"")</f>
        <v/>
      </c>
      <c r="AB269" s="11" t="b">
        <f aca="false">OR(D269=WF_START_PERIOD,D269=WF_END_PERIOD)</f>
        <v>0</v>
      </c>
      <c r="AC269" s="0" t="str">
        <f aca="false">B269&amp;"|"&amp;D269</f>
        <v>11971|20230630</v>
      </c>
    </row>
    <row r="270" customFormat="false" ht="15" hidden="false" customHeight="false" outlineLevel="0" collapsed="false">
      <c r="A270" s="0" t="n">
        <f aca="false">RawFinancials!A270</f>
        <v>267</v>
      </c>
      <c r="B270" s="0" t="n">
        <f aca="false">RawFinancials!C270</f>
        <v>12874</v>
      </c>
      <c r="C270" s="0" t="str">
        <f aca="false">RawFinancials!P270</f>
        <v>KATAHDIN TRUST COMPANY</v>
      </c>
      <c r="D270" s="0" t="n">
        <f aca="false">RawFinancials!W270</f>
        <v>20230630</v>
      </c>
      <c r="E270" s="0" t="str">
        <f aca="false">RawFinancials!Z270</f>
        <v>ME</v>
      </c>
      <c r="F270" s="0" t="n">
        <f aca="false">RawFinancials!B270</f>
        <v>1000625</v>
      </c>
      <c r="G270" s="0" t="n">
        <f aca="false">RawFinancials!U270</f>
        <v>0</v>
      </c>
      <c r="H270" s="0" t="n">
        <f aca="false">RawFinancials!O270</f>
        <v>420</v>
      </c>
      <c r="I270" s="0" t="n">
        <f aca="false">IF(AND(ISNUMBER(G270),ISNUMBER(H270)),G270+H270,"")</f>
        <v>420</v>
      </c>
      <c r="J270" s="0" t="n">
        <f aca="false">RawFinancials!D270</f>
        <v>879800</v>
      </c>
      <c r="K270" s="0" t="n">
        <f aca="false">RawFinancials!F270</f>
        <v>101151</v>
      </c>
      <c r="L270" s="0" t="n">
        <f aca="false">RawFinancials!L270</f>
        <v>781131</v>
      </c>
      <c r="M270" s="0" t="n">
        <f aca="false">RawFinancials!N270</f>
        <v>615778</v>
      </c>
      <c r="N270" s="13" t="n">
        <f aca="false">RawFinancials!X270</f>
        <v>1.1001045163411</v>
      </c>
      <c r="O270" s="13" t="n">
        <f aca="false">RawFinancials!V270</f>
        <v>15.460188076053</v>
      </c>
      <c r="P270" s="13" t="n">
        <f aca="false">IF(AND(ISNUMBER(L270),L270&lt;&gt;0,ISNUMBER(M270)),100*M270/L270,"")</f>
        <v>78.8315916280368</v>
      </c>
      <c r="Q270" s="13" t="n">
        <f aca="false">IF(AND(ISNUMBER(F270),F270&lt;&gt;0,ISNUMBER(K270)),100*K270/F270,"")</f>
        <v>10.108782011243</v>
      </c>
      <c r="R270" s="11" t="b">
        <f aca="false">AND(ISNUMBER(F270),F270&gt;0,ISNUMBER(G270),G270&gt;=0,ISNUMBER(H270),H270&gt;=0)</f>
        <v>1</v>
      </c>
      <c r="S270" s="13" t="n">
        <f aca="false">IF(R270,100*I270/F270,"")</f>
        <v>0.0419737663960025</v>
      </c>
      <c r="T270" s="11" t="b">
        <f aca="false">NOT(AND(OR(AND(ISBLANK(RawFinancials!B270),ISBLANK(_RawBaseline!B267)),AND(ISNUMBER(RawFinancials!B270),ISNUMBER(_RawBaseline!B267),RawFinancials!B270=_RawBaseline!B267)),OR(AND(ISBLANK(RawFinancials!U270),ISBLANK(_RawBaseline!U267)),AND(ISNUMBER(RawFinancials!U270),ISNUMBER(_RawBaseline!U267),RawFinancials!U270=_RawBaseline!U267)),OR(AND(ISBLANK(RawFinancials!O270),ISBLANK(_RawBaseline!O267)),AND(ISNUMBER(RawFinancials!O270),ISNUMBER(_RawBaseline!O267),RawFinancials!O270=_RawBaseline!O267))))</f>
        <v>0</v>
      </c>
      <c r="U270" s="13" t="n">
        <f aca="false">IF(AND(D270=WF_START_PERIOD,R270,COUNTIFS($B$5:$B$750,B270,$D$5:$D$750,WF_END_PERIOD,$R$5:$R$750,TRUE())&gt;0),SUMIFS($S$5:$S$750,$B$5:$B$750,B270,$D$5:$D$750,WF_END_PERIOD,$R$5:$R$750,TRUE()),0)</f>
        <v>0</v>
      </c>
      <c r="V270" s="0" t="str">
        <f aca="false">IF(AND(D270=WF_START_PERIOD,COUNTIFS($B$5:$B$750,B270,$D$5:$D$750,WF_END_PERIOD)&gt;0),INDEX($E$5:$E$750,MATCH(B270&amp;"|"&amp;WF_END_PERIOD,$AC$5:$AC$750,0)),"")</f>
        <v/>
      </c>
      <c r="W270" s="11" t="b">
        <f aca="false">COUNTIFS($B$5:$B$750,B270,$D$5:$D$750,WF_START_PERIOD,$R$5:$R$750,TRUE())&gt;0</f>
        <v>1</v>
      </c>
      <c r="X270" s="11" t="b">
        <f aca="false">COUNTIFS($B$5:$B$750,B270,$D$5:$D$750,WF_END_PERIOD,$R$5:$R$750,TRUE())&gt;0</f>
        <v>1</v>
      </c>
      <c r="Y270" s="0" t="str">
        <f aca="false">IF(AND(D270=WF_END_PERIOD,COUNTIFS($B$5:$B$750,B270,$D$5:$D$750,WF_START_PERIOD)&gt;0),INDEX($E$5:$E$750,MATCH(B270&amp;"|"&amp;WF_START_PERIOD,$AC$5:$AC$750,0)),"")</f>
        <v/>
      </c>
      <c r="Z270" s="0" t="str">
        <f aca="false">IF(AND(D270=WF_END_PERIOD,R270),1+COUNTIFS($D$5:$D$750,WF_END_PERIOD,$E$5:$E$750,E270,$R$5:$R$750,TRUE(),$S$5:$S$750,"&gt;"&amp;S270)+COUNTIFS($D$5:$D$750,WF_END_PERIOD,$E$5:$E$750,E270,$R$5:$R$750,TRUE(),$S$5:$S$750,S270,$B$5:$B$750,"&lt;"&amp;B270),"")</f>
        <v/>
      </c>
      <c r="AA270" s="0" t="str">
        <f aca="false">IF(AND(D270=WF_END_PERIOD,R270,Z270&lt;&gt;1),1+COUNTIFS($D$5:$D$750,WF_END_PERIOD,$R$5:$R$750,TRUE(),$Z$5:$Z$750,"&lt;&gt;1",$S$5:$S$750,"&gt;"&amp;S270)+COUNTIFS($D$5:$D$750,WF_END_PERIOD,$R$5:$R$750,TRUE(),$Z$5:$Z$750,"&lt;&gt;1",$S$5:$S$750,S270,$B$5:$B$750,"&lt;"&amp;B270),"")</f>
        <v/>
      </c>
      <c r="AB270" s="11" t="b">
        <f aca="false">OR(D270=WF_START_PERIOD,D270=WF_END_PERIOD)</f>
        <v>0</v>
      </c>
      <c r="AC270" s="0" t="str">
        <f aca="false">B270&amp;"|"&amp;D270</f>
        <v>12874|20230630</v>
      </c>
    </row>
    <row r="271" customFormat="false" ht="15" hidden="false" customHeight="false" outlineLevel="0" collapsed="false">
      <c r="A271" s="0" t="n">
        <f aca="false">RawFinancials!A271</f>
        <v>268</v>
      </c>
      <c r="B271" s="0" t="n">
        <f aca="false">RawFinancials!C271</f>
        <v>13063</v>
      </c>
      <c r="C271" s="0" t="str">
        <f aca="false">RawFinancials!P271</f>
        <v>KENNEBUNK SAVINGS BANK</v>
      </c>
      <c r="D271" s="0" t="n">
        <f aca="false">RawFinancials!W271</f>
        <v>20230630</v>
      </c>
      <c r="E271" s="0" t="str">
        <f aca="false">RawFinancials!Z271</f>
        <v>ME</v>
      </c>
      <c r="F271" s="0" t="n">
        <f aca="false">RawFinancials!B271</f>
        <v>1812064</v>
      </c>
      <c r="G271" s="0" t="n">
        <f aca="false">RawFinancials!U271</f>
        <v>711</v>
      </c>
      <c r="H271" s="0" t="n">
        <f aca="false">RawFinancials!O271</f>
        <v>501</v>
      </c>
      <c r="I271" s="0" t="n">
        <f aca="false">IF(AND(ISNUMBER(G271),ISNUMBER(H271)),G271+H271,"")</f>
        <v>1212</v>
      </c>
      <c r="J271" s="0" t="n">
        <f aca="false">RawFinancials!D271</f>
        <v>1600851</v>
      </c>
      <c r="K271" s="0" t="n">
        <f aca="false">RawFinancials!F271</f>
        <v>137010</v>
      </c>
      <c r="L271" s="0" t="n">
        <f aca="false">RawFinancials!L271</f>
        <v>1384852</v>
      </c>
      <c r="M271" s="0" t="n">
        <f aca="false">RawFinancials!N271</f>
        <v>1322359</v>
      </c>
      <c r="N271" s="13" t="n">
        <f aca="false">RawFinancials!X271</f>
        <v>0.106400279958703</v>
      </c>
      <c r="O271" s="13" t="n">
        <f aca="false">RawFinancials!V271</f>
        <v>0</v>
      </c>
      <c r="P271" s="13" t="n">
        <f aca="false">IF(AND(ISNUMBER(L271),L271&lt;&gt;0,ISNUMBER(M271)),100*M271/L271,"")</f>
        <v>95.4873878219478</v>
      </c>
      <c r="Q271" s="13" t="n">
        <f aca="false">IF(AND(ISNUMBER(F271),F271&lt;&gt;0,ISNUMBER(K271)),100*K271/F271,"")</f>
        <v>7.56099122326805</v>
      </c>
      <c r="R271" s="11" t="b">
        <f aca="false">AND(ISNUMBER(F271),F271&gt;0,ISNUMBER(G271),G271&gt;=0,ISNUMBER(H271),H271&gt;=0)</f>
        <v>1</v>
      </c>
      <c r="S271" s="13" t="n">
        <f aca="false">IF(R271,100*I271/F271,"")</f>
        <v>0.0668850548325004</v>
      </c>
      <c r="T271" s="11" t="b">
        <f aca="false">NOT(AND(OR(AND(ISBLANK(RawFinancials!B271),ISBLANK(_RawBaseline!B268)),AND(ISNUMBER(RawFinancials!B271),ISNUMBER(_RawBaseline!B268),RawFinancials!B271=_RawBaseline!B268)),OR(AND(ISBLANK(RawFinancials!U271),ISBLANK(_RawBaseline!U268)),AND(ISNUMBER(RawFinancials!U271),ISNUMBER(_RawBaseline!U268),RawFinancials!U271=_RawBaseline!U268)),OR(AND(ISBLANK(RawFinancials!O271),ISBLANK(_RawBaseline!O268)),AND(ISNUMBER(RawFinancials!O271),ISNUMBER(_RawBaseline!O268),RawFinancials!O271=_RawBaseline!O268))))</f>
        <v>0</v>
      </c>
      <c r="U271" s="13" t="n">
        <f aca="false">IF(AND(D271=WF_START_PERIOD,R271,COUNTIFS($B$5:$B$750,B271,$D$5:$D$750,WF_END_PERIOD,$R$5:$R$750,TRUE())&gt;0),SUMIFS($S$5:$S$750,$B$5:$B$750,B271,$D$5:$D$750,WF_END_PERIOD,$R$5:$R$750,TRUE()),0)</f>
        <v>0</v>
      </c>
      <c r="V271" s="0" t="str">
        <f aca="false">IF(AND(D271=WF_START_PERIOD,COUNTIFS($B$5:$B$750,B271,$D$5:$D$750,WF_END_PERIOD)&gt;0),INDEX($E$5:$E$750,MATCH(B271&amp;"|"&amp;WF_END_PERIOD,$AC$5:$AC$750,0)),"")</f>
        <v/>
      </c>
      <c r="W271" s="11" t="b">
        <f aca="false">COUNTIFS($B$5:$B$750,B271,$D$5:$D$750,WF_START_PERIOD,$R$5:$R$750,TRUE())&gt;0</f>
        <v>1</v>
      </c>
      <c r="X271" s="11" t="b">
        <f aca="false">COUNTIFS($B$5:$B$750,B271,$D$5:$D$750,WF_END_PERIOD,$R$5:$R$750,TRUE())&gt;0</f>
        <v>1</v>
      </c>
      <c r="Y271" s="0" t="str">
        <f aca="false">IF(AND(D271=WF_END_PERIOD,COUNTIFS($B$5:$B$750,B271,$D$5:$D$750,WF_START_PERIOD)&gt;0),INDEX($E$5:$E$750,MATCH(B271&amp;"|"&amp;WF_START_PERIOD,$AC$5:$AC$750,0)),"")</f>
        <v/>
      </c>
      <c r="Z271" s="0" t="str">
        <f aca="false">IF(AND(D271=WF_END_PERIOD,R271),1+COUNTIFS($D$5:$D$750,WF_END_PERIOD,$E$5:$E$750,E271,$R$5:$R$750,TRUE(),$S$5:$S$750,"&gt;"&amp;S271)+COUNTIFS($D$5:$D$750,WF_END_PERIOD,$E$5:$E$750,E271,$R$5:$R$750,TRUE(),$S$5:$S$750,S271,$B$5:$B$750,"&lt;"&amp;B271),"")</f>
        <v/>
      </c>
      <c r="AA271" s="0" t="str">
        <f aca="false">IF(AND(D271=WF_END_PERIOD,R271,Z271&lt;&gt;1),1+COUNTIFS($D$5:$D$750,WF_END_PERIOD,$R$5:$R$750,TRUE(),$Z$5:$Z$750,"&lt;&gt;1",$S$5:$S$750,"&gt;"&amp;S271)+COUNTIFS($D$5:$D$750,WF_END_PERIOD,$R$5:$R$750,TRUE(),$Z$5:$Z$750,"&lt;&gt;1",$S$5:$S$750,S271,$B$5:$B$750,"&lt;"&amp;B271),"")</f>
        <v/>
      </c>
      <c r="AB271" s="11" t="b">
        <f aca="false">OR(D271=WF_START_PERIOD,D271=WF_END_PERIOD)</f>
        <v>0</v>
      </c>
      <c r="AC271" s="0" t="str">
        <f aca="false">B271&amp;"|"&amp;D271</f>
        <v>13063|20230630</v>
      </c>
    </row>
    <row r="272" customFormat="false" ht="15" hidden="false" customHeight="false" outlineLevel="0" collapsed="false">
      <c r="A272" s="0" t="n">
        <f aca="false">RawFinancials!A272</f>
        <v>269</v>
      </c>
      <c r="B272" s="0" t="n">
        <f aca="false">RawFinancials!C272</f>
        <v>14134</v>
      </c>
      <c r="C272" s="0" t="str">
        <f aca="false">RawFinancials!P272</f>
        <v>PASSUMPSIC SAVINGS BANK</v>
      </c>
      <c r="D272" s="0" t="n">
        <f aca="false">RawFinancials!W272</f>
        <v>20230630</v>
      </c>
      <c r="E272" s="0" t="str">
        <f aca="false">RawFinancials!Z272</f>
        <v>VT</v>
      </c>
      <c r="F272" s="0" t="n">
        <f aca="false">RawFinancials!B272</f>
        <v>847137</v>
      </c>
      <c r="G272" s="0" t="n">
        <f aca="false">RawFinancials!U272</f>
        <v>0</v>
      </c>
      <c r="H272" s="0" t="n">
        <f aca="false">RawFinancials!O272</f>
        <v>12099</v>
      </c>
      <c r="I272" s="0" t="n">
        <f aca="false">IF(AND(ISNUMBER(G272),ISNUMBER(H272)),G272+H272,"")</f>
        <v>12099</v>
      </c>
      <c r="J272" s="0" t="n">
        <f aca="false">RawFinancials!D272</f>
        <v>678698</v>
      </c>
      <c r="K272" s="0" t="n">
        <f aca="false">RawFinancials!F272</f>
        <v>100453</v>
      </c>
      <c r="L272" s="0" t="n">
        <f aca="false">RawFinancials!L272</f>
        <v>646015</v>
      </c>
      <c r="M272" s="0" t="n">
        <f aca="false">RawFinancials!N272</f>
        <v>571141</v>
      </c>
      <c r="N272" s="13" t="n">
        <f aca="false">RawFinancials!X272</f>
        <v>0.701673098405606</v>
      </c>
      <c r="O272" s="13" t="n">
        <f aca="false">RawFinancials!V272</f>
        <v>18.0862145256514</v>
      </c>
      <c r="P272" s="13" t="n">
        <f aca="false">IF(AND(ISNUMBER(L272),L272&lt;&gt;0,ISNUMBER(M272)),100*M272/L272,"")</f>
        <v>88.4098666439634</v>
      </c>
      <c r="Q272" s="13" t="n">
        <f aca="false">IF(AND(ISNUMBER(F272),F272&lt;&gt;0,ISNUMBER(K272)),100*K272/F272,"")</f>
        <v>11.8579403331456</v>
      </c>
      <c r="R272" s="11" t="b">
        <f aca="false">AND(ISNUMBER(F272),F272&gt;0,ISNUMBER(G272),G272&gt;=0,ISNUMBER(H272),H272&gt;=0)</f>
        <v>1</v>
      </c>
      <c r="S272" s="13" t="n">
        <f aca="false">IF(R272,100*I272/F272,"")</f>
        <v>1.42822235364528</v>
      </c>
      <c r="T272" s="11" t="b">
        <f aca="false">NOT(AND(OR(AND(ISBLANK(RawFinancials!B272),ISBLANK(_RawBaseline!B269)),AND(ISNUMBER(RawFinancials!B272),ISNUMBER(_RawBaseline!B269),RawFinancials!B272=_RawBaseline!B269)),OR(AND(ISBLANK(RawFinancials!U272),ISBLANK(_RawBaseline!U269)),AND(ISNUMBER(RawFinancials!U272),ISNUMBER(_RawBaseline!U269),RawFinancials!U272=_RawBaseline!U269)),OR(AND(ISBLANK(RawFinancials!O272),ISBLANK(_RawBaseline!O269)),AND(ISNUMBER(RawFinancials!O272),ISNUMBER(_RawBaseline!O269),RawFinancials!O272=_RawBaseline!O269))))</f>
        <v>0</v>
      </c>
      <c r="U272" s="13" t="n">
        <f aca="false">IF(AND(D272=WF_START_PERIOD,R272,COUNTIFS($B$5:$B$750,B272,$D$5:$D$750,WF_END_PERIOD,$R$5:$R$750,TRUE())&gt;0),SUMIFS($S$5:$S$750,$B$5:$B$750,B272,$D$5:$D$750,WF_END_PERIOD,$R$5:$R$750,TRUE()),0)</f>
        <v>0</v>
      </c>
      <c r="V272" s="0" t="str">
        <f aca="false">IF(AND(D272=WF_START_PERIOD,COUNTIFS($B$5:$B$750,B272,$D$5:$D$750,WF_END_PERIOD)&gt;0),INDEX($E$5:$E$750,MATCH(B272&amp;"|"&amp;WF_END_PERIOD,$AC$5:$AC$750,0)),"")</f>
        <v/>
      </c>
      <c r="W272" s="11" t="b">
        <f aca="false">COUNTIFS($B$5:$B$750,B272,$D$5:$D$750,WF_START_PERIOD,$R$5:$R$750,TRUE())&gt;0</f>
        <v>1</v>
      </c>
      <c r="X272" s="11" t="b">
        <f aca="false">COUNTIFS($B$5:$B$750,B272,$D$5:$D$750,WF_END_PERIOD,$R$5:$R$750,TRUE())&gt;0</f>
        <v>1</v>
      </c>
      <c r="Y272" s="0" t="str">
        <f aca="false">IF(AND(D272=WF_END_PERIOD,COUNTIFS($B$5:$B$750,B272,$D$5:$D$750,WF_START_PERIOD)&gt;0),INDEX($E$5:$E$750,MATCH(B272&amp;"|"&amp;WF_START_PERIOD,$AC$5:$AC$750,0)),"")</f>
        <v/>
      </c>
      <c r="Z272" s="0" t="str">
        <f aca="false">IF(AND(D272=WF_END_PERIOD,R272),1+COUNTIFS($D$5:$D$750,WF_END_PERIOD,$E$5:$E$750,E272,$R$5:$R$750,TRUE(),$S$5:$S$750,"&gt;"&amp;S272)+COUNTIFS($D$5:$D$750,WF_END_PERIOD,$E$5:$E$750,E272,$R$5:$R$750,TRUE(),$S$5:$S$750,S272,$B$5:$B$750,"&lt;"&amp;B272),"")</f>
        <v/>
      </c>
      <c r="AA272" s="0" t="str">
        <f aca="false">IF(AND(D272=WF_END_PERIOD,R272,Z272&lt;&gt;1),1+COUNTIFS($D$5:$D$750,WF_END_PERIOD,$R$5:$R$750,TRUE(),$Z$5:$Z$750,"&lt;&gt;1",$S$5:$S$750,"&gt;"&amp;S272)+COUNTIFS($D$5:$D$750,WF_END_PERIOD,$R$5:$R$750,TRUE(),$Z$5:$Z$750,"&lt;&gt;1",$S$5:$S$750,S272,$B$5:$B$750,"&lt;"&amp;B272),"")</f>
        <v/>
      </c>
      <c r="AB272" s="11" t="b">
        <f aca="false">OR(D272=WF_START_PERIOD,D272=WF_END_PERIOD)</f>
        <v>0</v>
      </c>
      <c r="AC272" s="0" t="str">
        <f aca="false">B272&amp;"|"&amp;D272</f>
        <v>14134|20230630</v>
      </c>
    </row>
    <row r="273" customFormat="false" ht="15" hidden="false" customHeight="false" outlineLevel="0" collapsed="false">
      <c r="A273" s="0" t="n">
        <f aca="false">RawFinancials!A273</f>
        <v>270</v>
      </c>
      <c r="B273" s="0" t="n">
        <f aca="false">RawFinancials!C273</f>
        <v>14136</v>
      </c>
      <c r="C273" s="0" t="str">
        <f aca="false">RawFinancials!P273</f>
        <v>WELLS RIVER SAVINGS BANK</v>
      </c>
      <c r="D273" s="0" t="n">
        <f aca="false">RawFinancials!W273</f>
        <v>20230630</v>
      </c>
      <c r="E273" s="0" t="str">
        <f aca="false">RawFinancials!Z273</f>
        <v>VT</v>
      </c>
      <c r="F273" s="0" t="n">
        <f aca="false">RawFinancials!B273</f>
        <v>231428</v>
      </c>
      <c r="G273" s="0" t="n">
        <f aca="false">RawFinancials!U273</f>
        <v>660</v>
      </c>
      <c r="H273" s="0" t="n">
        <f aca="false">RawFinancials!O273</f>
        <v>71</v>
      </c>
      <c r="I273" s="0" t="n">
        <f aca="false">IF(AND(ISNUMBER(G273),ISNUMBER(H273)),G273+H273,"")</f>
        <v>731</v>
      </c>
      <c r="J273" s="0" t="n">
        <f aca="false">RawFinancials!D273</f>
        <v>199035</v>
      </c>
      <c r="K273" s="0" t="n">
        <f aca="false">RawFinancials!F273</f>
        <v>15826</v>
      </c>
      <c r="L273" s="0" t="n">
        <f aca="false">RawFinancials!L273</f>
        <v>146930</v>
      </c>
      <c r="M273" s="0" t="n">
        <f aca="false">RawFinancials!N273</f>
        <v>118077</v>
      </c>
      <c r="N273" s="13" t="n">
        <f aca="false">RawFinancials!X273</f>
        <v>0.65864100406162</v>
      </c>
      <c r="O273" s="13" t="n">
        <f aca="false">RawFinancials!V273</f>
        <v>17.4186390532544</v>
      </c>
      <c r="P273" s="13" t="n">
        <f aca="false">IF(AND(ISNUMBER(L273),L273&lt;&gt;0,ISNUMBER(M273)),100*M273/L273,"")</f>
        <v>80.3627577758116</v>
      </c>
      <c r="Q273" s="13" t="n">
        <f aca="false">IF(AND(ISNUMBER(F273),F273&lt;&gt;0,ISNUMBER(K273)),100*K273/F273,"")</f>
        <v>6.83841194669617</v>
      </c>
      <c r="R273" s="11" t="b">
        <f aca="false">AND(ISNUMBER(F273),F273&gt;0,ISNUMBER(G273),G273&gt;=0,ISNUMBER(H273),H273&gt;=0)</f>
        <v>1</v>
      </c>
      <c r="S273" s="13" t="n">
        <f aca="false">IF(R273,100*I273/F273,"")</f>
        <v>0.315864977444389</v>
      </c>
      <c r="T273" s="11" t="b">
        <f aca="false">NOT(AND(OR(AND(ISBLANK(RawFinancials!B273),ISBLANK(_RawBaseline!B270)),AND(ISNUMBER(RawFinancials!B273),ISNUMBER(_RawBaseline!B270),RawFinancials!B273=_RawBaseline!B270)),OR(AND(ISBLANK(RawFinancials!U273),ISBLANK(_RawBaseline!U270)),AND(ISNUMBER(RawFinancials!U273),ISNUMBER(_RawBaseline!U270),RawFinancials!U273=_RawBaseline!U270)),OR(AND(ISBLANK(RawFinancials!O273),ISBLANK(_RawBaseline!O270)),AND(ISNUMBER(RawFinancials!O273),ISNUMBER(_RawBaseline!O270),RawFinancials!O273=_RawBaseline!O270))))</f>
        <v>0</v>
      </c>
      <c r="U273" s="13" t="n">
        <f aca="false">IF(AND(D273=WF_START_PERIOD,R273,COUNTIFS($B$5:$B$750,B273,$D$5:$D$750,WF_END_PERIOD,$R$5:$R$750,TRUE())&gt;0),SUMIFS($S$5:$S$750,$B$5:$B$750,B273,$D$5:$D$750,WF_END_PERIOD,$R$5:$R$750,TRUE()),0)</f>
        <v>0</v>
      </c>
      <c r="V273" s="0" t="str">
        <f aca="false">IF(AND(D273=WF_START_PERIOD,COUNTIFS($B$5:$B$750,B273,$D$5:$D$750,WF_END_PERIOD)&gt;0),INDEX($E$5:$E$750,MATCH(B273&amp;"|"&amp;WF_END_PERIOD,$AC$5:$AC$750,0)),"")</f>
        <v/>
      </c>
      <c r="W273" s="11" t="b">
        <f aca="false">COUNTIFS($B$5:$B$750,B273,$D$5:$D$750,WF_START_PERIOD,$R$5:$R$750,TRUE())&gt;0</f>
        <v>1</v>
      </c>
      <c r="X273" s="11" t="b">
        <f aca="false">COUNTIFS($B$5:$B$750,B273,$D$5:$D$750,WF_END_PERIOD,$R$5:$R$750,TRUE())&gt;0</f>
        <v>1</v>
      </c>
      <c r="Y273" s="0" t="str">
        <f aca="false">IF(AND(D273=WF_END_PERIOD,COUNTIFS($B$5:$B$750,B273,$D$5:$D$750,WF_START_PERIOD)&gt;0),INDEX($E$5:$E$750,MATCH(B273&amp;"|"&amp;WF_START_PERIOD,$AC$5:$AC$750,0)),"")</f>
        <v/>
      </c>
      <c r="Z273" s="0" t="str">
        <f aca="false">IF(AND(D273=WF_END_PERIOD,R273),1+COUNTIFS($D$5:$D$750,WF_END_PERIOD,$E$5:$E$750,E273,$R$5:$R$750,TRUE(),$S$5:$S$750,"&gt;"&amp;S273)+COUNTIFS($D$5:$D$750,WF_END_PERIOD,$E$5:$E$750,E273,$R$5:$R$750,TRUE(),$S$5:$S$750,S273,$B$5:$B$750,"&lt;"&amp;B273),"")</f>
        <v/>
      </c>
      <c r="AA273" s="0" t="str">
        <f aca="false">IF(AND(D273=WF_END_PERIOD,R273,Z273&lt;&gt;1),1+COUNTIFS($D$5:$D$750,WF_END_PERIOD,$R$5:$R$750,TRUE(),$Z$5:$Z$750,"&lt;&gt;1",$S$5:$S$750,"&gt;"&amp;S273)+COUNTIFS($D$5:$D$750,WF_END_PERIOD,$R$5:$R$750,TRUE(),$Z$5:$Z$750,"&lt;&gt;1",$S$5:$S$750,S273,$B$5:$B$750,"&lt;"&amp;B273),"")</f>
        <v/>
      </c>
      <c r="AB273" s="11" t="b">
        <f aca="false">OR(D273=WF_START_PERIOD,D273=WF_END_PERIOD)</f>
        <v>0</v>
      </c>
      <c r="AC273" s="0" t="str">
        <f aca="false">B273&amp;"|"&amp;D273</f>
        <v>14136|20230630</v>
      </c>
    </row>
    <row r="274" customFormat="false" ht="15" hidden="false" customHeight="false" outlineLevel="0" collapsed="false">
      <c r="A274" s="0" t="n">
        <f aca="false">RawFinancials!A274</f>
        <v>271</v>
      </c>
      <c r="B274" s="0" t="n">
        <f aca="false">RawFinancials!C274</f>
        <v>14140</v>
      </c>
      <c r="C274" s="0" t="str">
        <f aca="false">RawFinancials!P274</f>
        <v>NORTHFIELD SAVINGS BANK</v>
      </c>
      <c r="D274" s="0" t="n">
        <f aca="false">RawFinancials!W274</f>
        <v>20230630</v>
      </c>
      <c r="E274" s="0" t="str">
        <f aca="false">RawFinancials!Z274</f>
        <v>VT</v>
      </c>
      <c r="F274" s="0" t="n">
        <f aca="false">RawFinancials!B274</f>
        <v>1455126</v>
      </c>
      <c r="G274" s="0" t="n">
        <f aca="false">RawFinancials!U274</f>
        <v>0</v>
      </c>
      <c r="H274" s="0" t="n">
        <f aca="false">RawFinancials!O274</f>
        <v>4474</v>
      </c>
      <c r="I274" s="0" t="n">
        <f aca="false">IF(AND(ISNUMBER(G274),ISNUMBER(H274)),G274+H274,"")</f>
        <v>4474</v>
      </c>
      <c r="J274" s="0" t="n">
        <f aca="false">RawFinancials!D274</f>
        <v>1135506</v>
      </c>
      <c r="K274" s="0" t="n">
        <f aca="false">RawFinancials!F274</f>
        <v>119184</v>
      </c>
      <c r="L274" s="0" t="n">
        <f aca="false">RawFinancials!L274</f>
        <v>1012877</v>
      </c>
      <c r="M274" s="0" t="n">
        <f aca="false">RawFinancials!N274</f>
        <v>902092</v>
      </c>
      <c r="N274" s="13" t="n">
        <f aca="false">RawFinancials!X274</f>
        <v>0.339718008369905</v>
      </c>
      <c r="O274" s="13" t="n">
        <f aca="false">RawFinancials!V274</f>
        <v>0</v>
      </c>
      <c r="P274" s="13" t="n">
        <f aca="false">IF(AND(ISNUMBER(L274),L274&lt;&gt;0,ISNUMBER(M274)),100*M274/L274,"")</f>
        <v>89.0623441938162</v>
      </c>
      <c r="Q274" s="13" t="n">
        <f aca="false">IF(AND(ISNUMBER(F274),F274&lt;&gt;0,ISNUMBER(K274)),100*K274/F274,"")</f>
        <v>8.19063091443628</v>
      </c>
      <c r="R274" s="11" t="b">
        <f aca="false">AND(ISNUMBER(F274),F274&gt;0,ISNUMBER(G274),G274&gt;=0,ISNUMBER(H274),H274&gt;=0)</f>
        <v>1</v>
      </c>
      <c r="S274" s="13" t="n">
        <f aca="false">IF(R274,100*I274/F274,"")</f>
        <v>0.307464783118438</v>
      </c>
      <c r="T274" s="11" t="b">
        <f aca="false">NOT(AND(OR(AND(ISBLANK(RawFinancials!B274),ISBLANK(_RawBaseline!B271)),AND(ISNUMBER(RawFinancials!B274),ISNUMBER(_RawBaseline!B271),RawFinancials!B274=_RawBaseline!B271)),OR(AND(ISBLANK(RawFinancials!U274),ISBLANK(_RawBaseline!U271)),AND(ISNUMBER(RawFinancials!U274),ISNUMBER(_RawBaseline!U271),RawFinancials!U274=_RawBaseline!U271)),OR(AND(ISBLANK(RawFinancials!O274),ISBLANK(_RawBaseline!O271)),AND(ISNUMBER(RawFinancials!O274),ISNUMBER(_RawBaseline!O271),RawFinancials!O274=_RawBaseline!O271))))</f>
        <v>0</v>
      </c>
      <c r="U274" s="13" t="n">
        <f aca="false">IF(AND(D274=WF_START_PERIOD,R274,COUNTIFS($B$5:$B$750,B274,$D$5:$D$750,WF_END_PERIOD,$R$5:$R$750,TRUE())&gt;0),SUMIFS($S$5:$S$750,$B$5:$B$750,B274,$D$5:$D$750,WF_END_PERIOD,$R$5:$R$750,TRUE()),0)</f>
        <v>0</v>
      </c>
      <c r="V274" s="0" t="str">
        <f aca="false">IF(AND(D274=WF_START_PERIOD,COUNTIFS($B$5:$B$750,B274,$D$5:$D$750,WF_END_PERIOD)&gt;0),INDEX($E$5:$E$750,MATCH(B274&amp;"|"&amp;WF_END_PERIOD,$AC$5:$AC$750,0)),"")</f>
        <v/>
      </c>
      <c r="W274" s="11" t="b">
        <f aca="false">COUNTIFS($B$5:$B$750,B274,$D$5:$D$750,WF_START_PERIOD,$R$5:$R$750,TRUE())&gt;0</f>
        <v>1</v>
      </c>
      <c r="X274" s="11" t="b">
        <f aca="false">COUNTIFS($B$5:$B$750,B274,$D$5:$D$750,WF_END_PERIOD,$R$5:$R$750,TRUE())&gt;0</f>
        <v>1</v>
      </c>
      <c r="Y274" s="0" t="str">
        <f aca="false">IF(AND(D274=WF_END_PERIOD,COUNTIFS($B$5:$B$750,B274,$D$5:$D$750,WF_START_PERIOD)&gt;0),INDEX($E$5:$E$750,MATCH(B274&amp;"|"&amp;WF_START_PERIOD,$AC$5:$AC$750,0)),"")</f>
        <v/>
      </c>
      <c r="Z274" s="0" t="str">
        <f aca="false">IF(AND(D274=WF_END_PERIOD,R274),1+COUNTIFS($D$5:$D$750,WF_END_PERIOD,$E$5:$E$750,E274,$R$5:$R$750,TRUE(),$S$5:$S$750,"&gt;"&amp;S274)+COUNTIFS($D$5:$D$750,WF_END_PERIOD,$E$5:$E$750,E274,$R$5:$R$750,TRUE(),$S$5:$S$750,S274,$B$5:$B$750,"&lt;"&amp;B274),"")</f>
        <v/>
      </c>
      <c r="AA274" s="0" t="str">
        <f aca="false">IF(AND(D274=WF_END_PERIOD,R274,Z274&lt;&gt;1),1+COUNTIFS($D$5:$D$750,WF_END_PERIOD,$R$5:$R$750,TRUE(),$Z$5:$Z$750,"&lt;&gt;1",$S$5:$S$750,"&gt;"&amp;S274)+COUNTIFS($D$5:$D$750,WF_END_PERIOD,$R$5:$R$750,TRUE(),$Z$5:$Z$750,"&lt;&gt;1",$S$5:$S$750,S274,$B$5:$B$750,"&lt;"&amp;B274),"")</f>
        <v/>
      </c>
      <c r="AB274" s="11" t="b">
        <f aca="false">OR(D274=WF_START_PERIOD,D274=WF_END_PERIOD)</f>
        <v>0</v>
      </c>
      <c r="AC274" s="0" t="str">
        <f aca="false">B274&amp;"|"&amp;D274</f>
        <v>14140|20230630</v>
      </c>
    </row>
    <row r="275" customFormat="false" ht="15" hidden="false" customHeight="false" outlineLevel="0" collapsed="false">
      <c r="A275" s="0" t="n">
        <f aca="false">RawFinancials!A275</f>
        <v>272</v>
      </c>
      <c r="B275" s="0" t="n">
        <f aca="false">RawFinancials!C275</f>
        <v>14158</v>
      </c>
      <c r="C275" s="0" t="str">
        <f aca="false">RawFinancials!P275</f>
        <v>UNION BANK</v>
      </c>
      <c r="D275" s="0" t="n">
        <f aca="false">RawFinancials!W275</f>
        <v>20230630</v>
      </c>
      <c r="E275" s="0" t="str">
        <f aca="false">RawFinancials!Z275</f>
        <v>VT</v>
      </c>
      <c r="F275" s="0" t="n">
        <f aca="false">RawFinancials!B275</f>
        <v>1334466</v>
      </c>
      <c r="G275" s="0" t="n">
        <f aca="false">RawFinancials!U275</f>
        <v>64</v>
      </c>
      <c r="H275" s="0" t="n">
        <f aca="false">RawFinancials!O275</f>
        <v>1957</v>
      </c>
      <c r="I275" s="0" t="n">
        <f aca="false">IF(AND(ISNUMBER(G275),ISNUMBER(H275)),G275+H275,"")</f>
        <v>2021</v>
      </c>
      <c r="J275" s="0" t="n">
        <f aca="false">RawFinancials!D275</f>
        <v>1127096</v>
      </c>
      <c r="K275" s="0" t="n">
        <f aca="false">RawFinancials!F275</f>
        <v>75241</v>
      </c>
      <c r="L275" s="0" t="n">
        <f aca="false">RawFinancials!L275</f>
        <v>940237</v>
      </c>
      <c r="M275" s="0" t="n">
        <f aca="false">RawFinancials!N275</f>
        <v>869255</v>
      </c>
      <c r="N275" s="13" t="n">
        <f aca="false">RawFinancials!X275</f>
        <v>0.914619400913875</v>
      </c>
      <c r="O275" s="13" t="n">
        <f aca="false">RawFinancials!V275</f>
        <v>13.4736798668519</v>
      </c>
      <c r="P275" s="13" t="n">
        <f aca="false">IF(AND(ISNUMBER(L275),L275&lt;&gt;0,ISNUMBER(M275)),100*M275/L275,"")</f>
        <v>92.450626810049</v>
      </c>
      <c r="Q275" s="13" t="n">
        <f aca="false">IF(AND(ISNUMBER(F275),F275&lt;&gt;0,ISNUMBER(K275)),100*K275/F275,"")</f>
        <v>5.63828527665748</v>
      </c>
      <c r="R275" s="11" t="b">
        <f aca="false">AND(ISNUMBER(F275),F275&gt;0,ISNUMBER(G275),G275&gt;=0,ISNUMBER(H275),H275&gt;=0)</f>
        <v>1</v>
      </c>
      <c r="S275" s="13" t="n">
        <f aca="false">IF(R275,100*I275/F275,"")</f>
        <v>0.151446346328794</v>
      </c>
      <c r="T275" s="11" t="b">
        <f aca="false">NOT(AND(OR(AND(ISBLANK(RawFinancials!B275),ISBLANK(_RawBaseline!B272)),AND(ISNUMBER(RawFinancials!B275),ISNUMBER(_RawBaseline!B272),RawFinancials!B275=_RawBaseline!B272)),OR(AND(ISBLANK(RawFinancials!U275),ISBLANK(_RawBaseline!U272)),AND(ISNUMBER(RawFinancials!U275),ISNUMBER(_RawBaseline!U272),RawFinancials!U275=_RawBaseline!U272)),OR(AND(ISBLANK(RawFinancials!O275),ISBLANK(_RawBaseline!O272)),AND(ISNUMBER(RawFinancials!O275),ISNUMBER(_RawBaseline!O272),RawFinancials!O275=_RawBaseline!O272))))</f>
        <v>0</v>
      </c>
      <c r="U275" s="13" t="n">
        <f aca="false">IF(AND(D275=WF_START_PERIOD,R275,COUNTIFS($B$5:$B$750,B275,$D$5:$D$750,WF_END_PERIOD,$R$5:$R$750,TRUE())&gt;0),SUMIFS($S$5:$S$750,$B$5:$B$750,B275,$D$5:$D$750,WF_END_PERIOD,$R$5:$R$750,TRUE()),0)</f>
        <v>0</v>
      </c>
      <c r="V275" s="0" t="str">
        <f aca="false">IF(AND(D275=WF_START_PERIOD,COUNTIFS($B$5:$B$750,B275,$D$5:$D$750,WF_END_PERIOD)&gt;0),INDEX($E$5:$E$750,MATCH(B275&amp;"|"&amp;WF_END_PERIOD,$AC$5:$AC$750,0)),"")</f>
        <v/>
      </c>
      <c r="W275" s="11" t="b">
        <f aca="false">COUNTIFS($B$5:$B$750,B275,$D$5:$D$750,WF_START_PERIOD,$R$5:$R$750,TRUE())&gt;0</f>
        <v>1</v>
      </c>
      <c r="X275" s="11" t="b">
        <f aca="false">COUNTIFS($B$5:$B$750,B275,$D$5:$D$750,WF_END_PERIOD,$R$5:$R$750,TRUE())&gt;0</f>
        <v>1</v>
      </c>
      <c r="Y275" s="0" t="str">
        <f aca="false">IF(AND(D275=WF_END_PERIOD,COUNTIFS($B$5:$B$750,B275,$D$5:$D$750,WF_START_PERIOD)&gt;0),INDEX($E$5:$E$750,MATCH(B275&amp;"|"&amp;WF_START_PERIOD,$AC$5:$AC$750,0)),"")</f>
        <v/>
      </c>
      <c r="Z275" s="0" t="str">
        <f aca="false">IF(AND(D275=WF_END_PERIOD,R275),1+COUNTIFS($D$5:$D$750,WF_END_PERIOD,$E$5:$E$750,E275,$R$5:$R$750,TRUE(),$S$5:$S$750,"&gt;"&amp;S275)+COUNTIFS($D$5:$D$750,WF_END_PERIOD,$E$5:$E$750,E275,$R$5:$R$750,TRUE(),$S$5:$S$750,S275,$B$5:$B$750,"&lt;"&amp;B275),"")</f>
        <v/>
      </c>
      <c r="AA275" s="0" t="str">
        <f aca="false">IF(AND(D275=WF_END_PERIOD,R275,Z275&lt;&gt;1),1+COUNTIFS($D$5:$D$750,WF_END_PERIOD,$R$5:$R$750,TRUE(),$Z$5:$Z$750,"&lt;&gt;1",$S$5:$S$750,"&gt;"&amp;S275)+COUNTIFS($D$5:$D$750,WF_END_PERIOD,$R$5:$R$750,TRUE(),$Z$5:$Z$750,"&lt;&gt;1",$S$5:$S$750,S275,$B$5:$B$750,"&lt;"&amp;B275),"")</f>
        <v/>
      </c>
      <c r="AB275" s="11" t="b">
        <f aca="false">OR(D275=WF_START_PERIOD,D275=WF_END_PERIOD)</f>
        <v>0</v>
      </c>
      <c r="AC275" s="0" t="str">
        <f aca="false">B275&amp;"|"&amp;D275</f>
        <v>14158|20230630</v>
      </c>
    </row>
    <row r="276" customFormat="false" ht="15" hidden="false" customHeight="false" outlineLevel="0" collapsed="false">
      <c r="A276" s="0" t="n">
        <f aca="false">RawFinancials!A276</f>
        <v>273</v>
      </c>
      <c r="B276" s="0" t="n">
        <f aca="false">RawFinancials!C276</f>
        <v>14168</v>
      </c>
      <c r="C276" s="0" t="str">
        <f aca="false">RawFinancials!P276</f>
        <v>PEOPLES TRUST COMPANY OF ST. ALBANS</v>
      </c>
      <c r="D276" s="0" t="n">
        <f aca="false">RawFinancials!W276</f>
        <v>20230630</v>
      </c>
      <c r="E276" s="0" t="str">
        <f aca="false">RawFinancials!Z276</f>
        <v>VT</v>
      </c>
      <c r="F276" s="0" t="n">
        <f aca="false">RawFinancials!B276</f>
        <v>354017</v>
      </c>
      <c r="G276" s="0" t="n">
        <f aca="false">RawFinancials!U276</f>
        <v>0</v>
      </c>
      <c r="H276" s="0" t="n">
        <f aca="false">RawFinancials!O276</f>
        <v>1000</v>
      </c>
      <c r="I276" s="0" t="n">
        <f aca="false">IF(AND(ISNUMBER(G276),ISNUMBER(H276)),G276+H276,"")</f>
        <v>1000</v>
      </c>
      <c r="J276" s="0" t="n">
        <f aca="false">RawFinancials!D276</f>
        <v>316211</v>
      </c>
      <c r="K276" s="0" t="n">
        <f aca="false">RawFinancials!F276</f>
        <v>33013</v>
      </c>
      <c r="L276" s="0" t="n">
        <f aca="false">RawFinancials!L276</f>
        <v>221896</v>
      </c>
      <c r="M276" s="0" t="n">
        <f aca="false">RawFinancials!N276</f>
        <v>185047</v>
      </c>
      <c r="N276" s="13" t="n">
        <f aca="false">RawFinancials!X276</f>
        <v>0.771338321111053</v>
      </c>
      <c r="O276" s="13" t="n">
        <f aca="false">RawFinancials!V276</f>
        <v>17.1814956205516</v>
      </c>
      <c r="P276" s="13" t="n">
        <f aca="false">IF(AND(ISNUMBER(L276),L276&lt;&gt;0,ISNUMBER(M276)),100*M276/L276,"")</f>
        <v>83.3935717633486</v>
      </c>
      <c r="Q276" s="13" t="n">
        <f aca="false">IF(AND(ISNUMBER(F276),F276&lt;&gt;0,ISNUMBER(K276)),100*K276/F276,"")</f>
        <v>9.32525839154617</v>
      </c>
      <c r="R276" s="11" t="b">
        <f aca="false">AND(ISNUMBER(F276),F276&gt;0,ISNUMBER(G276),G276&gt;=0,ISNUMBER(H276),H276&gt;=0)</f>
        <v>1</v>
      </c>
      <c r="S276" s="13" t="n">
        <f aca="false">IF(R276,100*I276/F276,"")</f>
        <v>0.282472310651748</v>
      </c>
      <c r="T276" s="11" t="b">
        <f aca="false">NOT(AND(OR(AND(ISBLANK(RawFinancials!B276),ISBLANK(_RawBaseline!B273)),AND(ISNUMBER(RawFinancials!B276),ISNUMBER(_RawBaseline!B273),RawFinancials!B276=_RawBaseline!B273)),OR(AND(ISBLANK(RawFinancials!U276),ISBLANK(_RawBaseline!U273)),AND(ISNUMBER(RawFinancials!U276),ISNUMBER(_RawBaseline!U273),RawFinancials!U276=_RawBaseline!U273)),OR(AND(ISBLANK(RawFinancials!O276),ISBLANK(_RawBaseline!O273)),AND(ISNUMBER(RawFinancials!O276),ISNUMBER(_RawBaseline!O273),RawFinancials!O276=_RawBaseline!O273))))</f>
        <v>0</v>
      </c>
      <c r="U276" s="13" t="n">
        <f aca="false">IF(AND(D276=WF_START_PERIOD,R276,COUNTIFS($B$5:$B$750,B276,$D$5:$D$750,WF_END_PERIOD,$R$5:$R$750,TRUE())&gt;0),SUMIFS($S$5:$S$750,$B$5:$B$750,B276,$D$5:$D$750,WF_END_PERIOD,$R$5:$R$750,TRUE()),0)</f>
        <v>0</v>
      </c>
      <c r="V276" s="0" t="str">
        <f aca="false">IF(AND(D276=WF_START_PERIOD,COUNTIFS($B$5:$B$750,B276,$D$5:$D$750,WF_END_PERIOD)&gt;0),INDEX($E$5:$E$750,MATCH(B276&amp;"|"&amp;WF_END_PERIOD,$AC$5:$AC$750,0)),"")</f>
        <v/>
      </c>
      <c r="W276" s="11" t="b">
        <f aca="false">COUNTIFS($B$5:$B$750,B276,$D$5:$D$750,WF_START_PERIOD,$R$5:$R$750,TRUE())&gt;0</f>
        <v>1</v>
      </c>
      <c r="X276" s="11" t="b">
        <f aca="false">COUNTIFS($B$5:$B$750,B276,$D$5:$D$750,WF_END_PERIOD,$R$5:$R$750,TRUE())&gt;0</f>
        <v>1</v>
      </c>
      <c r="Y276" s="0" t="str">
        <f aca="false">IF(AND(D276=WF_END_PERIOD,COUNTIFS($B$5:$B$750,B276,$D$5:$D$750,WF_START_PERIOD)&gt;0),INDEX($E$5:$E$750,MATCH(B276&amp;"|"&amp;WF_START_PERIOD,$AC$5:$AC$750,0)),"")</f>
        <v/>
      </c>
      <c r="Z276" s="0" t="str">
        <f aca="false">IF(AND(D276=WF_END_PERIOD,R276),1+COUNTIFS($D$5:$D$750,WF_END_PERIOD,$E$5:$E$750,E276,$R$5:$R$750,TRUE(),$S$5:$S$750,"&gt;"&amp;S276)+COUNTIFS($D$5:$D$750,WF_END_PERIOD,$E$5:$E$750,E276,$R$5:$R$750,TRUE(),$S$5:$S$750,S276,$B$5:$B$750,"&lt;"&amp;B276),"")</f>
        <v/>
      </c>
      <c r="AA276" s="0" t="str">
        <f aca="false">IF(AND(D276=WF_END_PERIOD,R276,Z276&lt;&gt;1),1+COUNTIFS($D$5:$D$750,WF_END_PERIOD,$R$5:$R$750,TRUE(),$Z$5:$Z$750,"&lt;&gt;1",$S$5:$S$750,"&gt;"&amp;S276)+COUNTIFS($D$5:$D$750,WF_END_PERIOD,$R$5:$R$750,TRUE(),$Z$5:$Z$750,"&lt;&gt;1",$S$5:$S$750,S276,$B$5:$B$750,"&lt;"&amp;B276),"")</f>
        <v/>
      </c>
      <c r="AB276" s="11" t="b">
        <f aca="false">OR(D276=WF_START_PERIOD,D276=WF_END_PERIOD)</f>
        <v>0</v>
      </c>
      <c r="AC276" s="0" t="str">
        <f aca="false">B276&amp;"|"&amp;D276</f>
        <v>14168|20230630</v>
      </c>
    </row>
    <row r="277" customFormat="false" ht="15" hidden="false" customHeight="false" outlineLevel="0" collapsed="false">
      <c r="A277" s="0" t="n">
        <f aca="false">RawFinancials!A277</f>
        <v>274</v>
      </c>
      <c r="B277" s="0" t="n">
        <f aca="false">RawFinancials!C277</f>
        <v>14240</v>
      </c>
      <c r="C277" s="0" t="str">
        <f aca="false">RawFinancials!P277</f>
        <v>NORTHWAY BANK</v>
      </c>
      <c r="D277" s="0" t="n">
        <f aca="false">RawFinancials!W277</f>
        <v>20230630</v>
      </c>
      <c r="E277" s="0" t="str">
        <f aca="false">RawFinancials!Z277</f>
        <v>NH</v>
      </c>
      <c r="F277" s="0" t="n">
        <f aca="false">RawFinancials!B277</f>
        <v>1364156</v>
      </c>
      <c r="G277" s="0" t="n">
        <f aca="false">RawFinancials!U277</f>
        <v>0</v>
      </c>
      <c r="H277" s="0" t="n">
        <f aca="false">RawFinancials!O277</f>
        <v>2407</v>
      </c>
      <c r="I277" s="0" t="n">
        <f aca="false">IF(AND(ISNUMBER(G277),ISNUMBER(H277)),G277+H277,"")</f>
        <v>2407</v>
      </c>
      <c r="J277" s="0" t="n">
        <f aca="false">RawFinancials!D277</f>
        <v>1068855</v>
      </c>
      <c r="K277" s="0" t="n">
        <f aca="false">RawFinancials!F277</f>
        <v>84062</v>
      </c>
      <c r="L277" s="0" t="n">
        <f aca="false">RawFinancials!L277</f>
        <v>961383</v>
      </c>
      <c r="M277" s="0" t="n">
        <f aca="false">RawFinancials!N277</f>
        <v>840679</v>
      </c>
      <c r="N277" s="13" t="n">
        <f aca="false">RawFinancials!X277</f>
        <v>0.488172326619474</v>
      </c>
      <c r="O277" s="13" t="n">
        <f aca="false">RawFinancials!V277</f>
        <v>14.8382290668257</v>
      </c>
      <c r="P277" s="13" t="n">
        <f aca="false">IF(AND(ISNUMBER(L277),L277&lt;&gt;0,ISNUMBER(M277)),100*M277/L277,"")</f>
        <v>87.4447540678377</v>
      </c>
      <c r="Q277" s="13" t="n">
        <f aca="false">IF(AND(ISNUMBER(F277),F277&lt;&gt;0,ISNUMBER(K277)),100*K277/F277,"")</f>
        <v>6.16219845824085</v>
      </c>
      <c r="R277" s="11" t="b">
        <f aca="false">AND(ISNUMBER(F277),F277&gt;0,ISNUMBER(G277),G277&gt;=0,ISNUMBER(H277),H277&gt;=0)</f>
        <v>1</v>
      </c>
      <c r="S277" s="13" t="n">
        <f aca="false">IF(R277,100*I277/F277,"")</f>
        <v>0.176446095607834</v>
      </c>
      <c r="T277" s="11" t="b">
        <f aca="false">NOT(AND(OR(AND(ISBLANK(RawFinancials!B277),ISBLANK(_RawBaseline!B274)),AND(ISNUMBER(RawFinancials!B277),ISNUMBER(_RawBaseline!B274),RawFinancials!B277=_RawBaseline!B274)),OR(AND(ISBLANK(RawFinancials!U277),ISBLANK(_RawBaseline!U274)),AND(ISNUMBER(RawFinancials!U277),ISNUMBER(_RawBaseline!U274),RawFinancials!U277=_RawBaseline!U274)),OR(AND(ISBLANK(RawFinancials!O277),ISBLANK(_RawBaseline!O274)),AND(ISNUMBER(RawFinancials!O277),ISNUMBER(_RawBaseline!O274),RawFinancials!O277=_RawBaseline!O274))))</f>
        <v>0</v>
      </c>
      <c r="U277" s="13" t="n">
        <f aca="false">IF(AND(D277=WF_START_PERIOD,R277,COUNTIFS($B$5:$B$750,B277,$D$5:$D$750,WF_END_PERIOD,$R$5:$R$750,TRUE())&gt;0),SUMIFS($S$5:$S$750,$B$5:$B$750,B277,$D$5:$D$750,WF_END_PERIOD,$R$5:$R$750,TRUE()),0)</f>
        <v>0</v>
      </c>
      <c r="V277" s="0" t="str">
        <f aca="false">IF(AND(D277=WF_START_PERIOD,COUNTIFS($B$5:$B$750,B277,$D$5:$D$750,WF_END_PERIOD)&gt;0),INDEX($E$5:$E$750,MATCH(B277&amp;"|"&amp;WF_END_PERIOD,$AC$5:$AC$750,0)),"")</f>
        <v/>
      </c>
      <c r="W277" s="11" t="b">
        <f aca="false">COUNTIFS($B$5:$B$750,B277,$D$5:$D$750,WF_START_PERIOD,$R$5:$R$750,TRUE())&gt;0</f>
        <v>1</v>
      </c>
      <c r="X277" s="11" t="b">
        <f aca="false">COUNTIFS($B$5:$B$750,B277,$D$5:$D$750,WF_END_PERIOD,$R$5:$R$750,TRUE())&gt;0</f>
        <v>0</v>
      </c>
      <c r="Y277" s="0" t="str">
        <f aca="false">IF(AND(D277=WF_END_PERIOD,COUNTIFS($B$5:$B$750,B277,$D$5:$D$750,WF_START_PERIOD)&gt;0),INDEX($E$5:$E$750,MATCH(B277&amp;"|"&amp;WF_START_PERIOD,$AC$5:$AC$750,0)),"")</f>
        <v/>
      </c>
      <c r="Z277" s="0" t="str">
        <f aca="false">IF(AND(D277=WF_END_PERIOD,R277),1+COUNTIFS($D$5:$D$750,WF_END_PERIOD,$E$5:$E$750,E277,$R$5:$R$750,TRUE(),$S$5:$S$750,"&gt;"&amp;S277)+COUNTIFS($D$5:$D$750,WF_END_PERIOD,$E$5:$E$750,E277,$R$5:$R$750,TRUE(),$S$5:$S$750,S277,$B$5:$B$750,"&lt;"&amp;B277),"")</f>
        <v/>
      </c>
      <c r="AA277" s="0" t="str">
        <f aca="false">IF(AND(D277=WF_END_PERIOD,R277,Z277&lt;&gt;1),1+COUNTIFS($D$5:$D$750,WF_END_PERIOD,$R$5:$R$750,TRUE(),$Z$5:$Z$750,"&lt;&gt;1",$S$5:$S$750,"&gt;"&amp;S277)+COUNTIFS($D$5:$D$750,WF_END_PERIOD,$R$5:$R$750,TRUE(),$Z$5:$Z$750,"&lt;&gt;1",$S$5:$S$750,S277,$B$5:$B$750,"&lt;"&amp;B277),"")</f>
        <v/>
      </c>
      <c r="AB277" s="11" t="b">
        <f aca="false">OR(D277=WF_START_PERIOD,D277=WF_END_PERIOD)</f>
        <v>0</v>
      </c>
      <c r="AC277" s="0" t="str">
        <f aca="false">B277&amp;"|"&amp;D277</f>
        <v>14240|20230630</v>
      </c>
    </row>
    <row r="278" customFormat="false" ht="15" hidden="false" customHeight="false" outlineLevel="0" collapsed="false">
      <c r="A278" s="0" t="n">
        <f aca="false">RawFinancials!A278</f>
        <v>275</v>
      </c>
      <c r="B278" s="0" t="n">
        <f aca="false">RawFinancials!C278</f>
        <v>17115</v>
      </c>
      <c r="C278" s="0" t="str">
        <f aca="false">RawFinancials!P278</f>
        <v>PARTNERS BANK OF NEW ENGLAND</v>
      </c>
      <c r="D278" s="0" t="n">
        <f aca="false">RawFinancials!W278</f>
        <v>20230630</v>
      </c>
      <c r="E278" s="0" t="str">
        <f aca="false">RawFinancials!Z278</f>
        <v>ME</v>
      </c>
      <c r="F278" s="0" t="n">
        <f aca="false">RawFinancials!B278</f>
        <v>1072006</v>
      </c>
      <c r="G278" s="0" t="n">
        <f aca="false">RawFinancials!U278</f>
        <v>0</v>
      </c>
      <c r="H278" s="0" t="n">
        <f aca="false">RawFinancials!O278</f>
        <v>254</v>
      </c>
      <c r="I278" s="0" t="n">
        <f aca="false">IF(AND(ISNUMBER(G278),ISNUMBER(H278)),G278+H278,"")</f>
        <v>254</v>
      </c>
      <c r="J278" s="0" t="n">
        <f aca="false">RawFinancials!D278</f>
        <v>821428</v>
      </c>
      <c r="K278" s="0" t="n">
        <f aca="false">RawFinancials!F278</f>
        <v>81921</v>
      </c>
      <c r="L278" s="0" t="n">
        <f aca="false">RawFinancials!L278</f>
        <v>882529</v>
      </c>
      <c r="M278" s="0" t="n">
        <f aca="false">RawFinancials!N278</f>
        <v>832338</v>
      </c>
      <c r="N278" s="13" t="n">
        <f aca="false">RawFinancials!X278</f>
        <v>0.58243002750364</v>
      </c>
      <c r="O278" s="13" t="n">
        <f aca="false">RawFinancials!V278</f>
        <v>13.5922802319822</v>
      </c>
      <c r="P278" s="13" t="n">
        <f aca="false">IF(AND(ISNUMBER(L278),L278&lt;&gt;0,ISNUMBER(M278)),100*M278/L278,"")</f>
        <v>94.3128214483603</v>
      </c>
      <c r="Q278" s="13" t="n">
        <f aca="false">IF(AND(ISNUMBER(F278),F278&lt;&gt;0,ISNUMBER(K278)),100*K278/F278,"")</f>
        <v>7.64184155685696</v>
      </c>
      <c r="R278" s="11" t="b">
        <f aca="false">AND(ISNUMBER(F278),F278&gt;0,ISNUMBER(G278),G278&gt;=0,ISNUMBER(H278),H278&gt;=0)</f>
        <v>1</v>
      </c>
      <c r="S278" s="13" t="n">
        <f aca="false">IF(R278,100*I278/F278,"")</f>
        <v>0.0236938972356498</v>
      </c>
      <c r="T278" s="11" t="b">
        <f aca="false">NOT(AND(OR(AND(ISBLANK(RawFinancials!B278),ISBLANK(_RawBaseline!B275)),AND(ISNUMBER(RawFinancials!B278),ISNUMBER(_RawBaseline!B275),RawFinancials!B278=_RawBaseline!B275)),OR(AND(ISBLANK(RawFinancials!U278),ISBLANK(_RawBaseline!U275)),AND(ISNUMBER(RawFinancials!U278),ISNUMBER(_RawBaseline!U275),RawFinancials!U278=_RawBaseline!U275)),OR(AND(ISBLANK(RawFinancials!O278),ISBLANK(_RawBaseline!O275)),AND(ISNUMBER(RawFinancials!O278),ISNUMBER(_RawBaseline!O275),RawFinancials!O278=_RawBaseline!O275))))</f>
        <v>0</v>
      </c>
      <c r="U278" s="13" t="n">
        <f aca="false">IF(AND(D278=WF_START_PERIOD,R278,COUNTIFS($B$5:$B$750,B278,$D$5:$D$750,WF_END_PERIOD,$R$5:$R$750,TRUE())&gt;0),SUMIFS($S$5:$S$750,$B$5:$B$750,B278,$D$5:$D$750,WF_END_PERIOD,$R$5:$R$750,TRUE()),0)</f>
        <v>0</v>
      </c>
      <c r="V278" s="0" t="str">
        <f aca="false">IF(AND(D278=WF_START_PERIOD,COUNTIFS($B$5:$B$750,B278,$D$5:$D$750,WF_END_PERIOD)&gt;0),INDEX($E$5:$E$750,MATCH(B278&amp;"|"&amp;WF_END_PERIOD,$AC$5:$AC$750,0)),"")</f>
        <v/>
      </c>
      <c r="W278" s="11" t="b">
        <f aca="false">COUNTIFS($B$5:$B$750,B278,$D$5:$D$750,WF_START_PERIOD,$R$5:$R$750,TRUE())&gt;0</f>
        <v>1</v>
      </c>
      <c r="X278" s="11" t="b">
        <f aca="false">COUNTIFS($B$5:$B$750,B278,$D$5:$D$750,WF_END_PERIOD,$R$5:$R$750,TRUE())&gt;0</f>
        <v>1</v>
      </c>
      <c r="Y278" s="0" t="str">
        <f aca="false">IF(AND(D278=WF_END_PERIOD,COUNTIFS($B$5:$B$750,B278,$D$5:$D$750,WF_START_PERIOD)&gt;0),INDEX($E$5:$E$750,MATCH(B278&amp;"|"&amp;WF_START_PERIOD,$AC$5:$AC$750,0)),"")</f>
        <v/>
      </c>
      <c r="Z278" s="0" t="str">
        <f aca="false">IF(AND(D278=WF_END_PERIOD,R278),1+COUNTIFS($D$5:$D$750,WF_END_PERIOD,$E$5:$E$750,E278,$R$5:$R$750,TRUE(),$S$5:$S$750,"&gt;"&amp;S278)+COUNTIFS($D$5:$D$750,WF_END_PERIOD,$E$5:$E$750,E278,$R$5:$R$750,TRUE(),$S$5:$S$750,S278,$B$5:$B$750,"&lt;"&amp;B278),"")</f>
        <v/>
      </c>
      <c r="AA278" s="0" t="str">
        <f aca="false">IF(AND(D278=WF_END_PERIOD,R278,Z278&lt;&gt;1),1+COUNTIFS($D$5:$D$750,WF_END_PERIOD,$R$5:$R$750,TRUE(),$Z$5:$Z$750,"&lt;&gt;1",$S$5:$S$750,"&gt;"&amp;S278)+COUNTIFS($D$5:$D$750,WF_END_PERIOD,$R$5:$R$750,TRUE(),$Z$5:$Z$750,"&lt;&gt;1",$S$5:$S$750,S278,$B$5:$B$750,"&lt;"&amp;B278),"")</f>
        <v/>
      </c>
      <c r="AB278" s="11" t="b">
        <f aca="false">OR(D278=WF_START_PERIOD,D278=WF_END_PERIOD)</f>
        <v>0</v>
      </c>
      <c r="AC278" s="0" t="str">
        <f aca="false">B278&amp;"|"&amp;D278</f>
        <v>17115|20230630</v>
      </c>
    </row>
    <row r="279" customFormat="false" ht="15" hidden="false" customHeight="false" outlineLevel="0" collapsed="false">
      <c r="A279" s="0" t="n">
        <f aca="false">RawFinancials!A279</f>
        <v>276</v>
      </c>
      <c r="B279" s="0" t="n">
        <f aca="false">RawFinancials!C279</f>
        <v>17180</v>
      </c>
      <c r="C279" s="0" t="str">
        <f aca="false">RawFinancials!P279</f>
        <v>MEREDITH VILLAGE SAVINGS BANK</v>
      </c>
      <c r="D279" s="0" t="n">
        <f aca="false">RawFinancials!W279</f>
        <v>20230630</v>
      </c>
      <c r="E279" s="0" t="str">
        <f aca="false">RawFinancials!Z279</f>
        <v>NH</v>
      </c>
      <c r="F279" s="0" t="n">
        <f aca="false">RawFinancials!B279</f>
        <v>1616649</v>
      </c>
      <c r="G279" s="0" t="n">
        <f aca="false">RawFinancials!U279</f>
        <v>1345</v>
      </c>
      <c r="H279" s="0" t="n">
        <f aca="false">RawFinancials!O279</f>
        <v>5043</v>
      </c>
      <c r="I279" s="0" t="n">
        <f aca="false">IF(AND(ISNUMBER(G279),ISNUMBER(H279)),G279+H279,"")</f>
        <v>6388</v>
      </c>
      <c r="J279" s="0" t="n">
        <f aca="false">RawFinancials!D279</f>
        <v>1185191</v>
      </c>
      <c r="K279" s="0" t="n">
        <f aca="false">RawFinancials!F279</f>
        <v>131745</v>
      </c>
      <c r="L279" s="0" t="n">
        <f aca="false">RawFinancials!L279</f>
        <v>1450822</v>
      </c>
      <c r="M279" s="0" t="n">
        <f aca="false">RawFinancials!N279</f>
        <v>1177241</v>
      </c>
      <c r="N279" s="13" t="n">
        <f aca="false">RawFinancials!X279</f>
        <v>0.391164988075164</v>
      </c>
      <c r="O279" s="13" t="n">
        <f aca="false">RawFinancials!V279</f>
        <v>13.6752678572979</v>
      </c>
      <c r="P279" s="13" t="n">
        <f aca="false">IF(AND(ISNUMBER(L279),L279&lt;&gt;0,ISNUMBER(M279)),100*M279/L279,"")</f>
        <v>81.1430347761476</v>
      </c>
      <c r="Q279" s="13" t="n">
        <f aca="false">IF(AND(ISNUMBER(F279),F279&lt;&gt;0,ISNUMBER(K279)),100*K279/F279,"")</f>
        <v>8.14926431154815</v>
      </c>
      <c r="R279" s="11" t="b">
        <f aca="false">AND(ISNUMBER(F279),F279&gt;0,ISNUMBER(G279),G279&gt;=0,ISNUMBER(H279),H279&gt;=0)</f>
        <v>1</v>
      </c>
      <c r="S279" s="13" t="n">
        <f aca="false">IF(R279,100*I279/F279,"")</f>
        <v>0.395138338625144</v>
      </c>
      <c r="T279" s="11" t="b">
        <f aca="false">NOT(AND(OR(AND(ISBLANK(RawFinancials!B279),ISBLANK(_RawBaseline!B276)),AND(ISNUMBER(RawFinancials!B279),ISNUMBER(_RawBaseline!B276),RawFinancials!B279=_RawBaseline!B276)),OR(AND(ISBLANK(RawFinancials!U279),ISBLANK(_RawBaseline!U276)),AND(ISNUMBER(RawFinancials!U279),ISNUMBER(_RawBaseline!U276),RawFinancials!U279=_RawBaseline!U276)),OR(AND(ISBLANK(RawFinancials!O279),ISBLANK(_RawBaseline!O276)),AND(ISNUMBER(RawFinancials!O279),ISNUMBER(_RawBaseline!O276),RawFinancials!O279=_RawBaseline!O276))))</f>
        <v>0</v>
      </c>
      <c r="U279" s="13" t="n">
        <f aca="false">IF(AND(D279=WF_START_PERIOD,R279,COUNTIFS($B$5:$B$750,B279,$D$5:$D$750,WF_END_PERIOD,$R$5:$R$750,TRUE())&gt;0),SUMIFS($S$5:$S$750,$B$5:$B$750,B279,$D$5:$D$750,WF_END_PERIOD,$R$5:$R$750,TRUE()),0)</f>
        <v>0</v>
      </c>
      <c r="V279" s="0" t="str">
        <f aca="false">IF(AND(D279=WF_START_PERIOD,COUNTIFS($B$5:$B$750,B279,$D$5:$D$750,WF_END_PERIOD)&gt;0),INDEX($E$5:$E$750,MATCH(B279&amp;"|"&amp;WF_END_PERIOD,$AC$5:$AC$750,0)),"")</f>
        <v/>
      </c>
      <c r="W279" s="11" t="b">
        <f aca="false">COUNTIFS($B$5:$B$750,B279,$D$5:$D$750,WF_START_PERIOD,$R$5:$R$750,TRUE())&gt;0</f>
        <v>1</v>
      </c>
      <c r="X279" s="11" t="b">
        <f aca="false">COUNTIFS($B$5:$B$750,B279,$D$5:$D$750,WF_END_PERIOD,$R$5:$R$750,TRUE())&gt;0</f>
        <v>1</v>
      </c>
      <c r="Y279" s="0" t="str">
        <f aca="false">IF(AND(D279=WF_END_PERIOD,COUNTIFS($B$5:$B$750,B279,$D$5:$D$750,WF_START_PERIOD)&gt;0),INDEX($E$5:$E$750,MATCH(B279&amp;"|"&amp;WF_START_PERIOD,$AC$5:$AC$750,0)),"")</f>
        <v/>
      </c>
      <c r="Z279" s="0" t="str">
        <f aca="false">IF(AND(D279=WF_END_PERIOD,R279),1+COUNTIFS($D$5:$D$750,WF_END_PERIOD,$E$5:$E$750,E279,$R$5:$R$750,TRUE(),$S$5:$S$750,"&gt;"&amp;S279)+COUNTIFS($D$5:$D$750,WF_END_PERIOD,$E$5:$E$750,E279,$R$5:$R$750,TRUE(),$S$5:$S$750,S279,$B$5:$B$750,"&lt;"&amp;B279),"")</f>
        <v/>
      </c>
      <c r="AA279" s="0" t="str">
        <f aca="false">IF(AND(D279=WF_END_PERIOD,R279,Z279&lt;&gt;1),1+COUNTIFS($D$5:$D$750,WF_END_PERIOD,$R$5:$R$750,TRUE(),$Z$5:$Z$750,"&lt;&gt;1",$S$5:$S$750,"&gt;"&amp;S279)+COUNTIFS($D$5:$D$750,WF_END_PERIOD,$R$5:$R$750,TRUE(),$Z$5:$Z$750,"&lt;&gt;1",$S$5:$S$750,S279,$B$5:$B$750,"&lt;"&amp;B279),"")</f>
        <v/>
      </c>
      <c r="AB279" s="11" t="b">
        <f aca="false">OR(D279=WF_START_PERIOD,D279=WF_END_PERIOD)</f>
        <v>0</v>
      </c>
      <c r="AC279" s="0" t="str">
        <f aca="false">B279&amp;"|"&amp;D279</f>
        <v>17180|20230630</v>
      </c>
    </row>
    <row r="280" customFormat="false" ht="15" hidden="false" customHeight="false" outlineLevel="0" collapsed="false">
      <c r="A280" s="0" t="n">
        <f aca="false">RawFinancials!A280</f>
        <v>277</v>
      </c>
      <c r="B280" s="0" t="n">
        <f aca="false">RawFinancials!C280</f>
        <v>17443</v>
      </c>
      <c r="C280" s="0" t="str">
        <f aca="false">RawFinancials!P280</f>
        <v>PISCATAQUA SAVINGS BANK</v>
      </c>
      <c r="D280" s="0" t="n">
        <f aca="false">RawFinancials!W280</f>
        <v>20230630</v>
      </c>
      <c r="E280" s="0" t="str">
        <f aca="false">RawFinancials!Z280</f>
        <v>NH</v>
      </c>
      <c r="F280" s="0" t="n">
        <f aca="false">RawFinancials!B280</f>
        <v>360577</v>
      </c>
      <c r="G280" s="0" t="n">
        <f aca="false">RawFinancials!U280</f>
        <v>0</v>
      </c>
      <c r="H280" s="0" t="n">
        <f aca="false">RawFinancials!O280</f>
        <v>109</v>
      </c>
      <c r="I280" s="0" t="n">
        <f aca="false">IF(AND(ISNUMBER(G280),ISNUMBER(H280)),G280+H280,"")</f>
        <v>109</v>
      </c>
      <c r="J280" s="0" t="n">
        <f aca="false">RawFinancials!D280</f>
        <v>321273</v>
      </c>
      <c r="K280" s="0" t="n">
        <f aca="false">RawFinancials!F280</f>
        <v>38058</v>
      </c>
      <c r="L280" s="0" t="n">
        <f aca="false">RawFinancials!L280</f>
        <v>212528</v>
      </c>
      <c r="M280" s="0" t="n">
        <f aca="false">RawFinancials!N280</f>
        <v>210812</v>
      </c>
      <c r="N280" s="13" t="n">
        <f aca="false">RawFinancials!X280</f>
        <v>0.0986572549921649</v>
      </c>
      <c r="O280" s="13" t="n">
        <f aca="false">RawFinancials!V280</f>
        <v>0</v>
      </c>
      <c r="P280" s="13" t="n">
        <f aca="false">IF(AND(ISNUMBER(L280),L280&lt;&gt;0,ISNUMBER(M280)),100*M280/L280,"")</f>
        <v>99.1925769780923</v>
      </c>
      <c r="Q280" s="13" t="n">
        <f aca="false">IF(AND(ISNUMBER(F280),F280&lt;&gt;0,ISNUMBER(K280)),100*K280/F280,"")</f>
        <v>10.5547497483201</v>
      </c>
      <c r="R280" s="11" t="b">
        <f aca="false">AND(ISNUMBER(F280),F280&gt;0,ISNUMBER(G280),G280&gt;=0,ISNUMBER(H280),H280&gt;=0)</f>
        <v>1</v>
      </c>
      <c r="S280" s="13" t="n">
        <f aca="false">IF(R280,100*I280/F280,"")</f>
        <v>0.0302293268844103</v>
      </c>
      <c r="T280" s="11" t="b">
        <f aca="false">NOT(AND(OR(AND(ISBLANK(RawFinancials!B280),ISBLANK(_RawBaseline!B277)),AND(ISNUMBER(RawFinancials!B280),ISNUMBER(_RawBaseline!B277),RawFinancials!B280=_RawBaseline!B277)),OR(AND(ISBLANK(RawFinancials!U280),ISBLANK(_RawBaseline!U277)),AND(ISNUMBER(RawFinancials!U280),ISNUMBER(_RawBaseline!U277),RawFinancials!U280=_RawBaseline!U277)),OR(AND(ISBLANK(RawFinancials!O280),ISBLANK(_RawBaseline!O277)),AND(ISNUMBER(RawFinancials!O280),ISNUMBER(_RawBaseline!O277),RawFinancials!O280=_RawBaseline!O277))))</f>
        <v>0</v>
      </c>
      <c r="U280" s="13" t="n">
        <f aca="false">IF(AND(D280=WF_START_PERIOD,R280,COUNTIFS($B$5:$B$750,B280,$D$5:$D$750,WF_END_PERIOD,$R$5:$R$750,TRUE())&gt;0),SUMIFS($S$5:$S$750,$B$5:$B$750,B280,$D$5:$D$750,WF_END_PERIOD,$R$5:$R$750,TRUE()),0)</f>
        <v>0</v>
      </c>
      <c r="V280" s="0" t="str">
        <f aca="false">IF(AND(D280=WF_START_PERIOD,COUNTIFS($B$5:$B$750,B280,$D$5:$D$750,WF_END_PERIOD)&gt;0),INDEX($E$5:$E$750,MATCH(B280&amp;"|"&amp;WF_END_PERIOD,$AC$5:$AC$750,0)),"")</f>
        <v/>
      </c>
      <c r="W280" s="11" t="b">
        <f aca="false">COUNTIFS($B$5:$B$750,B280,$D$5:$D$750,WF_START_PERIOD,$R$5:$R$750,TRUE())&gt;0</f>
        <v>1</v>
      </c>
      <c r="X280" s="11" t="b">
        <f aca="false">COUNTIFS($B$5:$B$750,B280,$D$5:$D$750,WF_END_PERIOD,$R$5:$R$750,TRUE())&gt;0</f>
        <v>1</v>
      </c>
      <c r="Y280" s="0" t="str">
        <f aca="false">IF(AND(D280=WF_END_PERIOD,COUNTIFS($B$5:$B$750,B280,$D$5:$D$750,WF_START_PERIOD)&gt;0),INDEX($E$5:$E$750,MATCH(B280&amp;"|"&amp;WF_START_PERIOD,$AC$5:$AC$750,0)),"")</f>
        <v/>
      </c>
      <c r="Z280" s="0" t="str">
        <f aca="false">IF(AND(D280=WF_END_PERIOD,R280),1+COUNTIFS($D$5:$D$750,WF_END_PERIOD,$E$5:$E$750,E280,$R$5:$R$750,TRUE(),$S$5:$S$750,"&gt;"&amp;S280)+COUNTIFS($D$5:$D$750,WF_END_PERIOD,$E$5:$E$750,E280,$R$5:$R$750,TRUE(),$S$5:$S$750,S280,$B$5:$B$750,"&lt;"&amp;B280),"")</f>
        <v/>
      </c>
      <c r="AA280" s="0" t="str">
        <f aca="false">IF(AND(D280=WF_END_PERIOD,R280,Z280&lt;&gt;1),1+COUNTIFS($D$5:$D$750,WF_END_PERIOD,$R$5:$R$750,TRUE(),$Z$5:$Z$750,"&lt;&gt;1",$S$5:$S$750,"&gt;"&amp;S280)+COUNTIFS($D$5:$D$750,WF_END_PERIOD,$R$5:$R$750,TRUE(),$Z$5:$Z$750,"&lt;&gt;1",$S$5:$S$750,S280,$B$5:$B$750,"&lt;"&amp;B280),"")</f>
        <v/>
      </c>
      <c r="AB280" s="11" t="b">
        <f aca="false">OR(D280=WF_START_PERIOD,D280=WF_END_PERIOD)</f>
        <v>0</v>
      </c>
      <c r="AC280" s="0" t="str">
        <f aca="false">B280&amp;"|"&amp;D280</f>
        <v>17443|20230630</v>
      </c>
    </row>
    <row r="281" customFormat="false" ht="15" hidden="false" customHeight="false" outlineLevel="0" collapsed="false">
      <c r="A281" s="0" t="n">
        <f aca="false">RawFinancials!A281</f>
        <v>278</v>
      </c>
      <c r="B281" s="0" t="n">
        <f aca="false">RawFinancials!C281</f>
        <v>17658</v>
      </c>
      <c r="C281" s="0" t="str">
        <f aca="false">RawFinancials!P281</f>
        <v>NORWAY SAVINGS BANK</v>
      </c>
      <c r="D281" s="0" t="n">
        <f aca="false">RawFinancials!W281</f>
        <v>20230630</v>
      </c>
      <c r="E281" s="0" t="str">
        <f aca="false">RawFinancials!Z281</f>
        <v>ME</v>
      </c>
      <c r="F281" s="0" t="n">
        <f aca="false">RawFinancials!B281</f>
        <v>1826350</v>
      </c>
      <c r="G281" s="0" t="n">
        <f aca="false">RawFinancials!U281</f>
        <v>0</v>
      </c>
      <c r="H281" s="0" t="n">
        <f aca="false">RawFinancials!O281</f>
        <v>1369</v>
      </c>
      <c r="I281" s="0" t="n">
        <f aca="false">IF(AND(ISNUMBER(G281),ISNUMBER(H281)),G281+H281,"")</f>
        <v>1369</v>
      </c>
      <c r="J281" s="0" t="n">
        <f aca="false">RawFinancials!D281</f>
        <v>1452649</v>
      </c>
      <c r="K281" s="0" t="n">
        <f aca="false">RawFinancials!F281</f>
        <v>198387</v>
      </c>
      <c r="L281" s="0" t="n">
        <f aca="false">RawFinancials!L281</f>
        <v>1269717</v>
      </c>
      <c r="M281" s="0" t="n">
        <f aca="false">RawFinancials!N281</f>
        <v>1085469</v>
      </c>
      <c r="N281" s="13" t="n">
        <f aca="false">RawFinancials!X281</f>
        <v>0.930695622619818</v>
      </c>
      <c r="O281" s="13" t="n">
        <f aca="false">RawFinancials!V281</f>
        <v>0</v>
      </c>
      <c r="P281" s="13" t="n">
        <f aca="false">IF(AND(ISNUMBER(L281),L281&lt;&gt;0,ISNUMBER(M281)),100*M281/L281,"")</f>
        <v>85.489049922148</v>
      </c>
      <c r="Q281" s="13" t="n">
        <f aca="false">IF(AND(ISNUMBER(F281),F281&lt;&gt;0,ISNUMBER(K281)),100*K281/F281,"")</f>
        <v>10.8624852848578</v>
      </c>
      <c r="R281" s="11" t="b">
        <f aca="false">AND(ISNUMBER(F281),F281&gt;0,ISNUMBER(G281),G281&gt;=0,ISNUMBER(H281),H281&gt;=0)</f>
        <v>1</v>
      </c>
      <c r="S281" s="13" t="n">
        <f aca="false">IF(R281,100*I281/F281,"")</f>
        <v>0.0749582500615983</v>
      </c>
      <c r="T281" s="11" t="b">
        <f aca="false">NOT(AND(OR(AND(ISBLANK(RawFinancials!B281),ISBLANK(_RawBaseline!B278)),AND(ISNUMBER(RawFinancials!B281),ISNUMBER(_RawBaseline!B278),RawFinancials!B281=_RawBaseline!B278)),OR(AND(ISBLANK(RawFinancials!U281),ISBLANK(_RawBaseline!U278)),AND(ISNUMBER(RawFinancials!U281),ISNUMBER(_RawBaseline!U278),RawFinancials!U281=_RawBaseline!U278)),OR(AND(ISBLANK(RawFinancials!O281),ISBLANK(_RawBaseline!O278)),AND(ISNUMBER(RawFinancials!O281),ISNUMBER(_RawBaseline!O278),RawFinancials!O281=_RawBaseline!O278))))</f>
        <v>0</v>
      </c>
      <c r="U281" s="13" t="n">
        <f aca="false">IF(AND(D281=WF_START_PERIOD,R281,COUNTIFS($B$5:$B$750,B281,$D$5:$D$750,WF_END_PERIOD,$R$5:$R$750,TRUE())&gt;0),SUMIFS($S$5:$S$750,$B$5:$B$750,B281,$D$5:$D$750,WF_END_PERIOD,$R$5:$R$750,TRUE()),0)</f>
        <v>0</v>
      </c>
      <c r="V281" s="0" t="str">
        <f aca="false">IF(AND(D281=WF_START_PERIOD,COUNTIFS($B$5:$B$750,B281,$D$5:$D$750,WF_END_PERIOD)&gt;0),INDEX($E$5:$E$750,MATCH(B281&amp;"|"&amp;WF_END_PERIOD,$AC$5:$AC$750,0)),"")</f>
        <v/>
      </c>
      <c r="W281" s="11" t="b">
        <f aca="false">COUNTIFS($B$5:$B$750,B281,$D$5:$D$750,WF_START_PERIOD,$R$5:$R$750,TRUE())&gt;0</f>
        <v>1</v>
      </c>
      <c r="X281" s="11" t="b">
        <f aca="false">COUNTIFS($B$5:$B$750,B281,$D$5:$D$750,WF_END_PERIOD,$R$5:$R$750,TRUE())&gt;0</f>
        <v>1</v>
      </c>
      <c r="Y281" s="0" t="str">
        <f aca="false">IF(AND(D281=WF_END_PERIOD,COUNTIFS($B$5:$B$750,B281,$D$5:$D$750,WF_START_PERIOD)&gt;0),INDEX($E$5:$E$750,MATCH(B281&amp;"|"&amp;WF_START_PERIOD,$AC$5:$AC$750,0)),"")</f>
        <v/>
      </c>
      <c r="Z281" s="0" t="str">
        <f aca="false">IF(AND(D281=WF_END_PERIOD,R281),1+COUNTIFS($D$5:$D$750,WF_END_PERIOD,$E$5:$E$750,E281,$R$5:$R$750,TRUE(),$S$5:$S$750,"&gt;"&amp;S281)+COUNTIFS($D$5:$D$750,WF_END_PERIOD,$E$5:$E$750,E281,$R$5:$R$750,TRUE(),$S$5:$S$750,S281,$B$5:$B$750,"&lt;"&amp;B281),"")</f>
        <v/>
      </c>
      <c r="AA281" s="0" t="str">
        <f aca="false">IF(AND(D281=WF_END_PERIOD,R281,Z281&lt;&gt;1),1+COUNTIFS($D$5:$D$750,WF_END_PERIOD,$R$5:$R$750,TRUE(),$Z$5:$Z$750,"&lt;&gt;1",$S$5:$S$750,"&gt;"&amp;S281)+COUNTIFS($D$5:$D$750,WF_END_PERIOD,$R$5:$R$750,TRUE(),$Z$5:$Z$750,"&lt;&gt;1",$S$5:$S$750,S281,$B$5:$B$750,"&lt;"&amp;B281),"")</f>
        <v/>
      </c>
      <c r="AB281" s="11" t="b">
        <f aca="false">OR(D281=WF_START_PERIOD,D281=WF_END_PERIOD)</f>
        <v>0</v>
      </c>
      <c r="AC281" s="0" t="str">
        <f aca="false">B281&amp;"|"&amp;D281</f>
        <v>17658|20230630</v>
      </c>
    </row>
    <row r="282" customFormat="false" ht="15" hidden="false" customHeight="false" outlineLevel="0" collapsed="false">
      <c r="A282" s="0" t="n">
        <f aca="false">RawFinancials!A282</f>
        <v>279</v>
      </c>
      <c r="B282" s="0" t="n">
        <f aca="false">RawFinancials!C282</f>
        <v>17741</v>
      </c>
      <c r="C282" s="0" t="str">
        <f aca="false">RawFinancials!P282</f>
        <v>MAINE COMMUNITY BANK</v>
      </c>
      <c r="D282" s="0" t="n">
        <f aca="false">RawFinancials!W282</f>
        <v>20230630</v>
      </c>
      <c r="E282" s="0" t="str">
        <f aca="false">RawFinancials!Z282</f>
        <v>ME</v>
      </c>
      <c r="F282" s="0" t="n">
        <f aca="false">RawFinancials!B282</f>
        <v>1036036</v>
      </c>
      <c r="G282" s="0" t="n">
        <f aca="false">RawFinancials!U282</f>
        <v>0</v>
      </c>
      <c r="H282" s="0" t="n">
        <f aca="false">RawFinancials!O282</f>
        <v>1987</v>
      </c>
      <c r="I282" s="0" t="n">
        <f aca="false">IF(AND(ISNUMBER(G282),ISNUMBER(H282)),G282+H282,"")</f>
        <v>1987</v>
      </c>
      <c r="J282" s="0" t="n">
        <f aca="false">RawFinancials!D282</f>
        <v>800487</v>
      </c>
      <c r="K282" s="0" t="n">
        <f aca="false">RawFinancials!F282</f>
        <v>133406</v>
      </c>
      <c r="L282" s="0" t="n">
        <f aca="false">RawFinancials!L282</f>
        <v>877735</v>
      </c>
      <c r="M282" s="0" t="n">
        <f aca="false">RawFinancials!N282</f>
        <v>820189</v>
      </c>
      <c r="N282" s="13" t="n">
        <f aca="false">RawFinancials!X282</f>
        <v>0.691931497863857</v>
      </c>
      <c r="O282" s="13" t="n">
        <f aca="false">RawFinancials!V282</f>
        <v>0</v>
      </c>
      <c r="P282" s="13" t="n">
        <f aca="false">IF(AND(ISNUMBER(L282),L282&lt;&gt;0,ISNUMBER(M282)),100*M282/L282,"")</f>
        <v>93.4438070716105</v>
      </c>
      <c r="Q282" s="13" t="n">
        <f aca="false">IF(AND(ISNUMBER(F282),F282&lt;&gt;0,ISNUMBER(K282)),100*K282/F282,"")</f>
        <v>12.8765795783158</v>
      </c>
      <c r="R282" s="11" t="b">
        <f aca="false">AND(ISNUMBER(F282),F282&gt;0,ISNUMBER(G282),G282&gt;=0,ISNUMBER(H282),H282&gt;=0)</f>
        <v>1</v>
      </c>
      <c r="S282" s="13" t="n">
        <f aca="false">IF(R282,100*I282/F282,"")</f>
        <v>0.191788702323085</v>
      </c>
      <c r="T282" s="11" t="b">
        <f aca="false">NOT(AND(OR(AND(ISBLANK(RawFinancials!B282),ISBLANK(_RawBaseline!B279)),AND(ISNUMBER(RawFinancials!B282),ISNUMBER(_RawBaseline!B279),RawFinancials!B282=_RawBaseline!B279)),OR(AND(ISBLANK(RawFinancials!U282),ISBLANK(_RawBaseline!U279)),AND(ISNUMBER(RawFinancials!U282),ISNUMBER(_RawBaseline!U279),RawFinancials!U282=_RawBaseline!U279)),OR(AND(ISBLANK(RawFinancials!O282),ISBLANK(_RawBaseline!O279)),AND(ISNUMBER(RawFinancials!O282),ISNUMBER(_RawBaseline!O279),RawFinancials!O282=_RawBaseline!O279))))</f>
        <v>0</v>
      </c>
      <c r="U282" s="13" t="n">
        <f aca="false">IF(AND(D282=WF_START_PERIOD,R282,COUNTIFS($B$5:$B$750,B282,$D$5:$D$750,WF_END_PERIOD,$R$5:$R$750,TRUE())&gt;0),SUMIFS($S$5:$S$750,$B$5:$B$750,B282,$D$5:$D$750,WF_END_PERIOD,$R$5:$R$750,TRUE()),0)</f>
        <v>0</v>
      </c>
      <c r="V282" s="0" t="str">
        <f aca="false">IF(AND(D282=WF_START_PERIOD,COUNTIFS($B$5:$B$750,B282,$D$5:$D$750,WF_END_PERIOD)&gt;0),INDEX($E$5:$E$750,MATCH(B282&amp;"|"&amp;WF_END_PERIOD,$AC$5:$AC$750,0)),"")</f>
        <v/>
      </c>
      <c r="W282" s="11" t="b">
        <f aca="false">COUNTIFS($B$5:$B$750,B282,$D$5:$D$750,WF_START_PERIOD,$R$5:$R$750,TRUE())&gt;0</f>
        <v>1</v>
      </c>
      <c r="X282" s="11" t="b">
        <f aca="false">COUNTIFS($B$5:$B$750,B282,$D$5:$D$750,WF_END_PERIOD,$R$5:$R$750,TRUE())&gt;0</f>
        <v>1</v>
      </c>
      <c r="Y282" s="0" t="str">
        <f aca="false">IF(AND(D282=WF_END_PERIOD,COUNTIFS($B$5:$B$750,B282,$D$5:$D$750,WF_START_PERIOD)&gt;0),INDEX($E$5:$E$750,MATCH(B282&amp;"|"&amp;WF_START_PERIOD,$AC$5:$AC$750,0)),"")</f>
        <v/>
      </c>
      <c r="Z282" s="0" t="str">
        <f aca="false">IF(AND(D282=WF_END_PERIOD,R282),1+COUNTIFS($D$5:$D$750,WF_END_PERIOD,$E$5:$E$750,E282,$R$5:$R$750,TRUE(),$S$5:$S$750,"&gt;"&amp;S282)+COUNTIFS($D$5:$D$750,WF_END_PERIOD,$E$5:$E$750,E282,$R$5:$R$750,TRUE(),$S$5:$S$750,S282,$B$5:$B$750,"&lt;"&amp;B282),"")</f>
        <v/>
      </c>
      <c r="AA282" s="0" t="str">
        <f aca="false">IF(AND(D282=WF_END_PERIOD,R282,Z282&lt;&gt;1),1+COUNTIFS($D$5:$D$750,WF_END_PERIOD,$R$5:$R$750,TRUE(),$Z$5:$Z$750,"&lt;&gt;1",$S$5:$S$750,"&gt;"&amp;S282)+COUNTIFS($D$5:$D$750,WF_END_PERIOD,$R$5:$R$750,TRUE(),$Z$5:$Z$750,"&lt;&gt;1",$S$5:$S$750,S282,$B$5:$B$750,"&lt;"&amp;B282),"")</f>
        <v/>
      </c>
      <c r="AB282" s="11" t="b">
        <f aca="false">OR(D282=WF_START_PERIOD,D282=WF_END_PERIOD)</f>
        <v>0</v>
      </c>
      <c r="AC282" s="0" t="str">
        <f aca="false">B282&amp;"|"&amp;D282</f>
        <v>17741|20230630</v>
      </c>
    </row>
    <row r="283" customFormat="false" ht="15" hidden="false" customHeight="false" outlineLevel="0" collapsed="false">
      <c r="A283" s="0" t="n">
        <f aca="false">RawFinancials!A283</f>
        <v>280</v>
      </c>
      <c r="B283" s="0" t="n">
        <f aca="false">RawFinancials!C283</f>
        <v>17743</v>
      </c>
      <c r="C283" s="0" t="str">
        <f aca="false">RawFinancials!P283</f>
        <v>SACO &amp; BIDDEFORD SAVINGS INSTITUTION</v>
      </c>
      <c r="D283" s="0" t="n">
        <f aca="false">RawFinancials!W283</f>
        <v>20230630</v>
      </c>
      <c r="E283" s="0" t="str">
        <f aca="false">RawFinancials!Z283</f>
        <v>ME</v>
      </c>
      <c r="F283" s="0" t="n">
        <f aca="false">RawFinancials!B283</f>
        <v>1333208</v>
      </c>
      <c r="G283" s="0" t="n">
        <f aca="false">RawFinancials!U283</f>
        <v>0</v>
      </c>
      <c r="H283" s="0" t="n">
        <f aca="false">RawFinancials!O283</f>
        <v>4416</v>
      </c>
      <c r="I283" s="0" t="n">
        <f aca="false">IF(AND(ISNUMBER(G283),ISNUMBER(H283)),G283+H283,"")</f>
        <v>4416</v>
      </c>
      <c r="J283" s="0" t="n">
        <f aca="false">RawFinancials!D283</f>
        <v>950623</v>
      </c>
      <c r="K283" s="0" t="n">
        <f aca="false">RawFinancials!F283</f>
        <v>121236</v>
      </c>
      <c r="L283" s="0" t="n">
        <f aca="false">RawFinancials!L283</f>
        <v>1037097</v>
      </c>
      <c r="M283" s="0" t="n">
        <f aca="false">RawFinancials!N283</f>
        <v>1005554</v>
      </c>
      <c r="N283" s="13" t="n">
        <f aca="false">RawFinancials!X283</f>
        <v>0.0965920880347445</v>
      </c>
      <c r="O283" s="13" t="n">
        <f aca="false">RawFinancials!V283</f>
        <v>0</v>
      </c>
      <c r="P283" s="13" t="n">
        <f aca="false">IF(AND(ISNUMBER(L283),L283&lt;&gt;0,ISNUMBER(M283)),100*M283/L283,"")</f>
        <v>96.9585294336017</v>
      </c>
      <c r="Q283" s="13" t="n">
        <f aca="false">IF(AND(ISNUMBER(F283),F283&lt;&gt;0,ISNUMBER(K283)),100*K283/F283,"")</f>
        <v>9.09355479415065</v>
      </c>
      <c r="R283" s="11" t="b">
        <f aca="false">AND(ISNUMBER(F283),F283&gt;0,ISNUMBER(G283),G283&gt;=0,ISNUMBER(H283),H283&gt;=0)</f>
        <v>1</v>
      </c>
      <c r="S283" s="13" t="n">
        <f aca="false">IF(R283,100*I283/F283,"")</f>
        <v>0.331231135726758</v>
      </c>
      <c r="T283" s="11" t="b">
        <f aca="false">NOT(AND(OR(AND(ISBLANK(RawFinancials!B283),ISBLANK(_RawBaseline!B280)),AND(ISNUMBER(RawFinancials!B283),ISNUMBER(_RawBaseline!B280),RawFinancials!B283=_RawBaseline!B280)),OR(AND(ISBLANK(RawFinancials!U283),ISBLANK(_RawBaseline!U280)),AND(ISNUMBER(RawFinancials!U283),ISNUMBER(_RawBaseline!U280),RawFinancials!U283=_RawBaseline!U280)),OR(AND(ISBLANK(RawFinancials!O283),ISBLANK(_RawBaseline!O280)),AND(ISNUMBER(RawFinancials!O283),ISNUMBER(_RawBaseline!O280),RawFinancials!O283=_RawBaseline!O280))))</f>
        <v>0</v>
      </c>
      <c r="U283" s="13" t="n">
        <f aca="false">IF(AND(D283=WF_START_PERIOD,R283,COUNTIFS($B$5:$B$750,B283,$D$5:$D$750,WF_END_PERIOD,$R$5:$R$750,TRUE())&gt;0),SUMIFS($S$5:$S$750,$B$5:$B$750,B283,$D$5:$D$750,WF_END_PERIOD,$R$5:$R$750,TRUE()),0)</f>
        <v>0</v>
      </c>
      <c r="V283" s="0" t="str">
        <f aca="false">IF(AND(D283=WF_START_PERIOD,COUNTIFS($B$5:$B$750,B283,$D$5:$D$750,WF_END_PERIOD)&gt;0),INDEX($E$5:$E$750,MATCH(B283&amp;"|"&amp;WF_END_PERIOD,$AC$5:$AC$750,0)),"")</f>
        <v/>
      </c>
      <c r="W283" s="11" t="b">
        <f aca="false">COUNTIFS($B$5:$B$750,B283,$D$5:$D$750,WF_START_PERIOD,$R$5:$R$750,TRUE())&gt;0</f>
        <v>1</v>
      </c>
      <c r="X283" s="11" t="b">
        <f aca="false">COUNTIFS($B$5:$B$750,B283,$D$5:$D$750,WF_END_PERIOD,$R$5:$R$750,TRUE())&gt;0</f>
        <v>1</v>
      </c>
      <c r="Y283" s="0" t="str">
        <f aca="false">IF(AND(D283=WF_END_PERIOD,COUNTIFS($B$5:$B$750,B283,$D$5:$D$750,WF_START_PERIOD)&gt;0),INDEX($E$5:$E$750,MATCH(B283&amp;"|"&amp;WF_START_PERIOD,$AC$5:$AC$750,0)),"")</f>
        <v/>
      </c>
      <c r="Z283" s="0" t="str">
        <f aca="false">IF(AND(D283=WF_END_PERIOD,R283),1+COUNTIFS($D$5:$D$750,WF_END_PERIOD,$E$5:$E$750,E283,$R$5:$R$750,TRUE(),$S$5:$S$750,"&gt;"&amp;S283)+COUNTIFS($D$5:$D$750,WF_END_PERIOD,$E$5:$E$750,E283,$R$5:$R$750,TRUE(),$S$5:$S$750,S283,$B$5:$B$750,"&lt;"&amp;B283),"")</f>
        <v/>
      </c>
      <c r="AA283" s="0" t="str">
        <f aca="false">IF(AND(D283=WF_END_PERIOD,R283,Z283&lt;&gt;1),1+COUNTIFS($D$5:$D$750,WF_END_PERIOD,$R$5:$R$750,TRUE(),$Z$5:$Z$750,"&lt;&gt;1",$S$5:$S$750,"&gt;"&amp;S283)+COUNTIFS($D$5:$D$750,WF_END_PERIOD,$R$5:$R$750,TRUE(),$Z$5:$Z$750,"&lt;&gt;1",$S$5:$S$750,S283,$B$5:$B$750,"&lt;"&amp;B283),"")</f>
        <v/>
      </c>
      <c r="AB283" s="11" t="b">
        <f aca="false">OR(D283=WF_START_PERIOD,D283=WF_END_PERIOD)</f>
        <v>0</v>
      </c>
      <c r="AC283" s="0" t="str">
        <f aca="false">B283&amp;"|"&amp;D283</f>
        <v>17743|20230630</v>
      </c>
    </row>
    <row r="284" customFormat="false" ht="15" hidden="false" customHeight="false" outlineLevel="0" collapsed="false">
      <c r="A284" s="0" t="n">
        <f aca="false">RawFinancials!A284</f>
        <v>281</v>
      </c>
      <c r="B284" s="0" t="n">
        <f aca="false">RawFinancials!C284</f>
        <v>17748</v>
      </c>
      <c r="C284" s="0" t="str">
        <f aca="false">RawFinancials!P284</f>
        <v>GORHAM SAVINGS BANK</v>
      </c>
      <c r="D284" s="0" t="n">
        <f aca="false">RawFinancials!W284</f>
        <v>20230630</v>
      </c>
      <c r="E284" s="0" t="str">
        <f aca="false">RawFinancials!Z284</f>
        <v>ME</v>
      </c>
      <c r="F284" s="0" t="n">
        <f aca="false">RawFinancials!B284</f>
        <v>1638948</v>
      </c>
      <c r="G284" s="0" t="n">
        <f aca="false">RawFinancials!U284</f>
        <v>0</v>
      </c>
      <c r="H284" s="0" t="n">
        <f aca="false">RawFinancials!O284</f>
        <v>6702</v>
      </c>
      <c r="I284" s="0" t="n">
        <f aca="false">IF(AND(ISNUMBER(G284),ISNUMBER(H284)),G284+H284,"")</f>
        <v>6702</v>
      </c>
      <c r="J284" s="0" t="n">
        <f aca="false">RawFinancials!D284</f>
        <v>1352478</v>
      </c>
      <c r="K284" s="0" t="n">
        <f aca="false">RawFinancials!F284</f>
        <v>107830</v>
      </c>
      <c r="L284" s="0" t="n">
        <f aca="false">RawFinancials!L284</f>
        <v>1266653</v>
      </c>
      <c r="M284" s="0" t="n">
        <f aca="false">RawFinancials!N284</f>
        <v>1048029</v>
      </c>
      <c r="N284" s="13" t="n">
        <f aca="false">RawFinancials!X284</f>
        <v>0.18612504564291</v>
      </c>
      <c r="O284" s="13" t="n">
        <f aca="false">RawFinancials!V284</f>
        <v>0</v>
      </c>
      <c r="P284" s="13" t="n">
        <f aca="false">IF(AND(ISNUMBER(L284),L284&lt;&gt;0,ISNUMBER(M284)),100*M284/L284,"")</f>
        <v>82.7400243002622</v>
      </c>
      <c r="Q284" s="13" t="n">
        <f aca="false">IF(AND(ISNUMBER(F284),F284&lt;&gt;0,ISNUMBER(K284)),100*K284/F284,"")</f>
        <v>6.57922032913796</v>
      </c>
      <c r="R284" s="11" t="b">
        <f aca="false">AND(ISNUMBER(F284),F284&gt;0,ISNUMBER(G284),G284&gt;=0,ISNUMBER(H284),H284&gt;=0)</f>
        <v>1</v>
      </c>
      <c r="S284" s="13" t="n">
        <f aca="false">IF(R284,100*I284/F284,"")</f>
        <v>0.408920844346495</v>
      </c>
      <c r="T284" s="11" t="b">
        <f aca="false">NOT(AND(OR(AND(ISBLANK(RawFinancials!B284),ISBLANK(_RawBaseline!B281)),AND(ISNUMBER(RawFinancials!B284),ISNUMBER(_RawBaseline!B281),RawFinancials!B284=_RawBaseline!B281)),OR(AND(ISBLANK(RawFinancials!U284),ISBLANK(_RawBaseline!U281)),AND(ISNUMBER(RawFinancials!U284),ISNUMBER(_RawBaseline!U281),RawFinancials!U284=_RawBaseline!U281)),OR(AND(ISBLANK(RawFinancials!O284),ISBLANK(_RawBaseline!O281)),AND(ISNUMBER(RawFinancials!O284),ISNUMBER(_RawBaseline!O281),RawFinancials!O284=_RawBaseline!O281))))</f>
        <v>0</v>
      </c>
      <c r="U284" s="13" t="n">
        <f aca="false">IF(AND(D284=WF_START_PERIOD,R284,COUNTIFS($B$5:$B$750,B284,$D$5:$D$750,WF_END_PERIOD,$R$5:$R$750,TRUE())&gt;0),SUMIFS($S$5:$S$750,$B$5:$B$750,B284,$D$5:$D$750,WF_END_PERIOD,$R$5:$R$750,TRUE()),0)</f>
        <v>0</v>
      </c>
      <c r="V284" s="0" t="str">
        <f aca="false">IF(AND(D284=WF_START_PERIOD,COUNTIFS($B$5:$B$750,B284,$D$5:$D$750,WF_END_PERIOD)&gt;0),INDEX($E$5:$E$750,MATCH(B284&amp;"|"&amp;WF_END_PERIOD,$AC$5:$AC$750,0)),"")</f>
        <v/>
      </c>
      <c r="W284" s="11" t="b">
        <f aca="false">COUNTIFS($B$5:$B$750,B284,$D$5:$D$750,WF_START_PERIOD,$R$5:$R$750,TRUE())&gt;0</f>
        <v>1</v>
      </c>
      <c r="X284" s="11" t="b">
        <f aca="false">COUNTIFS($B$5:$B$750,B284,$D$5:$D$750,WF_END_PERIOD,$R$5:$R$750,TRUE())&gt;0</f>
        <v>0</v>
      </c>
      <c r="Y284" s="0" t="str">
        <f aca="false">IF(AND(D284=WF_END_PERIOD,COUNTIFS($B$5:$B$750,B284,$D$5:$D$750,WF_START_PERIOD)&gt;0),INDEX($E$5:$E$750,MATCH(B284&amp;"|"&amp;WF_START_PERIOD,$AC$5:$AC$750,0)),"")</f>
        <v/>
      </c>
      <c r="Z284" s="0" t="str">
        <f aca="false">IF(AND(D284=WF_END_PERIOD,R284),1+COUNTIFS($D$5:$D$750,WF_END_PERIOD,$E$5:$E$750,E284,$R$5:$R$750,TRUE(),$S$5:$S$750,"&gt;"&amp;S284)+COUNTIFS($D$5:$D$750,WF_END_PERIOD,$E$5:$E$750,E284,$R$5:$R$750,TRUE(),$S$5:$S$750,S284,$B$5:$B$750,"&lt;"&amp;B284),"")</f>
        <v/>
      </c>
      <c r="AA284" s="0" t="str">
        <f aca="false">IF(AND(D284=WF_END_PERIOD,R284,Z284&lt;&gt;1),1+COUNTIFS($D$5:$D$750,WF_END_PERIOD,$R$5:$R$750,TRUE(),$Z$5:$Z$750,"&lt;&gt;1",$S$5:$S$750,"&gt;"&amp;S284)+COUNTIFS($D$5:$D$750,WF_END_PERIOD,$R$5:$R$750,TRUE(),$Z$5:$Z$750,"&lt;&gt;1",$S$5:$S$750,S284,$B$5:$B$750,"&lt;"&amp;B284),"")</f>
        <v/>
      </c>
      <c r="AB284" s="11" t="b">
        <f aca="false">OR(D284=WF_START_PERIOD,D284=WF_END_PERIOD)</f>
        <v>0</v>
      </c>
      <c r="AC284" s="0" t="str">
        <f aca="false">B284&amp;"|"&amp;D284</f>
        <v>17748|20230630</v>
      </c>
    </row>
    <row r="285" customFormat="false" ht="15" hidden="false" customHeight="false" outlineLevel="0" collapsed="false">
      <c r="A285" s="0" t="n">
        <f aca="false">RawFinancials!A285</f>
        <v>282</v>
      </c>
      <c r="B285" s="0" t="n">
        <f aca="false">RawFinancials!C285</f>
        <v>17749</v>
      </c>
      <c r="C285" s="0" t="str">
        <f aca="false">RawFinancials!P285</f>
        <v>BATH SAVINGS INSTITUTION</v>
      </c>
      <c r="D285" s="0" t="n">
        <f aca="false">RawFinancials!W285</f>
        <v>20230630</v>
      </c>
      <c r="E285" s="0" t="str">
        <f aca="false">RawFinancials!Z285</f>
        <v>ME</v>
      </c>
      <c r="F285" s="0" t="n">
        <f aca="false">RawFinancials!B285</f>
        <v>1316293</v>
      </c>
      <c r="G285" s="0" t="n">
        <f aca="false">RawFinancials!U285</f>
        <v>0</v>
      </c>
      <c r="H285" s="0" t="n">
        <f aca="false">RawFinancials!O285</f>
        <v>293</v>
      </c>
      <c r="I285" s="0" t="n">
        <f aca="false">IF(AND(ISNUMBER(G285),ISNUMBER(H285)),G285+H285,"")</f>
        <v>293</v>
      </c>
      <c r="J285" s="0" t="n">
        <f aca="false">RawFinancials!D285</f>
        <v>1027633</v>
      </c>
      <c r="K285" s="0" t="n">
        <f aca="false">RawFinancials!F285</f>
        <v>161414</v>
      </c>
      <c r="L285" s="0" t="n">
        <f aca="false">RawFinancials!L285</f>
        <v>776535</v>
      </c>
      <c r="M285" s="0" t="n">
        <f aca="false">RawFinancials!N285</f>
        <v>702580</v>
      </c>
      <c r="N285" s="13" t="n">
        <f aca="false">RawFinancials!X285</f>
        <v>1.33285285879771</v>
      </c>
      <c r="O285" s="13" t="n">
        <f aca="false">RawFinancials!V285</f>
        <v>0</v>
      </c>
      <c r="P285" s="13" t="n">
        <f aca="false">IF(AND(ISNUMBER(L285),L285&lt;&gt;0,ISNUMBER(M285)),100*M285/L285,"")</f>
        <v>90.476282459902</v>
      </c>
      <c r="Q285" s="13" t="n">
        <f aca="false">IF(AND(ISNUMBER(F285),F285&lt;&gt;0,ISNUMBER(K285)),100*K285/F285,"")</f>
        <v>12.2627712826855</v>
      </c>
      <c r="R285" s="11" t="b">
        <f aca="false">AND(ISNUMBER(F285),F285&gt;0,ISNUMBER(G285),G285&gt;=0,ISNUMBER(H285),H285&gt;=0)</f>
        <v>1</v>
      </c>
      <c r="S285" s="13" t="n">
        <f aca="false">IF(R285,100*I285/F285,"")</f>
        <v>0.0222594817415272</v>
      </c>
      <c r="T285" s="11" t="b">
        <f aca="false">NOT(AND(OR(AND(ISBLANK(RawFinancials!B285),ISBLANK(_RawBaseline!B282)),AND(ISNUMBER(RawFinancials!B285),ISNUMBER(_RawBaseline!B282),RawFinancials!B285=_RawBaseline!B282)),OR(AND(ISBLANK(RawFinancials!U285),ISBLANK(_RawBaseline!U282)),AND(ISNUMBER(RawFinancials!U285),ISNUMBER(_RawBaseline!U282),RawFinancials!U285=_RawBaseline!U282)),OR(AND(ISBLANK(RawFinancials!O285),ISBLANK(_RawBaseline!O282)),AND(ISNUMBER(RawFinancials!O285),ISNUMBER(_RawBaseline!O282),RawFinancials!O285=_RawBaseline!O282))))</f>
        <v>0</v>
      </c>
      <c r="U285" s="13" t="n">
        <f aca="false">IF(AND(D285=WF_START_PERIOD,R285,COUNTIFS($B$5:$B$750,B285,$D$5:$D$750,WF_END_PERIOD,$R$5:$R$750,TRUE())&gt;0),SUMIFS($S$5:$S$750,$B$5:$B$750,B285,$D$5:$D$750,WF_END_PERIOD,$R$5:$R$750,TRUE()),0)</f>
        <v>0</v>
      </c>
      <c r="V285" s="0" t="str">
        <f aca="false">IF(AND(D285=WF_START_PERIOD,COUNTIFS($B$5:$B$750,B285,$D$5:$D$750,WF_END_PERIOD)&gt;0),INDEX($E$5:$E$750,MATCH(B285&amp;"|"&amp;WF_END_PERIOD,$AC$5:$AC$750,0)),"")</f>
        <v/>
      </c>
      <c r="W285" s="11" t="b">
        <f aca="false">COUNTIFS($B$5:$B$750,B285,$D$5:$D$750,WF_START_PERIOD,$R$5:$R$750,TRUE())&gt;0</f>
        <v>1</v>
      </c>
      <c r="X285" s="11" t="b">
        <f aca="false">COUNTIFS($B$5:$B$750,B285,$D$5:$D$750,WF_END_PERIOD,$R$5:$R$750,TRUE())&gt;0</f>
        <v>1</v>
      </c>
      <c r="Y285" s="0" t="str">
        <f aca="false">IF(AND(D285=WF_END_PERIOD,COUNTIFS($B$5:$B$750,B285,$D$5:$D$750,WF_START_PERIOD)&gt;0),INDEX($E$5:$E$750,MATCH(B285&amp;"|"&amp;WF_START_PERIOD,$AC$5:$AC$750,0)),"")</f>
        <v/>
      </c>
      <c r="Z285" s="0" t="str">
        <f aca="false">IF(AND(D285=WF_END_PERIOD,R285),1+COUNTIFS($D$5:$D$750,WF_END_PERIOD,$E$5:$E$750,E285,$R$5:$R$750,TRUE(),$S$5:$S$750,"&gt;"&amp;S285)+COUNTIFS($D$5:$D$750,WF_END_PERIOD,$E$5:$E$750,E285,$R$5:$R$750,TRUE(),$S$5:$S$750,S285,$B$5:$B$750,"&lt;"&amp;B285),"")</f>
        <v/>
      </c>
      <c r="AA285" s="0" t="str">
        <f aca="false">IF(AND(D285=WF_END_PERIOD,R285,Z285&lt;&gt;1),1+COUNTIFS($D$5:$D$750,WF_END_PERIOD,$R$5:$R$750,TRUE(),$Z$5:$Z$750,"&lt;&gt;1",$S$5:$S$750,"&gt;"&amp;S285)+COUNTIFS($D$5:$D$750,WF_END_PERIOD,$R$5:$R$750,TRUE(),$Z$5:$Z$750,"&lt;&gt;1",$S$5:$S$750,S285,$B$5:$B$750,"&lt;"&amp;B285),"")</f>
        <v/>
      </c>
      <c r="AB285" s="11" t="b">
        <f aca="false">OR(D285=WF_START_PERIOD,D285=WF_END_PERIOD)</f>
        <v>0</v>
      </c>
      <c r="AC285" s="0" t="str">
        <f aca="false">B285&amp;"|"&amp;D285</f>
        <v>17749|20230630</v>
      </c>
    </row>
    <row r="286" customFormat="false" ht="15" hidden="false" customHeight="false" outlineLevel="0" collapsed="false">
      <c r="A286" s="0" t="n">
        <f aca="false">RawFinancials!A286</f>
        <v>283</v>
      </c>
      <c r="B286" s="0" t="n">
        <f aca="false">RawFinancials!C286</f>
        <v>17751</v>
      </c>
      <c r="C286" s="0" t="str">
        <f aca="false">RawFinancials!P286</f>
        <v>ANDROSCOGGIN SAVINGS BANK</v>
      </c>
      <c r="D286" s="0" t="n">
        <f aca="false">RawFinancials!W286</f>
        <v>20230630</v>
      </c>
      <c r="E286" s="0" t="str">
        <f aca="false">RawFinancials!Z286</f>
        <v>ME</v>
      </c>
      <c r="F286" s="0" t="n">
        <f aca="false">RawFinancials!B286</f>
        <v>1539209</v>
      </c>
      <c r="G286" s="0" t="n">
        <f aca="false">RawFinancials!U286</f>
        <v>0</v>
      </c>
      <c r="H286" s="0" t="n">
        <f aca="false">RawFinancials!O286</f>
        <v>2725</v>
      </c>
      <c r="I286" s="0" t="n">
        <f aca="false">IF(AND(ISNUMBER(G286),ISNUMBER(H286)),G286+H286,"")</f>
        <v>2725</v>
      </c>
      <c r="J286" s="0" t="n">
        <f aca="false">RawFinancials!D286</f>
        <v>1218035</v>
      </c>
      <c r="K286" s="0" t="n">
        <f aca="false">RawFinancials!F286</f>
        <v>129936</v>
      </c>
      <c r="L286" s="0" t="n">
        <f aca="false">RawFinancials!L286</f>
        <v>1255714</v>
      </c>
      <c r="M286" s="0" t="n">
        <f aca="false">RawFinancials!N286</f>
        <v>1072258</v>
      </c>
      <c r="N286" s="13" t="n">
        <f aca="false">RawFinancials!X286</f>
        <v>0.57224377049816</v>
      </c>
      <c r="O286" s="13" t="n">
        <f aca="false">RawFinancials!V286</f>
        <v>12.7403512952889</v>
      </c>
      <c r="P286" s="13" t="n">
        <f aca="false">IF(AND(ISNUMBER(L286),L286&lt;&gt;0,ISNUMBER(M286)),100*M286/L286,"")</f>
        <v>85.3903038430725</v>
      </c>
      <c r="Q286" s="13" t="n">
        <f aca="false">IF(AND(ISNUMBER(F286),F286&lt;&gt;0,ISNUMBER(K286)),100*K286/F286,"")</f>
        <v>8.44173858131027</v>
      </c>
      <c r="R286" s="11" t="b">
        <f aca="false">AND(ISNUMBER(F286),F286&gt;0,ISNUMBER(G286),G286&gt;=0,ISNUMBER(H286),H286&gt;=0)</f>
        <v>1</v>
      </c>
      <c r="S286" s="13" t="n">
        <f aca="false">IF(R286,100*I286/F286,"")</f>
        <v>0.177038985608842</v>
      </c>
      <c r="T286" s="11" t="b">
        <f aca="false">NOT(AND(OR(AND(ISBLANK(RawFinancials!B286),ISBLANK(_RawBaseline!B283)),AND(ISNUMBER(RawFinancials!B286),ISNUMBER(_RawBaseline!B283),RawFinancials!B286=_RawBaseline!B283)),OR(AND(ISBLANK(RawFinancials!U286),ISBLANK(_RawBaseline!U283)),AND(ISNUMBER(RawFinancials!U286),ISNUMBER(_RawBaseline!U283),RawFinancials!U286=_RawBaseline!U283)),OR(AND(ISBLANK(RawFinancials!O286),ISBLANK(_RawBaseline!O283)),AND(ISNUMBER(RawFinancials!O286),ISNUMBER(_RawBaseline!O283),RawFinancials!O286=_RawBaseline!O283))))</f>
        <v>0</v>
      </c>
      <c r="U286" s="13" t="n">
        <f aca="false">IF(AND(D286=WF_START_PERIOD,R286,COUNTIFS($B$5:$B$750,B286,$D$5:$D$750,WF_END_PERIOD,$R$5:$R$750,TRUE())&gt;0),SUMIFS($S$5:$S$750,$B$5:$B$750,B286,$D$5:$D$750,WF_END_PERIOD,$R$5:$R$750,TRUE()),0)</f>
        <v>0</v>
      </c>
      <c r="V286" s="0" t="str">
        <f aca="false">IF(AND(D286=WF_START_PERIOD,COUNTIFS($B$5:$B$750,B286,$D$5:$D$750,WF_END_PERIOD)&gt;0),INDEX($E$5:$E$750,MATCH(B286&amp;"|"&amp;WF_END_PERIOD,$AC$5:$AC$750,0)),"")</f>
        <v/>
      </c>
      <c r="W286" s="11" t="b">
        <f aca="false">COUNTIFS($B$5:$B$750,B286,$D$5:$D$750,WF_START_PERIOD,$R$5:$R$750,TRUE())&gt;0</f>
        <v>1</v>
      </c>
      <c r="X286" s="11" t="b">
        <f aca="false">COUNTIFS($B$5:$B$750,B286,$D$5:$D$750,WF_END_PERIOD,$R$5:$R$750,TRUE())&gt;0</f>
        <v>1</v>
      </c>
      <c r="Y286" s="0" t="str">
        <f aca="false">IF(AND(D286=WF_END_PERIOD,COUNTIFS($B$5:$B$750,B286,$D$5:$D$750,WF_START_PERIOD)&gt;0),INDEX($E$5:$E$750,MATCH(B286&amp;"|"&amp;WF_START_PERIOD,$AC$5:$AC$750,0)),"")</f>
        <v/>
      </c>
      <c r="Z286" s="0" t="str">
        <f aca="false">IF(AND(D286=WF_END_PERIOD,R286),1+COUNTIFS($D$5:$D$750,WF_END_PERIOD,$E$5:$E$750,E286,$R$5:$R$750,TRUE(),$S$5:$S$750,"&gt;"&amp;S286)+COUNTIFS($D$5:$D$750,WF_END_PERIOD,$E$5:$E$750,E286,$R$5:$R$750,TRUE(),$S$5:$S$750,S286,$B$5:$B$750,"&lt;"&amp;B286),"")</f>
        <v/>
      </c>
      <c r="AA286" s="0" t="str">
        <f aca="false">IF(AND(D286=WF_END_PERIOD,R286,Z286&lt;&gt;1),1+COUNTIFS($D$5:$D$750,WF_END_PERIOD,$R$5:$R$750,TRUE(),$Z$5:$Z$750,"&lt;&gt;1",$S$5:$S$750,"&gt;"&amp;S286)+COUNTIFS($D$5:$D$750,WF_END_PERIOD,$R$5:$R$750,TRUE(),$Z$5:$Z$750,"&lt;&gt;1",$S$5:$S$750,S286,$B$5:$B$750,"&lt;"&amp;B286),"")</f>
        <v/>
      </c>
      <c r="AB286" s="11" t="b">
        <f aca="false">OR(D286=WF_START_PERIOD,D286=WF_END_PERIOD)</f>
        <v>0</v>
      </c>
      <c r="AC286" s="0" t="str">
        <f aca="false">B286&amp;"|"&amp;D286</f>
        <v>17751|20230630</v>
      </c>
    </row>
    <row r="287" customFormat="false" ht="15" hidden="false" customHeight="false" outlineLevel="0" collapsed="false">
      <c r="A287" s="0" t="n">
        <f aca="false">RawFinancials!A287</f>
        <v>284</v>
      </c>
      <c r="B287" s="0" t="n">
        <f aca="false">RawFinancials!C287</f>
        <v>17897</v>
      </c>
      <c r="C287" s="0" t="str">
        <f aca="false">RawFinancials!P287</f>
        <v>KENNEBEC SAVINGS BANK</v>
      </c>
      <c r="D287" s="0" t="n">
        <f aca="false">RawFinancials!W287</f>
        <v>20230630</v>
      </c>
      <c r="E287" s="0" t="str">
        <f aca="false">RawFinancials!Z287</f>
        <v>ME</v>
      </c>
      <c r="F287" s="0" t="n">
        <f aca="false">RawFinancials!B287</f>
        <v>1670135</v>
      </c>
      <c r="G287" s="0" t="n">
        <f aca="false">RawFinancials!U287</f>
        <v>0</v>
      </c>
      <c r="H287" s="0" t="n">
        <f aca="false">RawFinancials!O287</f>
        <v>3724</v>
      </c>
      <c r="I287" s="0" t="n">
        <f aca="false">IF(AND(ISNUMBER(G287),ISNUMBER(H287)),G287+H287,"")</f>
        <v>3724</v>
      </c>
      <c r="J287" s="0" t="n">
        <f aca="false">RawFinancials!D287</f>
        <v>1316659</v>
      </c>
      <c r="K287" s="0" t="n">
        <f aca="false">RawFinancials!F287</f>
        <v>202487</v>
      </c>
      <c r="L287" s="0" t="n">
        <f aca="false">RawFinancials!L287</f>
        <v>1413161</v>
      </c>
      <c r="M287" s="0" t="n">
        <f aca="false">RawFinancials!N287</f>
        <v>1329657</v>
      </c>
      <c r="N287" s="13" t="n">
        <f aca="false">RawFinancials!X287</f>
        <v>0.7142445132825</v>
      </c>
      <c r="O287" s="13" t="n">
        <f aca="false">RawFinancials!V287</f>
        <v>17.1387717890176</v>
      </c>
      <c r="P287" s="13" t="n">
        <f aca="false">IF(AND(ISNUMBER(L287),L287&lt;&gt;0,ISNUMBER(M287)),100*M287/L287,"")</f>
        <v>94.0909776026935</v>
      </c>
      <c r="Q287" s="13" t="n">
        <f aca="false">IF(AND(ISNUMBER(F287),F287&lt;&gt;0,ISNUMBER(K287)),100*K287/F287,"")</f>
        <v>12.1239899768582</v>
      </c>
      <c r="R287" s="11" t="b">
        <f aca="false">AND(ISNUMBER(F287),F287&gt;0,ISNUMBER(G287),G287&gt;=0,ISNUMBER(H287),H287&gt;=0)</f>
        <v>1</v>
      </c>
      <c r="S287" s="13" t="n">
        <f aca="false">IF(R287,100*I287/F287,"")</f>
        <v>0.222975986971113</v>
      </c>
      <c r="T287" s="11" t="b">
        <f aca="false">NOT(AND(OR(AND(ISBLANK(RawFinancials!B287),ISBLANK(_RawBaseline!B284)),AND(ISNUMBER(RawFinancials!B287),ISNUMBER(_RawBaseline!B284),RawFinancials!B287=_RawBaseline!B284)),OR(AND(ISBLANK(RawFinancials!U287),ISBLANK(_RawBaseline!U284)),AND(ISNUMBER(RawFinancials!U287),ISNUMBER(_RawBaseline!U284),RawFinancials!U287=_RawBaseline!U284)),OR(AND(ISBLANK(RawFinancials!O287),ISBLANK(_RawBaseline!O284)),AND(ISNUMBER(RawFinancials!O287),ISNUMBER(_RawBaseline!O284),RawFinancials!O287=_RawBaseline!O284))))</f>
        <v>0</v>
      </c>
      <c r="U287" s="13" t="n">
        <f aca="false">IF(AND(D287=WF_START_PERIOD,R287,COUNTIFS($B$5:$B$750,B287,$D$5:$D$750,WF_END_PERIOD,$R$5:$R$750,TRUE())&gt;0),SUMIFS($S$5:$S$750,$B$5:$B$750,B287,$D$5:$D$750,WF_END_PERIOD,$R$5:$R$750,TRUE()),0)</f>
        <v>0</v>
      </c>
      <c r="V287" s="0" t="str">
        <f aca="false">IF(AND(D287=WF_START_PERIOD,COUNTIFS($B$5:$B$750,B287,$D$5:$D$750,WF_END_PERIOD)&gt;0),INDEX($E$5:$E$750,MATCH(B287&amp;"|"&amp;WF_END_PERIOD,$AC$5:$AC$750,0)),"")</f>
        <v/>
      </c>
      <c r="W287" s="11" t="b">
        <f aca="false">COUNTIFS($B$5:$B$750,B287,$D$5:$D$750,WF_START_PERIOD,$R$5:$R$750,TRUE())&gt;0</f>
        <v>1</v>
      </c>
      <c r="X287" s="11" t="b">
        <f aca="false">COUNTIFS($B$5:$B$750,B287,$D$5:$D$750,WF_END_PERIOD,$R$5:$R$750,TRUE())&gt;0</f>
        <v>1</v>
      </c>
      <c r="Y287" s="0" t="str">
        <f aca="false">IF(AND(D287=WF_END_PERIOD,COUNTIFS($B$5:$B$750,B287,$D$5:$D$750,WF_START_PERIOD)&gt;0),INDEX($E$5:$E$750,MATCH(B287&amp;"|"&amp;WF_START_PERIOD,$AC$5:$AC$750,0)),"")</f>
        <v/>
      </c>
      <c r="Z287" s="0" t="str">
        <f aca="false">IF(AND(D287=WF_END_PERIOD,R287),1+COUNTIFS($D$5:$D$750,WF_END_PERIOD,$E$5:$E$750,E287,$R$5:$R$750,TRUE(),$S$5:$S$750,"&gt;"&amp;S287)+COUNTIFS($D$5:$D$750,WF_END_PERIOD,$E$5:$E$750,E287,$R$5:$R$750,TRUE(),$S$5:$S$750,S287,$B$5:$B$750,"&lt;"&amp;B287),"")</f>
        <v/>
      </c>
      <c r="AA287" s="0" t="str">
        <f aca="false">IF(AND(D287=WF_END_PERIOD,R287,Z287&lt;&gt;1),1+COUNTIFS($D$5:$D$750,WF_END_PERIOD,$R$5:$R$750,TRUE(),$Z$5:$Z$750,"&lt;&gt;1",$S$5:$S$750,"&gt;"&amp;S287)+COUNTIFS($D$5:$D$750,WF_END_PERIOD,$R$5:$R$750,TRUE(),$Z$5:$Z$750,"&lt;&gt;1",$S$5:$S$750,S287,$B$5:$B$750,"&lt;"&amp;B287),"")</f>
        <v/>
      </c>
      <c r="AB287" s="11" t="b">
        <f aca="false">OR(D287=WF_START_PERIOD,D287=WF_END_PERIOD)</f>
        <v>0</v>
      </c>
      <c r="AC287" s="0" t="str">
        <f aca="false">B287&amp;"|"&amp;D287</f>
        <v>17897|20230630</v>
      </c>
    </row>
    <row r="288" customFormat="false" ht="15" hidden="false" customHeight="false" outlineLevel="0" collapsed="false">
      <c r="A288" s="0" t="n">
        <f aca="false">RawFinancials!A288</f>
        <v>285</v>
      </c>
      <c r="B288" s="0" t="n">
        <f aca="false">RawFinancials!C288</f>
        <v>17951</v>
      </c>
      <c r="C288" s="0" t="str">
        <f aca="false">RawFinancials!P288</f>
        <v>FRANKLIN SAVINGS BANK</v>
      </c>
      <c r="D288" s="0" t="n">
        <f aca="false">RawFinancials!W288</f>
        <v>20230630</v>
      </c>
      <c r="E288" s="0" t="str">
        <f aca="false">RawFinancials!Z288</f>
        <v>NH</v>
      </c>
      <c r="F288" s="0" t="n">
        <f aca="false">RawFinancials!B288</f>
        <v>785855</v>
      </c>
      <c r="G288" s="0" t="n">
        <f aca="false">RawFinancials!U288</f>
        <v>0</v>
      </c>
      <c r="H288" s="0" t="n">
        <f aca="false">RawFinancials!O288</f>
        <v>67</v>
      </c>
      <c r="I288" s="0" t="n">
        <f aca="false">IF(AND(ISNUMBER(G288),ISNUMBER(H288)),G288+H288,"")</f>
        <v>67</v>
      </c>
      <c r="J288" s="0" t="n">
        <f aca="false">RawFinancials!D288</f>
        <v>698423</v>
      </c>
      <c r="K288" s="0" t="n">
        <f aca="false">RawFinancials!F288</f>
        <v>56939</v>
      </c>
      <c r="L288" s="0" t="n">
        <f aca="false">RawFinancials!L288</f>
        <v>553850</v>
      </c>
      <c r="M288" s="0" t="n">
        <f aca="false">RawFinancials!N288</f>
        <v>515478</v>
      </c>
      <c r="N288" s="13" t="n">
        <f aca="false">RawFinancials!X288</f>
        <v>0.577782741347925</v>
      </c>
      <c r="O288" s="13" t="n">
        <f aca="false">RawFinancials!V288</f>
        <v>14.4439118904905</v>
      </c>
      <c r="P288" s="13" t="n">
        <f aca="false">IF(AND(ISNUMBER(L288),L288&lt;&gt;0,ISNUMBER(M288)),100*M288/L288,"")</f>
        <v>93.0717703349282</v>
      </c>
      <c r="Q288" s="13" t="n">
        <f aca="false">IF(AND(ISNUMBER(F288),F288&lt;&gt;0,ISNUMBER(K288)),100*K288/F288,"")</f>
        <v>7.24548421782644</v>
      </c>
      <c r="R288" s="11" t="b">
        <f aca="false">AND(ISNUMBER(F288),F288&gt;0,ISNUMBER(G288),G288&gt;=0,ISNUMBER(H288),H288&gt;=0)</f>
        <v>1</v>
      </c>
      <c r="S288" s="13" t="n">
        <f aca="false">IF(R288,100*I288/F288,"")</f>
        <v>0.0085257458436989</v>
      </c>
      <c r="T288" s="11" t="b">
        <f aca="false">NOT(AND(OR(AND(ISBLANK(RawFinancials!B288),ISBLANK(_RawBaseline!B285)),AND(ISNUMBER(RawFinancials!B288),ISNUMBER(_RawBaseline!B285),RawFinancials!B288=_RawBaseline!B285)),OR(AND(ISBLANK(RawFinancials!U288),ISBLANK(_RawBaseline!U285)),AND(ISNUMBER(RawFinancials!U288),ISNUMBER(_RawBaseline!U285),RawFinancials!U288=_RawBaseline!U285)),OR(AND(ISBLANK(RawFinancials!O288),ISBLANK(_RawBaseline!O285)),AND(ISNUMBER(RawFinancials!O288),ISNUMBER(_RawBaseline!O285),RawFinancials!O288=_RawBaseline!O285))))</f>
        <v>0</v>
      </c>
      <c r="U288" s="13" t="n">
        <f aca="false">IF(AND(D288=WF_START_PERIOD,R288,COUNTIFS($B$5:$B$750,B288,$D$5:$D$750,WF_END_PERIOD,$R$5:$R$750,TRUE())&gt;0),SUMIFS($S$5:$S$750,$B$5:$B$750,B288,$D$5:$D$750,WF_END_PERIOD,$R$5:$R$750,TRUE()),0)</f>
        <v>0</v>
      </c>
      <c r="V288" s="0" t="str">
        <f aca="false">IF(AND(D288=WF_START_PERIOD,COUNTIFS($B$5:$B$750,B288,$D$5:$D$750,WF_END_PERIOD)&gt;0),INDEX($E$5:$E$750,MATCH(B288&amp;"|"&amp;WF_END_PERIOD,$AC$5:$AC$750,0)),"")</f>
        <v/>
      </c>
      <c r="W288" s="11" t="b">
        <f aca="false">COUNTIFS($B$5:$B$750,B288,$D$5:$D$750,WF_START_PERIOD,$R$5:$R$750,TRUE())&gt;0</f>
        <v>1</v>
      </c>
      <c r="X288" s="11" t="b">
        <f aca="false">COUNTIFS($B$5:$B$750,B288,$D$5:$D$750,WF_END_PERIOD,$R$5:$R$750,TRUE())&gt;0</f>
        <v>1</v>
      </c>
      <c r="Y288" s="0" t="str">
        <f aca="false">IF(AND(D288=WF_END_PERIOD,COUNTIFS($B$5:$B$750,B288,$D$5:$D$750,WF_START_PERIOD)&gt;0),INDEX($E$5:$E$750,MATCH(B288&amp;"|"&amp;WF_START_PERIOD,$AC$5:$AC$750,0)),"")</f>
        <v/>
      </c>
      <c r="Z288" s="0" t="str">
        <f aca="false">IF(AND(D288=WF_END_PERIOD,R288),1+COUNTIFS($D$5:$D$750,WF_END_PERIOD,$E$5:$E$750,E288,$R$5:$R$750,TRUE(),$S$5:$S$750,"&gt;"&amp;S288)+COUNTIFS($D$5:$D$750,WF_END_PERIOD,$E$5:$E$750,E288,$R$5:$R$750,TRUE(),$S$5:$S$750,S288,$B$5:$B$750,"&lt;"&amp;B288),"")</f>
        <v/>
      </c>
      <c r="AA288" s="0" t="str">
        <f aca="false">IF(AND(D288=WF_END_PERIOD,R288,Z288&lt;&gt;1),1+COUNTIFS($D$5:$D$750,WF_END_PERIOD,$R$5:$R$750,TRUE(),$Z$5:$Z$750,"&lt;&gt;1",$S$5:$S$750,"&gt;"&amp;S288)+COUNTIFS($D$5:$D$750,WF_END_PERIOD,$R$5:$R$750,TRUE(),$Z$5:$Z$750,"&lt;&gt;1",$S$5:$S$750,S288,$B$5:$B$750,"&lt;"&amp;B288),"")</f>
        <v/>
      </c>
      <c r="AB288" s="11" t="b">
        <f aca="false">OR(D288=WF_START_PERIOD,D288=WF_END_PERIOD)</f>
        <v>0</v>
      </c>
      <c r="AC288" s="0" t="str">
        <f aca="false">B288&amp;"|"&amp;D288</f>
        <v>17951|20230630</v>
      </c>
    </row>
    <row r="289" customFormat="false" ht="15" hidden="false" customHeight="false" outlineLevel="0" collapsed="false">
      <c r="A289" s="0" t="n">
        <f aca="false">RawFinancials!A289</f>
        <v>286</v>
      </c>
      <c r="B289" s="0" t="n">
        <f aca="false">RawFinancials!C289</f>
        <v>17960</v>
      </c>
      <c r="C289" s="0" t="str">
        <f aca="false">RawFinancials!P289</f>
        <v>MERRIMACK COUNTY SAVINGS BANK</v>
      </c>
      <c r="D289" s="0" t="n">
        <f aca="false">RawFinancials!W289</f>
        <v>20230630</v>
      </c>
      <c r="E289" s="0" t="str">
        <f aca="false">RawFinancials!Z289</f>
        <v>NH</v>
      </c>
      <c r="F289" s="0" t="n">
        <f aca="false">RawFinancials!B289</f>
        <v>1355202</v>
      </c>
      <c r="G289" s="0" t="n">
        <f aca="false">RawFinancials!U289</f>
        <v>0</v>
      </c>
      <c r="H289" s="0" t="n">
        <f aca="false">RawFinancials!O289</f>
        <v>8464</v>
      </c>
      <c r="I289" s="0" t="n">
        <f aca="false">IF(AND(ISNUMBER(G289),ISNUMBER(H289)),G289+H289,"")</f>
        <v>8464</v>
      </c>
      <c r="J289" s="0" t="n">
        <f aca="false">RawFinancials!D289</f>
        <v>1044918</v>
      </c>
      <c r="K289" s="0" t="n">
        <f aca="false">RawFinancials!F289</f>
        <v>108306</v>
      </c>
      <c r="L289" s="0" t="n">
        <f aca="false">RawFinancials!L289</f>
        <v>1162537</v>
      </c>
      <c r="M289" s="0" t="n">
        <f aca="false">RawFinancials!N289</f>
        <v>827985</v>
      </c>
      <c r="N289" s="13" t="n">
        <f aca="false">RawFinancials!X289</f>
        <v>0.47751881940412</v>
      </c>
      <c r="O289" s="13" t="n">
        <f aca="false">RawFinancials!V289</f>
        <v>12.7361396545319</v>
      </c>
      <c r="P289" s="13" t="n">
        <f aca="false">IF(AND(ISNUMBER(L289),L289&lt;&gt;0,ISNUMBER(M289)),100*M289/L289,"")</f>
        <v>71.2222492703458</v>
      </c>
      <c r="Q289" s="13" t="n">
        <f aca="false">IF(AND(ISNUMBER(F289),F289&lt;&gt;0,ISNUMBER(K289)),100*K289/F289,"")</f>
        <v>7.99187132250395</v>
      </c>
      <c r="R289" s="11" t="b">
        <f aca="false">AND(ISNUMBER(F289),F289&gt;0,ISNUMBER(G289),G289&gt;=0,ISNUMBER(H289),H289&gt;=0)</f>
        <v>1</v>
      </c>
      <c r="S289" s="13" t="n">
        <f aca="false">IF(R289,100*I289/F289,"")</f>
        <v>0.624556339202569</v>
      </c>
      <c r="T289" s="11" t="b">
        <f aca="false">NOT(AND(OR(AND(ISBLANK(RawFinancials!B289),ISBLANK(_RawBaseline!B286)),AND(ISNUMBER(RawFinancials!B289),ISNUMBER(_RawBaseline!B286),RawFinancials!B289=_RawBaseline!B286)),OR(AND(ISBLANK(RawFinancials!U289),ISBLANK(_RawBaseline!U286)),AND(ISNUMBER(RawFinancials!U289),ISNUMBER(_RawBaseline!U286),RawFinancials!U289=_RawBaseline!U286)),OR(AND(ISBLANK(RawFinancials!O289),ISBLANK(_RawBaseline!O286)),AND(ISNUMBER(RawFinancials!O289),ISNUMBER(_RawBaseline!O286),RawFinancials!O289=_RawBaseline!O286))))</f>
        <v>0</v>
      </c>
      <c r="U289" s="13" t="n">
        <f aca="false">IF(AND(D289=WF_START_PERIOD,R289,COUNTIFS($B$5:$B$750,B289,$D$5:$D$750,WF_END_PERIOD,$R$5:$R$750,TRUE())&gt;0),SUMIFS($S$5:$S$750,$B$5:$B$750,B289,$D$5:$D$750,WF_END_PERIOD,$R$5:$R$750,TRUE()),0)</f>
        <v>0</v>
      </c>
      <c r="V289" s="0" t="str">
        <f aca="false">IF(AND(D289=WF_START_PERIOD,COUNTIFS($B$5:$B$750,B289,$D$5:$D$750,WF_END_PERIOD)&gt;0),INDEX($E$5:$E$750,MATCH(B289&amp;"|"&amp;WF_END_PERIOD,$AC$5:$AC$750,0)),"")</f>
        <v/>
      </c>
      <c r="W289" s="11" t="b">
        <f aca="false">COUNTIFS($B$5:$B$750,B289,$D$5:$D$750,WF_START_PERIOD,$R$5:$R$750,TRUE())&gt;0</f>
        <v>1</v>
      </c>
      <c r="X289" s="11" t="b">
        <f aca="false">COUNTIFS($B$5:$B$750,B289,$D$5:$D$750,WF_END_PERIOD,$R$5:$R$750,TRUE())&gt;0</f>
        <v>1</v>
      </c>
      <c r="Y289" s="0" t="str">
        <f aca="false">IF(AND(D289=WF_END_PERIOD,COUNTIFS($B$5:$B$750,B289,$D$5:$D$750,WF_START_PERIOD)&gt;0),INDEX($E$5:$E$750,MATCH(B289&amp;"|"&amp;WF_START_PERIOD,$AC$5:$AC$750,0)),"")</f>
        <v/>
      </c>
      <c r="Z289" s="0" t="str">
        <f aca="false">IF(AND(D289=WF_END_PERIOD,R289),1+COUNTIFS($D$5:$D$750,WF_END_PERIOD,$E$5:$E$750,E289,$R$5:$R$750,TRUE(),$S$5:$S$750,"&gt;"&amp;S289)+COUNTIFS($D$5:$D$750,WF_END_PERIOD,$E$5:$E$750,E289,$R$5:$R$750,TRUE(),$S$5:$S$750,S289,$B$5:$B$750,"&lt;"&amp;B289),"")</f>
        <v/>
      </c>
      <c r="AA289" s="0" t="str">
        <f aca="false">IF(AND(D289=WF_END_PERIOD,R289,Z289&lt;&gt;1),1+COUNTIFS($D$5:$D$750,WF_END_PERIOD,$R$5:$R$750,TRUE(),$Z$5:$Z$750,"&lt;&gt;1",$S$5:$S$750,"&gt;"&amp;S289)+COUNTIFS($D$5:$D$750,WF_END_PERIOD,$R$5:$R$750,TRUE(),$Z$5:$Z$750,"&lt;&gt;1",$S$5:$S$750,S289,$B$5:$B$750,"&lt;"&amp;B289),"")</f>
        <v/>
      </c>
      <c r="AB289" s="11" t="b">
        <f aca="false">OR(D289=WF_START_PERIOD,D289=WF_END_PERIOD)</f>
        <v>0</v>
      </c>
      <c r="AC289" s="0" t="str">
        <f aca="false">B289&amp;"|"&amp;D289</f>
        <v>17960|20230630</v>
      </c>
    </row>
    <row r="290" customFormat="false" ht="15" hidden="false" customHeight="false" outlineLevel="0" collapsed="false">
      <c r="A290" s="0" t="n">
        <f aca="false">RawFinancials!A290</f>
        <v>287</v>
      </c>
      <c r="B290" s="0" t="n">
        <f aca="false">RawFinancials!C290</f>
        <v>18012</v>
      </c>
      <c r="C290" s="0" t="str">
        <f aca="false">RawFinancials!P290</f>
        <v>BANK OF NEW HAMPSHIRE</v>
      </c>
      <c r="D290" s="0" t="n">
        <f aca="false">RawFinancials!W290</f>
        <v>20230630</v>
      </c>
      <c r="E290" s="0" t="str">
        <f aca="false">RawFinancials!Z290</f>
        <v>NH</v>
      </c>
      <c r="F290" s="0" t="n">
        <f aca="false">RawFinancials!B290</f>
        <v>2459524</v>
      </c>
      <c r="G290" s="0" t="n">
        <f aca="false">RawFinancials!U290</f>
        <v>0</v>
      </c>
      <c r="H290" s="0" t="n">
        <f aca="false">RawFinancials!O290</f>
        <v>1011</v>
      </c>
      <c r="I290" s="0" t="n">
        <f aca="false">IF(AND(ISNUMBER(G290),ISNUMBER(H290)),G290+H290,"")</f>
        <v>1011</v>
      </c>
      <c r="J290" s="0" t="n">
        <f aca="false">RawFinancials!D290</f>
        <v>2061672</v>
      </c>
      <c r="K290" s="0" t="n">
        <f aca="false">RawFinancials!F290</f>
        <v>250653</v>
      </c>
      <c r="L290" s="0" t="n">
        <f aca="false">RawFinancials!L290</f>
        <v>2005386</v>
      </c>
      <c r="M290" s="0" t="n">
        <f aca="false">RawFinancials!N290</f>
        <v>1892192</v>
      </c>
      <c r="N290" s="13" t="n">
        <f aca="false">RawFinancials!X290</f>
        <v>0.853047862093874</v>
      </c>
      <c r="O290" s="13" t="n">
        <f aca="false">RawFinancials!V290</f>
        <v>13.5220936775833</v>
      </c>
      <c r="P290" s="13" t="n">
        <f aca="false">IF(AND(ISNUMBER(L290),L290&lt;&gt;0,ISNUMBER(M290)),100*M290/L290,"")</f>
        <v>94.3555006367851</v>
      </c>
      <c r="Q290" s="13" t="n">
        <f aca="false">IF(AND(ISNUMBER(F290),F290&lt;&gt;0,ISNUMBER(K290)),100*K290/F290,"")</f>
        <v>10.1911182814236</v>
      </c>
      <c r="R290" s="11" t="b">
        <f aca="false">AND(ISNUMBER(F290),F290&gt;0,ISNUMBER(G290),G290&gt;=0,ISNUMBER(H290),H290&gt;=0)</f>
        <v>1</v>
      </c>
      <c r="S290" s="13" t="n">
        <f aca="false">IF(R290,100*I290/F290,"")</f>
        <v>0.0411055147256136</v>
      </c>
      <c r="T290" s="11" t="b">
        <f aca="false">NOT(AND(OR(AND(ISBLANK(RawFinancials!B290),ISBLANK(_RawBaseline!B287)),AND(ISNUMBER(RawFinancials!B290),ISNUMBER(_RawBaseline!B287),RawFinancials!B290=_RawBaseline!B287)),OR(AND(ISBLANK(RawFinancials!U290),ISBLANK(_RawBaseline!U287)),AND(ISNUMBER(RawFinancials!U290),ISNUMBER(_RawBaseline!U287),RawFinancials!U290=_RawBaseline!U287)),OR(AND(ISBLANK(RawFinancials!O290),ISBLANK(_RawBaseline!O287)),AND(ISNUMBER(RawFinancials!O290),ISNUMBER(_RawBaseline!O287),RawFinancials!O290=_RawBaseline!O287))))</f>
        <v>0</v>
      </c>
      <c r="U290" s="13" t="n">
        <f aca="false">IF(AND(D290=WF_START_PERIOD,R290,COUNTIFS($B$5:$B$750,B290,$D$5:$D$750,WF_END_PERIOD,$R$5:$R$750,TRUE())&gt;0),SUMIFS($S$5:$S$750,$B$5:$B$750,B290,$D$5:$D$750,WF_END_PERIOD,$R$5:$R$750,TRUE()),0)</f>
        <v>0</v>
      </c>
      <c r="V290" s="0" t="str">
        <f aca="false">IF(AND(D290=WF_START_PERIOD,COUNTIFS($B$5:$B$750,B290,$D$5:$D$750,WF_END_PERIOD)&gt;0),INDEX($E$5:$E$750,MATCH(B290&amp;"|"&amp;WF_END_PERIOD,$AC$5:$AC$750,0)),"")</f>
        <v/>
      </c>
      <c r="W290" s="11" t="b">
        <f aca="false">COUNTIFS($B$5:$B$750,B290,$D$5:$D$750,WF_START_PERIOD,$R$5:$R$750,TRUE())&gt;0</f>
        <v>1</v>
      </c>
      <c r="X290" s="11" t="b">
        <f aca="false">COUNTIFS($B$5:$B$750,B290,$D$5:$D$750,WF_END_PERIOD,$R$5:$R$750,TRUE())&gt;0</f>
        <v>1</v>
      </c>
      <c r="Y290" s="0" t="str">
        <f aca="false">IF(AND(D290=WF_END_PERIOD,COUNTIFS($B$5:$B$750,B290,$D$5:$D$750,WF_START_PERIOD)&gt;0),INDEX($E$5:$E$750,MATCH(B290&amp;"|"&amp;WF_START_PERIOD,$AC$5:$AC$750,0)),"")</f>
        <v/>
      </c>
      <c r="Z290" s="0" t="str">
        <f aca="false">IF(AND(D290=WF_END_PERIOD,R290),1+COUNTIFS($D$5:$D$750,WF_END_PERIOD,$E$5:$E$750,E290,$R$5:$R$750,TRUE(),$S$5:$S$750,"&gt;"&amp;S290)+COUNTIFS($D$5:$D$750,WF_END_PERIOD,$E$5:$E$750,E290,$R$5:$R$750,TRUE(),$S$5:$S$750,S290,$B$5:$B$750,"&lt;"&amp;B290),"")</f>
        <v/>
      </c>
      <c r="AA290" s="0" t="str">
        <f aca="false">IF(AND(D290=WF_END_PERIOD,R290,Z290&lt;&gt;1),1+COUNTIFS($D$5:$D$750,WF_END_PERIOD,$R$5:$R$750,TRUE(),$Z$5:$Z$750,"&lt;&gt;1",$S$5:$S$750,"&gt;"&amp;S290)+COUNTIFS($D$5:$D$750,WF_END_PERIOD,$R$5:$R$750,TRUE(),$Z$5:$Z$750,"&lt;&gt;1",$S$5:$S$750,S290,$B$5:$B$750,"&lt;"&amp;B290),"")</f>
        <v/>
      </c>
      <c r="AB290" s="11" t="b">
        <f aca="false">OR(D290=WF_START_PERIOD,D290=WF_END_PERIOD)</f>
        <v>0</v>
      </c>
      <c r="AC290" s="0" t="str">
        <f aca="false">B290&amp;"|"&amp;D290</f>
        <v>18012|20230630</v>
      </c>
    </row>
    <row r="291" customFormat="false" ht="15" hidden="false" customHeight="false" outlineLevel="0" collapsed="false">
      <c r="A291" s="0" t="n">
        <f aca="false">RawFinancials!A291</f>
        <v>288</v>
      </c>
      <c r="B291" s="0" t="n">
        <f aca="false">RawFinancials!C291</f>
        <v>18013</v>
      </c>
      <c r="C291" s="0" t="str">
        <f aca="false">RawFinancials!P291</f>
        <v>MASCOMA BANK</v>
      </c>
      <c r="D291" s="0" t="n">
        <f aca="false">RawFinancials!W291</f>
        <v>20230630</v>
      </c>
      <c r="E291" s="0" t="str">
        <f aca="false">RawFinancials!Z291</f>
        <v>NH</v>
      </c>
      <c r="F291" s="0" t="n">
        <f aca="false">RawFinancials!B291</f>
        <v>2835749</v>
      </c>
      <c r="G291" s="0" t="n">
        <f aca="false">RawFinancials!U291</f>
        <v>19</v>
      </c>
      <c r="H291" s="0" t="n">
        <f aca="false">RawFinancials!O291</f>
        <v>1133</v>
      </c>
      <c r="I291" s="0" t="n">
        <f aca="false">IF(AND(ISNUMBER(G291),ISNUMBER(H291)),G291+H291,"")</f>
        <v>1152</v>
      </c>
      <c r="J291" s="0" t="n">
        <f aca="false">RawFinancials!D291</f>
        <v>2403310</v>
      </c>
      <c r="K291" s="0" t="n">
        <f aca="false">RawFinancials!F291</f>
        <v>211459</v>
      </c>
      <c r="L291" s="0" t="n">
        <f aca="false">RawFinancials!L291</f>
        <v>2261511</v>
      </c>
      <c r="M291" s="0" t="n">
        <f aca="false">RawFinancials!N291</f>
        <v>2073740</v>
      </c>
      <c r="N291" s="13" t="n">
        <f aca="false">RawFinancials!X291</f>
        <v>0.458533603033476</v>
      </c>
      <c r="O291" s="13" t="n">
        <f aca="false">RawFinancials!V291</f>
        <v>13.0579757124412</v>
      </c>
      <c r="P291" s="13" t="n">
        <f aca="false">IF(AND(ISNUMBER(L291),L291&lt;&gt;0,ISNUMBER(M291)),100*M291/L291,"")</f>
        <v>91.6970998593418</v>
      </c>
      <c r="Q291" s="13" t="n">
        <f aca="false">IF(AND(ISNUMBER(F291),F291&lt;&gt;0,ISNUMBER(K291)),100*K291/F291,"")</f>
        <v>7.45690115733092</v>
      </c>
      <c r="R291" s="11" t="b">
        <f aca="false">AND(ISNUMBER(F291),F291&gt;0,ISNUMBER(G291),G291&gt;=0,ISNUMBER(H291),H291&gt;=0)</f>
        <v>1</v>
      </c>
      <c r="S291" s="13" t="n">
        <f aca="false">IF(R291,100*I291/F291,"")</f>
        <v>0.040624187824804</v>
      </c>
      <c r="T291" s="11" t="b">
        <f aca="false">NOT(AND(OR(AND(ISBLANK(RawFinancials!B291),ISBLANK(_RawBaseline!B288)),AND(ISNUMBER(RawFinancials!B291),ISNUMBER(_RawBaseline!B288),RawFinancials!B291=_RawBaseline!B288)),OR(AND(ISBLANK(RawFinancials!U291),ISBLANK(_RawBaseline!U288)),AND(ISNUMBER(RawFinancials!U291),ISNUMBER(_RawBaseline!U288),RawFinancials!U291=_RawBaseline!U288)),OR(AND(ISBLANK(RawFinancials!O291),ISBLANK(_RawBaseline!O288)),AND(ISNUMBER(RawFinancials!O291),ISNUMBER(_RawBaseline!O288),RawFinancials!O291=_RawBaseline!O288))))</f>
        <v>0</v>
      </c>
      <c r="U291" s="13" t="n">
        <f aca="false">IF(AND(D291=WF_START_PERIOD,R291,COUNTIFS($B$5:$B$750,B291,$D$5:$D$750,WF_END_PERIOD,$R$5:$R$750,TRUE())&gt;0),SUMIFS($S$5:$S$750,$B$5:$B$750,B291,$D$5:$D$750,WF_END_PERIOD,$R$5:$R$750,TRUE()),0)</f>
        <v>0</v>
      </c>
      <c r="V291" s="0" t="str">
        <f aca="false">IF(AND(D291=WF_START_PERIOD,COUNTIFS($B$5:$B$750,B291,$D$5:$D$750,WF_END_PERIOD)&gt;0),INDEX($E$5:$E$750,MATCH(B291&amp;"|"&amp;WF_END_PERIOD,$AC$5:$AC$750,0)),"")</f>
        <v/>
      </c>
      <c r="W291" s="11" t="b">
        <f aca="false">COUNTIFS($B$5:$B$750,B291,$D$5:$D$750,WF_START_PERIOD,$R$5:$R$750,TRUE())&gt;0</f>
        <v>1</v>
      </c>
      <c r="X291" s="11" t="b">
        <f aca="false">COUNTIFS($B$5:$B$750,B291,$D$5:$D$750,WF_END_PERIOD,$R$5:$R$750,TRUE())&gt;0</f>
        <v>1</v>
      </c>
      <c r="Y291" s="0" t="str">
        <f aca="false">IF(AND(D291=WF_END_PERIOD,COUNTIFS($B$5:$B$750,B291,$D$5:$D$750,WF_START_PERIOD)&gt;0),INDEX($E$5:$E$750,MATCH(B291&amp;"|"&amp;WF_START_PERIOD,$AC$5:$AC$750,0)),"")</f>
        <v/>
      </c>
      <c r="Z291" s="0" t="str">
        <f aca="false">IF(AND(D291=WF_END_PERIOD,R291),1+COUNTIFS($D$5:$D$750,WF_END_PERIOD,$E$5:$E$750,E291,$R$5:$R$750,TRUE(),$S$5:$S$750,"&gt;"&amp;S291)+COUNTIFS($D$5:$D$750,WF_END_PERIOD,$E$5:$E$750,E291,$R$5:$R$750,TRUE(),$S$5:$S$750,S291,$B$5:$B$750,"&lt;"&amp;B291),"")</f>
        <v/>
      </c>
      <c r="AA291" s="0" t="str">
        <f aca="false">IF(AND(D291=WF_END_PERIOD,R291,Z291&lt;&gt;1),1+COUNTIFS($D$5:$D$750,WF_END_PERIOD,$R$5:$R$750,TRUE(),$Z$5:$Z$750,"&lt;&gt;1",$S$5:$S$750,"&gt;"&amp;S291)+COUNTIFS($D$5:$D$750,WF_END_PERIOD,$R$5:$R$750,TRUE(),$Z$5:$Z$750,"&lt;&gt;1",$S$5:$S$750,S291,$B$5:$B$750,"&lt;"&amp;B291),"")</f>
        <v/>
      </c>
      <c r="AB291" s="11" t="b">
        <f aca="false">OR(D291=WF_START_PERIOD,D291=WF_END_PERIOD)</f>
        <v>0</v>
      </c>
      <c r="AC291" s="0" t="str">
        <f aca="false">B291&amp;"|"&amp;D291</f>
        <v>18013|20230630</v>
      </c>
    </row>
    <row r="292" customFormat="false" ht="15" hidden="false" customHeight="false" outlineLevel="0" collapsed="false">
      <c r="A292" s="0" t="n">
        <f aca="false">RawFinancials!A292</f>
        <v>289</v>
      </c>
      <c r="B292" s="0" t="n">
        <f aca="false">RawFinancials!C292</f>
        <v>18028</v>
      </c>
      <c r="C292" s="0" t="str">
        <f aca="false">RawFinancials!P292</f>
        <v>SUGAR RIVER BANK</v>
      </c>
      <c r="D292" s="0" t="n">
        <f aca="false">RawFinancials!W292</f>
        <v>20230630</v>
      </c>
      <c r="E292" s="0" t="str">
        <f aca="false">RawFinancials!Z292</f>
        <v>NH</v>
      </c>
      <c r="F292" s="0" t="n">
        <f aca="false">RawFinancials!B292</f>
        <v>385140</v>
      </c>
      <c r="G292" s="0" t="n">
        <f aca="false">RawFinancials!U292</f>
        <v>20</v>
      </c>
      <c r="H292" s="0" t="n">
        <f aca="false">RawFinancials!O292</f>
        <v>855</v>
      </c>
      <c r="I292" s="0" t="n">
        <f aca="false">IF(AND(ISNUMBER(G292),ISNUMBER(H292)),G292+H292,"")</f>
        <v>875</v>
      </c>
      <c r="J292" s="0" t="n">
        <f aca="false">RawFinancials!D292</f>
        <v>318025</v>
      </c>
      <c r="K292" s="0" t="n">
        <f aca="false">RawFinancials!F292</f>
        <v>37896</v>
      </c>
      <c r="L292" s="0" t="n">
        <f aca="false">RawFinancials!L292</f>
        <v>257736</v>
      </c>
      <c r="M292" s="0" t="n">
        <f aca="false">RawFinancials!N292</f>
        <v>228527</v>
      </c>
      <c r="N292" s="13" t="n">
        <f aca="false">RawFinancials!X292</f>
        <v>0.575288643086549</v>
      </c>
      <c r="O292" s="13" t="n">
        <f aca="false">RawFinancials!V292</f>
        <v>0</v>
      </c>
      <c r="P292" s="13" t="n">
        <f aca="false">IF(AND(ISNUMBER(L292),L292&lt;&gt;0,ISNUMBER(M292)),100*M292/L292,"")</f>
        <v>88.6670857000962</v>
      </c>
      <c r="Q292" s="13" t="n">
        <f aca="false">IF(AND(ISNUMBER(F292),F292&lt;&gt;0,ISNUMBER(K292)),100*K292/F292,"")</f>
        <v>9.83953886898271</v>
      </c>
      <c r="R292" s="11" t="b">
        <f aca="false">AND(ISNUMBER(F292),F292&gt;0,ISNUMBER(G292),G292&gt;=0,ISNUMBER(H292),H292&gt;=0)</f>
        <v>1</v>
      </c>
      <c r="S292" s="13" t="n">
        <f aca="false">IF(R292,100*I292/F292,"")</f>
        <v>0.227190112686296</v>
      </c>
      <c r="T292" s="11" t="b">
        <f aca="false">NOT(AND(OR(AND(ISBLANK(RawFinancials!B292),ISBLANK(_RawBaseline!B289)),AND(ISNUMBER(RawFinancials!B292),ISNUMBER(_RawBaseline!B289),RawFinancials!B292=_RawBaseline!B289)),OR(AND(ISBLANK(RawFinancials!U292),ISBLANK(_RawBaseline!U289)),AND(ISNUMBER(RawFinancials!U292),ISNUMBER(_RawBaseline!U289),RawFinancials!U292=_RawBaseline!U289)),OR(AND(ISBLANK(RawFinancials!O292),ISBLANK(_RawBaseline!O289)),AND(ISNUMBER(RawFinancials!O292),ISNUMBER(_RawBaseline!O289),RawFinancials!O292=_RawBaseline!O289))))</f>
        <v>0</v>
      </c>
      <c r="U292" s="13" t="n">
        <f aca="false">IF(AND(D292=WF_START_PERIOD,R292,COUNTIFS($B$5:$B$750,B292,$D$5:$D$750,WF_END_PERIOD,$R$5:$R$750,TRUE())&gt;0),SUMIFS($S$5:$S$750,$B$5:$B$750,B292,$D$5:$D$750,WF_END_PERIOD,$R$5:$R$750,TRUE()),0)</f>
        <v>0</v>
      </c>
      <c r="V292" s="0" t="str">
        <f aca="false">IF(AND(D292=WF_START_PERIOD,COUNTIFS($B$5:$B$750,B292,$D$5:$D$750,WF_END_PERIOD)&gt;0),INDEX($E$5:$E$750,MATCH(B292&amp;"|"&amp;WF_END_PERIOD,$AC$5:$AC$750,0)),"")</f>
        <v/>
      </c>
      <c r="W292" s="11" t="b">
        <f aca="false">COUNTIFS($B$5:$B$750,B292,$D$5:$D$750,WF_START_PERIOD,$R$5:$R$750,TRUE())&gt;0</f>
        <v>1</v>
      </c>
      <c r="X292" s="11" t="b">
        <f aca="false">COUNTIFS($B$5:$B$750,B292,$D$5:$D$750,WF_END_PERIOD,$R$5:$R$750,TRUE())&gt;0</f>
        <v>1</v>
      </c>
      <c r="Y292" s="0" t="str">
        <f aca="false">IF(AND(D292=WF_END_PERIOD,COUNTIFS($B$5:$B$750,B292,$D$5:$D$750,WF_START_PERIOD)&gt;0),INDEX($E$5:$E$750,MATCH(B292&amp;"|"&amp;WF_START_PERIOD,$AC$5:$AC$750,0)),"")</f>
        <v/>
      </c>
      <c r="Z292" s="0" t="str">
        <f aca="false">IF(AND(D292=WF_END_PERIOD,R292),1+COUNTIFS($D$5:$D$750,WF_END_PERIOD,$E$5:$E$750,E292,$R$5:$R$750,TRUE(),$S$5:$S$750,"&gt;"&amp;S292)+COUNTIFS($D$5:$D$750,WF_END_PERIOD,$E$5:$E$750,E292,$R$5:$R$750,TRUE(),$S$5:$S$750,S292,$B$5:$B$750,"&lt;"&amp;B292),"")</f>
        <v/>
      </c>
      <c r="AA292" s="0" t="str">
        <f aca="false">IF(AND(D292=WF_END_PERIOD,R292,Z292&lt;&gt;1),1+COUNTIFS($D$5:$D$750,WF_END_PERIOD,$R$5:$R$750,TRUE(),$Z$5:$Z$750,"&lt;&gt;1",$S$5:$S$750,"&gt;"&amp;S292)+COUNTIFS($D$5:$D$750,WF_END_PERIOD,$R$5:$R$750,TRUE(),$Z$5:$Z$750,"&lt;&gt;1",$S$5:$S$750,S292,$B$5:$B$750,"&lt;"&amp;B292),"")</f>
        <v/>
      </c>
      <c r="AB292" s="11" t="b">
        <f aca="false">OR(D292=WF_START_PERIOD,D292=WF_END_PERIOD)</f>
        <v>0</v>
      </c>
      <c r="AC292" s="0" t="str">
        <f aca="false">B292&amp;"|"&amp;D292</f>
        <v>18028|20230630</v>
      </c>
    </row>
    <row r="293" customFormat="false" ht="15" hidden="false" customHeight="false" outlineLevel="0" collapsed="false">
      <c r="A293" s="0" t="n">
        <f aca="false">RawFinancials!A293</f>
        <v>290</v>
      </c>
      <c r="B293" s="0" t="n">
        <f aca="false">RawFinancials!C293</f>
        <v>18030</v>
      </c>
      <c r="C293" s="0" t="str">
        <f aca="false">RawFinancials!P293</f>
        <v>SAVINGS BANK OF WALPOLE</v>
      </c>
      <c r="D293" s="0" t="n">
        <f aca="false">RawFinancials!W293</f>
        <v>20230630</v>
      </c>
      <c r="E293" s="0" t="str">
        <f aca="false">RawFinancials!Z293</f>
        <v>NH</v>
      </c>
      <c r="F293" s="0" t="n">
        <f aca="false">RawFinancials!B293</f>
        <v>736677</v>
      </c>
      <c r="G293" s="0" t="n">
        <f aca="false">RawFinancials!U293</f>
        <v>0</v>
      </c>
      <c r="H293" s="0" t="n">
        <f aca="false">RawFinancials!O293</f>
        <v>490</v>
      </c>
      <c r="I293" s="0" t="n">
        <f aca="false">IF(AND(ISNUMBER(G293),ISNUMBER(H293)),G293+H293,"")</f>
        <v>490</v>
      </c>
      <c r="J293" s="0" t="n">
        <f aca="false">RawFinancials!D293</f>
        <v>664243</v>
      </c>
      <c r="K293" s="0" t="n">
        <f aca="false">RawFinancials!F293</f>
        <v>44564</v>
      </c>
      <c r="L293" s="0" t="n">
        <f aca="false">RawFinancials!L293</f>
        <v>586930</v>
      </c>
      <c r="M293" s="0" t="n">
        <f aca="false">RawFinancials!N293</f>
        <v>449340</v>
      </c>
      <c r="N293" s="13" t="n">
        <f aca="false">RawFinancials!X293</f>
        <v>0.584769402386572</v>
      </c>
      <c r="O293" s="13" t="n">
        <f aca="false">RawFinancials!V293</f>
        <v>12.5009957508155</v>
      </c>
      <c r="P293" s="13" t="n">
        <f aca="false">IF(AND(ISNUMBER(L293),L293&lt;&gt;0,ISNUMBER(M293)),100*M293/L293,"")</f>
        <v>76.5576814952379</v>
      </c>
      <c r="Q293" s="13" t="n">
        <f aca="false">IF(AND(ISNUMBER(F293),F293&lt;&gt;0,ISNUMBER(K293)),100*K293/F293,"")</f>
        <v>6.04932690989402</v>
      </c>
      <c r="R293" s="11" t="b">
        <f aca="false">AND(ISNUMBER(F293),F293&gt;0,ISNUMBER(G293),G293&gt;=0,ISNUMBER(H293),H293&gt;=0)</f>
        <v>1</v>
      </c>
      <c r="S293" s="13" t="n">
        <f aca="false">IF(R293,100*I293/F293,"")</f>
        <v>0.0665149040895807</v>
      </c>
      <c r="T293" s="11" t="b">
        <f aca="false">NOT(AND(OR(AND(ISBLANK(RawFinancials!B293),ISBLANK(_RawBaseline!B290)),AND(ISNUMBER(RawFinancials!B293),ISNUMBER(_RawBaseline!B290),RawFinancials!B293=_RawBaseline!B290)),OR(AND(ISBLANK(RawFinancials!U293),ISBLANK(_RawBaseline!U290)),AND(ISNUMBER(RawFinancials!U293),ISNUMBER(_RawBaseline!U290),RawFinancials!U293=_RawBaseline!U290)),OR(AND(ISBLANK(RawFinancials!O293),ISBLANK(_RawBaseline!O290)),AND(ISNUMBER(RawFinancials!O293),ISNUMBER(_RawBaseline!O290),RawFinancials!O293=_RawBaseline!O290))))</f>
        <v>0</v>
      </c>
      <c r="U293" s="13" t="n">
        <f aca="false">IF(AND(D293=WF_START_PERIOD,R293,COUNTIFS($B$5:$B$750,B293,$D$5:$D$750,WF_END_PERIOD,$R$5:$R$750,TRUE())&gt;0),SUMIFS($S$5:$S$750,$B$5:$B$750,B293,$D$5:$D$750,WF_END_PERIOD,$R$5:$R$750,TRUE()),0)</f>
        <v>0</v>
      </c>
      <c r="V293" s="0" t="str">
        <f aca="false">IF(AND(D293=WF_START_PERIOD,COUNTIFS($B$5:$B$750,B293,$D$5:$D$750,WF_END_PERIOD)&gt;0),INDEX($E$5:$E$750,MATCH(B293&amp;"|"&amp;WF_END_PERIOD,$AC$5:$AC$750,0)),"")</f>
        <v/>
      </c>
      <c r="W293" s="11" t="b">
        <f aca="false">COUNTIFS($B$5:$B$750,B293,$D$5:$D$750,WF_START_PERIOD,$R$5:$R$750,TRUE())&gt;0</f>
        <v>1</v>
      </c>
      <c r="X293" s="11" t="b">
        <f aca="false">COUNTIFS($B$5:$B$750,B293,$D$5:$D$750,WF_END_PERIOD,$R$5:$R$750,TRUE())&gt;0</f>
        <v>1</v>
      </c>
      <c r="Y293" s="0" t="str">
        <f aca="false">IF(AND(D293=WF_END_PERIOD,COUNTIFS($B$5:$B$750,B293,$D$5:$D$750,WF_START_PERIOD)&gt;0),INDEX($E$5:$E$750,MATCH(B293&amp;"|"&amp;WF_START_PERIOD,$AC$5:$AC$750,0)),"")</f>
        <v/>
      </c>
      <c r="Z293" s="0" t="str">
        <f aca="false">IF(AND(D293=WF_END_PERIOD,R293),1+COUNTIFS($D$5:$D$750,WF_END_PERIOD,$E$5:$E$750,E293,$R$5:$R$750,TRUE(),$S$5:$S$750,"&gt;"&amp;S293)+COUNTIFS($D$5:$D$750,WF_END_PERIOD,$E$5:$E$750,E293,$R$5:$R$750,TRUE(),$S$5:$S$750,S293,$B$5:$B$750,"&lt;"&amp;B293),"")</f>
        <v/>
      </c>
      <c r="AA293" s="0" t="str">
        <f aca="false">IF(AND(D293=WF_END_PERIOD,R293,Z293&lt;&gt;1),1+COUNTIFS($D$5:$D$750,WF_END_PERIOD,$R$5:$R$750,TRUE(),$Z$5:$Z$750,"&lt;&gt;1",$S$5:$S$750,"&gt;"&amp;S293)+COUNTIFS($D$5:$D$750,WF_END_PERIOD,$R$5:$R$750,TRUE(),$Z$5:$Z$750,"&lt;&gt;1",$S$5:$S$750,S293,$B$5:$B$750,"&lt;"&amp;B293),"")</f>
        <v/>
      </c>
      <c r="AB293" s="11" t="b">
        <f aca="false">OR(D293=WF_START_PERIOD,D293=WF_END_PERIOD)</f>
        <v>0</v>
      </c>
      <c r="AC293" s="0" t="str">
        <f aca="false">B293&amp;"|"&amp;D293</f>
        <v>18030|20230630</v>
      </c>
    </row>
    <row r="294" customFormat="false" ht="15" hidden="false" customHeight="false" outlineLevel="0" collapsed="false">
      <c r="A294" s="0" t="n">
        <f aca="false">RawFinancials!A294</f>
        <v>291</v>
      </c>
      <c r="B294" s="0" t="n">
        <f aca="false">RawFinancials!C294</f>
        <v>18031</v>
      </c>
      <c r="C294" s="0" t="str">
        <f aca="false">RawFinancials!P294</f>
        <v>WOODSVILLE GUARANTY SAVINGS BANK</v>
      </c>
      <c r="D294" s="0" t="n">
        <f aca="false">RawFinancials!W294</f>
        <v>20230630</v>
      </c>
      <c r="E294" s="0" t="str">
        <f aca="false">RawFinancials!Z294</f>
        <v>NH</v>
      </c>
      <c r="F294" s="0" t="n">
        <f aca="false">RawFinancials!B294</f>
        <v>686908</v>
      </c>
      <c r="G294" s="0" t="n">
        <f aca="false">RawFinancials!U294</f>
        <v>0</v>
      </c>
      <c r="H294" s="0" t="n">
        <f aca="false">RawFinancials!O294</f>
        <v>1022</v>
      </c>
      <c r="I294" s="0" t="n">
        <f aca="false">IF(AND(ISNUMBER(G294),ISNUMBER(H294)),G294+H294,"")</f>
        <v>1022</v>
      </c>
      <c r="J294" s="0" t="n">
        <f aca="false">RawFinancials!D294</f>
        <v>578969</v>
      </c>
      <c r="K294" s="0" t="n">
        <f aca="false">RawFinancials!F294</f>
        <v>36036</v>
      </c>
      <c r="L294" s="0" t="n">
        <f aca="false">RawFinancials!L294</f>
        <v>480187</v>
      </c>
      <c r="M294" s="0" t="n">
        <f aca="false">RawFinancials!N294</f>
        <v>433545</v>
      </c>
      <c r="N294" s="13" t="n">
        <f aca="false">RawFinancials!X294</f>
        <v>0.289913659428378</v>
      </c>
      <c r="O294" s="13" t="n">
        <f aca="false">RawFinancials!V294</f>
        <v>16.120512261208</v>
      </c>
      <c r="P294" s="13" t="n">
        <f aca="false">IF(AND(ISNUMBER(L294),L294&lt;&gt;0,ISNUMBER(M294)),100*M294/L294,"")</f>
        <v>90.2867008061443</v>
      </c>
      <c r="Q294" s="13" t="n">
        <f aca="false">IF(AND(ISNUMBER(F294),F294&lt;&gt;0,ISNUMBER(K294)),100*K294/F294,"")</f>
        <v>5.24611738398738</v>
      </c>
      <c r="R294" s="11" t="b">
        <f aca="false">AND(ISNUMBER(F294),F294&gt;0,ISNUMBER(G294),G294&gt;=0,ISNUMBER(H294),H294&gt;=0)</f>
        <v>1</v>
      </c>
      <c r="S294" s="13" t="n">
        <f aca="false">IF(R294,100*I294/F294,"")</f>
        <v>0.148782660851235</v>
      </c>
      <c r="T294" s="11" t="b">
        <f aca="false">NOT(AND(OR(AND(ISBLANK(RawFinancials!B294),ISBLANK(_RawBaseline!B291)),AND(ISNUMBER(RawFinancials!B294),ISNUMBER(_RawBaseline!B291),RawFinancials!B294=_RawBaseline!B291)),OR(AND(ISBLANK(RawFinancials!U294),ISBLANK(_RawBaseline!U291)),AND(ISNUMBER(RawFinancials!U294),ISNUMBER(_RawBaseline!U291),RawFinancials!U294=_RawBaseline!U291)),OR(AND(ISBLANK(RawFinancials!O294),ISBLANK(_RawBaseline!O291)),AND(ISNUMBER(RawFinancials!O294),ISNUMBER(_RawBaseline!O291),RawFinancials!O294=_RawBaseline!O291))))</f>
        <v>0</v>
      </c>
      <c r="U294" s="13" t="n">
        <f aca="false">IF(AND(D294=WF_START_PERIOD,R294,COUNTIFS($B$5:$B$750,B294,$D$5:$D$750,WF_END_PERIOD,$R$5:$R$750,TRUE())&gt;0),SUMIFS($S$5:$S$750,$B$5:$B$750,B294,$D$5:$D$750,WF_END_PERIOD,$R$5:$R$750,TRUE()),0)</f>
        <v>0</v>
      </c>
      <c r="V294" s="0" t="str">
        <f aca="false">IF(AND(D294=WF_START_PERIOD,COUNTIFS($B$5:$B$750,B294,$D$5:$D$750,WF_END_PERIOD)&gt;0),INDEX($E$5:$E$750,MATCH(B294&amp;"|"&amp;WF_END_PERIOD,$AC$5:$AC$750,0)),"")</f>
        <v/>
      </c>
      <c r="W294" s="11" t="b">
        <f aca="false">COUNTIFS($B$5:$B$750,B294,$D$5:$D$750,WF_START_PERIOD,$R$5:$R$750,TRUE())&gt;0</f>
        <v>1</v>
      </c>
      <c r="X294" s="11" t="b">
        <f aca="false">COUNTIFS($B$5:$B$750,B294,$D$5:$D$750,WF_END_PERIOD,$R$5:$R$750,TRUE())&gt;0</f>
        <v>1</v>
      </c>
      <c r="Y294" s="0" t="str">
        <f aca="false">IF(AND(D294=WF_END_PERIOD,COUNTIFS($B$5:$B$750,B294,$D$5:$D$750,WF_START_PERIOD)&gt;0),INDEX($E$5:$E$750,MATCH(B294&amp;"|"&amp;WF_START_PERIOD,$AC$5:$AC$750,0)),"")</f>
        <v/>
      </c>
      <c r="Z294" s="0" t="str">
        <f aca="false">IF(AND(D294=WF_END_PERIOD,R294),1+COUNTIFS($D$5:$D$750,WF_END_PERIOD,$E$5:$E$750,E294,$R$5:$R$750,TRUE(),$S$5:$S$750,"&gt;"&amp;S294)+COUNTIFS($D$5:$D$750,WF_END_PERIOD,$E$5:$E$750,E294,$R$5:$R$750,TRUE(),$S$5:$S$750,S294,$B$5:$B$750,"&lt;"&amp;B294),"")</f>
        <v/>
      </c>
      <c r="AA294" s="0" t="str">
        <f aca="false">IF(AND(D294=WF_END_PERIOD,R294,Z294&lt;&gt;1),1+COUNTIFS($D$5:$D$750,WF_END_PERIOD,$R$5:$R$750,TRUE(),$Z$5:$Z$750,"&lt;&gt;1",$S$5:$S$750,"&gt;"&amp;S294)+COUNTIFS($D$5:$D$750,WF_END_PERIOD,$R$5:$R$750,TRUE(),$Z$5:$Z$750,"&lt;&gt;1",$S$5:$S$750,S294,$B$5:$B$750,"&lt;"&amp;B294),"")</f>
        <v/>
      </c>
      <c r="AB294" s="11" t="b">
        <f aca="false">OR(D294=WF_START_PERIOD,D294=WF_END_PERIOD)</f>
        <v>0</v>
      </c>
      <c r="AC294" s="0" t="str">
        <f aca="false">B294&amp;"|"&amp;D294</f>
        <v>18031|20230630</v>
      </c>
    </row>
    <row r="295" customFormat="false" ht="15" hidden="false" customHeight="false" outlineLevel="0" collapsed="false">
      <c r="A295" s="0" t="n">
        <f aca="false">RawFinancials!A295</f>
        <v>292</v>
      </c>
      <c r="B295" s="0" t="n">
        <f aca="false">RawFinancials!C295</f>
        <v>18038</v>
      </c>
      <c r="C295" s="0" t="str">
        <f aca="false">RawFinancials!P295</f>
        <v>CLAREMONT SAVINGS BANK</v>
      </c>
      <c r="D295" s="0" t="n">
        <f aca="false">RawFinancials!W295</f>
        <v>20230630</v>
      </c>
      <c r="E295" s="0" t="str">
        <f aca="false">RawFinancials!Z295</f>
        <v>NH</v>
      </c>
      <c r="F295" s="0" t="n">
        <f aca="false">RawFinancials!B295</f>
        <v>548920</v>
      </c>
      <c r="G295" s="0" t="n">
        <f aca="false">RawFinancials!U295</f>
        <v>0</v>
      </c>
      <c r="H295" s="0" t="n">
        <f aca="false">RawFinancials!O295</f>
        <v>2268</v>
      </c>
      <c r="I295" s="0" t="n">
        <f aca="false">IF(AND(ISNUMBER(G295),ISNUMBER(H295)),G295+H295,"")</f>
        <v>2268</v>
      </c>
      <c r="J295" s="0" t="n">
        <f aca="false">RawFinancials!D295</f>
        <v>429568</v>
      </c>
      <c r="K295" s="0" t="n">
        <f aca="false">RawFinancials!F295</f>
        <v>65364</v>
      </c>
      <c r="L295" s="0" t="n">
        <f aca="false">RawFinancials!L295</f>
        <v>420009</v>
      </c>
      <c r="M295" s="0" t="n">
        <f aca="false">RawFinancials!N295</f>
        <v>399161</v>
      </c>
      <c r="N295" s="13" t="n">
        <f aca="false">RawFinancials!X295</f>
        <v>0.388703168329964</v>
      </c>
      <c r="O295" s="13" t="n">
        <f aca="false">RawFinancials!V295</f>
        <v>0</v>
      </c>
      <c r="P295" s="13" t="n">
        <f aca="false">IF(AND(ISNUMBER(L295),L295&lt;&gt;0,ISNUMBER(M295)),100*M295/L295,"")</f>
        <v>95.0362968412582</v>
      </c>
      <c r="Q295" s="13" t="n">
        <f aca="false">IF(AND(ISNUMBER(F295),F295&lt;&gt;0,ISNUMBER(K295)),100*K295/F295,"")</f>
        <v>11.9077461196531</v>
      </c>
      <c r="R295" s="11" t="b">
        <f aca="false">AND(ISNUMBER(F295),F295&gt;0,ISNUMBER(G295),G295&gt;=0,ISNUMBER(H295),H295&gt;=0)</f>
        <v>1</v>
      </c>
      <c r="S295" s="13" t="n">
        <f aca="false">IF(R295,100*I295/F295,"")</f>
        <v>0.413174961743059</v>
      </c>
      <c r="T295" s="11" t="b">
        <f aca="false">NOT(AND(OR(AND(ISBLANK(RawFinancials!B295),ISBLANK(_RawBaseline!B292)),AND(ISNUMBER(RawFinancials!B295),ISNUMBER(_RawBaseline!B292),RawFinancials!B295=_RawBaseline!B292)),OR(AND(ISBLANK(RawFinancials!U295),ISBLANK(_RawBaseline!U292)),AND(ISNUMBER(RawFinancials!U295),ISNUMBER(_RawBaseline!U292),RawFinancials!U295=_RawBaseline!U292)),OR(AND(ISBLANK(RawFinancials!O295),ISBLANK(_RawBaseline!O292)),AND(ISNUMBER(RawFinancials!O295),ISNUMBER(_RawBaseline!O292),RawFinancials!O295=_RawBaseline!O292))))</f>
        <v>0</v>
      </c>
      <c r="U295" s="13" t="n">
        <f aca="false">IF(AND(D295=WF_START_PERIOD,R295,COUNTIFS($B$5:$B$750,B295,$D$5:$D$750,WF_END_PERIOD,$R$5:$R$750,TRUE())&gt;0),SUMIFS($S$5:$S$750,$B$5:$B$750,B295,$D$5:$D$750,WF_END_PERIOD,$R$5:$R$750,TRUE()),0)</f>
        <v>0</v>
      </c>
      <c r="V295" s="0" t="str">
        <f aca="false">IF(AND(D295=WF_START_PERIOD,COUNTIFS($B$5:$B$750,B295,$D$5:$D$750,WF_END_PERIOD)&gt;0),INDEX($E$5:$E$750,MATCH(B295&amp;"|"&amp;WF_END_PERIOD,$AC$5:$AC$750,0)),"")</f>
        <v/>
      </c>
      <c r="W295" s="11" t="b">
        <f aca="false">COUNTIFS($B$5:$B$750,B295,$D$5:$D$750,WF_START_PERIOD,$R$5:$R$750,TRUE())&gt;0</f>
        <v>1</v>
      </c>
      <c r="X295" s="11" t="b">
        <f aca="false">COUNTIFS($B$5:$B$750,B295,$D$5:$D$750,WF_END_PERIOD,$R$5:$R$750,TRUE())&gt;0</f>
        <v>1</v>
      </c>
      <c r="Y295" s="0" t="str">
        <f aca="false">IF(AND(D295=WF_END_PERIOD,COUNTIFS($B$5:$B$750,B295,$D$5:$D$750,WF_START_PERIOD)&gt;0),INDEX($E$5:$E$750,MATCH(B295&amp;"|"&amp;WF_START_PERIOD,$AC$5:$AC$750,0)),"")</f>
        <v/>
      </c>
      <c r="Z295" s="0" t="str">
        <f aca="false">IF(AND(D295=WF_END_PERIOD,R295),1+COUNTIFS($D$5:$D$750,WF_END_PERIOD,$E$5:$E$750,E295,$R$5:$R$750,TRUE(),$S$5:$S$750,"&gt;"&amp;S295)+COUNTIFS($D$5:$D$750,WF_END_PERIOD,$E$5:$E$750,E295,$R$5:$R$750,TRUE(),$S$5:$S$750,S295,$B$5:$B$750,"&lt;"&amp;B295),"")</f>
        <v/>
      </c>
      <c r="AA295" s="0" t="str">
        <f aca="false">IF(AND(D295=WF_END_PERIOD,R295,Z295&lt;&gt;1),1+COUNTIFS($D$5:$D$750,WF_END_PERIOD,$R$5:$R$750,TRUE(),$Z$5:$Z$750,"&lt;&gt;1",$S$5:$S$750,"&gt;"&amp;S295)+COUNTIFS($D$5:$D$750,WF_END_PERIOD,$R$5:$R$750,TRUE(),$Z$5:$Z$750,"&lt;&gt;1",$S$5:$S$750,S295,$B$5:$B$750,"&lt;"&amp;B295),"")</f>
        <v/>
      </c>
      <c r="AB295" s="11" t="b">
        <f aca="false">OR(D295=WF_START_PERIOD,D295=WF_END_PERIOD)</f>
        <v>0</v>
      </c>
      <c r="AC295" s="0" t="str">
        <f aca="false">B295&amp;"|"&amp;D295</f>
        <v>18038|20230630</v>
      </c>
    </row>
    <row r="296" customFormat="false" ht="15" hidden="false" customHeight="false" outlineLevel="0" collapsed="false">
      <c r="A296" s="0" t="n">
        <f aca="false">RawFinancials!A296</f>
        <v>293</v>
      </c>
      <c r="B296" s="0" t="n">
        <f aca="false">RawFinancials!C296</f>
        <v>18408</v>
      </c>
      <c r="C296" s="0" t="str">
        <f aca="false">RawFinancials!P296</f>
        <v>BANGOR SAVINGS BANK</v>
      </c>
      <c r="D296" s="0" t="n">
        <f aca="false">RawFinancials!W296</f>
        <v>20230630</v>
      </c>
      <c r="E296" s="0" t="str">
        <f aca="false">RawFinancials!Z296</f>
        <v>ME</v>
      </c>
      <c r="F296" s="0" t="n">
        <f aca="false">RawFinancials!B296</f>
        <v>7459345</v>
      </c>
      <c r="G296" s="0" t="n">
        <f aca="false">RawFinancials!U296</f>
        <v>0</v>
      </c>
      <c r="H296" s="0" t="n">
        <f aca="false">RawFinancials!O296</f>
        <v>3474</v>
      </c>
      <c r="I296" s="0" t="n">
        <f aca="false">IF(AND(ISNUMBER(G296),ISNUMBER(H296)),G296+H296,"")</f>
        <v>3474</v>
      </c>
      <c r="J296" s="0" t="n">
        <f aca="false">RawFinancials!D296</f>
        <v>5594077</v>
      </c>
      <c r="K296" s="0" t="n">
        <f aca="false">RawFinancials!F296</f>
        <v>367424</v>
      </c>
      <c r="L296" s="0" t="n">
        <f aca="false">RawFinancials!L296</f>
        <v>4774928</v>
      </c>
      <c r="M296" s="0" t="n">
        <f aca="false">RawFinancials!N296</f>
        <v>4349363</v>
      </c>
      <c r="N296" s="13" t="n">
        <f aca="false">RawFinancials!X296</f>
        <v>0.0746320286304322</v>
      </c>
      <c r="O296" s="13" t="n">
        <f aca="false">RawFinancials!V296</f>
        <v>11.6689079054605</v>
      </c>
      <c r="P296" s="13" t="n">
        <f aca="false">IF(AND(ISNUMBER(L296),L296&lt;&gt;0,ISNUMBER(M296)),100*M296/L296,"")</f>
        <v>91.0875095917677</v>
      </c>
      <c r="Q296" s="13" t="n">
        <f aca="false">IF(AND(ISNUMBER(F296),F296&lt;&gt;0,ISNUMBER(K296)),100*K296/F296,"")</f>
        <v>4.92568717494633</v>
      </c>
      <c r="R296" s="11" t="b">
        <f aca="false">AND(ISNUMBER(F296),F296&gt;0,ISNUMBER(G296),G296&gt;=0,ISNUMBER(H296),H296&gt;=0)</f>
        <v>1</v>
      </c>
      <c r="S296" s="13" t="n">
        <f aca="false">IF(R296,100*I296/F296,"")</f>
        <v>0.0465724537476146</v>
      </c>
      <c r="T296" s="11" t="b">
        <f aca="false">NOT(AND(OR(AND(ISBLANK(RawFinancials!B296),ISBLANK(_RawBaseline!B293)),AND(ISNUMBER(RawFinancials!B296),ISNUMBER(_RawBaseline!B293),RawFinancials!B296=_RawBaseline!B293)),OR(AND(ISBLANK(RawFinancials!U296),ISBLANK(_RawBaseline!U293)),AND(ISNUMBER(RawFinancials!U296),ISNUMBER(_RawBaseline!U293),RawFinancials!U296=_RawBaseline!U293)),OR(AND(ISBLANK(RawFinancials!O296),ISBLANK(_RawBaseline!O293)),AND(ISNUMBER(RawFinancials!O296),ISNUMBER(_RawBaseline!O293),RawFinancials!O296=_RawBaseline!O293))))</f>
        <v>0</v>
      </c>
      <c r="U296" s="13" t="n">
        <f aca="false">IF(AND(D296=WF_START_PERIOD,R296,COUNTIFS($B$5:$B$750,B296,$D$5:$D$750,WF_END_PERIOD,$R$5:$R$750,TRUE())&gt;0),SUMIFS($S$5:$S$750,$B$5:$B$750,B296,$D$5:$D$750,WF_END_PERIOD,$R$5:$R$750,TRUE()),0)</f>
        <v>0</v>
      </c>
      <c r="V296" s="0" t="str">
        <f aca="false">IF(AND(D296=WF_START_PERIOD,COUNTIFS($B$5:$B$750,B296,$D$5:$D$750,WF_END_PERIOD)&gt;0),INDEX($E$5:$E$750,MATCH(B296&amp;"|"&amp;WF_END_PERIOD,$AC$5:$AC$750,0)),"")</f>
        <v/>
      </c>
      <c r="W296" s="11" t="b">
        <f aca="false">COUNTIFS($B$5:$B$750,B296,$D$5:$D$750,WF_START_PERIOD,$R$5:$R$750,TRUE())&gt;0</f>
        <v>1</v>
      </c>
      <c r="X296" s="11" t="b">
        <f aca="false">COUNTIFS($B$5:$B$750,B296,$D$5:$D$750,WF_END_PERIOD,$R$5:$R$750,TRUE())&gt;0</f>
        <v>1</v>
      </c>
      <c r="Y296" s="0" t="str">
        <f aca="false">IF(AND(D296=WF_END_PERIOD,COUNTIFS($B$5:$B$750,B296,$D$5:$D$750,WF_START_PERIOD)&gt;0),INDEX($E$5:$E$750,MATCH(B296&amp;"|"&amp;WF_START_PERIOD,$AC$5:$AC$750,0)),"")</f>
        <v/>
      </c>
      <c r="Z296" s="0" t="str">
        <f aca="false">IF(AND(D296=WF_END_PERIOD,R296),1+COUNTIFS($D$5:$D$750,WF_END_PERIOD,$E$5:$E$750,E296,$R$5:$R$750,TRUE(),$S$5:$S$750,"&gt;"&amp;S296)+COUNTIFS($D$5:$D$750,WF_END_PERIOD,$E$5:$E$750,E296,$R$5:$R$750,TRUE(),$S$5:$S$750,S296,$B$5:$B$750,"&lt;"&amp;B296),"")</f>
        <v/>
      </c>
      <c r="AA296" s="0" t="str">
        <f aca="false">IF(AND(D296=WF_END_PERIOD,R296,Z296&lt;&gt;1),1+COUNTIFS($D$5:$D$750,WF_END_PERIOD,$R$5:$R$750,TRUE(),$Z$5:$Z$750,"&lt;&gt;1",$S$5:$S$750,"&gt;"&amp;S296)+COUNTIFS($D$5:$D$750,WF_END_PERIOD,$R$5:$R$750,TRUE(),$Z$5:$Z$750,"&lt;&gt;1",$S$5:$S$750,S296,$B$5:$B$750,"&lt;"&amp;B296),"")</f>
        <v/>
      </c>
      <c r="AB296" s="11" t="b">
        <f aca="false">OR(D296=WF_START_PERIOD,D296=WF_END_PERIOD)</f>
        <v>0</v>
      </c>
      <c r="AC296" s="0" t="str">
        <f aca="false">B296&amp;"|"&amp;D296</f>
        <v>18408|20230630</v>
      </c>
    </row>
    <row r="297" customFormat="false" ht="15" hidden="false" customHeight="false" outlineLevel="0" collapsed="false">
      <c r="A297" s="0" t="n">
        <f aca="false">RawFinancials!A297</f>
        <v>294</v>
      </c>
      <c r="B297" s="0" t="n">
        <f aca="false">RawFinancials!C297</f>
        <v>19531</v>
      </c>
      <c r="C297" s="0" t="str">
        <f aca="false">RawFinancials!P297</f>
        <v>MACHIAS SAVINGS BANK</v>
      </c>
      <c r="D297" s="0" t="n">
        <f aca="false">RawFinancials!W297</f>
        <v>20230630</v>
      </c>
      <c r="E297" s="0" t="str">
        <f aca="false">RawFinancials!Z297</f>
        <v>ME</v>
      </c>
      <c r="F297" s="0" t="n">
        <f aca="false">RawFinancials!B297</f>
        <v>2396062</v>
      </c>
      <c r="G297" s="0" t="n">
        <f aca="false">RawFinancials!U297</f>
        <v>65</v>
      </c>
      <c r="H297" s="0" t="n">
        <f aca="false">RawFinancials!O297</f>
        <v>11853</v>
      </c>
      <c r="I297" s="0" t="n">
        <f aca="false">IF(AND(ISNUMBER(G297),ISNUMBER(H297)),G297+H297,"")</f>
        <v>11918</v>
      </c>
      <c r="J297" s="0" t="n">
        <f aca="false">RawFinancials!D297</f>
        <v>1963859</v>
      </c>
      <c r="K297" s="0" t="n">
        <f aca="false">RawFinancials!F297</f>
        <v>235363</v>
      </c>
      <c r="L297" s="0" t="n">
        <f aca="false">RawFinancials!L297</f>
        <v>1948994</v>
      </c>
      <c r="M297" s="0" t="n">
        <f aca="false">RawFinancials!N297</f>
        <v>1592985</v>
      </c>
      <c r="N297" s="13" t="n">
        <f aca="false">RawFinancials!X297</f>
        <v>0.462742823520228</v>
      </c>
      <c r="O297" s="13" t="n">
        <f aca="false">RawFinancials!V297</f>
        <v>14.3314513958643</v>
      </c>
      <c r="P297" s="13" t="n">
        <f aca="false">IF(AND(ISNUMBER(L297),L297&lt;&gt;0,ISNUMBER(M297)),100*M297/L297,"")</f>
        <v>81.7337046702042</v>
      </c>
      <c r="Q297" s="13" t="n">
        <f aca="false">IF(AND(ISNUMBER(F297),F297&lt;&gt;0,ISNUMBER(K297)),100*K297/F297,"")</f>
        <v>9.82290942387968</v>
      </c>
      <c r="R297" s="11" t="b">
        <f aca="false">AND(ISNUMBER(F297),F297&gt;0,ISNUMBER(G297),G297&gt;=0,ISNUMBER(H297),H297&gt;=0)</f>
        <v>1</v>
      </c>
      <c r="S297" s="13" t="n">
        <f aca="false">IF(R297,100*I297/F297,"")</f>
        <v>0.497399482984998</v>
      </c>
      <c r="T297" s="11" t="b">
        <f aca="false">NOT(AND(OR(AND(ISBLANK(RawFinancials!B297),ISBLANK(_RawBaseline!B294)),AND(ISNUMBER(RawFinancials!B297),ISNUMBER(_RawBaseline!B294),RawFinancials!B297=_RawBaseline!B294)),OR(AND(ISBLANK(RawFinancials!U297),ISBLANK(_RawBaseline!U294)),AND(ISNUMBER(RawFinancials!U297),ISNUMBER(_RawBaseline!U294),RawFinancials!U297=_RawBaseline!U294)),OR(AND(ISBLANK(RawFinancials!O297),ISBLANK(_RawBaseline!O294)),AND(ISNUMBER(RawFinancials!O297),ISNUMBER(_RawBaseline!O294),RawFinancials!O297=_RawBaseline!O294))))</f>
        <v>0</v>
      </c>
      <c r="U297" s="13" t="n">
        <f aca="false">IF(AND(D297=WF_START_PERIOD,R297,COUNTIFS($B$5:$B$750,B297,$D$5:$D$750,WF_END_PERIOD,$R$5:$R$750,TRUE())&gt;0),SUMIFS($S$5:$S$750,$B$5:$B$750,B297,$D$5:$D$750,WF_END_PERIOD,$R$5:$R$750,TRUE()),0)</f>
        <v>0</v>
      </c>
      <c r="V297" s="0" t="str">
        <f aca="false">IF(AND(D297=WF_START_PERIOD,COUNTIFS($B$5:$B$750,B297,$D$5:$D$750,WF_END_PERIOD)&gt;0),INDEX($E$5:$E$750,MATCH(B297&amp;"|"&amp;WF_END_PERIOD,$AC$5:$AC$750,0)),"")</f>
        <v/>
      </c>
      <c r="W297" s="11" t="b">
        <f aca="false">COUNTIFS($B$5:$B$750,B297,$D$5:$D$750,WF_START_PERIOD,$R$5:$R$750,TRUE())&gt;0</f>
        <v>1</v>
      </c>
      <c r="X297" s="11" t="b">
        <f aca="false">COUNTIFS($B$5:$B$750,B297,$D$5:$D$750,WF_END_PERIOD,$R$5:$R$750,TRUE())&gt;0</f>
        <v>1</v>
      </c>
      <c r="Y297" s="0" t="str">
        <f aca="false">IF(AND(D297=WF_END_PERIOD,COUNTIFS($B$5:$B$750,B297,$D$5:$D$750,WF_START_PERIOD)&gt;0),INDEX($E$5:$E$750,MATCH(B297&amp;"|"&amp;WF_START_PERIOD,$AC$5:$AC$750,0)),"")</f>
        <v/>
      </c>
      <c r="Z297" s="0" t="str">
        <f aca="false">IF(AND(D297=WF_END_PERIOD,R297),1+COUNTIFS($D$5:$D$750,WF_END_PERIOD,$E$5:$E$750,E297,$R$5:$R$750,TRUE(),$S$5:$S$750,"&gt;"&amp;S297)+COUNTIFS($D$5:$D$750,WF_END_PERIOD,$E$5:$E$750,E297,$R$5:$R$750,TRUE(),$S$5:$S$750,S297,$B$5:$B$750,"&lt;"&amp;B297),"")</f>
        <v/>
      </c>
      <c r="AA297" s="0" t="str">
        <f aca="false">IF(AND(D297=WF_END_PERIOD,R297,Z297&lt;&gt;1),1+COUNTIFS($D$5:$D$750,WF_END_PERIOD,$R$5:$R$750,TRUE(),$Z$5:$Z$750,"&lt;&gt;1",$S$5:$S$750,"&gt;"&amp;S297)+COUNTIFS($D$5:$D$750,WF_END_PERIOD,$R$5:$R$750,TRUE(),$Z$5:$Z$750,"&lt;&gt;1",$S$5:$S$750,S297,$B$5:$B$750,"&lt;"&amp;B297),"")</f>
        <v/>
      </c>
      <c r="AB297" s="11" t="b">
        <f aca="false">OR(D297=WF_START_PERIOD,D297=WF_END_PERIOD)</f>
        <v>0</v>
      </c>
      <c r="AC297" s="0" t="str">
        <f aca="false">B297&amp;"|"&amp;D297</f>
        <v>19531|20230630</v>
      </c>
    </row>
    <row r="298" customFormat="false" ht="15" hidden="false" customHeight="false" outlineLevel="0" collapsed="false">
      <c r="A298" s="0" t="n">
        <f aca="false">RawFinancials!A298</f>
        <v>295</v>
      </c>
      <c r="B298" s="0" t="n">
        <f aca="false">RawFinancials!C298</f>
        <v>19532</v>
      </c>
      <c r="C298" s="0" t="str">
        <f aca="false">RawFinancials!P298</f>
        <v>SKOWHEGAN SAVINGS BANK</v>
      </c>
      <c r="D298" s="0" t="n">
        <f aca="false">RawFinancials!W298</f>
        <v>20230630</v>
      </c>
      <c r="E298" s="0" t="str">
        <f aca="false">RawFinancials!Z298</f>
        <v>ME</v>
      </c>
      <c r="F298" s="0" t="n">
        <f aca="false">RawFinancials!B298</f>
        <v>792753</v>
      </c>
      <c r="G298" s="0" t="n">
        <f aca="false">RawFinancials!U298</f>
        <v>14</v>
      </c>
      <c r="H298" s="0" t="n">
        <f aca="false">RawFinancials!O298</f>
        <v>876</v>
      </c>
      <c r="I298" s="0" t="n">
        <f aca="false">IF(AND(ISNUMBER(G298),ISNUMBER(H298)),G298+H298,"")</f>
        <v>890</v>
      </c>
      <c r="J298" s="0" t="n">
        <f aca="false">RawFinancials!D298</f>
        <v>647966</v>
      </c>
      <c r="K298" s="0" t="n">
        <f aca="false">RawFinancials!F298</f>
        <v>91641</v>
      </c>
      <c r="L298" s="0" t="n">
        <f aca="false">RawFinancials!L298</f>
        <v>564676</v>
      </c>
      <c r="M298" s="0" t="n">
        <f aca="false">RawFinancials!N298</f>
        <v>466819</v>
      </c>
      <c r="N298" s="13" t="n">
        <f aca="false">RawFinancials!X298</f>
        <v>0.820049398822041</v>
      </c>
      <c r="O298" s="13" t="n">
        <f aca="false">RawFinancials!V298</f>
        <v>20.7353954790339</v>
      </c>
      <c r="P298" s="13" t="n">
        <f aca="false">IF(AND(ISNUMBER(L298),L298&lt;&gt;0,ISNUMBER(M298)),100*M298/L298,"")</f>
        <v>82.6702392168252</v>
      </c>
      <c r="Q298" s="13" t="n">
        <f aca="false">IF(AND(ISNUMBER(F298),F298&lt;&gt;0,ISNUMBER(K298)),100*K298/F298,"")</f>
        <v>11.5598427252877</v>
      </c>
      <c r="R298" s="11" t="b">
        <f aca="false">AND(ISNUMBER(F298),F298&gt;0,ISNUMBER(G298),G298&gt;=0,ISNUMBER(H298),H298&gt;=0)</f>
        <v>1</v>
      </c>
      <c r="S298" s="13" t="n">
        <f aca="false">IF(R298,100*I298/F298,"")</f>
        <v>0.11226699867424</v>
      </c>
      <c r="T298" s="11" t="b">
        <f aca="false">NOT(AND(OR(AND(ISBLANK(RawFinancials!B298),ISBLANK(_RawBaseline!B295)),AND(ISNUMBER(RawFinancials!B298),ISNUMBER(_RawBaseline!B295),RawFinancials!B298=_RawBaseline!B295)),OR(AND(ISBLANK(RawFinancials!U298),ISBLANK(_RawBaseline!U295)),AND(ISNUMBER(RawFinancials!U298),ISNUMBER(_RawBaseline!U295),RawFinancials!U298=_RawBaseline!U295)),OR(AND(ISBLANK(RawFinancials!O298),ISBLANK(_RawBaseline!O295)),AND(ISNUMBER(RawFinancials!O298),ISNUMBER(_RawBaseline!O295),RawFinancials!O298=_RawBaseline!O295))))</f>
        <v>0</v>
      </c>
      <c r="U298" s="13" t="n">
        <f aca="false">IF(AND(D298=WF_START_PERIOD,R298,COUNTIFS($B$5:$B$750,B298,$D$5:$D$750,WF_END_PERIOD,$R$5:$R$750,TRUE())&gt;0),SUMIFS($S$5:$S$750,$B$5:$B$750,B298,$D$5:$D$750,WF_END_PERIOD,$R$5:$R$750,TRUE()),0)</f>
        <v>0</v>
      </c>
      <c r="V298" s="0" t="str">
        <f aca="false">IF(AND(D298=WF_START_PERIOD,COUNTIFS($B$5:$B$750,B298,$D$5:$D$750,WF_END_PERIOD)&gt;0),INDEX($E$5:$E$750,MATCH(B298&amp;"|"&amp;WF_END_PERIOD,$AC$5:$AC$750,0)),"")</f>
        <v/>
      </c>
      <c r="W298" s="11" t="b">
        <f aca="false">COUNTIFS($B$5:$B$750,B298,$D$5:$D$750,WF_START_PERIOD,$R$5:$R$750,TRUE())&gt;0</f>
        <v>1</v>
      </c>
      <c r="X298" s="11" t="b">
        <f aca="false">COUNTIFS($B$5:$B$750,B298,$D$5:$D$750,WF_END_PERIOD,$R$5:$R$750,TRUE())&gt;0</f>
        <v>1</v>
      </c>
      <c r="Y298" s="0" t="str">
        <f aca="false">IF(AND(D298=WF_END_PERIOD,COUNTIFS($B$5:$B$750,B298,$D$5:$D$750,WF_START_PERIOD)&gt;0),INDEX($E$5:$E$750,MATCH(B298&amp;"|"&amp;WF_START_PERIOD,$AC$5:$AC$750,0)),"")</f>
        <v/>
      </c>
      <c r="Z298" s="0" t="str">
        <f aca="false">IF(AND(D298=WF_END_PERIOD,R298),1+COUNTIFS($D$5:$D$750,WF_END_PERIOD,$E$5:$E$750,E298,$R$5:$R$750,TRUE(),$S$5:$S$750,"&gt;"&amp;S298)+COUNTIFS($D$5:$D$750,WF_END_PERIOD,$E$5:$E$750,E298,$R$5:$R$750,TRUE(),$S$5:$S$750,S298,$B$5:$B$750,"&lt;"&amp;B298),"")</f>
        <v/>
      </c>
      <c r="AA298" s="0" t="str">
        <f aca="false">IF(AND(D298=WF_END_PERIOD,R298,Z298&lt;&gt;1),1+COUNTIFS($D$5:$D$750,WF_END_PERIOD,$R$5:$R$750,TRUE(),$Z$5:$Z$750,"&lt;&gt;1",$S$5:$S$750,"&gt;"&amp;S298)+COUNTIFS($D$5:$D$750,WF_END_PERIOD,$R$5:$R$750,TRUE(),$Z$5:$Z$750,"&lt;&gt;1",$S$5:$S$750,S298,$B$5:$B$750,"&lt;"&amp;B298),"")</f>
        <v/>
      </c>
      <c r="AB298" s="11" t="b">
        <f aca="false">OR(D298=WF_START_PERIOD,D298=WF_END_PERIOD)</f>
        <v>0</v>
      </c>
      <c r="AC298" s="0" t="str">
        <f aca="false">B298&amp;"|"&amp;D298</f>
        <v>19532|20230630</v>
      </c>
    </row>
    <row r="299" customFormat="false" ht="15" hidden="false" customHeight="false" outlineLevel="0" collapsed="false">
      <c r="A299" s="0" t="n">
        <f aca="false">RawFinancials!A299</f>
        <v>296</v>
      </c>
      <c r="B299" s="0" t="n">
        <f aca="false">RawFinancials!C299</f>
        <v>19690</v>
      </c>
      <c r="C299" s="0" t="str">
        <f aca="false">RawFinancials!P299</f>
        <v>NORTHEAST BANK</v>
      </c>
      <c r="D299" s="0" t="n">
        <f aca="false">RawFinancials!W299</f>
        <v>20230630</v>
      </c>
      <c r="E299" s="0" t="str">
        <f aca="false">RawFinancials!Z299</f>
        <v>ME</v>
      </c>
      <c r="F299" s="0" t="n">
        <f aca="false">RawFinancials!B299</f>
        <v>2869938</v>
      </c>
      <c r="G299" s="0" t="n">
        <f aca="false">RawFinancials!U299</f>
        <v>0</v>
      </c>
      <c r="H299" s="0" t="n">
        <f aca="false">RawFinancials!O299</f>
        <v>15683</v>
      </c>
      <c r="I299" s="0" t="n">
        <f aca="false">IF(AND(ISNUMBER(G299),ISNUMBER(H299)),G299+H299,"")</f>
        <v>15683</v>
      </c>
      <c r="J299" s="0" t="n">
        <f aca="false">RawFinancials!D299</f>
        <v>1960331</v>
      </c>
      <c r="K299" s="0" t="n">
        <f aca="false">RawFinancials!F299</f>
        <v>296663</v>
      </c>
      <c r="L299" s="0" t="n">
        <f aca="false">RawFinancials!L299</f>
        <v>2520360</v>
      </c>
      <c r="M299" s="0" t="n">
        <f aca="false">RawFinancials!N299</f>
        <v>2020060</v>
      </c>
      <c r="N299" s="13" t="n">
        <f aca="false">RawFinancials!X299</f>
        <v>1.72729756659238</v>
      </c>
      <c r="O299" s="13" t="n">
        <f aca="false">RawFinancials!V299</f>
        <v>12.2983890529339</v>
      </c>
      <c r="P299" s="13" t="n">
        <f aca="false">IF(AND(ISNUMBER(L299),L299&lt;&gt;0,ISNUMBER(M299)),100*M299/L299,"")</f>
        <v>80.1496611595169</v>
      </c>
      <c r="Q299" s="13" t="n">
        <f aca="false">IF(AND(ISNUMBER(F299),F299&lt;&gt;0,ISNUMBER(K299)),100*K299/F299,"")</f>
        <v>10.3369132016092</v>
      </c>
      <c r="R299" s="11" t="b">
        <f aca="false">AND(ISNUMBER(F299),F299&gt;0,ISNUMBER(G299),G299&gt;=0,ISNUMBER(H299),H299&gt;=0)</f>
        <v>1</v>
      </c>
      <c r="S299" s="13" t="n">
        <f aca="false">IF(R299,100*I299/F299,"")</f>
        <v>0.546457798043024</v>
      </c>
      <c r="T299" s="11" t="b">
        <f aca="false">NOT(AND(OR(AND(ISBLANK(RawFinancials!B299),ISBLANK(_RawBaseline!B296)),AND(ISNUMBER(RawFinancials!B299),ISNUMBER(_RawBaseline!B296),RawFinancials!B299=_RawBaseline!B296)),OR(AND(ISBLANK(RawFinancials!U299),ISBLANK(_RawBaseline!U296)),AND(ISNUMBER(RawFinancials!U299),ISNUMBER(_RawBaseline!U296),RawFinancials!U299=_RawBaseline!U296)),OR(AND(ISBLANK(RawFinancials!O299),ISBLANK(_RawBaseline!O296)),AND(ISNUMBER(RawFinancials!O299),ISNUMBER(_RawBaseline!O296),RawFinancials!O299=_RawBaseline!O296))))</f>
        <v>0</v>
      </c>
      <c r="U299" s="13" t="n">
        <f aca="false">IF(AND(D299=WF_START_PERIOD,R299,COUNTIFS($B$5:$B$750,B299,$D$5:$D$750,WF_END_PERIOD,$R$5:$R$750,TRUE())&gt;0),SUMIFS($S$5:$S$750,$B$5:$B$750,B299,$D$5:$D$750,WF_END_PERIOD,$R$5:$R$750,TRUE()),0)</f>
        <v>0</v>
      </c>
      <c r="V299" s="0" t="str">
        <f aca="false">IF(AND(D299=WF_START_PERIOD,COUNTIFS($B$5:$B$750,B299,$D$5:$D$750,WF_END_PERIOD)&gt;0),INDEX($E$5:$E$750,MATCH(B299&amp;"|"&amp;WF_END_PERIOD,$AC$5:$AC$750,0)),"")</f>
        <v/>
      </c>
      <c r="W299" s="11" t="b">
        <f aca="false">COUNTIFS($B$5:$B$750,B299,$D$5:$D$750,WF_START_PERIOD,$R$5:$R$750,TRUE())&gt;0</f>
        <v>1</v>
      </c>
      <c r="X299" s="11" t="b">
        <f aca="false">COUNTIFS($B$5:$B$750,B299,$D$5:$D$750,WF_END_PERIOD,$R$5:$R$750,TRUE())&gt;0</f>
        <v>1</v>
      </c>
      <c r="Y299" s="0" t="str">
        <f aca="false">IF(AND(D299=WF_END_PERIOD,COUNTIFS($B$5:$B$750,B299,$D$5:$D$750,WF_START_PERIOD)&gt;0),INDEX($E$5:$E$750,MATCH(B299&amp;"|"&amp;WF_START_PERIOD,$AC$5:$AC$750,0)),"")</f>
        <v/>
      </c>
      <c r="Z299" s="0" t="str">
        <f aca="false">IF(AND(D299=WF_END_PERIOD,R299),1+COUNTIFS($D$5:$D$750,WF_END_PERIOD,$E$5:$E$750,E299,$R$5:$R$750,TRUE(),$S$5:$S$750,"&gt;"&amp;S299)+COUNTIFS($D$5:$D$750,WF_END_PERIOD,$E$5:$E$750,E299,$R$5:$R$750,TRUE(),$S$5:$S$750,S299,$B$5:$B$750,"&lt;"&amp;B299),"")</f>
        <v/>
      </c>
      <c r="AA299" s="0" t="str">
        <f aca="false">IF(AND(D299=WF_END_PERIOD,R299,Z299&lt;&gt;1),1+COUNTIFS($D$5:$D$750,WF_END_PERIOD,$R$5:$R$750,TRUE(),$Z$5:$Z$750,"&lt;&gt;1",$S$5:$S$750,"&gt;"&amp;S299)+COUNTIFS($D$5:$D$750,WF_END_PERIOD,$R$5:$R$750,TRUE(),$Z$5:$Z$750,"&lt;&gt;1",$S$5:$S$750,S299,$B$5:$B$750,"&lt;"&amp;B299),"")</f>
        <v/>
      </c>
      <c r="AB299" s="11" t="b">
        <f aca="false">OR(D299=WF_START_PERIOD,D299=WF_END_PERIOD)</f>
        <v>0</v>
      </c>
      <c r="AC299" s="0" t="str">
        <f aca="false">B299&amp;"|"&amp;D299</f>
        <v>19690|20230630</v>
      </c>
    </row>
    <row r="300" customFormat="false" ht="15" hidden="false" customHeight="false" outlineLevel="0" collapsed="false">
      <c r="A300" s="0" t="n">
        <f aca="false">RawFinancials!A300</f>
        <v>297</v>
      </c>
      <c r="B300" s="0" t="n">
        <f aca="false">RawFinancials!C300</f>
        <v>19836</v>
      </c>
      <c r="C300" s="0" t="str">
        <f aca="false">RawFinancials!P300</f>
        <v>FRANKLIN SAVINGS BANK</v>
      </c>
      <c r="D300" s="0" t="n">
        <f aca="false">RawFinancials!W300</f>
        <v>20230630</v>
      </c>
      <c r="E300" s="0" t="str">
        <f aca="false">RawFinancials!Z300</f>
        <v>ME</v>
      </c>
      <c r="F300" s="0" t="n">
        <f aca="false">RawFinancials!B300</f>
        <v>608950</v>
      </c>
      <c r="G300" s="0" t="n">
        <f aca="false">RawFinancials!U300</f>
        <v>320</v>
      </c>
      <c r="H300" s="0" t="n">
        <f aca="false">RawFinancials!O300</f>
        <v>3354</v>
      </c>
      <c r="I300" s="0" t="n">
        <f aca="false">IF(AND(ISNUMBER(G300),ISNUMBER(H300)),G300+H300,"")</f>
        <v>3674</v>
      </c>
      <c r="J300" s="0" t="n">
        <f aca="false">RawFinancials!D300</f>
        <v>446012</v>
      </c>
      <c r="K300" s="0" t="n">
        <f aca="false">RawFinancials!F300</f>
        <v>119294</v>
      </c>
      <c r="L300" s="0" t="n">
        <f aca="false">RawFinancials!L300</f>
        <v>506806</v>
      </c>
      <c r="M300" s="0" t="n">
        <f aca="false">RawFinancials!N300</f>
        <v>437325</v>
      </c>
      <c r="N300" s="13" t="n">
        <f aca="false">RawFinancials!X300</f>
        <v>0.835906040268456</v>
      </c>
      <c r="O300" s="13" t="n">
        <f aca="false">RawFinancials!V300</f>
        <v>27.2365493944138</v>
      </c>
      <c r="P300" s="13" t="n">
        <f aca="false">IF(AND(ISNUMBER(L300),L300&lt;&gt;0,ISNUMBER(M300)),100*M300/L300,"")</f>
        <v>86.2904148727521</v>
      </c>
      <c r="Q300" s="13" t="n">
        <f aca="false">IF(AND(ISNUMBER(F300),F300&lt;&gt;0,ISNUMBER(K300)),100*K300/F300,"")</f>
        <v>19.590114130881</v>
      </c>
      <c r="R300" s="11" t="b">
        <f aca="false">AND(ISNUMBER(F300),F300&gt;0,ISNUMBER(G300),G300&gt;=0,ISNUMBER(H300),H300&gt;=0)</f>
        <v>1</v>
      </c>
      <c r="S300" s="13" t="n">
        <f aca="false">IF(R300,100*I300/F300,"")</f>
        <v>0.603333607028492</v>
      </c>
      <c r="T300" s="11" t="b">
        <f aca="false">NOT(AND(OR(AND(ISBLANK(RawFinancials!B300),ISBLANK(_RawBaseline!B297)),AND(ISNUMBER(RawFinancials!B300),ISNUMBER(_RawBaseline!B297),RawFinancials!B300=_RawBaseline!B297)),OR(AND(ISBLANK(RawFinancials!U300),ISBLANK(_RawBaseline!U297)),AND(ISNUMBER(RawFinancials!U300),ISNUMBER(_RawBaseline!U297),RawFinancials!U300=_RawBaseline!U297)),OR(AND(ISBLANK(RawFinancials!O300),ISBLANK(_RawBaseline!O297)),AND(ISNUMBER(RawFinancials!O300),ISNUMBER(_RawBaseline!O297),RawFinancials!O300=_RawBaseline!O297))))</f>
        <v>0</v>
      </c>
      <c r="U300" s="13" t="n">
        <f aca="false">IF(AND(D300=WF_START_PERIOD,R300,COUNTIFS($B$5:$B$750,B300,$D$5:$D$750,WF_END_PERIOD,$R$5:$R$750,TRUE())&gt;0),SUMIFS($S$5:$S$750,$B$5:$B$750,B300,$D$5:$D$750,WF_END_PERIOD,$R$5:$R$750,TRUE()),0)</f>
        <v>0</v>
      </c>
      <c r="V300" s="0" t="str">
        <f aca="false">IF(AND(D300=WF_START_PERIOD,COUNTIFS($B$5:$B$750,B300,$D$5:$D$750,WF_END_PERIOD)&gt;0),INDEX($E$5:$E$750,MATCH(B300&amp;"|"&amp;WF_END_PERIOD,$AC$5:$AC$750,0)),"")</f>
        <v/>
      </c>
      <c r="W300" s="11" t="b">
        <f aca="false">COUNTIFS($B$5:$B$750,B300,$D$5:$D$750,WF_START_PERIOD,$R$5:$R$750,TRUE())&gt;0</f>
        <v>1</v>
      </c>
      <c r="X300" s="11" t="b">
        <f aca="false">COUNTIFS($B$5:$B$750,B300,$D$5:$D$750,WF_END_PERIOD,$R$5:$R$750,TRUE())&gt;0</f>
        <v>1</v>
      </c>
      <c r="Y300" s="0" t="str">
        <f aca="false">IF(AND(D300=WF_END_PERIOD,COUNTIFS($B$5:$B$750,B300,$D$5:$D$750,WF_START_PERIOD)&gt;0),INDEX($E$5:$E$750,MATCH(B300&amp;"|"&amp;WF_START_PERIOD,$AC$5:$AC$750,0)),"")</f>
        <v/>
      </c>
      <c r="Z300" s="0" t="str">
        <f aca="false">IF(AND(D300=WF_END_PERIOD,R300),1+COUNTIFS($D$5:$D$750,WF_END_PERIOD,$E$5:$E$750,E300,$R$5:$R$750,TRUE(),$S$5:$S$750,"&gt;"&amp;S300)+COUNTIFS($D$5:$D$750,WF_END_PERIOD,$E$5:$E$750,E300,$R$5:$R$750,TRUE(),$S$5:$S$750,S300,$B$5:$B$750,"&lt;"&amp;B300),"")</f>
        <v/>
      </c>
      <c r="AA300" s="0" t="str">
        <f aca="false">IF(AND(D300=WF_END_PERIOD,R300,Z300&lt;&gt;1),1+COUNTIFS($D$5:$D$750,WF_END_PERIOD,$R$5:$R$750,TRUE(),$Z$5:$Z$750,"&lt;&gt;1",$S$5:$S$750,"&gt;"&amp;S300)+COUNTIFS($D$5:$D$750,WF_END_PERIOD,$R$5:$R$750,TRUE(),$Z$5:$Z$750,"&lt;&gt;1",$S$5:$S$750,S300,$B$5:$B$750,"&lt;"&amp;B300),"")</f>
        <v/>
      </c>
      <c r="AB300" s="11" t="b">
        <f aca="false">OR(D300=WF_START_PERIOD,D300=WF_END_PERIOD)</f>
        <v>0</v>
      </c>
      <c r="AC300" s="0" t="str">
        <f aca="false">B300&amp;"|"&amp;D300</f>
        <v>19836|20230630</v>
      </c>
    </row>
    <row r="301" customFormat="false" ht="15" hidden="false" customHeight="false" outlineLevel="0" collapsed="false">
      <c r="A301" s="0" t="n">
        <f aca="false">RawFinancials!A301</f>
        <v>298</v>
      </c>
      <c r="B301" s="0" t="n">
        <f aca="false">RawFinancials!C301</f>
        <v>24540</v>
      </c>
      <c r="C301" s="0" t="str">
        <f aca="false">RawFinancials!P301</f>
        <v>BANK OF NEW ENGLAND</v>
      </c>
      <c r="D301" s="0" t="n">
        <f aca="false">RawFinancials!W301</f>
        <v>20230630</v>
      </c>
      <c r="E301" s="0" t="str">
        <f aca="false">RawFinancials!Z301</f>
        <v>NH</v>
      </c>
      <c r="F301" s="0" t="n">
        <f aca="false">RawFinancials!B301</f>
        <v>1353335</v>
      </c>
      <c r="G301" s="0" t="n">
        <f aca="false">RawFinancials!U301</f>
        <v>0</v>
      </c>
      <c r="H301" s="0" t="n">
        <f aca="false">RawFinancials!O301</f>
        <v>342</v>
      </c>
      <c r="I301" s="0" t="n">
        <f aca="false">IF(AND(ISNUMBER(G301),ISNUMBER(H301)),G301+H301,"")</f>
        <v>342</v>
      </c>
      <c r="J301" s="0" t="n">
        <f aca="false">RawFinancials!D301</f>
        <v>1091222</v>
      </c>
      <c r="K301" s="0" t="n">
        <f aca="false">RawFinancials!F301</f>
        <v>232110</v>
      </c>
      <c r="L301" s="0" t="n">
        <f aca="false">RawFinancials!L301</f>
        <v>1145876</v>
      </c>
      <c r="M301" s="0" t="n">
        <f aca="false">RawFinancials!N301</f>
        <v>1109265</v>
      </c>
      <c r="N301" s="13" t="n">
        <f aca="false">RawFinancials!X301</f>
        <v>2.53176441533346</v>
      </c>
      <c r="O301" s="13" t="n">
        <f aca="false">RawFinancials!V301</f>
        <v>0</v>
      </c>
      <c r="P301" s="13" t="n">
        <f aca="false">IF(AND(ISNUMBER(L301),L301&lt;&gt;0,ISNUMBER(M301)),100*M301/L301,"")</f>
        <v>96.8049771528507</v>
      </c>
      <c r="Q301" s="13" t="n">
        <f aca="false">IF(AND(ISNUMBER(F301),F301&lt;&gt;0,ISNUMBER(K301)),100*K301/F301,"")</f>
        <v>17.1509640997979</v>
      </c>
      <c r="R301" s="11" t="b">
        <f aca="false">AND(ISNUMBER(F301),F301&gt;0,ISNUMBER(G301),G301&gt;=0,ISNUMBER(H301),H301&gt;=0)</f>
        <v>1</v>
      </c>
      <c r="S301" s="13" t="n">
        <f aca="false">IF(R301,100*I301/F301,"")</f>
        <v>0.0252709048387871</v>
      </c>
      <c r="T301" s="11" t="b">
        <f aca="false">NOT(AND(OR(AND(ISBLANK(RawFinancials!B301),ISBLANK(_RawBaseline!B298)),AND(ISNUMBER(RawFinancials!B301),ISNUMBER(_RawBaseline!B298),RawFinancials!B301=_RawBaseline!B298)),OR(AND(ISBLANK(RawFinancials!U301),ISBLANK(_RawBaseline!U298)),AND(ISNUMBER(RawFinancials!U301),ISNUMBER(_RawBaseline!U298),RawFinancials!U301=_RawBaseline!U298)),OR(AND(ISBLANK(RawFinancials!O301),ISBLANK(_RawBaseline!O298)),AND(ISNUMBER(RawFinancials!O301),ISNUMBER(_RawBaseline!O298),RawFinancials!O301=_RawBaseline!O298))))</f>
        <v>0</v>
      </c>
      <c r="U301" s="13" t="n">
        <f aca="false">IF(AND(D301=WF_START_PERIOD,R301,COUNTIFS($B$5:$B$750,B301,$D$5:$D$750,WF_END_PERIOD,$R$5:$R$750,TRUE())&gt;0),SUMIFS($S$5:$S$750,$B$5:$B$750,B301,$D$5:$D$750,WF_END_PERIOD,$R$5:$R$750,TRUE()),0)</f>
        <v>0</v>
      </c>
      <c r="V301" s="0" t="str">
        <f aca="false">IF(AND(D301=WF_START_PERIOD,COUNTIFS($B$5:$B$750,B301,$D$5:$D$750,WF_END_PERIOD)&gt;0),INDEX($E$5:$E$750,MATCH(B301&amp;"|"&amp;WF_END_PERIOD,$AC$5:$AC$750,0)),"")</f>
        <v/>
      </c>
      <c r="W301" s="11" t="b">
        <f aca="false">COUNTIFS($B$5:$B$750,B301,$D$5:$D$750,WF_START_PERIOD,$R$5:$R$750,TRUE())&gt;0</f>
        <v>1</v>
      </c>
      <c r="X301" s="11" t="b">
        <f aca="false">COUNTIFS($B$5:$B$750,B301,$D$5:$D$750,WF_END_PERIOD,$R$5:$R$750,TRUE())&gt;0</f>
        <v>1</v>
      </c>
      <c r="Y301" s="0" t="str">
        <f aca="false">IF(AND(D301=WF_END_PERIOD,COUNTIFS($B$5:$B$750,B301,$D$5:$D$750,WF_START_PERIOD)&gt;0),INDEX($E$5:$E$750,MATCH(B301&amp;"|"&amp;WF_START_PERIOD,$AC$5:$AC$750,0)),"")</f>
        <v/>
      </c>
      <c r="Z301" s="0" t="str">
        <f aca="false">IF(AND(D301=WF_END_PERIOD,R301),1+COUNTIFS($D$5:$D$750,WF_END_PERIOD,$E$5:$E$750,E301,$R$5:$R$750,TRUE(),$S$5:$S$750,"&gt;"&amp;S301)+COUNTIFS($D$5:$D$750,WF_END_PERIOD,$E$5:$E$750,E301,$R$5:$R$750,TRUE(),$S$5:$S$750,S301,$B$5:$B$750,"&lt;"&amp;B301),"")</f>
        <v/>
      </c>
      <c r="AA301" s="0" t="str">
        <f aca="false">IF(AND(D301=WF_END_PERIOD,R301,Z301&lt;&gt;1),1+COUNTIFS($D$5:$D$750,WF_END_PERIOD,$R$5:$R$750,TRUE(),$Z$5:$Z$750,"&lt;&gt;1",$S$5:$S$750,"&gt;"&amp;S301)+COUNTIFS($D$5:$D$750,WF_END_PERIOD,$R$5:$R$750,TRUE(),$Z$5:$Z$750,"&lt;&gt;1",$S$5:$S$750,S301,$B$5:$B$750,"&lt;"&amp;B301),"")</f>
        <v/>
      </c>
      <c r="AB301" s="11" t="b">
        <f aca="false">OR(D301=WF_START_PERIOD,D301=WF_END_PERIOD)</f>
        <v>0</v>
      </c>
      <c r="AC301" s="0" t="str">
        <f aca="false">B301&amp;"|"&amp;D301</f>
        <v>24540|20230630</v>
      </c>
    </row>
    <row r="302" customFormat="false" ht="15" hidden="false" customHeight="false" outlineLevel="0" collapsed="false">
      <c r="A302" s="0" t="n">
        <f aca="false">RawFinancials!A302</f>
        <v>299</v>
      </c>
      <c r="B302" s="0" t="n">
        <f aca="false">RawFinancials!C302</f>
        <v>27824</v>
      </c>
      <c r="C302" s="0" t="str">
        <f aca="false">RawFinancials!P302</f>
        <v>SALEM CO-OPERATIVE BANK</v>
      </c>
      <c r="D302" s="0" t="n">
        <f aca="false">RawFinancials!W302</f>
        <v>20230630</v>
      </c>
      <c r="E302" s="0" t="str">
        <f aca="false">RawFinancials!Z302</f>
        <v>NH</v>
      </c>
      <c r="F302" s="0" t="n">
        <f aca="false">RawFinancials!B302</f>
        <v>511371</v>
      </c>
      <c r="G302" s="0" t="n">
        <f aca="false">RawFinancials!U302</f>
        <v>0</v>
      </c>
      <c r="H302" s="0" t="n">
        <f aca="false">RawFinancials!O302</f>
        <v>1230</v>
      </c>
      <c r="I302" s="0" t="n">
        <f aca="false">IF(AND(ISNUMBER(G302),ISNUMBER(H302)),G302+H302,"")</f>
        <v>1230</v>
      </c>
      <c r="J302" s="0" t="n">
        <f aca="false">RawFinancials!D302</f>
        <v>380476</v>
      </c>
      <c r="K302" s="0" t="n">
        <f aca="false">RawFinancials!F302</f>
        <v>65899</v>
      </c>
      <c r="L302" s="0" t="n">
        <f aca="false">RawFinancials!L302</f>
        <v>425994</v>
      </c>
      <c r="M302" s="0" t="n">
        <f aca="false">RawFinancials!N302</f>
        <v>362683</v>
      </c>
      <c r="N302" s="13" t="n">
        <f aca="false">RawFinancials!X302</f>
        <v>-0.179485034548527</v>
      </c>
      <c r="O302" s="13" t="n">
        <f aca="false">RawFinancials!V302</f>
        <v>21.8651868052185</v>
      </c>
      <c r="P302" s="13" t="n">
        <f aca="false">IF(AND(ISNUMBER(L302),L302&lt;&gt;0,ISNUMBER(M302)),100*M302/L302,"")</f>
        <v>85.1380535876092</v>
      </c>
      <c r="Q302" s="13" t="n">
        <f aca="false">IF(AND(ISNUMBER(F302),F302&lt;&gt;0,ISNUMBER(K302)),100*K302/F302,"")</f>
        <v>12.8867299866437</v>
      </c>
      <c r="R302" s="11" t="b">
        <f aca="false">AND(ISNUMBER(F302),F302&gt;0,ISNUMBER(G302),G302&gt;=0,ISNUMBER(H302),H302&gt;=0)</f>
        <v>1</v>
      </c>
      <c r="S302" s="13" t="n">
        <f aca="false">IF(R302,100*I302/F302,"")</f>
        <v>0.24052986970321</v>
      </c>
      <c r="T302" s="11" t="b">
        <f aca="false">NOT(AND(OR(AND(ISBLANK(RawFinancials!B302),ISBLANK(_RawBaseline!B299)),AND(ISNUMBER(RawFinancials!B302),ISNUMBER(_RawBaseline!B299),RawFinancials!B302=_RawBaseline!B299)),OR(AND(ISBLANK(RawFinancials!U302),ISBLANK(_RawBaseline!U299)),AND(ISNUMBER(RawFinancials!U302),ISNUMBER(_RawBaseline!U299),RawFinancials!U302=_RawBaseline!U299)),OR(AND(ISBLANK(RawFinancials!O302),ISBLANK(_RawBaseline!O299)),AND(ISNUMBER(RawFinancials!O302),ISNUMBER(_RawBaseline!O299),RawFinancials!O302=_RawBaseline!O299))))</f>
        <v>0</v>
      </c>
      <c r="U302" s="13" t="n">
        <f aca="false">IF(AND(D302=WF_START_PERIOD,R302,COUNTIFS($B$5:$B$750,B302,$D$5:$D$750,WF_END_PERIOD,$R$5:$R$750,TRUE())&gt;0),SUMIFS($S$5:$S$750,$B$5:$B$750,B302,$D$5:$D$750,WF_END_PERIOD,$R$5:$R$750,TRUE()),0)</f>
        <v>0</v>
      </c>
      <c r="V302" s="0" t="str">
        <f aca="false">IF(AND(D302=WF_START_PERIOD,COUNTIFS($B$5:$B$750,B302,$D$5:$D$750,WF_END_PERIOD)&gt;0),INDEX($E$5:$E$750,MATCH(B302&amp;"|"&amp;WF_END_PERIOD,$AC$5:$AC$750,0)),"")</f>
        <v/>
      </c>
      <c r="W302" s="11" t="b">
        <f aca="false">COUNTIFS($B$5:$B$750,B302,$D$5:$D$750,WF_START_PERIOD,$R$5:$R$750,TRUE())&gt;0</f>
        <v>1</v>
      </c>
      <c r="X302" s="11" t="b">
        <f aca="false">COUNTIFS($B$5:$B$750,B302,$D$5:$D$750,WF_END_PERIOD,$R$5:$R$750,TRUE())&gt;0</f>
        <v>1</v>
      </c>
      <c r="Y302" s="0" t="str">
        <f aca="false">IF(AND(D302=WF_END_PERIOD,COUNTIFS($B$5:$B$750,B302,$D$5:$D$750,WF_START_PERIOD)&gt;0),INDEX($E$5:$E$750,MATCH(B302&amp;"|"&amp;WF_START_PERIOD,$AC$5:$AC$750,0)),"")</f>
        <v/>
      </c>
      <c r="Z302" s="0" t="str">
        <f aca="false">IF(AND(D302=WF_END_PERIOD,R302),1+COUNTIFS($D$5:$D$750,WF_END_PERIOD,$E$5:$E$750,E302,$R$5:$R$750,TRUE(),$S$5:$S$750,"&gt;"&amp;S302)+COUNTIFS($D$5:$D$750,WF_END_PERIOD,$E$5:$E$750,E302,$R$5:$R$750,TRUE(),$S$5:$S$750,S302,$B$5:$B$750,"&lt;"&amp;B302),"")</f>
        <v/>
      </c>
      <c r="AA302" s="0" t="str">
        <f aca="false">IF(AND(D302=WF_END_PERIOD,R302,Z302&lt;&gt;1),1+COUNTIFS($D$5:$D$750,WF_END_PERIOD,$R$5:$R$750,TRUE(),$Z$5:$Z$750,"&lt;&gt;1",$S$5:$S$750,"&gt;"&amp;S302)+COUNTIFS($D$5:$D$750,WF_END_PERIOD,$R$5:$R$750,TRUE(),$Z$5:$Z$750,"&lt;&gt;1",$S$5:$S$750,S302,$B$5:$B$750,"&lt;"&amp;B302),"")</f>
        <v/>
      </c>
      <c r="AB302" s="11" t="b">
        <f aca="false">OR(D302=WF_START_PERIOD,D302=WF_END_PERIOD)</f>
        <v>0</v>
      </c>
      <c r="AC302" s="0" t="str">
        <f aca="false">B302&amp;"|"&amp;D302</f>
        <v>27824|20230630</v>
      </c>
    </row>
    <row r="303" customFormat="false" ht="15" hidden="false" customHeight="false" outlineLevel="0" collapsed="false">
      <c r="A303" s="0" t="n">
        <f aca="false">RawFinancials!A303</f>
        <v>300</v>
      </c>
      <c r="B303" s="0" t="n">
        <f aca="false">RawFinancials!C303</f>
        <v>28155</v>
      </c>
      <c r="C303" s="0" t="str">
        <f aca="false">RawFinancials!P303</f>
        <v>PROFILE BANK</v>
      </c>
      <c r="D303" s="0" t="n">
        <f aca="false">RawFinancials!W303</f>
        <v>20230630</v>
      </c>
      <c r="E303" s="0" t="str">
        <f aca="false">RawFinancials!Z303</f>
        <v>NH</v>
      </c>
      <c r="F303" s="0" t="n">
        <f aca="false">RawFinancials!B303</f>
        <v>297569</v>
      </c>
      <c r="G303" s="0" t="n">
        <f aca="false">RawFinancials!U303</f>
        <v>0</v>
      </c>
      <c r="H303" s="0" t="n">
        <f aca="false">RawFinancials!O303</f>
        <v>52</v>
      </c>
      <c r="I303" s="0" t="n">
        <f aca="false">IF(AND(ISNUMBER(G303),ISNUMBER(H303)),G303+H303,"")</f>
        <v>52</v>
      </c>
      <c r="J303" s="0" t="n">
        <f aca="false">RawFinancials!D303</f>
        <v>264006</v>
      </c>
      <c r="K303" s="0" t="n">
        <f aca="false">RawFinancials!F303</f>
        <v>27564</v>
      </c>
      <c r="L303" s="0" t="n">
        <f aca="false">RawFinancials!L303</f>
        <v>159158</v>
      </c>
      <c r="M303" s="0" t="n">
        <f aca="false">RawFinancials!N303</f>
        <v>147112</v>
      </c>
      <c r="N303" s="13" t="n">
        <f aca="false">RawFinancials!X303</f>
        <v>0.0381918077455666</v>
      </c>
      <c r="O303" s="13" t="n">
        <f aca="false">RawFinancials!V303</f>
        <v>17.8379338650592</v>
      </c>
      <c r="P303" s="13" t="n">
        <f aca="false">IF(AND(ISNUMBER(L303),L303&lt;&gt;0,ISNUMBER(M303)),100*M303/L303,"")</f>
        <v>92.4314203495897</v>
      </c>
      <c r="Q303" s="13" t="n">
        <f aca="false">IF(AND(ISNUMBER(F303),F303&lt;&gt;0,ISNUMBER(K303)),100*K303/F303,"")</f>
        <v>9.26306167645151</v>
      </c>
      <c r="R303" s="11" t="b">
        <f aca="false">AND(ISNUMBER(F303),F303&gt;0,ISNUMBER(G303),G303&gt;=0,ISNUMBER(H303),H303&gt;=0)</f>
        <v>1</v>
      </c>
      <c r="S303" s="13" t="n">
        <f aca="false">IF(R303,100*I303/F303,"")</f>
        <v>0.0174749385856726</v>
      </c>
      <c r="T303" s="11" t="b">
        <f aca="false">NOT(AND(OR(AND(ISBLANK(RawFinancials!B303),ISBLANK(_RawBaseline!B300)),AND(ISNUMBER(RawFinancials!B303),ISNUMBER(_RawBaseline!B300),RawFinancials!B303=_RawBaseline!B300)),OR(AND(ISBLANK(RawFinancials!U303),ISBLANK(_RawBaseline!U300)),AND(ISNUMBER(RawFinancials!U303),ISNUMBER(_RawBaseline!U300),RawFinancials!U303=_RawBaseline!U300)),OR(AND(ISBLANK(RawFinancials!O303),ISBLANK(_RawBaseline!O300)),AND(ISNUMBER(RawFinancials!O303),ISNUMBER(_RawBaseline!O300),RawFinancials!O303=_RawBaseline!O300))))</f>
        <v>0</v>
      </c>
      <c r="U303" s="13" t="n">
        <f aca="false">IF(AND(D303=WF_START_PERIOD,R303,COUNTIFS($B$5:$B$750,B303,$D$5:$D$750,WF_END_PERIOD,$R$5:$R$750,TRUE())&gt;0),SUMIFS($S$5:$S$750,$B$5:$B$750,B303,$D$5:$D$750,WF_END_PERIOD,$R$5:$R$750,TRUE()),0)</f>
        <v>0</v>
      </c>
      <c r="V303" s="0" t="str">
        <f aca="false">IF(AND(D303=WF_START_PERIOD,COUNTIFS($B$5:$B$750,B303,$D$5:$D$750,WF_END_PERIOD)&gt;0),INDEX($E$5:$E$750,MATCH(B303&amp;"|"&amp;WF_END_PERIOD,$AC$5:$AC$750,0)),"")</f>
        <v/>
      </c>
      <c r="W303" s="11" t="b">
        <f aca="false">COUNTIFS($B$5:$B$750,B303,$D$5:$D$750,WF_START_PERIOD,$R$5:$R$750,TRUE())&gt;0</f>
        <v>1</v>
      </c>
      <c r="X303" s="11" t="b">
        <f aca="false">COUNTIFS($B$5:$B$750,B303,$D$5:$D$750,WF_END_PERIOD,$R$5:$R$750,TRUE())&gt;0</f>
        <v>1</v>
      </c>
      <c r="Y303" s="0" t="str">
        <f aca="false">IF(AND(D303=WF_END_PERIOD,COUNTIFS($B$5:$B$750,B303,$D$5:$D$750,WF_START_PERIOD)&gt;0),INDEX($E$5:$E$750,MATCH(B303&amp;"|"&amp;WF_START_PERIOD,$AC$5:$AC$750,0)),"")</f>
        <v/>
      </c>
      <c r="Z303" s="0" t="str">
        <f aca="false">IF(AND(D303=WF_END_PERIOD,R303),1+COUNTIFS($D$5:$D$750,WF_END_PERIOD,$E$5:$E$750,E303,$R$5:$R$750,TRUE(),$S$5:$S$750,"&gt;"&amp;S303)+COUNTIFS($D$5:$D$750,WF_END_PERIOD,$E$5:$E$750,E303,$R$5:$R$750,TRUE(),$S$5:$S$750,S303,$B$5:$B$750,"&lt;"&amp;B303),"")</f>
        <v/>
      </c>
      <c r="AA303" s="0" t="str">
        <f aca="false">IF(AND(D303=WF_END_PERIOD,R303,Z303&lt;&gt;1),1+COUNTIFS($D$5:$D$750,WF_END_PERIOD,$R$5:$R$750,TRUE(),$Z$5:$Z$750,"&lt;&gt;1",$S$5:$S$750,"&gt;"&amp;S303)+COUNTIFS($D$5:$D$750,WF_END_PERIOD,$R$5:$R$750,TRUE(),$Z$5:$Z$750,"&lt;&gt;1",$S$5:$S$750,S303,$B$5:$B$750,"&lt;"&amp;B303),"")</f>
        <v/>
      </c>
      <c r="AB303" s="11" t="b">
        <f aca="false">OR(D303=WF_START_PERIOD,D303=WF_END_PERIOD)</f>
        <v>0</v>
      </c>
      <c r="AC303" s="0" t="str">
        <f aca="false">B303&amp;"|"&amp;D303</f>
        <v>28155|20230630</v>
      </c>
    </row>
    <row r="304" customFormat="false" ht="15" hidden="false" customHeight="false" outlineLevel="0" collapsed="false">
      <c r="A304" s="0" t="n">
        <f aca="false">RawFinancials!A304</f>
        <v>301</v>
      </c>
      <c r="B304" s="0" t="n">
        <f aca="false">RawFinancials!C304</f>
        <v>28288</v>
      </c>
      <c r="C304" s="0" t="str">
        <f aca="false">RawFinancials!P304</f>
        <v>AUBURN SAVINGS BANK, FSB</v>
      </c>
      <c r="D304" s="0" t="n">
        <f aca="false">RawFinancials!W304</f>
        <v>20230630</v>
      </c>
      <c r="E304" s="0" t="str">
        <f aca="false">RawFinancials!Z304</f>
        <v>ME</v>
      </c>
      <c r="F304" s="0" t="n">
        <f aca="false">RawFinancials!B304</f>
        <v>103989</v>
      </c>
      <c r="G304" s="0" t="n">
        <f aca="false">RawFinancials!U304</f>
        <v>0</v>
      </c>
      <c r="H304" s="0" t="n">
        <f aca="false">RawFinancials!O304</f>
        <v>266</v>
      </c>
      <c r="I304" s="0" t="n">
        <f aca="false">IF(AND(ISNUMBER(G304),ISNUMBER(H304)),G304+H304,"")</f>
        <v>266</v>
      </c>
      <c r="J304" s="0" t="n">
        <f aca="false">RawFinancials!D304</f>
        <v>78624</v>
      </c>
      <c r="K304" s="0" t="n">
        <f aca="false">RawFinancials!F304</f>
        <v>5937</v>
      </c>
      <c r="L304" s="0" t="n">
        <f aca="false">RawFinancials!L304</f>
        <v>81091</v>
      </c>
      <c r="M304" s="0" t="n">
        <f aca="false">RawFinancials!N304</f>
        <v>75531</v>
      </c>
      <c r="N304" s="13" t="n">
        <f aca="false">RawFinancials!X304</f>
        <v>-0.0292873413602343</v>
      </c>
      <c r="O304" s="13" t="n">
        <f aca="false">RawFinancials!V304</f>
        <v>13.4329035086393</v>
      </c>
      <c r="P304" s="13" t="n">
        <f aca="false">IF(AND(ISNUMBER(L304),L304&lt;&gt;0,ISNUMBER(M304)),100*M304/L304,"")</f>
        <v>93.1435054445006</v>
      </c>
      <c r="Q304" s="13" t="n">
        <f aca="false">IF(AND(ISNUMBER(F304),F304&lt;&gt;0,ISNUMBER(K304)),100*K304/F304,"")</f>
        <v>5.70925770995009</v>
      </c>
      <c r="R304" s="11" t="b">
        <f aca="false">AND(ISNUMBER(F304),F304&gt;0,ISNUMBER(G304),G304&gt;=0,ISNUMBER(H304),H304&gt;=0)</f>
        <v>1</v>
      </c>
      <c r="S304" s="13" t="n">
        <f aca="false">IF(R304,100*I304/F304,"")</f>
        <v>0.25579628614565</v>
      </c>
      <c r="T304" s="11" t="b">
        <f aca="false">NOT(AND(OR(AND(ISBLANK(RawFinancials!B304),ISBLANK(_RawBaseline!B301)),AND(ISNUMBER(RawFinancials!B304),ISNUMBER(_RawBaseline!B301),RawFinancials!B304=_RawBaseline!B301)),OR(AND(ISBLANK(RawFinancials!U304),ISBLANK(_RawBaseline!U301)),AND(ISNUMBER(RawFinancials!U304),ISNUMBER(_RawBaseline!U301),RawFinancials!U304=_RawBaseline!U301)),OR(AND(ISBLANK(RawFinancials!O304),ISBLANK(_RawBaseline!O301)),AND(ISNUMBER(RawFinancials!O304),ISNUMBER(_RawBaseline!O301),RawFinancials!O304=_RawBaseline!O301))))</f>
        <v>0</v>
      </c>
      <c r="U304" s="13" t="n">
        <f aca="false">IF(AND(D304=WF_START_PERIOD,R304,COUNTIFS($B$5:$B$750,B304,$D$5:$D$750,WF_END_PERIOD,$R$5:$R$750,TRUE())&gt;0),SUMIFS($S$5:$S$750,$B$5:$B$750,B304,$D$5:$D$750,WF_END_PERIOD,$R$5:$R$750,TRUE()),0)</f>
        <v>0</v>
      </c>
      <c r="V304" s="0" t="str">
        <f aca="false">IF(AND(D304=WF_START_PERIOD,COUNTIFS($B$5:$B$750,B304,$D$5:$D$750,WF_END_PERIOD)&gt;0),INDEX($E$5:$E$750,MATCH(B304&amp;"|"&amp;WF_END_PERIOD,$AC$5:$AC$750,0)),"")</f>
        <v/>
      </c>
      <c r="W304" s="11" t="b">
        <f aca="false">COUNTIFS($B$5:$B$750,B304,$D$5:$D$750,WF_START_PERIOD,$R$5:$R$750,TRUE())&gt;0</f>
        <v>1</v>
      </c>
      <c r="X304" s="11" t="b">
        <f aca="false">COUNTIFS($B$5:$B$750,B304,$D$5:$D$750,WF_END_PERIOD,$R$5:$R$750,TRUE())&gt;0</f>
        <v>1</v>
      </c>
      <c r="Y304" s="0" t="str">
        <f aca="false">IF(AND(D304=WF_END_PERIOD,COUNTIFS($B$5:$B$750,B304,$D$5:$D$750,WF_START_PERIOD)&gt;0),INDEX($E$5:$E$750,MATCH(B304&amp;"|"&amp;WF_START_PERIOD,$AC$5:$AC$750,0)),"")</f>
        <v/>
      </c>
      <c r="Z304" s="0" t="str">
        <f aca="false">IF(AND(D304=WF_END_PERIOD,R304),1+COUNTIFS($D$5:$D$750,WF_END_PERIOD,$E$5:$E$750,E304,$R$5:$R$750,TRUE(),$S$5:$S$750,"&gt;"&amp;S304)+COUNTIFS($D$5:$D$750,WF_END_PERIOD,$E$5:$E$750,E304,$R$5:$R$750,TRUE(),$S$5:$S$750,S304,$B$5:$B$750,"&lt;"&amp;B304),"")</f>
        <v/>
      </c>
      <c r="AA304" s="0" t="str">
        <f aca="false">IF(AND(D304=WF_END_PERIOD,R304,Z304&lt;&gt;1),1+COUNTIFS($D$5:$D$750,WF_END_PERIOD,$R$5:$R$750,TRUE(),$Z$5:$Z$750,"&lt;&gt;1",$S$5:$S$750,"&gt;"&amp;S304)+COUNTIFS($D$5:$D$750,WF_END_PERIOD,$R$5:$R$750,TRUE(),$Z$5:$Z$750,"&lt;&gt;1",$S$5:$S$750,S304,$B$5:$B$750,"&lt;"&amp;B304),"")</f>
        <v/>
      </c>
      <c r="AB304" s="11" t="b">
        <f aca="false">OR(D304=WF_START_PERIOD,D304=WF_END_PERIOD)</f>
        <v>0</v>
      </c>
      <c r="AC304" s="0" t="str">
        <f aca="false">B304&amp;"|"&amp;D304</f>
        <v>28288|20230630</v>
      </c>
    </row>
    <row r="305" customFormat="false" ht="15" hidden="false" customHeight="false" outlineLevel="0" collapsed="false">
      <c r="A305" s="0" t="n">
        <f aca="false">RawFinancials!A305</f>
        <v>302</v>
      </c>
      <c r="B305" s="0" t="n">
        <f aca="false">RawFinancials!C305</f>
        <v>28369</v>
      </c>
      <c r="C305" s="0" t="str">
        <f aca="false">RawFinancials!P305</f>
        <v>ROCKLAND SAVINGS BANK, FSB</v>
      </c>
      <c r="D305" s="0" t="n">
        <f aca="false">RawFinancials!W305</f>
        <v>20230630</v>
      </c>
      <c r="E305" s="0" t="str">
        <f aca="false">RawFinancials!Z305</f>
        <v>ME</v>
      </c>
      <c r="F305" s="0" t="n">
        <f aca="false">RawFinancials!B305</f>
        <v>87702</v>
      </c>
      <c r="G305" s="0" t="n">
        <f aca="false">RawFinancials!U305</f>
        <v>0</v>
      </c>
      <c r="H305" s="0" t="n">
        <f aca="false">RawFinancials!O305</f>
        <v>231</v>
      </c>
      <c r="I305" s="0" t="n">
        <f aca="false">IF(AND(ISNUMBER(G305),ISNUMBER(H305)),G305+H305,"")</f>
        <v>231</v>
      </c>
      <c r="J305" s="0" t="n">
        <f aca="false">RawFinancials!D305</f>
        <v>77819</v>
      </c>
      <c r="K305" s="0" t="n">
        <f aca="false">RawFinancials!F305</f>
        <v>9428</v>
      </c>
      <c r="L305" s="0" t="n">
        <f aca="false">RawFinancials!L305</f>
        <v>75333</v>
      </c>
      <c r="M305" s="0" t="n">
        <f aca="false">RawFinancials!N305</f>
        <v>63212</v>
      </c>
      <c r="N305" s="13" t="n">
        <f aca="false">RawFinancials!X305</f>
        <v>-0.21138653483091</v>
      </c>
      <c r="O305" s="13" t="n">
        <f aca="false">RawFinancials!V305</f>
        <v>0</v>
      </c>
      <c r="P305" s="13" t="n">
        <f aca="false">IF(AND(ISNUMBER(L305),L305&lt;&gt;0,ISNUMBER(M305)),100*M305/L305,"")</f>
        <v>83.9101057969283</v>
      </c>
      <c r="Q305" s="13" t="n">
        <f aca="false">IF(AND(ISNUMBER(F305),F305&lt;&gt;0,ISNUMBER(K305)),100*K305/F305,"")</f>
        <v>10.7500399078698</v>
      </c>
      <c r="R305" s="11" t="b">
        <f aca="false">AND(ISNUMBER(F305),F305&gt;0,ISNUMBER(G305),G305&gt;=0,ISNUMBER(H305),H305&gt;=0)</f>
        <v>1</v>
      </c>
      <c r="S305" s="13" t="n">
        <f aca="false">IF(R305,100*I305/F305,"")</f>
        <v>0.263391940890744</v>
      </c>
      <c r="T305" s="11" t="b">
        <f aca="false">NOT(AND(OR(AND(ISBLANK(RawFinancials!B305),ISBLANK(_RawBaseline!B302)),AND(ISNUMBER(RawFinancials!B305),ISNUMBER(_RawBaseline!B302),RawFinancials!B305=_RawBaseline!B302)),OR(AND(ISBLANK(RawFinancials!U305),ISBLANK(_RawBaseline!U302)),AND(ISNUMBER(RawFinancials!U305),ISNUMBER(_RawBaseline!U302),RawFinancials!U305=_RawBaseline!U302)),OR(AND(ISBLANK(RawFinancials!O305),ISBLANK(_RawBaseline!O302)),AND(ISNUMBER(RawFinancials!O305),ISNUMBER(_RawBaseline!O302),RawFinancials!O305=_RawBaseline!O302))))</f>
        <v>0</v>
      </c>
      <c r="U305" s="13" t="n">
        <f aca="false">IF(AND(D305=WF_START_PERIOD,R305,COUNTIFS($B$5:$B$750,B305,$D$5:$D$750,WF_END_PERIOD,$R$5:$R$750,TRUE())&gt;0),SUMIFS($S$5:$S$750,$B$5:$B$750,B305,$D$5:$D$750,WF_END_PERIOD,$R$5:$R$750,TRUE()),0)</f>
        <v>0</v>
      </c>
      <c r="V305" s="0" t="str">
        <f aca="false">IF(AND(D305=WF_START_PERIOD,COUNTIFS($B$5:$B$750,B305,$D$5:$D$750,WF_END_PERIOD)&gt;0),INDEX($E$5:$E$750,MATCH(B305&amp;"|"&amp;WF_END_PERIOD,$AC$5:$AC$750,0)),"")</f>
        <v/>
      </c>
      <c r="W305" s="11" t="b">
        <f aca="false">COUNTIFS($B$5:$B$750,B305,$D$5:$D$750,WF_START_PERIOD,$R$5:$R$750,TRUE())&gt;0</f>
        <v>1</v>
      </c>
      <c r="X305" s="11" t="b">
        <f aca="false">COUNTIFS($B$5:$B$750,B305,$D$5:$D$750,WF_END_PERIOD,$R$5:$R$750,TRUE())&gt;0</f>
        <v>1</v>
      </c>
      <c r="Y305" s="0" t="str">
        <f aca="false">IF(AND(D305=WF_END_PERIOD,COUNTIFS($B$5:$B$750,B305,$D$5:$D$750,WF_START_PERIOD)&gt;0),INDEX($E$5:$E$750,MATCH(B305&amp;"|"&amp;WF_START_PERIOD,$AC$5:$AC$750,0)),"")</f>
        <v/>
      </c>
      <c r="Z305" s="0" t="str">
        <f aca="false">IF(AND(D305=WF_END_PERIOD,R305),1+COUNTIFS($D$5:$D$750,WF_END_PERIOD,$E$5:$E$750,E305,$R$5:$R$750,TRUE(),$S$5:$S$750,"&gt;"&amp;S305)+COUNTIFS($D$5:$D$750,WF_END_PERIOD,$E$5:$E$750,E305,$R$5:$R$750,TRUE(),$S$5:$S$750,S305,$B$5:$B$750,"&lt;"&amp;B305),"")</f>
        <v/>
      </c>
      <c r="AA305" s="0" t="str">
        <f aca="false">IF(AND(D305=WF_END_PERIOD,R305,Z305&lt;&gt;1),1+COUNTIFS($D$5:$D$750,WF_END_PERIOD,$R$5:$R$750,TRUE(),$Z$5:$Z$750,"&lt;&gt;1",$S$5:$S$750,"&gt;"&amp;S305)+COUNTIFS($D$5:$D$750,WF_END_PERIOD,$R$5:$R$750,TRUE(),$Z$5:$Z$750,"&lt;&gt;1",$S$5:$S$750,S305,$B$5:$B$750,"&lt;"&amp;B305),"")</f>
        <v/>
      </c>
      <c r="AB305" s="11" t="b">
        <f aca="false">OR(D305=WF_START_PERIOD,D305=WF_END_PERIOD)</f>
        <v>0</v>
      </c>
      <c r="AC305" s="0" t="str">
        <f aca="false">B305&amp;"|"&amp;D305</f>
        <v>28369|20230630</v>
      </c>
    </row>
    <row r="306" customFormat="false" ht="15" hidden="false" customHeight="false" outlineLevel="0" collapsed="false">
      <c r="A306" s="0" t="n">
        <f aca="false">RawFinancials!A306</f>
        <v>303</v>
      </c>
      <c r="B306" s="0" t="n">
        <f aca="false">RawFinancials!C306</f>
        <v>28837</v>
      </c>
      <c r="C306" s="0" t="str">
        <f aca="false">RawFinancials!P306</f>
        <v>THE BRATTLEBORO SAVINGS AND LOAN ASSOCIATION</v>
      </c>
      <c r="D306" s="0" t="n">
        <f aca="false">RawFinancials!W306</f>
        <v>20230630</v>
      </c>
      <c r="E306" s="0" t="str">
        <f aca="false">RawFinancials!Z306</f>
        <v>VT</v>
      </c>
      <c r="F306" s="0" t="n">
        <f aca="false">RawFinancials!B306</f>
        <v>285195</v>
      </c>
      <c r="G306" s="0" t="n">
        <f aca="false">RawFinancials!U306</f>
        <v>0</v>
      </c>
      <c r="H306" s="0" t="n">
        <f aca="false">RawFinancials!O306</f>
        <v>38</v>
      </c>
      <c r="I306" s="0" t="n">
        <f aca="false">IF(AND(ISNUMBER(G306),ISNUMBER(H306)),G306+H306,"")</f>
        <v>38</v>
      </c>
      <c r="J306" s="0" t="n">
        <f aca="false">RawFinancials!D306</f>
        <v>256863</v>
      </c>
      <c r="K306" s="0" t="n">
        <f aca="false">RawFinancials!F306</f>
        <v>24942</v>
      </c>
      <c r="L306" s="0" t="n">
        <f aca="false">RawFinancials!L306</f>
        <v>193010</v>
      </c>
      <c r="M306" s="0" t="n">
        <f aca="false">RawFinancials!N306</f>
        <v>183990</v>
      </c>
      <c r="N306" s="13" t="n">
        <f aca="false">RawFinancials!X306</f>
        <v>0.998180082377603</v>
      </c>
      <c r="O306" s="13" t="n">
        <f aca="false">RawFinancials!V306</f>
        <v>16.3569852514226</v>
      </c>
      <c r="P306" s="13" t="n">
        <f aca="false">IF(AND(ISNUMBER(L306),L306&lt;&gt;0,ISNUMBER(M306)),100*M306/L306,"")</f>
        <v>95.3266670120719</v>
      </c>
      <c r="Q306" s="13" t="n">
        <f aca="false">IF(AND(ISNUMBER(F306),F306&lt;&gt;0,ISNUMBER(K306)),100*K306/F306,"")</f>
        <v>8.74559511912902</v>
      </c>
      <c r="R306" s="11" t="b">
        <f aca="false">AND(ISNUMBER(F306),F306&gt;0,ISNUMBER(G306),G306&gt;=0,ISNUMBER(H306),H306&gt;=0)</f>
        <v>1</v>
      </c>
      <c r="S306" s="13" t="n">
        <f aca="false">IF(R306,100*I306/F306,"")</f>
        <v>0.0133242167639685</v>
      </c>
      <c r="T306" s="11" t="b">
        <f aca="false">NOT(AND(OR(AND(ISBLANK(RawFinancials!B306),ISBLANK(_RawBaseline!B303)),AND(ISNUMBER(RawFinancials!B306),ISNUMBER(_RawBaseline!B303),RawFinancials!B306=_RawBaseline!B303)),OR(AND(ISBLANK(RawFinancials!U306),ISBLANK(_RawBaseline!U303)),AND(ISNUMBER(RawFinancials!U306),ISNUMBER(_RawBaseline!U303),RawFinancials!U306=_RawBaseline!U303)),OR(AND(ISBLANK(RawFinancials!O306),ISBLANK(_RawBaseline!O303)),AND(ISNUMBER(RawFinancials!O306),ISNUMBER(_RawBaseline!O303),RawFinancials!O306=_RawBaseline!O303))))</f>
        <v>0</v>
      </c>
      <c r="U306" s="13" t="n">
        <f aca="false">IF(AND(D306=WF_START_PERIOD,R306,COUNTIFS($B$5:$B$750,B306,$D$5:$D$750,WF_END_PERIOD,$R$5:$R$750,TRUE())&gt;0),SUMIFS($S$5:$S$750,$B$5:$B$750,B306,$D$5:$D$750,WF_END_PERIOD,$R$5:$R$750,TRUE()),0)</f>
        <v>0</v>
      </c>
      <c r="V306" s="0" t="str">
        <f aca="false">IF(AND(D306=WF_START_PERIOD,COUNTIFS($B$5:$B$750,B306,$D$5:$D$750,WF_END_PERIOD)&gt;0),INDEX($E$5:$E$750,MATCH(B306&amp;"|"&amp;WF_END_PERIOD,$AC$5:$AC$750,0)),"")</f>
        <v/>
      </c>
      <c r="W306" s="11" t="b">
        <f aca="false">COUNTIFS($B$5:$B$750,B306,$D$5:$D$750,WF_START_PERIOD,$R$5:$R$750,TRUE())&gt;0</f>
        <v>1</v>
      </c>
      <c r="X306" s="11" t="b">
        <f aca="false">COUNTIFS($B$5:$B$750,B306,$D$5:$D$750,WF_END_PERIOD,$R$5:$R$750,TRUE())&gt;0</f>
        <v>1</v>
      </c>
      <c r="Y306" s="0" t="str">
        <f aca="false">IF(AND(D306=WF_END_PERIOD,COUNTIFS($B$5:$B$750,B306,$D$5:$D$750,WF_START_PERIOD)&gt;0),INDEX($E$5:$E$750,MATCH(B306&amp;"|"&amp;WF_START_PERIOD,$AC$5:$AC$750,0)),"")</f>
        <v/>
      </c>
      <c r="Z306" s="0" t="str">
        <f aca="false">IF(AND(D306=WF_END_PERIOD,R306),1+COUNTIFS($D$5:$D$750,WF_END_PERIOD,$E$5:$E$750,E306,$R$5:$R$750,TRUE(),$S$5:$S$750,"&gt;"&amp;S306)+COUNTIFS($D$5:$D$750,WF_END_PERIOD,$E$5:$E$750,E306,$R$5:$R$750,TRUE(),$S$5:$S$750,S306,$B$5:$B$750,"&lt;"&amp;B306),"")</f>
        <v/>
      </c>
      <c r="AA306" s="0" t="str">
        <f aca="false">IF(AND(D306=WF_END_PERIOD,R306,Z306&lt;&gt;1),1+COUNTIFS($D$5:$D$750,WF_END_PERIOD,$R$5:$R$750,TRUE(),$Z$5:$Z$750,"&lt;&gt;1",$S$5:$S$750,"&gt;"&amp;S306)+COUNTIFS($D$5:$D$750,WF_END_PERIOD,$R$5:$R$750,TRUE(),$Z$5:$Z$750,"&lt;&gt;1",$S$5:$S$750,S306,$B$5:$B$750,"&lt;"&amp;B306),"")</f>
        <v/>
      </c>
      <c r="AB306" s="11" t="b">
        <f aca="false">OR(D306=WF_START_PERIOD,D306=WF_END_PERIOD)</f>
        <v>0</v>
      </c>
      <c r="AC306" s="0" t="str">
        <f aca="false">B306&amp;"|"&amp;D306</f>
        <v>28837|20230630</v>
      </c>
    </row>
    <row r="307" customFormat="false" ht="15" hidden="false" customHeight="false" outlineLevel="0" collapsed="false">
      <c r="A307" s="0" t="n">
        <f aca="false">RawFinancials!A307</f>
        <v>304</v>
      </c>
      <c r="B307" s="0" t="n">
        <f aca="false">RawFinancials!C307</f>
        <v>29636</v>
      </c>
      <c r="C307" s="0" t="str">
        <f aca="false">RawFinancials!P307</f>
        <v>FIRST FEDERAL SAVINGS AND LOAN ASSOCIATION OF BATH</v>
      </c>
      <c r="D307" s="0" t="n">
        <f aca="false">RawFinancials!W307</f>
        <v>20230630</v>
      </c>
      <c r="E307" s="0" t="str">
        <f aca="false">RawFinancials!Z307</f>
        <v>ME</v>
      </c>
      <c r="F307" s="0" t="n">
        <f aca="false">RawFinancials!B307</f>
        <v>182034</v>
      </c>
      <c r="G307" s="0" t="n">
        <f aca="false">RawFinancials!U307</f>
        <v>0</v>
      </c>
      <c r="H307" s="0" t="n">
        <f aca="false">RawFinancials!O307</f>
        <v>2061</v>
      </c>
      <c r="I307" s="0" t="n">
        <f aca="false">IF(AND(ISNUMBER(G307),ISNUMBER(H307)),G307+H307,"")</f>
        <v>2061</v>
      </c>
      <c r="J307" s="0" t="n">
        <f aca="false">RawFinancials!D307</f>
        <v>145903</v>
      </c>
      <c r="K307" s="0" t="n">
        <f aca="false">RawFinancials!F307</f>
        <v>24760</v>
      </c>
      <c r="L307" s="0" t="n">
        <f aca="false">RawFinancials!L307</f>
        <v>130004</v>
      </c>
      <c r="M307" s="0" t="n">
        <f aca="false">RawFinancials!N307</f>
        <v>126522</v>
      </c>
      <c r="N307" s="13" t="n">
        <f aca="false">RawFinancials!X307</f>
        <v>0.410119937297218</v>
      </c>
      <c r="O307" s="13" t="n">
        <f aca="false">RawFinancials!V307</f>
        <v>26.711621347846</v>
      </c>
      <c r="P307" s="13" t="n">
        <f aca="false">IF(AND(ISNUMBER(L307),L307&lt;&gt;0,ISNUMBER(M307)),100*M307/L307,"")</f>
        <v>97.3216208732039</v>
      </c>
      <c r="Q307" s="13" t="n">
        <f aca="false">IF(AND(ISNUMBER(F307),F307&lt;&gt;0,ISNUMBER(K307)),100*K307/F307,"")</f>
        <v>13.6018545985915</v>
      </c>
      <c r="R307" s="11" t="b">
        <f aca="false">AND(ISNUMBER(F307),F307&gt;0,ISNUMBER(G307),G307&gt;=0,ISNUMBER(H307),H307&gt;=0)</f>
        <v>1</v>
      </c>
      <c r="S307" s="13" t="n">
        <f aca="false">IF(R307,100*I307/F307,"")</f>
        <v>1.13220607139326</v>
      </c>
      <c r="T307" s="11" t="b">
        <f aca="false">NOT(AND(OR(AND(ISBLANK(RawFinancials!B307),ISBLANK(_RawBaseline!B304)),AND(ISNUMBER(RawFinancials!B307),ISNUMBER(_RawBaseline!B304),RawFinancials!B307=_RawBaseline!B304)),OR(AND(ISBLANK(RawFinancials!U307),ISBLANK(_RawBaseline!U304)),AND(ISNUMBER(RawFinancials!U307),ISNUMBER(_RawBaseline!U304),RawFinancials!U307=_RawBaseline!U304)),OR(AND(ISBLANK(RawFinancials!O307),ISBLANK(_RawBaseline!O304)),AND(ISNUMBER(RawFinancials!O307),ISNUMBER(_RawBaseline!O304),RawFinancials!O307=_RawBaseline!O304))))</f>
        <v>0</v>
      </c>
      <c r="U307" s="13" t="n">
        <f aca="false">IF(AND(D307=WF_START_PERIOD,R307,COUNTIFS($B$5:$B$750,B307,$D$5:$D$750,WF_END_PERIOD,$R$5:$R$750,TRUE())&gt;0),SUMIFS($S$5:$S$750,$B$5:$B$750,B307,$D$5:$D$750,WF_END_PERIOD,$R$5:$R$750,TRUE()),0)</f>
        <v>0</v>
      </c>
      <c r="V307" s="0" t="str">
        <f aca="false">IF(AND(D307=WF_START_PERIOD,COUNTIFS($B$5:$B$750,B307,$D$5:$D$750,WF_END_PERIOD)&gt;0),INDEX($E$5:$E$750,MATCH(B307&amp;"|"&amp;WF_END_PERIOD,$AC$5:$AC$750,0)),"")</f>
        <v/>
      </c>
      <c r="W307" s="11" t="b">
        <f aca="false">COUNTIFS($B$5:$B$750,B307,$D$5:$D$750,WF_START_PERIOD,$R$5:$R$750,TRUE())&gt;0</f>
        <v>1</v>
      </c>
      <c r="X307" s="11" t="b">
        <f aca="false">COUNTIFS($B$5:$B$750,B307,$D$5:$D$750,WF_END_PERIOD,$R$5:$R$750,TRUE())&gt;0</f>
        <v>1</v>
      </c>
      <c r="Y307" s="0" t="str">
        <f aca="false">IF(AND(D307=WF_END_PERIOD,COUNTIFS($B$5:$B$750,B307,$D$5:$D$750,WF_START_PERIOD)&gt;0),INDEX($E$5:$E$750,MATCH(B307&amp;"|"&amp;WF_START_PERIOD,$AC$5:$AC$750,0)),"")</f>
        <v/>
      </c>
      <c r="Z307" s="0" t="str">
        <f aca="false">IF(AND(D307=WF_END_PERIOD,R307),1+COUNTIFS($D$5:$D$750,WF_END_PERIOD,$E$5:$E$750,E307,$R$5:$R$750,TRUE(),$S$5:$S$750,"&gt;"&amp;S307)+COUNTIFS($D$5:$D$750,WF_END_PERIOD,$E$5:$E$750,E307,$R$5:$R$750,TRUE(),$S$5:$S$750,S307,$B$5:$B$750,"&lt;"&amp;B307),"")</f>
        <v/>
      </c>
      <c r="AA307" s="0" t="str">
        <f aca="false">IF(AND(D307=WF_END_PERIOD,R307,Z307&lt;&gt;1),1+COUNTIFS($D$5:$D$750,WF_END_PERIOD,$R$5:$R$750,TRUE(),$Z$5:$Z$750,"&lt;&gt;1",$S$5:$S$750,"&gt;"&amp;S307)+COUNTIFS($D$5:$D$750,WF_END_PERIOD,$R$5:$R$750,TRUE(),$Z$5:$Z$750,"&lt;&gt;1",$S$5:$S$750,S307,$B$5:$B$750,"&lt;"&amp;B307),"")</f>
        <v/>
      </c>
      <c r="AB307" s="11" t="b">
        <f aca="false">OR(D307=WF_START_PERIOD,D307=WF_END_PERIOD)</f>
        <v>0</v>
      </c>
      <c r="AC307" s="0" t="str">
        <f aca="false">B307&amp;"|"&amp;D307</f>
        <v>29636|20230630</v>
      </c>
    </row>
    <row r="308" customFormat="false" ht="15" hidden="false" customHeight="false" outlineLevel="0" collapsed="false">
      <c r="A308" s="0" t="n">
        <f aca="false">RawFinancials!A308</f>
        <v>305</v>
      </c>
      <c r="B308" s="0" t="n">
        <f aca="false">RawFinancials!C308</f>
        <v>29743</v>
      </c>
      <c r="C308" s="0" t="str">
        <f aca="false">RawFinancials!P308</f>
        <v>AROOSTOOK COUNTY FEDERAL SAVINGS AND LOAN ASSOCIATION</v>
      </c>
      <c r="D308" s="0" t="n">
        <f aca="false">RawFinancials!W308</f>
        <v>20230630</v>
      </c>
      <c r="E308" s="0" t="str">
        <f aca="false">RawFinancials!Z308</f>
        <v>ME</v>
      </c>
      <c r="F308" s="0" t="n">
        <f aca="false">RawFinancials!B308</f>
        <v>185445</v>
      </c>
      <c r="G308" s="0" t="n">
        <f aca="false">RawFinancials!U308</f>
        <v>0</v>
      </c>
      <c r="H308" s="0" t="n">
        <f aca="false">RawFinancials!O308</f>
        <v>624</v>
      </c>
      <c r="I308" s="0" t="n">
        <f aca="false">IF(AND(ISNUMBER(G308),ISNUMBER(H308)),G308+H308,"")</f>
        <v>624</v>
      </c>
      <c r="J308" s="0" t="n">
        <f aca="false">RawFinancials!D308</f>
        <v>165388</v>
      </c>
      <c r="K308" s="0" t="n">
        <f aca="false">RawFinancials!F308</f>
        <v>15742</v>
      </c>
      <c r="L308" s="0" t="n">
        <f aca="false">RawFinancials!L308</f>
        <v>130074</v>
      </c>
      <c r="M308" s="0" t="n">
        <f aca="false">RawFinancials!N308</f>
        <v>81523</v>
      </c>
      <c r="N308" s="13" t="n">
        <f aca="false">RawFinancials!X308</f>
        <v>0.593040868794168</v>
      </c>
      <c r="O308" s="13" t="n">
        <f aca="false">RawFinancials!V308</f>
        <v>17.6543434711346</v>
      </c>
      <c r="P308" s="13" t="n">
        <f aca="false">IF(AND(ISNUMBER(L308),L308&lt;&gt;0,ISNUMBER(M308)),100*M308/L308,"")</f>
        <v>62.6743238464259</v>
      </c>
      <c r="Q308" s="13" t="n">
        <f aca="false">IF(AND(ISNUMBER(F308),F308&lt;&gt;0,ISNUMBER(K308)),100*K308/F308,"")</f>
        <v>8.48877025533177</v>
      </c>
      <c r="R308" s="11" t="b">
        <f aca="false">AND(ISNUMBER(F308),F308&gt;0,ISNUMBER(G308),G308&gt;=0,ISNUMBER(H308),H308&gt;=0)</f>
        <v>1</v>
      </c>
      <c r="S308" s="13" t="n">
        <f aca="false">IF(R308,100*I308/F308,"")</f>
        <v>0.336487907465825</v>
      </c>
      <c r="T308" s="11" t="b">
        <f aca="false">NOT(AND(OR(AND(ISBLANK(RawFinancials!B308),ISBLANK(_RawBaseline!B305)),AND(ISNUMBER(RawFinancials!B308),ISNUMBER(_RawBaseline!B305),RawFinancials!B308=_RawBaseline!B305)),OR(AND(ISBLANK(RawFinancials!U308),ISBLANK(_RawBaseline!U305)),AND(ISNUMBER(RawFinancials!U308),ISNUMBER(_RawBaseline!U305),RawFinancials!U308=_RawBaseline!U305)),OR(AND(ISBLANK(RawFinancials!O308),ISBLANK(_RawBaseline!O305)),AND(ISNUMBER(RawFinancials!O308),ISNUMBER(_RawBaseline!O305),RawFinancials!O308=_RawBaseline!O305))))</f>
        <v>0</v>
      </c>
      <c r="U308" s="13" t="n">
        <f aca="false">IF(AND(D308=WF_START_PERIOD,R308,COUNTIFS($B$5:$B$750,B308,$D$5:$D$750,WF_END_PERIOD,$R$5:$R$750,TRUE())&gt;0),SUMIFS($S$5:$S$750,$B$5:$B$750,B308,$D$5:$D$750,WF_END_PERIOD,$R$5:$R$750,TRUE()),0)</f>
        <v>0</v>
      </c>
      <c r="V308" s="0" t="str">
        <f aca="false">IF(AND(D308=WF_START_PERIOD,COUNTIFS($B$5:$B$750,B308,$D$5:$D$750,WF_END_PERIOD)&gt;0),INDEX($E$5:$E$750,MATCH(B308&amp;"|"&amp;WF_END_PERIOD,$AC$5:$AC$750,0)),"")</f>
        <v/>
      </c>
      <c r="W308" s="11" t="b">
        <f aca="false">COUNTIFS($B$5:$B$750,B308,$D$5:$D$750,WF_START_PERIOD,$R$5:$R$750,TRUE())&gt;0</f>
        <v>1</v>
      </c>
      <c r="X308" s="11" t="b">
        <f aca="false">COUNTIFS($B$5:$B$750,B308,$D$5:$D$750,WF_END_PERIOD,$R$5:$R$750,TRUE())&gt;0</f>
        <v>1</v>
      </c>
      <c r="Y308" s="0" t="str">
        <f aca="false">IF(AND(D308=WF_END_PERIOD,COUNTIFS($B$5:$B$750,B308,$D$5:$D$750,WF_START_PERIOD)&gt;0),INDEX($E$5:$E$750,MATCH(B308&amp;"|"&amp;WF_START_PERIOD,$AC$5:$AC$750,0)),"")</f>
        <v/>
      </c>
      <c r="Z308" s="0" t="str">
        <f aca="false">IF(AND(D308=WF_END_PERIOD,R308),1+COUNTIFS($D$5:$D$750,WF_END_PERIOD,$E$5:$E$750,E308,$R$5:$R$750,TRUE(),$S$5:$S$750,"&gt;"&amp;S308)+COUNTIFS($D$5:$D$750,WF_END_PERIOD,$E$5:$E$750,E308,$R$5:$R$750,TRUE(),$S$5:$S$750,S308,$B$5:$B$750,"&lt;"&amp;B308),"")</f>
        <v/>
      </c>
      <c r="AA308" s="0" t="str">
        <f aca="false">IF(AND(D308=WF_END_PERIOD,R308,Z308&lt;&gt;1),1+COUNTIFS($D$5:$D$750,WF_END_PERIOD,$R$5:$R$750,TRUE(),$Z$5:$Z$750,"&lt;&gt;1",$S$5:$S$750,"&gt;"&amp;S308)+COUNTIFS($D$5:$D$750,WF_END_PERIOD,$R$5:$R$750,TRUE(),$Z$5:$Z$750,"&lt;&gt;1",$S$5:$S$750,S308,$B$5:$B$750,"&lt;"&amp;B308),"")</f>
        <v/>
      </c>
      <c r="AB308" s="11" t="b">
        <f aca="false">OR(D308=WF_START_PERIOD,D308=WF_END_PERIOD)</f>
        <v>0</v>
      </c>
      <c r="AC308" s="0" t="str">
        <f aca="false">B308&amp;"|"&amp;D308</f>
        <v>29743|20230630</v>
      </c>
    </row>
    <row r="309" customFormat="false" ht="15" hidden="false" customHeight="false" outlineLevel="0" collapsed="false">
      <c r="A309" s="0" t="n">
        <f aca="false">RawFinancials!A309</f>
        <v>306</v>
      </c>
      <c r="B309" s="0" t="n">
        <f aca="false">RawFinancials!C309</f>
        <v>29744</v>
      </c>
      <c r="C309" s="0" t="str">
        <f aca="false">RawFinancials!P309</f>
        <v>FIRST SEACOAST BANK</v>
      </c>
      <c r="D309" s="0" t="n">
        <f aca="false">RawFinancials!W309</f>
        <v>20230630</v>
      </c>
      <c r="E309" s="0" t="str">
        <f aca="false">RawFinancials!Z309</f>
        <v>NH</v>
      </c>
      <c r="F309" s="0" t="n">
        <f aca="false">RawFinancials!B309</f>
        <v>552677</v>
      </c>
      <c r="G309" s="0" t="n">
        <f aca="false">RawFinancials!U309</f>
        <v>0</v>
      </c>
      <c r="H309" s="0" t="n">
        <f aca="false">RawFinancials!O309</f>
        <v>3</v>
      </c>
      <c r="I309" s="0" t="n">
        <f aca="false">IF(AND(ISNUMBER(G309),ISNUMBER(H309)),G309+H309,"")</f>
        <v>3</v>
      </c>
      <c r="J309" s="0" t="n">
        <f aca="false">RawFinancials!D309</f>
        <v>410619</v>
      </c>
      <c r="K309" s="0" t="n">
        <f aca="false">RawFinancials!F309</f>
        <v>52781</v>
      </c>
      <c r="L309" s="0" t="n">
        <f aca="false">RawFinancials!L309</f>
        <v>417149</v>
      </c>
      <c r="M309" s="0" t="n">
        <f aca="false">RawFinancials!N309</f>
        <v>384059</v>
      </c>
      <c r="N309" s="13" t="n">
        <f aca="false">RawFinancials!X309</f>
        <v>-0.0278310290339887</v>
      </c>
      <c r="O309" s="13" t="n">
        <f aca="false">RawFinancials!V309</f>
        <v>18.6877368552432</v>
      </c>
      <c r="P309" s="13" t="n">
        <f aca="false">IF(AND(ISNUMBER(L309),L309&lt;&gt;0,ISNUMBER(M309)),100*M309/L309,"")</f>
        <v>92.0675825664211</v>
      </c>
      <c r="Q309" s="13" t="n">
        <f aca="false">IF(AND(ISNUMBER(F309),F309&lt;&gt;0,ISNUMBER(K309)),100*K309/F309,"")</f>
        <v>9.55006269484708</v>
      </c>
      <c r="R309" s="11" t="b">
        <f aca="false">AND(ISNUMBER(F309),F309&gt;0,ISNUMBER(G309),G309&gt;=0,ISNUMBER(H309),H309&gt;=0)</f>
        <v>1</v>
      </c>
      <c r="S309" s="13" t="n">
        <f aca="false">IF(R309,100*I309/F309,"")</f>
        <v>0.000542812528836916</v>
      </c>
      <c r="T309" s="11" t="b">
        <f aca="false">NOT(AND(OR(AND(ISBLANK(RawFinancials!B309),ISBLANK(_RawBaseline!B306)),AND(ISNUMBER(RawFinancials!B309),ISNUMBER(_RawBaseline!B306),RawFinancials!B309=_RawBaseline!B306)),OR(AND(ISBLANK(RawFinancials!U309),ISBLANK(_RawBaseline!U306)),AND(ISNUMBER(RawFinancials!U309),ISNUMBER(_RawBaseline!U306),RawFinancials!U309=_RawBaseline!U306)),OR(AND(ISBLANK(RawFinancials!O309),ISBLANK(_RawBaseline!O306)),AND(ISNUMBER(RawFinancials!O309),ISNUMBER(_RawBaseline!O306),RawFinancials!O309=_RawBaseline!O306))))</f>
        <v>0</v>
      </c>
      <c r="U309" s="13" t="n">
        <f aca="false">IF(AND(D309=WF_START_PERIOD,R309,COUNTIFS($B$5:$B$750,B309,$D$5:$D$750,WF_END_PERIOD,$R$5:$R$750,TRUE())&gt;0),SUMIFS($S$5:$S$750,$B$5:$B$750,B309,$D$5:$D$750,WF_END_PERIOD,$R$5:$R$750,TRUE()),0)</f>
        <v>0</v>
      </c>
      <c r="V309" s="0" t="str">
        <f aca="false">IF(AND(D309=WF_START_PERIOD,COUNTIFS($B$5:$B$750,B309,$D$5:$D$750,WF_END_PERIOD)&gt;0),INDEX($E$5:$E$750,MATCH(B309&amp;"|"&amp;WF_END_PERIOD,$AC$5:$AC$750,0)),"")</f>
        <v/>
      </c>
      <c r="W309" s="11" t="b">
        <f aca="false">COUNTIFS($B$5:$B$750,B309,$D$5:$D$750,WF_START_PERIOD,$R$5:$R$750,TRUE())&gt;0</f>
        <v>1</v>
      </c>
      <c r="X309" s="11" t="b">
        <f aca="false">COUNTIFS($B$5:$B$750,B309,$D$5:$D$750,WF_END_PERIOD,$R$5:$R$750,TRUE())&gt;0</f>
        <v>1</v>
      </c>
      <c r="Y309" s="0" t="str">
        <f aca="false">IF(AND(D309=WF_END_PERIOD,COUNTIFS($B$5:$B$750,B309,$D$5:$D$750,WF_START_PERIOD)&gt;0),INDEX($E$5:$E$750,MATCH(B309&amp;"|"&amp;WF_START_PERIOD,$AC$5:$AC$750,0)),"")</f>
        <v/>
      </c>
      <c r="Z309" s="0" t="str">
        <f aca="false">IF(AND(D309=WF_END_PERIOD,R309),1+COUNTIFS($D$5:$D$750,WF_END_PERIOD,$E$5:$E$750,E309,$R$5:$R$750,TRUE(),$S$5:$S$750,"&gt;"&amp;S309)+COUNTIFS($D$5:$D$750,WF_END_PERIOD,$E$5:$E$750,E309,$R$5:$R$750,TRUE(),$S$5:$S$750,S309,$B$5:$B$750,"&lt;"&amp;B309),"")</f>
        <v/>
      </c>
      <c r="AA309" s="0" t="str">
        <f aca="false">IF(AND(D309=WF_END_PERIOD,R309,Z309&lt;&gt;1),1+COUNTIFS($D$5:$D$750,WF_END_PERIOD,$R$5:$R$750,TRUE(),$Z$5:$Z$750,"&lt;&gt;1",$S$5:$S$750,"&gt;"&amp;S309)+COUNTIFS($D$5:$D$750,WF_END_PERIOD,$R$5:$R$750,TRUE(),$Z$5:$Z$750,"&lt;&gt;1",$S$5:$S$750,S309,$B$5:$B$750,"&lt;"&amp;B309),"")</f>
        <v/>
      </c>
      <c r="AB309" s="11" t="b">
        <f aca="false">OR(D309=WF_START_PERIOD,D309=WF_END_PERIOD)</f>
        <v>0</v>
      </c>
      <c r="AC309" s="0" t="str">
        <f aca="false">B309&amp;"|"&amp;D309</f>
        <v>29744|20230630</v>
      </c>
    </row>
    <row r="310" customFormat="false" ht="15" hidden="false" customHeight="false" outlineLevel="0" collapsed="false">
      <c r="A310" s="0" t="n">
        <f aca="false">RawFinancials!A310</f>
        <v>307</v>
      </c>
      <c r="B310" s="0" t="n">
        <f aca="false">RawFinancials!C310</f>
        <v>30350</v>
      </c>
      <c r="C310" s="0" t="str">
        <f aca="false">RawFinancials!P310</f>
        <v>THE BANK OF BENNINGTON</v>
      </c>
      <c r="D310" s="0" t="n">
        <f aca="false">RawFinancials!W310</f>
        <v>20230630</v>
      </c>
      <c r="E310" s="0" t="str">
        <f aca="false">RawFinancials!Z310</f>
        <v>VT</v>
      </c>
      <c r="F310" s="0" t="n">
        <f aca="false">RawFinancials!B310</f>
        <v>551849</v>
      </c>
      <c r="G310" s="0" t="n">
        <f aca="false">RawFinancials!U310</f>
        <v>0</v>
      </c>
      <c r="H310" s="0" t="n">
        <f aca="false">RawFinancials!O310</f>
        <v>1166</v>
      </c>
      <c r="I310" s="0" t="n">
        <f aca="false">IF(AND(ISNUMBER(G310),ISNUMBER(H310)),G310+H310,"")</f>
        <v>1166</v>
      </c>
      <c r="J310" s="0" t="n">
        <f aca="false">RawFinancials!D310</f>
        <v>438525</v>
      </c>
      <c r="K310" s="0" t="n">
        <f aca="false">RawFinancials!F310</f>
        <v>53168</v>
      </c>
      <c r="L310" s="0" t="n">
        <f aca="false">RawFinancials!L310</f>
        <v>396729</v>
      </c>
      <c r="M310" s="0" t="n">
        <f aca="false">RawFinancials!N310</f>
        <v>376669</v>
      </c>
      <c r="N310" s="13" t="n">
        <f aca="false">RawFinancials!X310</f>
        <v>0.679975874547648</v>
      </c>
      <c r="O310" s="13" t="n">
        <f aca="false">RawFinancials!V310</f>
        <v>21.5000066539798</v>
      </c>
      <c r="P310" s="13" t="n">
        <f aca="false">IF(AND(ISNUMBER(L310),L310&lt;&gt;0,ISNUMBER(M310)),100*M310/L310,"")</f>
        <v>94.9436517118739</v>
      </c>
      <c r="Q310" s="13" t="n">
        <f aca="false">IF(AND(ISNUMBER(F310),F310&lt;&gt;0,ISNUMBER(K310)),100*K310/F310,"")</f>
        <v>9.63451958778579</v>
      </c>
      <c r="R310" s="11" t="b">
        <f aca="false">AND(ISNUMBER(F310),F310&gt;0,ISNUMBER(G310),G310&gt;=0,ISNUMBER(H310),H310&gt;=0)</f>
        <v>1</v>
      </c>
      <c r="S310" s="13" t="n">
        <f aca="false">IF(R310,100*I310/F310,"")</f>
        <v>0.211289682503728</v>
      </c>
      <c r="T310" s="11" t="b">
        <f aca="false">NOT(AND(OR(AND(ISBLANK(RawFinancials!B310),ISBLANK(_RawBaseline!B307)),AND(ISNUMBER(RawFinancials!B310),ISNUMBER(_RawBaseline!B307),RawFinancials!B310=_RawBaseline!B307)),OR(AND(ISBLANK(RawFinancials!U310),ISBLANK(_RawBaseline!U307)),AND(ISNUMBER(RawFinancials!U310),ISNUMBER(_RawBaseline!U307),RawFinancials!U310=_RawBaseline!U307)),OR(AND(ISBLANK(RawFinancials!O310),ISBLANK(_RawBaseline!O307)),AND(ISNUMBER(RawFinancials!O310),ISNUMBER(_RawBaseline!O307),RawFinancials!O310=_RawBaseline!O307))))</f>
        <v>0</v>
      </c>
      <c r="U310" s="13" t="n">
        <f aca="false">IF(AND(D310=WF_START_PERIOD,R310,COUNTIFS($B$5:$B$750,B310,$D$5:$D$750,WF_END_PERIOD,$R$5:$R$750,TRUE())&gt;0),SUMIFS($S$5:$S$750,$B$5:$B$750,B310,$D$5:$D$750,WF_END_PERIOD,$R$5:$R$750,TRUE()),0)</f>
        <v>0</v>
      </c>
      <c r="V310" s="0" t="str">
        <f aca="false">IF(AND(D310=WF_START_PERIOD,COUNTIFS($B$5:$B$750,B310,$D$5:$D$750,WF_END_PERIOD)&gt;0),INDEX($E$5:$E$750,MATCH(B310&amp;"|"&amp;WF_END_PERIOD,$AC$5:$AC$750,0)),"")</f>
        <v/>
      </c>
      <c r="W310" s="11" t="b">
        <f aca="false">COUNTIFS($B$5:$B$750,B310,$D$5:$D$750,WF_START_PERIOD,$R$5:$R$750,TRUE())&gt;0</f>
        <v>1</v>
      </c>
      <c r="X310" s="11" t="b">
        <f aca="false">COUNTIFS($B$5:$B$750,B310,$D$5:$D$750,WF_END_PERIOD,$R$5:$R$750,TRUE())&gt;0</f>
        <v>1</v>
      </c>
      <c r="Y310" s="0" t="str">
        <f aca="false">IF(AND(D310=WF_END_PERIOD,COUNTIFS($B$5:$B$750,B310,$D$5:$D$750,WF_START_PERIOD)&gt;0),INDEX($E$5:$E$750,MATCH(B310&amp;"|"&amp;WF_START_PERIOD,$AC$5:$AC$750,0)),"")</f>
        <v/>
      </c>
      <c r="Z310" s="0" t="str">
        <f aca="false">IF(AND(D310=WF_END_PERIOD,R310),1+COUNTIFS($D$5:$D$750,WF_END_PERIOD,$E$5:$E$750,E310,$R$5:$R$750,TRUE(),$S$5:$S$750,"&gt;"&amp;S310)+COUNTIFS($D$5:$D$750,WF_END_PERIOD,$E$5:$E$750,E310,$R$5:$R$750,TRUE(),$S$5:$S$750,S310,$B$5:$B$750,"&lt;"&amp;B310),"")</f>
        <v/>
      </c>
      <c r="AA310" s="0" t="str">
        <f aca="false">IF(AND(D310=WF_END_PERIOD,R310,Z310&lt;&gt;1),1+COUNTIFS($D$5:$D$750,WF_END_PERIOD,$R$5:$R$750,TRUE(),$Z$5:$Z$750,"&lt;&gt;1",$S$5:$S$750,"&gt;"&amp;S310)+COUNTIFS($D$5:$D$750,WF_END_PERIOD,$R$5:$R$750,TRUE(),$Z$5:$Z$750,"&lt;&gt;1",$S$5:$S$750,S310,$B$5:$B$750,"&lt;"&amp;B310),"")</f>
        <v/>
      </c>
      <c r="AB310" s="11" t="b">
        <f aca="false">OR(D310=WF_START_PERIOD,D310=WF_END_PERIOD)</f>
        <v>0</v>
      </c>
      <c r="AC310" s="0" t="str">
        <f aca="false">B310&amp;"|"&amp;D310</f>
        <v>30350|20230630</v>
      </c>
    </row>
    <row r="311" customFormat="false" ht="15" hidden="false" customHeight="false" outlineLevel="0" collapsed="false">
      <c r="A311" s="0" t="n">
        <f aca="false">RawFinancials!A311</f>
        <v>308</v>
      </c>
      <c r="B311" s="0" t="n">
        <f aca="false">RawFinancials!C311</f>
        <v>30878</v>
      </c>
      <c r="C311" s="0" t="str">
        <f aca="false">RawFinancials!P311</f>
        <v>BAR HARBOR SAVINGS AND LOAN ASSOCIATION</v>
      </c>
      <c r="D311" s="0" t="n">
        <f aca="false">RawFinancials!W311</f>
        <v>20230630</v>
      </c>
      <c r="E311" s="0" t="str">
        <f aca="false">RawFinancials!Z311</f>
        <v>ME</v>
      </c>
      <c r="F311" s="0" t="n">
        <f aca="false">RawFinancials!B311</f>
        <v>102023</v>
      </c>
      <c r="G311" s="0" t="n">
        <f aca="false">RawFinancials!U311</f>
        <v>0</v>
      </c>
      <c r="H311" s="0" t="n">
        <f aca="false">RawFinancials!O311</f>
        <v>704</v>
      </c>
      <c r="I311" s="0" t="n">
        <f aca="false">IF(AND(ISNUMBER(G311),ISNUMBER(H311)),G311+H311,"")</f>
        <v>704</v>
      </c>
      <c r="J311" s="0" t="n">
        <f aca="false">RawFinancials!D311</f>
        <v>73248</v>
      </c>
      <c r="K311" s="0" t="n">
        <f aca="false">RawFinancials!F311</f>
        <v>12549</v>
      </c>
      <c r="L311" s="0" t="n">
        <f aca="false">RawFinancials!L311</f>
        <v>84437</v>
      </c>
      <c r="M311" s="0" t="n">
        <f aca="false">RawFinancials!N311</f>
        <v>84259</v>
      </c>
      <c r="N311" s="13" t="n">
        <f aca="false">RawFinancials!X311</f>
        <v>0.0957224439828351</v>
      </c>
      <c r="O311" s="13" t="n">
        <f aca="false">RawFinancials!V311</f>
        <v>0</v>
      </c>
      <c r="P311" s="13" t="n">
        <f aca="false">IF(AND(ISNUMBER(L311),L311&lt;&gt;0,ISNUMBER(M311)),100*M311/L311,"")</f>
        <v>99.7891919419212</v>
      </c>
      <c r="Q311" s="13" t="n">
        <f aca="false">IF(AND(ISNUMBER(F311),F311&lt;&gt;0,ISNUMBER(K311)),100*K311/F311,"")</f>
        <v>12.3001676092646</v>
      </c>
      <c r="R311" s="11" t="b">
        <f aca="false">AND(ISNUMBER(F311),F311&gt;0,ISNUMBER(G311),G311&gt;=0,ISNUMBER(H311),H311&gt;=0)</f>
        <v>1</v>
      </c>
      <c r="S311" s="13" t="n">
        <f aca="false">IF(R311,100*I311/F311,"")</f>
        <v>0.690040481067994</v>
      </c>
      <c r="T311" s="11" t="b">
        <f aca="false">NOT(AND(OR(AND(ISBLANK(RawFinancials!B311),ISBLANK(_RawBaseline!B308)),AND(ISNUMBER(RawFinancials!B311),ISNUMBER(_RawBaseline!B308),RawFinancials!B311=_RawBaseline!B308)),OR(AND(ISBLANK(RawFinancials!U311),ISBLANK(_RawBaseline!U308)),AND(ISNUMBER(RawFinancials!U311),ISNUMBER(_RawBaseline!U308),RawFinancials!U311=_RawBaseline!U308)),OR(AND(ISBLANK(RawFinancials!O311),ISBLANK(_RawBaseline!O308)),AND(ISNUMBER(RawFinancials!O311),ISNUMBER(_RawBaseline!O308),RawFinancials!O311=_RawBaseline!O308))))</f>
        <v>0</v>
      </c>
      <c r="U311" s="13" t="n">
        <f aca="false">IF(AND(D311=WF_START_PERIOD,R311,COUNTIFS($B$5:$B$750,B311,$D$5:$D$750,WF_END_PERIOD,$R$5:$R$750,TRUE())&gt;0),SUMIFS($S$5:$S$750,$B$5:$B$750,B311,$D$5:$D$750,WF_END_PERIOD,$R$5:$R$750,TRUE()),0)</f>
        <v>0</v>
      </c>
      <c r="V311" s="0" t="str">
        <f aca="false">IF(AND(D311=WF_START_PERIOD,COUNTIFS($B$5:$B$750,B311,$D$5:$D$750,WF_END_PERIOD)&gt;0),INDEX($E$5:$E$750,MATCH(B311&amp;"|"&amp;WF_END_PERIOD,$AC$5:$AC$750,0)),"")</f>
        <v/>
      </c>
      <c r="W311" s="11" t="b">
        <f aca="false">COUNTIFS($B$5:$B$750,B311,$D$5:$D$750,WF_START_PERIOD,$R$5:$R$750,TRUE())&gt;0</f>
        <v>1</v>
      </c>
      <c r="X311" s="11" t="b">
        <f aca="false">COUNTIFS($B$5:$B$750,B311,$D$5:$D$750,WF_END_PERIOD,$R$5:$R$750,TRUE())&gt;0</f>
        <v>1</v>
      </c>
      <c r="Y311" s="0" t="str">
        <f aca="false">IF(AND(D311=WF_END_PERIOD,COUNTIFS($B$5:$B$750,B311,$D$5:$D$750,WF_START_PERIOD)&gt;0),INDEX($E$5:$E$750,MATCH(B311&amp;"|"&amp;WF_START_PERIOD,$AC$5:$AC$750,0)),"")</f>
        <v/>
      </c>
      <c r="Z311" s="0" t="str">
        <f aca="false">IF(AND(D311=WF_END_PERIOD,R311),1+COUNTIFS($D$5:$D$750,WF_END_PERIOD,$E$5:$E$750,E311,$R$5:$R$750,TRUE(),$S$5:$S$750,"&gt;"&amp;S311)+COUNTIFS($D$5:$D$750,WF_END_PERIOD,$E$5:$E$750,E311,$R$5:$R$750,TRUE(),$S$5:$S$750,S311,$B$5:$B$750,"&lt;"&amp;B311),"")</f>
        <v/>
      </c>
      <c r="AA311" s="0" t="str">
        <f aca="false">IF(AND(D311=WF_END_PERIOD,R311,Z311&lt;&gt;1),1+COUNTIFS($D$5:$D$750,WF_END_PERIOD,$R$5:$R$750,TRUE(),$Z$5:$Z$750,"&lt;&gt;1",$S$5:$S$750,"&gt;"&amp;S311)+COUNTIFS($D$5:$D$750,WF_END_PERIOD,$R$5:$R$750,TRUE(),$Z$5:$Z$750,"&lt;&gt;1",$S$5:$S$750,S311,$B$5:$B$750,"&lt;"&amp;B311),"")</f>
        <v/>
      </c>
      <c r="AB311" s="11" t="b">
        <f aca="false">OR(D311=WF_START_PERIOD,D311=WF_END_PERIOD)</f>
        <v>0</v>
      </c>
      <c r="AC311" s="0" t="str">
        <f aca="false">B311&amp;"|"&amp;D311</f>
        <v>30878|20230630</v>
      </c>
    </row>
    <row r="312" customFormat="false" ht="15" hidden="false" customHeight="false" outlineLevel="0" collapsed="false">
      <c r="A312" s="0" t="n">
        <f aca="false">RawFinancials!A312</f>
        <v>309</v>
      </c>
      <c r="B312" s="0" t="n">
        <f aca="false">RawFinancials!C312</f>
        <v>33418</v>
      </c>
      <c r="C312" s="0" t="str">
        <f aca="false">RawFinancials!P312</f>
        <v>LEDYARD NATIONAL BANK</v>
      </c>
      <c r="D312" s="0" t="n">
        <f aca="false">RawFinancials!W312</f>
        <v>20230630</v>
      </c>
      <c r="E312" s="0" t="str">
        <f aca="false">RawFinancials!Z312</f>
        <v>VT</v>
      </c>
      <c r="F312" s="0" t="n">
        <f aca="false">RawFinancials!B312</f>
        <v>749197</v>
      </c>
      <c r="G312" s="0" t="n">
        <f aca="false">RawFinancials!U312</f>
        <v>0</v>
      </c>
      <c r="H312" s="0" t="n">
        <f aca="false">RawFinancials!O312</f>
        <v>1120</v>
      </c>
      <c r="I312" s="0" t="n">
        <f aca="false">IF(AND(ISNUMBER(G312),ISNUMBER(H312)),G312+H312,"")</f>
        <v>1120</v>
      </c>
      <c r="J312" s="0" t="n">
        <f aca="false">RawFinancials!D312</f>
        <v>565840</v>
      </c>
      <c r="K312" s="0" t="n">
        <f aca="false">RawFinancials!F312</f>
        <v>68367</v>
      </c>
      <c r="L312" s="0" t="n">
        <f aca="false">RawFinancials!L312</f>
        <v>371810</v>
      </c>
      <c r="M312" s="0" t="n">
        <f aca="false">RawFinancials!N312</f>
        <v>314793</v>
      </c>
      <c r="N312" s="13" t="n">
        <f aca="false">RawFinancials!X312</f>
        <v>0.729624498215505</v>
      </c>
      <c r="O312" s="13" t="n">
        <f aca="false">RawFinancials!V312</f>
        <v>18.5404060518078</v>
      </c>
      <c r="P312" s="13" t="n">
        <f aca="false">IF(AND(ISNUMBER(L312),L312&lt;&gt;0,ISNUMBER(M312)),100*M312/L312,"")</f>
        <v>84.6650170786154</v>
      </c>
      <c r="Q312" s="13" t="n">
        <f aca="false">IF(AND(ISNUMBER(F312),F312&lt;&gt;0,ISNUMBER(K312)),100*K312/F312,"")</f>
        <v>9.12537022972596</v>
      </c>
      <c r="R312" s="11" t="b">
        <f aca="false">AND(ISNUMBER(F312),F312&gt;0,ISNUMBER(G312),G312&gt;=0,ISNUMBER(H312),H312&gt;=0)</f>
        <v>1</v>
      </c>
      <c r="S312" s="13" t="n">
        <f aca="false">IF(R312,100*I312/F312,"")</f>
        <v>0.149493390923883</v>
      </c>
      <c r="T312" s="11" t="b">
        <f aca="false">NOT(AND(OR(AND(ISBLANK(RawFinancials!B312),ISBLANK(_RawBaseline!B309)),AND(ISNUMBER(RawFinancials!B312),ISNUMBER(_RawBaseline!B309),RawFinancials!B312=_RawBaseline!B309)),OR(AND(ISBLANK(RawFinancials!U312),ISBLANK(_RawBaseline!U309)),AND(ISNUMBER(RawFinancials!U312),ISNUMBER(_RawBaseline!U309),RawFinancials!U312=_RawBaseline!U309)),OR(AND(ISBLANK(RawFinancials!O312),ISBLANK(_RawBaseline!O309)),AND(ISNUMBER(RawFinancials!O312),ISNUMBER(_RawBaseline!O309),RawFinancials!O312=_RawBaseline!O309))))</f>
        <v>0</v>
      </c>
      <c r="U312" s="13" t="n">
        <f aca="false">IF(AND(D312=WF_START_PERIOD,R312,COUNTIFS($B$5:$B$750,B312,$D$5:$D$750,WF_END_PERIOD,$R$5:$R$750,TRUE())&gt;0),SUMIFS($S$5:$S$750,$B$5:$B$750,B312,$D$5:$D$750,WF_END_PERIOD,$R$5:$R$750,TRUE()),0)</f>
        <v>0</v>
      </c>
      <c r="V312" s="0" t="str">
        <f aca="false">IF(AND(D312=WF_START_PERIOD,COUNTIFS($B$5:$B$750,B312,$D$5:$D$750,WF_END_PERIOD)&gt;0),INDEX($E$5:$E$750,MATCH(B312&amp;"|"&amp;WF_END_PERIOD,$AC$5:$AC$750,0)),"")</f>
        <v/>
      </c>
      <c r="W312" s="11" t="b">
        <f aca="false">COUNTIFS($B$5:$B$750,B312,$D$5:$D$750,WF_START_PERIOD,$R$5:$R$750,TRUE())&gt;0</f>
        <v>1</v>
      </c>
      <c r="X312" s="11" t="b">
        <f aca="false">COUNTIFS($B$5:$B$750,B312,$D$5:$D$750,WF_END_PERIOD,$R$5:$R$750,TRUE())&gt;0</f>
        <v>1</v>
      </c>
      <c r="Y312" s="0" t="str">
        <f aca="false">IF(AND(D312=WF_END_PERIOD,COUNTIFS($B$5:$B$750,B312,$D$5:$D$750,WF_START_PERIOD)&gt;0),INDEX($E$5:$E$750,MATCH(B312&amp;"|"&amp;WF_START_PERIOD,$AC$5:$AC$750,0)),"")</f>
        <v/>
      </c>
      <c r="Z312" s="0" t="str">
        <f aca="false">IF(AND(D312=WF_END_PERIOD,R312),1+COUNTIFS($D$5:$D$750,WF_END_PERIOD,$E$5:$E$750,E312,$R$5:$R$750,TRUE(),$S$5:$S$750,"&gt;"&amp;S312)+COUNTIFS($D$5:$D$750,WF_END_PERIOD,$E$5:$E$750,E312,$R$5:$R$750,TRUE(),$S$5:$S$750,S312,$B$5:$B$750,"&lt;"&amp;B312),"")</f>
        <v/>
      </c>
      <c r="AA312" s="0" t="str">
        <f aca="false">IF(AND(D312=WF_END_PERIOD,R312,Z312&lt;&gt;1),1+COUNTIFS($D$5:$D$750,WF_END_PERIOD,$R$5:$R$750,TRUE(),$Z$5:$Z$750,"&lt;&gt;1",$S$5:$S$750,"&gt;"&amp;S312)+COUNTIFS($D$5:$D$750,WF_END_PERIOD,$R$5:$R$750,TRUE(),$Z$5:$Z$750,"&lt;&gt;1",$S$5:$S$750,S312,$B$5:$B$750,"&lt;"&amp;B312),"")</f>
        <v/>
      </c>
      <c r="AB312" s="11" t="b">
        <f aca="false">OR(D312=WF_START_PERIOD,D312=WF_END_PERIOD)</f>
        <v>0</v>
      </c>
      <c r="AC312" s="0" t="str">
        <f aca="false">B312&amp;"|"&amp;D312</f>
        <v>33418|20230630</v>
      </c>
    </row>
    <row r="313" customFormat="false" ht="15" hidden="false" customHeight="false" outlineLevel="0" collapsed="false">
      <c r="A313" s="0" t="n">
        <f aca="false">RawFinancials!A313</f>
        <v>310</v>
      </c>
      <c r="B313" s="0" t="n">
        <f aca="false">RawFinancials!C313</f>
        <v>35206</v>
      </c>
      <c r="C313" s="0" t="str">
        <f aca="false">RawFinancials!P313</f>
        <v>FIDELITY PERSONAL TRUST COMPANY, FSB</v>
      </c>
      <c r="D313" s="0" t="n">
        <f aca="false">RawFinancials!W313</f>
        <v>20230630</v>
      </c>
      <c r="E313" s="0" t="str">
        <f aca="false">RawFinancials!Z313</f>
        <v>NH</v>
      </c>
      <c r="F313" s="0" t="n">
        <f aca="false">RawFinancials!B313</f>
        <v>69697</v>
      </c>
      <c r="G313" s="0" t="n">
        <f aca="false">RawFinancials!U313</f>
        <v>0</v>
      </c>
      <c r="H313" s="0" t="n">
        <f aca="false">RawFinancials!O313</f>
        <v>0</v>
      </c>
      <c r="I313" s="0" t="n">
        <f aca="false">IF(AND(ISNUMBER(G313),ISNUMBER(H313)),G313+H313,"")</f>
        <v>0</v>
      </c>
      <c r="J313" s="0" t="n">
        <f aca="false">RawFinancials!D313</f>
        <v>500</v>
      </c>
      <c r="K313" s="0" t="n">
        <f aca="false">RawFinancials!F313</f>
        <v>67177</v>
      </c>
      <c r="L313" s="0" t="n">
        <f aca="false">RawFinancials!L313</f>
        <v>0</v>
      </c>
      <c r="M313" s="0" t="n">
        <f aca="false">RawFinancials!N313</f>
        <v>0</v>
      </c>
      <c r="N313" s="13" t="n">
        <f aca="false">RawFinancials!X313</f>
        <v>19.5425080098353</v>
      </c>
      <c r="O313" s="13" t="n">
        <f aca="false">RawFinancials!V313</f>
        <v>0</v>
      </c>
      <c r="P313" s="13" t="str">
        <f aca="false">IF(AND(ISNUMBER(L313),L313&lt;&gt;0,ISNUMBER(M313)),100*M313/L313,"")</f>
        <v/>
      </c>
      <c r="Q313" s="13" t="n">
        <f aca="false">IF(AND(ISNUMBER(F313),F313&lt;&gt;0,ISNUMBER(K313)),100*K313/F313,"")</f>
        <v>96.384349398109</v>
      </c>
      <c r="R313" s="11" t="b">
        <f aca="false">AND(ISNUMBER(F313),F313&gt;0,ISNUMBER(G313),G313&gt;=0,ISNUMBER(H313),H313&gt;=0)</f>
        <v>1</v>
      </c>
      <c r="S313" s="13" t="n">
        <f aca="false">IF(R313,100*I313/F313,"")</f>
        <v>0</v>
      </c>
      <c r="T313" s="11" t="b">
        <f aca="false">NOT(AND(OR(AND(ISBLANK(RawFinancials!B313),ISBLANK(_RawBaseline!B310)),AND(ISNUMBER(RawFinancials!B313),ISNUMBER(_RawBaseline!B310),RawFinancials!B313=_RawBaseline!B310)),OR(AND(ISBLANK(RawFinancials!U313),ISBLANK(_RawBaseline!U310)),AND(ISNUMBER(RawFinancials!U313),ISNUMBER(_RawBaseline!U310),RawFinancials!U313=_RawBaseline!U310)),OR(AND(ISBLANK(RawFinancials!O313),ISBLANK(_RawBaseline!O310)),AND(ISNUMBER(RawFinancials!O313),ISNUMBER(_RawBaseline!O310),RawFinancials!O313=_RawBaseline!O310))))</f>
        <v>0</v>
      </c>
      <c r="U313" s="13" t="n">
        <f aca="false">IF(AND(D313=WF_START_PERIOD,R313,COUNTIFS($B$5:$B$750,B313,$D$5:$D$750,WF_END_PERIOD,$R$5:$R$750,TRUE())&gt;0),SUMIFS($S$5:$S$750,$B$5:$B$750,B313,$D$5:$D$750,WF_END_PERIOD,$R$5:$R$750,TRUE()),0)</f>
        <v>0</v>
      </c>
      <c r="V313" s="0" t="str">
        <f aca="false">IF(AND(D313=WF_START_PERIOD,COUNTIFS($B$5:$B$750,B313,$D$5:$D$750,WF_END_PERIOD)&gt;0),INDEX($E$5:$E$750,MATCH(B313&amp;"|"&amp;WF_END_PERIOD,$AC$5:$AC$750,0)),"")</f>
        <v/>
      </c>
      <c r="W313" s="11" t="b">
        <f aca="false">COUNTIFS($B$5:$B$750,B313,$D$5:$D$750,WF_START_PERIOD,$R$5:$R$750,TRUE())&gt;0</f>
        <v>1</v>
      </c>
      <c r="X313" s="11" t="b">
        <f aca="false">COUNTIFS($B$5:$B$750,B313,$D$5:$D$750,WF_END_PERIOD,$R$5:$R$750,TRUE())&gt;0</f>
        <v>1</v>
      </c>
      <c r="Y313" s="0" t="str">
        <f aca="false">IF(AND(D313=WF_END_PERIOD,COUNTIFS($B$5:$B$750,B313,$D$5:$D$750,WF_START_PERIOD)&gt;0),INDEX($E$5:$E$750,MATCH(B313&amp;"|"&amp;WF_START_PERIOD,$AC$5:$AC$750,0)),"")</f>
        <v/>
      </c>
      <c r="Z313" s="0" t="str">
        <f aca="false">IF(AND(D313=WF_END_PERIOD,R313),1+COUNTIFS($D$5:$D$750,WF_END_PERIOD,$E$5:$E$750,E313,$R$5:$R$750,TRUE(),$S$5:$S$750,"&gt;"&amp;S313)+COUNTIFS($D$5:$D$750,WF_END_PERIOD,$E$5:$E$750,E313,$R$5:$R$750,TRUE(),$S$5:$S$750,S313,$B$5:$B$750,"&lt;"&amp;B313),"")</f>
        <v/>
      </c>
      <c r="AA313" s="0" t="str">
        <f aca="false">IF(AND(D313=WF_END_PERIOD,R313,Z313&lt;&gt;1),1+COUNTIFS($D$5:$D$750,WF_END_PERIOD,$R$5:$R$750,TRUE(),$Z$5:$Z$750,"&lt;&gt;1",$S$5:$S$750,"&gt;"&amp;S313)+COUNTIFS($D$5:$D$750,WF_END_PERIOD,$R$5:$R$750,TRUE(),$Z$5:$Z$750,"&lt;&gt;1",$S$5:$S$750,S313,$B$5:$B$750,"&lt;"&amp;B313),"")</f>
        <v/>
      </c>
      <c r="AB313" s="11" t="b">
        <f aca="false">OR(D313=WF_START_PERIOD,D313=WF_END_PERIOD)</f>
        <v>0</v>
      </c>
      <c r="AC313" s="0" t="str">
        <f aca="false">B313&amp;"|"&amp;D313</f>
        <v>35206|20230630</v>
      </c>
    </row>
    <row r="314" customFormat="false" ht="15" hidden="false" customHeight="false" outlineLevel="0" collapsed="false">
      <c r="A314" s="0" t="n">
        <f aca="false">RawFinancials!A314</f>
        <v>311</v>
      </c>
      <c r="B314" s="0" t="n">
        <f aca="false">RawFinancials!C314</f>
        <v>4255</v>
      </c>
      <c r="C314" s="0" t="str">
        <f aca="false">RawFinancials!P314</f>
        <v>THE CAMDEN NATIONAL BANK</v>
      </c>
      <c r="D314" s="0" t="n">
        <f aca="false">RawFinancials!W314</f>
        <v>20230630</v>
      </c>
      <c r="E314" s="0" t="str">
        <f aca="false">RawFinancials!Z314</f>
        <v>ME</v>
      </c>
      <c r="F314" s="0" t="n">
        <f aca="false">RawFinancials!B314</f>
        <v>5734437</v>
      </c>
      <c r="G314" s="0" t="n">
        <f aca="false">RawFinancials!U314</f>
        <v>0</v>
      </c>
      <c r="H314" s="0" t="n">
        <f aca="false">RawFinancials!O314</f>
        <v>3048</v>
      </c>
      <c r="I314" s="0" t="n">
        <f aca="false">IF(AND(ISNUMBER(G314),ISNUMBER(H314)),G314+H314,"")</f>
        <v>3048</v>
      </c>
      <c r="J314" s="0" t="n">
        <f aca="false">RawFinancials!D314</f>
        <v>4731600</v>
      </c>
      <c r="K314" s="0" t="n">
        <f aca="false">RawFinancials!F314</f>
        <v>478695</v>
      </c>
      <c r="L314" s="0" t="n">
        <f aca="false">RawFinancials!L314</f>
        <v>4112167</v>
      </c>
      <c r="M314" s="0" t="n">
        <f aca="false">RawFinancials!N314</f>
        <v>3708024</v>
      </c>
      <c r="N314" s="13" t="n">
        <f aca="false">RawFinancials!X314</f>
        <v>0.927240843731989</v>
      </c>
      <c r="O314" s="13" t="n">
        <f aca="false">RawFinancials!V314</f>
        <v>13.2297972957237</v>
      </c>
      <c r="P314" s="13" t="n">
        <f aca="false">IF(AND(ISNUMBER(L314),L314&lt;&gt;0,ISNUMBER(M314)),100*M314/L314,"")</f>
        <v>90.1720187920384</v>
      </c>
      <c r="Q314" s="13" t="n">
        <f aca="false">IF(AND(ISNUMBER(F314),F314&lt;&gt;0,ISNUMBER(K314)),100*K314/F314,"")</f>
        <v>8.3477244583906</v>
      </c>
      <c r="R314" s="11" t="b">
        <f aca="false">AND(ISNUMBER(F314),F314&gt;0,ISNUMBER(G314),G314&gt;=0,ISNUMBER(H314),H314&gt;=0)</f>
        <v>1</v>
      </c>
      <c r="S314" s="13" t="n">
        <f aca="false">IF(R314,100*I314/F314,"")</f>
        <v>0.0531525588300996</v>
      </c>
      <c r="T314" s="11" t="b">
        <f aca="false">NOT(AND(OR(AND(ISBLANK(RawFinancials!B314),ISBLANK(_RawBaseline!B311)),AND(ISNUMBER(RawFinancials!B314),ISNUMBER(_RawBaseline!B311),RawFinancials!B314=_RawBaseline!B311)),OR(AND(ISBLANK(RawFinancials!U314),ISBLANK(_RawBaseline!U311)),AND(ISNUMBER(RawFinancials!U314),ISNUMBER(_RawBaseline!U311),RawFinancials!U314=_RawBaseline!U311)),OR(AND(ISBLANK(RawFinancials!O314),ISBLANK(_RawBaseline!O311)),AND(ISNUMBER(RawFinancials!O314),ISNUMBER(_RawBaseline!O311),RawFinancials!O314=_RawBaseline!O311))))</f>
        <v>0</v>
      </c>
      <c r="U314" s="13" t="n">
        <f aca="false">IF(AND(D314=WF_START_PERIOD,R314,COUNTIFS($B$5:$B$750,B314,$D$5:$D$750,WF_END_PERIOD,$R$5:$R$750,TRUE())&gt;0),SUMIFS($S$5:$S$750,$B$5:$B$750,B314,$D$5:$D$750,WF_END_PERIOD,$R$5:$R$750,TRUE()),0)</f>
        <v>0</v>
      </c>
      <c r="V314" s="0" t="str">
        <f aca="false">IF(AND(D314=WF_START_PERIOD,COUNTIFS($B$5:$B$750,B314,$D$5:$D$750,WF_END_PERIOD)&gt;0),INDEX($E$5:$E$750,MATCH(B314&amp;"|"&amp;WF_END_PERIOD,$AC$5:$AC$750,0)),"")</f>
        <v/>
      </c>
      <c r="W314" s="11" t="b">
        <f aca="false">COUNTIFS($B$5:$B$750,B314,$D$5:$D$750,WF_START_PERIOD,$R$5:$R$750,TRUE())&gt;0</f>
        <v>1</v>
      </c>
      <c r="X314" s="11" t="b">
        <f aca="false">COUNTIFS($B$5:$B$750,B314,$D$5:$D$750,WF_END_PERIOD,$R$5:$R$750,TRUE())&gt;0</f>
        <v>1</v>
      </c>
      <c r="Y314" s="0" t="str">
        <f aca="false">IF(AND(D314=WF_END_PERIOD,COUNTIFS($B$5:$B$750,B314,$D$5:$D$750,WF_START_PERIOD)&gt;0),INDEX($E$5:$E$750,MATCH(B314&amp;"|"&amp;WF_START_PERIOD,$AC$5:$AC$750,0)),"")</f>
        <v/>
      </c>
      <c r="Z314" s="0" t="str">
        <f aca="false">IF(AND(D314=WF_END_PERIOD,R314),1+COUNTIFS($D$5:$D$750,WF_END_PERIOD,$E$5:$E$750,E314,$R$5:$R$750,TRUE(),$S$5:$S$750,"&gt;"&amp;S314)+COUNTIFS($D$5:$D$750,WF_END_PERIOD,$E$5:$E$750,E314,$R$5:$R$750,TRUE(),$S$5:$S$750,S314,$B$5:$B$750,"&lt;"&amp;B314),"")</f>
        <v/>
      </c>
      <c r="AA314" s="0" t="str">
        <f aca="false">IF(AND(D314=WF_END_PERIOD,R314,Z314&lt;&gt;1),1+COUNTIFS($D$5:$D$750,WF_END_PERIOD,$R$5:$R$750,TRUE(),$Z$5:$Z$750,"&lt;&gt;1",$S$5:$S$750,"&gt;"&amp;S314)+COUNTIFS($D$5:$D$750,WF_END_PERIOD,$R$5:$R$750,TRUE(),$Z$5:$Z$750,"&lt;&gt;1",$S$5:$S$750,S314,$B$5:$B$750,"&lt;"&amp;B314),"")</f>
        <v/>
      </c>
      <c r="AB314" s="11" t="b">
        <f aca="false">OR(D314=WF_START_PERIOD,D314=WF_END_PERIOD)</f>
        <v>0</v>
      </c>
      <c r="AC314" s="0" t="str">
        <f aca="false">B314&amp;"|"&amp;D314</f>
        <v>4255|20230630</v>
      </c>
    </row>
    <row r="315" customFormat="false" ht="15" hidden="false" customHeight="false" outlineLevel="0" collapsed="false">
      <c r="A315" s="0" t="n">
        <f aca="false">RawFinancials!A315</f>
        <v>312</v>
      </c>
      <c r="B315" s="0" t="n">
        <f aca="false">RawFinancials!C315</f>
        <v>4256</v>
      </c>
      <c r="C315" s="0" t="str">
        <f aca="false">RawFinancials!P315</f>
        <v>FIRST NATIONAL BANK</v>
      </c>
      <c r="D315" s="0" t="n">
        <f aca="false">RawFinancials!W315</f>
        <v>20230630</v>
      </c>
      <c r="E315" s="0" t="str">
        <f aca="false">RawFinancials!Z315</f>
        <v>ME</v>
      </c>
      <c r="F315" s="0" t="n">
        <f aca="false">RawFinancials!B315</f>
        <v>2844637</v>
      </c>
      <c r="G315" s="0" t="n">
        <f aca="false">RawFinancials!U315</f>
        <v>318</v>
      </c>
      <c r="H315" s="0" t="n">
        <f aca="false">RawFinancials!O315</f>
        <v>1676</v>
      </c>
      <c r="I315" s="0" t="n">
        <f aca="false">IF(AND(ISNUMBER(G315),ISNUMBER(H315)),G315+H315,"")</f>
        <v>1994</v>
      </c>
      <c r="J315" s="0" t="n">
        <f aca="false">RawFinancials!D315</f>
        <v>2500556</v>
      </c>
      <c r="K315" s="0" t="n">
        <f aca="false">RawFinancials!F315</f>
        <v>203536</v>
      </c>
      <c r="L315" s="0" t="n">
        <f aca="false">RawFinancials!L315</f>
        <v>2060953</v>
      </c>
      <c r="M315" s="0" t="n">
        <f aca="false">RawFinancials!N315</f>
        <v>1630531</v>
      </c>
      <c r="N315" s="13" t="n">
        <f aca="false">RawFinancials!X315</f>
        <v>1.14263750716926</v>
      </c>
      <c r="O315" s="13" t="n">
        <f aca="false">RawFinancials!V315</f>
        <v>13.625326178735</v>
      </c>
      <c r="P315" s="13" t="n">
        <f aca="false">IF(AND(ISNUMBER(L315),L315&lt;&gt;0,ISNUMBER(M315)),100*M315/L315,"")</f>
        <v>79.1153898220872</v>
      </c>
      <c r="Q315" s="13" t="n">
        <f aca="false">IF(AND(ISNUMBER(F315),F315&lt;&gt;0,ISNUMBER(K315)),100*K315/F315,"")</f>
        <v>7.15507813474971</v>
      </c>
      <c r="R315" s="11" t="b">
        <f aca="false">AND(ISNUMBER(F315),F315&gt;0,ISNUMBER(G315),G315&gt;=0,ISNUMBER(H315),H315&gt;=0)</f>
        <v>1</v>
      </c>
      <c r="S315" s="13" t="n">
        <f aca="false">IF(R315,100*I315/F315,"")</f>
        <v>0.0700968172740494</v>
      </c>
      <c r="T315" s="11" t="b">
        <f aca="false">NOT(AND(OR(AND(ISBLANK(RawFinancials!B315),ISBLANK(_RawBaseline!B312)),AND(ISNUMBER(RawFinancials!B315),ISNUMBER(_RawBaseline!B312),RawFinancials!B315=_RawBaseline!B312)),OR(AND(ISBLANK(RawFinancials!U315),ISBLANK(_RawBaseline!U312)),AND(ISNUMBER(RawFinancials!U315),ISNUMBER(_RawBaseline!U312),RawFinancials!U315=_RawBaseline!U312)),OR(AND(ISBLANK(RawFinancials!O315),ISBLANK(_RawBaseline!O312)),AND(ISNUMBER(RawFinancials!O315),ISNUMBER(_RawBaseline!O312),RawFinancials!O315=_RawBaseline!O312))))</f>
        <v>0</v>
      </c>
      <c r="U315" s="13" t="n">
        <f aca="false">IF(AND(D315=WF_START_PERIOD,R315,COUNTIFS($B$5:$B$750,B315,$D$5:$D$750,WF_END_PERIOD,$R$5:$R$750,TRUE())&gt;0),SUMIFS($S$5:$S$750,$B$5:$B$750,B315,$D$5:$D$750,WF_END_PERIOD,$R$5:$R$750,TRUE()),0)</f>
        <v>0</v>
      </c>
      <c r="V315" s="0" t="str">
        <f aca="false">IF(AND(D315=WF_START_PERIOD,COUNTIFS($B$5:$B$750,B315,$D$5:$D$750,WF_END_PERIOD)&gt;0),INDEX($E$5:$E$750,MATCH(B315&amp;"|"&amp;WF_END_PERIOD,$AC$5:$AC$750,0)),"")</f>
        <v/>
      </c>
      <c r="W315" s="11" t="b">
        <f aca="false">COUNTIFS($B$5:$B$750,B315,$D$5:$D$750,WF_START_PERIOD,$R$5:$R$750,TRUE())&gt;0</f>
        <v>1</v>
      </c>
      <c r="X315" s="11" t="b">
        <f aca="false">COUNTIFS($B$5:$B$750,B315,$D$5:$D$750,WF_END_PERIOD,$R$5:$R$750,TRUE())&gt;0</f>
        <v>1</v>
      </c>
      <c r="Y315" s="0" t="str">
        <f aca="false">IF(AND(D315=WF_END_PERIOD,COUNTIFS($B$5:$B$750,B315,$D$5:$D$750,WF_START_PERIOD)&gt;0),INDEX($E$5:$E$750,MATCH(B315&amp;"|"&amp;WF_START_PERIOD,$AC$5:$AC$750,0)),"")</f>
        <v/>
      </c>
      <c r="Z315" s="0" t="str">
        <f aca="false">IF(AND(D315=WF_END_PERIOD,R315),1+COUNTIFS($D$5:$D$750,WF_END_PERIOD,$E$5:$E$750,E315,$R$5:$R$750,TRUE(),$S$5:$S$750,"&gt;"&amp;S315)+COUNTIFS($D$5:$D$750,WF_END_PERIOD,$E$5:$E$750,E315,$R$5:$R$750,TRUE(),$S$5:$S$750,S315,$B$5:$B$750,"&lt;"&amp;B315),"")</f>
        <v/>
      </c>
      <c r="AA315" s="0" t="str">
        <f aca="false">IF(AND(D315=WF_END_PERIOD,R315,Z315&lt;&gt;1),1+COUNTIFS($D$5:$D$750,WF_END_PERIOD,$R$5:$R$750,TRUE(),$Z$5:$Z$750,"&lt;&gt;1",$S$5:$S$750,"&gt;"&amp;S315)+COUNTIFS($D$5:$D$750,WF_END_PERIOD,$R$5:$R$750,TRUE(),$Z$5:$Z$750,"&lt;&gt;1",$S$5:$S$750,S315,$B$5:$B$750,"&lt;"&amp;B315),"")</f>
        <v/>
      </c>
      <c r="AB315" s="11" t="b">
        <f aca="false">OR(D315=WF_START_PERIOD,D315=WF_END_PERIOD)</f>
        <v>0</v>
      </c>
      <c r="AC315" s="0" t="str">
        <f aca="false">B315&amp;"|"&amp;D315</f>
        <v>4256|20230630</v>
      </c>
    </row>
    <row r="316" customFormat="false" ht="15" hidden="false" customHeight="false" outlineLevel="0" collapsed="false">
      <c r="A316" s="0" t="n">
        <f aca="false">RawFinancials!A316</f>
        <v>313</v>
      </c>
      <c r="B316" s="0" t="n">
        <f aca="false">RawFinancials!C316</f>
        <v>59086</v>
      </c>
      <c r="C316" s="0" t="str">
        <f aca="false">RawFinancials!P316</f>
        <v>PRIMARY BANK</v>
      </c>
      <c r="D316" s="0" t="n">
        <f aca="false">RawFinancials!W316</f>
        <v>20230630</v>
      </c>
      <c r="E316" s="0" t="str">
        <f aca="false">RawFinancials!Z316</f>
        <v>NH</v>
      </c>
      <c r="F316" s="0" t="n">
        <f aca="false">RawFinancials!B316</f>
        <v>695227</v>
      </c>
      <c r="G316" s="0" t="n">
        <f aca="false">RawFinancials!U316</f>
        <v>45</v>
      </c>
      <c r="H316" s="0" t="n">
        <f aca="false">RawFinancials!O316</f>
        <v>4947</v>
      </c>
      <c r="I316" s="0" t="n">
        <f aca="false">IF(AND(ISNUMBER(G316),ISNUMBER(H316)),G316+H316,"")</f>
        <v>4992</v>
      </c>
      <c r="J316" s="0" t="n">
        <f aca="false">RawFinancials!D316</f>
        <v>607749</v>
      </c>
      <c r="K316" s="0" t="n">
        <f aca="false">RawFinancials!F316</f>
        <v>83914</v>
      </c>
      <c r="L316" s="0" t="n">
        <f aca="false">RawFinancials!L316</f>
        <v>582250</v>
      </c>
      <c r="M316" s="0" t="n">
        <f aca="false">RawFinancials!N316</f>
        <v>466335</v>
      </c>
      <c r="N316" s="13" t="n">
        <f aca="false">RawFinancials!X316</f>
        <v>1.69256858441187</v>
      </c>
      <c r="O316" s="13" t="n">
        <f aca="false">RawFinancials!V316</f>
        <v>14.706791359989</v>
      </c>
      <c r="P316" s="13" t="n">
        <f aca="false">IF(AND(ISNUMBER(L316),L316&lt;&gt;0,ISNUMBER(M316)),100*M316/L316,"")</f>
        <v>80.0918849291542</v>
      </c>
      <c r="Q316" s="13" t="n">
        <f aca="false">IF(AND(ISNUMBER(F316),F316&lt;&gt;0,ISNUMBER(K316)),100*K316/F316,"")</f>
        <v>12.0700145420129</v>
      </c>
      <c r="R316" s="11" t="b">
        <f aca="false">AND(ISNUMBER(F316),F316&gt;0,ISNUMBER(G316),G316&gt;=0,ISNUMBER(H316),H316&gt;=0)</f>
        <v>1</v>
      </c>
      <c r="S316" s="13" t="n">
        <f aca="false">IF(R316,100*I316/F316,"")</f>
        <v>0.71803885637353</v>
      </c>
      <c r="T316" s="11" t="b">
        <f aca="false">NOT(AND(OR(AND(ISBLANK(RawFinancials!B316),ISBLANK(_RawBaseline!B313)),AND(ISNUMBER(RawFinancials!B316),ISNUMBER(_RawBaseline!B313),RawFinancials!B316=_RawBaseline!B313)),OR(AND(ISBLANK(RawFinancials!U316),ISBLANK(_RawBaseline!U313)),AND(ISNUMBER(RawFinancials!U316),ISNUMBER(_RawBaseline!U313),RawFinancials!U316=_RawBaseline!U313)),OR(AND(ISBLANK(RawFinancials!O316),ISBLANK(_RawBaseline!O313)),AND(ISNUMBER(RawFinancials!O316),ISNUMBER(_RawBaseline!O313),RawFinancials!O316=_RawBaseline!O313))))</f>
        <v>0</v>
      </c>
      <c r="U316" s="13" t="n">
        <f aca="false">IF(AND(D316=WF_START_PERIOD,R316,COUNTIFS($B$5:$B$750,B316,$D$5:$D$750,WF_END_PERIOD,$R$5:$R$750,TRUE())&gt;0),SUMIFS($S$5:$S$750,$B$5:$B$750,B316,$D$5:$D$750,WF_END_PERIOD,$R$5:$R$750,TRUE()),0)</f>
        <v>0</v>
      </c>
      <c r="V316" s="0" t="str">
        <f aca="false">IF(AND(D316=WF_START_PERIOD,COUNTIFS($B$5:$B$750,B316,$D$5:$D$750,WF_END_PERIOD)&gt;0),INDEX($E$5:$E$750,MATCH(B316&amp;"|"&amp;WF_END_PERIOD,$AC$5:$AC$750,0)),"")</f>
        <v/>
      </c>
      <c r="W316" s="11" t="b">
        <f aca="false">COUNTIFS($B$5:$B$750,B316,$D$5:$D$750,WF_START_PERIOD,$R$5:$R$750,TRUE())&gt;0</f>
        <v>1</v>
      </c>
      <c r="X316" s="11" t="b">
        <f aca="false">COUNTIFS($B$5:$B$750,B316,$D$5:$D$750,WF_END_PERIOD,$R$5:$R$750,TRUE())&gt;0</f>
        <v>1</v>
      </c>
      <c r="Y316" s="0" t="str">
        <f aca="false">IF(AND(D316=WF_END_PERIOD,COUNTIFS($B$5:$B$750,B316,$D$5:$D$750,WF_START_PERIOD)&gt;0),INDEX($E$5:$E$750,MATCH(B316&amp;"|"&amp;WF_START_PERIOD,$AC$5:$AC$750,0)),"")</f>
        <v/>
      </c>
      <c r="Z316" s="0" t="str">
        <f aca="false">IF(AND(D316=WF_END_PERIOD,R316),1+COUNTIFS($D$5:$D$750,WF_END_PERIOD,$E$5:$E$750,E316,$R$5:$R$750,TRUE(),$S$5:$S$750,"&gt;"&amp;S316)+COUNTIFS($D$5:$D$750,WF_END_PERIOD,$E$5:$E$750,E316,$R$5:$R$750,TRUE(),$S$5:$S$750,S316,$B$5:$B$750,"&lt;"&amp;B316),"")</f>
        <v/>
      </c>
      <c r="AA316" s="0" t="str">
        <f aca="false">IF(AND(D316=WF_END_PERIOD,R316,Z316&lt;&gt;1),1+COUNTIFS($D$5:$D$750,WF_END_PERIOD,$R$5:$R$750,TRUE(),$Z$5:$Z$750,"&lt;&gt;1",$S$5:$S$750,"&gt;"&amp;S316)+COUNTIFS($D$5:$D$750,WF_END_PERIOD,$R$5:$R$750,TRUE(),$Z$5:$Z$750,"&lt;&gt;1",$S$5:$S$750,S316,$B$5:$B$750,"&lt;"&amp;B316),"")</f>
        <v/>
      </c>
      <c r="AB316" s="11" t="b">
        <f aca="false">OR(D316=WF_START_PERIOD,D316=WF_END_PERIOD)</f>
        <v>0</v>
      </c>
      <c r="AC316" s="0" t="str">
        <f aca="false">B316&amp;"|"&amp;D316</f>
        <v>59086|20230630</v>
      </c>
    </row>
    <row r="317" customFormat="false" ht="15" hidden="false" customHeight="false" outlineLevel="0" collapsed="false">
      <c r="A317" s="0" t="n">
        <f aca="false">RawFinancials!A317</f>
        <v>314</v>
      </c>
      <c r="B317" s="0" t="n">
        <f aca="false">RawFinancials!C317</f>
        <v>59176</v>
      </c>
      <c r="C317" s="0" t="str">
        <f aca="false">RawFinancials!P317</f>
        <v>THE MILLYARD BANK</v>
      </c>
      <c r="D317" s="0" t="n">
        <f aca="false">RawFinancials!W317</f>
        <v>20230630</v>
      </c>
      <c r="E317" s="0" t="str">
        <f aca="false">RawFinancials!Z317</f>
        <v>NH</v>
      </c>
      <c r="F317" s="0" t="n">
        <f aca="false">RawFinancials!B317</f>
        <v>202708</v>
      </c>
      <c r="G317" s="0" t="n">
        <f aca="false">RawFinancials!U317</f>
        <v>0</v>
      </c>
      <c r="H317" s="0" t="n">
        <f aca="false">RawFinancials!O317</f>
        <v>0</v>
      </c>
      <c r="I317" s="0" t="n">
        <f aca="false">IF(AND(ISNUMBER(G317),ISNUMBER(H317)),G317+H317,"")</f>
        <v>0</v>
      </c>
      <c r="J317" s="0" t="n">
        <f aca="false">RawFinancials!D317</f>
        <v>173553</v>
      </c>
      <c r="K317" s="0" t="n">
        <f aca="false">RawFinancials!F317</f>
        <v>23273</v>
      </c>
      <c r="L317" s="0" t="n">
        <f aca="false">RawFinancials!L317</f>
        <v>137040</v>
      </c>
      <c r="M317" s="0" t="n">
        <f aca="false">RawFinancials!N317</f>
        <v>117163</v>
      </c>
      <c r="N317" s="13" t="n">
        <f aca="false">RawFinancials!X317</f>
        <v>-0.113478158081379</v>
      </c>
      <c r="O317" s="13" t="n">
        <f aca="false">RawFinancials!V317</f>
        <v>18.4854420018709</v>
      </c>
      <c r="P317" s="13" t="n">
        <f aca="false">IF(AND(ISNUMBER(L317),L317&lt;&gt;0,ISNUMBER(M317)),100*M317/L317,"")</f>
        <v>85.4954757734968</v>
      </c>
      <c r="Q317" s="13" t="n">
        <f aca="false">IF(AND(ISNUMBER(F317),F317&lt;&gt;0,ISNUMBER(K317)),100*K317/F317,"")</f>
        <v>11.4810466286481</v>
      </c>
      <c r="R317" s="11" t="b">
        <f aca="false">AND(ISNUMBER(F317),F317&gt;0,ISNUMBER(G317),G317&gt;=0,ISNUMBER(H317),H317&gt;=0)</f>
        <v>1</v>
      </c>
      <c r="S317" s="13" t="n">
        <f aca="false">IF(R317,100*I317/F317,"")</f>
        <v>0</v>
      </c>
      <c r="T317" s="11" t="b">
        <f aca="false">NOT(AND(OR(AND(ISBLANK(RawFinancials!B317),ISBLANK(_RawBaseline!B314)),AND(ISNUMBER(RawFinancials!B317),ISNUMBER(_RawBaseline!B314),RawFinancials!B317=_RawBaseline!B314)),OR(AND(ISBLANK(RawFinancials!U317),ISBLANK(_RawBaseline!U314)),AND(ISNUMBER(RawFinancials!U317),ISNUMBER(_RawBaseline!U314),RawFinancials!U317=_RawBaseline!U314)),OR(AND(ISBLANK(RawFinancials!O317),ISBLANK(_RawBaseline!O314)),AND(ISNUMBER(RawFinancials!O317),ISNUMBER(_RawBaseline!O314),RawFinancials!O317=_RawBaseline!O314))))</f>
        <v>0</v>
      </c>
      <c r="U317" s="13" t="n">
        <f aca="false">IF(AND(D317=WF_START_PERIOD,R317,COUNTIFS($B$5:$B$750,B317,$D$5:$D$750,WF_END_PERIOD,$R$5:$R$750,TRUE())&gt;0),SUMIFS($S$5:$S$750,$B$5:$B$750,B317,$D$5:$D$750,WF_END_PERIOD,$R$5:$R$750,TRUE()),0)</f>
        <v>0</v>
      </c>
      <c r="V317" s="0" t="str">
        <f aca="false">IF(AND(D317=WF_START_PERIOD,COUNTIFS($B$5:$B$750,B317,$D$5:$D$750,WF_END_PERIOD)&gt;0),INDEX($E$5:$E$750,MATCH(B317&amp;"|"&amp;WF_END_PERIOD,$AC$5:$AC$750,0)),"")</f>
        <v/>
      </c>
      <c r="W317" s="11" t="b">
        <f aca="false">COUNTIFS($B$5:$B$750,B317,$D$5:$D$750,WF_START_PERIOD,$R$5:$R$750,TRUE())&gt;0</f>
        <v>1</v>
      </c>
      <c r="X317" s="11" t="b">
        <f aca="false">COUNTIFS($B$5:$B$750,B317,$D$5:$D$750,WF_END_PERIOD,$R$5:$R$750,TRUE())&gt;0</f>
        <v>1</v>
      </c>
      <c r="Y317" s="0" t="str">
        <f aca="false">IF(AND(D317=WF_END_PERIOD,COUNTIFS($B$5:$B$750,B317,$D$5:$D$750,WF_START_PERIOD)&gt;0),INDEX($E$5:$E$750,MATCH(B317&amp;"|"&amp;WF_START_PERIOD,$AC$5:$AC$750,0)),"")</f>
        <v/>
      </c>
      <c r="Z317" s="0" t="str">
        <f aca="false">IF(AND(D317=WF_END_PERIOD,R317),1+COUNTIFS($D$5:$D$750,WF_END_PERIOD,$E$5:$E$750,E317,$R$5:$R$750,TRUE(),$S$5:$S$750,"&gt;"&amp;S317)+COUNTIFS($D$5:$D$750,WF_END_PERIOD,$E$5:$E$750,E317,$R$5:$R$750,TRUE(),$S$5:$S$750,S317,$B$5:$B$750,"&lt;"&amp;B317),"")</f>
        <v/>
      </c>
      <c r="AA317" s="0" t="str">
        <f aca="false">IF(AND(D317=WF_END_PERIOD,R317,Z317&lt;&gt;1),1+COUNTIFS($D$5:$D$750,WF_END_PERIOD,$R$5:$R$750,TRUE(),$Z$5:$Z$750,"&lt;&gt;1",$S$5:$S$750,"&gt;"&amp;S317)+COUNTIFS($D$5:$D$750,WF_END_PERIOD,$R$5:$R$750,TRUE(),$Z$5:$Z$750,"&lt;&gt;1",$S$5:$S$750,S317,$B$5:$B$750,"&lt;"&amp;B317),"")</f>
        <v/>
      </c>
      <c r="AB317" s="11" t="b">
        <f aca="false">OR(D317=WF_START_PERIOD,D317=WF_END_PERIOD)</f>
        <v>0</v>
      </c>
      <c r="AC317" s="0" t="str">
        <f aca="false">B317&amp;"|"&amp;D317</f>
        <v>59176|20230630</v>
      </c>
    </row>
    <row r="318" customFormat="false" ht="15" hidden="false" customHeight="false" outlineLevel="0" collapsed="false">
      <c r="A318" s="0" t="n">
        <f aca="false">RawFinancials!A318</f>
        <v>315</v>
      </c>
      <c r="B318" s="0" t="n">
        <f aca="false">RawFinancials!C318</f>
        <v>59289</v>
      </c>
      <c r="C318" s="0" t="str">
        <f aca="false">RawFinancials!P318</f>
        <v>WALDEN MUTUAL BANK</v>
      </c>
      <c r="D318" s="0" t="n">
        <f aca="false">RawFinancials!W318</f>
        <v>20230630</v>
      </c>
      <c r="E318" s="0" t="str">
        <f aca="false">RawFinancials!Z318</f>
        <v>NH</v>
      </c>
      <c r="F318" s="0" t="n">
        <f aca="false">RawFinancials!B318</f>
        <v>50390</v>
      </c>
      <c r="G318" s="0" t="n">
        <f aca="false">RawFinancials!U318</f>
        <v>0</v>
      </c>
      <c r="H318" s="0" t="n">
        <f aca="false">RawFinancials!O318</f>
        <v>0</v>
      </c>
      <c r="I318" s="0" t="n">
        <f aca="false">IF(AND(ISNUMBER(G318),ISNUMBER(H318)),G318+H318,"")</f>
        <v>0</v>
      </c>
      <c r="J318" s="0" t="n">
        <f aca="false">RawFinancials!D318</f>
        <v>29218</v>
      </c>
      <c r="K318" s="0" t="n">
        <f aca="false">RawFinancials!F318</f>
        <v>20357</v>
      </c>
      <c r="L318" s="0" t="n">
        <f aca="false">RawFinancials!L318</f>
        <v>17374</v>
      </c>
      <c r="M318" s="0" t="n">
        <f aca="false">RawFinancials!N318</f>
        <v>7760</v>
      </c>
      <c r="N318" s="13" t="n">
        <f aca="false">RawFinancials!X318</f>
        <v>-5.7705051740837</v>
      </c>
      <c r="O318" s="13" t="n">
        <f aca="false">RawFinancials!V318</f>
        <v>0</v>
      </c>
      <c r="P318" s="13" t="n">
        <f aca="false">IF(AND(ISNUMBER(L318),L318&lt;&gt;0,ISNUMBER(M318)),100*M318/L318,"")</f>
        <v>44.6644411189133</v>
      </c>
      <c r="Q318" s="13" t="n">
        <f aca="false">IF(AND(ISNUMBER(F318),F318&lt;&gt;0,ISNUMBER(K318)),100*K318/F318,"")</f>
        <v>40.3988886683866</v>
      </c>
      <c r="R318" s="11" t="b">
        <f aca="false">AND(ISNUMBER(F318),F318&gt;0,ISNUMBER(G318),G318&gt;=0,ISNUMBER(H318),H318&gt;=0)</f>
        <v>1</v>
      </c>
      <c r="S318" s="13" t="n">
        <f aca="false">IF(R318,100*I318/F318,"")</f>
        <v>0</v>
      </c>
      <c r="T318" s="11" t="b">
        <f aca="false">NOT(AND(OR(AND(ISBLANK(RawFinancials!B318),ISBLANK(_RawBaseline!B315)),AND(ISNUMBER(RawFinancials!B318),ISNUMBER(_RawBaseline!B315),RawFinancials!B318=_RawBaseline!B315)),OR(AND(ISBLANK(RawFinancials!U318),ISBLANK(_RawBaseline!U315)),AND(ISNUMBER(RawFinancials!U318),ISNUMBER(_RawBaseline!U315),RawFinancials!U318=_RawBaseline!U315)),OR(AND(ISBLANK(RawFinancials!O318),ISBLANK(_RawBaseline!O315)),AND(ISNUMBER(RawFinancials!O318),ISNUMBER(_RawBaseline!O315),RawFinancials!O318=_RawBaseline!O315))))</f>
        <v>0</v>
      </c>
      <c r="U318" s="13" t="n">
        <f aca="false">IF(AND(D318=WF_START_PERIOD,R318,COUNTIFS($B$5:$B$750,B318,$D$5:$D$750,WF_END_PERIOD,$R$5:$R$750,TRUE())&gt;0),SUMIFS($S$5:$S$750,$B$5:$B$750,B318,$D$5:$D$750,WF_END_PERIOD,$R$5:$R$750,TRUE()),0)</f>
        <v>0</v>
      </c>
      <c r="V318" s="0" t="str">
        <f aca="false">IF(AND(D318=WF_START_PERIOD,COUNTIFS($B$5:$B$750,B318,$D$5:$D$750,WF_END_PERIOD)&gt;0),INDEX($E$5:$E$750,MATCH(B318&amp;"|"&amp;WF_END_PERIOD,$AC$5:$AC$750,0)),"")</f>
        <v/>
      </c>
      <c r="W318" s="11" t="b">
        <f aca="false">COUNTIFS($B$5:$B$750,B318,$D$5:$D$750,WF_START_PERIOD,$R$5:$R$750,TRUE())&gt;0</f>
        <v>1</v>
      </c>
      <c r="X318" s="11" t="b">
        <f aca="false">COUNTIFS($B$5:$B$750,B318,$D$5:$D$750,WF_END_PERIOD,$R$5:$R$750,TRUE())&gt;0</f>
        <v>1</v>
      </c>
      <c r="Y318" s="0" t="str">
        <f aca="false">IF(AND(D318=WF_END_PERIOD,COUNTIFS($B$5:$B$750,B318,$D$5:$D$750,WF_START_PERIOD)&gt;0),INDEX($E$5:$E$750,MATCH(B318&amp;"|"&amp;WF_START_PERIOD,$AC$5:$AC$750,0)),"")</f>
        <v/>
      </c>
      <c r="Z318" s="0" t="str">
        <f aca="false">IF(AND(D318=WF_END_PERIOD,R318),1+COUNTIFS($D$5:$D$750,WF_END_PERIOD,$E$5:$E$750,E318,$R$5:$R$750,TRUE(),$S$5:$S$750,"&gt;"&amp;S318)+COUNTIFS($D$5:$D$750,WF_END_PERIOD,$E$5:$E$750,E318,$R$5:$R$750,TRUE(),$S$5:$S$750,S318,$B$5:$B$750,"&lt;"&amp;B318),"")</f>
        <v/>
      </c>
      <c r="AA318" s="0" t="str">
        <f aca="false">IF(AND(D318=WF_END_PERIOD,R318,Z318&lt;&gt;1),1+COUNTIFS($D$5:$D$750,WF_END_PERIOD,$R$5:$R$750,TRUE(),$Z$5:$Z$750,"&lt;&gt;1",$S$5:$S$750,"&gt;"&amp;S318)+COUNTIFS($D$5:$D$750,WF_END_PERIOD,$R$5:$R$750,TRUE(),$Z$5:$Z$750,"&lt;&gt;1",$S$5:$S$750,S318,$B$5:$B$750,"&lt;"&amp;B318),"")</f>
        <v/>
      </c>
      <c r="AB318" s="11" t="b">
        <f aca="false">OR(D318=WF_START_PERIOD,D318=WF_END_PERIOD)</f>
        <v>0</v>
      </c>
      <c r="AC318" s="0" t="str">
        <f aca="false">B318&amp;"|"&amp;D318</f>
        <v>59289|20230630</v>
      </c>
    </row>
    <row r="319" customFormat="false" ht="15" hidden="false" customHeight="false" outlineLevel="0" collapsed="false">
      <c r="A319" s="0" t="n">
        <f aca="false">RawFinancials!A319</f>
        <v>316</v>
      </c>
      <c r="B319" s="0" t="n">
        <f aca="false">RawFinancials!C319</f>
        <v>59298</v>
      </c>
      <c r="C319" s="0" t="str">
        <f aca="false">RawFinancials!P319</f>
        <v>BANK OF BURLINGTON</v>
      </c>
      <c r="D319" s="0" t="n">
        <f aca="false">RawFinancials!W319</f>
        <v>20230630</v>
      </c>
      <c r="E319" s="0" t="str">
        <f aca="false">RawFinancials!Z319</f>
        <v>VT</v>
      </c>
      <c r="F319" s="0" t="n">
        <f aca="false">RawFinancials!B319</f>
        <v>125919</v>
      </c>
      <c r="G319" s="0" t="n">
        <f aca="false">RawFinancials!U319</f>
        <v>0</v>
      </c>
      <c r="H319" s="0" t="n">
        <f aca="false">RawFinancials!O319</f>
        <v>0</v>
      </c>
      <c r="I319" s="0" t="n">
        <f aca="false">IF(AND(ISNUMBER(G319),ISNUMBER(H319)),G319+H319,"")</f>
        <v>0</v>
      </c>
      <c r="J319" s="0" t="n">
        <f aca="false">RawFinancials!D319</f>
        <v>96751</v>
      </c>
      <c r="K319" s="0" t="n">
        <f aca="false">RawFinancials!F319</f>
        <v>28131</v>
      </c>
      <c r="L319" s="0" t="n">
        <f aca="false">RawFinancials!L319</f>
        <v>45897</v>
      </c>
      <c r="M319" s="0" t="n">
        <f aca="false">RawFinancials!N319</f>
        <v>35680</v>
      </c>
      <c r="N319" s="13" t="n">
        <f aca="false">RawFinancials!X319</f>
        <v>-2.72523029900818</v>
      </c>
      <c r="O319" s="13" t="n">
        <f aca="false">RawFinancials!V319</f>
        <v>0</v>
      </c>
      <c r="P319" s="13" t="n">
        <f aca="false">IF(AND(ISNUMBER(L319),L319&lt;&gt;0,ISNUMBER(M319)),100*M319/L319,"")</f>
        <v>77.7392857920997</v>
      </c>
      <c r="Q319" s="13" t="n">
        <f aca="false">IF(AND(ISNUMBER(F319),F319&lt;&gt;0,ISNUMBER(K319)),100*K319/F319,"")</f>
        <v>22.3405522597861</v>
      </c>
      <c r="R319" s="11" t="b">
        <f aca="false">AND(ISNUMBER(F319),F319&gt;0,ISNUMBER(G319),G319&gt;=0,ISNUMBER(H319),H319&gt;=0)</f>
        <v>1</v>
      </c>
      <c r="S319" s="13" t="n">
        <f aca="false">IF(R319,100*I319/F319,"")</f>
        <v>0</v>
      </c>
      <c r="T319" s="11" t="b">
        <f aca="false">NOT(AND(OR(AND(ISBLANK(RawFinancials!B319),ISBLANK(_RawBaseline!B316)),AND(ISNUMBER(RawFinancials!B319),ISNUMBER(_RawBaseline!B316),RawFinancials!B319=_RawBaseline!B316)),OR(AND(ISBLANK(RawFinancials!U319),ISBLANK(_RawBaseline!U316)),AND(ISNUMBER(RawFinancials!U319),ISNUMBER(_RawBaseline!U316),RawFinancials!U319=_RawBaseline!U316)),OR(AND(ISBLANK(RawFinancials!O319),ISBLANK(_RawBaseline!O316)),AND(ISNUMBER(RawFinancials!O319),ISNUMBER(_RawBaseline!O316),RawFinancials!O319=_RawBaseline!O316))))</f>
        <v>0</v>
      </c>
      <c r="U319" s="13" t="n">
        <f aca="false">IF(AND(D319=WF_START_PERIOD,R319,COUNTIFS($B$5:$B$750,B319,$D$5:$D$750,WF_END_PERIOD,$R$5:$R$750,TRUE())&gt;0),SUMIFS($S$5:$S$750,$B$5:$B$750,B319,$D$5:$D$750,WF_END_PERIOD,$R$5:$R$750,TRUE()),0)</f>
        <v>0</v>
      </c>
      <c r="V319" s="0" t="str">
        <f aca="false">IF(AND(D319=WF_START_PERIOD,COUNTIFS($B$5:$B$750,B319,$D$5:$D$750,WF_END_PERIOD)&gt;0),INDEX($E$5:$E$750,MATCH(B319&amp;"|"&amp;WF_END_PERIOD,$AC$5:$AC$750,0)),"")</f>
        <v/>
      </c>
      <c r="W319" s="11" t="b">
        <f aca="false">COUNTIFS($B$5:$B$750,B319,$D$5:$D$750,WF_START_PERIOD,$R$5:$R$750,TRUE())&gt;0</f>
        <v>1</v>
      </c>
      <c r="X319" s="11" t="b">
        <f aca="false">COUNTIFS($B$5:$B$750,B319,$D$5:$D$750,WF_END_PERIOD,$R$5:$R$750,TRUE())&gt;0</f>
        <v>1</v>
      </c>
      <c r="Y319" s="0" t="str">
        <f aca="false">IF(AND(D319=WF_END_PERIOD,COUNTIFS($B$5:$B$750,B319,$D$5:$D$750,WF_START_PERIOD)&gt;0),INDEX($E$5:$E$750,MATCH(B319&amp;"|"&amp;WF_START_PERIOD,$AC$5:$AC$750,0)),"")</f>
        <v/>
      </c>
      <c r="Z319" s="0" t="str">
        <f aca="false">IF(AND(D319=WF_END_PERIOD,R319),1+COUNTIFS($D$5:$D$750,WF_END_PERIOD,$E$5:$E$750,E319,$R$5:$R$750,TRUE(),$S$5:$S$750,"&gt;"&amp;S319)+COUNTIFS($D$5:$D$750,WF_END_PERIOD,$E$5:$E$750,E319,$R$5:$R$750,TRUE(),$S$5:$S$750,S319,$B$5:$B$750,"&lt;"&amp;B319),"")</f>
        <v/>
      </c>
      <c r="AA319" s="0" t="str">
        <f aca="false">IF(AND(D319=WF_END_PERIOD,R319,Z319&lt;&gt;1),1+COUNTIFS($D$5:$D$750,WF_END_PERIOD,$R$5:$R$750,TRUE(),$Z$5:$Z$750,"&lt;&gt;1",$S$5:$S$750,"&gt;"&amp;S319)+COUNTIFS($D$5:$D$750,WF_END_PERIOD,$R$5:$R$750,TRUE(),$Z$5:$Z$750,"&lt;&gt;1",$S$5:$S$750,S319,$B$5:$B$750,"&lt;"&amp;B319),"")</f>
        <v/>
      </c>
      <c r="AB319" s="11" t="b">
        <f aca="false">OR(D319=WF_START_PERIOD,D319=WF_END_PERIOD)</f>
        <v>0</v>
      </c>
      <c r="AC319" s="0" t="str">
        <f aca="false">B319&amp;"|"&amp;D319</f>
        <v>59298|20230630</v>
      </c>
    </row>
    <row r="320" customFormat="false" ht="15" hidden="false" customHeight="false" outlineLevel="0" collapsed="false">
      <c r="A320" s="0" t="n">
        <f aca="false">RawFinancials!A320</f>
        <v>317</v>
      </c>
      <c r="B320" s="0" t="n">
        <f aca="false">RawFinancials!C320</f>
        <v>6271</v>
      </c>
      <c r="C320" s="0" t="str">
        <f aca="false">RawFinancials!P320</f>
        <v>COMMUNITY NATIONAL BANK</v>
      </c>
      <c r="D320" s="0" t="n">
        <f aca="false">RawFinancials!W320</f>
        <v>20230630</v>
      </c>
      <c r="E320" s="0" t="str">
        <f aca="false">RawFinancials!Z320</f>
        <v>VT</v>
      </c>
      <c r="F320" s="0" t="n">
        <f aca="false">RawFinancials!B320</f>
        <v>1031317</v>
      </c>
      <c r="G320" s="0" t="n">
        <f aca="false">RawFinancials!U320</f>
        <v>351</v>
      </c>
      <c r="H320" s="0" t="n">
        <f aca="false">RawFinancials!O320</f>
        <v>7745</v>
      </c>
      <c r="I320" s="0" t="n">
        <f aca="false">IF(AND(ISNUMBER(G320),ISNUMBER(H320)),G320+H320,"")</f>
        <v>8096</v>
      </c>
      <c r="J320" s="0" t="n">
        <f aca="false">RawFinancials!D320</f>
        <v>852686</v>
      </c>
      <c r="K320" s="0" t="n">
        <f aca="false">RawFinancials!F320</f>
        <v>92265</v>
      </c>
      <c r="L320" s="0" t="n">
        <f aca="false">RawFinancials!L320</f>
        <v>782411</v>
      </c>
      <c r="M320" s="0" t="n">
        <f aca="false">RawFinancials!N320</f>
        <v>618469</v>
      </c>
      <c r="N320" s="13" t="n">
        <f aca="false">RawFinancials!X320</f>
        <v>1.36947361058618</v>
      </c>
      <c r="O320" s="13" t="n">
        <f aca="false">RawFinancials!V320</f>
        <v>14.8339396306876</v>
      </c>
      <c r="P320" s="13" t="n">
        <f aca="false">IF(AND(ISNUMBER(L320),L320&lt;&gt;0,ISNUMBER(M320)),100*M320/L320,"")</f>
        <v>79.0465624844232</v>
      </c>
      <c r="Q320" s="13" t="n">
        <f aca="false">IF(AND(ISNUMBER(F320),F320&lt;&gt;0,ISNUMBER(K320)),100*K320/F320,"")</f>
        <v>8.94632785069964</v>
      </c>
      <c r="R320" s="11" t="b">
        <f aca="false">AND(ISNUMBER(F320),F320&gt;0,ISNUMBER(G320),G320&gt;=0,ISNUMBER(H320),H320&gt;=0)</f>
        <v>1</v>
      </c>
      <c r="S320" s="13" t="n">
        <f aca="false">IF(R320,100*I320/F320,"")</f>
        <v>0.785015664436832</v>
      </c>
      <c r="T320" s="11" t="b">
        <f aca="false">NOT(AND(OR(AND(ISBLANK(RawFinancials!B320),ISBLANK(_RawBaseline!B317)),AND(ISNUMBER(RawFinancials!B320),ISNUMBER(_RawBaseline!B317),RawFinancials!B320=_RawBaseline!B317)),OR(AND(ISBLANK(RawFinancials!U320),ISBLANK(_RawBaseline!U317)),AND(ISNUMBER(RawFinancials!U320),ISNUMBER(_RawBaseline!U317),RawFinancials!U320=_RawBaseline!U317)),OR(AND(ISBLANK(RawFinancials!O320),ISBLANK(_RawBaseline!O317)),AND(ISNUMBER(RawFinancials!O320),ISNUMBER(_RawBaseline!O317),RawFinancials!O320=_RawBaseline!O317))))</f>
        <v>0</v>
      </c>
      <c r="U320" s="13" t="n">
        <f aca="false">IF(AND(D320=WF_START_PERIOD,R320,COUNTIFS($B$5:$B$750,B320,$D$5:$D$750,WF_END_PERIOD,$R$5:$R$750,TRUE())&gt;0),SUMIFS($S$5:$S$750,$B$5:$B$750,B320,$D$5:$D$750,WF_END_PERIOD,$R$5:$R$750,TRUE()),0)</f>
        <v>0</v>
      </c>
      <c r="V320" s="0" t="str">
        <f aca="false">IF(AND(D320=WF_START_PERIOD,COUNTIFS($B$5:$B$750,B320,$D$5:$D$750,WF_END_PERIOD)&gt;0),INDEX($E$5:$E$750,MATCH(B320&amp;"|"&amp;WF_END_PERIOD,$AC$5:$AC$750,0)),"")</f>
        <v/>
      </c>
      <c r="W320" s="11" t="b">
        <f aca="false">COUNTIFS($B$5:$B$750,B320,$D$5:$D$750,WF_START_PERIOD,$R$5:$R$750,TRUE())&gt;0</f>
        <v>1</v>
      </c>
      <c r="X320" s="11" t="b">
        <f aca="false">COUNTIFS($B$5:$B$750,B320,$D$5:$D$750,WF_END_PERIOD,$R$5:$R$750,TRUE())&gt;0</f>
        <v>1</v>
      </c>
      <c r="Y320" s="0" t="str">
        <f aca="false">IF(AND(D320=WF_END_PERIOD,COUNTIFS($B$5:$B$750,B320,$D$5:$D$750,WF_START_PERIOD)&gt;0),INDEX($E$5:$E$750,MATCH(B320&amp;"|"&amp;WF_START_PERIOD,$AC$5:$AC$750,0)),"")</f>
        <v/>
      </c>
      <c r="Z320" s="0" t="str">
        <f aca="false">IF(AND(D320=WF_END_PERIOD,R320),1+COUNTIFS($D$5:$D$750,WF_END_PERIOD,$E$5:$E$750,E320,$R$5:$R$750,TRUE(),$S$5:$S$750,"&gt;"&amp;S320)+COUNTIFS($D$5:$D$750,WF_END_PERIOD,$E$5:$E$750,E320,$R$5:$R$750,TRUE(),$S$5:$S$750,S320,$B$5:$B$750,"&lt;"&amp;B320),"")</f>
        <v/>
      </c>
      <c r="AA320" s="0" t="str">
        <f aca="false">IF(AND(D320=WF_END_PERIOD,R320,Z320&lt;&gt;1),1+COUNTIFS($D$5:$D$750,WF_END_PERIOD,$R$5:$R$750,TRUE(),$Z$5:$Z$750,"&lt;&gt;1",$S$5:$S$750,"&gt;"&amp;S320)+COUNTIFS($D$5:$D$750,WF_END_PERIOD,$R$5:$R$750,TRUE(),$Z$5:$Z$750,"&lt;&gt;1",$S$5:$S$750,S320,$B$5:$B$750,"&lt;"&amp;B320),"")</f>
        <v/>
      </c>
      <c r="AB320" s="11" t="b">
        <f aca="false">OR(D320=WF_START_PERIOD,D320=WF_END_PERIOD)</f>
        <v>0</v>
      </c>
      <c r="AC320" s="0" t="str">
        <f aca="false">B320&amp;"|"&amp;D320</f>
        <v>6271|20230630</v>
      </c>
    </row>
    <row r="321" customFormat="false" ht="15" hidden="false" customHeight="false" outlineLevel="0" collapsed="false">
      <c r="A321" s="0" t="n">
        <f aca="false">RawFinancials!A321</f>
        <v>318</v>
      </c>
      <c r="B321" s="0" t="n">
        <f aca="false">RawFinancials!C321</f>
        <v>6275</v>
      </c>
      <c r="C321" s="0" t="str">
        <f aca="false">RawFinancials!P321</f>
        <v>THE NATIONAL BANK OF MIDDLEBURY</v>
      </c>
      <c r="D321" s="0" t="n">
        <f aca="false">RawFinancials!W321</f>
        <v>20230630</v>
      </c>
      <c r="E321" s="0" t="str">
        <f aca="false">RawFinancials!Z321</f>
        <v>VT</v>
      </c>
      <c r="F321" s="0" t="n">
        <f aca="false">RawFinancials!B321</f>
        <v>549189</v>
      </c>
      <c r="G321" s="0" t="n">
        <f aca="false">RawFinancials!U321</f>
        <v>152</v>
      </c>
      <c r="H321" s="0" t="n">
        <f aca="false">RawFinancials!O321</f>
        <v>1335</v>
      </c>
      <c r="I321" s="0" t="n">
        <f aca="false">IF(AND(ISNUMBER(G321),ISNUMBER(H321)),G321+H321,"")</f>
        <v>1487</v>
      </c>
      <c r="J321" s="0" t="n">
        <f aca="false">RawFinancials!D321</f>
        <v>469803</v>
      </c>
      <c r="K321" s="0" t="n">
        <f aca="false">RawFinancials!F321</f>
        <v>27287</v>
      </c>
      <c r="L321" s="0" t="n">
        <f aca="false">RawFinancials!L321</f>
        <v>328932</v>
      </c>
      <c r="M321" s="0" t="n">
        <f aca="false">RawFinancials!N321</f>
        <v>269836</v>
      </c>
      <c r="N321" s="13" t="n">
        <f aca="false">RawFinancials!X321</f>
        <v>0.480035530771746</v>
      </c>
      <c r="O321" s="13" t="n">
        <f aca="false">RawFinancials!V321</f>
        <v>15.0712824477511</v>
      </c>
      <c r="P321" s="13" t="n">
        <f aca="false">IF(AND(ISNUMBER(L321),L321&lt;&gt;0,ISNUMBER(M321)),100*M321/L321,"")</f>
        <v>82.033976627388</v>
      </c>
      <c r="Q321" s="13" t="n">
        <f aca="false">IF(AND(ISNUMBER(F321),F321&lt;&gt;0,ISNUMBER(K321)),100*K321/F321,"")</f>
        <v>4.96859915256861</v>
      </c>
      <c r="R321" s="11" t="b">
        <f aca="false">AND(ISNUMBER(F321),F321&gt;0,ISNUMBER(G321),G321&gt;=0,ISNUMBER(H321),H321&gt;=0)</f>
        <v>1</v>
      </c>
      <c r="S321" s="13" t="n">
        <f aca="false">IF(R321,100*I321/F321,"")</f>
        <v>0.270762888550208</v>
      </c>
      <c r="T321" s="11" t="b">
        <f aca="false">NOT(AND(OR(AND(ISBLANK(RawFinancials!B321),ISBLANK(_RawBaseline!B318)),AND(ISNUMBER(RawFinancials!B321),ISNUMBER(_RawBaseline!B318),RawFinancials!B321=_RawBaseline!B318)),OR(AND(ISBLANK(RawFinancials!U321),ISBLANK(_RawBaseline!U318)),AND(ISNUMBER(RawFinancials!U321),ISNUMBER(_RawBaseline!U318),RawFinancials!U321=_RawBaseline!U318)),OR(AND(ISBLANK(RawFinancials!O321),ISBLANK(_RawBaseline!O318)),AND(ISNUMBER(RawFinancials!O321),ISNUMBER(_RawBaseline!O318),RawFinancials!O321=_RawBaseline!O318))))</f>
        <v>0</v>
      </c>
      <c r="U321" s="13" t="n">
        <f aca="false">IF(AND(D321=WF_START_PERIOD,R321,COUNTIFS($B$5:$B$750,B321,$D$5:$D$750,WF_END_PERIOD,$R$5:$R$750,TRUE())&gt;0),SUMIFS($S$5:$S$750,$B$5:$B$750,B321,$D$5:$D$750,WF_END_PERIOD,$R$5:$R$750,TRUE()),0)</f>
        <v>0</v>
      </c>
      <c r="V321" s="0" t="str">
        <f aca="false">IF(AND(D321=WF_START_PERIOD,COUNTIFS($B$5:$B$750,B321,$D$5:$D$750,WF_END_PERIOD)&gt;0),INDEX($E$5:$E$750,MATCH(B321&amp;"|"&amp;WF_END_PERIOD,$AC$5:$AC$750,0)),"")</f>
        <v/>
      </c>
      <c r="W321" s="11" t="b">
        <f aca="false">COUNTIFS($B$5:$B$750,B321,$D$5:$D$750,WF_START_PERIOD,$R$5:$R$750,TRUE())&gt;0</f>
        <v>1</v>
      </c>
      <c r="X321" s="11" t="b">
        <f aca="false">COUNTIFS($B$5:$B$750,B321,$D$5:$D$750,WF_END_PERIOD,$R$5:$R$750,TRUE())&gt;0</f>
        <v>1</v>
      </c>
      <c r="Y321" s="0" t="str">
        <f aca="false">IF(AND(D321=WF_END_PERIOD,COUNTIFS($B$5:$B$750,B321,$D$5:$D$750,WF_START_PERIOD)&gt;0),INDEX($E$5:$E$750,MATCH(B321&amp;"|"&amp;WF_START_PERIOD,$AC$5:$AC$750,0)),"")</f>
        <v/>
      </c>
      <c r="Z321" s="0" t="str">
        <f aca="false">IF(AND(D321=WF_END_PERIOD,R321),1+COUNTIFS($D$5:$D$750,WF_END_PERIOD,$E$5:$E$750,E321,$R$5:$R$750,TRUE(),$S$5:$S$750,"&gt;"&amp;S321)+COUNTIFS($D$5:$D$750,WF_END_PERIOD,$E$5:$E$750,E321,$R$5:$R$750,TRUE(),$S$5:$S$750,S321,$B$5:$B$750,"&lt;"&amp;B321),"")</f>
        <v/>
      </c>
      <c r="AA321" s="0" t="str">
        <f aca="false">IF(AND(D321=WF_END_PERIOD,R321,Z321&lt;&gt;1),1+COUNTIFS($D$5:$D$750,WF_END_PERIOD,$R$5:$R$750,TRUE(),$Z$5:$Z$750,"&lt;&gt;1",$S$5:$S$750,"&gt;"&amp;S321)+COUNTIFS($D$5:$D$750,WF_END_PERIOD,$R$5:$R$750,TRUE(),$Z$5:$Z$750,"&lt;&gt;1",$S$5:$S$750,S321,$B$5:$B$750,"&lt;"&amp;B321),"")</f>
        <v/>
      </c>
      <c r="AB321" s="11" t="b">
        <f aca="false">OR(D321=WF_START_PERIOD,D321=WF_END_PERIOD)</f>
        <v>0</v>
      </c>
      <c r="AC321" s="0" t="str">
        <f aca="false">B321&amp;"|"&amp;D321</f>
        <v>6275|20230630</v>
      </c>
    </row>
    <row r="322" customFormat="false" ht="15" hidden="false" customHeight="false" outlineLevel="0" collapsed="false">
      <c r="A322" s="0" t="n">
        <f aca="false">RawFinancials!A322</f>
        <v>319</v>
      </c>
      <c r="B322" s="0" t="n">
        <f aca="false">RawFinancials!C322</f>
        <v>6280</v>
      </c>
      <c r="C322" s="0" t="str">
        <f aca="false">RawFinancials!P322</f>
        <v>THE FIRST NATIONAL BANK OF ORWELL</v>
      </c>
      <c r="D322" s="0" t="n">
        <f aca="false">RawFinancials!W322</f>
        <v>20230630</v>
      </c>
      <c r="E322" s="0" t="str">
        <f aca="false">RawFinancials!Z322</f>
        <v>VT</v>
      </c>
      <c r="F322" s="0" t="n">
        <f aca="false">RawFinancials!B322</f>
        <v>83293</v>
      </c>
      <c r="G322" s="0" t="n">
        <f aca="false">RawFinancials!U322</f>
        <v>0</v>
      </c>
      <c r="H322" s="0" t="n">
        <f aca="false">RawFinancials!O322</f>
        <v>711</v>
      </c>
      <c r="I322" s="0" t="n">
        <f aca="false">IF(AND(ISNUMBER(G322),ISNUMBER(H322)),G322+H322,"")</f>
        <v>711</v>
      </c>
      <c r="J322" s="0" t="n">
        <f aca="false">RawFinancials!D322</f>
        <v>73688</v>
      </c>
      <c r="K322" s="0" t="n">
        <f aca="false">RawFinancials!F322</f>
        <v>9047</v>
      </c>
      <c r="L322" s="0" t="n">
        <f aca="false">RawFinancials!L322</f>
        <v>65402</v>
      </c>
      <c r="M322" s="0" t="n">
        <f aca="false">RawFinancials!N322</f>
        <v>57427</v>
      </c>
      <c r="N322" s="13" t="n">
        <f aca="false">RawFinancials!X322</f>
        <v>1.943744168966</v>
      </c>
      <c r="O322" s="13" t="n">
        <f aca="false">RawFinancials!V322</f>
        <v>0</v>
      </c>
      <c r="P322" s="13" t="n">
        <f aca="false">IF(AND(ISNUMBER(L322),L322&lt;&gt;0,ISNUMBER(M322)),100*M322/L322,"")</f>
        <v>87.8061832971469</v>
      </c>
      <c r="Q322" s="13" t="n">
        <f aca="false">IF(AND(ISNUMBER(F322),F322&lt;&gt;0,ISNUMBER(K322)),100*K322/F322,"")</f>
        <v>10.8616570420083</v>
      </c>
      <c r="R322" s="11" t="b">
        <f aca="false">AND(ISNUMBER(F322),F322&gt;0,ISNUMBER(G322),G322&gt;=0,ISNUMBER(H322),H322&gt;=0)</f>
        <v>1</v>
      </c>
      <c r="S322" s="13" t="n">
        <f aca="false">IF(R322,100*I322/F322,"")</f>
        <v>0.853613148764002</v>
      </c>
      <c r="T322" s="11" t="b">
        <f aca="false">NOT(AND(OR(AND(ISBLANK(RawFinancials!B322),ISBLANK(_RawBaseline!B319)),AND(ISNUMBER(RawFinancials!B322),ISNUMBER(_RawBaseline!B319),RawFinancials!B322=_RawBaseline!B319)),OR(AND(ISBLANK(RawFinancials!U322),ISBLANK(_RawBaseline!U319)),AND(ISNUMBER(RawFinancials!U322),ISNUMBER(_RawBaseline!U319),RawFinancials!U322=_RawBaseline!U319)),OR(AND(ISBLANK(RawFinancials!O322),ISBLANK(_RawBaseline!O319)),AND(ISNUMBER(RawFinancials!O322),ISNUMBER(_RawBaseline!O319),RawFinancials!O322=_RawBaseline!O319))))</f>
        <v>0</v>
      </c>
      <c r="U322" s="13" t="n">
        <f aca="false">IF(AND(D322=WF_START_PERIOD,R322,COUNTIFS($B$5:$B$750,B322,$D$5:$D$750,WF_END_PERIOD,$R$5:$R$750,TRUE())&gt;0),SUMIFS($S$5:$S$750,$B$5:$B$750,B322,$D$5:$D$750,WF_END_PERIOD,$R$5:$R$750,TRUE()),0)</f>
        <v>0</v>
      </c>
      <c r="V322" s="0" t="str">
        <f aca="false">IF(AND(D322=WF_START_PERIOD,COUNTIFS($B$5:$B$750,B322,$D$5:$D$750,WF_END_PERIOD)&gt;0),INDEX($E$5:$E$750,MATCH(B322&amp;"|"&amp;WF_END_PERIOD,$AC$5:$AC$750,0)),"")</f>
        <v/>
      </c>
      <c r="W322" s="11" t="b">
        <f aca="false">COUNTIFS($B$5:$B$750,B322,$D$5:$D$750,WF_START_PERIOD,$R$5:$R$750,TRUE())&gt;0</f>
        <v>1</v>
      </c>
      <c r="X322" s="11" t="b">
        <f aca="false">COUNTIFS($B$5:$B$750,B322,$D$5:$D$750,WF_END_PERIOD,$R$5:$R$750,TRUE())&gt;0</f>
        <v>1</v>
      </c>
      <c r="Y322" s="0" t="str">
        <f aca="false">IF(AND(D322=WF_END_PERIOD,COUNTIFS($B$5:$B$750,B322,$D$5:$D$750,WF_START_PERIOD)&gt;0),INDEX($E$5:$E$750,MATCH(B322&amp;"|"&amp;WF_START_PERIOD,$AC$5:$AC$750,0)),"")</f>
        <v/>
      </c>
      <c r="Z322" s="0" t="str">
        <f aca="false">IF(AND(D322=WF_END_PERIOD,R322),1+COUNTIFS($D$5:$D$750,WF_END_PERIOD,$E$5:$E$750,E322,$R$5:$R$750,TRUE(),$S$5:$S$750,"&gt;"&amp;S322)+COUNTIFS($D$5:$D$750,WF_END_PERIOD,$E$5:$E$750,E322,$R$5:$R$750,TRUE(),$S$5:$S$750,S322,$B$5:$B$750,"&lt;"&amp;B322),"")</f>
        <v/>
      </c>
      <c r="AA322" s="0" t="str">
        <f aca="false">IF(AND(D322=WF_END_PERIOD,R322,Z322&lt;&gt;1),1+COUNTIFS($D$5:$D$750,WF_END_PERIOD,$R$5:$R$750,TRUE(),$Z$5:$Z$750,"&lt;&gt;1",$S$5:$S$750,"&gt;"&amp;S322)+COUNTIFS($D$5:$D$750,WF_END_PERIOD,$R$5:$R$750,TRUE(),$Z$5:$Z$750,"&lt;&gt;1",$S$5:$S$750,S322,$B$5:$B$750,"&lt;"&amp;B322),"")</f>
        <v/>
      </c>
      <c r="AB322" s="11" t="b">
        <f aca="false">OR(D322=WF_START_PERIOD,D322=WF_END_PERIOD)</f>
        <v>0</v>
      </c>
      <c r="AC322" s="0" t="str">
        <f aca="false">B322&amp;"|"&amp;D322</f>
        <v>6280|20230630</v>
      </c>
    </row>
    <row r="323" customFormat="false" ht="15" hidden="false" customHeight="false" outlineLevel="0" collapsed="false">
      <c r="A323" s="0" t="n">
        <f aca="false">RawFinancials!A323</f>
        <v>320</v>
      </c>
      <c r="B323" s="0" t="n">
        <f aca="false">RawFinancials!C323</f>
        <v>11971</v>
      </c>
      <c r="C323" s="0" t="str">
        <f aca="false">RawFinancials!P323</f>
        <v>BAR HARBOR BANK &amp; TRUST</v>
      </c>
      <c r="D323" s="0" t="n">
        <f aca="false">RawFinancials!W323</f>
        <v>20230930</v>
      </c>
      <c r="E323" s="0" t="str">
        <f aca="false">RawFinancials!Z323</f>
        <v>ME</v>
      </c>
      <c r="F323" s="0" t="n">
        <f aca="false">RawFinancials!B323</f>
        <v>3980815</v>
      </c>
      <c r="G323" s="0" t="n">
        <f aca="false">RawFinancials!U323</f>
        <v>959</v>
      </c>
      <c r="H323" s="0" t="n">
        <f aca="false">RawFinancials!O323</f>
        <v>6769</v>
      </c>
      <c r="I323" s="0" t="n">
        <f aca="false">IF(AND(ISNUMBER(G323),ISNUMBER(H323)),G323+H323,"")</f>
        <v>7728</v>
      </c>
      <c r="J323" s="0" t="n">
        <f aca="false">RawFinancials!D323</f>
        <v>3148381</v>
      </c>
      <c r="K323" s="0" t="n">
        <f aca="false">RawFinancials!F323</f>
        <v>456209</v>
      </c>
      <c r="L323" s="0" t="n">
        <f aca="false">RawFinancials!L323</f>
        <v>2994807</v>
      </c>
      <c r="M323" s="0" t="n">
        <f aca="false">RawFinancials!N323</f>
        <v>2636437</v>
      </c>
      <c r="N323" s="13" t="n">
        <f aca="false">RawFinancials!X323</f>
        <v>1.3228625688724</v>
      </c>
      <c r="O323" s="13" t="n">
        <f aca="false">RawFinancials!V323</f>
        <v>13.601622045909</v>
      </c>
      <c r="P323" s="13" t="n">
        <f aca="false">IF(AND(ISNUMBER(L323),L323&lt;&gt;0,ISNUMBER(M323)),100*M323/L323,"")</f>
        <v>88.0336195287376</v>
      </c>
      <c r="Q323" s="13" t="n">
        <f aca="false">IF(AND(ISNUMBER(F323),F323&lt;&gt;0,ISNUMBER(K323)),100*K323/F323,"")</f>
        <v>11.4601909407998</v>
      </c>
      <c r="R323" s="11" t="b">
        <f aca="false">AND(ISNUMBER(F323),F323&gt;0,ISNUMBER(G323),G323&gt;=0,ISNUMBER(H323),H323&gt;=0)</f>
        <v>1</v>
      </c>
      <c r="S323" s="13" t="n">
        <f aca="false">IF(R323,100*I323/F323,"")</f>
        <v>0.194131101294584</v>
      </c>
      <c r="T323" s="11" t="b">
        <f aca="false">NOT(AND(OR(AND(ISBLANK(RawFinancials!B323),ISBLANK(_RawBaseline!B320)),AND(ISNUMBER(RawFinancials!B323),ISNUMBER(_RawBaseline!B320),RawFinancials!B323=_RawBaseline!B320)),OR(AND(ISBLANK(RawFinancials!U323),ISBLANK(_RawBaseline!U320)),AND(ISNUMBER(RawFinancials!U323),ISNUMBER(_RawBaseline!U320),RawFinancials!U323=_RawBaseline!U320)),OR(AND(ISBLANK(RawFinancials!O323),ISBLANK(_RawBaseline!O320)),AND(ISNUMBER(RawFinancials!O323),ISNUMBER(_RawBaseline!O320),RawFinancials!O323=_RawBaseline!O320))))</f>
        <v>0</v>
      </c>
      <c r="U323" s="13" t="n">
        <f aca="false">IF(AND(D323=WF_START_PERIOD,R323,COUNTIFS($B$5:$B$750,B323,$D$5:$D$750,WF_END_PERIOD,$R$5:$R$750,TRUE())&gt;0),SUMIFS($S$5:$S$750,$B$5:$B$750,B323,$D$5:$D$750,WF_END_PERIOD,$R$5:$R$750,TRUE()),0)</f>
        <v>0</v>
      </c>
      <c r="V323" s="0" t="str">
        <f aca="false">IF(AND(D323=WF_START_PERIOD,COUNTIFS($B$5:$B$750,B323,$D$5:$D$750,WF_END_PERIOD)&gt;0),INDEX($E$5:$E$750,MATCH(B323&amp;"|"&amp;WF_END_PERIOD,$AC$5:$AC$750,0)),"")</f>
        <v/>
      </c>
      <c r="W323" s="11" t="b">
        <f aca="false">COUNTIFS($B$5:$B$750,B323,$D$5:$D$750,WF_START_PERIOD,$R$5:$R$750,TRUE())&gt;0</f>
        <v>1</v>
      </c>
      <c r="X323" s="11" t="b">
        <f aca="false">COUNTIFS($B$5:$B$750,B323,$D$5:$D$750,WF_END_PERIOD,$R$5:$R$750,TRUE())&gt;0</f>
        <v>1</v>
      </c>
      <c r="Y323" s="0" t="str">
        <f aca="false">IF(AND(D323=WF_END_PERIOD,COUNTIFS($B$5:$B$750,B323,$D$5:$D$750,WF_START_PERIOD)&gt;0),INDEX($E$5:$E$750,MATCH(B323&amp;"|"&amp;WF_START_PERIOD,$AC$5:$AC$750,0)),"")</f>
        <v/>
      </c>
      <c r="Z323" s="0" t="str">
        <f aca="false">IF(AND(D323=WF_END_PERIOD,R323),1+COUNTIFS($D$5:$D$750,WF_END_PERIOD,$E$5:$E$750,E323,$R$5:$R$750,TRUE(),$S$5:$S$750,"&gt;"&amp;S323)+COUNTIFS($D$5:$D$750,WF_END_PERIOD,$E$5:$E$750,E323,$R$5:$R$750,TRUE(),$S$5:$S$750,S323,$B$5:$B$750,"&lt;"&amp;B323),"")</f>
        <v/>
      </c>
      <c r="AA323" s="0" t="str">
        <f aca="false">IF(AND(D323=WF_END_PERIOD,R323,Z323&lt;&gt;1),1+COUNTIFS($D$5:$D$750,WF_END_PERIOD,$R$5:$R$750,TRUE(),$Z$5:$Z$750,"&lt;&gt;1",$S$5:$S$750,"&gt;"&amp;S323)+COUNTIFS($D$5:$D$750,WF_END_PERIOD,$R$5:$R$750,TRUE(),$Z$5:$Z$750,"&lt;&gt;1",$S$5:$S$750,S323,$B$5:$B$750,"&lt;"&amp;B323),"")</f>
        <v/>
      </c>
      <c r="AB323" s="11" t="b">
        <f aca="false">OR(D323=WF_START_PERIOD,D323=WF_END_PERIOD)</f>
        <v>0</v>
      </c>
      <c r="AC323" s="0" t="str">
        <f aca="false">B323&amp;"|"&amp;D323</f>
        <v>11971|20230930</v>
      </c>
    </row>
    <row r="324" customFormat="false" ht="15" hidden="false" customHeight="false" outlineLevel="0" collapsed="false">
      <c r="A324" s="0" t="n">
        <f aca="false">RawFinancials!A324</f>
        <v>321</v>
      </c>
      <c r="B324" s="0" t="n">
        <f aca="false">RawFinancials!C324</f>
        <v>12874</v>
      </c>
      <c r="C324" s="0" t="str">
        <f aca="false">RawFinancials!P324</f>
        <v>KATAHDIN TRUST COMPANY</v>
      </c>
      <c r="D324" s="0" t="n">
        <f aca="false">RawFinancials!W324</f>
        <v>20230930</v>
      </c>
      <c r="E324" s="0" t="str">
        <f aca="false">RawFinancials!Z324</f>
        <v>ME</v>
      </c>
      <c r="F324" s="0" t="n">
        <f aca="false">RawFinancials!B324</f>
        <v>1015573</v>
      </c>
      <c r="G324" s="0" t="n">
        <f aca="false">RawFinancials!U324</f>
        <v>0</v>
      </c>
      <c r="H324" s="0" t="n">
        <f aca="false">RawFinancials!O324</f>
        <v>415</v>
      </c>
      <c r="I324" s="0" t="n">
        <f aca="false">IF(AND(ISNUMBER(G324),ISNUMBER(H324)),G324+H324,"")</f>
        <v>415</v>
      </c>
      <c r="J324" s="0" t="n">
        <f aca="false">RawFinancials!D324</f>
        <v>892145</v>
      </c>
      <c r="K324" s="0" t="n">
        <f aca="false">RawFinancials!F324</f>
        <v>100287</v>
      </c>
      <c r="L324" s="0" t="n">
        <f aca="false">RawFinancials!L324</f>
        <v>791811</v>
      </c>
      <c r="M324" s="0" t="n">
        <f aca="false">RawFinancials!N324</f>
        <v>624999</v>
      </c>
      <c r="N324" s="13" t="n">
        <f aca="false">RawFinancials!X324</f>
        <v>1.10517821444244</v>
      </c>
      <c r="O324" s="13" t="n">
        <f aca="false">RawFinancials!V324</f>
        <v>15.5130608673916</v>
      </c>
      <c r="P324" s="13" t="n">
        <f aca="false">IF(AND(ISNUMBER(L324),L324&lt;&gt;0,ISNUMBER(M324)),100*M324/L324,"")</f>
        <v>78.9328514001447</v>
      </c>
      <c r="Q324" s="13" t="n">
        <f aca="false">IF(AND(ISNUMBER(F324),F324&lt;&gt;0,ISNUMBER(K324)),100*K324/F324,"")</f>
        <v>9.87491790348897</v>
      </c>
      <c r="R324" s="11" t="b">
        <f aca="false">AND(ISNUMBER(F324),F324&gt;0,ISNUMBER(G324),G324&gt;=0,ISNUMBER(H324),H324&gt;=0)</f>
        <v>1</v>
      </c>
      <c r="S324" s="13" t="n">
        <f aca="false">IF(R324,100*I324/F324,"")</f>
        <v>0.0408636306794293</v>
      </c>
      <c r="T324" s="11" t="b">
        <f aca="false">NOT(AND(OR(AND(ISBLANK(RawFinancials!B324),ISBLANK(_RawBaseline!B321)),AND(ISNUMBER(RawFinancials!B324),ISNUMBER(_RawBaseline!B321),RawFinancials!B324=_RawBaseline!B321)),OR(AND(ISBLANK(RawFinancials!U324),ISBLANK(_RawBaseline!U321)),AND(ISNUMBER(RawFinancials!U324),ISNUMBER(_RawBaseline!U321),RawFinancials!U324=_RawBaseline!U321)),OR(AND(ISBLANK(RawFinancials!O324),ISBLANK(_RawBaseline!O321)),AND(ISNUMBER(RawFinancials!O324),ISNUMBER(_RawBaseline!O321),RawFinancials!O324=_RawBaseline!O321))))</f>
        <v>0</v>
      </c>
      <c r="U324" s="13" t="n">
        <f aca="false">IF(AND(D324=WF_START_PERIOD,R324,COUNTIFS($B$5:$B$750,B324,$D$5:$D$750,WF_END_PERIOD,$R$5:$R$750,TRUE())&gt;0),SUMIFS($S$5:$S$750,$B$5:$B$750,B324,$D$5:$D$750,WF_END_PERIOD,$R$5:$R$750,TRUE()),0)</f>
        <v>0</v>
      </c>
      <c r="V324" s="0" t="str">
        <f aca="false">IF(AND(D324=WF_START_PERIOD,COUNTIFS($B$5:$B$750,B324,$D$5:$D$750,WF_END_PERIOD)&gt;0),INDEX($E$5:$E$750,MATCH(B324&amp;"|"&amp;WF_END_PERIOD,$AC$5:$AC$750,0)),"")</f>
        <v/>
      </c>
      <c r="W324" s="11" t="b">
        <f aca="false">COUNTIFS($B$5:$B$750,B324,$D$5:$D$750,WF_START_PERIOD,$R$5:$R$750,TRUE())&gt;0</f>
        <v>1</v>
      </c>
      <c r="X324" s="11" t="b">
        <f aca="false">COUNTIFS($B$5:$B$750,B324,$D$5:$D$750,WF_END_PERIOD,$R$5:$R$750,TRUE())&gt;0</f>
        <v>1</v>
      </c>
      <c r="Y324" s="0" t="str">
        <f aca="false">IF(AND(D324=WF_END_PERIOD,COUNTIFS($B$5:$B$750,B324,$D$5:$D$750,WF_START_PERIOD)&gt;0),INDEX($E$5:$E$750,MATCH(B324&amp;"|"&amp;WF_START_PERIOD,$AC$5:$AC$750,0)),"")</f>
        <v/>
      </c>
      <c r="Z324" s="0" t="str">
        <f aca="false">IF(AND(D324=WF_END_PERIOD,R324),1+COUNTIFS($D$5:$D$750,WF_END_PERIOD,$E$5:$E$750,E324,$R$5:$R$750,TRUE(),$S$5:$S$750,"&gt;"&amp;S324)+COUNTIFS($D$5:$D$750,WF_END_PERIOD,$E$5:$E$750,E324,$R$5:$R$750,TRUE(),$S$5:$S$750,S324,$B$5:$B$750,"&lt;"&amp;B324),"")</f>
        <v/>
      </c>
      <c r="AA324" s="0" t="str">
        <f aca="false">IF(AND(D324=WF_END_PERIOD,R324,Z324&lt;&gt;1),1+COUNTIFS($D$5:$D$750,WF_END_PERIOD,$R$5:$R$750,TRUE(),$Z$5:$Z$750,"&lt;&gt;1",$S$5:$S$750,"&gt;"&amp;S324)+COUNTIFS($D$5:$D$750,WF_END_PERIOD,$R$5:$R$750,TRUE(),$Z$5:$Z$750,"&lt;&gt;1",$S$5:$S$750,S324,$B$5:$B$750,"&lt;"&amp;B324),"")</f>
        <v/>
      </c>
      <c r="AB324" s="11" t="b">
        <f aca="false">OR(D324=WF_START_PERIOD,D324=WF_END_PERIOD)</f>
        <v>0</v>
      </c>
      <c r="AC324" s="0" t="str">
        <f aca="false">B324&amp;"|"&amp;D324</f>
        <v>12874|20230930</v>
      </c>
    </row>
    <row r="325" customFormat="false" ht="15" hidden="false" customHeight="false" outlineLevel="0" collapsed="false">
      <c r="A325" s="0" t="n">
        <f aca="false">RawFinancials!A325</f>
        <v>322</v>
      </c>
      <c r="B325" s="0" t="n">
        <f aca="false">RawFinancials!C325</f>
        <v>13063</v>
      </c>
      <c r="C325" s="0" t="str">
        <f aca="false">RawFinancials!P325</f>
        <v>KENNEBUNK SAVINGS BANK</v>
      </c>
      <c r="D325" s="0" t="n">
        <f aca="false">RawFinancials!W325</f>
        <v>20230930</v>
      </c>
      <c r="E325" s="0" t="str">
        <f aca="false">RawFinancials!Z325</f>
        <v>ME</v>
      </c>
      <c r="F325" s="0" t="n">
        <f aca="false">RawFinancials!B325</f>
        <v>1813189</v>
      </c>
      <c r="G325" s="0" t="n">
        <f aca="false">RawFinancials!U325</f>
        <v>700</v>
      </c>
      <c r="H325" s="0" t="n">
        <f aca="false">RawFinancials!O325</f>
        <v>592</v>
      </c>
      <c r="I325" s="0" t="n">
        <f aca="false">IF(AND(ISNUMBER(G325),ISNUMBER(H325)),G325+H325,"")</f>
        <v>1292</v>
      </c>
      <c r="J325" s="0" t="n">
        <f aca="false">RawFinancials!D325</f>
        <v>1662459</v>
      </c>
      <c r="K325" s="0" t="n">
        <f aca="false">RawFinancials!F325</f>
        <v>130802</v>
      </c>
      <c r="L325" s="0" t="n">
        <f aca="false">RawFinancials!L325</f>
        <v>1407387</v>
      </c>
      <c r="M325" s="0" t="n">
        <f aca="false">RawFinancials!N325</f>
        <v>1342676</v>
      </c>
      <c r="N325" s="13" t="n">
        <f aca="false">RawFinancials!X325</f>
        <v>0.205095820826914</v>
      </c>
      <c r="O325" s="13" t="n">
        <f aca="false">RawFinancials!V325</f>
        <v>0</v>
      </c>
      <c r="P325" s="13" t="n">
        <f aca="false">IF(AND(ISNUMBER(L325),L325&lt;&gt;0,ISNUMBER(M325)),100*M325/L325,"")</f>
        <v>95.4020464875688</v>
      </c>
      <c r="Q325" s="13" t="n">
        <f aca="false">IF(AND(ISNUMBER(F325),F325&lt;&gt;0,ISNUMBER(K325)),100*K325/F325,"")</f>
        <v>7.21391978442402</v>
      </c>
      <c r="R325" s="11" t="b">
        <f aca="false">AND(ISNUMBER(F325),F325&gt;0,ISNUMBER(G325),G325&gt;=0,ISNUMBER(H325),H325&gt;=0)</f>
        <v>1</v>
      </c>
      <c r="S325" s="13" t="n">
        <f aca="false">IF(R325,100*I325/F325,"")</f>
        <v>0.0712556716370991</v>
      </c>
      <c r="T325" s="11" t="b">
        <f aca="false">NOT(AND(OR(AND(ISBLANK(RawFinancials!B325),ISBLANK(_RawBaseline!B322)),AND(ISNUMBER(RawFinancials!B325),ISNUMBER(_RawBaseline!B322),RawFinancials!B325=_RawBaseline!B322)),OR(AND(ISBLANK(RawFinancials!U325),ISBLANK(_RawBaseline!U322)),AND(ISNUMBER(RawFinancials!U325),ISNUMBER(_RawBaseline!U322),RawFinancials!U325=_RawBaseline!U322)),OR(AND(ISBLANK(RawFinancials!O325),ISBLANK(_RawBaseline!O322)),AND(ISNUMBER(RawFinancials!O325),ISNUMBER(_RawBaseline!O322),RawFinancials!O325=_RawBaseline!O322))))</f>
        <v>0</v>
      </c>
      <c r="U325" s="13" t="n">
        <f aca="false">IF(AND(D325=WF_START_PERIOD,R325,COUNTIFS($B$5:$B$750,B325,$D$5:$D$750,WF_END_PERIOD,$R$5:$R$750,TRUE())&gt;0),SUMIFS($S$5:$S$750,$B$5:$B$750,B325,$D$5:$D$750,WF_END_PERIOD,$R$5:$R$750,TRUE()),0)</f>
        <v>0</v>
      </c>
      <c r="V325" s="0" t="str">
        <f aca="false">IF(AND(D325=WF_START_PERIOD,COUNTIFS($B$5:$B$750,B325,$D$5:$D$750,WF_END_PERIOD)&gt;0),INDEX($E$5:$E$750,MATCH(B325&amp;"|"&amp;WF_END_PERIOD,$AC$5:$AC$750,0)),"")</f>
        <v/>
      </c>
      <c r="W325" s="11" t="b">
        <f aca="false">COUNTIFS($B$5:$B$750,B325,$D$5:$D$750,WF_START_PERIOD,$R$5:$R$750,TRUE())&gt;0</f>
        <v>1</v>
      </c>
      <c r="X325" s="11" t="b">
        <f aca="false">COUNTIFS($B$5:$B$750,B325,$D$5:$D$750,WF_END_PERIOD,$R$5:$R$750,TRUE())&gt;0</f>
        <v>1</v>
      </c>
      <c r="Y325" s="0" t="str">
        <f aca="false">IF(AND(D325=WF_END_PERIOD,COUNTIFS($B$5:$B$750,B325,$D$5:$D$750,WF_START_PERIOD)&gt;0),INDEX($E$5:$E$750,MATCH(B325&amp;"|"&amp;WF_START_PERIOD,$AC$5:$AC$750,0)),"")</f>
        <v/>
      </c>
      <c r="Z325" s="0" t="str">
        <f aca="false">IF(AND(D325=WF_END_PERIOD,R325),1+COUNTIFS($D$5:$D$750,WF_END_PERIOD,$E$5:$E$750,E325,$R$5:$R$750,TRUE(),$S$5:$S$750,"&gt;"&amp;S325)+COUNTIFS($D$5:$D$750,WF_END_PERIOD,$E$5:$E$750,E325,$R$5:$R$750,TRUE(),$S$5:$S$750,S325,$B$5:$B$750,"&lt;"&amp;B325),"")</f>
        <v/>
      </c>
      <c r="AA325" s="0" t="str">
        <f aca="false">IF(AND(D325=WF_END_PERIOD,R325,Z325&lt;&gt;1),1+COUNTIFS($D$5:$D$750,WF_END_PERIOD,$R$5:$R$750,TRUE(),$Z$5:$Z$750,"&lt;&gt;1",$S$5:$S$750,"&gt;"&amp;S325)+COUNTIFS($D$5:$D$750,WF_END_PERIOD,$R$5:$R$750,TRUE(),$Z$5:$Z$750,"&lt;&gt;1",$S$5:$S$750,S325,$B$5:$B$750,"&lt;"&amp;B325),"")</f>
        <v/>
      </c>
      <c r="AB325" s="11" t="b">
        <f aca="false">OR(D325=WF_START_PERIOD,D325=WF_END_PERIOD)</f>
        <v>0</v>
      </c>
      <c r="AC325" s="0" t="str">
        <f aca="false">B325&amp;"|"&amp;D325</f>
        <v>13063|20230930</v>
      </c>
    </row>
    <row r="326" customFormat="false" ht="15" hidden="false" customHeight="false" outlineLevel="0" collapsed="false">
      <c r="A326" s="0" t="n">
        <f aca="false">RawFinancials!A326</f>
        <v>323</v>
      </c>
      <c r="B326" s="0" t="n">
        <f aca="false">RawFinancials!C326</f>
        <v>14134</v>
      </c>
      <c r="C326" s="0" t="str">
        <f aca="false">RawFinancials!P326</f>
        <v>PASSUMPSIC SAVINGS BANK</v>
      </c>
      <c r="D326" s="0" t="n">
        <f aca="false">RawFinancials!W326</f>
        <v>20230930</v>
      </c>
      <c r="E326" s="0" t="str">
        <f aca="false">RawFinancials!Z326</f>
        <v>VT</v>
      </c>
      <c r="F326" s="0" t="n">
        <f aca="false">RawFinancials!B326</f>
        <v>862974</v>
      </c>
      <c r="G326" s="0" t="n">
        <f aca="false">RawFinancials!U326</f>
        <v>0</v>
      </c>
      <c r="H326" s="0" t="n">
        <f aca="false">RawFinancials!O326</f>
        <v>12208</v>
      </c>
      <c r="I326" s="0" t="n">
        <f aca="false">IF(AND(ISNUMBER(G326),ISNUMBER(H326)),G326+H326,"")</f>
        <v>12208</v>
      </c>
      <c r="J326" s="0" t="n">
        <f aca="false">RawFinancials!D326</f>
        <v>683848</v>
      </c>
      <c r="K326" s="0" t="n">
        <f aca="false">RawFinancials!F326</f>
        <v>97790</v>
      </c>
      <c r="L326" s="0" t="n">
        <f aca="false">RawFinancials!L326</f>
        <v>659466</v>
      </c>
      <c r="M326" s="0" t="n">
        <f aca="false">RawFinancials!N326</f>
        <v>579506</v>
      </c>
      <c r="N326" s="13" t="n">
        <f aca="false">RawFinancials!X326</f>
        <v>0.466681754214042</v>
      </c>
      <c r="O326" s="13" t="n">
        <f aca="false">RawFinancials!V326</f>
        <v>19.4095803936131</v>
      </c>
      <c r="P326" s="13" t="n">
        <f aca="false">IF(AND(ISNUMBER(L326),L326&lt;&gt;0,ISNUMBER(M326)),100*M326/L326,"")</f>
        <v>87.8750382885547</v>
      </c>
      <c r="Q326" s="13" t="n">
        <f aca="false">IF(AND(ISNUMBER(F326),F326&lt;&gt;0,ISNUMBER(K326)),100*K326/F326,"")</f>
        <v>11.3317434824224</v>
      </c>
      <c r="R326" s="11" t="b">
        <f aca="false">AND(ISNUMBER(F326),F326&gt;0,ISNUMBER(G326),G326&gt;=0,ISNUMBER(H326),H326&gt;=0)</f>
        <v>1</v>
      </c>
      <c r="S326" s="13" t="n">
        <f aca="false">IF(R326,100*I326/F326,"")</f>
        <v>1.41464285134894</v>
      </c>
      <c r="T326" s="11" t="b">
        <f aca="false">NOT(AND(OR(AND(ISBLANK(RawFinancials!B326),ISBLANK(_RawBaseline!B323)),AND(ISNUMBER(RawFinancials!B326),ISNUMBER(_RawBaseline!B323),RawFinancials!B326=_RawBaseline!B323)),OR(AND(ISBLANK(RawFinancials!U326),ISBLANK(_RawBaseline!U323)),AND(ISNUMBER(RawFinancials!U326),ISNUMBER(_RawBaseline!U323),RawFinancials!U326=_RawBaseline!U323)),OR(AND(ISBLANK(RawFinancials!O326),ISBLANK(_RawBaseline!O323)),AND(ISNUMBER(RawFinancials!O326),ISNUMBER(_RawBaseline!O323),RawFinancials!O326=_RawBaseline!O323))))</f>
        <v>0</v>
      </c>
      <c r="U326" s="13" t="n">
        <f aca="false">IF(AND(D326=WF_START_PERIOD,R326,COUNTIFS($B$5:$B$750,B326,$D$5:$D$750,WF_END_PERIOD,$R$5:$R$750,TRUE())&gt;0),SUMIFS($S$5:$S$750,$B$5:$B$750,B326,$D$5:$D$750,WF_END_PERIOD,$R$5:$R$750,TRUE()),0)</f>
        <v>0</v>
      </c>
      <c r="V326" s="0" t="str">
        <f aca="false">IF(AND(D326=WF_START_PERIOD,COUNTIFS($B$5:$B$750,B326,$D$5:$D$750,WF_END_PERIOD)&gt;0),INDEX($E$5:$E$750,MATCH(B326&amp;"|"&amp;WF_END_PERIOD,$AC$5:$AC$750,0)),"")</f>
        <v/>
      </c>
      <c r="W326" s="11" t="b">
        <f aca="false">COUNTIFS($B$5:$B$750,B326,$D$5:$D$750,WF_START_PERIOD,$R$5:$R$750,TRUE())&gt;0</f>
        <v>1</v>
      </c>
      <c r="X326" s="11" t="b">
        <f aca="false">COUNTIFS($B$5:$B$750,B326,$D$5:$D$750,WF_END_PERIOD,$R$5:$R$750,TRUE())&gt;0</f>
        <v>1</v>
      </c>
      <c r="Y326" s="0" t="str">
        <f aca="false">IF(AND(D326=WF_END_PERIOD,COUNTIFS($B$5:$B$750,B326,$D$5:$D$750,WF_START_PERIOD)&gt;0),INDEX($E$5:$E$750,MATCH(B326&amp;"|"&amp;WF_START_PERIOD,$AC$5:$AC$750,0)),"")</f>
        <v/>
      </c>
      <c r="Z326" s="0" t="str">
        <f aca="false">IF(AND(D326=WF_END_PERIOD,R326),1+COUNTIFS($D$5:$D$750,WF_END_PERIOD,$E$5:$E$750,E326,$R$5:$R$750,TRUE(),$S$5:$S$750,"&gt;"&amp;S326)+COUNTIFS($D$5:$D$750,WF_END_PERIOD,$E$5:$E$750,E326,$R$5:$R$750,TRUE(),$S$5:$S$750,S326,$B$5:$B$750,"&lt;"&amp;B326),"")</f>
        <v/>
      </c>
      <c r="AA326" s="0" t="str">
        <f aca="false">IF(AND(D326=WF_END_PERIOD,R326,Z326&lt;&gt;1),1+COUNTIFS($D$5:$D$750,WF_END_PERIOD,$R$5:$R$750,TRUE(),$Z$5:$Z$750,"&lt;&gt;1",$S$5:$S$750,"&gt;"&amp;S326)+COUNTIFS($D$5:$D$750,WF_END_PERIOD,$R$5:$R$750,TRUE(),$Z$5:$Z$750,"&lt;&gt;1",$S$5:$S$750,S326,$B$5:$B$750,"&lt;"&amp;B326),"")</f>
        <v/>
      </c>
      <c r="AB326" s="11" t="b">
        <f aca="false">OR(D326=WF_START_PERIOD,D326=WF_END_PERIOD)</f>
        <v>0</v>
      </c>
      <c r="AC326" s="0" t="str">
        <f aca="false">B326&amp;"|"&amp;D326</f>
        <v>14134|20230930</v>
      </c>
    </row>
    <row r="327" customFormat="false" ht="15" hidden="false" customHeight="false" outlineLevel="0" collapsed="false">
      <c r="A327" s="0" t="n">
        <f aca="false">RawFinancials!A327</f>
        <v>324</v>
      </c>
      <c r="B327" s="0" t="n">
        <f aca="false">RawFinancials!C327</f>
        <v>14136</v>
      </c>
      <c r="C327" s="0" t="str">
        <f aca="false">RawFinancials!P327</f>
        <v>WELLS RIVER SAVINGS BANK</v>
      </c>
      <c r="D327" s="0" t="n">
        <f aca="false">RawFinancials!W327</f>
        <v>20230930</v>
      </c>
      <c r="E327" s="0" t="str">
        <f aca="false">RawFinancials!Z327</f>
        <v>VT</v>
      </c>
      <c r="F327" s="0" t="n">
        <f aca="false">RawFinancials!B327</f>
        <v>226042</v>
      </c>
      <c r="G327" s="0" t="n">
        <f aca="false">RawFinancials!U327</f>
        <v>734</v>
      </c>
      <c r="H327" s="0" t="n">
        <f aca="false">RawFinancials!O327</f>
        <v>83</v>
      </c>
      <c r="I327" s="0" t="n">
        <f aca="false">IF(AND(ISNUMBER(G327),ISNUMBER(H327)),G327+H327,"")</f>
        <v>817</v>
      </c>
      <c r="J327" s="0" t="n">
        <f aca="false">RawFinancials!D327</f>
        <v>193047</v>
      </c>
      <c r="K327" s="0" t="n">
        <f aca="false">RawFinancials!F327</f>
        <v>14702</v>
      </c>
      <c r="L327" s="0" t="n">
        <f aca="false">RawFinancials!L327</f>
        <v>146706</v>
      </c>
      <c r="M327" s="0" t="n">
        <f aca="false">RawFinancials!N327</f>
        <v>117617</v>
      </c>
      <c r="N327" s="13" t="n">
        <f aca="false">RawFinancials!X327</f>
        <v>0.657509532403573</v>
      </c>
      <c r="O327" s="13" t="n">
        <f aca="false">RawFinancials!V327</f>
        <v>17.6797625377766</v>
      </c>
      <c r="P327" s="13" t="n">
        <f aca="false">IF(AND(ISNUMBER(L327),L327&lt;&gt;0,ISNUMBER(M327)),100*M327/L327,"")</f>
        <v>80.1719084427358</v>
      </c>
      <c r="Q327" s="13" t="n">
        <f aca="false">IF(AND(ISNUMBER(F327),F327&lt;&gt;0,ISNUMBER(K327)),100*K327/F327,"")</f>
        <v>6.50410100777732</v>
      </c>
      <c r="R327" s="11" t="b">
        <f aca="false">AND(ISNUMBER(F327),F327&gt;0,ISNUMBER(G327),G327&gt;=0,ISNUMBER(H327),H327&gt;=0)</f>
        <v>1</v>
      </c>
      <c r="S327" s="13" t="n">
        <f aca="false">IF(R327,100*I327/F327,"")</f>
        <v>0.361437255023403</v>
      </c>
      <c r="T327" s="11" t="b">
        <f aca="false">NOT(AND(OR(AND(ISBLANK(RawFinancials!B327),ISBLANK(_RawBaseline!B324)),AND(ISNUMBER(RawFinancials!B327),ISNUMBER(_RawBaseline!B324),RawFinancials!B327=_RawBaseline!B324)),OR(AND(ISBLANK(RawFinancials!U327),ISBLANK(_RawBaseline!U324)),AND(ISNUMBER(RawFinancials!U327),ISNUMBER(_RawBaseline!U324),RawFinancials!U327=_RawBaseline!U324)),OR(AND(ISBLANK(RawFinancials!O327),ISBLANK(_RawBaseline!O324)),AND(ISNUMBER(RawFinancials!O327),ISNUMBER(_RawBaseline!O324),RawFinancials!O327=_RawBaseline!O324))))</f>
        <v>0</v>
      </c>
      <c r="U327" s="13" t="n">
        <f aca="false">IF(AND(D327=WF_START_PERIOD,R327,COUNTIFS($B$5:$B$750,B327,$D$5:$D$750,WF_END_PERIOD,$R$5:$R$750,TRUE())&gt;0),SUMIFS($S$5:$S$750,$B$5:$B$750,B327,$D$5:$D$750,WF_END_PERIOD,$R$5:$R$750,TRUE()),0)</f>
        <v>0</v>
      </c>
      <c r="V327" s="0" t="str">
        <f aca="false">IF(AND(D327=WF_START_PERIOD,COUNTIFS($B$5:$B$750,B327,$D$5:$D$750,WF_END_PERIOD)&gt;0),INDEX($E$5:$E$750,MATCH(B327&amp;"|"&amp;WF_END_PERIOD,$AC$5:$AC$750,0)),"")</f>
        <v/>
      </c>
      <c r="W327" s="11" t="b">
        <f aca="false">COUNTIFS($B$5:$B$750,B327,$D$5:$D$750,WF_START_PERIOD,$R$5:$R$750,TRUE())&gt;0</f>
        <v>1</v>
      </c>
      <c r="X327" s="11" t="b">
        <f aca="false">COUNTIFS($B$5:$B$750,B327,$D$5:$D$750,WF_END_PERIOD,$R$5:$R$750,TRUE())&gt;0</f>
        <v>1</v>
      </c>
      <c r="Y327" s="0" t="str">
        <f aca="false">IF(AND(D327=WF_END_PERIOD,COUNTIFS($B$5:$B$750,B327,$D$5:$D$750,WF_START_PERIOD)&gt;0),INDEX($E$5:$E$750,MATCH(B327&amp;"|"&amp;WF_START_PERIOD,$AC$5:$AC$750,0)),"")</f>
        <v/>
      </c>
      <c r="Z327" s="0" t="str">
        <f aca="false">IF(AND(D327=WF_END_PERIOD,R327),1+COUNTIFS($D$5:$D$750,WF_END_PERIOD,$E$5:$E$750,E327,$R$5:$R$750,TRUE(),$S$5:$S$750,"&gt;"&amp;S327)+COUNTIFS($D$5:$D$750,WF_END_PERIOD,$E$5:$E$750,E327,$R$5:$R$750,TRUE(),$S$5:$S$750,S327,$B$5:$B$750,"&lt;"&amp;B327),"")</f>
        <v/>
      </c>
      <c r="AA327" s="0" t="str">
        <f aca="false">IF(AND(D327=WF_END_PERIOD,R327,Z327&lt;&gt;1),1+COUNTIFS($D$5:$D$750,WF_END_PERIOD,$R$5:$R$750,TRUE(),$Z$5:$Z$750,"&lt;&gt;1",$S$5:$S$750,"&gt;"&amp;S327)+COUNTIFS($D$5:$D$750,WF_END_PERIOD,$R$5:$R$750,TRUE(),$Z$5:$Z$750,"&lt;&gt;1",$S$5:$S$750,S327,$B$5:$B$750,"&lt;"&amp;B327),"")</f>
        <v/>
      </c>
      <c r="AB327" s="11" t="b">
        <f aca="false">OR(D327=WF_START_PERIOD,D327=WF_END_PERIOD)</f>
        <v>0</v>
      </c>
      <c r="AC327" s="0" t="str">
        <f aca="false">B327&amp;"|"&amp;D327</f>
        <v>14136|20230930</v>
      </c>
    </row>
    <row r="328" customFormat="false" ht="15" hidden="false" customHeight="false" outlineLevel="0" collapsed="false">
      <c r="A328" s="0" t="n">
        <f aca="false">RawFinancials!A328</f>
        <v>325</v>
      </c>
      <c r="B328" s="0" t="n">
        <f aca="false">RawFinancials!C328</f>
        <v>14140</v>
      </c>
      <c r="C328" s="0" t="str">
        <f aca="false">RawFinancials!P328</f>
        <v>NORTHFIELD SAVINGS BANK</v>
      </c>
      <c r="D328" s="0" t="n">
        <f aca="false">RawFinancials!W328</f>
        <v>20230930</v>
      </c>
      <c r="E328" s="0" t="str">
        <f aca="false">RawFinancials!Z328</f>
        <v>VT</v>
      </c>
      <c r="F328" s="0" t="n">
        <f aca="false">RawFinancials!B328</f>
        <v>1446742</v>
      </c>
      <c r="G328" s="0" t="n">
        <f aca="false">RawFinancials!U328</f>
        <v>0</v>
      </c>
      <c r="H328" s="0" t="n">
        <f aca="false">RawFinancials!O328</f>
        <v>4596</v>
      </c>
      <c r="I328" s="0" t="n">
        <f aca="false">IF(AND(ISNUMBER(G328),ISNUMBER(H328)),G328+H328,"")</f>
        <v>4596</v>
      </c>
      <c r="J328" s="0" t="n">
        <f aca="false">RawFinancials!D328</f>
        <v>1144937</v>
      </c>
      <c r="K328" s="0" t="n">
        <f aca="false">RawFinancials!F328</f>
        <v>114596</v>
      </c>
      <c r="L328" s="0" t="n">
        <f aca="false">RawFinancials!L328</f>
        <v>1027888</v>
      </c>
      <c r="M328" s="0" t="n">
        <f aca="false">RawFinancials!N328</f>
        <v>915552</v>
      </c>
      <c r="N328" s="13" t="n">
        <f aca="false">RawFinancials!X328</f>
        <v>0.282590331859959</v>
      </c>
      <c r="O328" s="13" t="n">
        <f aca="false">RawFinancials!V328</f>
        <v>0</v>
      </c>
      <c r="P328" s="13" t="n">
        <f aca="false">IF(AND(ISNUMBER(L328),L328&lt;&gt;0,ISNUMBER(M328)),100*M328/L328,"")</f>
        <v>89.0711828526065</v>
      </c>
      <c r="Q328" s="13" t="n">
        <f aca="false">IF(AND(ISNUMBER(F328),F328&lt;&gt;0,ISNUMBER(K328)),100*K328/F328,"")</f>
        <v>7.92097001400388</v>
      </c>
      <c r="R328" s="11" t="b">
        <f aca="false">AND(ISNUMBER(F328),F328&gt;0,ISNUMBER(G328),G328&gt;=0,ISNUMBER(H328),H328&gt;=0)</f>
        <v>1</v>
      </c>
      <c r="S328" s="13" t="n">
        <f aca="false">IF(R328,100*I328/F328,"")</f>
        <v>0.317679309787094</v>
      </c>
      <c r="T328" s="11" t="b">
        <f aca="false">NOT(AND(OR(AND(ISBLANK(RawFinancials!B328),ISBLANK(_RawBaseline!B325)),AND(ISNUMBER(RawFinancials!B328),ISNUMBER(_RawBaseline!B325),RawFinancials!B328=_RawBaseline!B325)),OR(AND(ISBLANK(RawFinancials!U328),ISBLANK(_RawBaseline!U325)),AND(ISNUMBER(RawFinancials!U328),ISNUMBER(_RawBaseline!U325),RawFinancials!U328=_RawBaseline!U325)),OR(AND(ISBLANK(RawFinancials!O328),ISBLANK(_RawBaseline!O325)),AND(ISNUMBER(RawFinancials!O328),ISNUMBER(_RawBaseline!O325),RawFinancials!O328=_RawBaseline!O325))))</f>
        <v>0</v>
      </c>
      <c r="U328" s="13" t="n">
        <f aca="false">IF(AND(D328=WF_START_PERIOD,R328,COUNTIFS($B$5:$B$750,B328,$D$5:$D$750,WF_END_PERIOD,$R$5:$R$750,TRUE())&gt;0),SUMIFS($S$5:$S$750,$B$5:$B$750,B328,$D$5:$D$750,WF_END_PERIOD,$R$5:$R$750,TRUE()),0)</f>
        <v>0</v>
      </c>
      <c r="V328" s="0" t="str">
        <f aca="false">IF(AND(D328=WF_START_PERIOD,COUNTIFS($B$5:$B$750,B328,$D$5:$D$750,WF_END_PERIOD)&gt;0),INDEX($E$5:$E$750,MATCH(B328&amp;"|"&amp;WF_END_PERIOD,$AC$5:$AC$750,0)),"")</f>
        <v/>
      </c>
      <c r="W328" s="11" t="b">
        <f aca="false">COUNTIFS($B$5:$B$750,B328,$D$5:$D$750,WF_START_PERIOD,$R$5:$R$750,TRUE())&gt;0</f>
        <v>1</v>
      </c>
      <c r="X328" s="11" t="b">
        <f aca="false">COUNTIFS($B$5:$B$750,B328,$D$5:$D$750,WF_END_PERIOD,$R$5:$R$750,TRUE())&gt;0</f>
        <v>1</v>
      </c>
      <c r="Y328" s="0" t="str">
        <f aca="false">IF(AND(D328=WF_END_PERIOD,COUNTIFS($B$5:$B$750,B328,$D$5:$D$750,WF_START_PERIOD)&gt;0),INDEX($E$5:$E$750,MATCH(B328&amp;"|"&amp;WF_START_PERIOD,$AC$5:$AC$750,0)),"")</f>
        <v/>
      </c>
      <c r="Z328" s="0" t="str">
        <f aca="false">IF(AND(D328=WF_END_PERIOD,R328),1+COUNTIFS($D$5:$D$750,WF_END_PERIOD,$E$5:$E$750,E328,$R$5:$R$750,TRUE(),$S$5:$S$750,"&gt;"&amp;S328)+COUNTIFS($D$5:$D$750,WF_END_PERIOD,$E$5:$E$750,E328,$R$5:$R$750,TRUE(),$S$5:$S$750,S328,$B$5:$B$750,"&lt;"&amp;B328),"")</f>
        <v/>
      </c>
      <c r="AA328" s="0" t="str">
        <f aca="false">IF(AND(D328=WF_END_PERIOD,R328,Z328&lt;&gt;1),1+COUNTIFS($D$5:$D$750,WF_END_PERIOD,$R$5:$R$750,TRUE(),$Z$5:$Z$750,"&lt;&gt;1",$S$5:$S$750,"&gt;"&amp;S328)+COUNTIFS($D$5:$D$750,WF_END_PERIOD,$R$5:$R$750,TRUE(),$Z$5:$Z$750,"&lt;&gt;1",$S$5:$S$750,S328,$B$5:$B$750,"&lt;"&amp;B328),"")</f>
        <v/>
      </c>
      <c r="AB328" s="11" t="b">
        <f aca="false">OR(D328=WF_START_PERIOD,D328=WF_END_PERIOD)</f>
        <v>0</v>
      </c>
      <c r="AC328" s="0" t="str">
        <f aca="false">B328&amp;"|"&amp;D328</f>
        <v>14140|20230930</v>
      </c>
    </row>
    <row r="329" customFormat="false" ht="15" hidden="false" customHeight="false" outlineLevel="0" collapsed="false">
      <c r="A329" s="0" t="n">
        <f aca="false">RawFinancials!A329</f>
        <v>326</v>
      </c>
      <c r="B329" s="0" t="n">
        <f aca="false">RawFinancials!C329</f>
        <v>14158</v>
      </c>
      <c r="C329" s="0" t="str">
        <f aca="false">RawFinancials!P329</f>
        <v>UNION BANK</v>
      </c>
      <c r="D329" s="0" t="n">
        <f aca="false">RawFinancials!W329</f>
        <v>20230930</v>
      </c>
      <c r="E329" s="0" t="str">
        <f aca="false">RawFinancials!Z329</f>
        <v>VT</v>
      </c>
      <c r="F329" s="0" t="n">
        <f aca="false">RawFinancials!B329</f>
        <v>1395141</v>
      </c>
      <c r="G329" s="0" t="n">
        <f aca="false">RawFinancials!U329</f>
        <v>245</v>
      </c>
      <c r="H329" s="0" t="n">
        <f aca="false">RawFinancials!O329</f>
        <v>1882</v>
      </c>
      <c r="I329" s="0" t="n">
        <f aca="false">IF(AND(ISNUMBER(G329),ISNUMBER(H329)),G329+H329,"")</f>
        <v>2127</v>
      </c>
      <c r="J329" s="0" t="n">
        <f aca="false">RawFinancials!D329</f>
        <v>1225741</v>
      </c>
      <c r="K329" s="0" t="n">
        <f aca="false">RawFinancials!F329</f>
        <v>65297</v>
      </c>
      <c r="L329" s="0" t="n">
        <f aca="false">RawFinancials!L329</f>
        <v>1029735</v>
      </c>
      <c r="M329" s="0" t="n">
        <f aca="false">RawFinancials!N329</f>
        <v>900510</v>
      </c>
      <c r="N329" s="13" t="n">
        <f aca="false">RawFinancials!X329</f>
        <v>0.872949562021764</v>
      </c>
      <c r="O329" s="13" t="n">
        <f aca="false">RawFinancials!V329</f>
        <v>13.1807756858742</v>
      </c>
      <c r="P329" s="13" t="n">
        <f aca="false">IF(AND(ISNUMBER(L329),L329&lt;&gt;0,ISNUMBER(M329)),100*M329/L329,"")</f>
        <v>87.4506547801133</v>
      </c>
      <c r="Q329" s="13" t="n">
        <f aca="false">IF(AND(ISNUMBER(F329),F329&lt;&gt;0,ISNUMBER(K329)),100*K329/F329,"")</f>
        <v>4.68031546632204</v>
      </c>
      <c r="R329" s="11" t="b">
        <f aca="false">AND(ISNUMBER(F329),F329&gt;0,ISNUMBER(G329),G329&gt;=0,ISNUMBER(H329),H329&gt;=0)</f>
        <v>1</v>
      </c>
      <c r="S329" s="13" t="n">
        <f aca="false">IF(R329,100*I329/F329,"")</f>
        <v>0.152457708575692</v>
      </c>
      <c r="T329" s="11" t="b">
        <f aca="false">NOT(AND(OR(AND(ISBLANK(RawFinancials!B329),ISBLANK(_RawBaseline!B326)),AND(ISNUMBER(RawFinancials!B329),ISNUMBER(_RawBaseline!B326),RawFinancials!B329=_RawBaseline!B326)),OR(AND(ISBLANK(RawFinancials!U329),ISBLANK(_RawBaseline!U326)),AND(ISNUMBER(RawFinancials!U329),ISNUMBER(_RawBaseline!U326),RawFinancials!U329=_RawBaseline!U326)),OR(AND(ISBLANK(RawFinancials!O329),ISBLANK(_RawBaseline!O326)),AND(ISNUMBER(RawFinancials!O329),ISNUMBER(_RawBaseline!O326),RawFinancials!O329=_RawBaseline!O326))))</f>
        <v>0</v>
      </c>
      <c r="U329" s="13" t="n">
        <f aca="false">IF(AND(D329=WF_START_PERIOD,R329,COUNTIFS($B$5:$B$750,B329,$D$5:$D$750,WF_END_PERIOD,$R$5:$R$750,TRUE())&gt;0),SUMIFS($S$5:$S$750,$B$5:$B$750,B329,$D$5:$D$750,WF_END_PERIOD,$R$5:$R$750,TRUE()),0)</f>
        <v>0</v>
      </c>
      <c r="V329" s="0" t="str">
        <f aca="false">IF(AND(D329=WF_START_PERIOD,COUNTIFS($B$5:$B$750,B329,$D$5:$D$750,WF_END_PERIOD)&gt;0),INDEX($E$5:$E$750,MATCH(B329&amp;"|"&amp;WF_END_PERIOD,$AC$5:$AC$750,0)),"")</f>
        <v/>
      </c>
      <c r="W329" s="11" t="b">
        <f aca="false">COUNTIFS($B$5:$B$750,B329,$D$5:$D$750,WF_START_PERIOD,$R$5:$R$750,TRUE())&gt;0</f>
        <v>1</v>
      </c>
      <c r="X329" s="11" t="b">
        <f aca="false">COUNTIFS($B$5:$B$750,B329,$D$5:$D$750,WF_END_PERIOD,$R$5:$R$750,TRUE())&gt;0</f>
        <v>1</v>
      </c>
      <c r="Y329" s="0" t="str">
        <f aca="false">IF(AND(D329=WF_END_PERIOD,COUNTIFS($B$5:$B$750,B329,$D$5:$D$750,WF_START_PERIOD)&gt;0),INDEX($E$5:$E$750,MATCH(B329&amp;"|"&amp;WF_START_PERIOD,$AC$5:$AC$750,0)),"")</f>
        <v/>
      </c>
      <c r="Z329" s="0" t="str">
        <f aca="false">IF(AND(D329=WF_END_PERIOD,R329),1+COUNTIFS($D$5:$D$750,WF_END_PERIOD,$E$5:$E$750,E329,$R$5:$R$750,TRUE(),$S$5:$S$750,"&gt;"&amp;S329)+COUNTIFS($D$5:$D$750,WF_END_PERIOD,$E$5:$E$750,E329,$R$5:$R$750,TRUE(),$S$5:$S$750,S329,$B$5:$B$750,"&lt;"&amp;B329),"")</f>
        <v/>
      </c>
      <c r="AA329" s="0" t="str">
        <f aca="false">IF(AND(D329=WF_END_PERIOD,R329,Z329&lt;&gt;1),1+COUNTIFS($D$5:$D$750,WF_END_PERIOD,$R$5:$R$750,TRUE(),$Z$5:$Z$750,"&lt;&gt;1",$S$5:$S$750,"&gt;"&amp;S329)+COUNTIFS($D$5:$D$750,WF_END_PERIOD,$R$5:$R$750,TRUE(),$Z$5:$Z$750,"&lt;&gt;1",$S$5:$S$750,S329,$B$5:$B$750,"&lt;"&amp;B329),"")</f>
        <v/>
      </c>
      <c r="AB329" s="11" t="b">
        <f aca="false">OR(D329=WF_START_PERIOD,D329=WF_END_PERIOD)</f>
        <v>0</v>
      </c>
      <c r="AC329" s="0" t="str">
        <f aca="false">B329&amp;"|"&amp;D329</f>
        <v>14158|20230930</v>
      </c>
    </row>
    <row r="330" customFormat="false" ht="15" hidden="false" customHeight="false" outlineLevel="0" collapsed="false">
      <c r="A330" s="0" t="n">
        <f aca="false">RawFinancials!A330</f>
        <v>327</v>
      </c>
      <c r="B330" s="0" t="n">
        <f aca="false">RawFinancials!C330</f>
        <v>14168</v>
      </c>
      <c r="C330" s="0" t="str">
        <f aca="false">RawFinancials!P330</f>
        <v>PEOPLES TRUST COMPANY OF ST. ALBANS</v>
      </c>
      <c r="D330" s="0" t="n">
        <f aca="false">RawFinancials!W330</f>
        <v>20230930</v>
      </c>
      <c r="E330" s="0" t="str">
        <f aca="false">RawFinancials!Z330</f>
        <v>VT</v>
      </c>
      <c r="F330" s="0" t="n">
        <f aca="false">RawFinancials!B330</f>
        <v>359023</v>
      </c>
      <c r="G330" s="0" t="n">
        <f aca="false">RawFinancials!U330</f>
        <v>0</v>
      </c>
      <c r="H330" s="0" t="n">
        <f aca="false">RawFinancials!O330</f>
        <v>1133</v>
      </c>
      <c r="I330" s="0" t="n">
        <f aca="false">IF(AND(ISNUMBER(G330),ISNUMBER(H330)),G330+H330,"")</f>
        <v>1133</v>
      </c>
      <c r="J330" s="0" t="n">
        <f aca="false">RawFinancials!D330</f>
        <v>322770</v>
      </c>
      <c r="K330" s="0" t="n">
        <f aca="false">RawFinancials!F330</f>
        <v>31301</v>
      </c>
      <c r="L330" s="0" t="n">
        <f aca="false">RawFinancials!L330</f>
        <v>229069</v>
      </c>
      <c r="M330" s="0" t="n">
        <f aca="false">RawFinancials!N330</f>
        <v>191581</v>
      </c>
      <c r="N330" s="13" t="n">
        <f aca="false">RawFinancials!X330</f>
        <v>0.847124283777967</v>
      </c>
      <c r="O330" s="13" t="n">
        <f aca="false">RawFinancials!V330</f>
        <v>16.9790621609938</v>
      </c>
      <c r="P330" s="13" t="n">
        <f aca="false">IF(AND(ISNUMBER(L330),L330&lt;&gt;0,ISNUMBER(M330)),100*M330/L330,"")</f>
        <v>83.634625374887</v>
      </c>
      <c r="Q330" s="13" t="n">
        <f aca="false">IF(AND(ISNUMBER(F330),F330&lt;&gt;0,ISNUMBER(K330)),100*K330/F330,"")</f>
        <v>8.71838294482526</v>
      </c>
      <c r="R330" s="11" t="b">
        <f aca="false">AND(ISNUMBER(F330),F330&gt;0,ISNUMBER(G330),G330&gt;=0,ISNUMBER(H330),H330&gt;=0)</f>
        <v>1</v>
      </c>
      <c r="S330" s="13" t="n">
        <f aca="false">IF(R330,100*I330/F330,"")</f>
        <v>0.31557866766196</v>
      </c>
      <c r="T330" s="11" t="b">
        <f aca="false">NOT(AND(OR(AND(ISBLANK(RawFinancials!B330),ISBLANK(_RawBaseline!B327)),AND(ISNUMBER(RawFinancials!B330),ISNUMBER(_RawBaseline!B327),RawFinancials!B330=_RawBaseline!B327)),OR(AND(ISBLANK(RawFinancials!U330),ISBLANK(_RawBaseline!U327)),AND(ISNUMBER(RawFinancials!U330),ISNUMBER(_RawBaseline!U327),RawFinancials!U330=_RawBaseline!U327)),OR(AND(ISBLANK(RawFinancials!O330),ISBLANK(_RawBaseline!O327)),AND(ISNUMBER(RawFinancials!O330),ISNUMBER(_RawBaseline!O327),RawFinancials!O330=_RawBaseline!O327))))</f>
        <v>0</v>
      </c>
      <c r="U330" s="13" t="n">
        <f aca="false">IF(AND(D330=WF_START_PERIOD,R330,COUNTIFS($B$5:$B$750,B330,$D$5:$D$750,WF_END_PERIOD,$R$5:$R$750,TRUE())&gt;0),SUMIFS($S$5:$S$750,$B$5:$B$750,B330,$D$5:$D$750,WF_END_PERIOD,$R$5:$R$750,TRUE()),0)</f>
        <v>0</v>
      </c>
      <c r="V330" s="0" t="str">
        <f aca="false">IF(AND(D330=WF_START_PERIOD,COUNTIFS($B$5:$B$750,B330,$D$5:$D$750,WF_END_PERIOD)&gt;0),INDEX($E$5:$E$750,MATCH(B330&amp;"|"&amp;WF_END_PERIOD,$AC$5:$AC$750,0)),"")</f>
        <v/>
      </c>
      <c r="W330" s="11" t="b">
        <f aca="false">COUNTIFS($B$5:$B$750,B330,$D$5:$D$750,WF_START_PERIOD,$R$5:$R$750,TRUE())&gt;0</f>
        <v>1</v>
      </c>
      <c r="X330" s="11" t="b">
        <f aca="false">COUNTIFS($B$5:$B$750,B330,$D$5:$D$750,WF_END_PERIOD,$R$5:$R$750,TRUE())&gt;0</f>
        <v>1</v>
      </c>
      <c r="Y330" s="0" t="str">
        <f aca="false">IF(AND(D330=WF_END_PERIOD,COUNTIFS($B$5:$B$750,B330,$D$5:$D$750,WF_START_PERIOD)&gt;0),INDEX($E$5:$E$750,MATCH(B330&amp;"|"&amp;WF_START_PERIOD,$AC$5:$AC$750,0)),"")</f>
        <v/>
      </c>
      <c r="Z330" s="0" t="str">
        <f aca="false">IF(AND(D330=WF_END_PERIOD,R330),1+COUNTIFS($D$5:$D$750,WF_END_PERIOD,$E$5:$E$750,E330,$R$5:$R$750,TRUE(),$S$5:$S$750,"&gt;"&amp;S330)+COUNTIFS($D$5:$D$750,WF_END_PERIOD,$E$5:$E$750,E330,$R$5:$R$750,TRUE(),$S$5:$S$750,S330,$B$5:$B$750,"&lt;"&amp;B330),"")</f>
        <v/>
      </c>
      <c r="AA330" s="0" t="str">
        <f aca="false">IF(AND(D330=WF_END_PERIOD,R330,Z330&lt;&gt;1),1+COUNTIFS($D$5:$D$750,WF_END_PERIOD,$R$5:$R$750,TRUE(),$Z$5:$Z$750,"&lt;&gt;1",$S$5:$S$750,"&gt;"&amp;S330)+COUNTIFS($D$5:$D$750,WF_END_PERIOD,$R$5:$R$750,TRUE(),$Z$5:$Z$750,"&lt;&gt;1",$S$5:$S$750,S330,$B$5:$B$750,"&lt;"&amp;B330),"")</f>
        <v/>
      </c>
      <c r="AB330" s="11" t="b">
        <f aca="false">OR(D330=WF_START_PERIOD,D330=WF_END_PERIOD)</f>
        <v>0</v>
      </c>
      <c r="AC330" s="0" t="str">
        <f aca="false">B330&amp;"|"&amp;D330</f>
        <v>14168|20230930</v>
      </c>
    </row>
    <row r="331" customFormat="false" ht="15" hidden="false" customHeight="false" outlineLevel="0" collapsed="false">
      <c r="A331" s="0" t="n">
        <f aca="false">RawFinancials!A331</f>
        <v>328</v>
      </c>
      <c r="B331" s="0" t="n">
        <f aca="false">RawFinancials!C331</f>
        <v>14240</v>
      </c>
      <c r="C331" s="0" t="str">
        <f aca="false">RawFinancials!P331</f>
        <v>NORTHWAY BANK</v>
      </c>
      <c r="D331" s="0" t="n">
        <f aca="false">RawFinancials!W331</f>
        <v>20230930</v>
      </c>
      <c r="E331" s="0" t="str">
        <f aca="false">RawFinancials!Z331</f>
        <v>NH</v>
      </c>
      <c r="F331" s="0" t="n">
        <f aca="false">RawFinancials!B331</f>
        <v>1352605</v>
      </c>
      <c r="G331" s="0" t="n">
        <f aca="false">RawFinancials!U331</f>
        <v>0</v>
      </c>
      <c r="H331" s="0" t="n">
        <f aca="false">RawFinancials!O331</f>
        <v>2967</v>
      </c>
      <c r="I331" s="0" t="n">
        <f aca="false">IF(AND(ISNUMBER(G331),ISNUMBER(H331)),G331+H331,"")</f>
        <v>2967</v>
      </c>
      <c r="J331" s="0" t="n">
        <f aca="false">RawFinancials!D331</f>
        <v>1054870</v>
      </c>
      <c r="K331" s="0" t="n">
        <f aca="false">RawFinancials!F331</f>
        <v>75740</v>
      </c>
      <c r="L331" s="0" t="n">
        <f aca="false">RawFinancials!L331</f>
        <v>967238</v>
      </c>
      <c r="M331" s="0" t="n">
        <f aca="false">RawFinancials!N331</f>
        <v>823267</v>
      </c>
      <c r="N331" s="13" t="n">
        <f aca="false">RawFinancials!X331</f>
        <v>0.527762579725944</v>
      </c>
      <c r="O331" s="13" t="n">
        <f aca="false">RawFinancials!V331</f>
        <v>15.1569679287591</v>
      </c>
      <c r="P331" s="13" t="n">
        <f aca="false">IF(AND(ISNUMBER(L331),L331&lt;&gt;0,ISNUMBER(M331)),100*M331/L331,"")</f>
        <v>85.1152456789332</v>
      </c>
      <c r="Q331" s="13" t="n">
        <f aca="false">IF(AND(ISNUMBER(F331),F331&lt;&gt;0,ISNUMBER(K331)),100*K331/F331,"")</f>
        <v>5.5995652832867</v>
      </c>
      <c r="R331" s="11" t="b">
        <f aca="false">AND(ISNUMBER(F331),F331&gt;0,ISNUMBER(G331),G331&gt;=0,ISNUMBER(H331),H331&gt;=0)</f>
        <v>1</v>
      </c>
      <c r="S331" s="13" t="n">
        <f aca="false">IF(R331,100*I331/F331,"")</f>
        <v>0.219354504825873</v>
      </c>
      <c r="T331" s="11" t="b">
        <f aca="false">NOT(AND(OR(AND(ISBLANK(RawFinancials!B331),ISBLANK(_RawBaseline!B328)),AND(ISNUMBER(RawFinancials!B331),ISNUMBER(_RawBaseline!B328),RawFinancials!B331=_RawBaseline!B328)),OR(AND(ISBLANK(RawFinancials!U331),ISBLANK(_RawBaseline!U328)),AND(ISNUMBER(RawFinancials!U331),ISNUMBER(_RawBaseline!U328),RawFinancials!U331=_RawBaseline!U328)),OR(AND(ISBLANK(RawFinancials!O331),ISBLANK(_RawBaseline!O328)),AND(ISNUMBER(RawFinancials!O331),ISNUMBER(_RawBaseline!O328),RawFinancials!O331=_RawBaseline!O328))))</f>
        <v>0</v>
      </c>
      <c r="U331" s="13" t="n">
        <f aca="false">IF(AND(D331=WF_START_PERIOD,R331,COUNTIFS($B$5:$B$750,B331,$D$5:$D$750,WF_END_PERIOD,$R$5:$R$750,TRUE())&gt;0),SUMIFS($S$5:$S$750,$B$5:$B$750,B331,$D$5:$D$750,WF_END_PERIOD,$R$5:$R$750,TRUE()),0)</f>
        <v>0</v>
      </c>
      <c r="V331" s="0" t="str">
        <f aca="false">IF(AND(D331=WF_START_PERIOD,COUNTIFS($B$5:$B$750,B331,$D$5:$D$750,WF_END_PERIOD)&gt;0),INDEX($E$5:$E$750,MATCH(B331&amp;"|"&amp;WF_END_PERIOD,$AC$5:$AC$750,0)),"")</f>
        <v/>
      </c>
      <c r="W331" s="11" t="b">
        <f aca="false">COUNTIFS($B$5:$B$750,B331,$D$5:$D$750,WF_START_PERIOD,$R$5:$R$750,TRUE())&gt;0</f>
        <v>1</v>
      </c>
      <c r="X331" s="11" t="b">
        <f aca="false">COUNTIFS($B$5:$B$750,B331,$D$5:$D$750,WF_END_PERIOD,$R$5:$R$750,TRUE())&gt;0</f>
        <v>0</v>
      </c>
      <c r="Y331" s="0" t="str">
        <f aca="false">IF(AND(D331=WF_END_PERIOD,COUNTIFS($B$5:$B$750,B331,$D$5:$D$750,WF_START_PERIOD)&gt;0),INDEX($E$5:$E$750,MATCH(B331&amp;"|"&amp;WF_START_PERIOD,$AC$5:$AC$750,0)),"")</f>
        <v/>
      </c>
      <c r="Z331" s="0" t="str">
        <f aca="false">IF(AND(D331=WF_END_PERIOD,R331),1+COUNTIFS($D$5:$D$750,WF_END_PERIOD,$E$5:$E$750,E331,$R$5:$R$750,TRUE(),$S$5:$S$750,"&gt;"&amp;S331)+COUNTIFS($D$5:$D$750,WF_END_PERIOD,$E$5:$E$750,E331,$R$5:$R$750,TRUE(),$S$5:$S$750,S331,$B$5:$B$750,"&lt;"&amp;B331),"")</f>
        <v/>
      </c>
      <c r="AA331" s="0" t="str">
        <f aca="false">IF(AND(D331=WF_END_PERIOD,R331,Z331&lt;&gt;1),1+COUNTIFS($D$5:$D$750,WF_END_PERIOD,$R$5:$R$750,TRUE(),$Z$5:$Z$750,"&lt;&gt;1",$S$5:$S$750,"&gt;"&amp;S331)+COUNTIFS($D$5:$D$750,WF_END_PERIOD,$R$5:$R$750,TRUE(),$Z$5:$Z$750,"&lt;&gt;1",$S$5:$S$750,S331,$B$5:$B$750,"&lt;"&amp;B331),"")</f>
        <v/>
      </c>
      <c r="AB331" s="11" t="b">
        <f aca="false">OR(D331=WF_START_PERIOD,D331=WF_END_PERIOD)</f>
        <v>0</v>
      </c>
      <c r="AC331" s="0" t="str">
        <f aca="false">B331&amp;"|"&amp;D331</f>
        <v>14240|20230930</v>
      </c>
    </row>
    <row r="332" customFormat="false" ht="15" hidden="false" customHeight="false" outlineLevel="0" collapsed="false">
      <c r="A332" s="0" t="n">
        <f aca="false">RawFinancials!A332</f>
        <v>329</v>
      </c>
      <c r="B332" s="0" t="n">
        <f aca="false">RawFinancials!C332</f>
        <v>17115</v>
      </c>
      <c r="C332" s="0" t="str">
        <f aca="false">RawFinancials!P332</f>
        <v>PARTNERS BANK OF NEW ENGLAND</v>
      </c>
      <c r="D332" s="0" t="n">
        <f aca="false">RawFinancials!W332</f>
        <v>20230930</v>
      </c>
      <c r="E332" s="0" t="str">
        <f aca="false">RawFinancials!Z332</f>
        <v>ME</v>
      </c>
      <c r="F332" s="0" t="n">
        <f aca="false">RawFinancials!B332</f>
        <v>1080866</v>
      </c>
      <c r="G332" s="0" t="n">
        <f aca="false">RawFinancials!U332</f>
        <v>0</v>
      </c>
      <c r="H332" s="0" t="n">
        <f aca="false">RawFinancials!O332</f>
        <v>244</v>
      </c>
      <c r="I332" s="0" t="n">
        <f aca="false">IF(AND(ISNUMBER(G332),ISNUMBER(H332)),G332+H332,"")</f>
        <v>244</v>
      </c>
      <c r="J332" s="0" t="n">
        <f aca="false">RawFinancials!D332</f>
        <v>797533</v>
      </c>
      <c r="K332" s="0" t="n">
        <f aca="false">RawFinancials!F332</f>
        <v>79915</v>
      </c>
      <c r="L332" s="0" t="n">
        <f aca="false">RawFinancials!L332</f>
        <v>885313</v>
      </c>
      <c r="M332" s="0" t="n">
        <f aca="false">RawFinancials!N332</f>
        <v>833728</v>
      </c>
      <c r="N332" s="13" t="n">
        <f aca="false">RawFinancials!X332</f>
        <v>0.498638540922278</v>
      </c>
      <c r="O332" s="13" t="n">
        <f aca="false">RawFinancials!V332</f>
        <v>13.5669711163055</v>
      </c>
      <c r="P332" s="13" t="n">
        <f aca="false">IF(AND(ISNUMBER(L332),L332&lt;&gt;0,ISNUMBER(M332)),100*M332/L332,"")</f>
        <v>94.1732472018371</v>
      </c>
      <c r="Q332" s="13" t="n">
        <f aca="false">IF(AND(ISNUMBER(F332),F332&lt;&gt;0,ISNUMBER(K332)),100*K332/F332,"")</f>
        <v>7.3936084584028</v>
      </c>
      <c r="R332" s="11" t="b">
        <f aca="false">AND(ISNUMBER(F332),F332&gt;0,ISNUMBER(G332),G332&gt;=0,ISNUMBER(H332),H332&gt;=0)</f>
        <v>1</v>
      </c>
      <c r="S332" s="13" t="n">
        <f aca="false">IF(R332,100*I332/F332,"")</f>
        <v>0.0225744911950233</v>
      </c>
      <c r="T332" s="11" t="b">
        <f aca="false">NOT(AND(OR(AND(ISBLANK(RawFinancials!B332),ISBLANK(_RawBaseline!B329)),AND(ISNUMBER(RawFinancials!B332),ISNUMBER(_RawBaseline!B329),RawFinancials!B332=_RawBaseline!B329)),OR(AND(ISBLANK(RawFinancials!U332),ISBLANK(_RawBaseline!U329)),AND(ISNUMBER(RawFinancials!U332),ISNUMBER(_RawBaseline!U329),RawFinancials!U332=_RawBaseline!U329)),OR(AND(ISBLANK(RawFinancials!O332),ISBLANK(_RawBaseline!O329)),AND(ISNUMBER(RawFinancials!O332),ISNUMBER(_RawBaseline!O329),RawFinancials!O332=_RawBaseline!O329))))</f>
        <v>0</v>
      </c>
      <c r="U332" s="13" t="n">
        <f aca="false">IF(AND(D332=WF_START_PERIOD,R332,COUNTIFS($B$5:$B$750,B332,$D$5:$D$750,WF_END_PERIOD,$R$5:$R$750,TRUE())&gt;0),SUMIFS($S$5:$S$750,$B$5:$B$750,B332,$D$5:$D$750,WF_END_PERIOD,$R$5:$R$750,TRUE()),0)</f>
        <v>0</v>
      </c>
      <c r="V332" s="0" t="str">
        <f aca="false">IF(AND(D332=WF_START_PERIOD,COUNTIFS($B$5:$B$750,B332,$D$5:$D$750,WF_END_PERIOD)&gt;0),INDEX($E$5:$E$750,MATCH(B332&amp;"|"&amp;WF_END_PERIOD,$AC$5:$AC$750,0)),"")</f>
        <v/>
      </c>
      <c r="W332" s="11" t="b">
        <f aca="false">COUNTIFS($B$5:$B$750,B332,$D$5:$D$750,WF_START_PERIOD,$R$5:$R$750,TRUE())&gt;0</f>
        <v>1</v>
      </c>
      <c r="X332" s="11" t="b">
        <f aca="false">COUNTIFS($B$5:$B$750,B332,$D$5:$D$750,WF_END_PERIOD,$R$5:$R$750,TRUE())&gt;0</f>
        <v>1</v>
      </c>
      <c r="Y332" s="0" t="str">
        <f aca="false">IF(AND(D332=WF_END_PERIOD,COUNTIFS($B$5:$B$750,B332,$D$5:$D$750,WF_START_PERIOD)&gt;0),INDEX($E$5:$E$750,MATCH(B332&amp;"|"&amp;WF_START_PERIOD,$AC$5:$AC$750,0)),"")</f>
        <v/>
      </c>
      <c r="Z332" s="0" t="str">
        <f aca="false">IF(AND(D332=WF_END_PERIOD,R332),1+COUNTIFS($D$5:$D$750,WF_END_PERIOD,$E$5:$E$750,E332,$R$5:$R$750,TRUE(),$S$5:$S$750,"&gt;"&amp;S332)+COUNTIFS($D$5:$D$750,WF_END_PERIOD,$E$5:$E$750,E332,$R$5:$R$750,TRUE(),$S$5:$S$750,S332,$B$5:$B$750,"&lt;"&amp;B332),"")</f>
        <v/>
      </c>
      <c r="AA332" s="0" t="str">
        <f aca="false">IF(AND(D332=WF_END_PERIOD,R332,Z332&lt;&gt;1),1+COUNTIFS($D$5:$D$750,WF_END_PERIOD,$R$5:$R$750,TRUE(),$Z$5:$Z$750,"&lt;&gt;1",$S$5:$S$750,"&gt;"&amp;S332)+COUNTIFS($D$5:$D$750,WF_END_PERIOD,$R$5:$R$750,TRUE(),$Z$5:$Z$750,"&lt;&gt;1",$S$5:$S$750,S332,$B$5:$B$750,"&lt;"&amp;B332),"")</f>
        <v/>
      </c>
      <c r="AB332" s="11" t="b">
        <f aca="false">OR(D332=WF_START_PERIOD,D332=WF_END_PERIOD)</f>
        <v>0</v>
      </c>
      <c r="AC332" s="0" t="str">
        <f aca="false">B332&amp;"|"&amp;D332</f>
        <v>17115|20230930</v>
      </c>
    </row>
    <row r="333" customFormat="false" ht="15" hidden="false" customHeight="false" outlineLevel="0" collapsed="false">
      <c r="A333" s="0" t="n">
        <f aca="false">RawFinancials!A333</f>
        <v>330</v>
      </c>
      <c r="B333" s="0" t="n">
        <f aca="false">RawFinancials!C333</f>
        <v>17180</v>
      </c>
      <c r="C333" s="0" t="str">
        <f aca="false">RawFinancials!P333</f>
        <v>MEREDITH VILLAGE SAVINGS BANK</v>
      </c>
      <c r="D333" s="0" t="n">
        <f aca="false">RawFinancials!W333</f>
        <v>20230930</v>
      </c>
      <c r="E333" s="0" t="str">
        <f aca="false">RawFinancials!Z333</f>
        <v>NH</v>
      </c>
      <c r="F333" s="0" t="n">
        <f aca="false">RawFinancials!B333</f>
        <v>1618725</v>
      </c>
      <c r="G333" s="0" t="n">
        <f aca="false">RawFinancials!U333</f>
        <v>0</v>
      </c>
      <c r="H333" s="0" t="n">
        <f aca="false">RawFinancials!O333</f>
        <v>5236</v>
      </c>
      <c r="I333" s="0" t="n">
        <f aca="false">IF(AND(ISNUMBER(G333),ISNUMBER(H333)),G333+H333,"")</f>
        <v>5236</v>
      </c>
      <c r="J333" s="0" t="n">
        <f aca="false">RawFinancials!D333</f>
        <v>1198681</v>
      </c>
      <c r="K333" s="0" t="n">
        <f aca="false">RawFinancials!F333</f>
        <v>130715</v>
      </c>
      <c r="L333" s="0" t="n">
        <f aca="false">RawFinancials!L333</f>
        <v>1465429</v>
      </c>
      <c r="M333" s="0" t="n">
        <f aca="false">RawFinancials!N333</f>
        <v>1192665</v>
      </c>
      <c r="N333" s="13" t="n">
        <f aca="false">RawFinancials!X333</f>
        <v>0.396147648792238</v>
      </c>
      <c r="O333" s="13" t="n">
        <f aca="false">RawFinancials!V333</f>
        <v>13.815531195592</v>
      </c>
      <c r="P333" s="13" t="n">
        <f aca="false">IF(AND(ISNUMBER(L333),L333&lt;&gt;0,ISNUMBER(M333)),100*M333/L333,"")</f>
        <v>81.3867474985141</v>
      </c>
      <c r="Q333" s="13" t="n">
        <f aca="false">IF(AND(ISNUMBER(F333),F333&lt;&gt;0,ISNUMBER(K333)),100*K333/F333,"")</f>
        <v>8.07518262830314</v>
      </c>
      <c r="R333" s="11" t="b">
        <f aca="false">AND(ISNUMBER(F333),F333&gt;0,ISNUMBER(G333),G333&gt;=0,ISNUMBER(H333),H333&gt;=0)</f>
        <v>1</v>
      </c>
      <c r="S333" s="13" t="n">
        <f aca="false">IF(R333,100*I333/F333,"")</f>
        <v>0.323464455049499</v>
      </c>
      <c r="T333" s="11" t="b">
        <f aca="false">NOT(AND(OR(AND(ISBLANK(RawFinancials!B333),ISBLANK(_RawBaseline!B330)),AND(ISNUMBER(RawFinancials!B333),ISNUMBER(_RawBaseline!B330),RawFinancials!B333=_RawBaseline!B330)),OR(AND(ISBLANK(RawFinancials!U333),ISBLANK(_RawBaseline!U330)),AND(ISNUMBER(RawFinancials!U333),ISNUMBER(_RawBaseline!U330),RawFinancials!U333=_RawBaseline!U330)),OR(AND(ISBLANK(RawFinancials!O333),ISBLANK(_RawBaseline!O330)),AND(ISNUMBER(RawFinancials!O333),ISNUMBER(_RawBaseline!O330),RawFinancials!O333=_RawBaseline!O330))))</f>
        <v>0</v>
      </c>
      <c r="U333" s="13" t="n">
        <f aca="false">IF(AND(D333=WF_START_PERIOD,R333,COUNTIFS($B$5:$B$750,B333,$D$5:$D$750,WF_END_PERIOD,$R$5:$R$750,TRUE())&gt;0),SUMIFS($S$5:$S$750,$B$5:$B$750,B333,$D$5:$D$750,WF_END_PERIOD,$R$5:$R$750,TRUE()),0)</f>
        <v>0</v>
      </c>
      <c r="V333" s="0" t="str">
        <f aca="false">IF(AND(D333=WF_START_PERIOD,COUNTIFS($B$5:$B$750,B333,$D$5:$D$750,WF_END_PERIOD)&gt;0),INDEX($E$5:$E$750,MATCH(B333&amp;"|"&amp;WF_END_PERIOD,$AC$5:$AC$750,0)),"")</f>
        <v/>
      </c>
      <c r="W333" s="11" t="b">
        <f aca="false">COUNTIFS($B$5:$B$750,B333,$D$5:$D$750,WF_START_PERIOD,$R$5:$R$750,TRUE())&gt;0</f>
        <v>1</v>
      </c>
      <c r="X333" s="11" t="b">
        <f aca="false">COUNTIFS($B$5:$B$750,B333,$D$5:$D$750,WF_END_PERIOD,$R$5:$R$750,TRUE())&gt;0</f>
        <v>1</v>
      </c>
      <c r="Y333" s="0" t="str">
        <f aca="false">IF(AND(D333=WF_END_PERIOD,COUNTIFS($B$5:$B$750,B333,$D$5:$D$750,WF_START_PERIOD)&gt;0),INDEX($E$5:$E$750,MATCH(B333&amp;"|"&amp;WF_START_PERIOD,$AC$5:$AC$750,0)),"")</f>
        <v/>
      </c>
      <c r="Z333" s="0" t="str">
        <f aca="false">IF(AND(D333=WF_END_PERIOD,R333),1+COUNTIFS($D$5:$D$750,WF_END_PERIOD,$E$5:$E$750,E333,$R$5:$R$750,TRUE(),$S$5:$S$750,"&gt;"&amp;S333)+COUNTIFS($D$5:$D$750,WF_END_PERIOD,$E$5:$E$750,E333,$R$5:$R$750,TRUE(),$S$5:$S$750,S333,$B$5:$B$750,"&lt;"&amp;B333),"")</f>
        <v/>
      </c>
      <c r="AA333" s="0" t="str">
        <f aca="false">IF(AND(D333=WF_END_PERIOD,R333,Z333&lt;&gt;1),1+COUNTIFS($D$5:$D$750,WF_END_PERIOD,$R$5:$R$750,TRUE(),$Z$5:$Z$750,"&lt;&gt;1",$S$5:$S$750,"&gt;"&amp;S333)+COUNTIFS($D$5:$D$750,WF_END_PERIOD,$R$5:$R$750,TRUE(),$Z$5:$Z$750,"&lt;&gt;1",$S$5:$S$750,S333,$B$5:$B$750,"&lt;"&amp;B333),"")</f>
        <v/>
      </c>
      <c r="AB333" s="11" t="b">
        <f aca="false">OR(D333=WF_START_PERIOD,D333=WF_END_PERIOD)</f>
        <v>0</v>
      </c>
      <c r="AC333" s="0" t="str">
        <f aca="false">B333&amp;"|"&amp;D333</f>
        <v>17180|20230930</v>
      </c>
    </row>
    <row r="334" customFormat="false" ht="15" hidden="false" customHeight="false" outlineLevel="0" collapsed="false">
      <c r="A334" s="0" t="n">
        <f aca="false">RawFinancials!A334</f>
        <v>331</v>
      </c>
      <c r="B334" s="0" t="n">
        <f aca="false">RawFinancials!C334</f>
        <v>17443</v>
      </c>
      <c r="C334" s="0" t="str">
        <f aca="false">RawFinancials!P334</f>
        <v>PISCATAQUA SAVINGS BANK</v>
      </c>
      <c r="D334" s="0" t="n">
        <f aca="false">RawFinancials!W334</f>
        <v>20230930</v>
      </c>
      <c r="E334" s="0" t="str">
        <f aca="false">RawFinancials!Z334</f>
        <v>NH</v>
      </c>
      <c r="F334" s="0" t="n">
        <f aca="false">RawFinancials!B334</f>
        <v>359919</v>
      </c>
      <c r="G334" s="0" t="n">
        <f aca="false">RawFinancials!U334</f>
        <v>897</v>
      </c>
      <c r="H334" s="0" t="n">
        <f aca="false">RawFinancials!O334</f>
        <v>109</v>
      </c>
      <c r="I334" s="0" t="n">
        <f aca="false">IF(AND(ISNUMBER(G334),ISNUMBER(H334)),G334+H334,"")</f>
        <v>1006</v>
      </c>
      <c r="J334" s="0" t="n">
        <f aca="false">RawFinancials!D334</f>
        <v>321726</v>
      </c>
      <c r="K334" s="0" t="n">
        <f aca="false">RawFinancials!F334</f>
        <v>36888</v>
      </c>
      <c r="L334" s="0" t="n">
        <f aca="false">RawFinancials!L334</f>
        <v>207388</v>
      </c>
      <c r="M334" s="0" t="n">
        <f aca="false">RawFinancials!N334</f>
        <v>205626</v>
      </c>
      <c r="N334" s="13" t="n">
        <f aca="false">RawFinancials!X334</f>
        <v>0.0680743287053854</v>
      </c>
      <c r="O334" s="13" t="n">
        <f aca="false">RawFinancials!V334</f>
        <v>0</v>
      </c>
      <c r="P334" s="13" t="n">
        <f aca="false">IF(AND(ISNUMBER(L334),L334&lt;&gt;0,ISNUMBER(M334)),100*M334/L334,"")</f>
        <v>99.150384786005</v>
      </c>
      <c r="Q334" s="13" t="n">
        <f aca="false">IF(AND(ISNUMBER(F334),F334&lt;&gt;0,ISNUMBER(K334)),100*K334/F334,"")</f>
        <v>10.2489726855209</v>
      </c>
      <c r="R334" s="11" t="b">
        <f aca="false">AND(ISNUMBER(F334),F334&gt;0,ISNUMBER(G334),G334&gt;=0,ISNUMBER(H334),H334&gt;=0)</f>
        <v>1</v>
      </c>
      <c r="S334" s="13" t="n">
        <f aca="false">IF(R334,100*I334/F334,"")</f>
        <v>0.279507333594503</v>
      </c>
      <c r="T334" s="11" t="b">
        <f aca="false">NOT(AND(OR(AND(ISBLANK(RawFinancials!B334),ISBLANK(_RawBaseline!B331)),AND(ISNUMBER(RawFinancials!B334),ISNUMBER(_RawBaseline!B331),RawFinancials!B334=_RawBaseline!B331)),OR(AND(ISBLANK(RawFinancials!U334),ISBLANK(_RawBaseline!U331)),AND(ISNUMBER(RawFinancials!U334),ISNUMBER(_RawBaseline!U331),RawFinancials!U334=_RawBaseline!U331)),OR(AND(ISBLANK(RawFinancials!O334),ISBLANK(_RawBaseline!O331)),AND(ISNUMBER(RawFinancials!O334),ISNUMBER(_RawBaseline!O331),RawFinancials!O334=_RawBaseline!O331))))</f>
        <v>0</v>
      </c>
      <c r="U334" s="13" t="n">
        <f aca="false">IF(AND(D334=WF_START_PERIOD,R334,COUNTIFS($B$5:$B$750,B334,$D$5:$D$750,WF_END_PERIOD,$R$5:$R$750,TRUE())&gt;0),SUMIFS($S$5:$S$750,$B$5:$B$750,B334,$D$5:$D$750,WF_END_PERIOD,$R$5:$R$750,TRUE()),0)</f>
        <v>0</v>
      </c>
      <c r="V334" s="0" t="str">
        <f aca="false">IF(AND(D334=WF_START_PERIOD,COUNTIFS($B$5:$B$750,B334,$D$5:$D$750,WF_END_PERIOD)&gt;0),INDEX($E$5:$E$750,MATCH(B334&amp;"|"&amp;WF_END_PERIOD,$AC$5:$AC$750,0)),"")</f>
        <v/>
      </c>
      <c r="W334" s="11" t="b">
        <f aca="false">COUNTIFS($B$5:$B$750,B334,$D$5:$D$750,WF_START_PERIOD,$R$5:$R$750,TRUE())&gt;0</f>
        <v>1</v>
      </c>
      <c r="X334" s="11" t="b">
        <f aca="false">COUNTIFS($B$5:$B$750,B334,$D$5:$D$750,WF_END_PERIOD,$R$5:$R$750,TRUE())&gt;0</f>
        <v>1</v>
      </c>
      <c r="Y334" s="0" t="str">
        <f aca="false">IF(AND(D334=WF_END_PERIOD,COUNTIFS($B$5:$B$750,B334,$D$5:$D$750,WF_START_PERIOD)&gt;0),INDEX($E$5:$E$750,MATCH(B334&amp;"|"&amp;WF_START_PERIOD,$AC$5:$AC$750,0)),"")</f>
        <v/>
      </c>
      <c r="Z334" s="0" t="str">
        <f aca="false">IF(AND(D334=WF_END_PERIOD,R334),1+COUNTIFS($D$5:$D$750,WF_END_PERIOD,$E$5:$E$750,E334,$R$5:$R$750,TRUE(),$S$5:$S$750,"&gt;"&amp;S334)+COUNTIFS($D$5:$D$750,WF_END_PERIOD,$E$5:$E$750,E334,$R$5:$R$750,TRUE(),$S$5:$S$750,S334,$B$5:$B$750,"&lt;"&amp;B334),"")</f>
        <v/>
      </c>
      <c r="AA334" s="0" t="str">
        <f aca="false">IF(AND(D334=WF_END_PERIOD,R334,Z334&lt;&gt;1),1+COUNTIFS($D$5:$D$750,WF_END_PERIOD,$R$5:$R$750,TRUE(),$Z$5:$Z$750,"&lt;&gt;1",$S$5:$S$750,"&gt;"&amp;S334)+COUNTIFS($D$5:$D$750,WF_END_PERIOD,$R$5:$R$750,TRUE(),$Z$5:$Z$750,"&lt;&gt;1",$S$5:$S$750,S334,$B$5:$B$750,"&lt;"&amp;B334),"")</f>
        <v/>
      </c>
      <c r="AB334" s="11" t="b">
        <f aca="false">OR(D334=WF_START_PERIOD,D334=WF_END_PERIOD)</f>
        <v>0</v>
      </c>
      <c r="AC334" s="0" t="str">
        <f aca="false">B334&amp;"|"&amp;D334</f>
        <v>17443|20230930</v>
      </c>
    </row>
    <row r="335" customFormat="false" ht="15" hidden="false" customHeight="false" outlineLevel="0" collapsed="false">
      <c r="A335" s="0" t="n">
        <f aca="false">RawFinancials!A335</f>
        <v>332</v>
      </c>
      <c r="B335" s="0" t="n">
        <f aca="false">RawFinancials!C335</f>
        <v>17658</v>
      </c>
      <c r="C335" s="0" t="str">
        <f aca="false">RawFinancials!P335</f>
        <v>NORWAY SAVINGS BANK</v>
      </c>
      <c r="D335" s="0" t="n">
        <f aca="false">RawFinancials!W335</f>
        <v>20230930</v>
      </c>
      <c r="E335" s="0" t="str">
        <f aca="false">RawFinancials!Z335</f>
        <v>ME</v>
      </c>
      <c r="F335" s="0" t="n">
        <f aca="false">RawFinancials!B335</f>
        <v>1854542</v>
      </c>
      <c r="G335" s="0" t="n">
        <f aca="false">RawFinancials!U335</f>
        <v>0</v>
      </c>
      <c r="H335" s="0" t="n">
        <f aca="false">RawFinancials!O335</f>
        <v>1361</v>
      </c>
      <c r="I335" s="0" t="n">
        <f aca="false">IF(AND(ISNUMBER(G335),ISNUMBER(H335)),G335+H335,"")</f>
        <v>1361</v>
      </c>
      <c r="J335" s="0" t="n">
        <f aca="false">RawFinancials!D335</f>
        <v>1539926</v>
      </c>
      <c r="K335" s="0" t="n">
        <f aca="false">RawFinancials!F335</f>
        <v>184915</v>
      </c>
      <c r="L335" s="0" t="n">
        <f aca="false">RawFinancials!L335</f>
        <v>1292291</v>
      </c>
      <c r="M335" s="0" t="n">
        <f aca="false">RawFinancials!N335</f>
        <v>1103288</v>
      </c>
      <c r="N335" s="13" t="n">
        <f aca="false">RawFinancials!X335</f>
        <v>0.655756640612116</v>
      </c>
      <c r="O335" s="13" t="n">
        <f aca="false">RawFinancials!V335</f>
        <v>0</v>
      </c>
      <c r="P335" s="13" t="n">
        <f aca="false">IF(AND(ISNUMBER(L335),L335&lt;&gt;0,ISNUMBER(M335)),100*M335/L335,"")</f>
        <v>85.3745789454542</v>
      </c>
      <c r="Q335" s="13" t="n">
        <f aca="false">IF(AND(ISNUMBER(F335),F335&lt;&gt;0,ISNUMBER(K335)),100*K335/F335,"")</f>
        <v>9.97092543603758</v>
      </c>
      <c r="R335" s="11" t="b">
        <f aca="false">AND(ISNUMBER(F335),F335&gt;0,ISNUMBER(G335),G335&gt;=0,ISNUMBER(H335),H335&gt;=0)</f>
        <v>1</v>
      </c>
      <c r="S335" s="13" t="n">
        <f aca="false">IF(R335,100*I335/F335,"")</f>
        <v>0.0733873916039648</v>
      </c>
      <c r="T335" s="11" t="b">
        <f aca="false">NOT(AND(OR(AND(ISBLANK(RawFinancials!B335),ISBLANK(_RawBaseline!B332)),AND(ISNUMBER(RawFinancials!B335),ISNUMBER(_RawBaseline!B332),RawFinancials!B335=_RawBaseline!B332)),OR(AND(ISBLANK(RawFinancials!U335),ISBLANK(_RawBaseline!U332)),AND(ISNUMBER(RawFinancials!U335),ISNUMBER(_RawBaseline!U332),RawFinancials!U335=_RawBaseline!U332)),OR(AND(ISBLANK(RawFinancials!O335),ISBLANK(_RawBaseline!O332)),AND(ISNUMBER(RawFinancials!O335),ISNUMBER(_RawBaseline!O332),RawFinancials!O335=_RawBaseline!O332))))</f>
        <v>0</v>
      </c>
      <c r="U335" s="13" t="n">
        <f aca="false">IF(AND(D335=WF_START_PERIOD,R335,COUNTIFS($B$5:$B$750,B335,$D$5:$D$750,WF_END_PERIOD,$R$5:$R$750,TRUE())&gt;0),SUMIFS($S$5:$S$750,$B$5:$B$750,B335,$D$5:$D$750,WF_END_PERIOD,$R$5:$R$750,TRUE()),0)</f>
        <v>0</v>
      </c>
      <c r="V335" s="0" t="str">
        <f aca="false">IF(AND(D335=WF_START_PERIOD,COUNTIFS($B$5:$B$750,B335,$D$5:$D$750,WF_END_PERIOD)&gt;0),INDEX($E$5:$E$750,MATCH(B335&amp;"|"&amp;WF_END_PERIOD,$AC$5:$AC$750,0)),"")</f>
        <v/>
      </c>
      <c r="W335" s="11" t="b">
        <f aca="false">COUNTIFS($B$5:$B$750,B335,$D$5:$D$750,WF_START_PERIOD,$R$5:$R$750,TRUE())&gt;0</f>
        <v>1</v>
      </c>
      <c r="X335" s="11" t="b">
        <f aca="false">COUNTIFS($B$5:$B$750,B335,$D$5:$D$750,WF_END_PERIOD,$R$5:$R$750,TRUE())&gt;0</f>
        <v>1</v>
      </c>
      <c r="Y335" s="0" t="str">
        <f aca="false">IF(AND(D335=WF_END_PERIOD,COUNTIFS($B$5:$B$750,B335,$D$5:$D$750,WF_START_PERIOD)&gt;0),INDEX($E$5:$E$750,MATCH(B335&amp;"|"&amp;WF_START_PERIOD,$AC$5:$AC$750,0)),"")</f>
        <v/>
      </c>
      <c r="Z335" s="0" t="str">
        <f aca="false">IF(AND(D335=WF_END_PERIOD,R335),1+COUNTIFS($D$5:$D$750,WF_END_PERIOD,$E$5:$E$750,E335,$R$5:$R$750,TRUE(),$S$5:$S$750,"&gt;"&amp;S335)+COUNTIFS($D$5:$D$750,WF_END_PERIOD,$E$5:$E$750,E335,$R$5:$R$750,TRUE(),$S$5:$S$750,S335,$B$5:$B$750,"&lt;"&amp;B335),"")</f>
        <v/>
      </c>
      <c r="AA335" s="0" t="str">
        <f aca="false">IF(AND(D335=WF_END_PERIOD,R335,Z335&lt;&gt;1),1+COUNTIFS($D$5:$D$750,WF_END_PERIOD,$R$5:$R$750,TRUE(),$Z$5:$Z$750,"&lt;&gt;1",$S$5:$S$750,"&gt;"&amp;S335)+COUNTIFS($D$5:$D$750,WF_END_PERIOD,$R$5:$R$750,TRUE(),$Z$5:$Z$750,"&lt;&gt;1",$S$5:$S$750,S335,$B$5:$B$750,"&lt;"&amp;B335),"")</f>
        <v/>
      </c>
      <c r="AB335" s="11" t="b">
        <f aca="false">OR(D335=WF_START_PERIOD,D335=WF_END_PERIOD)</f>
        <v>0</v>
      </c>
      <c r="AC335" s="0" t="str">
        <f aca="false">B335&amp;"|"&amp;D335</f>
        <v>17658|20230930</v>
      </c>
    </row>
    <row r="336" customFormat="false" ht="15" hidden="false" customHeight="false" outlineLevel="0" collapsed="false">
      <c r="A336" s="0" t="n">
        <f aca="false">RawFinancials!A336</f>
        <v>333</v>
      </c>
      <c r="B336" s="0" t="n">
        <f aca="false">RawFinancials!C336</f>
        <v>17741</v>
      </c>
      <c r="C336" s="0" t="str">
        <f aca="false">RawFinancials!P336</f>
        <v>MAINE COMMUNITY BANK</v>
      </c>
      <c r="D336" s="0" t="n">
        <f aca="false">RawFinancials!W336</f>
        <v>20230930</v>
      </c>
      <c r="E336" s="0" t="str">
        <f aca="false">RawFinancials!Z336</f>
        <v>ME</v>
      </c>
      <c r="F336" s="0" t="n">
        <f aca="false">RawFinancials!B336</f>
        <v>1063414</v>
      </c>
      <c r="G336" s="0" t="n">
        <f aca="false">RawFinancials!U336</f>
        <v>0</v>
      </c>
      <c r="H336" s="0" t="n">
        <f aca="false">RawFinancials!O336</f>
        <v>2371</v>
      </c>
      <c r="I336" s="0" t="n">
        <f aca="false">IF(AND(ISNUMBER(G336),ISNUMBER(H336)),G336+H336,"")</f>
        <v>2371</v>
      </c>
      <c r="J336" s="0" t="n">
        <f aca="false">RawFinancials!D336</f>
        <v>803860</v>
      </c>
      <c r="K336" s="0" t="n">
        <f aca="false">RawFinancials!F336</f>
        <v>132027</v>
      </c>
      <c r="L336" s="0" t="n">
        <f aca="false">RawFinancials!L336</f>
        <v>905841</v>
      </c>
      <c r="M336" s="0" t="n">
        <f aca="false">RawFinancials!N336</f>
        <v>844883</v>
      </c>
      <c r="N336" s="13" t="n">
        <f aca="false">RawFinancials!X336</f>
        <v>0.584654904405804</v>
      </c>
      <c r="O336" s="13" t="n">
        <f aca="false">RawFinancials!V336</f>
        <v>0</v>
      </c>
      <c r="P336" s="13" t="n">
        <f aca="false">IF(AND(ISNUMBER(L336),L336&lt;&gt;0,ISNUMBER(M336)),100*M336/L336,"")</f>
        <v>93.2705629354379</v>
      </c>
      <c r="Q336" s="13" t="n">
        <f aca="false">IF(AND(ISNUMBER(F336),F336&lt;&gt;0,ISNUMBER(K336)),100*K336/F336,"")</f>
        <v>12.4153904311961</v>
      </c>
      <c r="R336" s="11" t="b">
        <f aca="false">AND(ISNUMBER(F336),F336&gt;0,ISNUMBER(G336),G336&gt;=0,ISNUMBER(H336),H336&gt;=0)</f>
        <v>1</v>
      </c>
      <c r="S336" s="13" t="n">
        <f aca="false">IF(R336,100*I336/F336,"")</f>
        <v>0.222961142132791</v>
      </c>
      <c r="T336" s="11" t="b">
        <f aca="false">NOT(AND(OR(AND(ISBLANK(RawFinancials!B336),ISBLANK(_RawBaseline!B333)),AND(ISNUMBER(RawFinancials!B336),ISNUMBER(_RawBaseline!B333),RawFinancials!B336=_RawBaseline!B333)),OR(AND(ISBLANK(RawFinancials!U336),ISBLANK(_RawBaseline!U333)),AND(ISNUMBER(RawFinancials!U336),ISNUMBER(_RawBaseline!U333),RawFinancials!U336=_RawBaseline!U333)),OR(AND(ISBLANK(RawFinancials!O336),ISBLANK(_RawBaseline!O333)),AND(ISNUMBER(RawFinancials!O336),ISNUMBER(_RawBaseline!O333),RawFinancials!O336=_RawBaseline!O333))))</f>
        <v>0</v>
      </c>
      <c r="U336" s="13" t="n">
        <f aca="false">IF(AND(D336=WF_START_PERIOD,R336,COUNTIFS($B$5:$B$750,B336,$D$5:$D$750,WF_END_PERIOD,$R$5:$R$750,TRUE())&gt;0),SUMIFS($S$5:$S$750,$B$5:$B$750,B336,$D$5:$D$750,WF_END_PERIOD,$R$5:$R$750,TRUE()),0)</f>
        <v>0</v>
      </c>
      <c r="V336" s="0" t="str">
        <f aca="false">IF(AND(D336=WF_START_PERIOD,COUNTIFS($B$5:$B$750,B336,$D$5:$D$750,WF_END_PERIOD)&gt;0),INDEX($E$5:$E$750,MATCH(B336&amp;"|"&amp;WF_END_PERIOD,$AC$5:$AC$750,0)),"")</f>
        <v/>
      </c>
      <c r="W336" s="11" t="b">
        <f aca="false">COUNTIFS($B$5:$B$750,B336,$D$5:$D$750,WF_START_PERIOD,$R$5:$R$750,TRUE())&gt;0</f>
        <v>1</v>
      </c>
      <c r="X336" s="11" t="b">
        <f aca="false">COUNTIFS($B$5:$B$750,B336,$D$5:$D$750,WF_END_PERIOD,$R$5:$R$750,TRUE())&gt;0</f>
        <v>1</v>
      </c>
      <c r="Y336" s="0" t="str">
        <f aca="false">IF(AND(D336=WF_END_PERIOD,COUNTIFS($B$5:$B$750,B336,$D$5:$D$750,WF_START_PERIOD)&gt;0),INDEX($E$5:$E$750,MATCH(B336&amp;"|"&amp;WF_START_PERIOD,$AC$5:$AC$750,0)),"")</f>
        <v/>
      </c>
      <c r="Z336" s="0" t="str">
        <f aca="false">IF(AND(D336=WF_END_PERIOD,R336),1+COUNTIFS($D$5:$D$750,WF_END_PERIOD,$E$5:$E$750,E336,$R$5:$R$750,TRUE(),$S$5:$S$750,"&gt;"&amp;S336)+COUNTIFS($D$5:$D$750,WF_END_PERIOD,$E$5:$E$750,E336,$R$5:$R$750,TRUE(),$S$5:$S$750,S336,$B$5:$B$750,"&lt;"&amp;B336),"")</f>
        <v/>
      </c>
      <c r="AA336" s="0" t="str">
        <f aca="false">IF(AND(D336=WF_END_PERIOD,R336,Z336&lt;&gt;1),1+COUNTIFS($D$5:$D$750,WF_END_PERIOD,$R$5:$R$750,TRUE(),$Z$5:$Z$750,"&lt;&gt;1",$S$5:$S$750,"&gt;"&amp;S336)+COUNTIFS($D$5:$D$750,WF_END_PERIOD,$R$5:$R$750,TRUE(),$Z$5:$Z$750,"&lt;&gt;1",$S$5:$S$750,S336,$B$5:$B$750,"&lt;"&amp;B336),"")</f>
        <v/>
      </c>
      <c r="AB336" s="11" t="b">
        <f aca="false">OR(D336=WF_START_PERIOD,D336=WF_END_PERIOD)</f>
        <v>0</v>
      </c>
      <c r="AC336" s="0" t="str">
        <f aca="false">B336&amp;"|"&amp;D336</f>
        <v>17741|20230930</v>
      </c>
    </row>
    <row r="337" customFormat="false" ht="15" hidden="false" customHeight="false" outlineLevel="0" collapsed="false">
      <c r="A337" s="0" t="n">
        <f aca="false">RawFinancials!A337</f>
        <v>334</v>
      </c>
      <c r="B337" s="0" t="n">
        <f aca="false">RawFinancials!C337</f>
        <v>17743</v>
      </c>
      <c r="C337" s="0" t="str">
        <f aca="false">RawFinancials!P337</f>
        <v>SACO &amp; BIDDEFORD SAVINGS INSTITUTION</v>
      </c>
      <c r="D337" s="0" t="n">
        <f aca="false">RawFinancials!W337</f>
        <v>20230930</v>
      </c>
      <c r="E337" s="0" t="str">
        <f aca="false">RawFinancials!Z337</f>
        <v>ME</v>
      </c>
      <c r="F337" s="0" t="n">
        <f aca="false">RawFinancials!B337</f>
        <v>1343923</v>
      </c>
      <c r="G337" s="0" t="n">
        <f aca="false">RawFinancials!U337</f>
        <v>50</v>
      </c>
      <c r="H337" s="0" t="n">
        <f aca="false">RawFinancials!O337</f>
        <v>4816</v>
      </c>
      <c r="I337" s="0" t="n">
        <f aca="false">IF(AND(ISNUMBER(G337),ISNUMBER(H337)),G337+H337,"")</f>
        <v>4866</v>
      </c>
      <c r="J337" s="0" t="n">
        <f aca="false">RawFinancials!D337</f>
        <v>962463</v>
      </c>
      <c r="K337" s="0" t="n">
        <f aca="false">RawFinancials!F337</f>
        <v>114040</v>
      </c>
      <c r="L337" s="0" t="n">
        <f aca="false">RawFinancials!L337</f>
        <v>1053953</v>
      </c>
      <c r="M337" s="0" t="n">
        <f aca="false">RawFinancials!N337</f>
        <v>1018679</v>
      </c>
      <c r="N337" s="13" t="n">
        <f aca="false">RawFinancials!X337</f>
        <v>0.0416934666112008</v>
      </c>
      <c r="O337" s="13" t="n">
        <f aca="false">RawFinancials!V337</f>
        <v>0</v>
      </c>
      <c r="P337" s="13" t="n">
        <f aca="false">IF(AND(ISNUMBER(L337),L337&lt;&gt;0,ISNUMBER(M337)),100*M337/L337,"")</f>
        <v>96.6531714412313</v>
      </c>
      <c r="Q337" s="13" t="n">
        <f aca="false">IF(AND(ISNUMBER(F337),F337&lt;&gt;0,ISNUMBER(K337)),100*K337/F337,"")</f>
        <v>8.48560520208375</v>
      </c>
      <c r="R337" s="11" t="b">
        <f aca="false">AND(ISNUMBER(F337),F337&gt;0,ISNUMBER(G337),G337&gt;=0,ISNUMBER(H337),H337&gt;=0)</f>
        <v>1</v>
      </c>
      <c r="S337" s="13" t="n">
        <f aca="false">IF(R337,100*I337/F337,"")</f>
        <v>0.36207431526955</v>
      </c>
      <c r="T337" s="11" t="b">
        <f aca="false">NOT(AND(OR(AND(ISBLANK(RawFinancials!B337),ISBLANK(_RawBaseline!B334)),AND(ISNUMBER(RawFinancials!B337),ISNUMBER(_RawBaseline!B334),RawFinancials!B337=_RawBaseline!B334)),OR(AND(ISBLANK(RawFinancials!U337),ISBLANK(_RawBaseline!U334)),AND(ISNUMBER(RawFinancials!U337),ISNUMBER(_RawBaseline!U334),RawFinancials!U337=_RawBaseline!U334)),OR(AND(ISBLANK(RawFinancials!O337),ISBLANK(_RawBaseline!O334)),AND(ISNUMBER(RawFinancials!O337),ISNUMBER(_RawBaseline!O334),RawFinancials!O337=_RawBaseline!O334))))</f>
        <v>0</v>
      </c>
      <c r="U337" s="13" t="n">
        <f aca="false">IF(AND(D337=WF_START_PERIOD,R337,COUNTIFS($B$5:$B$750,B337,$D$5:$D$750,WF_END_PERIOD,$R$5:$R$750,TRUE())&gt;0),SUMIFS($S$5:$S$750,$B$5:$B$750,B337,$D$5:$D$750,WF_END_PERIOD,$R$5:$R$750,TRUE()),0)</f>
        <v>0</v>
      </c>
      <c r="V337" s="0" t="str">
        <f aca="false">IF(AND(D337=WF_START_PERIOD,COUNTIFS($B$5:$B$750,B337,$D$5:$D$750,WF_END_PERIOD)&gt;0),INDEX($E$5:$E$750,MATCH(B337&amp;"|"&amp;WF_END_PERIOD,$AC$5:$AC$750,0)),"")</f>
        <v/>
      </c>
      <c r="W337" s="11" t="b">
        <f aca="false">COUNTIFS($B$5:$B$750,B337,$D$5:$D$750,WF_START_PERIOD,$R$5:$R$750,TRUE())&gt;0</f>
        <v>1</v>
      </c>
      <c r="X337" s="11" t="b">
        <f aca="false">COUNTIFS($B$5:$B$750,B337,$D$5:$D$750,WF_END_PERIOD,$R$5:$R$750,TRUE())&gt;0</f>
        <v>1</v>
      </c>
      <c r="Y337" s="0" t="str">
        <f aca="false">IF(AND(D337=WF_END_PERIOD,COUNTIFS($B$5:$B$750,B337,$D$5:$D$750,WF_START_PERIOD)&gt;0),INDEX($E$5:$E$750,MATCH(B337&amp;"|"&amp;WF_START_PERIOD,$AC$5:$AC$750,0)),"")</f>
        <v/>
      </c>
      <c r="Z337" s="0" t="str">
        <f aca="false">IF(AND(D337=WF_END_PERIOD,R337),1+COUNTIFS($D$5:$D$750,WF_END_PERIOD,$E$5:$E$750,E337,$R$5:$R$750,TRUE(),$S$5:$S$750,"&gt;"&amp;S337)+COUNTIFS($D$5:$D$750,WF_END_PERIOD,$E$5:$E$750,E337,$R$5:$R$750,TRUE(),$S$5:$S$750,S337,$B$5:$B$750,"&lt;"&amp;B337),"")</f>
        <v/>
      </c>
      <c r="AA337" s="0" t="str">
        <f aca="false">IF(AND(D337=WF_END_PERIOD,R337,Z337&lt;&gt;1),1+COUNTIFS($D$5:$D$750,WF_END_PERIOD,$R$5:$R$750,TRUE(),$Z$5:$Z$750,"&lt;&gt;1",$S$5:$S$750,"&gt;"&amp;S337)+COUNTIFS($D$5:$D$750,WF_END_PERIOD,$R$5:$R$750,TRUE(),$Z$5:$Z$750,"&lt;&gt;1",$S$5:$S$750,S337,$B$5:$B$750,"&lt;"&amp;B337),"")</f>
        <v/>
      </c>
      <c r="AB337" s="11" t="b">
        <f aca="false">OR(D337=WF_START_PERIOD,D337=WF_END_PERIOD)</f>
        <v>0</v>
      </c>
      <c r="AC337" s="0" t="str">
        <f aca="false">B337&amp;"|"&amp;D337</f>
        <v>17743|20230930</v>
      </c>
    </row>
    <row r="338" customFormat="false" ht="15" hidden="false" customHeight="false" outlineLevel="0" collapsed="false">
      <c r="A338" s="0" t="n">
        <f aca="false">RawFinancials!A338</f>
        <v>335</v>
      </c>
      <c r="B338" s="0" t="n">
        <f aca="false">RawFinancials!C338</f>
        <v>17748</v>
      </c>
      <c r="C338" s="0" t="str">
        <f aca="false">RawFinancials!P338</f>
        <v>GORHAM SAVINGS BANK</v>
      </c>
      <c r="D338" s="0" t="n">
        <f aca="false">RawFinancials!W338</f>
        <v>20230930</v>
      </c>
      <c r="E338" s="0" t="str">
        <f aca="false">RawFinancials!Z338</f>
        <v>ME</v>
      </c>
      <c r="F338" s="0" t="n">
        <f aca="false">RawFinancials!B338</f>
        <v>1637222</v>
      </c>
      <c r="G338" s="0" t="n">
        <f aca="false">RawFinancials!U338</f>
        <v>0</v>
      </c>
      <c r="H338" s="0" t="n">
        <f aca="false">RawFinancials!O338</f>
        <v>6912</v>
      </c>
      <c r="I338" s="0" t="n">
        <f aca="false">IF(AND(ISNUMBER(G338),ISNUMBER(H338)),G338+H338,"")</f>
        <v>6912</v>
      </c>
      <c r="J338" s="0" t="n">
        <f aca="false">RawFinancials!D338</f>
        <v>1377757</v>
      </c>
      <c r="K338" s="0" t="n">
        <f aca="false">RawFinancials!F338</f>
        <v>100984</v>
      </c>
      <c r="L338" s="0" t="n">
        <f aca="false">RawFinancials!L338</f>
        <v>1276766</v>
      </c>
      <c r="M338" s="0" t="n">
        <f aca="false">RawFinancials!N338</f>
        <v>1059712</v>
      </c>
      <c r="N338" s="13" t="n">
        <f aca="false">RawFinancials!X338</f>
        <v>0.256949701022203</v>
      </c>
      <c r="O338" s="13" t="n">
        <f aca="false">RawFinancials!V338</f>
        <v>0</v>
      </c>
      <c r="P338" s="13" t="n">
        <f aca="false">IF(AND(ISNUMBER(L338),L338&lt;&gt;0,ISNUMBER(M338)),100*M338/L338,"")</f>
        <v>82.9997039394846</v>
      </c>
      <c r="Q338" s="13" t="n">
        <f aca="false">IF(AND(ISNUMBER(F338),F338&lt;&gt;0,ISNUMBER(K338)),100*K338/F338,"")</f>
        <v>6.16800898106671</v>
      </c>
      <c r="R338" s="11" t="b">
        <f aca="false">AND(ISNUMBER(F338),F338&gt;0,ISNUMBER(G338),G338&gt;=0,ISNUMBER(H338),H338&gt;=0)</f>
        <v>1</v>
      </c>
      <c r="S338" s="13" t="n">
        <f aca="false">IF(R338,100*I338/F338,"")</f>
        <v>0.422178543899361</v>
      </c>
      <c r="T338" s="11" t="b">
        <f aca="false">NOT(AND(OR(AND(ISBLANK(RawFinancials!B338),ISBLANK(_RawBaseline!B335)),AND(ISNUMBER(RawFinancials!B338),ISNUMBER(_RawBaseline!B335),RawFinancials!B338=_RawBaseline!B335)),OR(AND(ISBLANK(RawFinancials!U338),ISBLANK(_RawBaseline!U335)),AND(ISNUMBER(RawFinancials!U338),ISNUMBER(_RawBaseline!U335),RawFinancials!U338=_RawBaseline!U335)),OR(AND(ISBLANK(RawFinancials!O338),ISBLANK(_RawBaseline!O335)),AND(ISNUMBER(RawFinancials!O338),ISNUMBER(_RawBaseline!O335),RawFinancials!O338=_RawBaseline!O335))))</f>
        <v>0</v>
      </c>
      <c r="U338" s="13" t="n">
        <f aca="false">IF(AND(D338=WF_START_PERIOD,R338,COUNTIFS($B$5:$B$750,B338,$D$5:$D$750,WF_END_PERIOD,$R$5:$R$750,TRUE())&gt;0),SUMIFS($S$5:$S$750,$B$5:$B$750,B338,$D$5:$D$750,WF_END_PERIOD,$R$5:$R$750,TRUE()),0)</f>
        <v>0</v>
      </c>
      <c r="V338" s="0" t="str">
        <f aca="false">IF(AND(D338=WF_START_PERIOD,COUNTIFS($B$5:$B$750,B338,$D$5:$D$750,WF_END_PERIOD)&gt;0),INDEX($E$5:$E$750,MATCH(B338&amp;"|"&amp;WF_END_PERIOD,$AC$5:$AC$750,0)),"")</f>
        <v/>
      </c>
      <c r="W338" s="11" t="b">
        <f aca="false">COUNTIFS($B$5:$B$750,B338,$D$5:$D$750,WF_START_PERIOD,$R$5:$R$750,TRUE())&gt;0</f>
        <v>1</v>
      </c>
      <c r="X338" s="11" t="b">
        <f aca="false">COUNTIFS($B$5:$B$750,B338,$D$5:$D$750,WF_END_PERIOD,$R$5:$R$750,TRUE())&gt;0</f>
        <v>0</v>
      </c>
      <c r="Y338" s="0" t="str">
        <f aca="false">IF(AND(D338=WF_END_PERIOD,COUNTIFS($B$5:$B$750,B338,$D$5:$D$750,WF_START_PERIOD)&gt;0),INDEX($E$5:$E$750,MATCH(B338&amp;"|"&amp;WF_START_PERIOD,$AC$5:$AC$750,0)),"")</f>
        <v/>
      </c>
      <c r="Z338" s="0" t="str">
        <f aca="false">IF(AND(D338=WF_END_PERIOD,R338),1+COUNTIFS($D$5:$D$750,WF_END_PERIOD,$E$5:$E$750,E338,$R$5:$R$750,TRUE(),$S$5:$S$750,"&gt;"&amp;S338)+COUNTIFS($D$5:$D$750,WF_END_PERIOD,$E$5:$E$750,E338,$R$5:$R$750,TRUE(),$S$5:$S$750,S338,$B$5:$B$750,"&lt;"&amp;B338),"")</f>
        <v/>
      </c>
      <c r="AA338" s="0" t="str">
        <f aca="false">IF(AND(D338=WF_END_PERIOD,R338,Z338&lt;&gt;1),1+COUNTIFS($D$5:$D$750,WF_END_PERIOD,$R$5:$R$750,TRUE(),$Z$5:$Z$750,"&lt;&gt;1",$S$5:$S$750,"&gt;"&amp;S338)+COUNTIFS($D$5:$D$750,WF_END_PERIOD,$R$5:$R$750,TRUE(),$Z$5:$Z$750,"&lt;&gt;1",$S$5:$S$750,S338,$B$5:$B$750,"&lt;"&amp;B338),"")</f>
        <v/>
      </c>
      <c r="AB338" s="11" t="b">
        <f aca="false">OR(D338=WF_START_PERIOD,D338=WF_END_PERIOD)</f>
        <v>0</v>
      </c>
      <c r="AC338" s="0" t="str">
        <f aca="false">B338&amp;"|"&amp;D338</f>
        <v>17748|20230930</v>
      </c>
    </row>
    <row r="339" customFormat="false" ht="15" hidden="false" customHeight="false" outlineLevel="0" collapsed="false">
      <c r="A339" s="0" t="n">
        <f aca="false">RawFinancials!A339</f>
        <v>336</v>
      </c>
      <c r="B339" s="0" t="n">
        <f aca="false">RawFinancials!C339</f>
        <v>17749</v>
      </c>
      <c r="C339" s="0" t="str">
        <f aca="false">RawFinancials!P339</f>
        <v>BATH SAVINGS INSTITUTION</v>
      </c>
      <c r="D339" s="0" t="n">
        <f aca="false">RawFinancials!W339</f>
        <v>20230930</v>
      </c>
      <c r="E339" s="0" t="str">
        <f aca="false">RawFinancials!Z339</f>
        <v>ME</v>
      </c>
      <c r="F339" s="0" t="n">
        <f aca="false">RawFinancials!B339</f>
        <v>1286435</v>
      </c>
      <c r="G339" s="0" t="n">
        <f aca="false">RawFinancials!U339</f>
        <v>0</v>
      </c>
      <c r="H339" s="0" t="n">
        <f aca="false">RawFinancials!O339</f>
        <v>34</v>
      </c>
      <c r="I339" s="0" t="n">
        <f aca="false">IF(AND(ISNUMBER(G339),ISNUMBER(H339)),G339+H339,"")</f>
        <v>34</v>
      </c>
      <c r="J339" s="0" t="n">
        <f aca="false">RawFinancials!D339</f>
        <v>1014838</v>
      </c>
      <c r="K339" s="0" t="n">
        <f aca="false">RawFinancials!F339</f>
        <v>152647</v>
      </c>
      <c r="L339" s="0" t="n">
        <f aca="false">RawFinancials!L339</f>
        <v>779799</v>
      </c>
      <c r="M339" s="0" t="n">
        <f aca="false">RawFinancials!N339</f>
        <v>708062</v>
      </c>
      <c r="N339" s="13" t="n">
        <f aca="false">RawFinancials!X339</f>
        <v>0.980966388840118</v>
      </c>
      <c r="O339" s="13" t="n">
        <f aca="false">RawFinancials!V339</f>
        <v>0</v>
      </c>
      <c r="P339" s="13" t="n">
        <f aca="false">IF(AND(ISNUMBER(L339),L339&lt;&gt;0,ISNUMBER(M339)),100*M339/L339,"")</f>
        <v>90.8005780976893</v>
      </c>
      <c r="Q339" s="13" t="n">
        <f aca="false">IF(AND(ISNUMBER(F339),F339&lt;&gt;0,ISNUMBER(K339)),100*K339/F339,"")</f>
        <v>11.8658929522284</v>
      </c>
      <c r="R339" s="11" t="b">
        <f aca="false">AND(ISNUMBER(F339),F339&gt;0,ISNUMBER(G339),G339&gt;=0,ISNUMBER(H339),H339&gt;=0)</f>
        <v>1</v>
      </c>
      <c r="S339" s="13" t="n">
        <f aca="false">IF(R339,100*I339/F339,"")</f>
        <v>0.00264296291689825</v>
      </c>
      <c r="T339" s="11" t="b">
        <f aca="false">NOT(AND(OR(AND(ISBLANK(RawFinancials!B339),ISBLANK(_RawBaseline!B336)),AND(ISNUMBER(RawFinancials!B339),ISNUMBER(_RawBaseline!B336),RawFinancials!B339=_RawBaseline!B336)),OR(AND(ISBLANK(RawFinancials!U339),ISBLANK(_RawBaseline!U336)),AND(ISNUMBER(RawFinancials!U339),ISNUMBER(_RawBaseline!U336),RawFinancials!U339=_RawBaseline!U336)),OR(AND(ISBLANK(RawFinancials!O339),ISBLANK(_RawBaseline!O336)),AND(ISNUMBER(RawFinancials!O339),ISNUMBER(_RawBaseline!O336),RawFinancials!O339=_RawBaseline!O336))))</f>
        <v>0</v>
      </c>
      <c r="U339" s="13" t="n">
        <f aca="false">IF(AND(D339=WF_START_PERIOD,R339,COUNTIFS($B$5:$B$750,B339,$D$5:$D$750,WF_END_PERIOD,$R$5:$R$750,TRUE())&gt;0),SUMIFS($S$5:$S$750,$B$5:$B$750,B339,$D$5:$D$750,WF_END_PERIOD,$R$5:$R$750,TRUE()),0)</f>
        <v>0</v>
      </c>
      <c r="V339" s="0" t="str">
        <f aca="false">IF(AND(D339=WF_START_PERIOD,COUNTIFS($B$5:$B$750,B339,$D$5:$D$750,WF_END_PERIOD)&gt;0),INDEX($E$5:$E$750,MATCH(B339&amp;"|"&amp;WF_END_PERIOD,$AC$5:$AC$750,0)),"")</f>
        <v/>
      </c>
      <c r="W339" s="11" t="b">
        <f aca="false">COUNTIFS($B$5:$B$750,B339,$D$5:$D$750,WF_START_PERIOD,$R$5:$R$750,TRUE())&gt;0</f>
        <v>1</v>
      </c>
      <c r="X339" s="11" t="b">
        <f aca="false">COUNTIFS($B$5:$B$750,B339,$D$5:$D$750,WF_END_PERIOD,$R$5:$R$750,TRUE())&gt;0</f>
        <v>1</v>
      </c>
      <c r="Y339" s="0" t="str">
        <f aca="false">IF(AND(D339=WF_END_PERIOD,COUNTIFS($B$5:$B$750,B339,$D$5:$D$750,WF_START_PERIOD)&gt;0),INDEX($E$5:$E$750,MATCH(B339&amp;"|"&amp;WF_START_PERIOD,$AC$5:$AC$750,0)),"")</f>
        <v/>
      </c>
      <c r="Z339" s="0" t="str">
        <f aca="false">IF(AND(D339=WF_END_PERIOD,R339),1+COUNTIFS($D$5:$D$750,WF_END_PERIOD,$E$5:$E$750,E339,$R$5:$R$750,TRUE(),$S$5:$S$750,"&gt;"&amp;S339)+COUNTIFS($D$5:$D$750,WF_END_PERIOD,$E$5:$E$750,E339,$R$5:$R$750,TRUE(),$S$5:$S$750,S339,$B$5:$B$750,"&lt;"&amp;B339),"")</f>
        <v/>
      </c>
      <c r="AA339" s="0" t="str">
        <f aca="false">IF(AND(D339=WF_END_PERIOD,R339,Z339&lt;&gt;1),1+COUNTIFS($D$5:$D$750,WF_END_PERIOD,$R$5:$R$750,TRUE(),$Z$5:$Z$750,"&lt;&gt;1",$S$5:$S$750,"&gt;"&amp;S339)+COUNTIFS($D$5:$D$750,WF_END_PERIOD,$R$5:$R$750,TRUE(),$Z$5:$Z$750,"&lt;&gt;1",$S$5:$S$750,S339,$B$5:$B$750,"&lt;"&amp;B339),"")</f>
        <v/>
      </c>
      <c r="AB339" s="11" t="b">
        <f aca="false">OR(D339=WF_START_PERIOD,D339=WF_END_PERIOD)</f>
        <v>0</v>
      </c>
      <c r="AC339" s="0" t="str">
        <f aca="false">B339&amp;"|"&amp;D339</f>
        <v>17749|20230930</v>
      </c>
    </row>
    <row r="340" customFormat="false" ht="15" hidden="false" customHeight="false" outlineLevel="0" collapsed="false">
      <c r="A340" s="0" t="n">
        <f aca="false">RawFinancials!A340</f>
        <v>337</v>
      </c>
      <c r="B340" s="0" t="n">
        <f aca="false">RawFinancials!C340</f>
        <v>17751</v>
      </c>
      <c r="C340" s="0" t="str">
        <f aca="false">RawFinancials!P340</f>
        <v>ANDROSCOGGIN SAVINGS BANK</v>
      </c>
      <c r="D340" s="0" t="n">
        <f aca="false">RawFinancials!W340</f>
        <v>20230930</v>
      </c>
      <c r="E340" s="0" t="str">
        <f aca="false">RawFinancials!Z340</f>
        <v>ME</v>
      </c>
      <c r="F340" s="0" t="n">
        <f aca="false">RawFinancials!B340</f>
        <v>1580361</v>
      </c>
      <c r="G340" s="0" t="n">
        <f aca="false">RawFinancials!U340</f>
        <v>0</v>
      </c>
      <c r="H340" s="0" t="n">
        <f aca="false">RawFinancials!O340</f>
        <v>2621</v>
      </c>
      <c r="I340" s="0" t="n">
        <f aca="false">IF(AND(ISNUMBER(G340),ISNUMBER(H340)),G340+H340,"")</f>
        <v>2621</v>
      </c>
      <c r="J340" s="0" t="n">
        <f aca="false">RawFinancials!D340</f>
        <v>1300135</v>
      </c>
      <c r="K340" s="0" t="n">
        <f aca="false">RawFinancials!F340</f>
        <v>128888</v>
      </c>
      <c r="L340" s="0" t="n">
        <f aca="false">RawFinancials!L340</f>
        <v>1284182</v>
      </c>
      <c r="M340" s="0" t="n">
        <f aca="false">RawFinancials!N340</f>
        <v>1091898</v>
      </c>
      <c r="N340" s="13" t="n">
        <f aca="false">RawFinancials!X340</f>
        <v>0.591331773995177</v>
      </c>
      <c r="O340" s="13" t="n">
        <f aca="false">RawFinancials!V340</f>
        <v>12.6039990480709</v>
      </c>
      <c r="P340" s="13" t="n">
        <f aca="false">IF(AND(ISNUMBER(L340),L340&lt;&gt;0,ISNUMBER(M340)),100*M340/L340,"")</f>
        <v>85.0267329708717</v>
      </c>
      <c r="Q340" s="13" t="n">
        <f aca="false">IF(AND(ISNUMBER(F340),F340&lt;&gt;0,ISNUMBER(K340)),100*K340/F340,"")</f>
        <v>8.15560495355175</v>
      </c>
      <c r="R340" s="11" t="b">
        <f aca="false">AND(ISNUMBER(F340),F340&gt;0,ISNUMBER(G340),G340&gt;=0,ISNUMBER(H340),H340&gt;=0)</f>
        <v>1</v>
      </c>
      <c r="S340" s="13" t="n">
        <f aca="false">IF(R340,100*I340/F340,"")</f>
        <v>0.165848182788616</v>
      </c>
      <c r="T340" s="11" t="b">
        <f aca="false">NOT(AND(OR(AND(ISBLANK(RawFinancials!B340),ISBLANK(_RawBaseline!B337)),AND(ISNUMBER(RawFinancials!B340),ISNUMBER(_RawBaseline!B337),RawFinancials!B340=_RawBaseline!B337)),OR(AND(ISBLANK(RawFinancials!U340),ISBLANK(_RawBaseline!U337)),AND(ISNUMBER(RawFinancials!U340),ISNUMBER(_RawBaseline!U337),RawFinancials!U340=_RawBaseline!U337)),OR(AND(ISBLANK(RawFinancials!O340),ISBLANK(_RawBaseline!O337)),AND(ISNUMBER(RawFinancials!O340),ISNUMBER(_RawBaseline!O337),RawFinancials!O340=_RawBaseline!O337))))</f>
        <v>0</v>
      </c>
      <c r="U340" s="13" t="n">
        <f aca="false">IF(AND(D340=WF_START_PERIOD,R340,COUNTIFS($B$5:$B$750,B340,$D$5:$D$750,WF_END_PERIOD,$R$5:$R$750,TRUE())&gt;0),SUMIFS($S$5:$S$750,$B$5:$B$750,B340,$D$5:$D$750,WF_END_PERIOD,$R$5:$R$750,TRUE()),0)</f>
        <v>0</v>
      </c>
      <c r="V340" s="0" t="str">
        <f aca="false">IF(AND(D340=WF_START_PERIOD,COUNTIFS($B$5:$B$750,B340,$D$5:$D$750,WF_END_PERIOD)&gt;0),INDEX($E$5:$E$750,MATCH(B340&amp;"|"&amp;WF_END_PERIOD,$AC$5:$AC$750,0)),"")</f>
        <v/>
      </c>
      <c r="W340" s="11" t="b">
        <f aca="false">COUNTIFS($B$5:$B$750,B340,$D$5:$D$750,WF_START_PERIOD,$R$5:$R$750,TRUE())&gt;0</f>
        <v>1</v>
      </c>
      <c r="X340" s="11" t="b">
        <f aca="false">COUNTIFS($B$5:$B$750,B340,$D$5:$D$750,WF_END_PERIOD,$R$5:$R$750,TRUE())&gt;0</f>
        <v>1</v>
      </c>
      <c r="Y340" s="0" t="str">
        <f aca="false">IF(AND(D340=WF_END_PERIOD,COUNTIFS($B$5:$B$750,B340,$D$5:$D$750,WF_START_PERIOD)&gt;0),INDEX($E$5:$E$750,MATCH(B340&amp;"|"&amp;WF_START_PERIOD,$AC$5:$AC$750,0)),"")</f>
        <v/>
      </c>
      <c r="Z340" s="0" t="str">
        <f aca="false">IF(AND(D340=WF_END_PERIOD,R340),1+COUNTIFS($D$5:$D$750,WF_END_PERIOD,$E$5:$E$750,E340,$R$5:$R$750,TRUE(),$S$5:$S$750,"&gt;"&amp;S340)+COUNTIFS($D$5:$D$750,WF_END_PERIOD,$E$5:$E$750,E340,$R$5:$R$750,TRUE(),$S$5:$S$750,S340,$B$5:$B$750,"&lt;"&amp;B340),"")</f>
        <v/>
      </c>
      <c r="AA340" s="0" t="str">
        <f aca="false">IF(AND(D340=WF_END_PERIOD,R340,Z340&lt;&gt;1),1+COUNTIFS($D$5:$D$750,WF_END_PERIOD,$R$5:$R$750,TRUE(),$Z$5:$Z$750,"&lt;&gt;1",$S$5:$S$750,"&gt;"&amp;S340)+COUNTIFS($D$5:$D$750,WF_END_PERIOD,$R$5:$R$750,TRUE(),$Z$5:$Z$750,"&lt;&gt;1",$S$5:$S$750,S340,$B$5:$B$750,"&lt;"&amp;B340),"")</f>
        <v/>
      </c>
      <c r="AB340" s="11" t="b">
        <f aca="false">OR(D340=WF_START_PERIOD,D340=WF_END_PERIOD)</f>
        <v>0</v>
      </c>
      <c r="AC340" s="0" t="str">
        <f aca="false">B340&amp;"|"&amp;D340</f>
        <v>17751|20230930</v>
      </c>
    </row>
    <row r="341" customFormat="false" ht="15" hidden="false" customHeight="false" outlineLevel="0" collapsed="false">
      <c r="A341" s="0" t="n">
        <f aca="false">RawFinancials!A341</f>
        <v>338</v>
      </c>
      <c r="B341" s="0" t="n">
        <f aca="false">RawFinancials!C341</f>
        <v>17897</v>
      </c>
      <c r="C341" s="0" t="str">
        <f aca="false">RawFinancials!P341</f>
        <v>KENNEBEC SAVINGS BANK</v>
      </c>
      <c r="D341" s="0" t="n">
        <f aca="false">RawFinancials!W341</f>
        <v>20230930</v>
      </c>
      <c r="E341" s="0" t="str">
        <f aca="false">RawFinancials!Z341</f>
        <v>ME</v>
      </c>
      <c r="F341" s="0" t="n">
        <f aca="false">RawFinancials!B341</f>
        <v>1672541</v>
      </c>
      <c r="G341" s="0" t="n">
        <f aca="false">RawFinancials!U341</f>
        <v>0</v>
      </c>
      <c r="H341" s="0" t="n">
        <f aca="false">RawFinancials!O341</f>
        <v>2834</v>
      </c>
      <c r="I341" s="0" t="n">
        <f aca="false">IF(AND(ISNUMBER(G341),ISNUMBER(H341)),G341+H341,"")</f>
        <v>2834</v>
      </c>
      <c r="J341" s="0" t="n">
        <f aca="false">RawFinancials!D341</f>
        <v>1315387</v>
      </c>
      <c r="K341" s="0" t="n">
        <f aca="false">RawFinancials!F341</f>
        <v>196829</v>
      </c>
      <c r="L341" s="0" t="n">
        <f aca="false">RawFinancials!L341</f>
        <v>1427049</v>
      </c>
      <c r="M341" s="0" t="n">
        <f aca="false">RawFinancials!N341</f>
        <v>1342461</v>
      </c>
      <c r="N341" s="13" t="n">
        <f aca="false">RawFinancials!X341</f>
        <v>0.380808315338347</v>
      </c>
      <c r="O341" s="13" t="n">
        <f aca="false">RawFinancials!V341</f>
        <v>16.1017927907317</v>
      </c>
      <c r="P341" s="13" t="n">
        <f aca="false">IF(AND(ISNUMBER(L341),L341&lt;&gt;0,ISNUMBER(M341)),100*M341/L341,"")</f>
        <v>94.0725230878547</v>
      </c>
      <c r="Q341" s="13" t="n">
        <f aca="false">IF(AND(ISNUMBER(F341),F341&lt;&gt;0,ISNUMBER(K341)),100*K341/F341,"")</f>
        <v>11.7682615852167</v>
      </c>
      <c r="R341" s="11" t="b">
        <f aca="false">AND(ISNUMBER(F341),F341&gt;0,ISNUMBER(G341),G341&gt;=0,ISNUMBER(H341),H341&gt;=0)</f>
        <v>1</v>
      </c>
      <c r="S341" s="13" t="n">
        <f aca="false">IF(R341,100*I341/F341,"")</f>
        <v>0.169442781970666</v>
      </c>
      <c r="T341" s="11" t="b">
        <f aca="false">NOT(AND(OR(AND(ISBLANK(RawFinancials!B341),ISBLANK(_RawBaseline!B338)),AND(ISNUMBER(RawFinancials!B341),ISNUMBER(_RawBaseline!B338),RawFinancials!B341=_RawBaseline!B338)),OR(AND(ISBLANK(RawFinancials!U341),ISBLANK(_RawBaseline!U338)),AND(ISNUMBER(RawFinancials!U341),ISNUMBER(_RawBaseline!U338),RawFinancials!U341=_RawBaseline!U338)),OR(AND(ISBLANK(RawFinancials!O341),ISBLANK(_RawBaseline!O338)),AND(ISNUMBER(RawFinancials!O341),ISNUMBER(_RawBaseline!O338),RawFinancials!O341=_RawBaseline!O338))))</f>
        <v>0</v>
      </c>
      <c r="U341" s="13" t="n">
        <f aca="false">IF(AND(D341=WF_START_PERIOD,R341,COUNTIFS($B$5:$B$750,B341,$D$5:$D$750,WF_END_PERIOD,$R$5:$R$750,TRUE())&gt;0),SUMIFS($S$5:$S$750,$B$5:$B$750,B341,$D$5:$D$750,WF_END_PERIOD,$R$5:$R$750,TRUE()),0)</f>
        <v>0</v>
      </c>
      <c r="V341" s="0" t="str">
        <f aca="false">IF(AND(D341=WF_START_PERIOD,COUNTIFS($B$5:$B$750,B341,$D$5:$D$750,WF_END_PERIOD)&gt;0),INDEX($E$5:$E$750,MATCH(B341&amp;"|"&amp;WF_END_PERIOD,$AC$5:$AC$750,0)),"")</f>
        <v/>
      </c>
      <c r="W341" s="11" t="b">
        <f aca="false">COUNTIFS($B$5:$B$750,B341,$D$5:$D$750,WF_START_PERIOD,$R$5:$R$750,TRUE())&gt;0</f>
        <v>1</v>
      </c>
      <c r="X341" s="11" t="b">
        <f aca="false">COUNTIFS($B$5:$B$750,B341,$D$5:$D$750,WF_END_PERIOD,$R$5:$R$750,TRUE())&gt;0</f>
        <v>1</v>
      </c>
      <c r="Y341" s="0" t="str">
        <f aca="false">IF(AND(D341=WF_END_PERIOD,COUNTIFS($B$5:$B$750,B341,$D$5:$D$750,WF_START_PERIOD)&gt;0),INDEX($E$5:$E$750,MATCH(B341&amp;"|"&amp;WF_START_PERIOD,$AC$5:$AC$750,0)),"")</f>
        <v/>
      </c>
      <c r="Z341" s="0" t="str">
        <f aca="false">IF(AND(D341=WF_END_PERIOD,R341),1+COUNTIFS($D$5:$D$750,WF_END_PERIOD,$E$5:$E$750,E341,$R$5:$R$750,TRUE(),$S$5:$S$750,"&gt;"&amp;S341)+COUNTIFS($D$5:$D$750,WF_END_PERIOD,$E$5:$E$750,E341,$R$5:$R$750,TRUE(),$S$5:$S$750,S341,$B$5:$B$750,"&lt;"&amp;B341),"")</f>
        <v/>
      </c>
      <c r="AA341" s="0" t="str">
        <f aca="false">IF(AND(D341=WF_END_PERIOD,R341,Z341&lt;&gt;1),1+COUNTIFS($D$5:$D$750,WF_END_PERIOD,$R$5:$R$750,TRUE(),$Z$5:$Z$750,"&lt;&gt;1",$S$5:$S$750,"&gt;"&amp;S341)+COUNTIFS($D$5:$D$750,WF_END_PERIOD,$R$5:$R$750,TRUE(),$Z$5:$Z$750,"&lt;&gt;1",$S$5:$S$750,S341,$B$5:$B$750,"&lt;"&amp;B341),"")</f>
        <v/>
      </c>
      <c r="AB341" s="11" t="b">
        <f aca="false">OR(D341=WF_START_PERIOD,D341=WF_END_PERIOD)</f>
        <v>0</v>
      </c>
      <c r="AC341" s="0" t="str">
        <f aca="false">B341&amp;"|"&amp;D341</f>
        <v>17897|20230930</v>
      </c>
    </row>
    <row r="342" customFormat="false" ht="15" hidden="false" customHeight="false" outlineLevel="0" collapsed="false">
      <c r="A342" s="0" t="n">
        <f aca="false">RawFinancials!A342</f>
        <v>339</v>
      </c>
      <c r="B342" s="0" t="n">
        <f aca="false">RawFinancials!C342</f>
        <v>17951</v>
      </c>
      <c r="C342" s="0" t="str">
        <f aca="false">RawFinancials!P342</f>
        <v>FRANKLIN SAVINGS BANK</v>
      </c>
      <c r="D342" s="0" t="n">
        <f aca="false">RawFinancials!W342</f>
        <v>20230930</v>
      </c>
      <c r="E342" s="0" t="str">
        <f aca="false">RawFinancials!Z342</f>
        <v>NH</v>
      </c>
      <c r="F342" s="0" t="n">
        <f aca="false">RawFinancials!B342</f>
        <v>774390</v>
      </c>
      <c r="G342" s="0" t="n">
        <f aca="false">RawFinancials!U342</f>
        <v>0</v>
      </c>
      <c r="H342" s="0" t="n">
        <f aca="false">RawFinancials!O342</f>
        <v>179</v>
      </c>
      <c r="I342" s="0" t="n">
        <f aca="false">IF(AND(ISNUMBER(G342),ISNUMBER(H342)),G342+H342,"")</f>
        <v>179</v>
      </c>
      <c r="J342" s="0" t="n">
        <f aca="false">RawFinancials!D342</f>
        <v>686785</v>
      </c>
      <c r="K342" s="0" t="n">
        <f aca="false">RawFinancials!F342</f>
        <v>56538</v>
      </c>
      <c r="L342" s="0" t="n">
        <f aca="false">RawFinancials!L342</f>
        <v>564607</v>
      </c>
      <c r="M342" s="0" t="n">
        <f aca="false">RawFinancials!N342</f>
        <v>525776</v>
      </c>
      <c r="N342" s="13" t="n">
        <f aca="false">RawFinancials!X342</f>
        <v>0.594947433038291</v>
      </c>
      <c r="O342" s="13" t="n">
        <f aca="false">RawFinancials!V342</f>
        <v>14.6359562064762</v>
      </c>
      <c r="P342" s="13" t="n">
        <f aca="false">IF(AND(ISNUMBER(L342),L342&lt;&gt;0,ISNUMBER(M342)),100*M342/L342,"")</f>
        <v>93.1224727996642</v>
      </c>
      <c r="Q342" s="13" t="n">
        <f aca="false">IF(AND(ISNUMBER(F342),F342&lt;&gt;0,ISNUMBER(K342)),100*K342/F342,"")</f>
        <v>7.30097237825902</v>
      </c>
      <c r="R342" s="11" t="b">
        <f aca="false">AND(ISNUMBER(F342),F342&gt;0,ISNUMBER(G342),G342&gt;=0,ISNUMBER(H342),H342&gt;=0)</f>
        <v>1</v>
      </c>
      <c r="S342" s="13" t="n">
        <f aca="false">IF(R342,100*I342/F342,"")</f>
        <v>0.0231149679102261</v>
      </c>
      <c r="T342" s="11" t="b">
        <f aca="false">NOT(AND(OR(AND(ISBLANK(RawFinancials!B342),ISBLANK(_RawBaseline!B339)),AND(ISNUMBER(RawFinancials!B342),ISNUMBER(_RawBaseline!B339),RawFinancials!B342=_RawBaseline!B339)),OR(AND(ISBLANK(RawFinancials!U342),ISBLANK(_RawBaseline!U339)),AND(ISNUMBER(RawFinancials!U342),ISNUMBER(_RawBaseline!U339),RawFinancials!U342=_RawBaseline!U339)),OR(AND(ISBLANK(RawFinancials!O342),ISBLANK(_RawBaseline!O339)),AND(ISNUMBER(RawFinancials!O342),ISNUMBER(_RawBaseline!O339),RawFinancials!O342=_RawBaseline!O339))))</f>
        <v>0</v>
      </c>
      <c r="U342" s="13" t="n">
        <f aca="false">IF(AND(D342=WF_START_PERIOD,R342,COUNTIFS($B$5:$B$750,B342,$D$5:$D$750,WF_END_PERIOD,$R$5:$R$750,TRUE())&gt;0),SUMIFS($S$5:$S$750,$B$5:$B$750,B342,$D$5:$D$750,WF_END_PERIOD,$R$5:$R$750,TRUE()),0)</f>
        <v>0</v>
      </c>
      <c r="V342" s="0" t="str">
        <f aca="false">IF(AND(D342=WF_START_PERIOD,COUNTIFS($B$5:$B$750,B342,$D$5:$D$750,WF_END_PERIOD)&gt;0),INDEX($E$5:$E$750,MATCH(B342&amp;"|"&amp;WF_END_PERIOD,$AC$5:$AC$750,0)),"")</f>
        <v/>
      </c>
      <c r="W342" s="11" t="b">
        <f aca="false">COUNTIFS($B$5:$B$750,B342,$D$5:$D$750,WF_START_PERIOD,$R$5:$R$750,TRUE())&gt;0</f>
        <v>1</v>
      </c>
      <c r="X342" s="11" t="b">
        <f aca="false">COUNTIFS($B$5:$B$750,B342,$D$5:$D$750,WF_END_PERIOD,$R$5:$R$750,TRUE())&gt;0</f>
        <v>1</v>
      </c>
      <c r="Y342" s="0" t="str">
        <f aca="false">IF(AND(D342=WF_END_PERIOD,COUNTIFS($B$5:$B$750,B342,$D$5:$D$750,WF_START_PERIOD)&gt;0),INDEX($E$5:$E$750,MATCH(B342&amp;"|"&amp;WF_START_PERIOD,$AC$5:$AC$750,0)),"")</f>
        <v/>
      </c>
      <c r="Z342" s="0" t="str">
        <f aca="false">IF(AND(D342=WF_END_PERIOD,R342),1+COUNTIFS($D$5:$D$750,WF_END_PERIOD,$E$5:$E$750,E342,$R$5:$R$750,TRUE(),$S$5:$S$750,"&gt;"&amp;S342)+COUNTIFS($D$5:$D$750,WF_END_PERIOD,$E$5:$E$750,E342,$R$5:$R$750,TRUE(),$S$5:$S$750,S342,$B$5:$B$750,"&lt;"&amp;B342),"")</f>
        <v/>
      </c>
      <c r="AA342" s="0" t="str">
        <f aca="false">IF(AND(D342=WF_END_PERIOD,R342,Z342&lt;&gt;1),1+COUNTIFS($D$5:$D$750,WF_END_PERIOD,$R$5:$R$750,TRUE(),$Z$5:$Z$750,"&lt;&gt;1",$S$5:$S$750,"&gt;"&amp;S342)+COUNTIFS($D$5:$D$750,WF_END_PERIOD,$R$5:$R$750,TRUE(),$Z$5:$Z$750,"&lt;&gt;1",$S$5:$S$750,S342,$B$5:$B$750,"&lt;"&amp;B342),"")</f>
        <v/>
      </c>
      <c r="AB342" s="11" t="b">
        <f aca="false">OR(D342=WF_START_PERIOD,D342=WF_END_PERIOD)</f>
        <v>0</v>
      </c>
      <c r="AC342" s="0" t="str">
        <f aca="false">B342&amp;"|"&amp;D342</f>
        <v>17951|20230930</v>
      </c>
    </row>
    <row r="343" customFormat="false" ht="15" hidden="false" customHeight="false" outlineLevel="0" collapsed="false">
      <c r="A343" s="0" t="n">
        <f aca="false">RawFinancials!A343</f>
        <v>340</v>
      </c>
      <c r="B343" s="0" t="n">
        <f aca="false">RawFinancials!C343</f>
        <v>17960</v>
      </c>
      <c r="C343" s="0" t="str">
        <f aca="false">RawFinancials!P343</f>
        <v>MERRIMACK COUNTY SAVINGS BANK</v>
      </c>
      <c r="D343" s="0" t="n">
        <f aca="false">RawFinancials!W343</f>
        <v>20230930</v>
      </c>
      <c r="E343" s="0" t="str">
        <f aca="false">RawFinancials!Z343</f>
        <v>NH</v>
      </c>
      <c r="F343" s="0" t="n">
        <f aca="false">RawFinancials!B343</f>
        <v>1360683</v>
      </c>
      <c r="G343" s="0" t="n">
        <f aca="false">RawFinancials!U343</f>
        <v>0</v>
      </c>
      <c r="H343" s="0" t="n">
        <f aca="false">RawFinancials!O343</f>
        <v>8539</v>
      </c>
      <c r="I343" s="0" t="n">
        <f aca="false">IF(AND(ISNUMBER(G343),ISNUMBER(H343)),G343+H343,"")</f>
        <v>8539</v>
      </c>
      <c r="J343" s="0" t="n">
        <f aca="false">RawFinancials!D343</f>
        <v>1035461</v>
      </c>
      <c r="K343" s="0" t="n">
        <f aca="false">RawFinancials!F343</f>
        <v>105758</v>
      </c>
      <c r="L343" s="0" t="n">
        <f aca="false">RawFinancials!L343</f>
        <v>1168694</v>
      </c>
      <c r="M343" s="0" t="n">
        <f aca="false">RawFinancials!N343</f>
        <v>830148</v>
      </c>
      <c r="N343" s="13" t="n">
        <f aca="false">RawFinancials!X343</f>
        <v>0.41501730865951</v>
      </c>
      <c r="O343" s="13" t="n">
        <f aca="false">RawFinancials!V343</f>
        <v>12.8543313948285</v>
      </c>
      <c r="P343" s="13" t="n">
        <f aca="false">IF(AND(ISNUMBER(L343),L343&lt;&gt;0,ISNUMBER(M343)),100*M343/L343,"")</f>
        <v>71.0321093459879</v>
      </c>
      <c r="Q343" s="13" t="n">
        <f aca="false">IF(AND(ISNUMBER(F343),F343&lt;&gt;0,ISNUMBER(K343)),100*K343/F343,"")</f>
        <v>7.77242017428012</v>
      </c>
      <c r="R343" s="11" t="b">
        <f aca="false">AND(ISNUMBER(F343),F343&gt;0,ISNUMBER(G343),G343&gt;=0,ISNUMBER(H343),H343&gt;=0)</f>
        <v>1</v>
      </c>
      <c r="S343" s="13" t="n">
        <f aca="false">IF(R343,100*I343/F343,"")</f>
        <v>0.627552486508614</v>
      </c>
      <c r="T343" s="11" t="b">
        <f aca="false">NOT(AND(OR(AND(ISBLANK(RawFinancials!B343),ISBLANK(_RawBaseline!B340)),AND(ISNUMBER(RawFinancials!B343),ISNUMBER(_RawBaseline!B340),RawFinancials!B343=_RawBaseline!B340)),OR(AND(ISBLANK(RawFinancials!U343),ISBLANK(_RawBaseline!U340)),AND(ISNUMBER(RawFinancials!U343),ISNUMBER(_RawBaseline!U340),RawFinancials!U343=_RawBaseline!U340)),OR(AND(ISBLANK(RawFinancials!O343),ISBLANK(_RawBaseline!O340)),AND(ISNUMBER(RawFinancials!O343),ISNUMBER(_RawBaseline!O340),RawFinancials!O343=_RawBaseline!O340))))</f>
        <v>0</v>
      </c>
      <c r="U343" s="13" t="n">
        <f aca="false">IF(AND(D343=WF_START_PERIOD,R343,COUNTIFS($B$5:$B$750,B343,$D$5:$D$750,WF_END_PERIOD,$R$5:$R$750,TRUE())&gt;0),SUMIFS($S$5:$S$750,$B$5:$B$750,B343,$D$5:$D$750,WF_END_PERIOD,$R$5:$R$750,TRUE()),0)</f>
        <v>0</v>
      </c>
      <c r="V343" s="0" t="str">
        <f aca="false">IF(AND(D343=WF_START_PERIOD,COUNTIFS($B$5:$B$750,B343,$D$5:$D$750,WF_END_PERIOD)&gt;0),INDEX($E$5:$E$750,MATCH(B343&amp;"|"&amp;WF_END_PERIOD,$AC$5:$AC$750,0)),"")</f>
        <v/>
      </c>
      <c r="W343" s="11" t="b">
        <f aca="false">COUNTIFS($B$5:$B$750,B343,$D$5:$D$750,WF_START_PERIOD,$R$5:$R$750,TRUE())&gt;0</f>
        <v>1</v>
      </c>
      <c r="X343" s="11" t="b">
        <f aca="false">COUNTIFS($B$5:$B$750,B343,$D$5:$D$750,WF_END_PERIOD,$R$5:$R$750,TRUE())&gt;0</f>
        <v>1</v>
      </c>
      <c r="Y343" s="0" t="str">
        <f aca="false">IF(AND(D343=WF_END_PERIOD,COUNTIFS($B$5:$B$750,B343,$D$5:$D$750,WF_START_PERIOD)&gt;0),INDEX($E$5:$E$750,MATCH(B343&amp;"|"&amp;WF_START_PERIOD,$AC$5:$AC$750,0)),"")</f>
        <v/>
      </c>
      <c r="Z343" s="0" t="str">
        <f aca="false">IF(AND(D343=WF_END_PERIOD,R343),1+COUNTIFS($D$5:$D$750,WF_END_PERIOD,$E$5:$E$750,E343,$R$5:$R$750,TRUE(),$S$5:$S$750,"&gt;"&amp;S343)+COUNTIFS($D$5:$D$750,WF_END_PERIOD,$E$5:$E$750,E343,$R$5:$R$750,TRUE(),$S$5:$S$750,S343,$B$5:$B$750,"&lt;"&amp;B343),"")</f>
        <v/>
      </c>
      <c r="AA343" s="0" t="str">
        <f aca="false">IF(AND(D343=WF_END_PERIOD,R343,Z343&lt;&gt;1),1+COUNTIFS($D$5:$D$750,WF_END_PERIOD,$R$5:$R$750,TRUE(),$Z$5:$Z$750,"&lt;&gt;1",$S$5:$S$750,"&gt;"&amp;S343)+COUNTIFS($D$5:$D$750,WF_END_PERIOD,$R$5:$R$750,TRUE(),$Z$5:$Z$750,"&lt;&gt;1",$S$5:$S$750,S343,$B$5:$B$750,"&lt;"&amp;B343),"")</f>
        <v/>
      </c>
      <c r="AB343" s="11" t="b">
        <f aca="false">OR(D343=WF_START_PERIOD,D343=WF_END_PERIOD)</f>
        <v>0</v>
      </c>
      <c r="AC343" s="0" t="str">
        <f aca="false">B343&amp;"|"&amp;D343</f>
        <v>17960|20230930</v>
      </c>
    </row>
    <row r="344" customFormat="false" ht="15" hidden="false" customHeight="false" outlineLevel="0" collapsed="false">
      <c r="A344" s="0" t="n">
        <f aca="false">RawFinancials!A344</f>
        <v>341</v>
      </c>
      <c r="B344" s="0" t="n">
        <f aca="false">RawFinancials!C344</f>
        <v>18012</v>
      </c>
      <c r="C344" s="0" t="str">
        <f aca="false">RawFinancials!P344</f>
        <v>BANK OF NEW HAMPSHIRE</v>
      </c>
      <c r="D344" s="0" t="n">
        <f aca="false">RawFinancials!W344</f>
        <v>20230930</v>
      </c>
      <c r="E344" s="0" t="str">
        <f aca="false">RawFinancials!Z344</f>
        <v>NH</v>
      </c>
      <c r="F344" s="0" t="n">
        <f aca="false">RawFinancials!B344</f>
        <v>2450354</v>
      </c>
      <c r="G344" s="0" t="n">
        <f aca="false">RawFinancials!U344</f>
        <v>0</v>
      </c>
      <c r="H344" s="0" t="n">
        <f aca="false">RawFinancials!O344</f>
        <v>742</v>
      </c>
      <c r="I344" s="0" t="n">
        <f aca="false">IF(AND(ISNUMBER(G344),ISNUMBER(H344)),G344+H344,"")</f>
        <v>742</v>
      </c>
      <c r="J344" s="0" t="n">
        <f aca="false">RawFinancials!D344</f>
        <v>2087557</v>
      </c>
      <c r="K344" s="0" t="n">
        <f aca="false">RawFinancials!F344</f>
        <v>251689</v>
      </c>
      <c r="L344" s="0" t="n">
        <f aca="false">RawFinancials!L344</f>
        <v>1996300</v>
      </c>
      <c r="M344" s="0" t="n">
        <f aca="false">RawFinancials!N344</f>
        <v>1885157</v>
      </c>
      <c r="N344" s="13" t="n">
        <f aca="false">RawFinancials!X344</f>
        <v>0.871079377516649</v>
      </c>
      <c r="O344" s="13" t="n">
        <f aca="false">RawFinancials!V344</f>
        <v>13.7963240873137</v>
      </c>
      <c r="P344" s="13" t="n">
        <f aca="false">IF(AND(ISNUMBER(L344),L344&lt;&gt;0,ISNUMBER(M344)),100*M344/L344,"")</f>
        <v>94.4325502179031</v>
      </c>
      <c r="Q344" s="13" t="n">
        <f aca="false">IF(AND(ISNUMBER(F344),F344&lt;&gt;0,ISNUMBER(K344)),100*K344/F344,"")</f>
        <v>10.271536275983</v>
      </c>
      <c r="R344" s="11" t="b">
        <f aca="false">AND(ISNUMBER(F344),F344&gt;0,ISNUMBER(G344),G344&gt;=0,ISNUMBER(H344),H344&gt;=0)</f>
        <v>1</v>
      </c>
      <c r="S344" s="13" t="n">
        <f aca="false">IF(R344,100*I344/F344,"")</f>
        <v>0.0302813389412305</v>
      </c>
      <c r="T344" s="11" t="b">
        <f aca="false">NOT(AND(OR(AND(ISBLANK(RawFinancials!B344),ISBLANK(_RawBaseline!B341)),AND(ISNUMBER(RawFinancials!B344),ISNUMBER(_RawBaseline!B341),RawFinancials!B344=_RawBaseline!B341)),OR(AND(ISBLANK(RawFinancials!U344),ISBLANK(_RawBaseline!U341)),AND(ISNUMBER(RawFinancials!U344),ISNUMBER(_RawBaseline!U341),RawFinancials!U344=_RawBaseline!U341)),OR(AND(ISBLANK(RawFinancials!O344),ISBLANK(_RawBaseline!O341)),AND(ISNUMBER(RawFinancials!O344),ISNUMBER(_RawBaseline!O341),RawFinancials!O344=_RawBaseline!O341))))</f>
        <v>0</v>
      </c>
      <c r="U344" s="13" t="n">
        <f aca="false">IF(AND(D344=WF_START_PERIOD,R344,COUNTIFS($B$5:$B$750,B344,$D$5:$D$750,WF_END_PERIOD,$R$5:$R$750,TRUE())&gt;0),SUMIFS($S$5:$S$750,$B$5:$B$750,B344,$D$5:$D$750,WF_END_PERIOD,$R$5:$R$750,TRUE()),0)</f>
        <v>0</v>
      </c>
      <c r="V344" s="0" t="str">
        <f aca="false">IF(AND(D344=WF_START_PERIOD,COUNTIFS($B$5:$B$750,B344,$D$5:$D$750,WF_END_PERIOD)&gt;0),INDEX($E$5:$E$750,MATCH(B344&amp;"|"&amp;WF_END_PERIOD,$AC$5:$AC$750,0)),"")</f>
        <v/>
      </c>
      <c r="W344" s="11" t="b">
        <f aca="false">COUNTIFS($B$5:$B$750,B344,$D$5:$D$750,WF_START_PERIOD,$R$5:$R$750,TRUE())&gt;0</f>
        <v>1</v>
      </c>
      <c r="X344" s="11" t="b">
        <f aca="false">COUNTIFS($B$5:$B$750,B344,$D$5:$D$750,WF_END_PERIOD,$R$5:$R$750,TRUE())&gt;0</f>
        <v>1</v>
      </c>
      <c r="Y344" s="0" t="str">
        <f aca="false">IF(AND(D344=WF_END_PERIOD,COUNTIFS($B$5:$B$750,B344,$D$5:$D$750,WF_START_PERIOD)&gt;0),INDEX($E$5:$E$750,MATCH(B344&amp;"|"&amp;WF_START_PERIOD,$AC$5:$AC$750,0)),"")</f>
        <v/>
      </c>
      <c r="Z344" s="0" t="str">
        <f aca="false">IF(AND(D344=WF_END_PERIOD,R344),1+COUNTIFS($D$5:$D$750,WF_END_PERIOD,$E$5:$E$750,E344,$R$5:$R$750,TRUE(),$S$5:$S$750,"&gt;"&amp;S344)+COUNTIFS($D$5:$D$750,WF_END_PERIOD,$E$5:$E$750,E344,$R$5:$R$750,TRUE(),$S$5:$S$750,S344,$B$5:$B$750,"&lt;"&amp;B344),"")</f>
        <v/>
      </c>
      <c r="AA344" s="0" t="str">
        <f aca="false">IF(AND(D344=WF_END_PERIOD,R344,Z344&lt;&gt;1),1+COUNTIFS($D$5:$D$750,WF_END_PERIOD,$R$5:$R$750,TRUE(),$Z$5:$Z$750,"&lt;&gt;1",$S$5:$S$750,"&gt;"&amp;S344)+COUNTIFS($D$5:$D$750,WF_END_PERIOD,$R$5:$R$750,TRUE(),$Z$5:$Z$750,"&lt;&gt;1",$S$5:$S$750,S344,$B$5:$B$750,"&lt;"&amp;B344),"")</f>
        <v/>
      </c>
      <c r="AB344" s="11" t="b">
        <f aca="false">OR(D344=WF_START_PERIOD,D344=WF_END_PERIOD)</f>
        <v>0</v>
      </c>
      <c r="AC344" s="0" t="str">
        <f aca="false">B344&amp;"|"&amp;D344</f>
        <v>18012|20230930</v>
      </c>
    </row>
    <row r="345" customFormat="false" ht="15" hidden="false" customHeight="false" outlineLevel="0" collapsed="false">
      <c r="A345" s="0" t="n">
        <f aca="false">RawFinancials!A345</f>
        <v>342</v>
      </c>
      <c r="B345" s="0" t="n">
        <f aca="false">RawFinancials!C345</f>
        <v>18013</v>
      </c>
      <c r="C345" s="0" t="str">
        <f aca="false">RawFinancials!P345</f>
        <v>MASCOMA BANK</v>
      </c>
      <c r="D345" s="0" t="n">
        <f aca="false">RawFinancials!W345</f>
        <v>20230930</v>
      </c>
      <c r="E345" s="0" t="str">
        <f aca="false">RawFinancials!Z345</f>
        <v>NH</v>
      </c>
      <c r="F345" s="0" t="n">
        <f aca="false">RawFinancials!B345</f>
        <v>2857828</v>
      </c>
      <c r="G345" s="0" t="n">
        <f aca="false">RawFinancials!U345</f>
        <v>17</v>
      </c>
      <c r="H345" s="0" t="n">
        <f aca="false">RawFinancials!O345</f>
        <v>1061</v>
      </c>
      <c r="I345" s="0" t="n">
        <f aca="false">IF(AND(ISNUMBER(G345),ISNUMBER(H345)),G345+H345,"")</f>
        <v>1078</v>
      </c>
      <c r="J345" s="0" t="n">
        <f aca="false">RawFinancials!D345</f>
        <v>2426366</v>
      </c>
      <c r="K345" s="0" t="n">
        <f aca="false">RawFinancials!F345</f>
        <v>208913</v>
      </c>
      <c r="L345" s="0" t="n">
        <f aca="false">RawFinancials!L345</f>
        <v>2341074</v>
      </c>
      <c r="M345" s="0" t="n">
        <f aca="false">RawFinancials!N345</f>
        <v>2134736</v>
      </c>
      <c r="N345" s="13" t="n">
        <f aca="false">RawFinancials!X345</f>
        <v>0.455600254543259</v>
      </c>
      <c r="O345" s="13" t="n">
        <f aca="false">RawFinancials!V345</f>
        <v>12.718417791956</v>
      </c>
      <c r="P345" s="13" t="n">
        <f aca="false">IF(AND(ISNUMBER(L345),L345&lt;&gt;0,ISNUMBER(M345)),100*M345/L345,"")</f>
        <v>91.186182068572</v>
      </c>
      <c r="Q345" s="13" t="n">
        <f aca="false">IF(AND(ISNUMBER(F345),F345&lt;&gt;0,ISNUMBER(K345)),100*K345/F345,"")</f>
        <v>7.31020201355715</v>
      </c>
      <c r="R345" s="11" t="b">
        <f aca="false">AND(ISNUMBER(F345),F345&gt;0,ISNUMBER(G345),G345&gt;=0,ISNUMBER(H345),H345&gt;=0)</f>
        <v>1</v>
      </c>
      <c r="S345" s="13" t="n">
        <f aca="false">IF(R345,100*I345/F345,"")</f>
        <v>0.0377209545151073</v>
      </c>
      <c r="T345" s="11" t="b">
        <f aca="false">NOT(AND(OR(AND(ISBLANK(RawFinancials!B345),ISBLANK(_RawBaseline!B342)),AND(ISNUMBER(RawFinancials!B345),ISNUMBER(_RawBaseline!B342),RawFinancials!B345=_RawBaseline!B342)),OR(AND(ISBLANK(RawFinancials!U345),ISBLANK(_RawBaseline!U342)),AND(ISNUMBER(RawFinancials!U345),ISNUMBER(_RawBaseline!U342),RawFinancials!U345=_RawBaseline!U342)),OR(AND(ISBLANK(RawFinancials!O345),ISBLANK(_RawBaseline!O342)),AND(ISNUMBER(RawFinancials!O345),ISNUMBER(_RawBaseline!O342),RawFinancials!O345=_RawBaseline!O342))))</f>
        <v>0</v>
      </c>
      <c r="U345" s="13" t="n">
        <f aca="false">IF(AND(D345=WF_START_PERIOD,R345,COUNTIFS($B$5:$B$750,B345,$D$5:$D$750,WF_END_PERIOD,$R$5:$R$750,TRUE())&gt;0),SUMIFS($S$5:$S$750,$B$5:$B$750,B345,$D$5:$D$750,WF_END_PERIOD,$R$5:$R$750,TRUE()),0)</f>
        <v>0</v>
      </c>
      <c r="V345" s="0" t="str">
        <f aca="false">IF(AND(D345=WF_START_PERIOD,COUNTIFS($B$5:$B$750,B345,$D$5:$D$750,WF_END_PERIOD)&gt;0),INDEX($E$5:$E$750,MATCH(B345&amp;"|"&amp;WF_END_PERIOD,$AC$5:$AC$750,0)),"")</f>
        <v/>
      </c>
      <c r="W345" s="11" t="b">
        <f aca="false">COUNTIFS($B$5:$B$750,B345,$D$5:$D$750,WF_START_PERIOD,$R$5:$R$750,TRUE())&gt;0</f>
        <v>1</v>
      </c>
      <c r="X345" s="11" t="b">
        <f aca="false">COUNTIFS($B$5:$B$750,B345,$D$5:$D$750,WF_END_PERIOD,$R$5:$R$750,TRUE())&gt;0</f>
        <v>1</v>
      </c>
      <c r="Y345" s="0" t="str">
        <f aca="false">IF(AND(D345=WF_END_PERIOD,COUNTIFS($B$5:$B$750,B345,$D$5:$D$750,WF_START_PERIOD)&gt;0),INDEX($E$5:$E$750,MATCH(B345&amp;"|"&amp;WF_START_PERIOD,$AC$5:$AC$750,0)),"")</f>
        <v/>
      </c>
      <c r="Z345" s="0" t="str">
        <f aca="false">IF(AND(D345=WF_END_PERIOD,R345),1+COUNTIFS($D$5:$D$750,WF_END_PERIOD,$E$5:$E$750,E345,$R$5:$R$750,TRUE(),$S$5:$S$750,"&gt;"&amp;S345)+COUNTIFS($D$5:$D$750,WF_END_PERIOD,$E$5:$E$750,E345,$R$5:$R$750,TRUE(),$S$5:$S$750,S345,$B$5:$B$750,"&lt;"&amp;B345),"")</f>
        <v/>
      </c>
      <c r="AA345" s="0" t="str">
        <f aca="false">IF(AND(D345=WF_END_PERIOD,R345,Z345&lt;&gt;1),1+COUNTIFS($D$5:$D$750,WF_END_PERIOD,$R$5:$R$750,TRUE(),$Z$5:$Z$750,"&lt;&gt;1",$S$5:$S$750,"&gt;"&amp;S345)+COUNTIFS($D$5:$D$750,WF_END_PERIOD,$R$5:$R$750,TRUE(),$Z$5:$Z$750,"&lt;&gt;1",$S$5:$S$750,S345,$B$5:$B$750,"&lt;"&amp;B345),"")</f>
        <v/>
      </c>
      <c r="AB345" s="11" t="b">
        <f aca="false">OR(D345=WF_START_PERIOD,D345=WF_END_PERIOD)</f>
        <v>0</v>
      </c>
      <c r="AC345" s="0" t="str">
        <f aca="false">B345&amp;"|"&amp;D345</f>
        <v>18013|20230930</v>
      </c>
    </row>
    <row r="346" customFormat="false" ht="15" hidden="false" customHeight="false" outlineLevel="0" collapsed="false">
      <c r="A346" s="0" t="n">
        <f aca="false">RawFinancials!A346</f>
        <v>343</v>
      </c>
      <c r="B346" s="0" t="n">
        <f aca="false">RawFinancials!C346</f>
        <v>18028</v>
      </c>
      <c r="C346" s="0" t="str">
        <f aca="false">RawFinancials!P346</f>
        <v>SUGAR RIVER BANK</v>
      </c>
      <c r="D346" s="0" t="n">
        <f aca="false">RawFinancials!W346</f>
        <v>20230930</v>
      </c>
      <c r="E346" s="0" t="str">
        <f aca="false">RawFinancials!Z346</f>
        <v>NH</v>
      </c>
      <c r="F346" s="0" t="n">
        <f aca="false">RawFinancials!B346</f>
        <v>381526</v>
      </c>
      <c r="G346" s="0" t="n">
        <f aca="false">RawFinancials!U346</f>
        <v>233</v>
      </c>
      <c r="H346" s="0" t="n">
        <f aca="false">RawFinancials!O346</f>
        <v>831</v>
      </c>
      <c r="I346" s="0" t="n">
        <f aca="false">IF(AND(ISNUMBER(G346),ISNUMBER(H346)),G346+H346,"")</f>
        <v>1064</v>
      </c>
      <c r="J346" s="0" t="n">
        <f aca="false">RawFinancials!D346</f>
        <v>312777</v>
      </c>
      <c r="K346" s="0" t="n">
        <f aca="false">RawFinancials!F346</f>
        <v>35629</v>
      </c>
      <c r="L346" s="0" t="n">
        <f aca="false">RawFinancials!L346</f>
        <v>261805</v>
      </c>
      <c r="M346" s="0" t="n">
        <f aca="false">RawFinancials!N346</f>
        <v>235366</v>
      </c>
      <c r="N346" s="13" t="n">
        <f aca="false">RawFinancials!X346</f>
        <v>0.57647828889173</v>
      </c>
      <c r="O346" s="13" t="n">
        <f aca="false">RawFinancials!V346</f>
        <v>0</v>
      </c>
      <c r="P346" s="13" t="n">
        <f aca="false">IF(AND(ISNUMBER(L346),L346&lt;&gt;0,ISNUMBER(M346)),100*M346/L346,"")</f>
        <v>89.9012623899467</v>
      </c>
      <c r="Q346" s="13" t="n">
        <f aca="false">IF(AND(ISNUMBER(F346),F346&lt;&gt;0,ISNUMBER(K346)),100*K346/F346,"")</f>
        <v>9.33855097686658</v>
      </c>
      <c r="R346" s="11" t="b">
        <f aca="false">AND(ISNUMBER(F346),F346&gt;0,ISNUMBER(G346),G346&gt;=0,ISNUMBER(H346),H346&gt;=0)</f>
        <v>1</v>
      </c>
      <c r="S346" s="13" t="n">
        <f aca="false">IF(R346,100*I346/F346,"")</f>
        <v>0.278880076325074</v>
      </c>
      <c r="T346" s="11" t="b">
        <f aca="false">NOT(AND(OR(AND(ISBLANK(RawFinancials!B346),ISBLANK(_RawBaseline!B343)),AND(ISNUMBER(RawFinancials!B346),ISNUMBER(_RawBaseline!B343),RawFinancials!B346=_RawBaseline!B343)),OR(AND(ISBLANK(RawFinancials!U346),ISBLANK(_RawBaseline!U343)),AND(ISNUMBER(RawFinancials!U346),ISNUMBER(_RawBaseline!U343),RawFinancials!U346=_RawBaseline!U343)),OR(AND(ISBLANK(RawFinancials!O346),ISBLANK(_RawBaseline!O343)),AND(ISNUMBER(RawFinancials!O346),ISNUMBER(_RawBaseline!O343),RawFinancials!O346=_RawBaseline!O343))))</f>
        <v>0</v>
      </c>
      <c r="U346" s="13" t="n">
        <f aca="false">IF(AND(D346=WF_START_PERIOD,R346,COUNTIFS($B$5:$B$750,B346,$D$5:$D$750,WF_END_PERIOD,$R$5:$R$750,TRUE())&gt;0),SUMIFS($S$5:$S$750,$B$5:$B$750,B346,$D$5:$D$750,WF_END_PERIOD,$R$5:$R$750,TRUE()),0)</f>
        <v>0</v>
      </c>
      <c r="V346" s="0" t="str">
        <f aca="false">IF(AND(D346=WF_START_PERIOD,COUNTIFS($B$5:$B$750,B346,$D$5:$D$750,WF_END_PERIOD)&gt;0),INDEX($E$5:$E$750,MATCH(B346&amp;"|"&amp;WF_END_PERIOD,$AC$5:$AC$750,0)),"")</f>
        <v/>
      </c>
      <c r="W346" s="11" t="b">
        <f aca="false">COUNTIFS($B$5:$B$750,B346,$D$5:$D$750,WF_START_PERIOD,$R$5:$R$750,TRUE())&gt;0</f>
        <v>1</v>
      </c>
      <c r="X346" s="11" t="b">
        <f aca="false">COUNTIFS($B$5:$B$750,B346,$D$5:$D$750,WF_END_PERIOD,$R$5:$R$750,TRUE())&gt;0</f>
        <v>1</v>
      </c>
      <c r="Y346" s="0" t="str">
        <f aca="false">IF(AND(D346=WF_END_PERIOD,COUNTIFS($B$5:$B$750,B346,$D$5:$D$750,WF_START_PERIOD)&gt;0),INDEX($E$5:$E$750,MATCH(B346&amp;"|"&amp;WF_START_PERIOD,$AC$5:$AC$750,0)),"")</f>
        <v/>
      </c>
      <c r="Z346" s="0" t="str">
        <f aca="false">IF(AND(D346=WF_END_PERIOD,R346),1+COUNTIFS($D$5:$D$750,WF_END_PERIOD,$E$5:$E$750,E346,$R$5:$R$750,TRUE(),$S$5:$S$750,"&gt;"&amp;S346)+COUNTIFS($D$5:$D$750,WF_END_PERIOD,$E$5:$E$750,E346,$R$5:$R$750,TRUE(),$S$5:$S$750,S346,$B$5:$B$750,"&lt;"&amp;B346),"")</f>
        <v/>
      </c>
      <c r="AA346" s="0" t="str">
        <f aca="false">IF(AND(D346=WF_END_PERIOD,R346,Z346&lt;&gt;1),1+COUNTIFS($D$5:$D$750,WF_END_PERIOD,$R$5:$R$750,TRUE(),$Z$5:$Z$750,"&lt;&gt;1",$S$5:$S$750,"&gt;"&amp;S346)+COUNTIFS($D$5:$D$750,WF_END_PERIOD,$R$5:$R$750,TRUE(),$Z$5:$Z$750,"&lt;&gt;1",$S$5:$S$750,S346,$B$5:$B$750,"&lt;"&amp;B346),"")</f>
        <v/>
      </c>
      <c r="AB346" s="11" t="b">
        <f aca="false">OR(D346=WF_START_PERIOD,D346=WF_END_PERIOD)</f>
        <v>0</v>
      </c>
      <c r="AC346" s="0" t="str">
        <f aca="false">B346&amp;"|"&amp;D346</f>
        <v>18028|20230930</v>
      </c>
    </row>
    <row r="347" customFormat="false" ht="15" hidden="false" customHeight="false" outlineLevel="0" collapsed="false">
      <c r="A347" s="0" t="n">
        <f aca="false">RawFinancials!A347</f>
        <v>344</v>
      </c>
      <c r="B347" s="0" t="n">
        <f aca="false">RawFinancials!C347</f>
        <v>18030</v>
      </c>
      <c r="C347" s="0" t="str">
        <f aca="false">RawFinancials!P347</f>
        <v>SAVINGS BANK OF WALPOLE</v>
      </c>
      <c r="D347" s="0" t="n">
        <f aca="false">RawFinancials!W347</f>
        <v>20230930</v>
      </c>
      <c r="E347" s="0" t="str">
        <f aca="false">RawFinancials!Z347</f>
        <v>NH</v>
      </c>
      <c r="F347" s="0" t="n">
        <f aca="false">RawFinancials!B347</f>
        <v>734470</v>
      </c>
      <c r="G347" s="0" t="n">
        <f aca="false">RawFinancials!U347</f>
        <v>134</v>
      </c>
      <c r="H347" s="0" t="n">
        <f aca="false">RawFinancials!O347</f>
        <v>457</v>
      </c>
      <c r="I347" s="0" t="n">
        <f aca="false">IF(AND(ISNUMBER(G347),ISNUMBER(H347)),G347+H347,"")</f>
        <v>591</v>
      </c>
      <c r="J347" s="0" t="n">
        <f aca="false">RawFinancials!D347</f>
        <v>660381</v>
      </c>
      <c r="K347" s="0" t="n">
        <f aca="false">RawFinancials!F347</f>
        <v>43119</v>
      </c>
      <c r="L347" s="0" t="n">
        <f aca="false">RawFinancials!L347</f>
        <v>591923</v>
      </c>
      <c r="M347" s="0" t="n">
        <f aca="false">RawFinancials!N347</f>
        <v>453550</v>
      </c>
      <c r="N347" s="13" t="n">
        <f aca="false">RawFinancials!X347</f>
        <v>0.565402270213584</v>
      </c>
      <c r="O347" s="13" t="n">
        <f aca="false">RawFinancials!V347</f>
        <v>12.6144232067429</v>
      </c>
      <c r="P347" s="13" t="n">
        <f aca="false">IF(AND(ISNUMBER(L347),L347&lt;&gt;0,ISNUMBER(M347)),100*M347/L347,"")</f>
        <v>76.623141861357</v>
      </c>
      <c r="Q347" s="13" t="n">
        <f aca="false">IF(AND(ISNUMBER(F347),F347&lt;&gt;0,ISNUMBER(K347)),100*K347/F347,"")</f>
        <v>5.87076395223767</v>
      </c>
      <c r="R347" s="11" t="b">
        <f aca="false">AND(ISNUMBER(F347),F347&gt;0,ISNUMBER(G347),G347&gt;=0,ISNUMBER(H347),H347&gt;=0)</f>
        <v>1</v>
      </c>
      <c r="S347" s="13" t="n">
        <f aca="false">IF(R347,100*I347/F347,"")</f>
        <v>0.0804661865018313</v>
      </c>
      <c r="T347" s="11" t="b">
        <f aca="false">NOT(AND(OR(AND(ISBLANK(RawFinancials!B347),ISBLANK(_RawBaseline!B344)),AND(ISNUMBER(RawFinancials!B347),ISNUMBER(_RawBaseline!B344),RawFinancials!B347=_RawBaseline!B344)),OR(AND(ISBLANK(RawFinancials!U347),ISBLANK(_RawBaseline!U344)),AND(ISNUMBER(RawFinancials!U347),ISNUMBER(_RawBaseline!U344),RawFinancials!U347=_RawBaseline!U344)),OR(AND(ISBLANK(RawFinancials!O347),ISBLANK(_RawBaseline!O344)),AND(ISNUMBER(RawFinancials!O347),ISNUMBER(_RawBaseline!O344),RawFinancials!O347=_RawBaseline!O344))))</f>
        <v>0</v>
      </c>
      <c r="U347" s="13" t="n">
        <f aca="false">IF(AND(D347=WF_START_PERIOD,R347,COUNTIFS($B$5:$B$750,B347,$D$5:$D$750,WF_END_PERIOD,$R$5:$R$750,TRUE())&gt;0),SUMIFS($S$5:$S$750,$B$5:$B$750,B347,$D$5:$D$750,WF_END_PERIOD,$R$5:$R$750,TRUE()),0)</f>
        <v>0</v>
      </c>
      <c r="V347" s="0" t="str">
        <f aca="false">IF(AND(D347=WF_START_PERIOD,COUNTIFS($B$5:$B$750,B347,$D$5:$D$750,WF_END_PERIOD)&gt;0),INDEX($E$5:$E$750,MATCH(B347&amp;"|"&amp;WF_END_PERIOD,$AC$5:$AC$750,0)),"")</f>
        <v/>
      </c>
      <c r="W347" s="11" t="b">
        <f aca="false">COUNTIFS($B$5:$B$750,B347,$D$5:$D$750,WF_START_PERIOD,$R$5:$R$750,TRUE())&gt;0</f>
        <v>1</v>
      </c>
      <c r="X347" s="11" t="b">
        <f aca="false">COUNTIFS($B$5:$B$750,B347,$D$5:$D$750,WF_END_PERIOD,$R$5:$R$750,TRUE())&gt;0</f>
        <v>1</v>
      </c>
      <c r="Y347" s="0" t="str">
        <f aca="false">IF(AND(D347=WF_END_PERIOD,COUNTIFS($B$5:$B$750,B347,$D$5:$D$750,WF_START_PERIOD)&gt;0),INDEX($E$5:$E$750,MATCH(B347&amp;"|"&amp;WF_START_PERIOD,$AC$5:$AC$750,0)),"")</f>
        <v/>
      </c>
      <c r="Z347" s="0" t="str">
        <f aca="false">IF(AND(D347=WF_END_PERIOD,R347),1+COUNTIFS($D$5:$D$750,WF_END_PERIOD,$E$5:$E$750,E347,$R$5:$R$750,TRUE(),$S$5:$S$750,"&gt;"&amp;S347)+COUNTIFS($D$5:$D$750,WF_END_PERIOD,$E$5:$E$750,E347,$R$5:$R$750,TRUE(),$S$5:$S$750,S347,$B$5:$B$750,"&lt;"&amp;B347),"")</f>
        <v/>
      </c>
      <c r="AA347" s="0" t="str">
        <f aca="false">IF(AND(D347=WF_END_PERIOD,R347,Z347&lt;&gt;1),1+COUNTIFS($D$5:$D$750,WF_END_PERIOD,$R$5:$R$750,TRUE(),$Z$5:$Z$750,"&lt;&gt;1",$S$5:$S$750,"&gt;"&amp;S347)+COUNTIFS($D$5:$D$750,WF_END_PERIOD,$R$5:$R$750,TRUE(),$Z$5:$Z$750,"&lt;&gt;1",$S$5:$S$750,S347,$B$5:$B$750,"&lt;"&amp;B347),"")</f>
        <v/>
      </c>
      <c r="AB347" s="11" t="b">
        <f aca="false">OR(D347=WF_START_PERIOD,D347=WF_END_PERIOD)</f>
        <v>0</v>
      </c>
      <c r="AC347" s="0" t="str">
        <f aca="false">B347&amp;"|"&amp;D347</f>
        <v>18030|20230930</v>
      </c>
    </row>
    <row r="348" customFormat="false" ht="15" hidden="false" customHeight="false" outlineLevel="0" collapsed="false">
      <c r="A348" s="0" t="n">
        <f aca="false">RawFinancials!A348</f>
        <v>345</v>
      </c>
      <c r="B348" s="0" t="n">
        <f aca="false">RawFinancials!C348</f>
        <v>18031</v>
      </c>
      <c r="C348" s="0" t="str">
        <f aca="false">RawFinancials!P348</f>
        <v>WOODSVILLE GUARANTY SAVINGS BANK</v>
      </c>
      <c r="D348" s="0" t="n">
        <f aca="false">RawFinancials!W348</f>
        <v>20230930</v>
      </c>
      <c r="E348" s="0" t="str">
        <f aca="false">RawFinancials!Z348</f>
        <v>NH</v>
      </c>
      <c r="F348" s="0" t="n">
        <f aca="false">RawFinancials!B348</f>
        <v>671966</v>
      </c>
      <c r="G348" s="0" t="n">
        <f aca="false">RawFinancials!U348</f>
        <v>0</v>
      </c>
      <c r="H348" s="0" t="n">
        <f aca="false">RawFinancials!O348</f>
        <v>790</v>
      </c>
      <c r="I348" s="0" t="n">
        <f aca="false">IF(AND(ISNUMBER(G348),ISNUMBER(H348)),G348+H348,"")</f>
        <v>790</v>
      </c>
      <c r="J348" s="0" t="n">
        <f aca="false">RawFinancials!D348</f>
        <v>568415</v>
      </c>
      <c r="K348" s="0" t="n">
        <f aca="false">RawFinancials!F348</f>
        <v>31180</v>
      </c>
      <c r="L348" s="0" t="n">
        <f aca="false">RawFinancials!L348</f>
        <v>480849</v>
      </c>
      <c r="M348" s="0" t="n">
        <f aca="false">RawFinancials!N348</f>
        <v>434791</v>
      </c>
      <c r="N348" s="13" t="n">
        <f aca="false">RawFinancials!X348</f>
        <v>0.288423659649569</v>
      </c>
      <c r="O348" s="13" t="n">
        <f aca="false">RawFinancials!V348</f>
        <v>16.1364216823375</v>
      </c>
      <c r="P348" s="13" t="n">
        <f aca="false">IF(AND(ISNUMBER(L348),L348&lt;&gt;0,ISNUMBER(M348)),100*M348/L348,"")</f>
        <v>90.4215252605288</v>
      </c>
      <c r="Q348" s="13" t="n">
        <f aca="false">IF(AND(ISNUMBER(F348),F348&lt;&gt;0,ISNUMBER(K348)),100*K348/F348,"")</f>
        <v>4.6401157201406</v>
      </c>
      <c r="R348" s="11" t="b">
        <f aca="false">AND(ISNUMBER(F348),F348&gt;0,ISNUMBER(G348),G348&gt;=0,ISNUMBER(H348),H348&gt;=0)</f>
        <v>1</v>
      </c>
      <c r="S348" s="13" t="n">
        <f aca="false">IF(R348,100*I348/F348,"")</f>
        <v>0.117565472062575</v>
      </c>
      <c r="T348" s="11" t="b">
        <f aca="false">NOT(AND(OR(AND(ISBLANK(RawFinancials!B348),ISBLANK(_RawBaseline!B345)),AND(ISNUMBER(RawFinancials!B348),ISNUMBER(_RawBaseline!B345),RawFinancials!B348=_RawBaseline!B345)),OR(AND(ISBLANK(RawFinancials!U348),ISBLANK(_RawBaseline!U345)),AND(ISNUMBER(RawFinancials!U348),ISNUMBER(_RawBaseline!U345),RawFinancials!U348=_RawBaseline!U345)),OR(AND(ISBLANK(RawFinancials!O348),ISBLANK(_RawBaseline!O345)),AND(ISNUMBER(RawFinancials!O348),ISNUMBER(_RawBaseline!O345),RawFinancials!O348=_RawBaseline!O345))))</f>
        <v>0</v>
      </c>
      <c r="U348" s="13" t="n">
        <f aca="false">IF(AND(D348=WF_START_PERIOD,R348,COUNTIFS($B$5:$B$750,B348,$D$5:$D$750,WF_END_PERIOD,$R$5:$R$750,TRUE())&gt;0),SUMIFS($S$5:$S$750,$B$5:$B$750,B348,$D$5:$D$750,WF_END_PERIOD,$R$5:$R$750,TRUE()),0)</f>
        <v>0</v>
      </c>
      <c r="V348" s="0" t="str">
        <f aca="false">IF(AND(D348=WF_START_PERIOD,COUNTIFS($B$5:$B$750,B348,$D$5:$D$750,WF_END_PERIOD)&gt;0),INDEX($E$5:$E$750,MATCH(B348&amp;"|"&amp;WF_END_PERIOD,$AC$5:$AC$750,0)),"")</f>
        <v/>
      </c>
      <c r="W348" s="11" t="b">
        <f aca="false">COUNTIFS($B$5:$B$750,B348,$D$5:$D$750,WF_START_PERIOD,$R$5:$R$750,TRUE())&gt;0</f>
        <v>1</v>
      </c>
      <c r="X348" s="11" t="b">
        <f aca="false">COUNTIFS($B$5:$B$750,B348,$D$5:$D$750,WF_END_PERIOD,$R$5:$R$750,TRUE())&gt;0</f>
        <v>1</v>
      </c>
      <c r="Y348" s="0" t="str">
        <f aca="false">IF(AND(D348=WF_END_PERIOD,COUNTIFS($B$5:$B$750,B348,$D$5:$D$750,WF_START_PERIOD)&gt;0),INDEX($E$5:$E$750,MATCH(B348&amp;"|"&amp;WF_START_PERIOD,$AC$5:$AC$750,0)),"")</f>
        <v/>
      </c>
      <c r="Z348" s="0" t="str">
        <f aca="false">IF(AND(D348=WF_END_PERIOD,R348),1+COUNTIFS($D$5:$D$750,WF_END_PERIOD,$E$5:$E$750,E348,$R$5:$R$750,TRUE(),$S$5:$S$750,"&gt;"&amp;S348)+COUNTIFS($D$5:$D$750,WF_END_PERIOD,$E$5:$E$750,E348,$R$5:$R$750,TRUE(),$S$5:$S$750,S348,$B$5:$B$750,"&lt;"&amp;B348),"")</f>
        <v/>
      </c>
      <c r="AA348" s="0" t="str">
        <f aca="false">IF(AND(D348=WF_END_PERIOD,R348,Z348&lt;&gt;1),1+COUNTIFS($D$5:$D$750,WF_END_PERIOD,$R$5:$R$750,TRUE(),$Z$5:$Z$750,"&lt;&gt;1",$S$5:$S$750,"&gt;"&amp;S348)+COUNTIFS($D$5:$D$750,WF_END_PERIOD,$R$5:$R$750,TRUE(),$Z$5:$Z$750,"&lt;&gt;1",$S$5:$S$750,S348,$B$5:$B$750,"&lt;"&amp;B348),"")</f>
        <v/>
      </c>
      <c r="AB348" s="11" t="b">
        <f aca="false">OR(D348=WF_START_PERIOD,D348=WF_END_PERIOD)</f>
        <v>0</v>
      </c>
      <c r="AC348" s="0" t="str">
        <f aca="false">B348&amp;"|"&amp;D348</f>
        <v>18031|20230930</v>
      </c>
    </row>
    <row r="349" customFormat="false" ht="15" hidden="false" customHeight="false" outlineLevel="0" collapsed="false">
      <c r="A349" s="0" t="n">
        <f aca="false">RawFinancials!A349</f>
        <v>346</v>
      </c>
      <c r="B349" s="0" t="n">
        <f aca="false">RawFinancials!C349</f>
        <v>18038</v>
      </c>
      <c r="C349" s="0" t="str">
        <f aca="false">RawFinancials!P349</f>
        <v>CLAREMONT SAVINGS BANK</v>
      </c>
      <c r="D349" s="0" t="n">
        <f aca="false">RawFinancials!W349</f>
        <v>20230930</v>
      </c>
      <c r="E349" s="0" t="str">
        <f aca="false">RawFinancials!Z349</f>
        <v>NH</v>
      </c>
      <c r="F349" s="0" t="n">
        <f aca="false">RawFinancials!B349</f>
        <v>555533</v>
      </c>
      <c r="G349" s="0" t="n">
        <f aca="false">RawFinancials!U349</f>
        <v>10</v>
      </c>
      <c r="H349" s="0" t="n">
        <f aca="false">RawFinancials!O349</f>
        <v>2136</v>
      </c>
      <c r="I349" s="0" t="n">
        <f aca="false">IF(AND(ISNUMBER(G349),ISNUMBER(H349)),G349+H349,"")</f>
        <v>2146</v>
      </c>
      <c r="J349" s="0" t="n">
        <f aca="false">RawFinancials!D349</f>
        <v>444746</v>
      </c>
      <c r="K349" s="0" t="n">
        <f aca="false">RawFinancials!F349</f>
        <v>62652</v>
      </c>
      <c r="L349" s="0" t="n">
        <f aca="false">RawFinancials!L349</f>
        <v>415810</v>
      </c>
      <c r="M349" s="0" t="n">
        <f aca="false">RawFinancials!N349</f>
        <v>395105</v>
      </c>
      <c r="N349" s="13" t="n">
        <f aca="false">RawFinancials!X349</f>
        <v>-0.0175817767653759</v>
      </c>
      <c r="O349" s="13" t="n">
        <f aca="false">RawFinancials!V349</f>
        <v>0</v>
      </c>
      <c r="P349" s="13" t="n">
        <f aca="false">IF(AND(ISNUMBER(L349),L349&lt;&gt;0,ISNUMBER(M349)),100*M349/L349,"")</f>
        <v>95.0205622760395</v>
      </c>
      <c r="Q349" s="13" t="n">
        <f aca="false">IF(AND(ISNUMBER(F349),F349&lt;&gt;0,ISNUMBER(K349)),100*K349/F349,"")</f>
        <v>11.2778178794059</v>
      </c>
      <c r="R349" s="11" t="b">
        <f aca="false">AND(ISNUMBER(F349),F349&gt;0,ISNUMBER(G349),G349&gt;=0,ISNUMBER(H349),H349&gt;=0)</f>
        <v>1</v>
      </c>
      <c r="S349" s="13" t="n">
        <f aca="false">IF(R349,100*I349/F349,"")</f>
        <v>0.386295683604754</v>
      </c>
      <c r="T349" s="11" t="b">
        <f aca="false">NOT(AND(OR(AND(ISBLANK(RawFinancials!B349),ISBLANK(_RawBaseline!B346)),AND(ISNUMBER(RawFinancials!B349),ISNUMBER(_RawBaseline!B346),RawFinancials!B349=_RawBaseline!B346)),OR(AND(ISBLANK(RawFinancials!U349),ISBLANK(_RawBaseline!U346)),AND(ISNUMBER(RawFinancials!U349),ISNUMBER(_RawBaseline!U346),RawFinancials!U349=_RawBaseline!U346)),OR(AND(ISBLANK(RawFinancials!O349),ISBLANK(_RawBaseline!O346)),AND(ISNUMBER(RawFinancials!O349),ISNUMBER(_RawBaseline!O346),RawFinancials!O349=_RawBaseline!O346))))</f>
        <v>0</v>
      </c>
      <c r="U349" s="13" t="n">
        <f aca="false">IF(AND(D349=WF_START_PERIOD,R349,COUNTIFS($B$5:$B$750,B349,$D$5:$D$750,WF_END_PERIOD,$R$5:$R$750,TRUE())&gt;0),SUMIFS($S$5:$S$750,$B$5:$B$750,B349,$D$5:$D$750,WF_END_PERIOD,$R$5:$R$750,TRUE()),0)</f>
        <v>0</v>
      </c>
      <c r="V349" s="0" t="str">
        <f aca="false">IF(AND(D349=WF_START_PERIOD,COUNTIFS($B$5:$B$750,B349,$D$5:$D$750,WF_END_PERIOD)&gt;0),INDEX($E$5:$E$750,MATCH(B349&amp;"|"&amp;WF_END_PERIOD,$AC$5:$AC$750,0)),"")</f>
        <v/>
      </c>
      <c r="W349" s="11" t="b">
        <f aca="false">COUNTIFS($B$5:$B$750,B349,$D$5:$D$750,WF_START_PERIOD,$R$5:$R$750,TRUE())&gt;0</f>
        <v>1</v>
      </c>
      <c r="X349" s="11" t="b">
        <f aca="false">COUNTIFS($B$5:$B$750,B349,$D$5:$D$750,WF_END_PERIOD,$R$5:$R$750,TRUE())&gt;0</f>
        <v>1</v>
      </c>
      <c r="Y349" s="0" t="str">
        <f aca="false">IF(AND(D349=WF_END_PERIOD,COUNTIFS($B$5:$B$750,B349,$D$5:$D$750,WF_START_PERIOD)&gt;0),INDEX($E$5:$E$750,MATCH(B349&amp;"|"&amp;WF_START_PERIOD,$AC$5:$AC$750,0)),"")</f>
        <v/>
      </c>
      <c r="Z349" s="0" t="str">
        <f aca="false">IF(AND(D349=WF_END_PERIOD,R349),1+COUNTIFS($D$5:$D$750,WF_END_PERIOD,$E$5:$E$750,E349,$R$5:$R$750,TRUE(),$S$5:$S$750,"&gt;"&amp;S349)+COUNTIFS($D$5:$D$750,WF_END_PERIOD,$E$5:$E$750,E349,$R$5:$R$750,TRUE(),$S$5:$S$750,S349,$B$5:$B$750,"&lt;"&amp;B349),"")</f>
        <v/>
      </c>
      <c r="AA349" s="0" t="str">
        <f aca="false">IF(AND(D349=WF_END_PERIOD,R349,Z349&lt;&gt;1),1+COUNTIFS($D$5:$D$750,WF_END_PERIOD,$R$5:$R$750,TRUE(),$Z$5:$Z$750,"&lt;&gt;1",$S$5:$S$750,"&gt;"&amp;S349)+COUNTIFS($D$5:$D$750,WF_END_PERIOD,$R$5:$R$750,TRUE(),$Z$5:$Z$750,"&lt;&gt;1",$S$5:$S$750,S349,$B$5:$B$750,"&lt;"&amp;B349),"")</f>
        <v/>
      </c>
      <c r="AB349" s="11" t="b">
        <f aca="false">OR(D349=WF_START_PERIOD,D349=WF_END_PERIOD)</f>
        <v>0</v>
      </c>
      <c r="AC349" s="0" t="str">
        <f aca="false">B349&amp;"|"&amp;D349</f>
        <v>18038|20230930</v>
      </c>
    </row>
    <row r="350" customFormat="false" ht="15" hidden="false" customHeight="false" outlineLevel="0" collapsed="false">
      <c r="A350" s="0" t="n">
        <f aca="false">RawFinancials!A350</f>
        <v>347</v>
      </c>
      <c r="B350" s="0" t="n">
        <f aca="false">RawFinancials!C350</f>
        <v>18408</v>
      </c>
      <c r="C350" s="0" t="str">
        <f aca="false">RawFinancials!P350</f>
        <v>BANGOR SAVINGS BANK</v>
      </c>
      <c r="D350" s="0" t="n">
        <f aca="false">RawFinancials!W350</f>
        <v>20230930</v>
      </c>
      <c r="E350" s="0" t="str">
        <f aca="false">RawFinancials!Z350</f>
        <v>ME</v>
      </c>
      <c r="F350" s="0" t="n">
        <f aca="false">RawFinancials!B350</f>
        <v>7253561</v>
      </c>
      <c r="G350" s="0" t="n">
        <f aca="false">RawFinancials!U350</f>
        <v>0</v>
      </c>
      <c r="H350" s="0" t="n">
        <f aca="false">RawFinancials!O350</f>
        <v>3957</v>
      </c>
      <c r="I350" s="0" t="n">
        <f aca="false">IF(AND(ISNUMBER(G350),ISNUMBER(H350)),G350+H350,"")</f>
        <v>3957</v>
      </c>
      <c r="J350" s="0" t="n">
        <f aca="false">RawFinancials!D350</f>
        <v>5526161</v>
      </c>
      <c r="K350" s="0" t="n">
        <f aca="false">RawFinancials!F350</f>
        <v>339914</v>
      </c>
      <c r="L350" s="0" t="n">
        <f aca="false">RawFinancials!L350</f>
        <v>4807986</v>
      </c>
      <c r="M350" s="0" t="n">
        <f aca="false">RawFinancials!N350</f>
        <v>4382847</v>
      </c>
      <c r="N350" s="13" t="n">
        <f aca="false">RawFinancials!X350</f>
        <v>0.192762984622171</v>
      </c>
      <c r="O350" s="13" t="n">
        <f aca="false">RawFinancials!V350</f>
        <v>11.6647820410089</v>
      </c>
      <c r="P350" s="13" t="n">
        <f aca="false">IF(AND(ISNUMBER(L350),L350&lt;&gt;0,ISNUMBER(M350)),100*M350/L350,"")</f>
        <v>91.1576489615402</v>
      </c>
      <c r="Q350" s="13" t="n">
        <f aca="false">IF(AND(ISNUMBER(F350),F350&lt;&gt;0,ISNUMBER(K350)),100*K350/F350,"")</f>
        <v>4.6861672494379</v>
      </c>
      <c r="R350" s="11" t="b">
        <f aca="false">AND(ISNUMBER(F350),F350&gt;0,ISNUMBER(G350),G350&gt;=0,ISNUMBER(H350),H350&gt;=0)</f>
        <v>1</v>
      </c>
      <c r="S350" s="13" t="n">
        <f aca="false">IF(R350,100*I350/F350,"")</f>
        <v>0.0545525156540353</v>
      </c>
      <c r="T350" s="11" t="b">
        <f aca="false">NOT(AND(OR(AND(ISBLANK(RawFinancials!B350),ISBLANK(_RawBaseline!B347)),AND(ISNUMBER(RawFinancials!B350),ISNUMBER(_RawBaseline!B347),RawFinancials!B350=_RawBaseline!B347)),OR(AND(ISBLANK(RawFinancials!U350),ISBLANK(_RawBaseline!U347)),AND(ISNUMBER(RawFinancials!U350),ISNUMBER(_RawBaseline!U347),RawFinancials!U350=_RawBaseline!U347)),OR(AND(ISBLANK(RawFinancials!O350),ISBLANK(_RawBaseline!O347)),AND(ISNUMBER(RawFinancials!O350),ISNUMBER(_RawBaseline!O347),RawFinancials!O350=_RawBaseline!O347))))</f>
        <v>0</v>
      </c>
      <c r="U350" s="13" t="n">
        <f aca="false">IF(AND(D350=WF_START_PERIOD,R350,COUNTIFS($B$5:$B$750,B350,$D$5:$D$750,WF_END_PERIOD,$R$5:$R$750,TRUE())&gt;0),SUMIFS($S$5:$S$750,$B$5:$B$750,B350,$D$5:$D$750,WF_END_PERIOD,$R$5:$R$750,TRUE()),0)</f>
        <v>0</v>
      </c>
      <c r="V350" s="0" t="str">
        <f aca="false">IF(AND(D350=WF_START_PERIOD,COUNTIFS($B$5:$B$750,B350,$D$5:$D$750,WF_END_PERIOD)&gt;0),INDEX($E$5:$E$750,MATCH(B350&amp;"|"&amp;WF_END_PERIOD,$AC$5:$AC$750,0)),"")</f>
        <v/>
      </c>
      <c r="W350" s="11" t="b">
        <f aca="false">COUNTIFS($B$5:$B$750,B350,$D$5:$D$750,WF_START_PERIOD,$R$5:$R$750,TRUE())&gt;0</f>
        <v>1</v>
      </c>
      <c r="X350" s="11" t="b">
        <f aca="false">COUNTIFS($B$5:$B$750,B350,$D$5:$D$750,WF_END_PERIOD,$R$5:$R$750,TRUE())&gt;0</f>
        <v>1</v>
      </c>
      <c r="Y350" s="0" t="str">
        <f aca="false">IF(AND(D350=WF_END_PERIOD,COUNTIFS($B$5:$B$750,B350,$D$5:$D$750,WF_START_PERIOD)&gt;0),INDEX($E$5:$E$750,MATCH(B350&amp;"|"&amp;WF_START_PERIOD,$AC$5:$AC$750,0)),"")</f>
        <v/>
      </c>
      <c r="Z350" s="0" t="str">
        <f aca="false">IF(AND(D350=WF_END_PERIOD,R350),1+COUNTIFS($D$5:$D$750,WF_END_PERIOD,$E$5:$E$750,E350,$R$5:$R$750,TRUE(),$S$5:$S$750,"&gt;"&amp;S350)+COUNTIFS($D$5:$D$750,WF_END_PERIOD,$E$5:$E$750,E350,$R$5:$R$750,TRUE(),$S$5:$S$750,S350,$B$5:$B$750,"&lt;"&amp;B350),"")</f>
        <v/>
      </c>
      <c r="AA350" s="0" t="str">
        <f aca="false">IF(AND(D350=WF_END_PERIOD,R350,Z350&lt;&gt;1),1+COUNTIFS($D$5:$D$750,WF_END_PERIOD,$R$5:$R$750,TRUE(),$Z$5:$Z$750,"&lt;&gt;1",$S$5:$S$750,"&gt;"&amp;S350)+COUNTIFS($D$5:$D$750,WF_END_PERIOD,$R$5:$R$750,TRUE(),$Z$5:$Z$750,"&lt;&gt;1",$S$5:$S$750,S350,$B$5:$B$750,"&lt;"&amp;B350),"")</f>
        <v/>
      </c>
      <c r="AB350" s="11" t="b">
        <f aca="false">OR(D350=WF_START_PERIOD,D350=WF_END_PERIOD)</f>
        <v>0</v>
      </c>
      <c r="AC350" s="0" t="str">
        <f aca="false">B350&amp;"|"&amp;D350</f>
        <v>18408|20230930</v>
      </c>
    </row>
    <row r="351" customFormat="false" ht="15" hidden="false" customHeight="false" outlineLevel="0" collapsed="false">
      <c r="A351" s="0" t="n">
        <f aca="false">RawFinancials!A351</f>
        <v>348</v>
      </c>
      <c r="B351" s="0" t="n">
        <f aca="false">RawFinancials!C351</f>
        <v>19531</v>
      </c>
      <c r="C351" s="0" t="str">
        <f aca="false">RawFinancials!P351</f>
        <v>MACHIAS SAVINGS BANK</v>
      </c>
      <c r="D351" s="0" t="n">
        <f aca="false">RawFinancials!W351</f>
        <v>20230930</v>
      </c>
      <c r="E351" s="0" t="str">
        <f aca="false">RawFinancials!Z351</f>
        <v>ME</v>
      </c>
      <c r="F351" s="0" t="n">
        <f aca="false">RawFinancials!B351</f>
        <v>2461701</v>
      </c>
      <c r="G351" s="0" t="n">
        <f aca="false">RawFinancials!U351</f>
        <v>0</v>
      </c>
      <c r="H351" s="0" t="n">
        <f aca="false">RawFinancials!O351</f>
        <v>9780</v>
      </c>
      <c r="I351" s="0" t="n">
        <f aca="false">IF(AND(ISNUMBER(G351),ISNUMBER(H351)),G351+H351,"")</f>
        <v>9780</v>
      </c>
      <c r="J351" s="0" t="n">
        <f aca="false">RawFinancials!D351</f>
        <v>2036756</v>
      </c>
      <c r="K351" s="0" t="n">
        <f aca="false">RawFinancials!F351</f>
        <v>225877</v>
      </c>
      <c r="L351" s="0" t="n">
        <f aca="false">RawFinancials!L351</f>
        <v>1986315</v>
      </c>
      <c r="M351" s="0" t="n">
        <f aca="false">RawFinancials!N351</f>
        <v>1627608</v>
      </c>
      <c r="N351" s="13" t="n">
        <f aca="false">RawFinancials!X351</f>
        <v>0.447969025430731</v>
      </c>
      <c r="O351" s="13" t="n">
        <f aca="false">RawFinancials!V351</f>
        <v>14.2913702341625</v>
      </c>
      <c r="P351" s="13" t="n">
        <f aca="false">IF(AND(ISNUMBER(L351),L351&lt;&gt;0,ISNUMBER(M351)),100*M351/L351,"")</f>
        <v>81.9410818525763</v>
      </c>
      <c r="Q351" s="13" t="n">
        <f aca="false">IF(AND(ISNUMBER(F351),F351&lt;&gt;0,ISNUMBER(K351)),100*K351/F351,"")</f>
        <v>9.17564724554282</v>
      </c>
      <c r="R351" s="11" t="b">
        <f aca="false">AND(ISNUMBER(F351),F351&gt;0,ISNUMBER(G351),G351&gt;=0,ISNUMBER(H351),H351&gt;=0)</f>
        <v>1</v>
      </c>
      <c r="S351" s="13" t="n">
        <f aca="false">IF(R351,100*I351/F351,"")</f>
        <v>0.397286266691203</v>
      </c>
      <c r="T351" s="11" t="b">
        <f aca="false">NOT(AND(OR(AND(ISBLANK(RawFinancials!B351),ISBLANK(_RawBaseline!B348)),AND(ISNUMBER(RawFinancials!B351),ISNUMBER(_RawBaseline!B348),RawFinancials!B351=_RawBaseline!B348)),OR(AND(ISBLANK(RawFinancials!U351),ISBLANK(_RawBaseline!U348)),AND(ISNUMBER(RawFinancials!U351),ISNUMBER(_RawBaseline!U348),RawFinancials!U351=_RawBaseline!U348)),OR(AND(ISBLANK(RawFinancials!O351),ISBLANK(_RawBaseline!O348)),AND(ISNUMBER(RawFinancials!O351),ISNUMBER(_RawBaseline!O348),RawFinancials!O351=_RawBaseline!O348))))</f>
        <v>0</v>
      </c>
      <c r="U351" s="13" t="n">
        <f aca="false">IF(AND(D351=WF_START_PERIOD,R351,COUNTIFS($B$5:$B$750,B351,$D$5:$D$750,WF_END_PERIOD,$R$5:$R$750,TRUE())&gt;0),SUMIFS($S$5:$S$750,$B$5:$B$750,B351,$D$5:$D$750,WF_END_PERIOD,$R$5:$R$750,TRUE()),0)</f>
        <v>0</v>
      </c>
      <c r="V351" s="0" t="str">
        <f aca="false">IF(AND(D351=WF_START_PERIOD,COUNTIFS($B$5:$B$750,B351,$D$5:$D$750,WF_END_PERIOD)&gt;0),INDEX($E$5:$E$750,MATCH(B351&amp;"|"&amp;WF_END_PERIOD,$AC$5:$AC$750,0)),"")</f>
        <v/>
      </c>
      <c r="W351" s="11" t="b">
        <f aca="false">COUNTIFS($B$5:$B$750,B351,$D$5:$D$750,WF_START_PERIOD,$R$5:$R$750,TRUE())&gt;0</f>
        <v>1</v>
      </c>
      <c r="X351" s="11" t="b">
        <f aca="false">COUNTIFS($B$5:$B$750,B351,$D$5:$D$750,WF_END_PERIOD,$R$5:$R$750,TRUE())&gt;0</f>
        <v>1</v>
      </c>
      <c r="Y351" s="0" t="str">
        <f aca="false">IF(AND(D351=WF_END_PERIOD,COUNTIFS($B$5:$B$750,B351,$D$5:$D$750,WF_START_PERIOD)&gt;0),INDEX($E$5:$E$750,MATCH(B351&amp;"|"&amp;WF_START_PERIOD,$AC$5:$AC$750,0)),"")</f>
        <v/>
      </c>
      <c r="Z351" s="0" t="str">
        <f aca="false">IF(AND(D351=WF_END_PERIOD,R351),1+COUNTIFS($D$5:$D$750,WF_END_PERIOD,$E$5:$E$750,E351,$R$5:$R$750,TRUE(),$S$5:$S$750,"&gt;"&amp;S351)+COUNTIFS($D$5:$D$750,WF_END_PERIOD,$E$5:$E$750,E351,$R$5:$R$750,TRUE(),$S$5:$S$750,S351,$B$5:$B$750,"&lt;"&amp;B351),"")</f>
        <v/>
      </c>
      <c r="AA351" s="0" t="str">
        <f aca="false">IF(AND(D351=WF_END_PERIOD,R351,Z351&lt;&gt;1),1+COUNTIFS($D$5:$D$750,WF_END_PERIOD,$R$5:$R$750,TRUE(),$Z$5:$Z$750,"&lt;&gt;1",$S$5:$S$750,"&gt;"&amp;S351)+COUNTIFS($D$5:$D$750,WF_END_PERIOD,$R$5:$R$750,TRUE(),$Z$5:$Z$750,"&lt;&gt;1",$S$5:$S$750,S351,$B$5:$B$750,"&lt;"&amp;B351),"")</f>
        <v/>
      </c>
      <c r="AB351" s="11" t="b">
        <f aca="false">OR(D351=WF_START_PERIOD,D351=WF_END_PERIOD)</f>
        <v>0</v>
      </c>
      <c r="AC351" s="0" t="str">
        <f aca="false">B351&amp;"|"&amp;D351</f>
        <v>19531|20230930</v>
      </c>
    </row>
    <row r="352" customFormat="false" ht="15" hidden="false" customHeight="false" outlineLevel="0" collapsed="false">
      <c r="A352" s="0" t="n">
        <f aca="false">RawFinancials!A352</f>
        <v>349</v>
      </c>
      <c r="B352" s="0" t="n">
        <f aca="false">RawFinancials!C352</f>
        <v>19532</v>
      </c>
      <c r="C352" s="0" t="str">
        <f aca="false">RawFinancials!P352</f>
        <v>SKOWHEGAN SAVINGS BANK</v>
      </c>
      <c r="D352" s="0" t="n">
        <f aca="false">RawFinancials!W352</f>
        <v>20230930</v>
      </c>
      <c r="E352" s="0" t="str">
        <f aca="false">RawFinancials!Z352</f>
        <v>ME</v>
      </c>
      <c r="F352" s="0" t="n">
        <f aca="false">RawFinancials!B352</f>
        <v>816575</v>
      </c>
      <c r="G352" s="0" t="n">
        <f aca="false">RawFinancials!U352</f>
        <v>0</v>
      </c>
      <c r="H352" s="0" t="n">
        <f aca="false">RawFinancials!O352</f>
        <v>1137</v>
      </c>
      <c r="I352" s="0" t="n">
        <f aca="false">IF(AND(ISNUMBER(G352),ISNUMBER(H352)),G352+H352,"")</f>
        <v>1137</v>
      </c>
      <c r="J352" s="0" t="n">
        <f aca="false">RawFinancials!D352</f>
        <v>712795</v>
      </c>
      <c r="K352" s="0" t="n">
        <f aca="false">RawFinancials!F352</f>
        <v>89758</v>
      </c>
      <c r="L352" s="0" t="n">
        <f aca="false">RawFinancials!L352</f>
        <v>583009</v>
      </c>
      <c r="M352" s="0" t="n">
        <f aca="false">RawFinancials!N352</f>
        <v>480800</v>
      </c>
      <c r="N352" s="13" t="n">
        <f aca="false">RawFinancials!X352</f>
        <v>0.688130053765717</v>
      </c>
      <c r="O352" s="13" t="n">
        <f aca="false">RawFinancials!V352</f>
        <v>21.3660838090436</v>
      </c>
      <c r="P352" s="13" t="n">
        <f aca="false">IF(AND(ISNUMBER(L352),L352&lt;&gt;0,ISNUMBER(M352)),100*M352/L352,"")</f>
        <v>82.4687097454756</v>
      </c>
      <c r="Q352" s="13" t="n">
        <f aca="false">IF(AND(ISNUMBER(F352),F352&lt;&gt;0,ISNUMBER(K352)),100*K352/F352,"")</f>
        <v>10.9920093071671</v>
      </c>
      <c r="R352" s="11" t="b">
        <f aca="false">AND(ISNUMBER(F352),F352&gt;0,ISNUMBER(G352),G352&gt;=0,ISNUMBER(H352),H352&gt;=0)</f>
        <v>1</v>
      </c>
      <c r="S352" s="13" t="n">
        <f aca="false">IF(R352,100*I352/F352,"")</f>
        <v>0.139240118788844</v>
      </c>
      <c r="T352" s="11" t="b">
        <f aca="false">NOT(AND(OR(AND(ISBLANK(RawFinancials!B352),ISBLANK(_RawBaseline!B349)),AND(ISNUMBER(RawFinancials!B352),ISNUMBER(_RawBaseline!B349),RawFinancials!B352=_RawBaseline!B349)),OR(AND(ISBLANK(RawFinancials!U352),ISBLANK(_RawBaseline!U349)),AND(ISNUMBER(RawFinancials!U352),ISNUMBER(_RawBaseline!U349),RawFinancials!U352=_RawBaseline!U349)),OR(AND(ISBLANK(RawFinancials!O352),ISBLANK(_RawBaseline!O349)),AND(ISNUMBER(RawFinancials!O352),ISNUMBER(_RawBaseline!O349),RawFinancials!O352=_RawBaseline!O349))))</f>
        <v>0</v>
      </c>
      <c r="U352" s="13" t="n">
        <f aca="false">IF(AND(D352=WF_START_PERIOD,R352,COUNTIFS($B$5:$B$750,B352,$D$5:$D$750,WF_END_PERIOD,$R$5:$R$750,TRUE())&gt;0),SUMIFS($S$5:$S$750,$B$5:$B$750,B352,$D$5:$D$750,WF_END_PERIOD,$R$5:$R$750,TRUE()),0)</f>
        <v>0</v>
      </c>
      <c r="V352" s="0" t="str">
        <f aca="false">IF(AND(D352=WF_START_PERIOD,COUNTIFS($B$5:$B$750,B352,$D$5:$D$750,WF_END_PERIOD)&gt;0),INDEX($E$5:$E$750,MATCH(B352&amp;"|"&amp;WF_END_PERIOD,$AC$5:$AC$750,0)),"")</f>
        <v/>
      </c>
      <c r="W352" s="11" t="b">
        <f aca="false">COUNTIFS($B$5:$B$750,B352,$D$5:$D$750,WF_START_PERIOD,$R$5:$R$750,TRUE())&gt;0</f>
        <v>1</v>
      </c>
      <c r="X352" s="11" t="b">
        <f aca="false">COUNTIFS($B$5:$B$750,B352,$D$5:$D$750,WF_END_PERIOD,$R$5:$R$750,TRUE())&gt;0</f>
        <v>1</v>
      </c>
      <c r="Y352" s="0" t="str">
        <f aca="false">IF(AND(D352=WF_END_PERIOD,COUNTIFS($B$5:$B$750,B352,$D$5:$D$750,WF_START_PERIOD)&gt;0),INDEX($E$5:$E$750,MATCH(B352&amp;"|"&amp;WF_START_PERIOD,$AC$5:$AC$750,0)),"")</f>
        <v/>
      </c>
      <c r="Z352" s="0" t="str">
        <f aca="false">IF(AND(D352=WF_END_PERIOD,R352),1+COUNTIFS($D$5:$D$750,WF_END_PERIOD,$E$5:$E$750,E352,$R$5:$R$750,TRUE(),$S$5:$S$750,"&gt;"&amp;S352)+COUNTIFS($D$5:$D$750,WF_END_PERIOD,$E$5:$E$750,E352,$R$5:$R$750,TRUE(),$S$5:$S$750,S352,$B$5:$B$750,"&lt;"&amp;B352),"")</f>
        <v/>
      </c>
      <c r="AA352" s="0" t="str">
        <f aca="false">IF(AND(D352=WF_END_PERIOD,R352,Z352&lt;&gt;1),1+COUNTIFS($D$5:$D$750,WF_END_PERIOD,$R$5:$R$750,TRUE(),$Z$5:$Z$750,"&lt;&gt;1",$S$5:$S$750,"&gt;"&amp;S352)+COUNTIFS($D$5:$D$750,WF_END_PERIOD,$R$5:$R$750,TRUE(),$Z$5:$Z$750,"&lt;&gt;1",$S$5:$S$750,S352,$B$5:$B$750,"&lt;"&amp;B352),"")</f>
        <v/>
      </c>
      <c r="AB352" s="11" t="b">
        <f aca="false">OR(D352=WF_START_PERIOD,D352=WF_END_PERIOD)</f>
        <v>0</v>
      </c>
      <c r="AC352" s="0" t="str">
        <f aca="false">B352&amp;"|"&amp;D352</f>
        <v>19532|20230930</v>
      </c>
    </row>
    <row r="353" customFormat="false" ht="15" hidden="false" customHeight="false" outlineLevel="0" collapsed="false">
      <c r="A353" s="0" t="n">
        <f aca="false">RawFinancials!A353</f>
        <v>350</v>
      </c>
      <c r="B353" s="0" t="n">
        <f aca="false">RawFinancials!C353</f>
        <v>19690</v>
      </c>
      <c r="C353" s="0" t="str">
        <f aca="false">RawFinancials!P353</f>
        <v>NORTHEAST BANK</v>
      </c>
      <c r="D353" s="0" t="n">
        <f aca="false">RawFinancials!W353</f>
        <v>20230930</v>
      </c>
      <c r="E353" s="0" t="str">
        <f aca="false">RawFinancials!Z353</f>
        <v>ME</v>
      </c>
      <c r="F353" s="0" t="n">
        <f aca="false">RawFinancials!B353</f>
        <v>2876461</v>
      </c>
      <c r="G353" s="0" t="n">
        <f aca="false">RawFinancials!U353</f>
        <v>0</v>
      </c>
      <c r="H353" s="0" t="n">
        <f aca="false">RawFinancials!O353</f>
        <v>17448</v>
      </c>
      <c r="I353" s="0" t="n">
        <f aca="false">IF(AND(ISNUMBER(G353),ISNUMBER(H353)),G353+H353,"")</f>
        <v>17448</v>
      </c>
      <c r="J353" s="0" t="n">
        <f aca="false">RawFinancials!D353</f>
        <v>1996495</v>
      </c>
      <c r="K353" s="0" t="n">
        <f aca="false">RawFinancials!F353</f>
        <v>311569</v>
      </c>
      <c r="L353" s="0" t="n">
        <f aca="false">RawFinancials!L353</f>
        <v>2528210</v>
      </c>
      <c r="M353" s="0" t="n">
        <f aca="false">RawFinancials!N353</f>
        <v>2043563</v>
      </c>
      <c r="N353" s="13" t="n">
        <f aca="false">RawFinancials!X353</f>
        <v>1.85718670922203</v>
      </c>
      <c r="O353" s="13" t="n">
        <f aca="false">RawFinancials!V353</f>
        <v>13.4609825320188</v>
      </c>
      <c r="P353" s="13" t="n">
        <f aca="false">IF(AND(ISNUMBER(L353),L353&lt;&gt;0,ISNUMBER(M353)),100*M353/L353,"")</f>
        <v>80.8304294342638</v>
      </c>
      <c r="Q353" s="13" t="n">
        <f aca="false">IF(AND(ISNUMBER(F353),F353&lt;&gt;0,ISNUMBER(K353)),100*K353/F353,"")</f>
        <v>10.8316782323835</v>
      </c>
      <c r="R353" s="11" t="b">
        <f aca="false">AND(ISNUMBER(F353),F353&gt;0,ISNUMBER(G353),G353&gt;=0,ISNUMBER(H353),H353&gt;=0)</f>
        <v>1</v>
      </c>
      <c r="S353" s="13" t="n">
        <f aca="false">IF(R353,100*I353/F353,"")</f>
        <v>0.606578709045595</v>
      </c>
      <c r="T353" s="11" t="b">
        <f aca="false">NOT(AND(OR(AND(ISBLANK(RawFinancials!B353),ISBLANK(_RawBaseline!B350)),AND(ISNUMBER(RawFinancials!B353),ISNUMBER(_RawBaseline!B350),RawFinancials!B353=_RawBaseline!B350)),OR(AND(ISBLANK(RawFinancials!U353),ISBLANK(_RawBaseline!U350)),AND(ISNUMBER(RawFinancials!U353),ISNUMBER(_RawBaseline!U350),RawFinancials!U353=_RawBaseline!U350)),OR(AND(ISBLANK(RawFinancials!O353),ISBLANK(_RawBaseline!O350)),AND(ISNUMBER(RawFinancials!O353),ISNUMBER(_RawBaseline!O350),RawFinancials!O353=_RawBaseline!O350))))</f>
        <v>0</v>
      </c>
      <c r="U353" s="13" t="n">
        <f aca="false">IF(AND(D353=WF_START_PERIOD,R353,COUNTIFS($B$5:$B$750,B353,$D$5:$D$750,WF_END_PERIOD,$R$5:$R$750,TRUE())&gt;0),SUMIFS($S$5:$S$750,$B$5:$B$750,B353,$D$5:$D$750,WF_END_PERIOD,$R$5:$R$750,TRUE()),0)</f>
        <v>0</v>
      </c>
      <c r="V353" s="0" t="str">
        <f aca="false">IF(AND(D353=WF_START_PERIOD,COUNTIFS($B$5:$B$750,B353,$D$5:$D$750,WF_END_PERIOD)&gt;0),INDEX($E$5:$E$750,MATCH(B353&amp;"|"&amp;WF_END_PERIOD,$AC$5:$AC$750,0)),"")</f>
        <v/>
      </c>
      <c r="W353" s="11" t="b">
        <f aca="false">COUNTIFS($B$5:$B$750,B353,$D$5:$D$750,WF_START_PERIOD,$R$5:$R$750,TRUE())&gt;0</f>
        <v>1</v>
      </c>
      <c r="X353" s="11" t="b">
        <f aca="false">COUNTIFS($B$5:$B$750,B353,$D$5:$D$750,WF_END_PERIOD,$R$5:$R$750,TRUE())&gt;0</f>
        <v>1</v>
      </c>
      <c r="Y353" s="0" t="str">
        <f aca="false">IF(AND(D353=WF_END_PERIOD,COUNTIFS($B$5:$B$750,B353,$D$5:$D$750,WF_START_PERIOD)&gt;0),INDEX($E$5:$E$750,MATCH(B353&amp;"|"&amp;WF_START_PERIOD,$AC$5:$AC$750,0)),"")</f>
        <v/>
      </c>
      <c r="Z353" s="0" t="str">
        <f aca="false">IF(AND(D353=WF_END_PERIOD,R353),1+COUNTIFS($D$5:$D$750,WF_END_PERIOD,$E$5:$E$750,E353,$R$5:$R$750,TRUE(),$S$5:$S$750,"&gt;"&amp;S353)+COUNTIFS($D$5:$D$750,WF_END_PERIOD,$E$5:$E$750,E353,$R$5:$R$750,TRUE(),$S$5:$S$750,S353,$B$5:$B$750,"&lt;"&amp;B353),"")</f>
        <v/>
      </c>
      <c r="AA353" s="0" t="str">
        <f aca="false">IF(AND(D353=WF_END_PERIOD,R353,Z353&lt;&gt;1),1+COUNTIFS($D$5:$D$750,WF_END_PERIOD,$R$5:$R$750,TRUE(),$Z$5:$Z$750,"&lt;&gt;1",$S$5:$S$750,"&gt;"&amp;S353)+COUNTIFS($D$5:$D$750,WF_END_PERIOD,$R$5:$R$750,TRUE(),$Z$5:$Z$750,"&lt;&gt;1",$S$5:$S$750,S353,$B$5:$B$750,"&lt;"&amp;B353),"")</f>
        <v/>
      </c>
      <c r="AB353" s="11" t="b">
        <f aca="false">OR(D353=WF_START_PERIOD,D353=WF_END_PERIOD)</f>
        <v>0</v>
      </c>
      <c r="AC353" s="0" t="str">
        <f aca="false">B353&amp;"|"&amp;D353</f>
        <v>19690|20230930</v>
      </c>
    </row>
    <row r="354" customFormat="false" ht="15" hidden="false" customHeight="false" outlineLevel="0" collapsed="false">
      <c r="A354" s="0" t="n">
        <f aca="false">RawFinancials!A354</f>
        <v>351</v>
      </c>
      <c r="B354" s="0" t="n">
        <f aca="false">RawFinancials!C354</f>
        <v>19836</v>
      </c>
      <c r="C354" s="0" t="str">
        <f aca="false">RawFinancials!P354</f>
        <v>FRANKLIN SAVINGS BANK</v>
      </c>
      <c r="D354" s="0" t="n">
        <f aca="false">RawFinancials!W354</f>
        <v>20230930</v>
      </c>
      <c r="E354" s="0" t="str">
        <f aca="false">RawFinancials!Z354</f>
        <v>ME</v>
      </c>
      <c r="F354" s="0" t="n">
        <f aca="false">RawFinancials!B354</f>
        <v>636045</v>
      </c>
      <c r="G354" s="0" t="n">
        <f aca="false">RawFinancials!U354</f>
        <v>72</v>
      </c>
      <c r="H354" s="0" t="n">
        <f aca="false">RawFinancials!O354</f>
        <v>3230</v>
      </c>
      <c r="I354" s="0" t="n">
        <f aca="false">IF(AND(ISNUMBER(G354),ISNUMBER(H354)),G354+H354,"")</f>
        <v>3302</v>
      </c>
      <c r="J354" s="0" t="n">
        <f aca="false">RawFinancials!D354</f>
        <v>487132</v>
      </c>
      <c r="K354" s="0" t="n">
        <f aca="false">RawFinancials!F354</f>
        <v>119013</v>
      </c>
      <c r="L354" s="0" t="n">
        <f aca="false">RawFinancials!L354</f>
        <v>524765</v>
      </c>
      <c r="M354" s="0" t="n">
        <f aca="false">RawFinancials!N354</f>
        <v>456725</v>
      </c>
      <c r="N354" s="13" t="n">
        <f aca="false">RawFinancials!X354</f>
        <v>0.906671171533532</v>
      </c>
      <c r="O354" s="13" t="n">
        <f aca="false">RawFinancials!V354</f>
        <v>26.4663895951883</v>
      </c>
      <c r="P354" s="13" t="n">
        <f aca="false">IF(AND(ISNUMBER(L354),L354&lt;&gt;0,ISNUMBER(M354)),100*M354/L354,"")</f>
        <v>87.034196259278</v>
      </c>
      <c r="Q354" s="13" t="n">
        <f aca="false">IF(AND(ISNUMBER(F354),F354&lt;&gt;0,ISNUMBER(K354)),100*K354/F354,"")</f>
        <v>18.7114119284013</v>
      </c>
      <c r="R354" s="11" t="b">
        <f aca="false">AND(ISNUMBER(F354),F354&gt;0,ISNUMBER(G354),G354&gt;=0,ISNUMBER(H354),H354&gt;=0)</f>
        <v>1</v>
      </c>
      <c r="S354" s="13" t="n">
        <f aca="false">IF(R354,100*I354/F354,"")</f>
        <v>0.519145657933008</v>
      </c>
      <c r="T354" s="11" t="b">
        <f aca="false">NOT(AND(OR(AND(ISBLANK(RawFinancials!B354),ISBLANK(_RawBaseline!B351)),AND(ISNUMBER(RawFinancials!B354),ISNUMBER(_RawBaseline!B351),RawFinancials!B354=_RawBaseline!B351)),OR(AND(ISBLANK(RawFinancials!U354),ISBLANK(_RawBaseline!U351)),AND(ISNUMBER(RawFinancials!U354),ISNUMBER(_RawBaseline!U351),RawFinancials!U354=_RawBaseline!U351)),OR(AND(ISBLANK(RawFinancials!O354),ISBLANK(_RawBaseline!O351)),AND(ISNUMBER(RawFinancials!O354),ISNUMBER(_RawBaseline!O351),RawFinancials!O354=_RawBaseline!O351))))</f>
        <v>0</v>
      </c>
      <c r="U354" s="13" t="n">
        <f aca="false">IF(AND(D354=WF_START_PERIOD,R354,COUNTIFS($B$5:$B$750,B354,$D$5:$D$750,WF_END_PERIOD,$R$5:$R$750,TRUE())&gt;0),SUMIFS($S$5:$S$750,$B$5:$B$750,B354,$D$5:$D$750,WF_END_PERIOD,$R$5:$R$750,TRUE()),0)</f>
        <v>0</v>
      </c>
      <c r="V354" s="0" t="str">
        <f aca="false">IF(AND(D354=WF_START_PERIOD,COUNTIFS($B$5:$B$750,B354,$D$5:$D$750,WF_END_PERIOD)&gt;0),INDEX($E$5:$E$750,MATCH(B354&amp;"|"&amp;WF_END_PERIOD,$AC$5:$AC$750,0)),"")</f>
        <v/>
      </c>
      <c r="W354" s="11" t="b">
        <f aca="false">COUNTIFS($B$5:$B$750,B354,$D$5:$D$750,WF_START_PERIOD,$R$5:$R$750,TRUE())&gt;0</f>
        <v>1</v>
      </c>
      <c r="X354" s="11" t="b">
        <f aca="false">COUNTIFS($B$5:$B$750,B354,$D$5:$D$750,WF_END_PERIOD,$R$5:$R$750,TRUE())&gt;0</f>
        <v>1</v>
      </c>
      <c r="Y354" s="0" t="str">
        <f aca="false">IF(AND(D354=WF_END_PERIOD,COUNTIFS($B$5:$B$750,B354,$D$5:$D$750,WF_START_PERIOD)&gt;0),INDEX($E$5:$E$750,MATCH(B354&amp;"|"&amp;WF_START_PERIOD,$AC$5:$AC$750,0)),"")</f>
        <v/>
      </c>
      <c r="Z354" s="0" t="str">
        <f aca="false">IF(AND(D354=WF_END_PERIOD,R354),1+COUNTIFS($D$5:$D$750,WF_END_PERIOD,$E$5:$E$750,E354,$R$5:$R$750,TRUE(),$S$5:$S$750,"&gt;"&amp;S354)+COUNTIFS($D$5:$D$750,WF_END_PERIOD,$E$5:$E$750,E354,$R$5:$R$750,TRUE(),$S$5:$S$750,S354,$B$5:$B$750,"&lt;"&amp;B354),"")</f>
        <v/>
      </c>
      <c r="AA354" s="0" t="str">
        <f aca="false">IF(AND(D354=WF_END_PERIOD,R354,Z354&lt;&gt;1),1+COUNTIFS($D$5:$D$750,WF_END_PERIOD,$R$5:$R$750,TRUE(),$Z$5:$Z$750,"&lt;&gt;1",$S$5:$S$750,"&gt;"&amp;S354)+COUNTIFS($D$5:$D$750,WF_END_PERIOD,$R$5:$R$750,TRUE(),$Z$5:$Z$750,"&lt;&gt;1",$S$5:$S$750,S354,$B$5:$B$750,"&lt;"&amp;B354),"")</f>
        <v/>
      </c>
      <c r="AB354" s="11" t="b">
        <f aca="false">OR(D354=WF_START_PERIOD,D354=WF_END_PERIOD)</f>
        <v>0</v>
      </c>
      <c r="AC354" s="0" t="str">
        <f aca="false">B354&amp;"|"&amp;D354</f>
        <v>19836|20230930</v>
      </c>
    </row>
    <row r="355" customFormat="false" ht="15" hidden="false" customHeight="false" outlineLevel="0" collapsed="false">
      <c r="A355" s="0" t="n">
        <f aca="false">RawFinancials!A355</f>
        <v>352</v>
      </c>
      <c r="B355" s="0" t="n">
        <f aca="false">RawFinancials!C355</f>
        <v>24540</v>
      </c>
      <c r="C355" s="0" t="str">
        <f aca="false">RawFinancials!P355</f>
        <v>BANK OF NEW ENGLAND</v>
      </c>
      <c r="D355" s="0" t="n">
        <f aca="false">RawFinancials!W355</f>
        <v>20230930</v>
      </c>
      <c r="E355" s="0" t="str">
        <f aca="false">RawFinancials!Z355</f>
        <v>NH</v>
      </c>
      <c r="F355" s="0" t="n">
        <f aca="false">RawFinancials!B355</f>
        <v>1388131</v>
      </c>
      <c r="G355" s="0" t="n">
        <f aca="false">RawFinancials!U355</f>
        <v>0</v>
      </c>
      <c r="H355" s="0" t="n">
        <f aca="false">RawFinancials!O355</f>
        <v>445</v>
      </c>
      <c r="I355" s="0" t="n">
        <f aca="false">IF(AND(ISNUMBER(G355),ISNUMBER(H355)),G355+H355,"")</f>
        <v>445</v>
      </c>
      <c r="J355" s="0" t="n">
        <f aca="false">RawFinancials!D355</f>
        <v>1118585</v>
      </c>
      <c r="K355" s="0" t="n">
        <f aca="false">RawFinancials!F355</f>
        <v>238721</v>
      </c>
      <c r="L355" s="0" t="n">
        <f aca="false">RawFinancials!L355</f>
        <v>1197387</v>
      </c>
      <c r="M355" s="0" t="n">
        <f aca="false">RawFinancials!N355</f>
        <v>1160736</v>
      </c>
      <c r="N355" s="13" t="n">
        <f aca="false">RawFinancials!X355</f>
        <v>2.37998404579016</v>
      </c>
      <c r="O355" s="13" t="n">
        <f aca="false">RawFinancials!V355</f>
        <v>18.7852347950974</v>
      </c>
      <c r="P355" s="13" t="n">
        <f aca="false">IF(AND(ISNUMBER(L355),L355&lt;&gt;0,ISNUMBER(M355)),100*M355/L355,"")</f>
        <v>96.9390848572767</v>
      </c>
      <c r="Q355" s="13" t="n">
        <f aca="false">IF(AND(ISNUMBER(F355),F355&lt;&gt;0,ISNUMBER(K355)),100*K355/F355,"")</f>
        <v>17.1972962206017</v>
      </c>
      <c r="R355" s="11" t="b">
        <f aca="false">AND(ISNUMBER(F355),F355&gt;0,ISNUMBER(G355),G355&gt;=0,ISNUMBER(H355),H355&gt;=0)</f>
        <v>1</v>
      </c>
      <c r="S355" s="13" t="n">
        <f aca="false">IF(R355,100*I355/F355,"")</f>
        <v>0.0320574931328527</v>
      </c>
      <c r="T355" s="11" t="b">
        <f aca="false">NOT(AND(OR(AND(ISBLANK(RawFinancials!B355),ISBLANK(_RawBaseline!B352)),AND(ISNUMBER(RawFinancials!B355),ISNUMBER(_RawBaseline!B352),RawFinancials!B355=_RawBaseline!B352)),OR(AND(ISBLANK(RawFinancials!U355),ISBLANK(_RawBaseline!U352)),AND(ISNUMBER(RawFinancials!U355),ISNUMBER(_RawBaseline!U352),RawFinancials!U355=_RawBaseline!U352)),OR(AND(ISBLANK(RawFinancials!O355),ISBLANK(_RawBaseline!O352)),AND(ISNUMBER(RawFinancials!O355),ISNUMBER(_RawBaseline!O352),RawFinancials!O355=_RawBaseline!O352))))</f>
        <v>0</v>
      </c>
      <c r="U355" s="13" t="n">
        <f aca="false">IF(AND(D355=WF_START_PERIOD,R355,COUNTIFS($B$5:$B$750,B355,$D$5:$D$750,WF_END_PERIOD,$R$5:$R$750,TRUE())&gt;0),SUMIFS($S$5:$S$750,$B$5:$B$750,B355,$D$5:$D$750,WF_END_PERIOD,$R$5:$R$750,TRUE()),0)</f>
        <v>0</v>
      </c>
      <c r="V355" s="0" t="str">
        <f aca="false">IF(AND(D355=WF_START_PERIOD,COUNTIFS($B$5:$B$750,B355,$D$5:$D$750,WF_END_PERIOD)&gt;0),INDEX($E$5:$E$750,MATCH(B355&amp;"|"&amp;WF_END_PERIOD,$AC$5:$AC$750,0)),"")</f>
        <v/>
      </c>
      <c r="W355" s="11" t="b">
        <f aca="false">COUNTIFS($B$5:$B$750,B355,$D$5:$D$750,WF_START_PERIOD,$R$5:$R$750,TRUE())&gt;0</f>
        <v>1</v>
      </c>
      <c r="X355" s="11" t="b">
        <f aca="false">COUNTIFS($B$5:$B$750,B355,$D$5:$D$750,WF_END_PERIOD,$R$5:$R$750,TRUE())&gt;0</f>
        <v>1</v>
      </c>
      <c r="Y355" s="0" t="str">
        <f aca="false">IF(AND(D355=WF_END_PERIOD,COUNTIFS($B$5:$B$750,B355,$D$5:$D$750,WF_START_PERIOD)&gt;0),INDEX($E$5:$E$750,MATCH(B355&amp;"|"&amp;WF_START_PERIOD,$AC$5:$AC$750,0)),"")</f>
        <v/>
      </c>
      <c r="Z355" s="0" t="str">
        <f aca="false">IF(AND(D355=WF_END_PERIOD,R355),1+COUNTIFS($D$5:$D$750,WF_END_PERIOD,$E$5:$E$750,E355,$R$5:$R$750,TRUE(),$S$5:$S$750,"&gt;"&amp;S355)+COUNTIFS($D$5:$D$750,WF_END_PERIOD,$E$5:$E$750,E355,$R$5:$R$750,TRUE(),$S$5:$S$750,S355,$B$5:$B$750,"&lt;"&amp;B355),"")</f>
        <v/>
      </c>
      <c r="AA355" s="0" t="str">
        <f aca="false">IF(AND(D355=WF_END_PERIOD,R355,Z355&lt;&gt;1),1+COUNTIFS($D$5:$D$750,WF_END_PERIOD,$R$5:$R$750,TRUE(),$Z$5:$Z$750,"&lt;&gt;1",$S$5:$S$750,"&gt;"&amp;S355)+COUNTIFS($D$5:$D$750,WF_END_PERIOD,$R$5:$R$750,TRUE(),$Z$5:$Z$750,"&lt;&gt;1",$S$5:$S$750,S355,$B$5:$B$750,"&lt;"&amp;B355),"")</f>
        <v/>
      </c>
      <c r="AB355" s="11" t="b">
        <f aca="false">OR(D355=WF_START_PERIOD,D355=WF_END_PERIOD)</f>
        <v>0</v>
      </c>
      <c r="AC355" s="0" t="str">
        <f aca="false">B355&amp;"|"&amp;D355</f>
        <v>24540|20230930</v>
      </c>
    </row>
    <row r="356" customFormat="false" ht="15" hidden="false" customHeight="false" outlineLevel="0" collapsed="false">
      <c r="A356" s="0" t="n">
        <f aca="false">RawFinancials!A356</f>
        <v>353</v>
      </c>
      <c r="B356" s="0" t="n">
        <f aca="false">RawFinancials!C356</f>
        <v>27824</v>
      </c>
      <c r="C356" s="0" t="str">
        <f aca="false">RawFinancials!P356</f>
        <v>SALEM CO-OPERATIVE BANK</v>
      </c>
      <c r="D356" s="0" t="n">
        <f aca="false">RawFinancials!W356</f>
        <v>20230930</v>
      </c>
      <c r="E356" s="0" t="str">
        <f aca="false">RawFinancials!Z356</f>
        <v>NH</v>
      </c>
      <c r="F356" s="0" t="n">
        <f aca="false">RawFinancials!B356</f>
        <v>525416</v>
      </c>
      <c r="G356" s="0" t="n">
        <f aca="false">RawFinancials!U356</f>
        <v>0</v>
      </c>
      <c r="H356" s="0" t="n">
        <f aca="false">RawFinancials!O356</f>
        <v>1101</v>
      </c>
      <c r="I356" s="0" t="n">
        <f aca="false">IF(AND(ISNUMBER(G356),ISNUMBER(H356)),G356+H356,"")</f>
        <v>1101</v>
      </c>
      <c r="J356" s="0" t="n">
        <f aca="false">RawFinancials!D356</f>
        <v>391764</v>
      </c>
      <c r="K356" s="0" t="n">
        <f aca="false">RawFinancials!F356</f>
        <v>64487</v>
      </c>
      <c r="L356" s="0" t="n">
        <f aca="false">RawFinancials!L356</f>
        <v>442476</v>
      </c>
      <c r="M356" s="0" t="n">
        <f aca="false">RawFinancials!N356</f>
        <v>376428</v>
      </c>
      <c r="N356" s="13" t="n">
        <f aca="false">RawFinancials!X356</f>
        <v>-0.199629507682116</v>
      </c>
      <c r="O356" s="13" t="n">
        <f aca="false">RawFinancials!V356</f>
        <v>21.0095810176617</v>
      </c>
      <c r="P356" s="13" t="n">
        <f aca="false">IF(AND(ISNUMBER(L356),L356&lt;&gt;0,ISNUMBER(M356)),100*M356/L356,"")</f>
        <v>85.0730887098961</v>
      </c>
      <c r="Q356" s="13" t="n">
        <f aca="false">IF(AND(ISNUMBER(F356),F356&lt;&gt;0,ISNUMBER(K356)),100*K356/F356,"")</f>
        <v>12.2735127974786</v>
      </c>
      <c r="R356" s="11" t="b">
        <f aca="false">AND(ISNUMBER(F356),F356&gt;0,ISNUMBER(G356),G356&gt;=0,ISNUMBER(H356),H356&gt;=0)</f>
        <v>1</v>
      </c>
      <c r="S356" s="13" t="n">
        <f aca="false">IF(R356,100*I356/F356,"")</f>
        <v>0.209548243677391</v>
      </c>
      <c r="T356" s="11" t="b">
        <f aca="false">NOT(AND(OR(AND(ISBLANK(RawFinancials!B356),ISBLANK(_RawBaseline!B353)),AND(ISNUMBER(RawFinancials!B356),ISNUMBER(_RawBaseline!B353),RawFinancials!B356=_RawBaseline!B353)),OR(AND(ISBLANK(RawFinancials!U356),ISBLANK(_RawBaseline!U353)),AND(ISNUMBER(RawFinancials!U356),ISNUMBER(_RawBaseline!U353),RawFinancials!U356=_RawBaseline!U353)),OR(AND(ISBLANK(RawFinancials!O356),ISBLANK(_RawBaseline!O353)),AND(ISNUMBER(RawFinancials!O356),ISNUMBER(_RawBaseline!O353),RawFinancials!O356=_RawBaseline!O353))))</f>
        <v>0</v>
      </c>
      <c r="U356" s="13" t="n">
        <f aca="false">IF(AND(D356=WF_START_PERIOD,R356,COUNTIFS($B$5:$B$750,B356,$D$5:$D$750,WF_END_PERIOD,$R$5:$R$750,TRUE())&gt;0),SUMIFS($S$5:$S$750,$B$5:$B$750,B356,$D$5:$D$750,WF_END_PERIOD,$R$5:$R$750,TRUE()),0)</f>
        <v>0</v>
      </c>
      <c r="V356" s="0" t="str">
        <f aca="false">IF(AND(D356=WF_START_PERIOD,COUNTIFS($B$5:$B$750,B356,$D$5:$D$750,WF_END_PERIOD)&gt;0),INDEX($E$5:$E$750,MATCH(B356&amp;"|"&amp;WF_END_PERIOD,$AC$5:$AC$750,0)),"")</f>
        <v/>
      </c>
      <c r="W356" s="11" t="b">
        <f aca="false">COUNTIFS($B$5:$B$750,B356,$D$5:$D$750,WF_START_PERIOD,$R$5:$R$750,TRUE())&gt;0</f>
        <v>1</v>
      </c>
      <c r="X356" s="11" t="b">
        <f aca="false">COUNTIFS($B$5:$B$750,B356,$D$5:$D$750,WF_END_PERIOD,$R$5:$R$750,TRUE())&gt;0</f>
        <v>1</v>
      </c>
      <c r="Y356" s="0" t="str">
        <f aca="false">IF(AND(D356=WF_END_PERIOD,COUNTIFS($B$5:$B$750,B356,$D$5:$D$750,WF_START_PERIOD)&gt;0),INDEX($E$5:$E$750,MATCH(B356&amp;"|"&amp;WF_START_PERIOD,$AC$5:$AC$750,0)),"")</f>
        <v/>
      </c>
      <c r="Z356" s="0" t="str">
        <f aca="false">IF(AND(D356=WF_END_PERIOD,R356),1+COUNTIFS($D$5:$D$750,WF_END_PERIOD,$E$5:$E$750,E356,$R$5:$R$750,TRUE(),$S$5:$S$750,"&gt;"&amp;S356)+COUNTIFS($D$5:$D$750,WF_END_PERIOD,$E$5:$E$750,E356,$R$5:$R$750,TRUE(),$S$5:$S$750,S356,$B$5:$B$750,"&lt;"&amp;B356),"")</f>
        <v/>
      </c>
      <c r="AA356" s="0" t="str">
        <f aca="false">IF(AND(D356=WF_END_PERIOD,R356,Z356&lt;&gt;1),1+COUNTIFS($D$5:$D$750,WF_END_PERIOD,$R$5:$R$750,TRUE(),$Z$5:$Z$750,"&lt;&gt;1",$S$5:$S$750,"&gt;"&amp;S356)+COUNTIFS($D$5:$D$750,WF_END_PERIOD,$R$5:$R$750,TRUE(),$Z$5:$Z$750,"&lt;&gt;1",$S$5:$S$750,S356,$B$5:$B$750,"&lt;"&amp;B356),"")</f>
        <v/>
      </c>
      <c r="AB356" s="11" t="b">
        <f aca="false">OR(D356=WF_START_PERIOD,D356=WF_END_PERIOD)</f>
        <v>0</v>
      </c>
      <c r="AC356" s="0" t="str">
        <f aca="false">B356&amp;"|"&amp;D356</f>
        <v>27824|20230930</v>
      </c>
    </row>
    <row r="357" customFormat="false" ht="15" hidden="false" customHeight="false" outlineLevel="0" collapsed="false">
      <c r="A357" s="0" t="n">
        <f aca="false">RawFinancials!A357</f>
        <v>354</v>
      </c>
      <c r="B357" s="0" t="n">
        <f aca="false">RawFinancials!C357</f>
        <v>28155</v>
      </c>
      <c r="C357" s="0" t="str">
        <f aca="false">RawFinancials!P357</f>
        <v>PROFILE BANK</v>
      </c>
      <c r="D357" s="0" t="n">
        <f aca="false">RawFinancials!W357</f>
        <v>20230930</v>
      </c>
      <c r="E357" s="0" t="str">
        <f aca="false">RawFinancials!Z357</f>
        <v>NH</v>
      </c>
      <c r="F357" s="0" t="n">
        <f aca="false">RawFinancials!B357</f>
        <v>298875</v>
      </c>
      <c r="G357" s="0" t="n">
        <f aca="false">RawFinancials!U357</f>
        <v>0</v>
      </c>
      <c r="H357" s="0" t="n">
        <f aca="false">RawFinancials!O357</f>
        <v>23</v>
      </c>
      <c r="I357" s="0" t="n">
        <f aca="false">IF(AND(ISNUMBER(G357),ISNUMBER(H357)),G357+H357,"")</f>
        <v>23</v>
      </c>
      <c r="J357" s="0" t="n">
        <f aca="false">RawFinancials!D357</f>
        <v>265401</v>
      </c>
      <c r="K357" s="0" t="n">
        <f aca="false">RawFinancials!F357</f>
        <v>27404</v>
      </c>
      <c r="L357" s="0" t="n">
        <f aca="false">RawFinancials!L357</f>
        <v>164361</v>
      </c>
      <c r="M357" s="0" t="n">
        <f aca="false">RawFinancials!N357</f>
        <v>146698</v>
      </c>
      <c r="N357" s="13" t="n">
        <f aca="false">RawFinancials!X357</f>
        <v>0.0370623139686274</v>
      </c>
      <c r="O357" s="13" t="n">
        <f aca="false">RawFinancials!V357</f>
        <v>18.1839172272631</v>
      </c>
      <c r="P357" s="13" t="n">
        <f aca="false">IF(AND(ISNUMBER(L357),L357&lt;&gt;0,ISNUMBER(M357)),100*M357/L357,"")</f>
        <v>89.2535333807899</v>
      </c>
      <c r="Q357" s="13" t="n">
        <f aca="false">IF(AND(ISNUMBER(F357),F357&lt;&gt;0,ISNUMBER(K357)),100*K357/F357,"")</f>
        <v>9.16905060644082</v>
      </c>
      <c r="R357" s="11" t="b">
        <f aca="false">AND(ISNUMBER(F357),F357&gt;0,ISNUMBER(G357),G357&gt;=0,ISNUMBER(H357),H357&gt;=0)</f>
        <v>1</v>
      </c>
      <c r="S357" s="13" t="n">
        <f aca="false">IF(R357,100*I357/F357,"")</f>
        <v>0.00769552488498536</v>
      </c>
      <c r="T357" s="11" t="b">
        <f aca="false">NOT(AND(OR(AND(ISBLANK(RawFinancials!B357),ISBLANK(_RawBaseline!B354)),AND(ISNUMBER(RawFinancials!B357),ISNUMBER(_RawBaseline!B354),RawFinancials!B357=_RawBaseline!B354)),OR(AND(ISBLANK(RawFinancials!U357),ISBLANK(_RawBaseline!U354)),AND(ISNUMBER(RawFinancials!U357),ISNUMBER(_RawBaseline!U354),RawFinancials!U357=_RawBaseline!U354)),OR(AND(ISBLANK(RawFinancials!O357),ISBLANK(_RawBaseline!O354)),AND(ISNUMBER(RawFinancials!O357),ISNUMBER(_RawBaseline!O354),RawFinancials!O357=_RawBaseline!O354))))</f>
        <v>0</v>
      </c>
      <c r="U357" s="13" t="n">
        <f aca="false">IF(AND(D357=WF_START_PERIOD,R357,COUNTIFS($B$5:$B$750,B357,$D$5:$D$750,WF_END_PERIOD,$R$5:$R$750,TRUE())&gt;0),SUMIFS($S$5:$S$750,$B$5:$B$750,B357,$D$5:$D$750,WF_END_PERIOD,$R$5:$R$750,TRUE()),0)</f>
        <v>0</v>
      </c>
      <c r="V357" s="0" t="str">
        <f aca="false">IF(AND(D357=WF_START_PERIOD,COUNTIFS($B$5:$B$750,B357,$D$5:$D$750,WF_END_PERIOD)&gt;0),INDEX($E$5:$E$750,MATCH(B357&amp;"|"&amp;WF_END_PERIOD,$AC$5:$AC$750,0)),"")</f>
        <v/>
      </c>
      <c r="W357" s="11" t="b">
        <f aca="false">COUNTIFS($B$5:$B$750,B357,$D$5:$D$750,WF_START_PERIOD,$R$5:$R$750,TRUE())&gt;0</f>
        <v>1</v>
      </c>
      <c r="X357" s="11" t="b">
        <f aca="false">COUNTIFS($B$5:$B$750,B357,$D$5:$D$750,WF_END_PERIOD,$R$5:$R$750,TRUE())&gt;0</f>
        <v>1</v>
      </c>
      <c r="Y357" s="0" t="str">
        <f aca="false">IF(AND(D357=WF_END_PERIOD,COUNTIFS($B$5:$B$750,B357,$D$5:$D$750,WF_START_PERIOD)&gt;0),INDEX($E$5:$E$750,MATCH(B357&amp;"|"&amp;WF_START_PERIOD,$AC$5:$AC$750,0)),"")</f>
        <v/>
      </c>
      <c r="Z357" s="0" t="str">
        <f aca="false">IF(AND(D357=WF_END_PERIOD,R357),1+COUNTIFS($D$5:$D$750,WF_END_PERIOD,$E$5:$E$750,E357,$R$5:$R$750,TRUE(),$S$5:$S$750,"&gt;"&amp;S357)+COUNTIFS($D$5:$D$750,WF_END_PERIOD,$E$5:$E$750,E357,$R$5:$R$750,TRUE(),$S$5:$S$750,S357,$B$5:$B$750,"&lt;"&amp;B357),"")</f>
        <v/>
      </c>
      <c r="AA357" s="0" t="str">
        <f aca="false">IF(AND(D357=WF_END_PERIOD,R357,Z357&lt;&gt;1),1+COUNTIFS($D$5:$D$750,WF_END_PERIOD,$R$5:$R$750,TRUE(),$Z$5:$Z$750,"&lt;&gt;1",$S$5:$S$750,"&gt;"&amp;S357)+COUNTIFS($D$5:$D$750,WF_END_PERIOD,$R$5:$R$750,TRUE(),$Z$5:$Z$750,"&lt;&gt;1",$S$5:$S$750,S357,$B$5:$B$750,"&lt;"&amp;B357),"")</f>
        <v/>
      </c>
      <c r="AB357" s="11" t="b">
        <f aca="false">OR(D357=WF_START_PERIOD,D357=WF_END_PERIOD)</f>
        <v>0</v>
      </c>
      <c r="AC357" s="0" t="str">
        <f aca="false">B357&amp;"|"&amp;D357</f>
        <v>28155|20230930</v>
      </c>
    </row>
    <row r="358" customFormat="false" ht="15" hidden="false" customHeight="false" outlineLevel="0" collapsed="false">
      <c r="A358" s="0" t="n">
        <f aca="false">RawFinancials!A358</f>
        <v>355</v>
      </c>
      <c r="B358" s="0" t="n">
        <f aca="false">RawFinancials!C358</f>
        <v>28288</v>
      </c>
      <c r="C358" s="0" t="str">
        <f aca="false">RawFinancials!P358</f>
        <v>AUBURN SAVINGS BANK, FSB</v>
      </c>
      <c r="D358" s="0" t="n">
        <f aca="false">RawFinancials!W358</f>
        <v>20230930</v>
      </c>
      <c r="E358" s="0" t="str">
        <f aca="false">RawFinancials!Z358</f>
        <v>ME</v>
      </c>
      <c r="F358" s="0" t="n">
        <f aca="false">RawFinancials!B358</f>
        <v>101273</v>
      </c>
      <c r="G358" s="0" t="n">
        <f aca="false">RawFinancials!U358</f>
        <v>0</v>
      </c>
      <c r="H358" s="0" t="n">
        <f aca="false">RawFinancials!O358</f>
        <v>264</v>
      </c>
      <c r="I358" s="0" t="n">
        <f aca="false">IF(AND(ISNUMBER(G358),ISNUMBER(H358)),G358+H358,"")</f>
        <v>264</v>
      </c>
      <c r="J358" s="0" t="n">
        <f aca="false">RawFinancials!D358</f>
        <v>77424</v>
      </c>
      <c r="K358" s="0" t="n">
        <f aca="false">RawFinancials!F358</f>
        <v>5334</v>
      </c>
      <c r="L358" s="0" t="n">
        <f aca="false">RawFinancials!L358</f>
        <v>81191</v>
      </c>
      <c r="M358" s="0" t="n">
        <f aca="false">RawFinancials!N358</f>
        <v>76188</v>
      </c>
      <c r="N358" s="13" t="n">
        <f aca="false">RawFinancials!X358</f>
        <v>-0.0352437385730335</v>
      </c>
      <c r="O358" s="13" t="n">
        <f aca="false">RawFinancials!V358</f>
        <v>13.2681105302465</v>
      </c>
      <c r="P358" s="13" t="n">
        <f aca="false">IF(AND(ISNUMBER(L358),L358&lt;&gt;0,ISNUMBER(M358)),100*M358/L358,"")</f>
        <v>93.837986968999</v>
      </c>
      <c r="Q358" s="13" t="n">
        <f aca="false">IF(AND(ISNUMBER(F358),F358&lt;&gt;0,ISNUMBER(K358)),100*K358/F358,"")</f>
        <v>5.26695170479792</v>
      </c>
      <c r="R358" s="11" t="b">
        <f aca="false">AND(ISNUMBER(F358),F358&gt;0,ISNUMBER(G358),G358&gt;=0,ISNUMBER(H358),H358&gt;=0)</f>
        <v>1</v>
      </c>
      <c r="S358" s="13" t="n">
        <f aca="false">IF(R358,100*I358/F358,"")</f>
        <v>0.260681524196973</v>
      </c>
      <c r="T358" s="11" t="b">
        <f aca="false">NOT(AND(OR(AND(ISBLANK(RawFinancials!B358),ISBLANK(_RawBaseline!B355)),AND(ISNUMBER(RawFinancials!B358),ISNUMBER(_RawBaseline!B355),RawFinancials!B358=_RawBaseline!B355)),OR(AND(ISBLANK(RawFinancials!U358),ISBLANK(_RawBaseline!U355)),AND(ISNUMBER(RawFinancials!U358),ISNUMBER(_RawBaseline!U355),RawFinancials!U358=_RawBaseline!U355)),OR(AND(ISBLANK(RawFinancials!O358),ISBLANK(_RawBaseline!O355)),AND(ISNUMBER(RawFinancials!O358),ISNUMBER(_RawBaseline!O355),RawFinancials!O358=_RawBaseline!O355))))</f>
        <v>0</v>
      </c>
      <c r="U358" s="13" t="n">
        <f aca="false">IF(AND(D358=WF_START_PERIOD,R358,COUNTIFS($B$5:$B$750,B358,$D$5:$D$750,WF_END_PERIOD,$R$5:$R$750,TRUE())&gt;0),SUMIFS($S$5:$S$750,$B$5:$B$750,B358,$D$5:$D$750,WF_END_PERIOD,$R$5:$R$750,TRUE()),0)</f>
        <v>0</v>
      </c>
      <c r="V358" s="0" t="str">
        <f aca="false">IF(AND(D358=WF_START_PERIOD,COUNTIFS($B$5:$B$750,B358,$D$5:$D$750,WF_END_PERIOD)&gt;0),INDEX($E$5:$E$750,MATCH(B358&amp;"|"&amp;WF_END_PERIOD,$AC$5:$AC$750,0)),"")</f>
        <v/>
      </c>
      <c r="W358" s="11" t="b">
        <f aca="false">COUNTIFS($B$5:$B$750,B358,$D$5:$D$750,WF_START_PERIOD,$R$5:$R$750,TRUE())&gt;0</f>
        <v>1</v>
      </c>
      <c r="X358" s="11" t="b">
        <f aca="false">COUNTIFS($B$5:$B$750,B358,$D$5:$D$750,WF_END_PERIOD,$R$5:$R$750,TRUE())&gt;0</f>
        <v>1</v>
      </c>
      <c r="Y358" s="0" t="str">
        <f aca="false">IF(AND(D358=WF_END_PERIOD,COUNTIFS($B$5:$B$750,B358,$D$5:$D$750,WF_START_PERIOD)&gt;0),INDEX($E$5:$E$750,MATCH(B358&amp;"|"&amp;WF_START_PERIOD,$AC$5:$AC$750,0)),"")</f>
        <v/>
      </c>
      <c r="Z358" s="0" t="str">
        <f aca="false">IF(AND(D358=WF_END_PERIOD,R358),1+COUNTIFS($D$5:$D$750,WF_END_PERIOD,$E$5:$E$750,E358,$R$5:$R$750,TRUE(),$S$5:$S$750,"&gt;"&amp;S358)+COUNTIFS($D$5:$D$750,WF_END_PERIOD,$E$5:$E$750,E358,$R$5:$R$750,TRUE(),$S$5:$S$750,S358,$B$5:$B$750,"&lt;"&amp;B358),"")</f>
        <v/>
      </c>
      <c r="AA358" s="0" t="str">
        <f aca="false">IF(AND(D358=WF_END_PERIOD,R358,Z358&lt;&gt;1),1+COUNTIFS($D$5:$D$750,WF_END_PERIOD,$R$5:$R$750,TRUE(),$Z$5:$Z$750,"&lt;&gt;1",$S$5:$S$750,"&gt;"&amp;S358)+COUNTIFS($D$5:$D$750,WF_END_PERIOD,$R$5:$R$750,TRUE(),$Z$5:$Z$750,"&lt;&gt;1",$S$5:$S$750,S358,$B$5:$B$750,"&lt;"&amp;B358),"")</f>
        <v/>
      </c>
      <c r="AB358" s="11" t="b">
        <f aca="false">OR(D358=WF_START_PERIOD,D358=WF_END_PERIOD)</f>
        <v>0</v>
      </c>
      <c r="AC358" s="0" t="str">
        <f aca="false">B358&amp;"|"&amp;D358</f>
        <v>28288|20230930</v>
      </c>
    </row>
    <row r="359" customFormat="false" ht="15" hidden="false" customHeight="false" outlineLevel="0" collapsed="false">
      <c r="A359" s="0" t="n">
        <f aca="false">RawFinancials!A359</f>
        <v>356</v>
      </c>
      <c r="B359" s="0" t="n">
        <f aca="false">RawFinancials!C359</f>
        <v>28369</v>
      </c>
      <c r="C359" s="0" t="str">
        <f aca="false">RawFinancials!P359</f>
        <v>ROCKLAND SAVINGS BANK, FSB</v>
      </c>
      <c r="D359" s="0" t="n">
        <f aca="false">RawFinancials!W359</f>
        <v>20230930</v>
      </c>
      <c r="E359" s="0" t="str">
        <f aca="false">RawFinancials!Z359</f>
        <v>ME</v>
      </c>
      <c r="F359" s="0" t="n">
        <f aca="false">RawFinancials!B359</f>
        <v>89908</v>
      </c>
      <c r="G359" s="0" t="n">
        <f aca="false">RawFinancials!U359</f>
        <v>0</v>
      </c>
      <c r="H359" s="0" t="n">
        <f aca="false">RawFinancials!O359</f>
        <v>225</v>
      </c>
      <c r="I359" s="0" t="n">
        <f aca="false">IF(AND(ISNUMBER(G359),ISNUMBER(H359)),G359+H359,"")</f>
        <v>225</v>
      </c>
      <c r="J359" s="0" t="n">
        <f aca="false">RawFinancials!D359</f>
        <v>79937</v>
      </c>
      <c r="K359" s="0" t="n">
        <f aca="false">RawFinancials!F359</f>
        <v>9426</v>
      </c>
      <c r="L359" s="0" t="n">
        <f aca="false">RawFinancials!L359</f>
        <v>77845</v>
      </c>
      <c r="M359" s="0" t="n">
        <f aca="false">RawFinancials!N359</f>
        <v>65337</v>
      </c>
      <c r="N359" s="13" t="n">
        <f aca="false">RawFinancials!X359</f>
        <v>-0.142809757264821</v>
      </c>
      <c r="O359" s="13" t="n">
        <f aca="false">RawFinancials!V359</f>
        <v>0</v>
      </c>
      <c r="P359" s="13" t="n">
        <f aca="false">IF(AND(ISNUMBER(L359),L359&lt;&gt;0,ISNUMBER(M359)),100*M359/L359,"")</f>
        <v>83.9321729077012</v>
      </c>
      <c r="Q359" s="13" t="n">
        <f aca="false">IF(AND(ISNUMBER(F359),F359&lt;&gt;0,ISNUMBER(K359)),100*K359/F359,"")</f>
        <v>10.4840503625929</v>
      </c>
      <c r="R359" s="11" t="b">
        <f aca="false">AND(ISNUMBER(F359),F359&gt;0,ISNUMBER(G359),G359&gt;=0,ISNUMBER(H359),H359&gt;=0)</f>
        <v>1</v>
      </c>
      <c r="S359" s="13" t="n">
        <f aca="false">IF(R359,100*I359/F359,"")</f>
        <v>0.250255817057437</v>
      </c>
      <c r="T359" s="11" t="b">
        <f aca="false">NOT(AND(OR(AND(ISBLANK(RawFinancials!B359),ISBLANK(_RawBaseline!B356)),AND(ISNUMBER(RawFinancials!B359),ISNUMBER(_RawBaseline!B356),RawFinancials!B359=_RawBaseline!B356)),OR(AND(ISBLANK(RawFinancials!U359),ISBLANK(_RawBaseline!U356)),AND(ISNUMBER(RawFinancials!U359),ISNUMBER(_RawBaseline!U356),RawFinancials!U359=_RawBaseline!U356)),OR(AND(ISBLANK(RawFinancials!O359),ISBLANK(_RawBaseline!O356)),AND(ISNUMBER(RawFinancials!O359),ISNUMBER(_RawBaseline!O356),RawFinancials!O359=_RawBaseline!O356))))</f>
        <v>0</v>
      </c>
      <c r="U359" s="13" t="n">
        <f aca="false">IF(AND(D359=WF_START_PERIOD,R359,COUNTIFS($B$5:$B$750,B359,$D$5:$D$750,WF_END_PERIOD,$R$5:$R$750,TRUE())&gt;0),SUMIFS($S$5:$S$750,$B$5:$B$750,B359,$D$5:$D$750,WF_END_PERIOD,$R$5:$R$750,TRUE()),0)</f>
        <v>0</v>
      </c>
      <c r="V359" s="0" t="str">
        <f aca="false">IF(AND(D359=WF_START_PERIOD,COUNTIFS($B$5:$B$750,B359,$D$5:$D$750,WF_END_PERIOD)&gt;0),INDEX($E$5:$E$750,MATCH(B359&amp;"|"&amp;WF_END_PERIOD,$AC$5:$AC$750,0)),"")</f>
        <v/>
      </c>
      <c r="W359" s="11" t="b">
        <f aca="false">COUNTIFS($B$5:$B$750,B359,$D$5:$D$750,WF_START_PERIOD,$R$5:$R$750,TRUE())&gt;0</f>
        <v>1</v>
      </c>
      <c r="X359" s="11" t="b">
        <f aca="false">COUNTIFS($B$5:$B$750,B359,$D$5:$D$750,WF_END_PERIOD,$R$5:$R$750,TRUE())&gt;0</f>
        <v>1</v>
      </c>
      <c r="Y359" s="0" t="str">
        <f aca="false">IF(AND(D359=WF_END_PERIOD,COUNTIFS($B$5:$B$750,B359,$D$5:$D$750,WF_START_PERIOD)&gt;0),INDEX($E$5:$E$750,MATCH(B359&amp;"|"&amp;WF_START_PERIOD,$AC$5:$AC$750,0)),"")</f>
        <v/>
      </c>
      <c r="Z359" s="0" t="str">
        <f aca="false">IF(AND(D359=WF_END_PERIOD,R359),1+COUNTIFS($D$5:$D$750,WF_END_PERIOD,$E$5:$E$750,E359,$R$5:$R$750,TRUE(),$S$5:$S$750,"&gt;"&amp;S359)+COUNTIFS($D$5:$D$750,WF_END_PERIOD,$E$5:$E$750,E359,$R$5:$R$750,TRUE(),$S$5:$S$750,S359,$B$5:$B$750,"&lt;"&amp;B359),"")</f>
        <v/>
      </c>
      <c r="AA359" s="0" t="str">
        <f aca="false">IF(AND(D359=WF_END_PERIOD,R359,Z359&lt;&gt;1),1+COUNTIFS($D$5:$D$750,WF_END_PERIOD,$R$5:$R$750,TRUE(),$Z$5:$Z$750,"&lt;&gt;1",$S$5:$S$750,"&gt;"&amp;S359)+COUNTIFS($D$5:$D$750,WF_END_PERIOD,$R$5:$R$750,TRUE(),$Z$5:$Z$750,"&lt;&gt;1",$S$5:$S$750,S359,$B$5:$B$750,"&lt;"&amp;B359),"")</f>
        <v/>
      </c>
      <c r="AB359" s="11" t="b">
        <f aca="false">OR(D359=WF_START_PERIOD,D359=WF_END_PERIOD)</f>
        <v>0</v>
      </c>
      <c r="AC359" s="0" t="str">
        <f aca="false">B359&amp;"|"&amp;D359</f>
        <v>28369|20230930</v>
      </c>
    </row>
    <row r="360" customFormat="false" ht="15" hidden="false" customHeight="false" outlineLevel="0" collapsed="false">
      <c r="A360" s="0" t="n">
        <f aca="false">RawFinancials!A360</f>
        <v>357</v>
      </c>
      <c r="B360" s="0" t="n">
        <f aca="false">RawFinancials!C360</f>
        <v>28837</v>
      </c>
      <c r="C360" s="0" t="str">
        <f aca="false">RawFinancials!P360</f>
        <v>THE BRATTLEBORO SAVINGS AND LOAN ASSOCIATION</v>
      </c>
      <c r="D360" s="0" t="n">
        <f aca="false">RawFinancials!W360</f>
        <v>20230930</v>
      </c>
      <c r="E360" s="0" t="str">
        <f aca="false">RawFinancials!Z360</f>
        <v>VT</v>
      </c>
      <c r="F360" s="0" t="n">
        <f aca="false">RawFinancials!B360</f>
        <v>282885</v>
      </c>
      <c r="G360" s="0" t="n">
        <f aca="false">RawFinancials!U360</f>
        <v>0</v>
      </c>
      <c r="H360" s="0" t="n">
        <f aca="false">RawFinancials!O360</f>
        <v>52</v>
      </c>
      <c r="I360" s="0" t="n">
        <f aca="false">IF(AND(ISNUMBER(G360),ISNUMBER(H360)),G360+H360,"")</f>
        <v>52</v>
      </c>
      <c r="J360" s="0" t="n">
        <f aca="false">RawFinancials!D360</f>
        <v>253635</v>
      </c>
      <c r="K360" s="0" t="n">
        <f aca="false">RawFinancials!F360</f>
        <v>25486</v>
      </c>
      <c r="L360" s="0" t="n">
        <f aca="false">RawFinancials!L360</f>
        <v>194257</v>
      </c>
      <c r="M360" s="0" t="n">
        <f aca="false">RawFinancials!N360</f>
        <v>185306</v>
      </c>
      <c r="N360" s="13" t="n">
        <f aca="false">RawFinancials!X360</f>
        <v>0.916700071704755</v>
      </c>
      <c r="O360" s="13" t="n">
        <f aca="false">RawFinancials!V360</f>
        <v>16.4920250160645</v>
      </c>
      <c r="P360" s="13" t="n">
        <f aca="false">IF(AND(ISNUMBER(L360),L360&lt;&gt;0,ISNUMBER(M360)),100*M360/L360,"")</f>
        <v>95.3921866393489</v>
      </c>
      <c r="Q360" s="13" t="n">
        <f aca="false">IF(AND(ISNUMBER(F360),F360&lt;&gt;0,ISNUMBER(K360)),100*K360/F360,"")</f>
        <v>9.00931473920498</v>
      </c>
      <c r="R360" s="11" t="b">
        <f aca="false">AND(ISNUMBER(F360),F360&gt;0,ISNUMBER(G360),G360&gt;=0,ISNUMBER(H360),H360&gt;=0)</f>
        <v>1</v>
      </c>
      <c r="S360" s="13" t="n">
        <f aca="false">IF(R360,100*I360/F360,"")</f>
        <v>0.0183820280325928</v>
      </c>
      <c r="T360" s="11" t="b">
        <f aca="false">NOT(AND(OR(AND(ISBLANK(RawFinancials!B360),ISBLANK(_RawBaseline!B357)),AND(ISNUMBER(RawFinancials!B360),ISNUMBER(_RawBaseline!B357),RawFinancials!B360=_RawBaseline!B357)),OR(AND(ISBLANK(RawFinancials!U360),ISBLANK(_RawBaseline!U357)),AND(ISNUMBER(RawFinancials!U360),ISNUMBER(_RawBaseline!U357),RawFinancials!U360=_RawBaseline!U357)),OR(AND(ISBLANK(RawFinancials!O360),ISBLANK(_RawBaseline!O357)),AND(ISNUMBER(RawFinancials!O360),ISNUMBER(_RawBaseline!O357),RawFinancials!O360=_RawBaseline!O357))))</f>
        <v>0</v>
      </c>
      <c r="U360" s="13" t="n">
        <f aca="false">IF(AND(D360=WF_START_PERIOD,R360,COUNTIFS($B$5:$B$750,B360,$D$5:$D$750,WF_END_PERIOD,$R$5:$R$750,TRUE())&gt;0),SUMIFS($S$5:$S$750,$B$5:$B$750,B360,$D$5:$D$750,WF_END_PERIOD,$R$5:$R$750,TRUE()),0)</f>
        <v>0</v>
      </c>
      <c r="V360" s="0" t="str">
        <f aca="false">IF(AND(D360=WF_START_PERIOD,COUNTIFS($B$5:$B$750,B360,$D$5:$D$750,WF_END_PERIOD)&gt;0),INDEX($E$5:$E$750,MATCH(B360&amp;"|"&amp;WF_END_PERIOD,$AC$5:$AC$750,0)),"")</f>
        <v/>
      </c>
      <c r="W360" s="11" t="b">
        <f aca="false">COUNTIFS($B$5:$B$750,B360,$D$5:$D$750,WF_START_PERIOD,$R$5:$R$750,TRUE())&gt;0</f>
        <v>1</v>
      </c>
      <c r="X360" s="11" t="b">
        <f aca="false">COUNTIFS($B$5:$B$750,B360,$D$5:$D$750,WF_END_PERIOD,$R$5:$R$750,TRUE())&gt;0</f>
        <v>1</v>
      </c>
      <c r="Y360" s="0" t="str">
        <f aca="false">IF(AND(D360=WF_END_PERIOD,COUNTIFS($B$5:$B$750,B360,$D$5:$D$750,WF_START_PERIOD)&gt;0),INDEX($E$5:$E$750,MATCH(B360&amp;"|"&amp;WF_START_PERIOD,$AC$5:$AC$750,0)),"")</f>
        <v/>
      </c>
      <c r="Z360" s="0" t="str">
        <f aca="false">IF(AND(D360=WF_END_PERIOD,R360),1+COUNTIFS($D$5:$D$750,WF_END_PERIOD,$E$5:$E$750,E360,$R$5:$R$750,TRUE(),$S$5:$S$750,"&gt;"&amp;S360)+COUNTIFS($D$5:$D$750,WF_END_PERIOD,$E$5:$E$750,E360,$R$5:$R$750,TRUE(),$S$5:$S$750,S360,$B$5:$B$750,"&lt;"&amp;B360),"")</f>
        <v/>
      </c>
      <c r="AA360" s="0" t="str">
        <f aca="false">IF(AND(D360=WF_END_PERIOD,R360,Z360&lt;&gt;1),1+COUNTIFS($D$5:$D$750,WF_END_PERIOD,$R$5:$R$750,TRUE(),$Z$5:$Z$750,"&lt;&gt;1",$S$5:$S$750,"&gt;"&amp;S360)+COUNTIFS($D$5:$D$750,WF_END_PERIOD,$R$5:$R$750,TRUE(),$Z$5:$Z$750,"&lt;&gt;1",$S$5:$S$750,S360,$B$5:$B$750,"&lt;"&amp;B360),"")</f>
        <v/>
      </c>
      <c r="AB360" s="11" t="b">
        <f aca="false">OR(D360=WF_START_PERIOD,D360=WF_END_PERIOD)</f>
        <v>0</v>
      </c>
      <c r="AC360" s="0" t="str">
        <f aca="false">B360&amp;"|"&amp;D360</f>
        <v>28837|20230930</v>
      </c>
    </row>
    <row r="361" customFormat="false" ht="15" hidden="false" customHeight="false" outlineLevel="0" collapsed="false">
      <c r="A361" s="0" t="n">
        <f aca="false">RawFinancials!A361</f>
        <v>358</v>
      </c>
      <c r="B361" s="0" t="n">
        <f aca="false">RawFinancials!C361</f>
        <v>29636</v>
      </c>
      <c r="C361" s="0" t="str">
        <f aca="false">RawFinancials!P361</f>
        <v>FIRST FEDERAL SAVINGS AND LOAN ASSOCIATION OF BATH</v>
      </c>
      <c r="D361" s="0" t="n">
        <f aca="false">RawFinancials!W361</f>
        <v>20230930</v>
      </c>
      <c r="E361" s="0" t="str">
        <f aca="false">RawFinancials!Z361</f>
        <v>ME</v>
      </c>
      <c r="F361" s="0" t="n">
        <f aca="false">RawFinancials!B361</f>
        <v>180600</v>
      </c>
      <c r="G361" s="0" t="n">
        <f aca="false">RawFinancials!U361</f>
        <v>0</v>
      </c>
      <c r="H361" s="0" t="n">
        <f aca="false">RawFinancials!O361</f>
        <v>1460</v>
      </c>
      <c r="I361" s="0" t="n">
        <f aca="false">IF(AND(ISNUMBER(G361),ISNUMBER(H361)),G361+H361,"")</f>
        <v>1460</v>
      </c>
      <c r="J361" s="0" t="n">
        <f aca="false">RawFinancials!D361</f>
        <v>148201</v>
      </c>
      <c r="K361" s="0" t="n">
        <f aca="false">RawFinancials!F361</f>
        <v>24993</v>
      </c>
      <c r="L361" s="0" t="n">
        <f aca="false">RawFinancials!L361</f>
        <v>132430</v>
      </c>
      <c r="M361" s="0" t="n">
        <f aca="false">RawFinancials!N361</f>
        <v>129022</v>
      </c>
      <c r="N361" s="13" t="n">
        <f aca="false">RawFinancials!X361</f>
        <v>0.435888648144593</v>
      </c>
      <c r="O361" s="13" t="n">
        <f aca="false">RawFinancials!V361</f>
        <v>26.9099099993054</v>
      </c>
      <c r="P361" s="13" t="n">
        <f aca="false">IF(AND(ISNUMBER(L361),L361&lt;&gt;0,ISNUMBER(M361)),100*M361/L361,"")</f>
        <v>97.4265649777241</v>
      </c>
      <c r="Q361" s="13" t="n">
        <f aca="false">IF(AND(ISNUMBER(F361),F361&lt;&gt;0,ISNUMBER(K361)),100*K361/F361,"")</f>
        <v>13.8388704318937</v>
      </c>
      <c r="R361" s="11" t="b">
        <f aca="false">AND(ISNUMBER(F361),F361&gt;0,ISNUMBER(G361),G361&gt;=0,ISNUMBER(H361),H361&gt;=0)</f>
        <v>1</v>
      </c>
      <c r="S361" s="13" t="n">
        <f aca="false">IF(R361,100*I361/F361,"")</f>
        <v>0.808416389811739</v>
      </c>
      <c r="T361" s="11" t="b">
        <f aca="false">NOT(AND(OR(AND(ISBLANK(RawFinancials!B361),ISBLANK(_RawBaseline!B358)),AND(ISNUMBER(RawFinancials!B361),ISNUMBER(_RawBaseline!B358),RawFinancials!B361=_RawBaseline!B358)),OR(AND(ISBLANK(RawFinancials!U361),ISBLANK(_RawBaseline!U358)),AND(ISNUMBER(RawFinancials!U361),ISNUMBER(_RawBaseline!U358),RawFinancials!U361=_RawBaseline!U358)),OR(AND(ISBLANK(RawFinancials!O361),ISBLANK(_RawBaseline!O358)),AND(ISNUMBER(RawFinancials!O361),ISNUMBER(_RawBaseline!O358),RawFinancials!O361=_RawBaseline!O358))))</f>
        <v>0</v>
      </c>
      <c r="U361" s="13" t="n">
        <f aca="false">IF(AND(D361=WF_START_PERIOD,R361,COUNTIFS($B$5:$B$750,B361,$D$5:$D$750,WF_END_PERIOD,$R$5:$R$750,TRUE())&gt;0),SUMIFS($S$5:$S$750,$B$5:$B$750,B361,$D$5:$D$750,WF_END_PERIOD,$R$5:$R$750,TRUE()),0)</f>
        <v>0</v>
      </c>
      <c r="V361" s="0" t="str">
        <f aca="false">IF(AND(D361=WF_START_PERIOD,COUNTIFS($B$5:$B$750,B361,$D$5:$D$750,WF_END_PERIOD)&gt;0),INDEX($E$5:$E$750,MATCH(B361&amp;"|"&amp;WF_END_PERIOD,$AC$5:$AC$750,0)),"")</f>
        <v/>
      </c>
      <c r="W361" s="11" t="b">
        <f aca="false">COUNTIFS($B$5:$B$750,B361,$D$5:$D$750,WF_START_PERIOD,$R$5:$R$750,TRUE())&gt;0</f>
        <v>1</v>
      </c>
      <c r="X361" s="11" t="b">
        <f aca="false">COUNTIFS($B$5:$B$750,B361,$D$5:$D$750,WF_END_PERIOD,$R$5:$R$750,TRUE())&gt;0</f>
        <v>1</v>
      </c>
      <c r="Y361" s="0" t="str">
        <f aca="false">IF(AND(D361=WF_END_PERIOD,COUNTIFS($B$5:$B$750,B361,$D$5:$D$750,WF_START_PERIOD)&gt;0),INDEX($E$5:$E$750,MATCH(B361&amp;"|"&amp;WF_START_PERIOD,$AC$5:$AC$750,0)),"")</f>
        <v/>
      </c>
      <c r="Z361" s="0" t="str">
        <f aca="false">IF(AND(D361=WF_END_PERIOD,R361),1+COUNTIFS($D$5:$D$750,WF_END_PERIOD,$E$5:$E$750,E361,$R$5:$R$750,TRUE(),$S$5:$S$750,"&gt;"&amp;S361)+COUNTIFS($D$5:$D$750,WF_END_PERIOD,$E$5:$E$750,E361,$R$5:$R$750,TRUE(),$S$5:$S$750,S361,$B$5:$B$750,"&lt;"&amp;B361),"")</f>
        <v/>
      </c>
      <c r="AA361" s="0" t="str">
        <f aca="false">IF(AND(D361=WF_END_PERIOD,R361,Z361&lt;&gt;1),1+COUNTIFS($D$5:$D$750,WF_END_PERIOD,$R$5:$R$750,TRUE(),$Z$5:$Z$750,"&lt;&gt;1",$S$5:$S$750,"&gt;"&amp;S361)+COUNTIFS($D$5:$D$750,WF_END_PERIOD,$R$5:$R$750,TRUE(),$Z$5:$Z$750,"&lt;&gt;1",$S$5:$S$750,S361,$B$5:$B$750,"&lt;"&amp;B361),"")</f>
        <v/>
      </c>
      <c r="AB361" s="11" t="b">
        <f aca="false">OR(D361=WF_START_PERIOD,D361=WF_END_PERIOD)</f>
        <v>0</v>
      </c>
      <c r="AC361" s="0" t="str">
        <f aca="false">B361&amp;"|"&amp;D361</f>
        <v>29636|20230930</v>
      </c>
    </row>
    <row r="362" customFormat="false" ht="15" hidden="false" customHeight="false" outlineLevel="0" collapsed="false">
      <c r="A362" s="0" t="n">
        <f aca="false">RawFinancials!A362</f>
        <v>359</v>
      </c>
      <c r="B362" s="0" t="n">
        <f aca="false">RawFinancials!C362</f>
        <v>29743</v>
      </c>
      <c r="C362" s="0" t="str">
        <f aca="false">RawFinancials!P362</f>
        <v>AROOSTOOK COUNTY FEDERAL SAVINGS AND LOAN ASSOCIATION</v>
      </c>
      <c r="D362" s="0" t="n">
        <f aca="false">RawFinancials!W362</f>
        <v>20230930</v>
      </c>
      <c r="E362" s="0" t="str">
        <f aca="false">RawFinancials!Z362</f>
        <v>ME</v>
      </c>
      <c r="F362" s="0" t="n">
        <f aca="false">RawFinancials!B362</f>
        <v>181231</v>
      </c>
      <c r="G362" s="0" t="n">
        <f aca="false">RawFinancials!U362</f>
        <v>0</v>
      </c>
      <c r="H362" s="0" t="n">
        <f aca="false">RawFinancials!O362</f>
        <v>267</v>
      </c>
      <c r="I362" s="0" t="n">
        <f aca="false">IF(AND(ISNUMBER(G362),ISNUMBER(H362)),G362+H362,"")</f>
        <v>267</v>
      </c>
      <c r="J362" s="0" t="n">
        <f aca="false">RawFinancials!D362</f>
        <v>161163</v>
      </c>
      <c r="K362" s="0" t="n">
        <f aca="false">RawFinancials!F362</f>
        <v>15641</v>
      </c>
      <c r="L362" s="0" t="n">
        <f aca="false">RawFinancials!L362</f>
        <v>132637</v>
      </c>
      <c r="M362" s="0" t="n">
        <f aca="false">RawFinancials!N362</f>
        <v>83811</v>
      </c>
      <c r="N362" s="13" t="n">
        <f aca="false">RawFinancials!X362</f>
        <v>0.609728796923956</v>
      </c>
      <c r="O362" s="13" t="n">
        <f aca="false">RawFinancials!V362</f>
        <v>17.9771689497717</v>
      </c>
      <c r="P362" s="13" t="n">
        <f aca="false">IF(AND(ISNUMBER(L362),L362&lt;&gt;0,ISNUMBER(M362)),100*M362/L362,"")</f>
        <v>63.188250638962</v>
      </c>
      <c r="Q362" s="13" t="n">
        <f aca="false">IF(AND(ISNUMBER(F362),F362&lt;&gt;0,ISNUMBER(K362)),100*K362/F362,"")</f>
        <v>8.63042194768003</v>
      </c>
      <c r="R362" s="11" t="b">
        <f aca="false">AND(ISNUMBER(F362),F362&gt;0,ISNUMBER(G362),G362&gt;=0,ISNUMBER(H362),H362&gt;=0)</f>
        <v>1</v>
      </c>
      <c r="S362" s="13" t="n">
        <f aca="false">IF(R362,100*I362/F362,"")</f>
        <v>0.147325788634395</v>
      </c>
      <c r="T362" s="11" t="b">
        <f aca="false">NOT(AND(OR(AND(ISBLANK(RawFinancials!B362),ISBLANK(_RawBaseline!B359)),AND(ISNUMBER(RawFinancials!B362),ISNUMBER(_RawBaseline!B359),RawFinancials!B362=_RawBaseline!B359)),OR(AND(ISBLANK(RawFinancials!U362),ISBLANK(_RawBaseline!U359)),AND(ISNUMBER(RawFinancials!U362),ISNUMBER(_RawBaseline!U359),RawFinancials!U362=_RawBaseline!U359)),OR(AND(ISBLANK(RawFinancials!O362),ISBLANK(_RawBaseline!O359)),AND(ISNUMBER(RawFinancials!O362),ISNUMBER(_RawBaseline!O359),RawFinancials!O362=_RawBaseline!O359))))</f>
        <v>0</v>
      </c>
      <c r="U362" s="13" t="n">
        <f aca="false">IF(AND(D362=WF_START_PERIOD,R362,COUNTIFS($B$5:$B$750,B362,$D$5:$D$750,WF_END_PERIOD,$R$5:$R$750,TRUE())&gt;0),SUMIFS($S$5:$S$750,$B$5:$B$750,B362,$D$5:$D$750,WF_END_PERIOD,$R$5:$R$750,TRUE()),0)</f>
        <v>0</v>
      </c>
      <c r="V362" s="0" t="str">
        <f aca="false">IF(AND(D362=WF_START_PERIOD,COUNTIFS($B$5:$B$750,B362,$D$5:$D$750,WF_END_PERIOD)&gt;0),INDEX($E$5:$E$750,MATCH(B362&amp;"|"&amp;WF_END_PERIOD,$AC$5:$AC$750,0)),"")</f>
        <v/>
      </c>
      <c r="W362" s="11" t="b">
        <f aca="false">COUNTIFS($B$5:$B$750,B362,$D$5:$D$750,WF_START_PERIOD,$R$5:$R$750,TRUE())&gt;0</f>
        <v>1</v>
      </c>
      <c r="X362" s="11" t="b">
        <f aca="false">COUNTIFS($B$5:$B$750,B362,$D$5:$D$750,WF_END_PERIOD,$R$5:$R$750,TRUE())&gt;0</f>
        <v>1</v>
      </c>
      <c r="Y362" s="0" t="str">
        <f aca="false">IF(AND(D362=WF_END_PERIOD,COUNTIFS($B$5:$B$750,B362,$D$5:$D$750,WF_START_PERIOD)&gt;0),INDEX($E$5:$E$750,MATCH(B362&amp;"|"&amp;WF_START_PERIOD,$AC$5:$AC$750,0)),"")</f>
        <v/>
      </c>
      <c r="Z362" s="0" t="str">
        <f aca="false">IF(AND(D362=WF_END_PERIOD,R362),1+COUNTIFS($D$5:$D$750,WF_END_PERIOD,$E$5:$E$750,E362,$R$5:$R$750,TRUE(),$S$5:$S$750,"&gt;"&amp;S362)+COUNTIFS($D$5:$D$750,WF_END_PERIOD,$E$5:$E$750,E362,$R$5:$R$750,TRUE(),$S$5:$S$750,S362,$B$5:$B$750,"&lt;"&amp;B362),"")</f>
        <v/>
      </c>
      <c r="AA362" s="0" t="str">
        <f aca="false">IF(AND(D362=WF_END_PERIOD,R362,Z362&lt;&gt;1),1+COUNTIFS($D$5:$D$750,WF_END_PERIOD,$R$5:$R$750,TRUE(),$Z$5:$Z$750,"&lt;&gt;1",$S$5:$S$750,"&gt;"&amp;S362)+COUNTIFS($D$5:$D$750,WF_END_PERIOD,$R$5:$R$750,TRUE(),$Z$5:$Z$750,"&lt;&gt;1",$S$5:$S$750,S362,$B$5:$B$750,"&lt;"&amp;B362),"")</f>
        <v/>
      </c>
      <c r="AB362" s="11" t="b">
        <f aca="false">OR(D362=WF_START_PERIOD,D362=WF_END_PERIOD)</f>
        <v>0</v>
      </c>
      <c r="AC362" s="0" t="str">
        <f aca="false">B362&amp;"|"&amp;D362</f>
        <v>29743|20230930</v>
      </c>
    </row>
    <row r="363" customFormat="false" ht="15" hidden="false" customHeight="false" outlineLevel="0" collapsed="false">
      <c r="A363" s="0" t="n">
        <f aca="false">RawFinancials!A363</f>
        <v>360</v>
      </c>
      <c r="B363" s="0" t="n">
        <f aca="false">RawFinancials!C363</f>
        <v>29744</v>
      </c>
      <c r="C363" s="0" t="str">
        <f aca="false">RawFinancials!P363</f>
        <v>FIRST SEACOAST BANK</v>
      </c>
      <c r="D363" s="0" t="n">
        <f aca="false">RawFinancials!W363</f>
        <v>20230930</v>
      </c>
      <c r="E363" s="0" t="str">
        <f aca="false">RawFinancials!Z363</f>
        <v>NH</v>
      </c>
      <c r="F363" s="0" t="n">
        <f aca="false">RawFinancials!B363</f>
        <v>556748</v>
      </c>
      <c r="G363" s="0" t="n">
        <f aca="false">RawFinancials!U363</f>
        <v>0</v>
      </c>
      <c r="H363" s="0" t="n">
        <f aca="false">RawFinancials!O363</f>
        <v>0</v>
      </c>
      <c r="I363" s="0" t="n">
        <f aca="false">IF(AND(ISNUMBER(G363),ISNUMBER(H363)),G363+H363,"")</f>
        <v>0</v>
      </c>
      <c r="J363" s="0" t="n">
        <f aca="false">RawFinancials!D363</f>
        <v>435499</v>
      </c>
      <c r="K363" s="0" t="n">
        <f aca="false">RawFinancials!F363</f>
        <v>47207</v>
      </c>
      <c r="L363" s="0" t="n">
        <f aca="false">RawFinancials!L363</f>
        <v>427991</v>
      </c>
      <c r="M363" s="0" t="n">
        <f aca="false">RawFinancials!N363</f>
        <v>393303</v>
      </c>
      <c r="N363" s="13" t="n">
        <f aca="false">RawFinancials!X363</f>
        <v>-0.23978915883559</v>
      </c>
      <c r="O363" s="13" t="n">
        <f aca="false">RawFinancials!V363</f>
        <v>17.9248565206076</v>
      </c>
      <c r="P363" s="13" t="n">
        <f aca="false">IF(AND(ISNUMBER(L363),L363&lt;&gt;0,ISNUMBER(M363)),100*M363/L363,"")</f>
        <v>91.8951566738553</v>
      </c>
      <c r="Q363" s="13" t="n">
        <f aca="false">IF(AND(ISNUMBER(F363),F363&lt;&gt;0,ISNUMBER(K363)),100*K363/F363,"")</f>
        <v>8.4790605444474</v>
      </c>
      <c r="R363" s="11" t="b">
        <f aca="false">AND(ISNUMBER(F363),F363&gt;0,ISNUMBER(G363),G363&gt;=0,ISNUMBER(H363),H363&gt;=0)</f>
        <v>1</v>
      </c>
      <c r="S363" s="13" t="n">
        <f aca="false">IF(R363,100*I363/F363,"")</f>
        <v>0</v>
      </c>
      <c r="T363" s="11" t="b">
        <f aca="false">NOT(AND(OR(AND(ISBLANK(RawFinancials!B363),ISBLANK(_RawBaseline!B360)),AND(ISNUMBER(RawFinancials!B363),ISNUMBER(_RawBaseline!B360),RawFinancials!B363=_RawBaseline!B360)),OR(AND(ISBLANK(RawFinancials!U363),ISBLANK(_RawBaseline!U360)),AND(ISNUMBER(RawFinancials!U363),ISNUMBER(_RawBaseline!U360),RawFinancials!U363=_RawBaseline!U360)),OR(AND(ISBLANK(RawFinancials!O363),ISBLANK(_RawBaseline!O360)),AND(ISNUMBER(RawFinancials!O363),ISNUMBER(_RawBaseline!O360),RawFinancials!O363=_RawBaseline!O360))))</f>
        <v>0</v>
      </c>
      <c r="U363" s="13" t="n">
        <f aca="false">IF(AND(D363=WF_START_PERIOD,R363,COUNTIFS($B$5:$B$750,B363,$D$5:$D$750,WF_END_PERIOD,$R$5:$R$750,TRUE())&gt;0),SUMIFS($S$5:$S$750,$B$5:$B$750,B363,$D$5:$D$750,WF_END_PERIOD,$R$5:$R$750,TRUE()),0)</f>
        <v>0</v>
      </c>
      <c r="V363" s="0" t="str">
        <f aca="false">IF(AND(D363=WF_START_PERIOD,COUNTIFS($B$5:$B$750,B363,$D$5:$D$750,WF_END_PERIOD)&gt;0),INDEX($E$5:$E$750,MATCH(B363&amp;"|"&amp;WF_END_PERIOD,$AC$5:$AC$750,0)),"")</f>
        <v/>
      </c>
      <c r="W363" s="11" t="b">
        <f aca="false">COUNTIFS($B$5:$B$750,B363,$D$5:$D$750,WF_START_PERIOD,$R$5:$R$750,TRUE())&gt;0</f>
        <v>1</v>
      </c>
      <c r="X363" s="11" t="b">
        <f aca="false">COUNTIFS($B$5:$B$750,B363,$D$5:$D$750,WF_END_PERIOD,$R$5:$R$750,TRUE())&gt;0</f>
        <v>1</v>
      </c>
      <c r="Y363" s="0" t="str">
        <f aca="false">IF(AND(D363=WF_END_PERIOD,COUNTIFS($B$5:$B$750,B363,$D$5:$D$750,WF_START_PERIOD)&gt;0),INDEX($E$5:$E$750,MATCH(B363&amp;"|"&amp;WF_START_PERIOD,$AC$5:$AC$750,0)),"")</f>
        <v/>
      </c>
      <c r="Z363" s="0" t="str">
        <f aca="false">IF(AND(D363=WF_END_PERIOD,R363),1+COUNTIFS($D$5:$D$750,WF_END_PERIOD,$E$5:$E$750,E363,$R$5:$R$750,TRUE(),$S$5:$S$750,"&gt;"&amp;S363)+COUNTIFS($D$5:$D$750,WF_END_PERIOD,$E$5:$E$750,E363,$R$5:$R$750,TRUE(),$S$5:$S$750,S363,$B$5:$B$750,"&lt;"&amp;B363),"")</f>
        <v/>
      </c>
      <c r="AA363" s="0" t="str">
        <f aca="false">IF(AND(D363=WF_END_PERIOD,R363,Z363&lt;&gt;1),1+COUNTIFS($D$5:$D$750,WF_END_PERIOD,$R$5:$R$750,TRUE(),$Z$5:$Z$750,"&lt;&gt;1",$S$5:$S$750,"&gt;"&amp;S363)+COUNTIFS($D$5:$D$750,WF_END_PERIOD,$R$5:$R$750,TRUE(),$Z$5:$Z$750,"&lt;&gt;1",$S$5:$S$750,S363,$B$5:$B$750,"&lt;"&amp;B363),"")</f>
        <v/>
      </c>
      <c r="AB363" s="11" t="b">
        <f aca="false">OR(D363=WF_START_PERIOD,D363=WF_END_PERIOD)</f>
        <v>0</v>
      </c>
      <c r="AC363" s="0" t="str">
        <f aca="false">B363&amp;"|"&amp;D363</f>
        <v>29744|20230930</v>
      </c>
    </row>
    <row r="364" customFormat="false" ht="15" hidden="false" customHeight="false" outlineLevel="0" collapsed="false">
      <c r="A364" s="0" t="n">
        <f aca="false">RawFinancials!A364</f>
        <v>361</v>
      </c>
      <c r="B364" s="0" t="n">
        <f aca="false">RawFinancials!C364</f>
        <v>30350</v>
      </c>
      <c r="C364" s="0" t="str">
        <f aca="false">RawFinancials!P364</f>
        <v>THE BANK OF BENNINGTON</v>
      </c>
      <c r="D364" s="0" t="n">
        <f aca="false">RawFinancials!W364</f>
        <v>20230930</v>
      </c>
      <c r="E364" s="0" t="str">
        <f aca="false">RawFinancials!Z364</f>
        <v>VT</v>
      </c>
      <c r="F364" s="0" t="n">
        <f aca="false">RawFinancials!B364</f>
        <v>558317</v>
      </c>
      <c r="G364" s="0" t="n">
        <f aca="false">RawFinancials!U364</f>
        <v>0</v>
      </c>
      <c r="H364" s="0" t="n">
        <f aca="false">RawFinancials!O364</f>
        <v>1501</v>
      </c>
      <c r="I364" s="0" t="n">
        <f aca="false">IF(AND(ISNUMBER(G364),ISNUMBER(H364)),G364+H364,"")</f>
        <v>1501</v>
      </c>
      <c r="J364" s="0" t="n">
        <f aca="false">RawFinancials!D364</f>
        <v>447436</v>
      </c>
      <c r="K364" s="0" t="n">
        <f aca="false">RawFinancials!F364</f>
        <v>53432</v>
      </c>
      <c r="L364" s="0" t="n">
        <f aca="false">RawFinancials!L364</f>
        <v>405415</v>
      </c>
      <c r="M364" s="0" t="n">
        <f aca="false">RawFinancials!N364</f>
        <v>383676</v>
      </c>
      <c r="N364" s="13" t="n">
        <f aca="false">RawFinancials!X364</f>
        <v>0.68917419304188</v>
      </c>
      <c r="O364" s="13" t="n">
        <f aca="false">RawFinancials!V364</f>
        <v>20.0620932556609</v>
      </c>
      <c r="P364" s="13" t="n">
        <f aca="false">IF(AND(ISNUMBER(L364),L364&lt;&gt;0,ISNUMBER(M364)),100*M364/L364,"")</f>
        <v>94.637840237781</v>
      </c>
      <c r="Q364" s="13" t="n">
        <f aca="false">IF(AND(ISNUMBER(F364),F364&lt;&gt;0,ISNUMBER(K364)),100*K364/F364,"")</f>
        <v>9.5701904115404</v>
      </c>
      <c r="R364" s="11" t="b">
        <f aca="false">AND(ISNUMBER(F364),F364&gt;0,ISNUMBER(G364),G364&gt;=0,ISNUMBER(H364),H364&gt;=0)</f>
        <v>1</v>
      </c>
      <c r="S364" s="13" t="n">
        <f aca="false">IF(R364,100*I364/F364,"")</f>
        <v>0.268843685576474</v>
      </c>
      <c r="T364" s="11" t="b">
        <f aca="false">NOT(AND(OR(AND(ISBLANK(RawFinancials!B364),ISBLANK(_RawBaseline!B361)),AND(ISNUMBER(RawFinancials!B364),ISNUMBER(_RawBaseline!B361),RawFinancials!B364=_RawBaseline!B361)),OR(AND(ISBLANK(RawFinancials!U364),ISBLANK(_RawBaseline!U361)),AND(ISNUMBER(RawFinancials!U364),ISNUMBER(_RawBaseline!U361),RawFinancials!U364=_RawBaseline!U361)),OR(AND(ISBLANK(RawFinancials!O364),ISBLANK(_RawBaseline!O361)),AND(ISNUMBER(RawFinancials!O364),ISNUMBER(_RawBaseline!O361),RawFinancials!O364=_RawBaseline!O361))))</f>
        <v>0</v>
      </c>
      <c r="U364" s="13" t="n">
        <f aca="false">IF(AND(D364=WF_START_PERIOD,R364,COUNTIFS($B$5:$B$750,B364,$D$5:$D$750,WF_END_PERIOD,$R$5:$R$750,TRUE())&gt;0),SUMIFS($S$5:$S$750,$B$5:$B$750,B364,$D$5:$D$750,WF_END_PERIOD,$R$5:$R$750,TRUE()),0)</f>
        <v>0</v>
      </c>
      <c r="V364" s="0" t="str">
        <f aca="false">IF(AND(D364=WF_START_PERIOD,COUNTIFS($B$5:$B$750,B364,$D$5:$D$750,WF_END_PERIOD)&gt;0),INDEX($E$5:$E$750,MATCH(B364&amp;"|"&amp;WF_END_PERIOD,$AC$5:$AC$750,0)),"")</f>
        <v/>
      </c>
      <c r="W364" s="11" t="b">
        <f aca="false">COUNTIFS($B$5:$B$750,B364,$D$5:$D$750,WF_START_PERIOD,$R$5:$R$750,TRUE())&gt;0</f>
        <v>1</v>
      </c>
      <c r="X364" s="11" t="b">
        <f aca="false">COUNTIFS($B$5:$B$750,B364,$D$5:$D$750,WF_END_PERIOD,$R$5:$R$750,TRUE())&gt;0</f>
        <v>1</v>
      </c>
      <c r="Y364" s="0" t="str">
        <f aca="false">IF(AND(D364=WF_END_PERIOD,COUNTIFS($B$5:$B$750,B364,$D$5:$D$750,WF_START_PERIOD)&gt;0),INDEX($E$5:$E$750,MATCH(B364&amp;"|"&amp;WF_START_PERIOD,$AC$5:$AC$750,0)),"")</f>
        <v/>
      </c>
      <c r="Z364" s="0" t="str">
        <f aca="false">IF(AND(D364=WF_END_PERIOD,R364),1+COUNTIFS($D$5:$D$750,WF_END_PERIOD,$E$5:$E$750,E364,$R$5:$R$750,TRUE(),$S$5:$S$750,"&gt;"&amp;S364)+COUNTIFS($D$5:$D$750,WF_END_PERIOD,$E$5:$E$750,E364,$R$5:$R$750,TRUE(),$S$5:$S$750,S364,$B$5:$B$750,"&lt;"&amp;B364),"")</f>
        <v/>
      </c>
      <c r="AA364" s="0" t="str">
        <f aca="false">IF(AND(D364=WF_END_PERIOD,R364,Z364&lt;&gt;1),1+COUNTIFS($D$5:$D$750,WF_END_PERIOD,$R$5:$R$750,TRUE(),$Z$5:$Z$750,"&lt;&gt;1",$S$5:$S$750,"&gt;"&amp;S364)+COUNTIFS($D$5:$D$750,WF_END_PERIOD,$R$5:$R$750,TRUE(),$Z$5:$Z$750,"&lt;&gt;1",$S$5:$S$750,S364,$B$5:$B$750,"&lt;"&amp;B364),"")</f>
        <v/>
      </c>
      <c r="AB364" s="11" t="b">
        <f aca="false">OR(D364=WF_START_PERIOD,D364=WF_END_PERIOD)</f>
        <v>0</v>
      </c>
      <c r="AC364" s="0" t="str">
        <f aca="false">B364&amp;"|"&amp;D364</f>
        <v>30350|20230930</v>
      </c>
    </row>
    <row r="365" customFormat="false" ht="15" hidden="false" customHeight="false" outlineLevel="0" collapsed="false">
      <c r="A365" s="0" t="n">
        <f aca="false">RawFinancials!A365</f>
        <v>362</v>
      </c>
      <c r="B365" s="0" t="n">
        <f aca="false">RawFinancials!C365</f>
        <v>30878</v>
      </c>
      <c r="C365" s="0" t="str">
        <f aca="false">RawFinancials!P365</f>
        <v>BAR HARBOR SAVINGS AND LOAN ASSOCIATION</v>
      </c>
      <c r="D365" s="0" t="n">
        <f aca="false">RawFinancials!W365</f>
        <v>20230930</v>
      </c>
      <c r="E365" s="0" t="str">
        <f aca="false">RawFinancials!Z365</f>
        <v>ME</v>
      </c>
      <c r="F365" s="0" t="n">
        <f aca="false">RawFinancials!B365</f>
        <v>103998</v>
      </c>
      <c r="G365" s="0" t="n">
        <f aca="false">RawFinancials!U365</f>
        <v>0</v>
      </c>
      <c r="H365" s="0" t="n">
        <f aca="false">RawFinancials!O365</f>
        <v>700</v>
      </c>
      <c r="I365" s="0" t="n">
        <f aca="false">IF(AND(ISNUMBER(G365),ISNUMBER(H365)),G365+H365,"")</f>
        <v>700</v>
      </c>
      <c r="J365" s="0" t="n">
        <f aca="false">RawFinancials!D365</f>
        <v>73816</v>
      </c>
      <c r="K365" s="0" t="n">
        <f aca="false">RawFinancials!F365</f>
        <v>12376</v>
      </c>
      <c r="L365" s="0" t="n">
        <f aca="false">RawFinancials!L365</f>
        <v>86316</v>
      </c>
      <c r="M365" s="0" t="n">
        <f aca="false">RawFinancials!N365</f>
        <v>86120</v>
      </c>
      <c r="N365" s="13" t="n">
        <f aca="false">RawFinancials!X365</f>
        <v>-0.189389204545455</v>
      </c>
      <c r="O365" s="13" t="n">
        <f aca="false">RawFinancials!V365</f>
        <v>0</v>
      </c>
      <c r="P365" s="13" t="n">
        <f aca="false">IF(AND(ISNUMBER(L365),L365&lt;&gt;0,ISNUMBER(M365)),100*M365/L365,"")</f>
        <v>99.772927383104</v>
      </c>
      <c r="Q365" s="13" t="n">
        <f aca="false">IF(AND(ISNUMBER(F365),F365&lt;&gt;0,ISNUMBER(K365)),100*K365/F365,"")</f>
        <v>11.9002288505548</v>
      </c>
      <c r="R365" s="11" t="b">
        <f aca="false">AND(ISNUMBER(F365),F365&gt;0,ISNUMBER(G365),G365&gt;=0,ISNUMBER(H365),H365&gt;=0)</f>
        <v>1</v>
      </c>
      <c r="S365" s="13" t="n">
        <f aca="false">IF(R365,100*I365/F365,"")</f>
        <v>0.673089867112829</v>
      </c>
      <c r="T365" s="11" t="b">
        <f aca="false">NOT(AND(OR(AND(ISBLANK(RawFinancials!B365),ISBLANK(_RawBaseline!B362)),AND(ISNUMBER(RawFinancials!B365),ISNUMBER(_RawBaseline!B362),RawFinancials!B365=_RawBaseline!B362)),OR(AND(ISBLANK(RawFinancials!U365),ISBLANK(_RawBaseline!U362)),AND(ISNUMBER(RawFinancials!U365),ISNUMBER(_RawBaseline!U362),RawFinancials!U365=_RawBaseline!U362)),OR(AND(ISBLANK(RawFinancials!O365),ISBLANK(_RawBaseline!O362)),AND(ISNUMBER(RawFinancials!O365),ISNUMBER(_RawBaseline!O362),RawFinancials!O365=_RawBaseline!O362))))</f>
        <v>0</v>
      </c>
      <c r="U365" s="13" t="n">
        <f aca="false">IF(AND(D365=WF_START_PERIOD,R365,COUNTIFS($B$5:$B$750,B365,$D$5:$D$750,WF_END_PERIOD,$R$5:$R$750,TRUE())&gt;0),SUMIFS($S$5:$S$750,$B$5:$B$750,B365,$D$5:$D$750,WF_END_PERIOD,$R$5:$R$750,TRUE()),0)</f>
        <v>0</v>
      </c>
      <c r="V365" s="0" t="str">
        <f aca="false">IF(AND(D365=WF_START_PERIOD,COUNTIFS($B$5:$B$750,B365,$D$5:$D$750,WF_END_PERIOD)&gt;0),INDEX($E$5:$E$750,MATCH(B365&amp;"|"&amp;WF_END_PERIOD,$AC$5:$AC$750,0)),"")</f>
        <v/>
      </c>
      <c r="W365" s="11" t="b">
        <f aca="false">COUNTIFS($B$5:$B$750,B365,$D$5:$D$750,WF_START_PERIOD,$R$5:$R$750,TRUE())&gt;0</f>
        <v>1</v>
      </c>
      <c r="X365" s="11" t="b">
        <f aca="false">COUNTIFS($B$5:$B$750,B365,$D$5:$D$750,WF_END_PERIOD,$R$5:$R$750,TRUE())&gt;0</f>
        <v>1</v>
      </c>
      <c r="Y365" s="0" t="str">
        <f aca="false">IF(AND(D365=WF_END_PERIOD,COUNTIFS($B$5:$B$750,B365,$D$5:$D$750,WF_START_PERIOD)&gt;0),INDEX($E$5:$E$750,MATCH(B365&amp;"|"&amp;WF_START_PERIOD,$AC$5:$AC$750,0)),"")</f>
        <v/>
      </c>
      <c r="Z365" s="0" t="str">
        <f aca="false">IF(AND(D365=WF_END_PERIOD,R365),1+COUNTIFS($D$5:$D$750,WF_END_PERIOD,$E$5:$E$750,E365,$R$5:$R$750,TRUE(),$S$5:$S$750,"&gt;"&amp;S365)+COUNTIFS($D$5:$D$750,WF_END_PERIOD,$E$5:$E$750,E365,$R$5:$R$750,TRUE(),$S$5:$S$750,S365,$B$5:$B$750,"&lt;"&amp;B365),"")</f>
        <v/>
      </c>
      <c r="AA365" s="0" t="str">
        <f aca="false">IF(AND(D365=WF_END_PERIOD,R365,Z365&lt;&gt;1),1+COUNTIFS($D$5:$D$750,WF_END_PERIOD,$R$5:$R$750,TRUE(),$Z$5:$Z$750,"&lt;&gt;1",$S$5:$S$750,"&gt;"&amp;S365)+COUNTIFS($D$5:$D$750,WF_END_PERIOD,$R$5:$R$750,TRUE(),$Z$5:$Z$750,"&lt;&gt;1",$S$5:$S$750,S365,$B$5:$B$750,"&lt;"&amp;B365),"")</f>
        <v/>
      </c>
      <c r="AB365" s="11" t="b">
        <f aca="false">OR(D365=WF_START_PERIOD,D365=WF_END_PERIOD)</f>
        <v>0</v>
      </c>
      <c r="AC365" s="0" t="str">
        <f aca="false">B365&amp;"|"&amp;D365</f>
        <v>30878|20230930</v>
      </c>
    </row>
    <row r="366" customFormat="false" ht="15" hidden="false" customHeight="false" outlineLevel="0" collapsed="false">
      <c r="A366" s="0" t="n">
        <f aca="false">RawFinancials!A366</f>
        <v>363</v>
      </c>
      <c r="B366" s="0" t="n">
        <f aca="false">RawFinancials!C366</f>
        <v>33418</v>
      </c>
      <c r="C366" s="0" t="str">
        <f aca="false">RawFinancials!P366</f>
        <v>LEDYARD NATIONAL BANK</v>
      </c>
      <c r="D366" s="0" t="n">
        <f aca="false">RawFinancials!W366</f>
        <v>20230930</v>
      </c>
      <c r="E366" s="0" t="str">
        <f aca="false">RawFinancials!Z366</f>
        <v>VT</v>
      </c>
      <c r="F366" s="0" t="n">
        <f aca="false">RawFinancials!B366</f>
        <v>798886</v>
      </c>
      <c r="G366" s="0" t="n">
        <f aca="false">RawFinancials!U366</f>
        <v>0</v>
      </c>
      <c r="H366" s="0" t="n">
        <f aca="false">RawFinancials!O366</f>
        <v>1080</v>
      </c>
      <c r="I366" s="0" t="n">
        <f aca="false">IF(AND(ISNUMBER(G366),ISNUMBER(H366)),G366+H366,"")</f>
        <v>1080</v>
      </c>
      <c r="J366" s="0" t="n">
        <f aca="false">RawFinancials!D366</f>
        <v>597610</v>
      </c>
      <c r="K366" s="0" t="n">
        <f aca="false">RawFinancials!F366</f>
        <v>66192</v>
      </c>
      <c r="L366" s="0" t="n">
        <f aca="false">RawFinancials!L366</f>
        <v>384973</v>
      </c>
      <c r="M366" s="0" t="n">
        <f aca="false">RawFinancials!N366</f>
        <v>329540</v>
      </c>
      <c r="N366" s="13" t="n">
        <f aca="false">RawFinancials!X366</f>
        <v>0.6651450346927</v>
      </c>
      <c r="O366" s="13" t="n">
        <f aca="false">RawFinancials!V366</f>
        <v>17.5388397485744</v>
      </c>
      <c r="P366" s="13" t="n">
        <f aca="false">IF(AND(ISNUMBER(L366),L366&lt;&gt;0,ISNUMBER(M366)),100*M366/L366,"")</f>
        <v>85.6008083683791</v>
      </c>
      <c r="Q366" s="13" t="n">
        <f aca="false">IF(AND(ISNUMBER(F366),F366&lt;&gt;0,ISNUMBER(K366)),100*K366/F366,"")</f>
        <v>8.28553761112349</v>
      </c>
      <c r="R366" s="11" t="b">
        <f aca="false">AND(ISNUMBER(F366),F366&gt;0,ISNUMBER(G366),G366&gt;=0,ISNUMBER(H366),H366&gt;=0)</f>
        <v>1</v>
      </c>
      <c r="S366" s="13" t="n">
        <f aca="false">IF(R366,100*I366/F366,"")</f>
        <v>0.13518824963762</v>
      </c>
      <c r="T366" s="11" t="b">
        <f aca="false">NOT(AND(OR(AND(ISBLANK(RawFinancials!B366),ISBLANK(_RawBaseline!B363)),AND(ISNUMBER(RawFinancials!B366),ISNUMBER(_RawBaseline!B363),RawFinancials!B366=_RawBaseline!B363)),OR(AND(ISBLANK(RawFinancials!U366),ISBLANK(_RawBaseline!U363)),AND(ISNUMBER(RawFinancials!U366),ISNUMBER(_RawBaseline!U363),RawFinancials!U366=_RawBaseline!U363)),OR(AND(ISBLANK(RawFinancials!O366),ISBLANK(_RawBaseline!O363)),AND(ISNUMBER(RawFinancials!O366),ISNUMBER(_RawBaseline!O363),RawFinancials!O366=_RawBaseline!O363))))</f>
        <v>0</v>
      </c>
      <c r="U366" s="13" t="n">
        <f aca="false">IF(AND(D366=WF_START_PERIOD,R366,COUNTIFS($B$5:$B$750,B366,$D$5:$D$750,WF_END_PERIOD,$R$5:$R$750,TRUE())&gt;0),SUMIFS($S$5:$S$750,$B$5:$B$750,B366,$D$5:$D$750,WF_END_PERIOD,$R$5:$R$750,TRUE()),0)</f>
        <v>0</v>
      </c>
      <c r="V366" s="0" t="str">
        <f aca="false">IF(AND(D366=WF_START_PERIOD,COUNTIFS($B$5:$B$750,B366,$D$5:$D$750,WF_END_PERIOD)&gt;0),INDEX($E$5:$E$750,MATCH(B366&amp;"|"&amp;WF_END_PERIOD,$AC$5:$AC$750,0)),"")</f>
        <v/>
      </c>
      <c r="W366" s="11" t="b">
        <f aca="false">COUNTIFS($B$5:$B$750,B366,$D$5:$D$750,WF_START_PERIOD,$R$5:$R$750,TRUE())&gt;0</f>
        <v>1</v>
      </c>
      <c r="X366" s="11" t="b">
        <f aca="false">COUNTIFS($B$5:$B$750,B366,$D$5:$D$750,WF_END_PERIOD,$R$5:$R$750,TRUE())&gt;0</f>
        <v>1</v>
      </c>
      <c r="Y366" s="0" t="str">
        <f aca="false">IF(AND(D366=WF_END_PERIOD,COUNTIFS($B$5:$B$750,B366,$D$5:$D$750,WF_START_PERIOD)&gt;0),INDEX($E$5:$E$750,MATCH(B366&amp;"|"&amp;WF_START_PERIOD,$AC$5:$AC$750,0)),"")</f>
        <v/>
      </c>
      <c r="Z366" s="0" t="str">
        <f aca="false">IF(AND(D366=WF_END_PERIOD,R366),1+COUNTIFS($D$5:$D$750,WF_END_PERIOD,$E$5:$E$750,E366,$R$5:$R$750,TRUE(),$S$5:$S$750,"&gt;"&amp;S366)+COUNTIFS($D$5:$D$750,WF_END_PERIOD,$E$5:$E$750,E366,$R$5:$R$750,TRUE(),$S$5:$S$750,S366,$B$5:$B$750,"&lt;"&amp;B366),"")</f>
        <v/>
      </c>
      <c r="AA366" s="0" t="str">
        <f aca="false">IF(AND(D366=WF_END_PERIOD,R366,Z366&lt;&gt;1),1+COUNTIFS($D$5:$D$750,WF_END_PERIOD,$R$5:$R$750,TRUE(),$Z$5:$Z$750,"&lt;&gt;1",$S$5:$S$750,"&gt;"&amp;S366)+COUNTIFS($D$5:$D$750,WF_END_PERIOD,$R$5:$R$750,TRUE(),$Z$5:$Z$750,"&lt;&gt;1",$S$5:$S$750,S366,$B$5:$B$750,"&lt;"&amp;B366),"")</f>
        <v/>
      </c>
      <c r="AB366" s="11" t="b">
        <f aca="false">OR(D366=WF_START_PERIOD,D366=WF_END_PERIOD)</f>
        <v>0</v>
      </c>
      <c r="AC366" s="0" t="str">
        <f aca="false">B366&amp;"|"&amp;D366</f>
        <v>33418|20230930</v>
      </c>
    </row>
    <row r="367" customFormat="false" ht="15" hidden="false" customHeight="false" outlineLevel="0" collapsed="false">
      <c r="A367" s="0" t="n">
        <f aca="false">RawFinancials!A367</f>
        <v>364</v>
      </c>
      <c r="B367" s="0" t="n">
        <f aca="false">RawFinancials!C367</f>
        <v>35206</v>
      </c>
      <c r="C367" s="0" t="str">
        <f aca="false">RawFinancials!P367</f>
        <v>FIDELITY PERSONAL TRUST COMPANY, FSB</v>
      </c>
      <c r="D367" s="0" t="n">
        <f aca="false">RawFinancials!W367</f>
        <v>20230930</v>
      </c>
      <c r="E367" s="0" t="str">
        <f aca="false">RawFinancials!Z367</f>
        <v>NH</v>
      </c>
      <c r="F367" s="0" t="n">
        <f aca="false">RawFinancials!B367</f>
        <v>71615</v>
      </c>
      <c r="G367" s="0" t="n">
        <f aca="false">RawFinancials!U367</f>
        <v>0</v>
      </c>
      <c r="H367" s="0" t="n">
        <f aca="false">RawFinancials!O367</f>
        <v>0</v>
      </c>
      <c r="I367" s="0" t="n">
        <f aca="false">IF(AND(ISNUMBER(G367),ISNUMBER(H367)),G367+H367,"")</f>
        <v>0</v>
      </c>
      <c r="J367" s="0" t="n">
        <f aca="false">RawFinancials!D367</f>
        <v>500</v>
      </c>
      <c r="K367" s="0" t="n">
        <f aca="false">RawFinancials!F367</f>
        <v>69069</v>
      </c>
      <c r="L367" s="0" t="n">
        <f aca="false">RawFinancials!L367</f>
        <v>0</v>
      </c>
      <c r="M367" s="0" t="n">
        <f aca="false">RawFinancials!N367</f>
        <v>0</v>
      </c>
      <c r="N367" s="13" t="n">
        <f aca="false">RawFinancials!X367</f>
        <v>16.5098035393691</v>
      </c>
      <c r="O367" s="13" t="n">
        <f aca="false">RawFinancials!V367</f>
        <v>0</v>
      </c>
      <c r="P367" s="13" t="str">
        <f aca="false">IF(AND(ISNUMBER(L367),L367&lt;&gt;0,ISNUMBER(M367)),100*M367/L367,"")</f>
        <v/>
      </c>
      <c r="Q367" s="13" t="n">
        <f aca="false">IF(AND(ISNUMBER(F367),F367&lt;&gt;0,ISNUMBER(K367)),100*K367/F367,"")</f>
        <v>96.4448788661593</v>
      </c>
      <c r="R367" s="11" t="b">
        <f aca="false">AND(ISNUMBER(F367),F367&gt;0,ISNUMBER(G367),G367&gt;=0,ISNUMBER(H367),H367&gt;=0)</f>
        <v>1</v>
      </c>
      <c r="S367" s="13" t="n">
        <f aca="false">IF(R367,100*I367/F367,"")</f>
        <v>0</v>
      </c>
      <c r="T367" s="11" t="b">
        <f aca="false">NOT(AND(OR(AND(ISBLANK(RawFinancials!B367),ISBLANK(_RawBaseline!B364)),AND(ISNUMBER(RawFinancials!B367),ISNUMBER(_RawBaseline!B364),RawFinancials!B367=_RawBaseline!B364)),OR(AND(ISBLANK(RawFinancials!U367),ISBLANK(_RawBaseline!U364)),AND(ISNUMBER(RawFinancials!U367),ISNUMBER(_RawBaseline!U364),RawFinancials!U367=_RawBaseline!U364)),OR(AND(ISBLANK(RawFinancials!O367),ISBLANK(_RawBaseline!O364)),AND(ISNUMBER(RawFinancials!O367),ISNUMBER(_RawBaseline!O364),RawFinancials!O367=_RawBaseline!O364))))</f>
        <v>0</v>
      </c>
      <c r="U367" s="13" t="n">
        <f aca="false">IF(AND(D367=WF_START_PERIOD,R367,COUNTIFS($B$5:$B$750,B367,$D$5:$D$750,WF_END_PERIOD,$R$5:$R$750,TRUE())&gt;0),SUMIFS($S$5:$S$750,$B$5:$B$750,B367,$D$5:$D$750,WF_END_PERIOD,$R$5:$R$750,TRUE()),0)</f>
        <v>0</v>
      </c>
      <c r="V367" s="0" t="str">
        <f aca="false">IF(AND(D367=WF_START_PERIOD,COUNTIFS($B$5:$B$750,B367,$D$5:$D$750,WF_END_PERIOD)&gt;0),INDEX($E$5:$E$750,MATCH(B367&amp;"|"&amp;WF_END_PERIOD,$AC$5:$AC$750,0)),"")</f>
        <v/>
      </c>
      <c r="W367" s="11" t="b">
        <f aca="false">COUNTIFS($B$5:$B$750,B367,$D$5:$D$750,WF_START_PERIOD,$R$5:$R$750,TRUE())&gt;0</f>
        <v>1</v>
      </c>
      <c r="X367" s="11" t="b">
        <f aca="false">COUNTIFS($B$5:$B$750,B367,$D$5:$D$750,WF_END_PERIOD,$R$5:$R$750,TRUE())&gt;0</f>
        <v>1</v>
      </c>
      <c r="Y367" s="0" t="str">
        <f aca="false">IF(AND(D367=WF_END_PERIOD,COUNTIFS($B$5:$B$750,B367,$D$5:$D$750,WF_START_PERIOD)&gt;0),INDEX($E$5:$E$750,MATCH(B367&amp;"|"&amp;WF_START_PERIOD,$AC$5:$AC$750,0)),"")</f>
        <v/>
      </c>
      <c r="Z367" s="0" t="str">
        <f aca="false">IF(AND(D367=WF_END_PERIOD,R367),1+COUNTIFS($D$5:$D$750,WF_END_PERIOD,$E$5:$E$750,E367,$R$5:$R$750,TRUE(),$S$5:$S$750,"&gt;"&amp;S367)+COUNTIFS($D$5:$D$750,WF_END_PERIOD,$E$5:$E$750,E367,$R$5:$R$750,TRUE(),$S$5:$S$750,S367,$B$5:$B$750,"&lt;"&amp;B367),"")</f>
        <v/>
      </c>
      <c r="AA367" s="0" t="str">
        <f aca="false">IF(AND(D367=WF_END_PERIOD,R367,Z367&lt;&gt;1),1+COUNTIFS($D$5:$D$750,WF_END_PERIOD,$R$5:$R$750,TRUE(),$Z$5:$Z$750,"&lt;&gt;1",$S$5:$S$750,"&gt;"&amp;S367)+COUNTIFS($D$5:$D$750,WF_END_PERIOD,$R$5:$R$750,TRUE(),$Z$5:$Z$750,"&lt;&gt;1",$S$5:$S$750,S367,$B$5:$B$750,"&lt;"&amp;B367),"")</f>
        <v/>
      </c>
      <c r="AB367" s="11" t="b">
        <f aca="false">OR(D367=WF_START_PERIOD,D367=WF_END_PERIOD)</f>
        <v>0</v>
      </c>
      <c r="AC367" s="0" t="str">
        <f aca="false">B367&amp;"|"&amp;D367</f>
        <v>35206|20230930</v>
      </c>
    </row>
    <row r="368" customFormat="false" ht="15" hidden="false" customHeight="false" outlineLevel="0" collapsed="false">
      <c r="A368" s="0" t="n">
        <f aca="false">RawFinancials!A368</f>
        <v>365</v>
      </c>
      <c r="B368" s="0" t="n">
        <f aca="false">RawFinancials!C368</f>
        <v>4255</v>
      </c>
      <c r="C368" s="0" t="str">
        <f aca="false">RawFinancials!P368</f>
        <v>THE CAMDEN NATIONAL BANK</v>
      </c>
      <c r="D368" s="0" t="n">
        <f aca="false">RawFinancials!W368</f>
        <v>20230930</v>
      </c>
      <c r="E368" s="0" t="str">
        <f aca="false">RawFinancials!Z368</f>
        <v>ME</v>
      </c>
      <c r="F368" s="0" t="n">
        <f aca="false">RawFinancials!B368</f>
        <v>5769551</v>
      </c>
      <c r="G368" s="0" t="n">
        <f aca="false">RawFinancials!U368</f>
        <v>0</v>
      </c>
      <c r="H368" s="0" t="n">
        <f aca="false">RawFinancials!O368</f>
        <v>4624</v>
      </c>
      <c r="I368" s="0" t="n">
        <f aca="false">IF(AND(ISNUMBER(G368),ISNUMBER(H368)),G368+H368,"")</f>
        <v>4624</v>
      </c>
      <c r="J368" s="0" t="n">
        <f aca="false">RawFinancials!D368</f>
        <v>4715626</v>
      </c>
      <c r="K368" s="0" t="n">
        <f aca="false">RawFinancials!F368</f>
        <v>473807</v>
      </c>
      <c r="L368" s="0" t="n">
        <f aca="false">RawFinancials!L368</f>
        <v>4069600</v>
      </c>
      <c r="M368" s="0" t="n">
        <f aca="false">RawFinancials!N368</f>
        <v>3692040</v>
      </c>
      <c r="N368" s="13" t="n">
        <f aca="false">RawFinancials!X368</f>
        <v>0.858437912821391</v>
      </c>
      <c r="O368" s="13" t="n">
        <f aca="false">RawFinancials!V368</f>
        <v>13.4798604676514</v>
      </c>
      <c r="P368" s="13" t="n">
        <f aca="false">IF(AND(ISNUMBER(L368),L368&lt;&gt;0,ISNUMBER(M368)),100*M368/L368,"")</f>
        <v>90.7224297228229</v>
      </c>
      <c r="Q368" s="13" t="n">
        <f aca="false">IF(AND(ISNUMBER(F368),F368&lt;&gt;0,ISNUMBER(K368)),100*K368/F368,"")</f>
        <v>8.21219883488334</v>
      </c>
      <c r="R368" s="11" t="b">
        <f aca="false">AND(ISNUMBER(F368),F368&gt;0,ISNUMBER(G368),G368&gt;=0,ISNUMBER(H368),H368&gt;=0)</f>
        <v>1</v>
      </c>
      <c r="S368" s="13" t="n">
        <f aca="false">IF(R368,100*I368/F368,"")</f>
        <v>0.08014488475793</v>
      </c>
      <c r="T368" s="11" t="b">
        <f aca="false">NOT(AND(OR(AND(ISBLANK(RawFinancials!B368),ISBLANK(_RawBaseline!B365)),AND(ISNUMBER(RawFinancials!B368),ISNUMBER(_RawBaseline!B365),RawFinancials!B368=_RawBaseline!B365)),OR(AND(ISBLANK(RawFinancials!U368),ISBLANK(_RawBaseline!U365)),AND(ISNUMBER(RawFinancials!U368),ISNUMBER(_RawBaseline!U365),RawFinancials!U368=_RawBaseline!U365)),OR(AND(ISBLANK(RawFinancials!O368),ISBLANK(_RawBaseline!O365)),AND(ISNUMBER(RawFinancials!O368),ISNUMBER(_RawBaseline!O365),RawFinancials!O368=_RawBaseline!O365))))</f>
        <v>0</v>
      </c>
      <c r="U368" s="13" t="n">
        <f aca="false">IF(AND(D368=WF_START_PERIOD,R368,COUNTIFS($B$5:$B$750,B368,$D$5:$D$750,WF_END_PERIOD,$R$5:$R$750,TRUE())&gt;0),SUMIFS($S$5:$S$750,$B$5:$B$750,B368,$D$5:$D$750,WF_END_PERIOD,$R$5:$R$750,TRUE()),0)</f>
        <v>0</v>
      </c>
      <c r="V368" s="0" t="str">
        <f aca="false">IF(AND(D368=WF_START_PERIOD,COUNTIFS($B$5:$B$750,B368,$D$5:$D$750,WF_END_PERIOD)&gt;0),INDEX($E$5:$E$750,MATCH(B368&amp;"|"&amp;WF_END_PERIOD,$AC$5:$AC$750,0)),"")</f>
        <v/>
      </c>
      <c r="W368" s="11" t="b">
        <f aca="false">COUNTIFS($B$5:$B$750,B368,$D$5:$D$750,WF_START_PERIOD,$R$5:$R$750,TRUE())&gt;0</f>
        <v>1</v>
      </c>
      <c r="X368" s="11" t="b">
        <f aca="false">COUNTIFS($B$5:$B$750,B368,$D$5:$D$750,WF_END_PERIOD,$R$5:$R$750,TRUE())&gt;0</f>
        <v>1</v>
      </c>
      <c r="Y368" s="0" t="str">
        <f aca="false">IF(AND(D368=WF_END_PERIOD,COUNTIFS($B$5:$B$750,B368,$D$5:$D$750,WF_START_PERIOD)&gt;0),INDEX($E$5:$E$750,MATCH(B368&amp;"|"&amp;WF_START_PERIOD,$AC$5:$AC$750,0)),"")</f>
        <v/>
      </c>
      <c r="Z368" s="0" t="str">
        <f aca="false">IF(AND(D368=WF_END_PERIOD,R368),1+COUNTIFS($D$5:$D$750,WF_END_PERIOD,$E$5:$E$750,E368,$R$5:$R$750,TRUE(),$S$5:$S$750,"&gt;"&amp;S368)+COUNTIFS($D$5:$D$750,WF_END_PERIOD,$E$5:$E$750,E368,$R$5:$R$750,TRUE(),$S$5:$S$750,S368,$B$5:$B$750,"&lt;"&amp;B368),"")</f>
        <v/>
      </c>
      <c r="AA368" s="0" t="str">
        <f aca="false">IF(AND(D368=WF_END_PERIOD,R368,Z368&lt;&gt;1),1+COUNTIFS($D$5:$D$750,WF_END_PERIOD,$R$5:$R$750,TRUE(),$Z$5:$Z$750,"&lt;&gt;1",$S$5:$S$750,"&gt;"&amp;S368)+COUNTIFS($D$5:$D$750,WF_END_PERIOD,$R$5:$R$750,TRUE(),$Z$5:$Z$750,"&lt;&gt;1",$S$5:$S$750,S368,$B$5:$B$750,"&lt;"&amp;B368),"")</f>
        <v/>
      </c>
      <c r="AB368" s="11" t="b">
        <f aca="false">OR(D368=WF_START_PERIOD,D368=WF_END_PERIOD)</f>
        <v>0</v>
      </c>
      <c r="AC368" s="0" t="str">
        <f aca="false">B368&amp;"|"&amp;D368</f>
        <v>4255|20230930</v>
      </c>
    </row>
    <row r="369" customFormat="false" ht="15" hidden="false" customHeight="false" outlineLevel="0" collapsed="false">
      <c r="A369" s="0" t="n">
        <f aca="false">RawFinancials!A369</f>
        <v>366</v>
      </c>
      <c r="B369" s="0" t="n">
        <f aca="false">RawFinancials!C369</f>
        <v>4256</v>
      </c>
      <c r="C369" s="0" t="str">
        <f aca="false">RawFinancials!P369</f>
        <v>FIRST NATIONAL BANK</v>
      </c>
      <c r="D369" s="0" t="n">
        <f aca="false">RawFinancials!W369</f>
        <v>20230930</v>
      </c>
      <c r="E369" s="0" t="str">
        <f aca="false">RawFinancials!Z369</f>
        <v>ME</v>
      </c>
      <c r="F369" s="0" t="n">
        <f aca="false">RawFinancials!B369</f>
        <v>2908137</v>
      </c>
      <c r="G369" s="0" t="n">
        <f aca="false">RawFinancials!U369</f>
        <v>11</v>
      </c>
      <c r="H369" s="0" t="n">
        <f aca="false">RawFinancials!O369</f>
        <v>2553</v>
      </c>
      <c r="I369" s="0" t="n">
        <f aca="false">IF(AND(ISNUMBER(G369),ISNUMBER(H369)),G369+H369,"")</f>
        <v>2564</v>
      </c>
      <c r="J369" s="0" t="n">
        <f aca="false">RawFinancials!D369</f>
        <v>2600576</v>
      </c>
      <c r="K369" s="0" t="n">
        <f aca="false">RawFinancials!F369</f>
        <v>198185</v>
      </c>
      <c r="L369" s="0" t="n">
        <f aca="false">RawFinancials!L369</f>
        <v>2080128</v>
      </c>
      <c r="M369" s="0" t="n">
        <f aca="false">RawFinancials!N369</f>
        <v>1651715</v>
      </c>
      <c r="N369" s="13" t="n">
        <f aca="false">RawFinancials!X369</f>
        <v>1.11780782530143</v>
      </c>
      <c r="O369" s="13" t="n">
        <f aca="false">RawFinancials!V369</f>
        <v>13.7220466873877</v>
      </c>
      <c r="P369" s="13" t="n">
        <f aca="false">IF(AND(ISNUMBER(L369),L369&lt;&gt;0,ISNUMBER(M369)),100*M369/L369,"")</f>
        <v>79.4044885699342</v>
      </c>
      <c r="Q369" s="13" t="n">
        <f aca="false">IF(AND(ISNUMBER(F369),F369&lt;&gt;0,ISNUMBER(K369)),100*K369/F369,"")</f>
        <v>6.814844004942</v>
      </c>
      <c r="R369" s="11" t="b">
        <f aca="false">AND(ISNUMBER(F369),F369&gt;0,ISNUMBER(G369),G369&gt;=0,ISNUMBER(H369),H369&gt;=0)</f>
        <v>1</v>
      </c>
      <c r="S369" s="13" t="n">
        <f aca="false">IF(R369,100*I369/F369,"")</f>
        <v>0.088166410316983</v>
      </c>
      <c r="T369" s="11" t="b">
        <f aca="false">NOT(AND(OR(AND(ISBLANK(RawFinancials!B369),ISBLANK(_RawBaseline!B366)),AND(ISNUMBER(RawFinancials!B369),ISNUMBER(_RawBaseline!B366),RawFinancials!B369=_RawBaseline!B366)),OR(AND(ISBLANK(RawFinancials!U369),ISBLANK(_RawBaseline!U366)),AND(ISNUMBER(RawFinancials!U369),ISNUMBER(_RawBaseline!U366),RawFinancials!U369=_RawBaseline!U366)),OR(AND(ISBLANK(RawFinancials!O369),ISBLANK(_RawBaseline!O366)),AND(ISNUMBER(RawFinancials!O369),ISNUMBER(_RawBaseline!O366),RawFinancials!O369=_RawBaseline!O366))))</f>
        <v>0</v>
      </c>
      <c r="U369" s="13" t="n">
        <f aca="false">IF(AND(D369=WF_START_PERIOD,R369,COUNTIFS($B$5:$B$750,B369,$D$5:$D$750,WF_END_PERIOD,$R$5:$R$750,TRUE())&gt;0),SUMIFS($S$5:$S$750,$B$5:$B$750,B369,$D$5:$D$750,WF_END_PERIOD,$R$5:$R$750,TRUE()),0)</f>
        <v>0</v>
      </c>
      <c r="V369" s="0" t="str">
        <f aca="false">IF(AND(D369=WF_START_PERIOD,COUNTIFS($B$5:$B$750,B369,$D$5:$D$750,WF_END_PERIOD)&gt;0),INDEX($E$5:$E$750,MATCH(B369&amp;"|"&amp;WF_END_PERIOD,$AC$5:$AC$750,0)),"")</f>
        <v/>
      </c>
      <c r="W369" s="11" t="b">
        <f aca="false">COUNTIFS($B$5:$B$750,B369,$D$5:$D$750,WF_START_PERIOD,$R$5:$R$750,TRUE())&gt;0</f>
        <v>1</v>
      </c>
      <c r="X369" s="11" t="b">
        <f aca="false">COUNTIFS($B$5:$B$750,B369,$D$5:$D$750,WF_END_PERIOD,$R$5:$R$750,TRUE())&gt;0</f>
        <v>1</v>
      </c>
      <c r="Y369" s="0" t="str">
        <f aca="false">IF(AND(D369=WF_END_PERIOD,COUNTIFS($B$5:$B$750,B369,$D$5:$D$750,WF_START_PERIOD)&gt;0),INDEX($E$5:$E$750,MATCH(B369&amp;"|"&amp;WF_START_PERIOD,$AC$5:$AC$750,0)),"")</f>
        <v/>
      </c>
      <c r="Z369" s="0" t="str">
        <f aca="false">IF(AND(D369=WF_END_PERIOD,R369),1+COUNTIFS($D$5:$D$750,WF_END_PERIOD,$E$5:$E$750,E369,$R$5:$R$750,TRUE(),$S$5:$S$750,"&gt;"&amp;S369)+COUNTIFS($D$5:$D$750,WF_END_PERIOD,$E$5:$E$750,E369,$R$5:$R$750,TRUE(),$S$5:$S$750,S369,$B$5:$B$750,"&lt;"&amp;B369),"")</f>
        <v/>
      </c>
      <c r="AA369" s="0" t="str">
        <f aca="false">IF(AND(D369=WF_END_PERIOD,R369,Z369&lt;&gt;1),1+COUNTIFS($D$5:$D$750,WF_END_PERIOD,$R$5:$R$750,TRUE(),$Z$5:$Z$750,"&lt;&gt;1",$S$5:$S$750,"&gt;"&amp;S369)+COUNTIFS($D$5:$D$750,WF_END_PERIOD,$R$5:$R$750,TRUE(),$Z$5:$Z$750,"&lt;&gt;1",$S$5:$S$750,S369,$B$5:$B$750,"&lt;"&amp;B369),"")</f>
        <v/>
      </c>
      <c r="AB369" s="11" t="b">
        <f aca="false">OR(D369=WF_START_PERIOD,D369=WF_END_PERIOD)</f>
        <v>0</v>
      </c>
      <c r="AC369" s="0" t="str">
        <f aca="false">B369&amp;"|"&amp;D369</f>
        <v>4256|20230930</v>
      </c>
    </row>
    <row r="370" customFormat="false" ht="15" hidden="false" customHeight="false" outlineLevel="0" collapsed="false">
      <c r="A370" s="0" t="n">
        <f aca="false">RawFinancials!A370</f>
        <v>367</v>
      </c>
      <c r="B370" s="0" t="n">
        <f aca="false">RawFinancials!C370</f>
        <v>59086</v>
      </c>
      <c r="C370" s="0" t="str">
        <f aca="false">RawFinancials!P370</f>
        <v>PRIMARY BANK</v>
      </c>
      <c r="D370" s="0" t="n">
        <f aca="false">RawFinancials!W370</f>
        <v>20230930</v>
      </c>
      <c r="E370" s="0" t="str">
        <f aca="false">RawFinancials!Z370</f>
        <v>NH</v>
      </c>
      <c r="F370" s="0" t="n">
        <f aca="false">RawFinancials!B370</f>
        <v>697563</v>
      </c>
      <c r="G370" s="0" t="n">
        <f aca="false">RawFinancials!U370</f>
        <v>1232</v>
      </c>
      <c r="H370" s="0" t="n">
        <f aca="false">RawFinancials!O370</f>
        <v>6396</v>
      </c>
      <c r="I370" s="0" t="n">
        <f aca="false">IF(AND(ISNUMBER(G370),ISNUMBER(H370)),G370+H370,"")</f>
        <v>7628</v>
      </c>
      <c r="J370" s="0" t="n">
        <f aca="false">RawFinancials!D370</f>
        <v>607269</v>
      </c>
      <c r="K370" s="0" t="n">
        <f aca="false">RawFinancials!F370</f>
        <v>86533</v>
      </c>
      <c r="L370" s="0" t="n">
        <f aca="false">RawFinancials!L370</f>
        <v>579195</v>
      </c>
      <c r="M370" s="0" t="n">
        <f aca="false">RawFinancials!N370</f>
        <v>463924</v>
      </c>
      <c r="N370" s="13" t="n">
        <f aca="false">RawFinancials!X370</f>
        <v>1.59440584811708</v>
      </c>
      <c r="O370" s="13" t="n">
        <f aca="false">RawFinancials!V370</f>
        <v>15.287885221135</v>
      </c>
      <c r="P370" s="13" t="n">
        <f aca="false">IF(AND(ISNUMBER(L370),L370&lt;&gt;0,ISNUMBER(M370)),100*M370/L370,"")</f>
        <v>80.0980671449167</v>
      </c>
      <c r="Q370" s="13" t="n">
        <f aca="false">IF(AND(ISNUMBER(F370),F370&lt;&gt;0,ISNUMBER(K370)),100*K370/F370,"")</f>
        <v>12.405044418927</v>
      </c>
      <c r="R370" s="11" t="b">
        <f aca="false">AND(ISNUMBER(F370),F370&gt;0,ISNUMBER(G370),G370&gt;=0,ISNUMBER(H370),H370&gt;=0)</f>
        <v>1</v>
      </c>
      <c r="S370" s="13" t="n">
        <f aca="false">IF(R370,100*I370/F370,"")</f>
        <v>1.0935213020186</v>
      </c>
      <c r="T370" s="11" t="b">
        <f aca="false">NOT(AND(OR(AND(ISBLANK(RawFinancials!B370),ISBLANK(_RawBaseline!B367)),AND(ISNUMBER(RawFinancials!B370),ISNUMBER(_RawBaseline!B367),RawFinancials!B370=_RawBaseline!B367)),OR(AND(ISBLANK(RawFinancials!U370),ISBLANK(_RawBaseline!U367)),AND(ISNUMBER(RawFinancials!U370),ISNUMBER(_RawBaseline!U367),RawFinancials!U370=_RawBaseline!U367)),OR(AND(ISBLANK(RawFinancials!O370),ISBLANK(_RawBaseline!O367)),AND(ISNUMBER(RawFinancials!O370),ISNUMBER(_RawBaseline!O367),RawFinancials!O370=_RawBaseline!O367))))</f>
        <v>0</v>
      </c>
      <c r="U370" s="13" t="n">
        <f aca="false">IF(AND(D370=WF_START_PERIOD,R370,COUNTIFS($B$5:$B$750,B370,$D$5:$D$750,WF_END_PERIOD,$R$5:$R$750,TRUE())&gt;0),SUMIFS($S$5:$S$750,$B$5:$B$750,B370,$D$5:$D$750,WF_END_PERIOD,$R$5:$R$750,TRUE()),0)</f>
        <v>0</v>
      </c>
      <c r="V370" s="0" t="str">
        <f aca="false">IF(AND(D370=WF_START_PERIOD,COUNTIFS($B$5:$B$750,B370,$D$5:$D$750,WF_END_PERIOD)&gt;0),INDEX($E$5:$E$750,MATCH(B370&amp;"|"&amp;WF_END_PERIOD,$AC$5:$AC$750,0)),"")</f>
        <v/>
      </c>
      <c r="W370" s="11" t="b">
        <f aca="false">COUNTIFS($B$5:$B$750,B370,$D$5:$D$750,WF_START_PERIOD,$R$5:$R$750,TRUE())&gt;0</f>
        <v>1</v>
      </c>
      <c r="X370" s="11" t="b">
        <f aca="false">COUNTIFS($B$5:$B$750,B370,$D$5:$D$750,WF_END_PERIOD,$R$5:$R$750,TRUE())&gt;0</f>
        <v>1</v>
      </c>
      <c r="Y370" s="0" t="str">
        <f aca="false">IF(AND(D370=WF_END_PERIOD,COUNTIFS($B$5:$B$750,B370,$D$5:$D$750,WF_START_PERIOD)&gt;0),INDEX($E$5:$E$750,MATCH(B370&amp;"|"&amp;WF_START_PERIOD,$AC$5:$AC$750,0)),"")</f>
        <v/>
      </c>
      <c r="Z370" s="0" t="str">
        <f aca="false">IF(AND(D370=WF_END_PERIOD,R370),1+COUNTIFS($D$5:$D$750,WF_END_PERIOD,$E$5:$E$750,E370,$R$5:$R$750,TRUE(),$S$5:$S$750,"&gt;"&amp;S370)+COUNTIFS($D$5:$D$750,WF_END_PERIOD,$E$5:$E$750,E370,$R$5:$R$750,TRUE(),$S$5:$S$750,S370,$B$5:$B$750,"&lt;"&amp;B370),"")</f>
        <v/>
      </c>
      <c r="AA370" s="0" t="str">
        <f aca="false">IF(AND(D370=WF_END_PERIOD,R370,Z370&lt;&gt;1),1+COUNTIFS($D$5:$D$750,WF_END_PERIOD,$R$5:$R$750,TRUE(),$Z$5:$Z$750,"&lt;&gt;1",$S$5:$S$750,"&gt;"&amp;S370)+COUNTIFS($D$5:$D$750,WF_END_PERIOD,$R$5:$R$750,TRUE(),$Z$5:$Z$750,"&lt;&gt;1",$S$5:$S$750,S370,$B$5:$B$750,"&lt;"&amp;B370),"")</f>
        <v/>
      </c>
      <c r="AB370" s="11" t="b">
        <f aca="false">OR(D370=WF_START_PERIOD,D370=WF_END_PERIOD)</f>
        <v>0</v>
      </c>
      <c r="AC370" s="0" t="str">
        <f aca="false">B370&amp;"|"&amp;D370</f>
        <v>59086|20230930</v>
      </c>
    </row>
    <row r="371" customFormat="false" ht="15" hidden="false" customHeight="false" outlineLevel="0" collapsed="false">
      <c r="A371" s="0" t="n">
        <f aca="false">RawFinancials!A371</f>
        <v>368</v>
      </c>
      <c r="B371" s="0" t="n">
        <f aca="false">RawFinancials!C371</f>
        <v>59176</v>
      </c>
      <c r="C371" s="0" t="str">
        <f aca="false">RawFinancials!P371</f>
        <v>THE MILLYARD BANK</v>
      </c>
      <c r="D371" s="0" t="n">
        <f aca="false">RawFinancials!W371</f>
        <v>20230930</v>
      </c>
      <c r="E371" s="0" t="str">
        <f aca="false">RawFinancials!Z371</f>
        <v>NH</v>
      </c>
      <c r="F371" s="0" t="n">
        <f aca="false">RawFinancials!B371</f>
        <v>219071</v>
      </c>
      <c r="G371" s="0" t="n">
        <f aca="false">RawFinancials!U371</f>
        <v>0</v>
      </c>
      <c r="H371" s="0" t="n">
        <f aca="false">RawFinancials!O371</f>
        <v>0</v>
      </c>
      <c r="I371" s="0" t="n">
        <f aca="false">IF(AND(ISNUMBER(G371),ISNUMBER(H371)),G371+H371,"")</f>
        <v>0</v>
      </c>
      <c r="J371" s="0" t="n">
        <f aca="false">RawFinancials!D371</f>
        <v>188051</v>
      </c>
      <c r="K371" s="0" t="n">
        <f aca="false">RawFinancials!F371</f>
        <v>23030</v>
      </c>
      <c r="L371" s="0" t="n">
        <f aca="false">RawFinancials!L371</f>
        <v>145767</v>
      </c>
      <c r="M371" s="0" t="n">
        <f aca="false">RawFinancials!N371</f>
        <v>124886</v>
      </c>
      <c r="N371" s="13" t="n">
        <f aca="false">RawFinancials!X371</f>
        <v>-0.224099348694985</v>
      </c>
      <c r="O371" s="13" t="n">
        <f aca="false">RawFinancials!V371</f>
        <v>17.3183973610061</v>
      </c>
      <c r="P371" s="13" t="n">
        <f aca="false">IF(AND(ISNUMBER(L371),L371&lt;&gt;0,ISNUMBER(M371)),100*M371/L371,"")</f>
        <v>85.675084209732</v>
      </c>
      <c r="Q371" s="13" t="n">
        <f aca="false">IF(AND(ISNUMBER(F371),F371&lt;&gt;0,ISNUMBER(K371)),100*K371/F371,"")</f>
        <v>10.5125735492146</v>
      </c>
      <c r="R371" s="11" t="b">
        <f aca="false">AND(ISNUMBER(F371),F371&gt;0,ISNUMBER(G371),G371&gt;=0,ISNUMBER(H371),H371&gt;=0)</f>
        <v>1</v>
      </c>
      <c r="S371" s="13" t="n">
        <f aca="false">IF(R371,100*I371/F371,"")</f>
        <v>0</v>
      </c>
      <c r="T371" s="11" t="b">
        <f aca="false">NOT(AND(OR(AND(ISBLANK(RawFinancials!B371),ISBLANK(_RawBaseline!B368)),AND(ISNUMBER(RawFinancials!B371),ISNUMBER(_RawBaseline!B368),RawFinancials!B371=_RawBaseline!B368)),OR(AND(ISBLANK(RawFinancials!U371),ISBLANK(_RawBaseline!U368)),AND(ISNUMBER(RawFinancials!U371),ISNUMBER(_RawBaseline!U368),RawFinancials!U371=_RawBaseline!U368)),OR(AND(ISBLANK(RawFinancials!O371),ISBLANK(_RawBaseline!O368)),AND(ISNUMBER(RawFinancials!O371),ISNUMBER(_RawBaseline!O368),RawFinancials!O371=_RawBaseline!O368))))</f>
        <v>0</v>
      </c>
      <c r="U371" s="13" t="n">
        <f aca="false">IF(AND(D371=WF_START_PERIOD,R371,COUNTIFS($B$5:$B$750,B371,$D$5:$D$750,WF_END_PERIOD,$R$5:$R$750,TRUE())&gt;0),SUMIFS($S$5:$S$750,$B$5:$B$750,B371,$D$5:$D$750,WF_END_PERIOD,$R$5:$R$750,TRUE()),0)</f>
        <v>0</v>
      </c>
      <c r="V371" s="0" t="str">
        <f aca="false">IF(AND(D371=WF_START_PERIOD,COUNTIFS($B$5:$B$750,B371,$D$5:$D$750,WF_END_PERIOD)&gt;0),INDEX($E$5:$E$750,MATCH(B371&amp;"|"&amp;WF_END_PERIOD,$AC$5:$AC$750,0)),"")</f>
        <v/>
      </c>
      <c r="W371" s="11" t="b">
        <f aca="false">COUNTIFS($B$5:$B$750,B371,$D$5:$D$750,WF_START_PERIOD,$R$5:$R$750,TRUE())&gt;0</f>
        <v>1</v>
      </c>
      <c r="X371" s="11" t="b">
        <f aca="false">COUNTIFS($B$5:$B$750,B371,$D$5:$D$750,WF_END_PERIOD,$R$5:$R$750,TRUE())&gt;0</f>
        <v>1</v>
      </c>
      <c r="Y371" s="0" t="str">
        <f aca="false">IF(AND(D371=WF_END_PERIOD,COUNTIFS($B$5:$B$750,B371,$D$5:$D$750,WF_START_PERIOD)&gt;0),INDEX($E$5:$E$750,MATCH(B371&amp;"|"&amp;WF_START_PERIOD,$AC$5:$AC$750,0)),"")</f>
        <v/>
      </c>
      <c r="Z371" s="0" t="str">
        <f aca="false">IF(AND(D371=WF_END_PERIOD,R371),1+COUNTIFS($D$5:$D$750,WF_END_PERIOD,$E$5:$E$750,E371,$R$5:$R$750,TRUE(),$S$5:$S$750,"&gt;"&amp;S371)+COUNTIFS($D$5:$D$750,WF_END_PERIOD,$E$5:$E$750,E371,$R$5:$R$750,TRUE(),$S$5:$S$750,S371,$B$5:$B$750,"&lt;"&amp;B371),"")</f>
        <v/>
      </c>
      <c r="AA371" s="0" t="str">
        <f aca="false">IF(AND(D371=WF_END_PERIOD,R371,Z371&lt;&gt;1),1+COUNTIFS($D$5:$D$750,WF_END_PERIOD,$R$5:$R$750,TRUE(),$Z$5:$Z$750,"&lt;&gt;1",$S$5:$S$750,"&gt;"&amp;S371)+COUNTIFS($D$5:$D$750,WF_END_PERIOD,$R$5:$R$750,TRUE(),$Z$5:$Z$750,"&lt;&gt;1",$S$5:$S$750,S371,$B$5:$B$750,"&lt;"&amp;B371),"")</f>
        <v/>
      </c>
      <c r="AB371" s="11" t="b">
        <f aca="false">OR(D371=WF_START_PERIOD,D371=WF_END_PERIOD)</f>
        <v>0</v>
      </c>
      <c r="AC371" s="0" t="str">
        <f aca="false">B371&amp;"|"&amp;D371</f>
        <v>59176|20230930</v>
      </c>
    </row>
    <row r="372" customFormat="false" ht="15" hidden="false" customHeight="false" outlineLevel="0" collapsed="false">
      <c r="A372" s="0" t="n">
        <f aca="false">RawFinancials!A372</f>
        <v>369</v>
      </c>
      <c r="B372" s="0" t="n">
        <f aca="false">RawFinancials!C372</f>
        <v>59289</v>
      </c>
      <c r="C372" s="0" t="str">
        <f aca="false">RawFinancials!P372</f>
        <v>WALDEN MUTUAL BANK</v>
      </c>
      <c r="D372" s="0" t="n">
        <f aca="false">RawFinancials!W372</f>
        <v>20230930</v>
      </c>
      <c r="E372" s="0" t="str">
        <f aca="false">RawFinancials!Z372</f>
        <v>NH</v>
      </c>
      <c r="F372" s="0" t="n">
        <f aca="false">RawFinancials!B372</f>
        <v>61993</v>
      </c>
      <c r="G372" s="0" t="n">
        <f aca="false">RawFinancials!U372</f>
        <v>0</v>
      </c>
      <c r="H372" s="0" t="n">
        <f aca="false">RawFinancials!O372</f>
        <v>0</v>
      </c>
      <c r="I372" s="0" t="n">
        <f aca="false">IF(AND(ISNUMBER(G372),ISNUMBER(H372)),G372+H372,"")</f>
        <v>0</v>
      </c>
      <c r="J372" s="0" t="n">
        <f aca="false">RawFinancials!D372</f>
        <v>41455</v>
      </c>
      <c r="K372" s="0" t="n">
        <f aca="false">RawFinancials!F372</f>
        <v>19641</v>
      </c>
      <c r="L372" s="0" t="n">
        <f aca="false">RawFinancials!L372</f>
        <v>30270</v>
      </c>
      <c r="M372" s="0" t="n">
        <f aca="false">RawFinancials!N372</f>
        <v>13029</v>
      </c>
      <c r="N372" s="13" t="n">
        <f aca="false">RawFinancials!X372</f>
        <v>-5.48471220679485</v>
      </c>
      <c r="O372" s="13" t="n">
        <f aca="false">RawFinancials!V372</f>
        <v>0</v>
      </c>
      <c r="P372" s="13" t="n">
        <f aca="false">IF(AND(ISNUMBER(L372),L372&lt;&gt;0,ISNUMBER(M372)),100*M372/L372,"")</f>
        <v>43.0426164519326</v>
      </c>
      <c r="Q372" s="13" t="n">
        <f aca="false">IF(AND(ISNUMBER(F372),F372&lt;&gt;0,ISNUMBER(K372)),100*K372/F372,"")</f>
        <v>31.6826093268595</v>
      </c>
      <c r="R372" s="11" t="b">
        <f aca="false">AND(ISNUMBER(F372),F372&gt;0,ISNUMBER(G372),G372&gt;=0,ISNUMBER(H372),H372&gt;=0)</f>
        <v>1</v>
      </c>
      <c r="S372" s="13" t="n">
        <f aca="false">IF(R372,100*I372/F372,"")</f>
        <v>0</v>
      </c>
      <c r="T372" s="11" t="b">
        <f aca="false">NOT(AND(OR(AND(ISBLANK(RawFinancials!B372),ISBLANK(_RawBaseline!B369)),AND(ISNUMBER(RawFinancials!B372),ISNUMBER(_RawBaseline!B369),RawFinancials!B372=_RawBaseline!B369)),OR(AND(ISBLANK(RawFinancials!U372),ISBLANK(_RawBaseline!U369)),AND(ISNUMBER(RawFinancials!U372),ISNUMBER(_RawBaseline!U369),RawFinancials!U372=_RawBaseline!U369)),OR(AND(ISBLANK(RawFinancials!O372),ISBLANK(_RawBaseline!O369)),AND(ISNUMBER(RawFinancials!O372),ISNUMBER(_RawBaseline!O369),RawFinancials!O372=_RawBaseline!O369))))</f>
        <v>0</v>
      </c>
      <c r="U372" s="13" t="n">
        <f aca="false">IF(AND(D372=WF_START_PERIOD,R372,COUNTIFS($B$5:$B$750,B372,$D$5:$D$750,WF_END_PERIOD,$R$5:$R$750,TRUE())&gt;0),SUMIFS($S$5:$S$750,$B$5:$B$750,B372,$D$5:$D$750,WF_END_PERIOD,$R$5:$R$750,TRUE()),0)</f>
        <v>0</v>
      </c>
      <c r="V372" s="0" t="str">
        <f aca="false">IF(AND(D372=WF_START_PERIOD,COUNTIFS($B$5:$B$750,B372,$D$5:$D$750,WF_END_PERIOD)&gt;0),INDEX($E$5:$E$750,MATCH(B372&amp;"|"&amp;WF_END_PERIOD,$AC$5:$AC$750,0)),"")</f>
        <v/>
      </c>
      <c r="W372" s="11" t="b">
        <f aca="false">COUNTIFS($B$5:$B$750,B372,$D$5:$D$750,WF_START_PERIOD,$R$5:$R$750,TRUE())&gt;0</f>
        <v>1</v>
      </c>
      <c r="X372" s="11" t="b">
        <f aca="false">COUNTIFS($B$5:$B$750,B372,$D$5:$D$750,WF_END_PERIOD,$R$5:$R$750,TRUE())&gt;0</f>
        <v>1</v>
      </c>
      <c r="Y372" s="0" t="str">
        <f aca="false">IF(AND(D372=WF_END_PERIOD,COUNTIFS($B$5:$B$750,B372,$D$5:$D$750,WF_START_PERIOD)&gt;0),INDEX($E$5:$E$750,MATCH(B372&amp;"|"&amp;WF_START_PERIOD,$AC$5:$AC$750,0)),"")</f>
        <v/>
      </c>
      <c r="Z372" s="0" t="str">
        <f aca="false">IF(AND(D372=WF_END_PERIOD,R372),1+COUNTIFS($D$5:$D$750,WF_END_PERIOD,$E$5:$E$750,E372,$R$5:$R$750,TRUE(),$S$5:$S$750,"&gt;"&amp;S372)+COUNTIFS($D$5:$D$750,WF_END_PERIOD,$E$5:$E$750,E372,$R$5:$R$750,TRUE(),$S$5:$S$750,S372,$B$5:$B$750,"&lt;"&amp;B372),"")</f>
        <v/>
      </c>
      <c r="AA372" s="0" t="str">
        <f aca="false">IF(AND(D372=WF_END_PERIOD,R372,Z372&lt;&gt;1),1+COUNTIFS($D$5:$D$750,WF_END_PERIOD,$R$5:$R$750,TRUE(),$Z$5:$Z$750,"&lt;&gt;1",$S$5:$S$750,"&gt;"&amp;S372)+COUNTIFS($D$5:$D$750,WF_END_PERIOD,$R$5:$R$750,TRUE(),$Z$5:$Z$750,"&lt;&gt;1",$S$5:$S$750,S372,$B$5:$B$750,"&lt;"&amp;B372),"")</f>
        <v/>
      </c>
      <c r="AB372" s="11" t="b">
        <f aca="false">OR(D372=WF_START_PERIOD,D372=WF_END_PERIOD)</f>
        <v>0</v>
      </c>
      <c r="AC372" s="0" t="str">
        <f aca="false">B372&amp;"|"&amp;D372</f>
        <v>59289|20230930</v>
      </c>
    </row>
    <row r="373" customFormat="false" ht="15" hidden="false" customHeight="false" outlineLevel="0" collapsed="false">
      <c r="A373" s="0" t="n">
        <f aca="false">RawFinancials!A373</f>
        <v>370</v>
      </c>
      <c r="B373" s="0" t="n">
        <f aca="false">RawFinancials!C373</f>
        <v>59298</v>
      </c>
      <c r="C373" s="0" t="str">
        <f aca="false">RawFinancials!P373</f>
        <v>BANK OF BURLINGTON</v>
      </c>
      <c r="D373" s="0" t="n">
        <f aca="false">RawFinancials!W373</f>
        <v>20230930</v>
      </c>
      <c r="E373" s="0" t="str">
        <f aca="false">RawFinancials!Z373</f>
        <v>VT</v>
      </c>
      <c r="F373" s="0" t="n">
        <f aca="false">RawFinancials!B373</f>
        <v>134128</v>
      </c>
      <c r="G373" s="0" t="n">
        <f aca="false">RawFinancials!U373</f>
        <v>0</v>
      </c>
      <c r="H373" s="0" t="n">
        <f aca="false">RawFinancials!O373</f>
        <v>0</v>
      </c>
      <c r="I373" s="0" t="n">
        <f aca="false">IF(AND(ISNUMBER(G373),ISNUMBER(H373)),G373+H373,"")</f>
        <v>0</v>
      </c>
      <c r="J373" s="0" t="n">
        <f aca="false">RawFinancials!D373</f>
        <v>105729</v>
      </c>
      <c r="K373" s="0" t="n">
        <f aca="false">RawFinancials!F373</f>
        <v>27342</v>
      </c>
      <c r="L373" s="0" t="n">
        <f aca="false">RawFinancials!L373</f>
        <v>53456</v>
      </c>
      <c r="M373" s="0" t="n">
        <f aca="false">RawFinancials!N373</f>
        <v>38015</v>
      </c>
      <c r="N373" s="13" t="n">
        <f aca="false">RawFinancials!X373</f>
        <v>-2.33450133372531</v>
      </c>
      <c r="O373" s="13" t="n">
        <f aca="false">RawFinancials!V373</f>
        <v>0</v>
      </c>
      <c r="P373" s="13" t="n">
        <f aca="false">IF(AND(ISNUMBER(L373),L373&lt;&gt;0,ISNUMBER(M373)),100*M373/L373,"")</f>
        <v>71.1145615085304</v>
      </c>
      <c r="Q373" s="13" t="n">
        <f aca="false">IF(AND(ISNUMBER(F373),F373&lt;&gt;0,ISNUMBER(K373)),100*K373/F373,"")</f>
        <v>20.3850053680067</v>
      </c>
      <c r="R373" s="11" t="b">
        <f aca="false">AND(ISNUMBER(F373),F373&gt;0,ISNUMBER(G373),G373&gt;=0,ISNUMBER(H373),H373&gt;=0)</f>
        <v>1</v>
      </c>
      <c r="S373" s="13" t="n">
        <f aca="false">IF(R373,100*I373/F373,"")</f>
        <v>0</v>
      </c>
      <c r="T373" s="11" t="b">
        <f aca="false">NOT(AND(OR(AND(ISBLANK(RawFinancials!B373),ISBLANK(_RawBaseline!B370)),AND(ISNUMBER(RawFinancials!B373),ISNUMBER(_RawBaseline!B370),RawFinancials!B373=_RawBaseline!B370)),OR(AND(ISBLANK(RawFinancials!U373),ISBLANK(_RawBaseline!U370)),AND(ISNUMBER(RawFinancials!U373),ISNUMBER(_RawBaseline!U370),RawFinancials!U373=_RawBaseline!U370)),OR(AND(ISBLANK(RawFinancials!O373),ISBLANK(_RawBaseline!O370)),AND(ISNUMBER(RawFinancials!O373),ISNUMBER(_RawBaseline!O370),RawFinancials!O373=_RawBaseline!O370))))</f>
        <v>0</v>
      </c>
      <c r="U373" s="13" t="n">
        <f aca="false">IF(AND(D373=WF_START_PERIOD,R373,COUNTIFS($B$5:$B$750,B373,$D$5:$D$750,WF_END_PERIOD,$R$5:$R$750,TRUE())&gt;0),SUMIFS($S$5:$S$750,$B$5:$B$750,B373,$D$5:$D$750,WF_END_PERIOD,$R$5:$R$750,TRUE()),0)</f>
        <v>0</v>
      </c>
      <c r="V373" s="0" t="str">
        <f aca="false">IF(AND(D373=WF_START_PERIOD,COUNTIFS($B$5:$B$750,B373,$D$5:$D$750,WF_END_PERIOD)&gt;0),INDEX($E$5:$E$750,MATCH(B373&amp;"|"&amp;WF_END_PERIOD,$AC$5:$AC$750,0)),"")</f>
        <v/>
      </c>
      <c r="W373" s="11" t="b">
        <f aca="false">COUNTIFS($B$5:$B$750,B373,$D$5:$D$750,WF_START_PERIOD,$R$5:$R$750,TRUE())&gt;0</f>
        <v>1</v>
      </c>
      <c r="X373" s="11" t="b">
        <f aca="false">COUNTIFS($B$5:$B$750,B373,$D$5:$D$750,WF_END_PERIOD,$R$5:$R$750,TRUE())&gt;0</f>
        <v>1</v>
      </c>
      <c r="Y373" s="0" t="str">
        <f aca="false">IF(AND(D373=WF_END_PERIOD,COUNTIFS($B$5:$B$750,B373,$D$5:$D$750,WF_START_PERIOD)&gt;0),INDEX($E$5:$E$750,MATCH(B373&amp;"|"&amp;WF_START_PERIOD,$AC$5:$AC$750,0)),"")</f>
        <v/>
      </c>
      <c r="Z373" s="0" t="str">
        <f aca="false">IF(AND(D373=WF_END_PERIOD,R373),1+COUNTIFS($D$5:$D$750,WF_END_PERIOD,$E$5:$E$750,E373,$R$5:$R$750,TRUE(),$S$5:$S$750,"&gt;"&amp;S373)+COUNTIFS($D$5:$D$750,WF_END_PERIOD,$E$5:$E$750,E373,$R$5:$R$750,TRUE(),$S$5:$S$750,S373,$B$5:$B$750,"&lt;"&amp;B373),"")</f>
        <v/>
      </c>
      <c r="AA373" s="0" t="str">
        <f aca="false">IF(AND(D373=WF_END_PERIOD,R373,Z373&lt;&gt;1),1+COUNTIFS($D$5:$D$750,WF_END_PERIOD,$R$5:$R$750,TRUE(),$Z$5:$Z$750,"&lt;&gt;1",$S$5:$S$750,"&gt;"&amp;S373)+COUNTIFS($D$5:$D$750,WF_END_PERIOD,$R$5:$R$750,TRUE(),$Z$5:$Z$750,"&lt;&gt;1",$S$5:$S$750,S373,$B$5:$B$750,"&lt;"&amp;B373),"")</f>
        <v/>
      </c>
      <c r="AB373" s="11" t="b">
        <f aca="false">OR(D373=WF_START_PERIOD,D373=WF_END_PERIOD)</f>
        <v>0</v>
      </c>
      <c r="AC373" s="0" t="str">
        <f aca="false">B373&amp;"|"&amp;D373</f>
        <v>59298|20230930</v>
      </c>
    </row>
    <row r="374" customFormat="false" ht="15" hidden="false" customHeight="false" outlineLevel="0" collapsed="false">
      <c r="A374" s="0" t="n">
        <f aca="false">RawFinancials!A374</f>
        <v>371</v>
      </c>
      <c r="B374" s="0" t="n">
        <f aca="false">RawFinancials!C374</f>
        <v>6271</v>
      </c>
      <c r="C374" s="0" t="str">
        <f aca="false">RawFinancials!P374</f>
        <v>COMMUNITY NATIONAL BANK</v>
      </c>
      <c r="D374" s="0" t="n">
        <f aca="false">RawFinancials!W374</f>
        <v>20230930</v>
      </c>
      <c r="E374" s="0" t="str">
        <f aca="false">RawFinancials!Z374</f>
        <v>VT</v>
      </c>
      <c r="F374" s="0" t="n">
        <f aca="false">RawFinancials!B374</f>
        <v>1082666</v>
      </c>
      <c r="G374" s="0" t="n">
        <f aca="false">RawFinancials!U374</f>
        <v>999</v>
      </c>
      <c r="H374" s="0" t="n">
        <f aca="false">RawFinancials!O374</f>
        <v>7215</v>
      </c>
      <c r="I374" s="0" t="n">
        <f aca="false">IF(AND(ISNUMBER(G374),ISNUMBER(H374)),G374+H374,"")</f>
        <v>8214</v>
      </c>
      <c r="J374" s="0" t="n">
        <f aca="false">RawFinancials!D374</f>
        <v>902628</v>
      </c>
      <c r="K374" s="0" t="n">
        <f aca="false">RawFinancials!F374</f>
        <v>90587</v>
      </c>
      <c r="L374" s="0" t="n">
        <f aca="false">RawFinancials!L374</f>
        <v>839179</v>
      </c>
      <c r="M374" s="0" t="n">
        <f aca="false">RawFinancials!N374</f>
        <v>644820</v>
      </c>
      <c r="N374" s="13" t="n">
        <f aca="false">RawFinancials!X374</f>
        <v>1.3701658298972</v>
      </c>
      <c r="O374" s="13" t="n">
        <f aca="false">RawFinancials!V374</f>
        <v>14.6491413757327</v>
      </c>
      <c r="P374" s="13" t="n">
        <f aca="false">IF(AND(ISNUMBER(L374),L374&lt;&gt;0,ISNUMBER(M374)),100*M374/L374,"")</f>
        <v>76.8393870675982</v>
      </c>
      <c r="Q374" s="13" t="n">
        <f aca="false">IF(AND(ISNUMBER(F374),F374&lt;&gt;0,ISNUMBER(K374)),100*K374/F374,"")</f>
        <v>8.36703101418166</v>
      </c>
      <c r="R374" s="11" t="b">
        <f aca="false">AND(ISNUMBER(F374),F374&gt;0,ISNUMBER(G374),G374&gt;=0,ISNUMBER(H374),H374&gt;=0)</f>
        <v>1</v>
      </c>
      <c r="S374" s="13" t="n">
        <f aca="false">IF(R374,100*I374/F374,"")</f>
        <v>0.758682733179023</v>
      </c>
      <c r="T374" s="11" t="b">
        <f aca="false">NOT(AND(OR(AND(ISBLANK(RawFinancials!B374),ISBLANK(_RawBaseline!B371)),AND(ISNUMBER(RawFinancials!B374),ISNUMBER(_RawBaseline!B371),RawFinancials!B374=_RawBaseline!B371)),OR(AND(ISBLANK(RawFinancials!U374),ISBLANK(_RawBaseline!U371)),AND(ISNUMBER(RawFinancials!U374),ISNUMBER(_RawBaseline!U371),RawFinancials!U374=_RawBaseline!U371)),OR(AND(ISBLANK(RawFinancials!O374),ISBLANK(_RawBaseline!O371)),AND(ISNUMBER(RawFinancials!O374),ISNUMBER(_RawBaseline!O371),RawFinancials!O374=_RawBaseline!O371))))</f>
        <v>0</v>
      </c>
      <c r="U374" s="13" t="n">
        <f aca="false">IF(AND(D374=WF_START_PERIOD,R374,COUNTIFS($B$5:$B$750,B374,$D$5:$D$750,WF_END_PERIOD,$R$5:$R$750,TRUE())&gt;0),SUMIFS($S$5:$S$750,$B$5:$B$750,B374,$D$5:$D$750,WF_END_PERIOD,$R$5:$R$750,TRUE()),0)</f>
        <v>0</v>
      </c>
      <c r="V374" s="0" t="str">
        <f aca="false">IF(AND(D374=WF_START_PERIOD,COUNTIFS($B$5:$B$750,B374,$D$5:$D$750,WF_END_PERIOD)&gt;0),INDEX($E$5:$E$750,MATCH(B374&amp;"|"&amp;WF_END_PERIOD,$AC$5:$AC$750,0)),"")</f>
        <v/>
      </c>
      <c r="W374" s="11" t="b">
        <f aca="false">COUNTIFS($B$5:$B$750,B374,$D$5:$D$750,WF_START_PERIOD,$R$5:$R$750,TRUE())&gt;0</f>
        <v>1</v>
      </c>
      <c r="X374" s="11" t="b">
        <f aca="false">COUNTIFS($B$5:$B$750,B374,$D$5:$D$750,WF_END_PERIOD,$R$5:$R$750,TRUE())&gt;0</f>
        <v>1</v>
      </c>
      <c r="Y374" s="0" t="str">
        <f aca="false">IF(AND(D374=WF_END_PERIOD,COUNTIFS($B$5:$B$750,B374,$D$5:$D$750,WF_START_PERIOD)&gt;0),INDEX($E$5:$E$750,MATCH(B374&amp;"|"&amp;WF_START_PERIOD,$AC$5:$AC$750,0)),"")</f>
        <v/>
      </c>
      <c r="Z374" s="0" t="str">
        <f aca="false">IF(AND(D374=WF_END_PERIOD,R374),1+COUNTIFS($D$5:$D$750,WF_END_PERIOD,$E$5:$E$750,E374,$R$5:$R$750,TRUE(),$S$5:$S$750,"&gt;"&amp;S374)+COUNTIFS($D$5:$D$750,WF_END_PERIOD,$E$5:$E$750,E374,$R$5:$R$750,TRUE(),$S$5:$S$750,S374,$B$5:$B$750,"&lt;"&amp;B374),"")</f>
        <v/>
      </c>
      <c r="AA374" s="0" t="str">
        <f aca="false">IF(AND(D374=WF_END_PERIOD,R374,Z374&lt;&gt;1),1+COUNTIFS($D$5:$D$750,WF_END_PERIOD,$R$5:$R$750,TRUE(),$Z$5:$Z$750,"&lt;&gt;1",$S$5:$S$750,"&gt;"&amp;S374)+COUNTIFS($D$5:$D$750,WF_END_PERIOD,$R$5:$R$750,TRUE(),$Z$5:$Z$750,"&lt;&gt;1",$S$5:$S$750,S374,$B$5:$B$750,"&lt;"&amp;B374),"")</f>
        <v/>
      </c>
      <c r="AB374" s="11" t="b">
        <f aca="false">OR(D374=WF_START_PERIOD,D374=WF_END_PERIOD)</f>
        <v>0</v>
      </c>
      <c r="AC374" s="0" t="str">
        <f aca="false">B374&amp;"|"&amp;D374</f>
        <v>6271|20230930</v>
      </c>
    </row>
    <row r="375" customFormat="false" ht="15" hidden="false" customHeight="false" outlineLevel="0" collapsed="false">
      <c r="A375" s="0" t="n">
        <f aca="false">RawFinancials!A375</f>
        <v>372</v>
      </c>
      <c r="B375" s="0" t="n">
        <f aca="false">RawFinancials!C375</f>
        <v>6275</v>
      </c>
      <c r="C375" s="0" t="str">
        <f aca="false">RawFinancials!P375</f>
        <v>THE NATIONAL BANK OF MIDDLEBURY</v>
      </c>
      <c r="D375" s="0" t="n">
        <f aca="false">RawFinancials!W375</f>
        <v>20230930</v>
      </c>
      <c r="E375" s="0" t="str">
        <f aca="false">RawFinancials!Z375</f>
        <v>VT</v>
      </c>
      <c r="F375" s="0" t="n">
        <f aca="false">RawFinancials!B375</f>
        <v>554170</v>
      </c>
      <c r="G375" s="0" t="n">
        <f aca="false">RawFinancials!U375</f>
        <v>0</v>
      </c>
      <c r="H375" s="0" t="n">
        <f aca="false">RawFinancials!O375</f>
        <v>1262</v>
      </c>
      <c r="I375" s="0" t="n">
        <f aca="false">IF(AND(ISNUMBER(G375),ISNUMBER(H375)),G375+H375,"")</f>
        <v>1262</v>
      </c>
      <c r="J375" s="0" t="n">
        <f aca="false">RawFinancials!D375</f>
        <v>479167</v>
      </c>
      <c r="K375" s="0" t="n">
        <f aca="false">RawFinancials!F375</f>
        <v>22855</v>
      </c>
      <c r="L375" s="0" t="n">
        <f aca="false">RawFinancials!L375</f>
        <v>333822</v>
      </c>
      <c r="M375" s="0" t="n">
        <f aca="false">RawFinancials!N375</f>
        <v>274189</v>
      </c>
      <c r="N375" s="13" t="n">
        <f aca="false">RawFinancials!X375</f>
        <v>0.428313354479842</v>
      </c>
      <c r="O375" s="13" t="n">
        <f aca="false">RawFinancials!V375</f>
        <v>14.7986092970606</v>
      </c>
      <c r="P375" s="13" t="n">
        <f aca="false">IF(AND(ISNUMBER(L375),L375&lt;&gt;0,ISNUMBER(M375)),100*M375/L375,"")</f>
        <v>82.1362882014966</v>
      </c>
      <c r="Q375" s="13" t="n">
        <f aca="false">IF(AND(ISNUMBER(F375),F375&lt;&gt;0,ISNUMBER(K375)),100*K375/F375,"")</f>
        <v>4.12418571918364</v>
      </c>
      <c r="R375" s="11" t="b">
        <f aca="false">AND(ISNUMBER(F375),F375&gt;0,ISNUMBER(G375),G375&gt;=0,ISNUMBER(H375),H375&gt;=0)</f>
        <v>1</v>
      </c>
      <c r="S375" s="13" t="n">
        <f aca="false">IF(R375,100*I375/F375,"")</f>
        <v>0.227727953516069</v>
      </c>
      <c r="T375" s="11" t="b">
        <f aca="false">NOT(AND(OR(AND(ISBLANK(RawFinancials!B375),ISBLANK(_RawBaseline!B372)),AND(ISNUMBER(RawFinancials!B375),ISNUMBER(_RawBaseline!B372),RawFinancials!B375=_RawBaseline!B372)),OR(AND(ISBLANK(RawFinancials!U375),ISBLANK(_RawBaseline!U372)),AND(ISNUMBER(RawFinancials!U375),ISNUMBER(_RawBaseline!U372),RawFinancials!U375=_RawBaseline!U372)),OR(AND(ISBLANK(RawFinancials!O375),ISBLANK(_RawBaseline!O372)),AND(ISNUMBER(RawFinancials!O375),ISNUMBER(_RawBaseline!O372),RawFinancials!O375=_RawBaseline!O372))))</f>
        <v>0</v>
      </c>
      <c r="U375" s="13" t="n">
        <f aca="false">IF(AND(D375=WF_START_PERIOD,R375,COUNTIFS($B$5:$B$750,B375,$D$5:$D$750,WF_END_PERIOD,$R$5:$R$750,TRUE())&gt;0),SUMIFS($S$5:$S$750,$B$5:$B$750,B375,$D$5:$D$750,WF_END_PERIOD,$R$5:$R$750,TRUE()),0)</f>
        <v>0</v>
      </c>
      <c r="V375" s="0" t="str">
        <f aca="false">IF(AND(D375=WF_START_PERIOD,COUNTIFS($B$5:$B$750,B375,$D$5:$D$750,WF_END_PERIOD)&gt;0),INDEX($E$5:$E$750,MATCH(B375&amp;"|"&amp;WF_END_PERIOD,$AC$5:$AC$750,0)),"")</f>
        <v/>
      </c>
      <c r="W375" s="11" t="b">
        <f aca="false">COUNTIFS($B$5:$B$750,B375,$D$5:$D$750,WF_START_PERIOD,$R$5:$R$750,TRUE())&gt;0</f>
        <v>1</v>
      </c>
      <c r="X375" s="11" t="b">
        <f aca="false">COUNTIFS($B$5:$B$750,B375,$D$5:$D$750,WF_END_PERIOD,$R$5:$R$750,TRUE())&gt;0</f>
        <v>1</v>
      </c>
      <c r="Y375" s="0" t="str">
        <f aca="false">IF(AND(D375=WF_END_PERIOD,COUNTIFS($B$5:$B$750,B375,$D$5:$D$750,WF_START_PERIOD)&gt;0),INDEX($E$5:$E$750,MATCH(B375&amp;"|"&amp;WF_START_PERIOD,$AC$5:$AC$750,0)),"")</f>
        <v/>
      </c>
      <c r="Z375" s="0" t="str">
        <f aca="false">IF(AND(D375=WF_END_PERIOD,R375),1+COUNTIFS($D$5:$D$750,WF_END_PERIOD,$E$5:$E$750,E375,$R$5:$R$750,TRUE(),$S$5:$S$750,"&gt;"&amp;S375)+COUNTIFS($D$5:$D$750,WF_END_PERIOD,$E$5:$E$750,E375,$R$5:$R$750,TRUE(),$S$5:$S$750,S375,$B$5:$B$750,"&lt;"&amp;B375),"")</f>
        <v/>
      </c>
      <c r="AA375" s="0" t="str">
        <f aca="false">IF(AND(D375=WF_END_PERIOD,R375,Z375&lt;&gt;1),1+COUNTIFS($D$5:$D$750,WF_END_PERIOD,$R$5:$R$750,TRUE(),$Z$5:$Z$750,"&lt;&gt;1",$S$5:$S$750,"&gt;"&amp;S375)+COUNTIFS($D$5:$D$750,WF_END_PERIOD,$R$5:$R$750,TRUE(),$Z$5:$Z$750,"&lt;&gt;1",$S$5:$S$750,S375,$B$5:$B$750,"&lt;"&amp;B375),"")</f>
        <v/>
      </c>
      <c r="AB375" s="11" t="b">
        <f aca="false">OR(D375=WF_START_PERIOD,D375=WF_END_PERIOD)</f>
        <v>0</v>
      </c>
      <c r="AC375" s="0" t="str">
        <f aca="false">B375&amp;"|"&amp;D375</f>
        <v>6275|20230930</v>
      </c>
    </row>
    <row r="376" customFormat="false" ht="15" hidden="false" customHeight="false" outlineLevel="0" collapsed="false">
      <c r="A376" s="0" t="n">
        <f aca="false">RawFinancials!A376</f>
        <v>373</v>
      </c>
      <c r="B376" s="0" t="n">
        <f aca="false">RawFinancials!C376</f>
        <v>6280</v>
      </c>
      <c r="C376" s="0" t="str">
        <f aca="false">RawFinancials!P376</f>
        <v>THE FIRST NATIONAL BANK OF ORWELL</v>
      </c>
      <c r="D376" s="0" t="n">
        <f aca="false">RawFinancials!W376</f>
        <v>20230930</v>
      </c>
      <c r="E376" s="0" t="str">
        <f aca="false">RawFinancials!Z376</f>
        <v>VT</v>
      </c>
      <c r="F376" s="0" t="n">
        <f aca="false">RawFinancials!B376</f>
        <v>81114</v>
      </c>
      <c r="G376" s="0" t="n">
        <f aca="false">RawFinancials!U376</f>
        <v>0</v>
      </c>
      <c r="H376" s="0" t="n">
        <f aca="false">RawFinancials!O376</f>
        <v>952</v>
      </c>
      <c r="I376" s="0" t="n">
        <f aca="false">IF(AND(ISNUMBER(G376),ISNUMBER(H376)),G376+H376,"")</f>
        <v>952</v>
      </c>
      <c r="J376" s="0" t="n">
        <f aca="false">RawFinancials!D376</f>
        <v>71481</v>
      </c>
      <c r="K376" s="0" t="n">
        <f aca="false">RawFinancials!F376</f>
        <v>9381</v>
      </c>
      <c r="L376" s="0" t="n">
        <f aca="false">RawFinancials!L376</f>
        <v>66663</v>
      </c>
      <c r="M376" s="0" t="n">
        <f aca="false">RawFinancials!N376</f>
        <v>59127</v>
      </c>
      <c r="N376" s="13" t="n">
        <f aca="false">RawFinancials!X376</f>
        <v>1.84180132673071</v>
      </c>
      <c r="O376" s="13" t="n">
        <f aca="false">RawFinancials!V376</f>
        <v>0</v>
      </c>
      <c r="P376" s="13" t="n">
        <f aca="false">IF(AND(ISNUMBER(L376),L376&lt;&gt;0,ISNUMBER(M376)),100*M376/L376,"")</f>
        <v>88.6953782458035</v>
      </c>
      <c r="Q376" s="13" t="n">
        <f aca="false">IF(AND(ISNUMBER(F376),F376&lt;&gt;0,ISNUMBER(K376)),100*K376/F376,"")</f>
        <v>11.5652045269621</v>
      </c>
      <c r="R376" s="11" t="b">
        <f aca="false">AND(ISNUMBER(F376),F376&gt;0,ISNUMBER(G376),G376&gt;=0,ISNUMBER(H376),H376&gt;=0)</f>
        <v>1</v>
      </c>
      <c r="S376" s="13" t="n">
        <f aca="false">IF(R376,100*I376/F376,"")</f>
        <v>1.1736568286609</v>
      </c>
      <c r="T376" s="11" t="b">
        <f aca="false">NOT(AND(OR(AND(ISBLANK(RawFinancials!B376),ISBLANK(_RawBaseline!B373)),AND(ISNUMBER(RawFinancials!B376),ISNUMBER(_RawBaseline!B373),RawFinancials!B376=_RawBaseline!B373)),OR(AND(ISBLANK(RawFinancials!U376),ISBLANK(_RawBaseline!U373)),AND(ISNUMBER(RawFinancials!U376),ISNUMBER(_RawBaseline!U373),RawFinancials!U376=_RawBaseline!U373)),OR(AND(ISBLANK(RawFinancials!O376),ISBLANK(_RawBaseline!O373)),AND(ISNUMBER(RawFinancials!O376),ISNUMBER(_RawBaseline!O373),RawFinancials!O376=_RawBaseline!O373))))</f>
        <v>0</v>
      </c>
      <c r="U376" s="13" t="n">
        <f aca="false">IF(AND(D376=WF_START_PERIOD,R376,COUNTIFS($B$5:$B$750,B376,$D$5:$D$750,WF_END_PERIOD,$R$5:$R$750,TRUE())&gt;0),SUMIFS($S$5:$S$750,$B$5:$B$750,B376,$D$5:$D$750,WF_END_PERIOD,$R$5:$R$750,TRUE()),0)</f>
        <v>0</v>
      </c>
      <c r="V376" s="0" t="str">
        <f aca="false">IF(AND(D376=WF_START_PERIOD,COUNTIFS($B$5:$B$750,B376,$D$5:$D$750,WF_END_PERIOD)&gt;0),INDEX($E$5:$E$750,MATCH(B376&amp;"|"&amp;WF_END_PERIOD,$AC$5:$AC$750,0)),"")</f>
        <v/>
      </c>
      <c r="W376" s="11" t="b">
        <f aca="false">COUNTIFS($B$5:$B$750,B376,$D$5:$D$750,WF_START_PERIOD,$R$5:$R$750,TRUE())&gt;0</f>
        <v>1</v>
      </c>
      <c r="X376" s="11" t="b">
        <f aca="false">COUNTIFS($B$5:$B$750,B376,$D$5:$D$750,WF_END_PERIOD,$R$5:$R$750,TRUE())&gt;0</f>
        <v>1</v>
      </c>
      <c r="Y376" s="0" t="str">
        <f aca="false">IF(AND(D376=WF_END_PERIOD,COUNTIFS($B$5:$B$750,B376,$D$5:$D$750,WF_START_PERIOD)&gt;0),INDEX($E$5:$E$750,MATCH(B376&amp;"|"&amp;WF_START_PERIOD,$AC$5:$AC$750,0)),"")</f>
        <v/>
      </c>
      <c r="Z376" s="0" t="str">
        <f aca="false">IF(AND(D376=WF_END_PERIOD,R376),1+COUNTIFS($D$5:$D$750,WF_END_PERIOD,$E$5:$E$750,E376,$R$5:$R$750,TRUE(),$S$5:$S$750,"&gt;"&amp;S376)+COUNTIFS($D$5:$D$750,WF_END_PERIOD,$E$5:$E$750,E376,$R$5:$R$750,TRUE(),$S$5:$S$750,S376,$B$5:$B$750,"&lt;"&amp;B376),"")</f>
        <v/>
      </c>
      <c r="AA376" s="0" t="str">
        <f aca="false">IF(AND(D376=WF_END_PERIOD,R376,Z376&lt;&gt;1),1+COUNTIFS($D$5:$D$750,WF_END_PERIOD,$R$5:$R$750,TRUE(),$Z$5:$Z$750,"&lt;&gt;1",$S$5:$S$750,"&gt;"&amp;S376)+COUNTIFS($D$5:$D$750,WF_END_PERIOD,$R$5:$R$750,TRUE(),$Z$5:$Z$750,"&lt;&gt;1",$S$5:$S$750,S376,$B$5:$B$750,"&lt;"&amp;B376),"")</f>
        <v/>
      </c>
      <c r="AB376" s="11" t="b">
        <f aca="false">OR(D376=WF_START_PERIOD,D376=WF_END_PERIOD)</f>
        <v>0</v>
      </c>
      <c r="AC376" s="0" t="str">
        <f aca="false">B376&amp;"|"&amp;D376</f>
        <v>6280|20230930</v>
      </c>
    </row>
    <row r="377" customFormat="false" ht="15" hidden="false" customHeight="false" outlineLevel="0" collapsed="false">
      <c r="A377" s="0" t="n">
        <f aca="false">RawFinancials!A377</f>
        <v>374</v>
      </c>
      <c r="B377" s="0" t="n">
        <f aca="false">RawFinancials!C377</f>
        <v>11971</v>
      </c>
      <c r="C377" s="0" t="str">
        <f aca="false">RawFinancials!P377</f>
        <v>BAR HARBOR BANK &amp; TRUST</v>
      </c>
      <c r="D377" s="0" t="n">
        <f aca="false">RawFinancials!W377</f>
        <v>20231231</v>
      </c>
      <c r="E377" s="0" t="str">
        <f aca="false">RawFinancials!Z377</f>
        <v>ME</v>
      </c>
      <c r="F377" s="0" t="n">
        <f aca="false">RawFinancials!B377</f>
        <v>3967808</v>
      </c>
      <c r="G377" s="0" t="n">
        <f aca="false">RawFinancials!U377</f>
        <v>141</v>
      </c>
      <c r="H377" s="0" t="n">
        <f aca="false">RawFinancials!O377</f>
        <v>5529</v>
      </c>
      <c r="I377" s="0" t="n">
        <f aca="false">IF(AND(ISNUMBER(G377),ISNUMBER(H377)),G377+H377,"")</f>
        <v>5670</v>
      </c>
      <c r="J377" s="0" t="n">
        <f aca="false">RawFinancials!D377</f>
        <v>3149026</v>
      </c>
      <c r="K377" s="0" t="n">
        <f aca="false">RawFinancials!F377</f>
        <v>483954</v>
      </c>
      <c r="L377" s="0" t="n">
        <f aca="false">RawFinancials!L377</f>
        <v>3001238</v>
      </c>
      <c r="M377" s="0" t="n">
        <f aca="false">RawFinancials!N377</f>
        <v>2638835</v>
      </c>
      <c r="N377" s="13" t="n">
        <f aca="false">RawFinancials!X377</f>
        <v>1.29383869122729</v>
      </c>
      <c r="O377" s="13" t="n">
        <f aca="false">RawFinancials!V377</f>
        <v>13.9732003897365</v>
      </c>
      <c r="P377" s="13" t="n">
        <f aca="false">IF(AND(ISNUMBER(L377),L377&lt;&gt;0,ISNUMBER(M377)),100*M377/L377,"")</f>
        <v>87.9248829982827</v>
      </c>
      <c r="Q377" s="13" t="n">
        <f aca="false">IF(AND(ISNUMBER(F377),F377&lt;&gt;0,ISNUMBER(K377)),100*K377/F377,"")</f>
        <v>12.1970115489459</v>
      </c>
      <c r="R377" s="11" t="b">
        <f aca="false">AND(ISNUMBER(F377),F377&gt;0,ISNUMBER(G377),G377&gt;=0,ISNUMBER(H377),H377&gt;=0)</f>
        <v>1</v>
      </c>
      <c r="S377" s="13" t="n">
        <f aca="false">IF(R377,100*I377/F377,"")</f>
        <v>0.142900059680307</v>
      </c>
      <c r="T377" s="11" t="b">
        <f aca="false">NOT(AND(OR(AND(ISBLANK(RawFinancials!B377),ISBLANK(_RawBaseline!B374)),AND(ISNUMBER(RawFinancials!B377),ISNUMBER(_RawBaseline!B374),RawFinancials!B377=_RawBaseline!B374)),OR(AND(ISBLANK(RawFinancials!U377),ISBLANK(_RawBaseline!U374)),AND(ISNUMBER(RawFinancials!U377),ISNUMBER(_RawBaseline!U374),RawFinancials!U377=_RawBaseline!U374)),OR(AND(ISBLANK(RawFinancials!O377),ISBLANK(_RawBaseline!O374)),AND(ISNUMBER(RawFinancials!O377),ISNUMBER(_RawBaseline!O374),RawFinancials!O377=_RawBaseline!O374))))</f>
        <v>0</v>
      </c>
      <c r="U377" s="13" t="n">
        <f aca="false">IF(AND(D377=WF_START_PERIOD,R377,COUNTIFS($B$5:$B$750,B377,$D$5:$D$750,WF_END_PERIOD,$R$5:$R$750,TRUE())&gt;0),SUMIFS($S$5:$S$750,$B$5:$B$750,B377,$D$5:$D$750,WF_END_PERIOD,$R$5:$R$750,TRUE()),0)</f>
        <v>0</v>
      </c>
      <c r="V377" s="0" t="str">
        <f aca="false">IF(AND(D377=WF_START_PERIOD,COUNTIFS($B$5:$B$750,B377,$D$5:$D$750,WF_END_PERIOD)&gt;0),INDEX($E$5:$E$750,MATCH(B377&amp;"|"&amp;WF_END_PERIOD,$AC$5:$AC$750,0)),"")</f>
        <v/>
      </c>
      <c r="W377" s="11" t="b">
        <f aca="false">COUNTIFS($B$5:$B$750,B377,$D$5:$D$750,WF_START_PERIOD,$R$5:$R$750,TRUE())&gt;0</f>
        <v>1</v>
      </c>
      <c r="X377" s="11" t="b">
        <f aca="false">COUNTIFS($B$5:$B$750,B377,$D$5:$D$750,WF_END_PERIOD,$R$5:$R$750,TRUE())&gt;0</f>
        <v>1</v>
      </c>
      <c r="Y377" s="0" t="str">
        <f aca="false">IF(AND(D377=WF_END_PERIOD,COUNTIFS($B$5:$B$750,B377,$D$5:$D$750,WF_START_PERIOD)&gt;0),INDEX($E$5:$E$750,MATCH(B377&amp;"|"&amp;WF_START_PERIOD,$AC$5:$AC$750,0)),"")</f>
        <v/>
      </c>
      <c r="Z377" s="0" t="str">
        <f aca="false">IF(AND(D377=WF_END_PERIOD,R377),1+COUNTIFS($D$5:$D$750,WF_END_PERIOD,$E$5:$E$750,E377,$R$5:$R$750,TRUE(),$S$5:$S$750,"&gt;"&amp;S377)+COUNTIFS($D$5:$D$750,WF_END_PERIOD,$E$5:$E$750,E377,$R$5:$R$750,TRUE(),$S$5:$S$750,S377,$B$5:$B$750,"&lt;"&amp;B377),"")</f>
        <v/>
      </c>
      <c r="AA377" s="0" t="str">
        <f aca="false">IF(AND(D377=WF_END_PERIOD,R377,Z377&lt;&gt;1),1+COUNTIFS($D$5:$D$750,WF_END_PERIOD,$R$5:$R$750,TRUE(),$Z$5:$Z$750,"&lt;&gt;1",$S$5:$S$750,"&gt;"&amp;S377)+COUNTIFS($D$5:$D$750,WF_END_PERIOD,$R$5:$R$750,TRUE(),$Z$5:$Z$750,"&lt;&gt;1",$S$5:$S$750,S377,$B$5:$B$750,"&lt;"&amp;B377),"")</f>
        <v/>
      </c>
      <c r="AB377" s="11" t="b">
        <f aca="false">OR(D377=WF_START_PERIOD,D377=WF_END_PERIOD)</f>
        <v>0</v>
      </c>
      <c r="AC377" s="0" t="str">
        <f aca="false">B377&amp;"|"&amp;D377</f>
        <v>11971|20231231</v>
      </c>
    </row>
    <row r="378" customFormat="false" ht="15" hidden="false" customHeight="false" outlineLevel="0" collapsed="false">
      <c r="A378" s="0" t="n">
        <f aca="false">RawFinancials!A378</f>
        <v>375</v>
      </c>
      <c r="B378" s="0" t="n">
        <f aca="false">RawFinancials!C378</f>
        <v>12874</v>
      </c>
      <c r="C378" s="0" t="str">
        <f aca="false">RawFinancials!P378</f>
        <v>KATAHDIN TRUST COMPANY</v>
      </c>
      <c r="D378" s="0" t="n">
        <f aca="false">RawFinancials!W378</f>
        <v>20231231</v>
      </c>
      <c r="E378" s="0" t="str">
        <f aca="false">RawFinancials!Z378</f>
        <v>ME</v>
      </c>
      <c r="F378" s="0" t="n">
        <f aca="false">RawFinancials!B378</f>
        <v>1032673</v>
      </c>
      <c r="G378" s="0" t="n">
        <f aca="false">RawFinancials!U378</f>
        <v>0</v>
      </c>
      <c r="H378" s="0" t="n">
        <f aca="false">RawFinancials!O378</f>
        <v>670</v>
      </c>
      <c r="I378" s="0" t="n">
        <f aca="false">IF(AND(ISNUMBER(G378),ISNUMBER(H378)),G378+H378,"")</f>
        <v>670</v>
      </c>
      <c r="J378" s="0" t="n">
        <f aca="false">RawFinancials!D378</f>
        <v>895094</v>
      </c>
      <c r="K378" s="0" t="n">
        <f aca="false">RawFinancials!F378</f>
        <v>106976</v>
      </c>
      <c r="L378" s="0" t="n">
        <f aca="false">RawFinancials!L378</f>
        <v>799093</v>
      </c>
      <c r="M378" s="0" t="n">
        <f aca="false">RawFinancials!N378</f>
        <v>632740</v>
      </c>
      <c r="N378" s="13" t="n">
        <f aca="false">RawFinancials!X378</f>
        <v>1.07594276192033</v>
      </c>
      <c r="O378" s="13" t="n">
        <f aca="false">RawFinancials!V378</f>
        <v>15.8859869558655</v>
      </c>
      <c r="P378" s="13" t="n">
        <f aca="false">IF(AND(ISNUMBER(L378),L378&lt;&gt;0,ISNUMBER(M378)),100*M378/L378,"")</f>
        <v>79.1822729019025</v>
      </c>
      <c r="Q378" s="13" t="n">
        <f aca="false">IF(AND(ISNUMBER(F378),F378&lt;&gt;0,ISNUMBER(K378)),100*K378/F378,"")</f>
        <v>10.3591359510707</v>
      </c>
      <c r="R378" s="11" t="b">
        <f aca="false">AND(ISNUMBER(F378),F378&gt;0,ISNUMBER(G378),G378&gt;=0,ISNUMBER(H378),H378&gt;=0)</f>
        <v>1</v>
      </c>
      <c r="S378" s="13" t="n">
        <f aca="false">IF(R378,100*I378/F378,"")</f>
        <v>0.0648801701990853</v>
      </c>
      <c r="T378" s="11" t="b">
        <f aca="false">NOT(AND(OR(AND(ISBLANK(RawFinancials!B378),ISBLANK(_RawBaseline!B375)),AND(ISNUMBER(RawFinancials!B378),ISNUMBER(_RawBaseline!B375),RawFinancials!B378=_RawBaseline!B375)),OR(AND(ISBLANK(RawFinancials!U378),ISBLANK(_RawBaseline!U375)),AND(ISNUMBER(RawFinancials!U378),ISNUMBER(_RawBaseline!U375),RawFinancials!U378=_RawBaseline!U375)),OR(AND(ISBLANK(RawFinancials!O378),ISBLANK(_RawBaseline!O375)),AND(ISNUMBER(RawFinancials!O378),ISNUMBER(_RawBaseline!O375),RawFinancials!O378=_RawBaseline!O375))))</f>
        <v>0</v>
      </c>
      <c r="U378" s="13" t="n">
        <f aca="false">IF(AND(D378=WF_START_PERIOD,R378,COUNTIFS($B$5:$B$750,B378,$D$5:$D$750,WF_END_PERIOD,$R$5:$R$750,TRUE())&gt;0),SUMIFS($S$5:$S$750,$B$5:$B$750,B378,$D$5:$D$750,WF_END_PERIOD,$R$5:$R$750,TRUE()),0)</f>
        <v>0</v>
      </c>
      <c r="V378" s="0" t="str">
        <f aca="false">IF(AND(D378=WF_START_PERIOD,COUNTIFS($B$5:$B$750,B378,$D$5:$D$750,WF_END_PERIOD)&gt;0),INDEX($E$5:$E$750,MATCH(B378&amp;"|"&amp;WF_END_PERIOD,$AC$5:$AC$750,0)),"")</f>
        <v/>
      </c>
      <c r="W378" s="11" t="b">
        <f aca="false">COUNTIFS($B$5:$B$750,B378,$D$5:$D$750,WF_START_PERIOD,$R$5:$R$750,TRUE())&gt;0</f>
        <v>1</v>
      </c>
      <c r="X378" s="11" t="b">
        <f aca="false">COUNTIFS($B$5:$B$750,B378,$D$5:$D$750,WF_END_PERIOD,$R$5:$R$750,TRUE())&gt;0</f>
        <v>1</v>
      </c>
      <c r="Y378" s="0" t="str">
        <f aca="false">IF(AND(D378=WF_END_PERIOD,COUNTIFS($B$5:$B$750,B378,$D$5:$D$750,WF_START_PERIOD)&gt;0),INDEX($E$5:$E$750,MATCH(B378&amp;"|"&amp;WF_START_PERIOD,$AC$5:$AC$750,0)),"")</f>
        <v/>
      </c>
      <c r="Z378" s="0" t="str">
        <f aca="false">IF(AND(D378=WF_END_PERIOD,R378),1+COUNTIFS($D$5:$D$750,WF_END_PERIOD,$E$5:$E$750,E378,$R$5:$R$750,TRUE(),$S$5:$S$750,"&gt;"&amp;S378)+COUNTIFS($D$5:$D$750,WF_END_PERIOD,$E$5:$E$750,E378,$R$5:$R$750,TRUE(),$S$5:$S$750,S378,$B$5:$B$750,"&lt;"&amp;B378),"")</f>
        <v/>
      </c>
      <c r="AA378" s="0" t="str">
        <f aca="false">IF(AND(D378=WF_END_PERIOD,R378,Z378&lt;&gt;1),1+COUNTIFS($D$5:$D$750,WF_END_PERIOD,$R$5:$R$750,TRUE(),$Z$5:$Z$750,"&lt;&gt;1",$S$5:$S$750,"&gt;"&amp;S378)+COUNTIFS($D$5:$D$750,WF_END_PERIOD,$R$5:$R$750,TRUE(),$Z$5:$Z$750,"&lt;&gt;1",$S$5:$S$750,S378,$B$5:$B$750,"&lt;"&amp;B378),"")</f>
        <v/>
      </c>
      <c r="AB378" s="11" t="b">
        <f aca="false">OR(D378=WF_START_PERIOD,D378=WF_END_PERIOD)</f>
        <v>0</v>
      </c>
      <c r="AC378" s="0" t="str">
        <f aca="false">B378&amp;"|"&amp;D378</f>
        <v>12874|20231231</v>
      </c>
    </row>
    <row r="379" customFormat="false" ht="15" hidden="false" customHeight="false" outlineLevel="0" collapsed="false">
      <c r="A379" s="0" t="n">
        <f aca="false">RawFinancials!A379</f>
        <v>376</v>
      </c>
      <c r="B379" s="0" t="n">
        <f aca="false">RawFinancials!C379</f>
        <v>13063</v>
      </c>
      <c r="C379" s="0" t="str">
        <f aca="false">RawFinancials!P379</f>
        <v>KENNEBUNK SAVINGS BANK</v>
      </c>
      <c r="D379" s="0" t="n">
        <f aca="false">RawFinancials!W379</f>
        <v>20231231</v>
      </c>
      <c r="E379" s="0" t="str">
        <f aca="false">RawFinancials!Z379</f>
        <v>ME</v>
      </c>
      <c r="F379" s="0" t="n">
        <f aca="false">RawFinancials!B379</f>
        <v>1825832</v>
      </c>
      <c r="G379" s="0" t="n">
        <f aca="false">RawFinancials!U379</f>
        <v>260</v>
      </c>
      <c r="H379" s="0" t="n">
        <f aca="false">RawFinancials!O379</f>
        <v>809</v>
      </c>
      <c r="I379" s="0" t="n">
        <f aca="false">IF(AND(ISNUMBER(G379),ISNUMBER(H379)),G379+H379,"")</f>
        <v>1069</v>
      </c>
      <c r="J379" s="0" t="n">
        <f aca="false">RawFinancials!D379</f>
        <v>1598543</v>
      </c>
      <c r="K379" s="0" t="n">
        <f aca="false">RawFinancials!F379</f>
        <v>144898</v>
      </c>
      <c r="L379" s="0" t="n">
        <f aca="false">RawFinancials!L379</f>
        <v>1419984</v>
      </c>
      <c r="M379" s="0" t="n">
        <f aca="false">RawFinancials!N379</f>
        <v>1355009</v>
      </c>
      <c r="N379" s="13" t="n">
        <f aca="false">RawFinancials!X379</f>
        <v>0.21976508473335</v>
      </c>
      <c r="O379" s="13" t="n">
        <f aca="false">RawFinancials!V379</f>
        <v>0</v>
      </c>
      <c r="P379" s="13" t="n">
        <f aca="false">IF(AND(ISNUMBER(L379),L379&lt;&gt;0,ISNUMBER(M379)),100*M379/L379,"")</f>
        <v>95.4242442168362</v>
      </c>
      <c r="Q379" s="13" t="n">
        <f aca="false">IF(AND(ISNUMBER(F379),F379&lt;&gt;0,ISNUMBER(K379)),100*K379/F379,"")</f>
        <v>7.93599849274194</v>
      </c>
      <c r="R379" s="11" t="b">
        <f aca="false">AND(ISNUMBER(F379),F379&gt;0,ISNUMBER(G379),G379&gt;=0,ISNUMBER(H379),H379&gt;=0)</f>
        <v>1</v>
      </c>
      <c r="S379" s="13" t="n">
        <f aca="false">IF(R379,100*I379/F379,"")</f>
        <v>0.0585486506973259</v>
      </c>
      <c r="T379" s="11" t="b">
        <f aca="false">NOT(AND(OR(AND(ISBLANK(RawFinancials!B379),ISBLANK(_RawBaseline!B376)),AND(ISNUMBER(RawFinancials!B379),ISNUMBER(_RawBaseline!B376),RawFinancials!B379=_RawBaseline!B376)),OR(AND(ISBLANK(RawFinancials!U379),ISBLANK(_RawBaseline!U376)),AND(ISNUMBER(RawFinancials!U379),ISNUMBER(_RawBaseline!U376),RawFinancials!U379=_RawBaseline!U376)),OR(AND(ISBLANK(RawFinancials!O379),ISBLANK(_RawBaseline!O376)),AND(ISNUMBER(RawFinancials!O379),ISNUMBER(_RawBaseline!O376),RawFinancials!O379=_RawBaseline!O376))))</f>
        <v>0</v>
      </c>
      <c r="U379" s="13" t="n">
        <f aca="false">IF(AND(D379=WF_START_PERIOD,R379,COUNTIFS($B$5:$B$750,B379,$D$5:$D$750,WF_END_PERIOD,$R$5:$R$750,TRUE())&gt;0),SUMIFS($S$5:$S$750,$B$5:$B$750,B379,$D$5:$D$750,WF_END_PERIOD,$R$5:$R$750,TRUE()),0)</f>
        <v>0</v>
      </c>
      <c r="V379" s="0" t="str">
        <f aca="false">IF(AND(D379=WF_START_PERIOD,COUNTIFS($B$5:$B$750,B379,$D$5:$D$750,WF_END_PERIOD)&gt;0),INDEX($E$5:$E$750,MATCH(B379&amp;"|"&amp;WF_END_PERIOD,$AC$5:$AC$750,0)),"")</f>
        <v/>
      </c>
      <c r="W379" s="11" t="b">
        <f aca="false">COUNTIFS($B$5:$B$750,B379,$D$5:$D$750,WF_START_PERIOD,$R$5:$R$750,TRUE())&gt;0</f>
        <v>1</v>
      </c>
      <c r="X379" s="11" t="b">
        <f aca="false">COUNTIFS($B$5:$B$750,B379,$D$5:$D$750,WF_END_PERIOD,$R$5:$R$750,TRUE())&gt;0</f>
        <v>1</v>
      </c>
      <c r="Y379" s="0" t="str">
        <f aca="false">IF(AND(D379=WF_END_PERIOD,COUNTIFS($B$5:$B$750,B379,$D$5:$D$750,WF_START_PERIOD)&gt;0),INDEX($E$5:$E$750,MATCH(B379&amp;"|"&amp;WF_START_PERIOD,$AC$5:$AC$750,0)),"")</f>
        <v/>
      </c>
      <c r="Z379" s="0" t="str">
        <f aca="false">IF(AND(D379=WF_END_PERIOD,R379),1+COUNTIFS($D$5:$D$750,WF_END_PERIOD,$E$5:$E$750,E379,$R$5:$R$750,TRUE(),$S$5:$S$750,"&gt;"&amp;S379)+COUNTIFS($D$5:$D$750,WF_END_PERIOD,$E$5:$E$750,E379,$R$5:$R$750,TRUE(),$S$5:$S$750,S379,$B$5:$B$750,"&lt;"&amp;B379),"")</f>
        <v/>
      </c>
      <c r="AA379" s="0" t="str">
        <f aca="false">IF(AND(D379=WF_END_PERIOD,R379,Z379&lt;&gt;1),1+COUNTIFS($D$5:$D$750,WF_END_PERIOD,$R$5:$R$750,TRUE(),$Z$5:$Z$750,"&lt;&gt;1",$S$5:$S$750,"&gt;"&amp;S379)+COUNTIFS($D$5:$D$750,WF_END_PERIOD,$R$5:$R$750,TRUE(),$Z$5:$Z$750,"&lt;&gt;1",$S$5:$S$750,S379,$B$5:$B$750,"&lt;"&amp;B379),"")</f>
        <v/>
      </c>
      <c r="AB379" s="11" t="b">
        <f aca="false">OR(D379=WF_START_PERIOD,D379=WF_END_PERIOD)</f>
        <v>0</v>
      </c>
      <c r="AC379" s="0" t="str">
        <f aca="false">B379&amp;"|"&amp;D379</f>
        <v>13063|20231231</v>
      </c>
    </row>
    <row r="380" customFormat="false" ht="15" hidden="false" customHeight="false" outlineLevel="0" collapsed="false">
      <c r="A380" s="0" t="n">
        <f aca="false">RawFinancials!A380</f>
        <v>377</v>
      </c>
      <c r="B380" s="0" t="n">
        <f aca="false">RawFinancials!C380</f>
        <v>14134</v>
      </c>
      <c r="C380" s="0" t="str">
        <f aca="false">RawFinancials!P380</f>
        <v>PASSUMPSIC SAVINGS BANK</v>
      </c>
      <c r="D380" s="0" t="n">
        <f aca="false">RawFinancials!W380</f>
        <v>20231231</v>
      </c>
      <c r="E380" s="0" t="str">
        <f aca="false">RawFinancials!Z380</f>
        <v>VT</v>
      </c>
      <c r="F380" s="0" t="n">
        <f aca="false">RawFinancials!B380</f>
        <v>854743</v>
      </c>
      <c r="G380" s="0" t="n">
        <f aca="false">RawFinancials!U380</f>
        <v>0</v>
      </c>
      <c r="H380" s="0" t="n">
        <f aca="false">RawFinancials!O380</f>
        <v>10339</v>
      </c>
      <c r="I380" s="0" t="n">
        <f aca="false">IF(AND(ISNUMBER(G380),ISNUMBER(H380)),G380+H380,"")</f>
        <v>10339</v>
      </c>
      <c r="J380" s="0" t="n">
        <f aca="false">RawFinancials!D380</f>
        <v>681633</v>
      </c>
      <c r="K380" s="0" t="n">
        <f aca="false">RawFinancials!F380</f>
        <v>105791</v>
      </c>
      <c r="L380" s="0" t="n">
        <f aca="false">RawFinancials!L380</f>
        <v>640918</v>
      </c>
      <c r="M380" s="0" t="n">
        <f aca="false">RawFinancials!N380</f>
        <v>566020</v>
      </c>
      <c r="N380" s="13" t="n">
        <f aca="false">RawFinancials!X380</f>
        <v>0.845572388097908</v>
      </c>
      <c r="O380" s="13" t="n">
        <f aca="false">RawFinancials!V380</f>
        <v>19.2684553429436</v>
      </c>
      <c r="P380" s="13" t="n">
        <f aca="false">IF(AND(ISNUMBER(L380),L380&lt;&gt;0,ISNUMBER(M380)),100*M380/L380,"")</f>
        <v>88.31394967843</v>
      </c>
      <c r="Q380" s="13" t="n">
        <f aca="false">IF(AND(ISNUMBER(F380),F380&lt;&gt;0,ISNUMBER(K380)),100*K380/F380,"")</f>
        <v>12.3769366932517</v>
      </c>
      <c r="R380" s="11" t="b">
        <f aca="false">AND(ISNUMBER(F380),F380&gt;0,ISNUMBER(G380),G380&gt;=0,ISNUMBER(H380),H380&gt;=0)</f>
        <v>1</v>
      </c>
      <c r="S380" s="13" t="n">
        <f aca="false">IF(R380,100*I380/F380,"")</f>
        <v>1.20960335445859</v>
      </c>
      <c r="T380" s="11" t="b">
        <f aca="false">NOT(AND(OR(AND(ISBLANK(RawFinancials!B380),ISBLANK(_RawBaseline!B377)),AND(ISNUMBER(RawFinancials!B380),ISNUMBER(_RawBaseline!B377),RawFinancials!B380=_RawBaseline!B377)),OR(AND(ISBLANK(RawFinancials!U380),ISBLANK(_RawBaseline!U377)),AND(ISNUMBER(RawFinancials!U380),ISNUMBER(_RawBaseline!U377),RawFinancials!U380=_RawBaseline!U377)),OR(AND(ISBLANK(RawFinancials!O380),ISBLANK(_RawBaseline!O377)),AND(ISNUMBER(RawFinancials!O380),ISNUMBER(_RawBaseline!O377),RawFinancials!O380=_RawBaseline!O377))))</f>
        <v>0</v>
      </c>
      <c r="U380" s="13" t="n">
        <f aca="false">IF(AND(D380=WF_START_PERIOD,R380,COUNTIFS($B$5:$B$750,B380,$D$5:$D$750,WF_END_PERIOD,$R$5:$R$750,TRUE())&gt;0),SUMIFS($S$5:$S$750,$B$5:$B$750,B380,$D$5:$D$750,WF_END_PERIOD,$R$5:$R$750,TRUE()),0)</f>
        <v>0</v>
      </c>
      <c r="V380" s="0" t="str">
        <f aca="false">IF(AND(D380=WF_START_PERIOD,COUNTIFS($B$5:$B$750,B380,$D$5:$D$750,WF_END_PERIOD)&gt;0),INDEX($E$5:$E$750,MATCH(B380&amp;"|"&amp;WF_END_PERIOD,$AC$5:$AC$750,0)),"")</f>
        <v/>
      </c>
      <c r="W380" s="11" t="b">
        <f aca="false">COUNTIFS($B$5:$B$750,B380,$D$5:$D$750,WF_START_PERIOD,$R$5:$R$750,TRUE())&gt;0</f>
        <v>1</v>
      </c>
      <c r="X380" s="11" t="b">
        <f aca="false">COUNTIFS($B$5:$B$750,B380,$D$5:$D$750,WF_END_PERIOD,$R$5:$R$750,TRUE())&gt;0</f>
        <v>1</v>
      </c>
      <c r="Y380" s="0" t="str">
        <f aca="false">IF(AND(D380=WF_END_PERIOD,COUNTIFS($B$5:$B$750,B380,$D$5:$D$750,WF_START_PERIOD)&gt;0),INDEX($E$5:$E$750,MATCH(B380&amp;"|"&amp;WF_START_PERIOD,$AC$5:$AC$750,0)),"")</f>
        <v/>
      </c>
      <c r="Z380" s="0" t="str">
        <f aca="false">IF(AND(D380=WF_END_PERIOD,R380),1+COUNTIFS($D$5:$D$750,WF_END_PERIOD,$E$5:$E$750,E380,$R$5:$R$750,TRUE(),$S$5:$S$750,"&gt;"&amp;S380)+COUNTIFS($D$5:$D$750,WF_END_PERIOD,$E$5:$E$750,E380,$R$5:$R$750,TRUE(),$S$5:$S$750,S380,$B$5:$B$750,"&lt;"&amp;B380),"")</f>
        <v/>
      </c>
      <c r="AA380" s="0" t="str">
        <f aca="false">IF(AND(D380=WF_END_PERIOD,R380,Z380&lt;&gt;1),1+COUNTIFS($D$5:$D$750,WF_END_PERIOD,$R$5:$R$750,TRUE(),$Z$5:$Z$750,"&lt;&gt;1",$S$5:$S$750,"&gt;"&amp;S380)+COUNTIFS($D$5:$D$750,WF_END_PERIOD,$R$5:$R$750,TRUE(),$Z$5:$Z$750,"&lt;&gt;1",$S$5:$S$750,S380,$B$5:$B$750,"&lt;"&amp;B380),"")</f>
        <v/>
      </c>
      <c r="AB380" s="11" t="b">
        <f aca="false">OR(D380=WF_START_PERIOD,D380=WF_END_PERIOD)</f>
        <v>0</v>
      </c>
      <c r="AC380" s="0" t="str">
        <f aca="false">B380&amp;"|"&amp;D380</f>
        <v>14134|20231231</v>
      </c>
    </row>
    <row r="381" customFormat="false" ht="15" hidden="false" customHeight="false" outlineLevel="0" collapsed="false">
      <c r="A381" s="0" t="n">
        <f aca="false">RawFinancials!A381</f>
        <v>378</v>
      </c>
      <c r="B381" s="0" t="n">
        <f aca="false">RawFinancials!C381</f>
        <v>14136</v>
      </c>
      <c r="C381" s="0" t="str">
        <f aca="false">RawFinancials!P381</f>
        <v>WELLS RIVER SAVINGS BANK</v>
      </c>
      <c r="D381" s="0" t="n">
        <f aca="false">RawFinancials!W381</f>
        <v>20231231</v>
      </c>
      <c r="E381" s="0" t="str">
        <f aca="false">RawFinancials!Z381</f>
        <v>VT</v>
      </c>
      <c r="F381" s="0" t="n">
        <f aca="false">RawFinancials!B381</f>
        <v>233858</v>
      </c>
      <c r="G381" s="0" t="n">
        <f aca="false">RawFinancials!U381</f>
        <v>507</v>
      </c>
      <c r="H381" s="0" t="n">
        <f aca="false">RawFinancials!O381</f>
        <v>6</v>
      </c>
      <c r="I381" s="0" t="n">
        <f aca="false">IF(AND(ISNUMBER(G381),ISNUMBER(H381)),G381+H381,"")</f>
        <v>513</v>
      </c>
      <c r="J381" s="0" t="n">
        <f aca="false">RawFinancials!D381</f>
        <v>193772</v>
      </c>
      <c r="K381" s="0" t="n">
        <f aca="false">RawFinancials!F381</f>
        <v>17016</v>
      </c>
      <c r="L381" s="0" t="n">
        <f aca="false">RawFinancials!L381</f>
        <v>152988</v>
      </c>
      <c r="M381" s="0" t="n">
        <f aca="false">RawFinancials!N381</f>
        <v>123494</v>
      </c>
      <c r="N381" s="13" t="n">
        <f aca="false">RawFinancials!X381</f>
        <v>0.594423182066703</v>
      </c>
      <c r="O381" s="13" t="n">
        <f aca="false">RawFinancials!V381</f>
        <v>17.5667789596541</v>
      </c>
      <c r="P381" s="13" t="n">
        <f aca="false">IF(AND(ISNUMBER(L381),L381&lt;&gt;0,ISNUMBER(M381)),100*M381/L381,"")</f>
        <v>80.7213637670928</v>
      </c>
      <c r="Q381" s="13" t="n">
        <f aca="false">IF(AND(ISNUMBER(F381),F381&lt;&gt;0,ISNUMBER(K381)),100*K381/F381,"")</f>
        <v>7.27621034987043</v>
      </c>
      <c r="R381" s="11" t="b">
        <f aca="false">AND(ISNUMBER(F381),F381&gt;0,ISNUMBER(G381),G381&gt;=0,ISNUMBER(H381),H381&gt;=0)</f>
        <v>1</v>
      </c>
      <c r="S381" s="13" t="n">
        <f aca="false">IF(R381,100*I381/F381,"")</f>
        <v>0.219363887487279</v>
      </c>
      <c r="T381" s="11" t="b">
        <f aca="false">NOT(AND(OR(AND(ISBLANK(RawFinancials!B381),ISBLANK(_RawBaseline!B378)),AND(ISNUMBER(RawFinancials!B381),ISNUMBER(_RawBaseline!B378),RawFinancials!B381=_RawBaseline!B378)),OR(AND(ISBLANK(RawFinancials!U381),ISBLANK(_RawBaseline!U378)),AND(ISNUMBER(RawFinancials!U381),ISNUMBER(_RawBaseline!U378),RawFinancials!U381=_RawBaseline!U378)),OR(AND(ISBLANK(RawFinancials!O381),ISBLANK(_RawBaseline!O378)),AND(ISNUMBER(RawFinancials!O381),ISNUMBER(_RawBaseline!O378),RawFinancials!O381=_RawBaseline!O378))))</f>
        <v>0</v>
      </c>
      <c r="U381" s="13" t="n">
        <f aca="false">IF(AND(D381=WF_START_PERIOD,R381,COUNTIFS($B$5:$B$750,B381,$D$5:$D$750,WF_END_PERIOD,$R$5:$R$750,TRUE())&gt;0),SUMIFS($S$5:$S$750,$B$5:$B$750,B381,$D$5:$D$750,WF_END_PERIOD,$R$5:$R$750,TRUE()),0)</f>
        <v>0</v>
      </c>
      <c r="V381" s="0" t="str">
        <f aca="false">IF(AND(D381=WF_START_PERIOD,COUNTIFS($B$5:$B$750,B381,$D$5:$D$750,WF_END_PERIOD)&gt;0),INDEX($E$5:$E$750,MATCH(B381&amp;"|"&amp;WF_END_PERIOD,$AC$5:$AC$750,0)),"")</f>
        <v/>
      </c>
      <c r="W381" s="11" t="b">
        <f aca="false">COUNTIFS($B$5:$B$750,B381,$D$5:$D$750,WF_START_PERIOD,$R$5:$R$750,TRUE())&gt;0</f>
        <v>1</v>
      </c>
      <c r="X381" s="11" t="b">
        <f aca="false">COUNTIFS($B$5:$B$750,B381,$D$5:$D$750,WF_END_PERIOD,$R$5:$R$750,TRUE())&gt;0</f>
        <v>1</v>
      </c>
      <c r="Y381" s="0" t="str">
        <f aca="false">IF(AND(D381=WF_END_PERIOD,COUNTIFS($B$5:$B$750,B381,$D$5:$D$750,WF_START_PERIOD)&gt;0),INDEX($E$5:$E$750,MATCH(B381&amp;"|"&amp;WF_START_PERIOD,$AC$5:$AC$750,0)),"")</f>
        <v/>
      </c>
      <c r="Z381" s="0" t="str">
        <f aca="false">IF(AND(D381=WF_END_PERIOD,R381),1+COUNTIFS($D$5:$D$750,WF_END_PERIOD,$E$5:$E$750,E381,$R$5:$R$750,TRUE(),$S$5:$S$750,"&gt;"&amp;S381)+COUNTIFS($D$5:$D$750,WF_END_PERIOD,$E$5:$E$750,E381,$R$5:$R$750,TRUE(),$S$5:$S$750,S381,$B$5:$B$750,"&lt;"&amp;B381),"")</f>
        <v/>
      </c>
      <c r="AA381" s="0" t="str">
        <f aca="false">IF(AND(D381=WF_END_PERIOD,R381,Z381&lt;&gt;1),1+COUNTIFS($D$5:$D$750,WF_END_PERIOD,$R$5:$R$750,TRUE(),$Z$5:$Z$750,"&lt;&gt;1",$S$5:$S$750,"&gt;"&amp;S381)+COUNTIFS($D$5:$D$750,WF_END_PERIOD,$R$5:$R$750,TRUE(),$Z$5:$Z$750,"&lt;&gt;1",$S$5:$S$750,S381,$B$5:$B$750,"&lt;"&amp;B381),"")</f>
        <v/>
      </c>
      <c r="AB381" s="11" t="b">
        <f aca="false">OR(D381=WF_START_PERIOD,D381=WF_END_PERIOD)</f>
        <v>0</v>
      </c>
      <c r="AC381" s="0" t="str">
        <f aca="false">B381&amp;"|"&amp;D381</f>
        <v>14136|20231231</v>
      </c>
    </row>
    <row r="382" customFormat="false" ht="15" hidden="false" customHeight="false" outlineLevel="0" collapsed="false">
      <c r="A382" s="0" t="n">
        <f aca="false">RawFinancials!A382</f>
        <v>379</v>
      </c>
      <c r="B382" s="0" t="n">
        <f aca="false">RawFinancials!C382</f>
        <v>14140</v>
      </c>
      <c r="C382" s="0" t="str">
        <f aca="false">RawFinancials!P382</f>
        <v>NORTHFIELD SAVINGS BANK</v>
      </c>
      <c r="D382" s="0" t="n">
        <f aca="false">RawFinancials!W382</f>
        <v>20231231</v>
      </c>
      <c r="E382" s="0" t="str">
        <f aca="false">RawFinancials!Z382</f>
        <v>VT</v>
      </c>
      <c r="F382" s="0" t="n">
        <f aca="false">RawFinancials!B382</f>
        <v>1504702</v>
      </c>
      <c r="G382" s="0" t="n">
        <f aca="false">RawFinancials!U382</f>
        <v>0</v>
      </c>
      <c r="H382" s="0" t="n">
        <f aca="false">RawFinancials!O382</f>
        <v>4671</v>
      </c>
      <c r="I382" s="0" t="n">
        <f aca="false">IF(AND(ISNUMBER(G382),ISNUMBER(H382)),G382+H382,"")</f>
        <v>4671</v>
      </c>
      <c r="J382" s="0" t="n">
        <f aca="false">RawFinancials!D382</f>
        <v>1190702</v>
      </c>
      <c r="K382" s="0" t="n">
        <f aca="false">RawFinancials!F382</f>
        <v>126249</v>
      </c>
      <c r="L382" s="0" t="n">
        <f aca="false">RawFinancials!L382</f>
        <v>1039672</v>
      </c>
      <c r="M382" s="0" t="n">
        <f aca="false">RawFinancials!N382</f>
        <v>927729</v>
      </c>
      <c r="N382" s="13" t="n">
        <f aca="false">RawFinancials!X382</f>
        <v>0.220681498748757</v>
      </c>
      <c r="O382" s="13" t="n">
        <f aca="false">RawFinancials!V382</f>
        <v>0</v>
      </c>
      <c r="P382" s="13" t="n">
        <f aca="false">IF(AND(ISNUMBER(L382),L382&lt;&gt;0,ISNUMBER(M382)),100*M382/L382,"")</f>
        <v>89.2328542078656</v>
      </c>
      <c r="Q382" s="13" t="n">
        <f aca="false">IF(AND(ISNUMBER(F382),F382&lt;&gt;0,ISNUMBER(K382)),100*K382/F382,"")</f>
        <v>8.39029920874698</v>
      </c>
      <c r="R382" s="11" t="b">
        <f aca="false">AND(ISNUMBER(F382),F382&gt;0,ISNUMBER(G382),G382&gt;=0,ISNUMBER(H382),H382&gt;=0)</f>
        <v>1</v>
      </c>
      <c r="S382" s="13" t="n">
        <f aca="false">IF(R382,100*I382/F382,"")</f>
        <v>0.31042691509681</v>
      </c>
      <c r="T382" s="11" t="b">
        <f aca="false">NOT(AND(OR(AND(ISBLANK(RawFinancials!B382),ISBLANK(_RawBaseline!B379)),AND(ISNUMBER(RawFinancials!B382),ISNUMBER(_RawBaseline!B379),RawFinancials!B382=_RawBaseline!B379)),OR(AND(ISBLANK(RawFinancials!U382),ISBLANK(_RawBaseline!U379)),AND(ISNUMBER(RawFinancials!U382),ISNUMBER(_RawBaseline!U379),RawFinancials!U382=_RawBaseline!U379)),OR(AND(ISBLANK(RawFinancials!O382),ISBLANK(_RawBaseline!O379)),AND(ISNUMBER(RawFinancials!O382),ISNUMBER(_RawBaseline!O379),RawFinancials!O382=_RawBaseline!O379))))</f>
        <v>0</v>
      </c>
      <c r="U382" s="13" t="n">
        <f aca="false">IF(AND(D382=WF_START_PERIOD,R382,COUNTIFS($B$5:$B$750,B382,$D$5:$D$750,WF_END_PERIOD,$R$5:$R$750,TRUE())&gt;0),SUMIFS($S$5:$S$750,$B$5:$B$750,B382,$D$5:$D$750,WF_END_PERIOD,$R$5:$R$750,TRUE()),0)</f>
        <v>0</v>
      </c>
      <c r="V382" s="0" t="str">
        <f aca="false">IF(AND(D382=WF_START_PERIOD,COUNTIFS($B$5:$B$750,B382,$D$5:$D$750,WF_END_PERIOD)&gt;0),INDEX($E$5:$E$750,MATCH(B382&amp;"|"&amp;WF_END_PERIOD,$AC$5:$AC$750,0)),"")</f>
        <v/>
      </c>
      <c r="W382" s="11" t="b">
        <f aca="false">COUNTIFS($B$5:$B$750,B382,$D$5:$D$750,WF_START_PERIOD,$R$5:$R$750,TRUE())&gt;0</f>
        <v>1</v>
      </c>
      <c r="X382" s="11" t="b">
        <f aca="false">COUNTIFS($B$5:$B$750,B382,$D$5:$D$750,WF_END_PERIOD,$R$5:$R$750,TRUE())&gt;0</f>
        <v>1</v>
      </c>
      <c r="Y382" s="0" t="str">
        <f aca="false">IF(AND(D382=WF_END_PERIOD,COUNTIFS($B$5:$B$750,B382,$D$5:$D$750,WF_START_PERIOD)&gt;0),INDEX($E$5:$E$750,MATCH(B382&amp;"|"&amp;WF_START_PERIOD,$AC$5:$AC$750,0)),"")</f>
        <v/>
      </c>
      <c r="Z382" s="0" t="str">
        <f aca="false">IF(AND(D382=WF_END_PERIOD,R382),1+COUNTIFS($D$5:$D$750,WF_END_PERIOD,$E$5:$E$750,E382,$R$5:$R$750,TRUE(),$S$5:$S$750,"&gt;"&amp;S382)+COUNTIFS($D$5:$D$750,WF_END_PERIOD,$E$5:$E$750,E382,$R$5:$R$750,TRUE(),$S$5:$S$750,S382,$B$5:$B$750,"&lt;"&amp;B382),"")</f>
        <v/>
      </c>
      <c r="AA382" s="0" t="str">
        <f aca="false">IF(AND(D382=WF_END_PERIOD,R382,Z382&lt;&gt;1),1+COUNTIFS($D$5:$D$750,WF_END_PERIOD,$R$5:$R$750,TRUE(),$Z$5:$Z$750,"&lt;&gt;1",$S$5:$S$750,"&gt;"&amp;S382)+COUNTIFS($D$5:$D$750,WF_END_PERIOD,$R$5:$R$750,TRUE(),$Z$5:$Z$750,"&lt;&gt;1",$S$5:$S$750,S382,$B$5:$B$750,"&lt;"&amp;B382),"")</f>
        <v/>
      </c>
      <c r="AB382" s="11" t="b">
        <f aca="false">OR(D382=WF_START_PERIOD,D382=WF_END_PERIOD)</f>
        <v>0</v>
      </c>
      <c r="AC382" s="0" t="str">
        <f aca="false">B382&amp;"|"&amp;D382</f>
        <v>14140|20231231</v>
      </c>
    </row>
    <row r="383" customFormat="false" ht="15" hidden="false" customHeight="false" outlineLevel="0" collapsed="false">
      <c r="A383" s="0" t="n">
        <f aca="false">RawFinancials!A383</f>
        <v>380</v>
      </c>
      <c r="B383" s="0" t="n">
        <f aca="false">RawFinancials!C383</f>
        <v>14158</v>
      </c>
      <c r="C383" s="0" t="str">
        <f aca="false">RawFinancials!P383</f>
        <v>UNION BANK</v>
      </c>
      <c r="D383" s="0" t="n">
        <f aca="false">RawFinancials!W383</f>
        <v>20231231</v>
      </c>
      <c r="E383" s="0" t="str">
        <f aca="false">RawFinancials!Z383</f>
        <v>VT</v>
      </c>
      <c r="F383" s="0" t="n">
        <f aca="false">RawFinancials!B383</f>
        <v>1468468</v>
      </c>
      <c r="G383" s="0" t="n">
        <f aca="false">RawFinancials!U383</f>
        <v>162</v>
      </c>
      <c r="H383" s="0" t="n">
        <f aca="false">RawFinancials!O383</f>
        <v>1858</v>
      </c>
      <c r="I383" s="0" t="n">
        <f aca="false">IF(AND(ISNUMBER(G383),ISNUMBER(H383)),G383+H383,"")</f>
        <v>2020</v>
      </c>
      <c r="J383" s="0" t="n">
        <f aca="false">RawFinancials!D383</f>
        <v>1308218</v>
      </c>
      <c r="K383" s="0" t="n">
        <f aca="false">RawFinancials!F383</f>
        <v>82122</v>
      </c>
      <c r="L383" s="0" t="n">
        <f aca="false">RawFinancials!L383</f>
        <v>1033092</v>
      </c>
      <c r="M383" s="0" t="n">
        <f aca="false">RawFinancials!N383</f>
        <v>908227</v>
      </c>
      <c r="N383" s="13" t="n">
        <f aca="false">RawFinancials!X383</f>
        <v>0.879855556925219</v>
      </c>
      <c r="O383" s="13" t="n">
        <f aca="false">RawFinancials!V383</f>
        <v>13.3530640668524</v>
      </c>
      <c r="P383" s="13" t="n">
        <f aca="false">IF(AND(ISNUMBER(L383),L383&lt;&gt;0,ISNUMBER(M383)),100*M383/L383,"")</f>
        <v>87.9134675324172</v>
      </c>
      <c r="Q383" s="13" t="n">
        <f aca="false">IF(AND(ISNUMBER(F383),F383&lt;&gt;0,ISNUMBER(K383)),100*K383/F383,"")</f>
        <v>5.59235883928012</v>
      </c>
      <c r="R383" s="11" t="b">
        <f aca="false">AND(ISNUMBER(F383),F383&gt;0,ISNUMBER(G383),G383&gt;=0,ISNUMBER(H383),H383&gt;=0)</f>
        <v>1</v>
      </c>
      <c r="S383" s="13" t="n">
        <f aca="false">IF(R383,100*I383/F383,"")</f>
        <v>0.137558326092227</v>
      </c>
      <c r="T383" s="11" t="b">
        <f aca="false">NOT(AND(OR(AND(ISBLANK(RawFinancials!B383),ISBLANK(_RawBaseline!B380)),AND(ISNUMBER(RawFinancials!B383),ISNUMBER(_RawBaseline!B380),RawFinancials!B383=_RawBaseline!B380)),OR(AND(ISBLANK(RawFinancials!U383),ISBLANK(_RawBaseline!U380)),AND(ISNUMBER(RawFinancials!U383),ISNUMBER(_RawBaseline!U380),RawFinancials!U383=_RawBaseline!U380)),OR(AND(ISBLANK(RawFinancials!O383),ISBLANK(_RawBaseline!O380)),AND(ISNUMBER(RawFinancials!O383),ISNUMBER(_RawBaseline!O380),RawFinancials!O383=_RawBaseline!O380))))</f>
        <v>0</v>
      </c>
      <c r="U383" s="13" t="n">
        <f aca="false">IF(AND(D383=WF_START_PERIOD,R383,COUNTIFS($B$5:$B$750,B383,$D$5:$D$750,WF_END_PERIOD,$R$5:$R$750,TRUE())&gt;0),SUMIFS($S$5:$S$750,$B$5:$B$750,B383,$D$5:$D$750,WF_END_PERIOD,$R$5:$R$750,TRUE()),0)</f>
        <v>0</v>
      </c>
      <c r="V383" s="0" t="str">
        <f aca="false">IF(AND(D383=WF_START_PERIOD,COUNTIFS($B$5:$B$750,B383,$D$5:$D$750,WF_END_PERIOD)&gt;0),INDEX($E$5:$E$750,MATCH(B383&amp;"|"&amp;WF_END_PERIOD,$AC$5:$AC$750,0)),"")</f>
        <v/>
      </c>
      <c r="W383" s="11" t="b">
        <f aca="false">COUNTIFS($B$5:$B$750,B383,$D$5:$D$750,WF_START_PERIOD,$R$5:$R$750,TRUE())&gt;0</f>
        <v>1</v>
      </c>
      <c r="X383" s="11" t="b">
        <f aca="false">COUNTIFS($B$5:$B$750,B383,$D$5:$D$750,WF_END_PERIOD,$R$5:$R$750,TRUE())&gt;0</f>
        <v>1</v>
      </c>
      <c r="Y383" s="0" t="str">
        <f aca="false">IF(AND(D383=WF_END_PERIOD,COUNTIFS($B$5:$B$750,B383,$D$5:$D$750,WF_START_PERIOD)&gt;0),INDEX($E$5:$E$750,MATCH(B383&amp;"|"&amp;WF_START_PERIOD,$AC$5:$AC$750,0)),"")</f>
        <v/>
      </c>
      <c r="Z383" s="0" t="str">
        <f aca="false">IF(AND(D383=WF_END_PERIOD,R383),1+COUNTIFS($D$5:$D$750,WF_END_PERIOD,$E$5:$E$750,E383,$R$5:$R$750,TRUE(),$S$5:$S$750,"&gt;"&amp;S383)+COUNTIFS($D$5:$D$750,WF_END_PERIOD,$E$5:$E$750,E383,$R$5:$R$750,TRUE(),$S$5:$S$750,S383,$B$5:$B$750,"&lt;"&amp;B383),"")</f>
        <v/>
      </c>
      <c r="AA383" s="0" t="str">
        <f aca="false">IF(AND(D383=WF_END_PERIOD,R383,Z383&lt;&gt;1),1+COUNTIFS($D$5:$D$750,WF_END_PERIOD,$R$5:$R$750,TRUE(),$Z$5:$Z$750,"&lt;&gt;1",$S$5:$S$750,"&gt;"&amp;S383)+COUNTIFS($D$5:$D$750,WF_END_PERIOD,$R$5:$R$750,TRUE(),$Z$5:$Z$750,"&lt;&gt;1",$S$5:$S$750,S383,$B$5:$B$750,"&lt;"&amp;B383),"")</f>
        <v/>
      </c>
      <c r="AB383" s="11" t="b">
        <f aca="false">OR(D383=WF_START_PERIOD,D383=WF_END_PERIOD)</f>
        <v>0</v>
      </c>
      <c r="AC383" s="0" t="str">
        <f aca="false">B383&amp;"|"&amp;D383</f>
        <v>14158|20231231</v>
      </c>
    </row>
    <row r="384" customFormat="false" ht="15" hidden="false" customHeight="false" outlineLevel="0" collapsed="false">
      <c r="A384" s="0" t="n">
        <f aca="false">RawFinancials!A384</f>
        <v>381</v>
      </c>
      <c r="B384" s="0" t="n">
        <f aca="false">RawFinancials!C384</f>
        <v>14168</v>
      </c>
      <c r="C384" s="0" t="str">
        <f aca="false">RawFinancials!P384</f>
        <v>PEOPLES TRUST COMPANY OF ST. ALBANS</v>
      </c>
      <c r="D384" s="0" t="n">
        <f aca="false">RawFinancials!W384</f>
        <v>20231231</v>
      </c>
      <c r="E384" s="0" t="str">
        <f aca="false">RawFinancials!Z384</f>
        <v>VT</v>
      </c>
      <c r="F384" s="0" t="n">
        <f aca="false">RawFinancials!B384</f>
        <v>357709</v>
      </c>
      <c r="G384" s="0" t="n">
        <f aca="false">RawFinancials!U384</f>
        <v>0</v>
      </c>
      <c r="H384" s="0" t="n">
        <f aca="false">RawFinancials!O384</f>
        <v>1115</v>
      </c>
      <c r="I384" s="0" t="n">
        <f aca="false">IF(AND(ISNUMBER(G384),ISNUMBER(H384)),G384+H384,"")</f>
        <v>1115</v>
      </c>
      <c r="J384" s="0" t="n">
        <f aca="false">RawFinancials!D384</f>
        <v>317592</v>
      </c>
      <c r="K384" s="0" t="n">
        <f aca="false">RawFinancials!F384</f>
        <v>35301</v>
      </c>
      <c r="L384" s="0" t="n">
        <f aca="false">RawFinancials!L384</f>
        <v>239389</v>
      </c>
      <c r="M384" s="0" t="n">
        <f aca="false">RawFinancials!N384</f>
        <v>202849</v>
      </c>
      <c r="N384" s="13" t="n">
        <f aca="false">RawFinancials!X384</f>
        <v>0.791084607348037</v>
      </c>
      <c r="O384" s="13" t="n">
        <f aca="false">RawFinancials!V384</f>
        <v>16.7449070853622</v>
      </c>
      <c r="P384" s="13" t="n">
        <f aca="false">IF(AND(ISNUMBER(L384),L384&lt;&gt;0,ISNUMBER(M384)),100*M384/L384,"")</f>
        <v>84.7361407583473</v>
      </c>
      <c r="Q384" s="13" t="n">
        <f aca="false">IF(AND(ISNUMBER(F384),F384&lt;&gt;0,ISNUMBER(K384)),100*K384/F384,"")</f>
        <v>9.86863623783578</v>
      </c>
      <c r="R384" s="11" t="b">
        <f aca="false">AND(ISNUMBER(F384),F384&gt;0,ISNUMBER(G384),G384&gt;=0,ISNUMBER(H384),H384&gt;=0)</f>
        <v>1</v>
      </c>
      <c r="S384" s="13" t="n">
        <f aca="false">IF(R384,100*I384/F384,"")</f>
        <v>0.311705883832948</v>
      </c>
      <c r="T384" s="11" t="b">
        <f aca="false">NOT(AND(OR(AND(ISBLANK(RawFinancials!B384),ISBLANK(_RawBaseline!B381)),AND(ISNUMBER(RawFinancials!B384),ISNUMBER(_RawBaseline!B381),RawFinancials!B384=_RawBaseline!B381)),OR(AND(ISBLANK(RawFinancials!U384),ISBLANK(_RawBaseline!U381)),AND(ISNUMBER(RawFinancials!U384),ISNUMBER(_RawBaseline!U381),RawFinancials!U384=_RawBaseline!U381)),OR(AND(ISBLANK(RawFinancials!O384),ISBLANK(_RawBaseline!O381)),AND(ISNUMBER(RawFinancials!O384),ISNUMBER(_RawBaseline!O381),RawFinancials!O384=_RawBaseline!O381))))</f>
        <v>0</v>
      </c>
      <c r="U384" s="13" t="n">
        <f aca="false">IF(AND(D384=WF_START_PERIOD,R384,COUNTIFS($B$5:$B$750,B384,$D$5:$D$750,WF_END_PERIOD,$R$5:$R$750,TRUE())&gt;0),SUMIFS($S$5:$S$750,$B$5:$B$750,B384,$D$5:$D$750,WF_END_PERIOD,$R$5:$R$750,TRUE()),0)</f>
        <v>0</v>
      </c>
      <c r="V384" s="0" t="str">
        <f aca="false">IF(AND(D384=WF_START_PERIOD,COUNTIFS($B$5:$B$750,B384,$D$5:$D$750,WF_END_PERIOD)&gt;0),INDEX($E$5:$E$750,MATCH(B384&amp;"|"&amp;WF_END_PERIOD,$AC$5:$AC$750,0)),"")</f>
        <v/>
      </c>
      <c r="W384" s="11" t="b">
        <f aca="false">COUNTIFS($B$5:$B$750,B384,$D$5:$D$750,WF_START_PERIOD,$R$5:$R$750,TRUE())&gt;0</f>
        <v>1</v>
      </c>
      <c r="X384" s="11" t="b">
        <f aca="false">COUNTIFS($B$5:$B$750,B384,$D$5:$D$750,WF_END_PERIOD,$R$5:$R$750,TRUE())&gt;0</f>
        <v>1</v>
      </c>
      <c r="Y384" s="0" t="str">
        <f aca="false">IF(AND(D384=WF_END_PERIOD,COUNTIFS($B$5:$B$750,B384,$D$5:$D$750,WF_START_PERIOD)&gt;0),INDEX($E$5:$E$750,MATCH(B384&amp;"|"&amp;WF_START_PERIOD,$AC$5:$AC$750,0)),"")</f>
        <v/>
      </c>
      <c r="Z384" s="0" t="str">
        <f aca="false">IF(AND(D384=WF_END_PERIOD,R384),1+COUNTIFS($D$5:$D$750,WF_END_PERIOD,$E$5:$E$750,E384,$R$5:$R$750,TRUE(),$S$5:$S$750,"&gt;"&amp;S384)+COUNTIFS($D$5:$D$750,WF_END_PERIOD,$E$5:$E$750,E384,$R$5:$R$750,TRUE(),$S$5:$S$750,S384,$B$5:$B$750,"&lt;"&amp;B384),"")</f>
        <v/>
      </c>
      <c r="AA384" s="0" t="str">
        <f aca="false">IF(AND(D384=WF_END_PERIOD,R384,Z384&lt;&gt;1),1+COUNTIFS($D$5:$D$750,WF_END_PERIOD,$R$5:$R$750,TRUE(),$Z$5:$Z$750,"&lt;&gt;1",$S$5:$S$750,"&gt;"&amp;S384)+COUNTIFS($D$5:$D$750,WF_END_PERIOD,$R$5:$R$750,TRUE(),$Z$5:$Z$750,"&lt;&gt;1",$S$5:$S$750,S384,$B$5:$B$750,"&lt;"&amp;B384),"")</f>
        <v/>
      </c>
      <c r="AB384" s="11" t="b">
        <f aca="false">OR(D384=WF_START_PERIOD,D384=WF_END_PERIOD)</f>
        <v>0</v>
      </c>
      <c r="AC384" s="0" t="str">
        <f aca="false">B384&amp;"|"&amp;D384</f>
        <v>14168|20231231</v>
      </c>
    </row>
    <row r="385" customFormat="false" ht="15" hidden="false" customHeight="false" outlineLevel="0" collapsed="false">
      <c r="A385" s="0" t="n">
        <f aca="false">RawFinancials!A385</f>
        <v>382</v>
      </c>
      <c r="B385" s="0" t="n">
        <f aca="false">RawFinancials!C385</f>
        <v>14240</v>
      </c>
      <c r="C385" s="0" t="str">
        <f aca="false">RawFinancials!P385</f>
        <v>NORTHWAY BANK</v>
      </c>
      <c r="D385" s="0" t="n">
        <f aca="false">RawFinancials!W385</f>
        <v>20231231</v>
      </c>
      <c r="E385" s="0" t="str">
        <f aca="false">RawFinancials!Z385</f>
        <v>NH</v>
      </c>
      <c r="F385" s="0" t="n">
        <f aca="false">RawFinancials!B385</f>
        <v>1284888</v>
      </c>
      <c r="G385" s="0" t="n">
        <f aca="false">RawFinancials!U385</f>
        <v>0</v>
      </c>
      <c r="H385" s="0" t="n">
        <f aca="false">RawFinancials!O385</f>
        <v>2809</v>
      </c>
      <c r="I385" s="0" t="n">
        <f aca="false">IF(AND(ISNUMBER(G385),ISNUMBER(H385)),G385+H385,"")</f>
        <v>2809</v>
      </c>
      <c r="J385" s="0" t="n">
        <f aca="false">RawFinancials!D385</f>
        <v>1001876</v>
      </c>
      <c r="K385" s="0" t="n">
        <f aca="false">RawFinancials!F385</f>
        <v>89997</v>
      </c>
      <c r="L385" s="0" t="n">
        <f aca="false">RawFinancials!L385</f>
        <v>920895</v>
      </c>
      <c r="M385" s="0" t="n">
        <f aca="false">RawFinancials!N385</f>
        <v>809855</v>
      </c>
      <c r="N385" s="13" t="n">
        <f aca="false">RawFinancials!X385</f>
        <v>0.476970080763032</v>
      </c>
      <c r="O385" s="13" t="n">
        <f aca="false">RawFinancials!V385</f>
        <v>15.654705756581</v>
      </c>
      <c r="P385" s="13" t="n">
        <f aca="false">IF(AND(ISNUMBER(L385),L385&lt;&gt;0,ISNUMBER(M385)),100*M385/L385,"")</f>
        <v>87.9421649590887</v>
      </c>
      <c r="Q385" s="13" t="n">
        <f aca="false">IF(AND(ISNUMBER(F385),F385&lt;&gt;0,ISNUMBER(K385)),100*K385/F385,"")</f>
        <v>7.00426807628369</v>
      </c>
      <c r="R385" s="11" t="b">
        <f aca="false">AND(ISNUMBER(F385),F385&gt;0,ISNUMBER(G385),G385&gt;=0,ISNUMBER(H385),H385&gt;=0)</f>
        <v>1</v>
      </c>
      <c r="S385" s="13" t="n">
        <f aca="false">IF(R385,100*I385/F385,"")</f>
        <v>0.218618276456781</v>
      </c>
      <c r="T385" s="11" t="b">
        <f aca="false">NOT(AND(OR(AND(ISBLANK(RawFinancials!B385),ISBLANK(_RawBaseline!B382)),AND(ISNUMBER(RawFinancials!B385),ISNUMBER(_RawBaseline!B382),RawFinancials!B385=_RawBaseline!B382)),OR(AND(ISBLANK(RawFinancials!U385),ISBLANK(_RawBaseline!U382)),AND(ISNUMBER(RawFinancials!U385),ISNUMBER(_RawBaseline!U382),RawFinancials!U385=_RawBaseline!U382)),OR(AND(ISBLANK(RawFinancials!O385),ISBLANK(_RawBaseline!O382)),AND(ISNUMBER(RawFinancials!O385),ISNUMBER(_RawBaseline!O382),RawFinancials!O385=_RawBaseline!O382))))</f>
        <v>0</v>
      </c>
      <c r="U385" s="13" t="n">
        <f aca="false">IF(AND(D385=WF_START_PERIOD,R385,COUNTIFS($B$5:$B$750,B385,$D$5:$D$750,WF_END_PERIOD,$R$5:$R$750,TRUE())&gt;0),SUMIFS($S$5:$S$750,$B$5:$B$750,B385,$D$5:$D$750,WF_END_PERIOD,$R$5:$R$750,TRUE()),0)</f>
        <v>0</v>
      </c>
      <c r="V385" s="0" t="str">
        <f aca="false">IF(AND(D385=WF_START_PERIOD,COUNTIFS($B$5:$B$750,B385,$D$5:$D$750,WF_END_PERIOD)&gt;0),INDEX($E$5:$E$750,MATCH(B385&amp;"|"&amp;WF_END_PERIOD,$AC$5:$AC$750,0)),"")</f>
        <v/>
      </c>
      <c r="W385" s="11" t="b">
        <f aca="false">COUNTIFS($B$5:$B$750,B385,$D$5:$D$750,WF_START_PERIOD,$R$5:$R$750,TRUE())&gt;0</f>
        <v>1</v>
      </c>
      <c r="X385" s="11" t="b">
        <f aca="false">COUNTIFS($B$5:$B$750,B385,$D$5:$D$750,WF_END_PERIOD,$R$5:$R$750,TRUE())&gt;0</f>
        <v>0</v>
      </c>
      <c r="Y385" s="0" t="str">
        <f aca="false">IF(AND(D385=WF_END_PERIOD,COUNTIFS($B$5:$B$750,B385,$D$5:$D$750,WF_START_PERIOD)&gt;0),INDEX($E$5:$E$750,MATCH(B385&amp;"|"&amp;WF_START_PERIOD,$AC$5:$AC$750,0)),"")</f>
        <v/>
      </c>
      <c r="Z385" s="0" t="str">
        <f aca="false">IF(AND(D385=WF_END_PERIOD,R385),1+COUNTIFS($D$5:$D$750,WF_END_PERIOD,$E$5:$E$750,E385,$R$5:$R$750,TRUE(),$S$5:$S$750,"&gt;"&amp;S385)+COUNTIFS($D$5:$D$750,WF_END_PERIOD,$E$5:$E$750,E385,$R$5:$R$750,TRUE(),$S$5:$S$750,S385,$B$5:$B$750,"&lt;"&amp;B385),"")</f>
        <v/>
      </c>
      <c r="AA385" s="0" t="str">
        <f aca="false">IF(AND(D385=WF_END_PERIOD,R385,Z385&lt;&gt;1),1+COUNTIFS($D$5:$D$750,WF_END_PERIOD,$R$5:$R$750,TRUE(),$Z$5:$Z$750,"&lt;&gt;1",$S$5:$S$750,"&gt;"&amp;S385)+COUNTIFS($D$5:$D$750,WF_END_PERIOD,$R$5:$R$750,TRUE(),$Z$5:$Z$750,"&lt;&gt;1",$S$5:$S$750,S385,$B$5:$B$750,"&lt;"&amp;B385),"")</f>
        <v/>
      </c>
      <c r="AB385" s="11" t="b">
        <f aca="false">OR(D385=WF_START_PERIOD,D385=WF_END_PERIOD)</f>
        <v>0</v>
      </c>
      <c r="AC385" s="0" t="str">
        <f aca="false">B385&amp;"|"&amp;D385</f>
        <v>14240|20231231</v>
      </c>
    </row>
    <row r="386" customFormat="false" ht="15" hidden="false" customHeight="false" outlineLevel="0" collapsed="false">
      <c r="A386" s="0" t="n">
        <f aca="false">RawFinancials!A386</f>
        <v>383</v>
      </c>
      <c r="B386" s="0" t="n">
        <f aca="false">RawFinancials!C386</f>
        <v>17115</v>
      </c>
      <c r="C386" s="0" t="str">
        <f aca="false">RawFinancials!P386</f>
        <v>PARTNERS BANK OF NEW ENGLAND</v>
      </c>
      <c r="D386" s="0" t="n">
        <f aca="false">RawFinancials!W386</f>
        <v>20231231</v>
      </c>
      <c r="E386" s="0" t="str">
        <f aca="false">RawFinancials!Z386</f>
        <v>ME</v>
      </c>
      <c r="F386" s="0" t="n">
        <f aca="false">RawFinancials!B386</f>
        <v>1091692</v>
      </c>
      <c r="G386" s="0" t="n">
        <f aca="false">RawFinancials!U386</f>
        <v>0</v>
      </c>
      <c r="H386" s="0" t="n">
        <f aca="false">RawFinancials!O386</f>
        <v>2404</v>
      </c>
      <c r="I386" s="0" t="n">
        <f aca="false">IF(AND(ISNUMBER(G386),ISNUMBER(H386)),G386+H386,"")</f>
        <v>2404</v>
      </c>
      <c r="J386" s="0" t="n">
        <f aca="false">RawFinancials!D386</f>
        <v>771961</v>
      </c>
      <c r="K386" s="0" t="n">
        <f aca="false">RawFinancials!F386</f>
        <v>87410</v>
      </c>
      <c r="L386" s="0" t="n">
        <f aca="false">RawFinancials!L386</f>
        <v>899416</v>
      </c>
      <c r="M386" s="0" t="n">
        <f aca="false">RawFinancials!N386</f>
        <v>848763</v>
      </c>
      <c r="N386" s="13" t="n">
        <f aca="false">RawFinancials!X386</f>
        <v>0.666513914056445</v>
      </c>
      <c r="O386" s="13" t="n">
        <f aca="false">RawFinancials!V386</f>
        <v>13.662485837327</v>
      </c>
      <c r="P386" s="13" t="n">
        <f aca="false">IF(AND(ISNUMBER(L386),L386&lt;&gt;0,ISNUMBER(M386)),100*M386/L386,"")</f>
        <v>94.3682344988304</v>
      </c>
      <c r="Q386" s="13" t="n">
        <f aca="false">IF(AND(ISNUMBER(F386),F386&lt;&gt;0,ISNUMBER(K386)),100*K386/F386,"")</f>
        <v>8.00683709324608</v>
      </c>
      <c r="R386" s="11" t="b">
        <f aca="false">AND(ISNUMBER(F386),F386&gt;0,ISNUMBER(G386),G386&gt;=0,ISNUMBER(H386),H386&gt;=0)</f>
        <v>1</v>
      </c>
      <c r="S386" s="13" t="n">
        <f aca="false">IF(R386,100*I386/F386,"")</f>
        <v>0.220208630273007</v>
      </c>
      <c r="T386" s="11" t="b">
        <f aca="false">NOT(AND(OR(AND(ISBLANK(RawFinancials!B386),ISBLANK(_RawBaseline!B383)),AND(ISNUMBER(RawFinancials!B386),ISNUMBER(_RawBaseline!B383),RawFinancials!B386=_RawBaseline!B383)),OR(AND(ISBLANK(RawFinancials!U386),ISBLANK(_RawBaseline!U383)),AND(ISNUMBER(RawFinancials!U386),ISNUMBER(_RawBaseline!U383),RawFinancials!U386=_RawBaseline!U383)),OR(AND(ISBLANK(RawFinancials!O386),ISBLANK(_RawBaseline!O383)),AND(ISNUMBER(RawFinancials!O386),ISNUMBER(_RawBaseline!O383),RawFinancials!O386=_RawBaseline!O383))))</f>
        <v>0</v>
      </c>
      <c r="U386" s="13" t="n">
        <f aca="false">IF(AND(D386=WF_START_PERIOD,R386,COUNTIFS($B$5:$B$750,B386,$D$5:$D$750,WF_END_PERIOD,$R$5:$R$750,TRUE())&gt;0),SUMIFS($S$5:$S$750,$B$5:$B$750,B386,$D$5:$D$750,WF_END_PERIOD,$R$5:$R$750,TRUE()),0)</f>
        <v>0</v>
      </c>
      <c r="V386" s="0" t="str">
        <f aca="false">IF(AND(D386=WF_START_PERIOD,COUNTIFS($B$5:$B$750,B386,$D$5:$D$750,WF_END_PERIOD)&gt;0),INDEX($E$5:$E$750,MATCH(B386&amp;"|"&amp;WF_END_PERIOD,$AC$5:$AC$750,0)),"")</f>
        <v/>
      </c>
      <c r="W386" s="11" t="b">
        <f aca="false">COUNTIFS($B$5:$B$750,B386,$D$5:$D$750,WF_START_PERIOD,$R$5:$R$750,TRUE())&gt;0</f>
        <v>1</v>
      </c>
      <c r="X386" s="11" t="b">
        <f aca="false">COUNTIFS($B$5:$B$750,B386,$D$5:$D$750,WF_END_PERIOD,$R$5:$R$750,TRUE())&gt;0</f>
        <v>1</v>
      </c>
      <c r="Y386" s="0" t="str">
        <f aca="false">IF(AND(D386=WF_END_PERIOD,COUNTIFS($B$5:$B$750,B386,$D$5:$D$750,WF_START_PERIOD)&gt;0),INDEX($E$5:$E$750,MATCH(B386&amp;"|"&amp;WF_START_PERIOD,$AC$5:$AC$750,0)),"")</f>
        <v/>
      </c>
      <c r="Z386" s="0" t="str">
        <f aca="false">IF(AND(D386=WF_END_PERIOD,R386),1+COUNTIFS($D$5:$D$750,WF_END_PERIOD,$E$5:$E$750,E386,$R$5:$R$750,TRUE(),$S$5:$S$750,"&gt;"&amp;S386)+COUNTIFS($D$5:$D$750,WF_END_PERIOD,$E$5:$E$750,E386,$R$5:$R$750,TRUE(),$S$5:$S$750,S386,$B$5:$B$750,"&lt;"&amp;B386),"")</f>
        <v/>
      </c>
      <c r="AA386" s="0" t="str">
        <f aca="false">IF(AND(D386=WF_END_PERIOD,R386,Z386&lt;&gt;1),1+COUNTIFS($D$5:$D$750,WF_END_PERIOD,$R$5:$R$750,TRUE(),$Z$5:$Z$750,"&lt;&gt;1",$S$5:$S$750,"&gt;"&amp;S386)+COUNTIFS($D$5:$D$750,WF_END_PERIOD,$R$5:$R$750,TRUE(),$Z$5:$Z$750,"&lt;&gt;1",$S$5:$S$750,S386,$B$5:$B$750,"&lt;"&amp;B386),"")</f>
        <v/>
      </c>
      <c r="AB386" s="11" t="b">
        <f aca="false">OR(D386=WF_START_PERIOD,D386=WF_END_PERIOD)</f>
        <v>0</v>
      </c>
      <c r="AC386" s="0" t="str">
        <f aca="false">B386&amp;"|"&amp;D386</f>
        <v>17115|20231231</v>
      </c>
    </row>
    <row r="387" customFormat="false" ht="15" hidden="false" customHeight="false" outlineLevel="0" collapsed="false">
      <c r="A387" s="0" t="n">
        <f aca="false">RawFinancials!A387</f>
        <v>384</v>
      </c>
      <c r="B387" s="0" t="n">
        <f aca="false">RawFinancials!C387</f>
        <v>17180</v>
      </c>
      <c r="C387" s="0" t="str">
        <f aca="false">RawFinancials!P387</f>
        <v>MEREDITH VILLAGE SAVINGS BANK</v>
      </c>
      <c r="D387" s="0" t="n">
        <f aca="false">RawFinancials!W387</f>
        <v>20231231</v>
      </c>
      <c r="E387" s="0" t="str">
        <f aca="false">RawFinancials!Z387</f>
        <v>NH</v>
      </c>
      <c r="F387" s="0" t="n">
        <f aca="false">RawFinancials!B387</f>
        <v>1636765</v>
      </c>
      <c r="G387" s="0" t="n">
        <f aca="false">RawFinancials!U387</f>
        <v>0</v>
      </c>
      <c r="H387" s="0" t="n">
        <f aca="false">RawFinancials!O387</f>
        <v>4903</v>
      </c>
      <c r="I387" s="0" t="n">
        <f aca="false">IF(AND(ISNUMBER(G387),ISNUMBER(H387)),G387+H387,"")</f>
        <v>4903</v>
      </c>
      <c r="J387" s="0" t="n">
        <f aca="false">RawFinancials!D387</f>
        <v>1188350</v>
      </c>
      <c r="K387" s="0" t="n">
        <f aca="false">RawFinancials!F387</f>
        <v>136707</v>
      </c>
      <c r="L387" s="0" t="n">
        <f aca="false">RawFinancials!L387</f>
        <v>1480488</v>
      </c>
      <c r="M387" s="0" t="n">
        <f aca="false">RawFinancials!N387</f>
        <v>1208918</v>
      </c>
      <c r="N387" s="13" t="n">
        <f aca="false">RawFinancials!X387</f>
        <v>0.452272607314059</v>
      </c>
      <c r="O387" s="13" t="n">
        <f aca="false">RawFinancials!V387</f>
        <v>14.1649013448556</v>
      </c>
      <c r="P387" s="13" t="n">
        <f aca="false">IF(AND(ISNUMBER(L387),L387&lt;&gt;0,ISNUMBER(M387)),100*M387/L387,"")</f>
        <v>81.6567239991138</v>
      </c>
      <c r="Q387" s="13" t="n">
        <f aca="false">IF(AND(ISNUMBER(F387),F387&lt;&gt;0,ISNUMBER(K387)),100*K387/F387,"")</f>
        <v>8.35226804092219</v>
      </c>
      <c r="R387" s="11" t="b">
        <f aca="false">AND(ISNUMBER(F387),F387&gt;0,ISNUMBER(G387),G387&gt;=0,ISNUMBER(H387),H387&gt;=0)</f>
        <v>1</v>
      </c>
      <c r="S387" s="13" t="n">
        <f aca="false">IF(R387,100*I387/F387,"")</f>
        <v>0.299554303763827</v>
      </c>
      <c r="T387" s="11" t="b">
        <f aca="false">NOT(AND(OR(AND(ISBLANK(RawFinancials!B387),ISBLANK(_RawBaseline!B384)),AND(ISNUMBER(RawFinancials!B387),ISNUMBER(_RawBaseline!B384),RawFinancials!B387=_RawBaseline!B384)),OR(AND(ISBLANK(RawFinancials!U387),ISBLANK(_RawBaseline!U384)),AND(ISNUMBER(RawFinancials!U387),ISNUMBER(_RawBaseline!U384),RawFinancials!U387=_RawBaseline!U384)),OR(AND(ISBLANK(RawFinancials!O387),ISBLANK(_RawBaseline!O384)),AND(ISNUMBER(RawFinancials!O387),ISNUMBER(_RawBaseline!O384),RawFinancials!O387=_RawBaseline!O384))))</f>
        <v>0</v>
      </c>
      <c r="U387" s="13" t="n">
        <f aca="false">IF(AND(D387=WF_START_PERIOD,R387,COUNTIFS($B$5:$B$750,B387,$D$5:$D$750,WF_END_PERIOD,$R$5:$R$750,TRUE())&gt;0),SUMIFS($S$5:$S$750,$B$5:$B$750,B387,$D$5:$D$750,WF_END_PERIOD,$R$5:$R$750,TRUE()),0)</f>
        <v>0</v>
      </c>
      <c r="V387" s="0" t="str">
        <f aca="false">IF(AND(D387=WF_START_PERIOD,COUNTIFS($B$5:$B$750,B387,$D$5:$D$750,WF_END_PERIOD)&gt;0),INDEX($E$5:$E$750,MATCH(B387&amp;"|"&amp;WF_END_PERIOD,$AC$5:$AC$750,0)),"")</f>
        <v/>
      </c>
      <c r="W387" s="11" t="b">
        <f aca="false">COUNTIFS($B$5:$B$750,B387,$D$5:$D$750,WF_START_PERIOD,$R$5:$R$750,TRUE())&gt;0</f>
        <v>1</v>
      </c>
      <c r="X387" s="11" t="b">
        <f aca="false">COUNTIFS($B$5:$B$750,B387,$D$5:$D$750,WF_END_PERIOD,$R$5:$R$750,TRUE())&gt;0</f>
        <v>1</v>
      </c>
      <c r="Y387" s="0" t="str">
        <f aca="false">IF(AND(D387=WF_END_PERIOD,COUNTIFS($B$5:$B$750,B387,$D$5:$D$750,WF_START_PERIOD)&gt;0),INDEX($E$5:$E$750,MATCH(B387&amp;"|"&amp;WF_START_PERIOD,$AC$5:$AC$750,0)),"")</f>
        <v/>
      </c>
      <c r="Z387" s="0" t="str">
        <f aca="false">IF(AND(D387=WF_END_PERIOD,R387),1+COUNTIFS($D$5:$D$750,WF_END_PERIOD,$E$5:$E$750,E387,$R$5:$R$750,TRUE(),$S$5:$S$750,"&gt;"&amp;S387)+COUNTIFS($D$5:$D$750,WF_END_PERIOD,$E$5:$E$750,E387,$R$5:$R$750,TRUE(),$S$5:$S$750,S387,$B$5:$B$750,"&lt;"&amp;B387),"")</f>
        <v/>
      </c>
      <c r="AA387" s="0" t="str">
        <f aca="false">IF(AND(D387=WF_END_PERIOD,R387,Z387&lt;&gt;1),1+COUNTIFS($D$5:$D$750,WF_END_PERIOD,$R$5:$R$750,TRUE(),$Z$5:$Z$750,"&lt;&gt;1",$S$5:$S$750,"&gt;"&amp;S387)+COUNTIFS($D$5:$D$750,WF_END_PERIOD,$R$5:$R$750,TRUE(),$Z$5:$Z$750,"&lt;&gt;1",$S$5:$S$750,S387,$B$5:$B$750,"&lt;"&amp;B387),"")</f>
        <v/>
      </c>
      <c r="AB387" s="11" t="b">
        <f aca="false">OR(D387=WF_START_PERIOD,D387=WF_END_PERIOD)</f>
        <v>0</v>
      </c>
      <c r="AC387" s="0" t="str">
        <f aca="false">B387&amp;"|"&amp;D387</f>
        <v>17180|20231231</v>
      </c>
    </row>
    <row r="388" customFormat="false" ht="15" hidden="false" customHeight="false" outlineLevel="0" collapsed="false">
      <c r="A388" s="0" t="n">
        <f aca="false">RawFinancials!A388</f>
        <v>385</v>
      </c>
      <c r="B388" s="0" t="n">
        <f aca="false">RawFinancials!C388</f>
        <v>17443</v>
      </c>
      <c r="C388" s="0" t="str">
        <f aca="false">RawFinancials!P388</f>
        <v>PISCATAQUA SAVINGS BANK</v>
      </c>
      <c r="D388" s="0" t="n">
        <f aca="false">RawFinancials!W388</f>
        <v>20231231</v>
      </c>
      <c r="E388" s="0" t="str">
        <f aca="false">RawFinancials!Z388</f>
        <v>NH</v>
      </c>
      <c r="F388" s="0" t="n">
        <f aca="false">RawFinancials!B388</f>
        <v>351163</v>
      </c>
      <c r="G388" s="0" t="n">
        <f aca="false">RawFinancials!U388</f>
        <v>0</v>
      </c>
      <c r="H388" s="0" t="n">
        <f aca="false">RawFinancials!O388</f>
        <v>173</v>
      </c>
      <c r="I388" s="0" t="n">
        <f aca="false">IF(AND(ISNUMBER(G388),ISNUMBER(H388)),G388+H388,"")</f>
        <v>173</v>
      </c>
      <c r="J388" s="0" t="n">
        <f aca="false">RawFinancials!D388</f>
        <v>309824</v>
      </c>
      <c r="K388" s="0" t="n">
        <f aca="false">RawFinancials!F388</f>
        <v>40157</v>
      </c>
      <c r="L388" s="0" t="n">
        <f aca="false">RawFinancials!L388</f>
        <v>205058</v>
      </c>
      <c r="M388" s="0" t="n">
        <f aca="false">RawFinancials!N388</f>
        <v>203264</v>
      </c>
      <c r="N388" s="13" t="n">
        <f aca="false">RawFinancials!X388</f>
        <v>0.0112388748844589</v>
      </c>
      <c r="O388" s="13" t="n">
        <f aca="false">RawFinancials!V388</f>
        <v>0</v>
      </c>
      <c r="P388" s="13" t="n">
        <f aca="false">IF(AND(ISNUMBER(L388),L388&lt;&gt;0,ISNUMBER(M388)),100*M388/L388,"")</f>
        <v>99.1251255742278</v>
      </c>
      <c r="Q388" s="13" t="n">
        <f aca="false">IF(AND(ISNUMBER(F388),F388&lt;&gt;0,ISNUMBER(K388)),100*K388/F388,"")</f>
        <v>11.4354302702733</v>
      </c>
      <c r="R388" s="11" t="b">
        <f aca="false">AND(ISNUMBER(F388),F388&gt;0,ISNUMBER(G388),G388&gt;=0,ISNUMBER(H388),H388&gt;=0)</f>
        <v>1</v>
      </c>
      <c r="S388" s="13" t="n">
        <f aca="false">IF(R388,100*I388/F388,"")</f>
        <v>0.0492648712990833</v>
      </c>
      <c r="T388" s="11" t="b">
        <f aca="false">NOT(AND(OR(AND(ISBLANK(RawFinancials!B388),ISBLANK(_RawBaseline!B385)),AND(ISNUMBER(RawFinancials!B388),ISNUMBER(_RawBaseline!B385),RawFinancials!B388=_RawBaseline!B385)),OR(AND(ISBLANK(RawFinancials!U388),ISBLANK(_RawBaseline!U385)),AND(ISNUMBER(RawFinancials!U388),ISNUMBER(_RawBaseline!U385),RawFinancials!U388=_RawBaseline!U385)),OR(AND(ISBLANK(RawFinancials!O388),ISBLANK(_RawBaseline!O385)),AND(ISNUMBER(RawFinancials!O388),ISNUMBER(_RawBaseline!O385),RawFinancials!O388=_RawBaseline!O385))))</f>
        <v>0</v>
      </c>
      <c r="U388" s="13" t="n">
        <f aca="false">IF(AND(D388=WF_START_PERIOD,R388,COUNTIFS($B$5:$B$750,B388,$D$5:$D$750,WF_END_PERIOD,$R$5:$R$750,TRUE())&gt;0),SUMIFS($S$5:$S$750,$B$5:$B$750,B388,$D$5:$D$750,WF_END_PERIOD,$R$5:$R$750,TRUE()),0)</f>
        <v>0</v>
      </c>
      <c r="V388" s="0" t="str">
        <f aca="false">IF(AND(D388=WF_START_PERIOD,COUNTIFS($B$5:$B$750,B388,$D$5:$D$750,WF_END_PERIOD)&gt;0),INDEX($E$5:$E$750,MATCH(B388&amp;"|"&amp;WF_END_PERIOD,$AC$5:$AC$750,0)),"")</f>
        <v/>
      </c>
      <c r="W388" s="11" t="b">
        <f aca="false">COUNTIFS($B$5:$B$750,B388,$D$5:$D$750,WF_START_PERIOD,$R$5:$R$750,TRUE())&gt;0</f>
        <v>1</v>
      </c>
      <c r="X388" s="11" t="b">
        <f aca="false">COUNTIFS($B$5:$B$750,B388,$D$5:$D$750,WF_END_PERIOD,$R$5:$R$750,TRUE())&gt;0</f>
        <v>1</v>
      </c>
      <c r="Y388" s="0" t="str">
        <f aca="false">IF(AND(D388=WF_END_PERIOD,COUNTIFS($B$5:$B$750,B388,$D$5:$D$750,WF_START_PERIOD)&gt;0),INDEX($E$5:$E$750,MATCH(B388&amp;"|"&amp;WF_START_PERIOD,$AC$5:$AC$750,0)),"")</f>
        <v/>
      </c>
      <c r="Z388" s="0" t="str">
        <f aca="false">IF(AND(D388=WF_END_PERIOD,R388),1+COUNTIFS($D$5:$D$750,WF_END_PERIOD,$E$5:$E$750,E388,$R$5:$R$750,TRUE(),$S$5:$S$750,"&gt;"&amp;S388)+COUNTIFS($D$5:$D$750,WF_END_PERIOD,$E$5:$E$750,E388,$R$5:$R$750,TRUE(),$S$5:$S$750,S388,$B$5:$B$750,"&lt;"&amp;B388),"")</f>
        <v/>
      </c>
      <c r="AA388" s="0" t="str">
        <f aca="false">IF(AND(D388=WF_END_PERIOD,R388,Z388&lt;&gt;1),1+COUNTIFS($D$5:$D$750,WF_END_PERIOD,$R$5:$R$750,TRUE(),$Z$5:$Z$750,"&lt;&gt;1",$S$5:$S$750,"&gt;"&amp;S388)+COUNTIFS($D$5:$D$750,WF_END_PERIOD,$R$5:$R$750,TRUE(),$Z$5:$Z$750,"&lt;&gt;1",$S$5:$S$750,S388,$B$5:$B$750,"&lt;"&amp;B388),"")</f>
        <v/>
      </c>
      <c r="AB388" s="11" t="b">
        <f aca="false">OR(D388=WF_START_PERIOD,D388=WF_END_PERIOD)</f>
        <v>0</v>
      </c>
      <c r="AC388" s="0" t="str">
        <f aca="false">B388&amp;"|"&amp;D388</f>
        <v>17443|20231231</v>
      </c>
    </row>
    <row r="389" customFormat="false" ht="15" hidden="false" customHeight="false" outlineLevel="0" collapsed="false">
      <c r="A389" s="0" t="n">
        <f aca="false">RawFinancials!A389</f>
        <v>386</v>
      </c>
      <c r="B389" s="0" t="n">
        <f aca="false">RawFinancials!C389</f>
        <v>17658</v>
      </c>
      <c r="C389" s="0" t="str">
        <f aca="false">RawFinancials!P389</f>
        <v>NORWAY SAVINGS BANK</v>
      </c>
      <c r="D389" s="0" t="n">
        <f aca="false">RawFinancials!W389</f>
        <v>20231231</v>
      </c>
      <c r="E389" s="0" t="str">
        <f aca="false">RawFinancials!Z389</f>
        <v>ME</v>
      </c>
      <c r="F389" s="0" t="n">
        <f aca="false">RawFinancials!B389</f>
        <v>1865564</v>
      </c>
      <c r="G389" s="0" t="n">
        <f aca="false">RawFinancials!U389</f>
        <v>0</v>
      </c>
      <c r="H389" s="0" t="n">
        <f aca="false">RawFinancials!O389</f>
        <v>8793</v>
      </c>
      <c r="I389" s="0" t="n">
        <f aca="false">IF(AND(ISNUMBER(G389),ISNUMBER(H389)),G389+H389,"")</f>
        <v>8793</v>
      </c>
      <c r="J389" s="0" t="n">
        <f aca="false">RawFinancials!D389</f>
        <v>1489308</v>
      </c>
      <c r="K389" s="0" t="n">
        <f aca="false">RawFinancials!F389</f>
        <v>208565</v>
      </c>
      <c r="L389" s="0" t="n">
        <f aca="false">RawFinancials!L389</f>
        <v>1305177</v>
      </c>
      <c r="M389" s="0" t="n">
        <f aca="false">RawFinancials!N389</f>
        <v>1111057</v>
      </c>
      <c r="N389" s="13" t="n">
        <f aca="false">RawFinancials!X389</f>
        <v>0.767976387669771</v>
      </c>
      <c r="O389" s="13" t="n">
        <f aca="false">RawFinancials!V389</f>
        <v>0</v>
      </c>
      <c r="P389" s="13" t="n">
        <f aca="false">IF(AND(ISNUMBER(L389),L389&lt;&gt;0,ISNUMBER(M389)),100*M389/L389,"")</f>
        <v>85.1269214826801</v>
      </c>
      <c r="Q389" s="13" t="n">
        <f aca="false">IF(AND(ISNUMBER(F389),F389&lt;&gt;0,ISNUMBER(K389)),100*K389/F389,"")</f>
        <v>11.1797290256459</v>
      </c>
      <c r="R389" s="11" t="b">
        <f aca="false">AND(ISNUMBER(F389),F389&gt;0,ISNUMBER(G389),G389&gt;=0,ISNUMBER(H389),H389&gt;=0)</f>
        <v>1</v>
      </c>
      <c r="S389" s="13" t="n">
        <f aca="false">IF(R389,100*I389/F389,"")</f>
        <v>0.471331993970724</v>
      </c>
      <c r="T389" s="11" t="b">
        <f aca="false">NOT(AND(OR(AND(ISBLANK(RawFinancials!B389),ISBLANK(_RawBaseline!B386)),AND(ISNUMBER(RawFinancials!B389),ISNUMBER(_RawBaseline!B386),RawFinancials!B389=_RawBaseline!B386)),OR(AND(ISBLANK(RawFinancials!U389),ISBLANK(_RawBaseline!U386)),AND(ISNUMBER(RawFinancials!U389),ISNUMBER(_RawBaseline!U386),RawFinancials!U389=_RawBaseline!U386)),OR(AND(ISBLANK(RawFinancials!O389),ISBLANK(_RawBaseline!O386)),AND(ISNUMBER(RawFinancials!O389),ISNUMBER(_RawBaseline!O386),RawFinancials!O389=_RawBaseline!O386))))</f>
        <v>0</v>
      </c>
      <c r="U389" s="13" t="n">
        <f aca="false">IF(AND(D389=WF_START_PERIOD,R389,COUNTIFS($B$5:$B$750,B389,$D$5:$D$750,WF_END_PERIOD,$R$5:$R$750,TRUE())&gt;0),SUMIFS($S$5:$S$750,$B$5:$B$750,B389,$D$5:$D$750,WF_END_PERIOD,$R$5:$R$750,TRUE()),0)</f>
        <v>0</v>
      </c>
      <c r="V389" s="0" t="str">
        <f aca="false">IF(AND(D389=WF_START_PERIOD,COUNTIFS($B$5:$B$750,B389,$D$5:$D$750,WF_END_PERIOD)&gt;0),INDEX($E$5:$E$750,MATCH(B389&amp;"|"&amp;WF_END_PERIOD,$AC$5:$AC$750,0)),"")</f>
        <v/>
      </c>
      <c r="W389" s="11" t="b">
        <f aca="false">COUNTIFS($B$5:$B$750,B389,$D$5:$D$750,WF_START_PERIOD,$R$5:$R$750,TRUE())&gt;0</f>
        <v>1</v>
      </c>
      <c r="X389" s="11" t="b">
        <f aca="false">COUNTIFS($B$5:$B$750,B389,$D$5:$D$750,WF_END_PERIOD,$R$5:$R$750,TRUE())&gt;0</f>
        <v>1</v>
      </c>
      <c r="Y389" s="0" t="str">
        <f aca="false">IF(AND(D389=WF_END_PERIOD,COUNTIFS($B$5:$B$750,B389,$D$5:$D$750,WF_START_PERIOD)&gt;0),INDEX($E$5:$E$750,MATCH(B389&amp;"|"&amp;WF_START_PERIOD,$AC$5:$AC$750,0)),"")</f>
        <v/>
      </c>
      <c r="Z389" s="0" t="str">
        <f aca="false">IF(AND(D389=WF_END_PERIOD,R389),1+COUNTIFS($D$5:$D$750,WF_END_PERIOD,$E$5:$E$750,E389,$R$5:$R$750,TRUE(),$S$5:$S$750,"&gt;"&amp;S389)+COUNTIFS($D$5:$D$750,WF_END_PERIOD,$E$5:$E$750,E389,$R$5:$R$750,TRUE(),$S$5:$S$750,S389,$B$5:$B$750,"&lt;"&amp;B389),"")</f>
        <v/>
      </c>
      <c r="AA389" s="0" t="str">
        <f aca="false">IF(AND(D389=WF_END_PERIOD,R389,Z389&lt;&gt;1),1+COUNTIFS($D$5:$D$750,WF_END_PERIOD,$R$5:$R$750,TRUE(),$Z$5:$Z$750,"&lt;&gt;1",$S$5:$S$750,"&gt;"&amp;S389)+COUNTIFS($D$5:$D$750,WF_END_PERIOD,$R$5:$R$750,TRUE(),$Z$5:$Z$750,"&lt;&gt;1",$S$5:$S$750,S389,$B$5:$B$750,"&lt;"&amp;B389),"")</f>
        <v/>
      </c>
      <c r="AB389" s="11" t="b">
        <f aca="false">OR(D389=WF_START_PERIOD,D389=WF_END_PERIOD)</f>
        <v>0</v>
      </c>
      <c r="AC389" s="0" t="str">
        <f aca="false">B389&amp;"|"&amp;D389</f>
        <v>17658|20231231</v>
      </c>
    </row>
    <row r="390" customFormat="false" ht="15" hidden="false" customHeight="false" outlineLevel="0" collapsed="false">
      <c r="A390" s="0" t="n">
        <f aca="false">RawFinancials!A390</f>
        <v>387</v>
      </c>
      <c r="B390" s="0" t="n">
        <f aca="false">RawFinancials!C390</f>
        <v>17741</v>
      </c>
      <c r="C390" s="0" t="str">
        <f aca="false">RawFinancials!P390</f>
        <v>MAINE COMMUNITY BANK</v>
      </c>
      <c r="D390" s="0" t="n">
        <f aca="false">RawFinancials!W390</f>
        <v>20231231</v>
      </c>
      <c r="E390" s="0" t="str">
        <f aca="false">RawFinancials!Z390</f>
        <v>ME</v>
      </c>
      <c r="F390" s="0" t="n">
        <f aca="false">RawFinancials!B390</f>
        <v>1084657</v>
      </c>
      <c r="G390" s="0" t="n">
        <f aca="false">RawFinancials!U390</f>
        <v>0</v>
      </c>
      <c r="H390" s="0" t="n">
        <f aca="false">RawFinancials!O390</f>
        <v>6632</v>
      </c>
      <c r="I390" s="0" t="n">
        <f aca="false">IF(AND(ISNUMBER(G390),ISNUMBER(H390)),G390+H390,"")</f>
        <v>6632</v>
      </c>
      <c r="J390" s="0" t="n">
        <f aca="false">RawFinancials!D390</f>
        <v>813318</v>
      </c>
      <c r="K390" s="0" t="n">
        <f aca="false">RawFinancials!F390</f>
        <v>139308</v>
      </c>
      <c r="L390" s="0" t="n">
        <f aca="false">RawFinancials!L390</f>
        <v>917122</v>
      </c>
      <c r="M390" s="0" t="n">
        <f aca="false">RawFinancials!N390</f>
        <v>853812</v>
      </c>
      <c r="N390" s="13" t="n">
        <f aca="false">RawFinancials!X390</f>
        <v>0.623237286824956</v>
      </c>
      <c r="O390" s="13" t="n">
        <f aca="false">RawFinancials!V390</f>
        <v>0</v>
      </c>
      <c r="P390" s="13" t="n">
        <f aca="false">IF(AND(ISNUMBER(L390),L390&lt;&gt;0,ISNUMBER(M390)),100*M390/L390,"")</f>
        <v>93.0968835116811</v>
      </c>
      <c r="Q390" s="13" t="n">
        <f aca="false">IF(AND(ISNUMBER(F390),F390&lt;&gt;0,ISNUMBER(K390)),100*K390/F390,"")</f>
        <v>12.8435072101134</v>
      </c>
      <c r="R390" s="11" t="b">
        <f aca="false">AND(ISNUMBER(F390),F390&gt;0,ISNUMBER(G390),G390&gt;=0,ISNUMBER(H390),H390&gt;=0)</f>
        <v>1</v>
      </c>
      <c r="S390" s="13" t="n">
        <f aca="false">IF(R390,100*I390/F390,"")</f>
        <v>0.611437532786863</v>
      </c>
      <c r="T390" s="11" t="b">
        <f aca="false">NOT(AND(OR(AND(ISBLANK(RawFinancials!B390),ISBLANK(_RawBaseline!B387)),AND(ISNUMBER(RawFinancials!B390),ISNUMBER(_RawBaseline!B387),RawFinancials!B390=_RawBaseline!B387)),OR(AND(ISBLANK(RawFinancials!U390),ISBLANK(_RawBaseline!U387)),AND(ISNUMBER(RawFinancials!U390),ISNUMBER(_RawBaseline!U387),RawFinancials!U390=_RawBaseline!U387)),OR(AND(ISBLANK(RawFinancials!O390),ISBLANK(_RawBaseline!O387)),AND(ISNUMBER(RawFinancials!O390),ISNUMBER(_RawBaseline!O387),RawFinancials!O390=_RawBaseline!O387))))</f>
        <v>0</v>
      </c>
      <c r="U390" s="13" t="n">
        <f aca="false">IF(AND(D390=WF_START_PERIOD,R390,COUNTIFS($B$5:$B$750,B390,$D$5:$D$750,WF_END_PERIOD,$R$5:$R$750,TRUE())&gt;0),SUMIFS($S$5:$S$750,$B$5:$B$750,B390,$D$5:$D$750,WF_END_PERIOD,$R$5:$R$750,TRUE()),0)</f>
        <v>0</v>
      </c>
      <c r="V390" s="0" t="str">
        <f aca="false">IF(AND(D390=WF_START_PERIOD,COUNTIFS($B$5:$B$750,B390,$D$5:$D$750,WF_END_PERIOD)&gt;0),INDEX($E$5:$E$750,MATCH(B390&amp;"|"&amp;WF_END_PERIOD,$AC$5:$AC$750,0)),"")</f>
        <v/>
      </c>
      <c r="W390" s="11" t="b">
        <f aca="false">COUNTIFS($B$5:$B$750,B390,$D$5:$D$750,WF_START_PERIOD,$R$5:$R$750,TRUE())&gt;0</f>
        <v>1</v>
      </c>
      <c r="X390" s="11" t="b">
        <f aca="false">COUNTIFS($B$5:$B$750,B390,$D$5:$D$750,WF_END_PERIOD,$R$5:$R$750,TRUE())&gt;0</f>
        <v>1</v>
      </c>
      <c r="Y390" s="0" t="str">
        <f aca="false">IF(AND(D390=WF_END_PERIOD,COUNTIFS($B$5:$B$750,B390,$D$5:$D$750,WF_START_PERIOD)&gt;0),INDEX($E$5:$E$750,MATCH(B390&amp;"|"&amp;WF_START_PERIOD,$AC$5:$AC$750,0)),"")</f>
        <v/>
      </c>
      <c r="Z390" s="0" t="str">
        <f aca="false">IF(AND(D390=WF_END_PERIOD,R390),1+COUNTIFS($D$5:$D$750,WF_END_PERIOD,$E$5:$E$750,E390,$R$5:$R$750,TRUE(),$S$5:$S$750,"&gt;"&amp;S390)+COUNTIFS($D$5:$D$750,WF_END_PERIOD,$E$5:$E$750,E390,$R$5:$R$750,TRUE(),$S$5:$S$750,S390,$B$5:$B$750,"&lt;"&amp;B390),"")</f>
        <v/>
      </c>
      <c r="AA390" s="0" t="str">
        <f aca="false">IF(AND(D390=WF_END_PERIOD,R390,Z390&lt;&gt;1),1+COUNTIFS($D$5:$D$750,WF_END_PERIOD,$R$5:$R$750,TRUE(),$Z$5:$Z$750,"&lt;&gt;1",$S$5:$S$750,"&gt;"&amp;S390)+COUNTIFS($D$5:$D$750,WF_END_PERIOD,$R$5:$R$750,TRUE(),$Z$5:$Z$750,"&lt;&gt;1",$S$5:$S$750,S390,$B$5:$B$750,"&lt;"&amp;B390),"")</f>
        <v/>
      </c>
      <c r="AB390" s="11" t="b">
        <f aca="false">OR(D390=WF_START_PERIOD,D390=WF_END_PERIOD)</f>
        <v>0</v>
      </c>
      <c r="AC390" s="0" t="str">
        <f aca="false">B390&amp;"|"&amp;D390</f>
        <v>17741|20231231</v>
      </c>
    </row>
    <row r="391" customFormat="false" ht="15" hidden="false" customHeight="false" outlineLevel="0" collapsed="false">
      <c r="A391" s="0" t="n">
        <f aca="false">RawFinancials!A391</f>
        <v>388</v>
      </c>
      <c r="B391" s="0" t="n">
        <f aca="false">RawFinancials!C391</f>
        <v>17743</v>
      </c>
      <c r="C391" s="0" t="str">
        <f aca="false">RawFinancials!P391</f>
        <v>SACO &amp; BIDDEFORD SAVINGS INSTITUTION</v>
      </c>
      <c r="D391" s="0" t="n">
        <f aca="false">RawFinancials!W391</f>
        <v>20231231</v>
      </c>
      <c r="E391" s="0" t="str">
        <f aca="false">RawFinancials!Z391</f>
        <v>ME</v>
      </c>
      <c r="F391" s="0" t="n">
        <f aca="false">RawFinancials!B391</f>
        <v>1380826</v>
      </c>
      <c r="G391" s="0" t="n">
        <f aca="false">RawFinancials!U391</f>
        <v>0</v>
      </c>
      <c r="H391" s="0" t="n">
        <f aca="false">RawFinancials!O391</f>
        <v>1762</v>
      </c>
      <c r="I391" s="0" t="n">
        <f aca="false">IF(AND(ISNUMBER(G391),ISNUMBER(H391)),G391+H391,"")</f>
        <v>1762</v>
      </c>
      <c r="J391" s="0" t="n">
        <f aca="false">RawFinancials!D391</f>
        <v>963516</v>
      </c>
      <c r="K391" s="0" t="n">
        <f aca="false">RawFinancials!F391</f>
        <v>122659</v>
      </c>
      <c r="L391" s="0" t="n">
        <f aca="false">RawFinancials!L391</f>
        <v>1091678</v>
      </c>
      <c r="M391" s="0" t="n">
        <f aca="false">RawFinancials!N391</f>
        <v>1054307</v>
      </c>
      <c r="N391" s="13" t="n">
        <f aca="false">RawFinancials!X391</f>
        <v>0.0464740506827769</v>
      </c>
      <c r="O391" s="13" t="n">
        <f aca="false">RawFinancials!V391</f>
        <v>0</v>
      </c>
      <c r="P391" s="13" t="n">
        <f aca="false">IF(AND(ISNUMBER(L391),L391&lt;&gt;0,ISNUMBER(M391)),100*M391/L391,"")</f>
        <v>96.5767378292867</v>
      </c>
      <c r="Q391" s="13" t="n">
        <f aca="false">IF(AND(ISNUMBER(F391),F391&lt;&gt;0,ISNUMBER(K391)),100*K391/F391,"")</f>
        <v>8.88301639743168</v>
      </c>
      <c r="R391" s="11" t="b">
        <f aca="false">AND(ISNUMBER(F391),F391&gt;0,ISNUMBER(G391),G391&gt;=0,ISNUMBER(H391),H391&gt;=0)</f>
        <v>1</v>
      </c>
      <c r="S391" s="13" t="n">
        <f aca="false">IF(R391,100*I391/F391,"")</f>
        <v>0.127604781485864</v>
      </c>
      <c r="T391" s="11" t="b">
        <f aca="false">NOT(AND(OR(AND(ISBLANK(RawFinancials!B391),ISBLANK(_RawBaseline!B388)),AND(ISNUMBER(RawFinancials!B391),ISNUMBER(_RawBaseline!B388),RawFinancials!B391=_RawBaseline!B388)),OR(AND(ISBLANK(RawFinancials!U391),ISBLANK(_RawBaseline!U388)),AND(ISNUMBER(RawFinancials!U391),ISNUMBER(_RawBaseline!U388),RawFinancials!U391=_RawBaseline!U388)),OR(AND(ISBLANK(RawFinancials!O391),ISBLANK(_RawBaseline!O388)),AND(ISNUMBER(RawFinancials!O391),ISNUMBER(_RawBaseline!O388),RawFinancials!O391=_RawBaseline!O388))))</f>
        <v>0</v>
      </c>
      <c r="U391" s="13" t="n">
        <f aca="false">IF(AND(D391=WF_START_PERIOD,R391,COUNTIFS($B$5:$B$750,B391,$D$5:$D$750,WF_END_PERIOD,$R$5:$R$750,TRUE())&gt;0),SUMIFS($S$5:$S$750,$B$5:$B$750,B391,$D$5:$D$750,WF_END_PERIOD,$R$5:$R$750,TRUE()),0)</f>
        <v>0</v>
      </c>
      <c r="V391" s="0" t="str">
        <f aca="false">IF(AND(D391=WF_START_PERIOD,COUNTIFS($B$5:$B$750,B391,$D$5:$D$750,WF_END_PERIOD)&gt;0),INDEX($E$5:$E$750,MATCH(B391&amp;"|"&amp;WF_END_PERIOD,$AC$5:$AC$750,0)),"")</f>
        <v/>
      </c>
      <c r="W391" s="11" t="b">
        <f aca="false">COUNTIFS($B$5:$B$750,B391,$D$5:$D$750,WF_START_PERIOD,$R$5:$R$750,TRUE())&gt;0</f>
        <v>1</v>
      </c>
      <c r="X391" s="11" t="b">
        <f aca="false">COUNTIFS($B$5:$B$750,B391,$D$5:$D$750,WF_END_PERIOD,$R$5:$R$750,TRUE())&gt;0</f>
        <v>1</v>
      </c>
      <c r="Y391" s="0" t="str">
        <f aca="false">IF(AND(D391=WF_END_PERIOD,COUNTIFS($B$5:$B$750,B391,$D$5:$D$750,WF_START_PERIOD)&gt;0),INDEX($E$5:$E$750,MATCH(B391&amp;"|"&amp;WF_START_PERIOD,$AC$5:$AC$750,0)),"")</f>
        <v/>
      </c>
      <c r="Z391" s="0" t="str">
        <f aca="false">IF(AND(D391=WF_END_PERIOD,R391),1+COUNTIFS($D$5:$D$750,WF_END_PERIOD,$E$5:$E$750,E391,$R$5:$R$750,TRUE(),$S$5:$S$750,"&gt;"&amp;S391)+COUNTIFS($D$5:$D$750,WF_END_PERIOD,$E$5:$E$750,E391,$R$5:$R$750,TRUE(),$S$5:$S$750,S391,$B$5:$B$750,"&lt;"&amp;B391),"")</f>
        <v/>
      </c>
      <c r="AA391" s="0" t="str">
        <f aca="false">IF(AND(D391=WF_END_PERIOD,R391,Z391&lt;&gt;1),1+COUNTIFS($D$5:$D$750,WF_END_PERIOD,$R$5:$R$750,TRUE(),$Z$5:$Z$750,"&lt;&gt;1",$S$5:$S$750,"&gt;"&amp;S391)+COUNTIFS($D$5:$D$750,WF_END_PERIOD,$R$5:$R$750,TRUE(),$Z$5:$Z$750,"&lt;&gt;1",$S$5:$S$750,S391,$B$5:$B$750,"&lt;"&amp;B391),"")</f>
        <v/>
      </c>
      <c r="AB391" s="11" t="b">
        <f aca="false">OR(D391=WF_START_PERIOD,D391=WF_END_PERIOD)</f>
        <v>0</v>
      </c>
      <c r="AC391" s="0" t="str">
        <f aca="false">B391&amp;"|"&amp;D391</f>
        <v>17743|20231231</v>
      </c>
    </row>
    <row r="392" customFormat="false" ht="15" hidden="false" customHeight="false" outlineLevel="0" collapsed="false">
      <c r="A392" s="0" t="n">
        <f aca="false">RawFinancials!A392</f>
        <v>389</v>
      </c>
      <c r="B392" s="0" t="n">
        <f aca="false">RawFinancials!C392</f>
        <v>17748</v>
      </c>
      <c r="C392" s="0" t="str">
        <f aca="false">RawFinancials!P392</f>
        <v>GORHAM SAVINGS BANK</v>
      </c>
      <c r="D392" s="0" t="n">
        <f aca="false">RawFinancials!W392</f>
        <v>20231231</v>
      </c>
      <c r="E392" s="0" t="str">
        <f aca="false">RawFinancials!Z392</f>
        <v>ME</v>
      </c>
      <c r="F392" s="0" t="n">
        <f aca="false">RawFinancials!B392</f>
        <v>1668860</v>
      </c>
      <c r="G392" s="0" t="n">
        <f aca="false">RawFinancials!U392</f>
        <v>0</v>
      </c>
      <c r="H392" s="0" t="n">
        <f aca="false">RawFinancials!O392</f>
        <v>7520</v>
      </c>
      <c r="I392" s="0" t="n">
        <f aca="false">IF(AND(ISNUMBER(G392),ISNUMBER(H392)),G392+H392,"")</f>
        <v>7520</v>
      </c>
      <c r="J392" s="0" t="n">
        <f aca="false">RawFinancials!D392</f>
        <v>1336828</v>
      </c>
      <c r="K392" s="0" t="n">
        <f aca="false">RawFinancials!F392</f>
        <v>114376</v>
      </c>
      <c r="L392" s="0" t="n">
        <f aca="false">RawFinancials!L392</f>
        <v>1279867</v>
      </c>
      <c r="M392" s="0" t="n">
        <f aca="false">RawFinancials!N392</f>
        <v>1067583</v>
      </c>
      <c r="N392" s="13" t="n">
        <f aca="false">RawFinancials!X392</f>
        <v>0.322207444052572</v>
      </c>
      <c r="O392" s="13" t="n">
        <f aca="false">RawFinancials!V392</f>
        <v>0</v>
      </c>
      <c r="P392" s="13" t="n">
        <f aca="false">IF(AND(ISNUMBER(L392),L392&lt;&gt;0,ISNUMBER(M392)),100*M392/L392,"")</f>
        <v>83.4135890682391</v>
      </c>
      <c r="Q392" s="13" t="n">
        <f aca="false">IF(AND(ISNUMBER(F392),F392&lt;&gt;0,ISNUMBER(K392)),100*K392/F392,"")</f>
        <v>6.85354074038565</v>
      </c>
      <c r="R392" s="11" t="b">
        <f aca="false">AND(ISNUMBER(F392),F392&gt;0,ISNUMBER(G392),G392&gt;=0,ISNUMBER(H392),H392&gt;=0)</f>
        <v>1</v>
      </c>
      <c r="S392" s="13" t="n">
        <f aca="false">IF(R392,100*I392/F392,"")</f>
        <v>0.450607001186439</v>
      </c>
      <c r="T392" s="11" t="b">
        <f aca="false">NOT(AND(OR(AND(ISBLANK(RawFinancials!B392),ISBLANK(_RawBaseline!B389)),AND(ISNUMBER(RawFinancials!B392),ISNUMBER(_RawBaseline!B389),RawFinancials!B392=_RawBaseline!B389)),OR(AND(ISBLANK(RawFinancials!U392),ISBLANK(_RawBaseline!U389)),AND(ISNUMBER(RawFinancials!U392),ISNUMBER(_RawBaseline!U389),RawFinancials!U392=_RawBaseline!U389)),OR(AND(ISBLANK(RawFinancials!O392),ISBLANK(_RawBaseline!O389)),AND(ISNUMBER(RawFinancials!O392),ISNUMBER(_RawBaseline!O389),RawFinancials!O392=_RawBaseline!O389))))</f>
        <v>0</v>
      </c>
      <c r="U392" s="13" t="n">
        <f aca="false">IF(AND(D392=WF_START_PERIOD,R392,COUNTIFS($B$5:$B$750,B392,$D$5:$D$750,WF_END_PERIOD,$R$5:$R$750,TRUE())&gt;0),SUMIFS($S$5:$S$750,$B$5:$B$750,B392,$D$5:$D$750,WF_END_PERIOD,$R$5:$R$750,TRUE()),0)</f>
        <v>0</v>
      </c>
      <c r="V392" s="0" t="str">
        <f aca="false">IF(AND(D392=WF_START_PERIOD,COUNTIFS($B$5:$B$750,B392,$D$5:$D$750,WF_END_PERIOD)&gt;0),INDEX($E$5:$E$750,MATCH(B392&amp;"|"&amp;WF_END_PERIOD,$AC$5:$AC$750,0)),"")</f>
        <v/>
      </c>
      <c r="W392" s="11" t="b">
        <f aca="false">COUNTIFS($B$5:$B$750,B392,$D$5:$D$750,WF_START_PERIOD,$R$5:$R$750,TRUE())&gt;0</f>
        <v>1</v>
      </c>
      <c r="X392" s="11" t="b">
        <f aca="false">COUNTIFS($B$5:$B$750,B392,$D$5:$D$750,WF_END_PERIOD,$R$5:$R$750,TRUE())&gt;0</f>
        <v>0</v>
      </c>
      <c r="Y392" s="0" t="str">
        <f aca="false">IF(AND(D392=WF_END_PERIOD,COUNTIFS($B$5:$B$750,B392,$D$5:$D$750,WF_START_PERIOD)&gt;0),INDEX($E$5:$E$750,MATCH(B392&amp;"|"&amp;WF_START_PERIOD,$AC$5:$AC$750,0)),"")</f>
        <v/>
      </c>
      <c r="Z392" s="0" t="str">
        <f aca="false">IF(AND(D392=WF_END_PERIOD,R392),1+COUNTIFS($D$5:$D$750,WF_END_PERIOD,$E$5:$E$750,E392,$R$5:$R$750,TRUE(),$S$5:$S$750,"&gt;"&amp;S392)+COUNTIFS($D$5:$D$750,WF_END_PERIOD,$E$5:$E$750,E392,$R$5:$R$750,TRUE(),$S$5:$S$750,S392,$B$5:$B$750,"&lt;"&amp;B392),"")</f>
        <v/>
      </c>
      <c r="AA392" s="0" t="str">
        <f aca="false">IF(AND(D392=WF_END_PERIOD,R392,Z392&lt;&gt;1),1+COUNTIFS($D$5:$D$750,WF_END_PERIOD,$R$5:$R$750,TRUE(),$Z$5:$Z$750,"&lt;&gt;1",$S$5:$S$750,"&gt;"&amp;S392)+COUNTIFS($D$5:$D$750,WF_END_PERIOD,$R$5:$R$750,TRUE(),$Z$5:$Z$750,"&lt;&gt;1",$S$5:$S$750,S392,$B$5:$B$750,"&lt;"&amp;B392),"")</f>
        <v/>
      </c>
      <c r="AB392" s="11" t="b">
        <f aca="false">OR(D392=WF_START_PERIOD,D392=WF_END_PERIOD)</f>
        <v>0</v>
      </c>
      <c r="AC392" s="0" t="str">
        <f aca="false">B392&amp;"|"&amp;D392</f>
        <v>17748|20231231</v>
      </c>
    </row>
    <row r="393" customFormat="false" ht="15" hidden="false" customHeight="false" outlineLevel="0" collapsed="false">
      <c r="A393" s="0" t="n">
        <f aca="false">RawFinancials!A393</f>
        <v>390</v>
      </c>
      <c r="B393" s="0" t="n">
        <f aca="false">RawFinancials!C393</f>
        <v>17749</v>
      </c>
      <c r="C393" s="0" t="str">
        <f aca="false">RawFinancials!P393</f>
        <v>BATH SAVINGS INSTITUTION</v>
      </c>
      <c r="D393" s="0" t="n">
        <f aca="false">RawFinancials!W393</f>
        <v>20231231</v>
      </c>
      <c r="E393" s="0" t="str">
        <f aca="false">RawFinancials!Z393</f>
        <v>ME</v>
      </c>
      <c r="F393" s="0" t="n">
        <f aca="false">RawFinancials!B393</f>
        <v>1355181</v>
      </c>
      <c r="G393" s="0" t="n">
        <f aca="false">RawFinancials!U393</f>
        <v>145</v>
      </c>
      <c r="H393" s="0" t="n">
        <f aca="false">RawFinancials!O393</f>
        <v>247</v>
      </c>
      <c r="I393" s="0" t="n">
        <f aca="false">IF(AND(ISNUMBER(G393),ISNUMBER(H393)),G393+H393,"")</f>
        <v>392</v>
      </c>
      <c r="J393" s="0" t="n">
        <f aca="false">RawFinancials!D393</f>
        <v>1052313</v>
      </c>
      <c r="K393" s="0" t="n">
        <f aca="false">RawFinancials!F393</f>
        <v>172387</v>
      </c>
      <c r="L393" s="0" t="n">
        <f aca="false">RawFinancials!L393</f>
        <v>796866</v>
      </c>
      <c r="M393" s="0" t="n">
        <f aca="false">RawFinancials!N393</f>
        <v>724667</v>
      </c>
      <c r="N393" s="13" t="n">
        <f aca="false">RawFinancials!X393</f>
        <v>1.21574319970484</v>
      </c>
      <c r="O393" s="13" t="n">
        <f aca="false">RawFinancials!V393</f>
        <v>0</v>
      </c>
      <c r="P393" s="13" t="n">
        <f aca="false">IF(AND(ISNUMBER(L393),L393&lt;&gt;0,ISNUMBER(M393)),100*M393/L393,"")</f>
        <v>90.93963100446</v>
      </c>
      <c r="Q393" s="13" t="n">
        <f aca="false">IF(AND(ISNUMBER(F393),F393&lt;&gt;0,ISNUMBER(K393)),100*K393/F393,"")</f>
        <v>12.7205886151001</v>
      </c>
      <c r="R393" s="11" t="b">
        <f aca="false">AND(ISNUMBER(F393),F393&gt;0,ISNUMBER(G393),G393&gt;=0,ISNUMBER(H393),H393&gt;=0)</f>
        <v>1</v>
      </c>
      <c r="S393" s="13" t="n">
        <f aca="false">IF(R393,100*I393/F393,"")</f>
        <v>0.0289260253796356</v>
      </c>
      <c r="T393" s="11" t="b">
        <f aca="false">NOT(AND(OR(AND(ISBLANK(RawFinancials!B393),ISBLANK(_RawBaseline!B390)),AND(ISNUMBER(RawFinancials!B393),ISNUMBER(_RawBaseline!B390),RawFinancials!B393=_RawBaseline!B390)),OR(AND(ISBLANK(RawFinancials!U393),ISBLANK(_RawBaseline!U390)),AND(ISNUMBER(RawFinancials!U393),ISNUMBER(_RawBaseline!U390),RawFinancials!U393=_RawBaseline!U390)),OR(AND(ISBLANK(RawFinancials!O393),ISBLANK(_RawBaseline!O390)),AND(ISNUMBER(RawFinancials!O393),ISNUMBER(_RawBaseline!O390),RawFinancials!O393=_RawBaseline!O390))))</f>
        <v>0</v>
      </c>
      <c r="U393" s="13" t="n">
        <f aca="false">IF(AND(D393=WF_START_PERIOD,R393,COUNTIFS($B$5:$B$750,B393,$D$5:$D$750,WF_END_PERIOD,$R$5:$R$750,TRUE())&gt;0),SUMIFS($S$5:$S$750,$B$5:$B$750,B393,$D$5:$D$750,WF_END_PERIOD,$R$5:$R$750,TRUE()),0)</f>
        <v>0</v>
      </c>
      <c r="V393" s="0" t="str">
        <f aca="false">IF(AND(D393=WF_START_PERIOD,COUNTIFS($B$5:$B$750,B393,$D$5:$D$750,WF_END_PERIOD)&gt;0),INDEX($E$5:$E$750,MATCH(B393&amp;"|"&amp;WF_END_PERIOD,$AC$5:$AC$750,0)),"")</f>
        <v/>
      </c>
      <c r="W393" s="11" t="b">
        <f aca="false">COUNTIFS($B$5:$B$750,B393,$D$5:$D$750,WF_START_PERIOD,$R$5:$R$750,TRUE())&gt;0</f>
        <v>1</v>
      </c>
      <c r="X393" s="11" t="b">
        <f aca="false">COUNTIFS($B$5:$B$750,B393,$D$5:$D$750,WF_END_PERIOD,$R$5:$R$750,TRUE())&gt;0</f>
        <v>1</v>
      </c>
      <c r="Y393" s="0" t="str">
        <f aca="false">IF(AND(D393=WF_END_PERIOD,COUNTIFS($B$5:$B$750,B393,$D$5:$D$750,WF_START_PERIOD)&gt;0),INDEX($E$5:$E$750,MATCH(B393&amp;"|"&amp;WF_START_PERIOD,$AC$5:$AC$750,0)),"")</f>
        <v/>
      </c>
      <c r="Z393" s="0" t="str">
        <f aca="false">IF(AND(D393=WF_END_PERIOD,R393),1+COUNTIFS($D$5:$D$750,WF_END_PERIOD,$E$5:$E$750,E393,$R$5:$R$750,TRUE(),$S$5:$S$750,"&gt;"&amp;S393)+COUNTIFS($D$5:$D$750,WF_END_PERIOD,$E$5:$E$750,E393,$R$5:$R$750,TRUE(),$S$5:$S$750,S393,$B$5:$B$750,"&lt;"&amp;B393),"")</f>
        <v/>
      </c>
      <c r="AA393" s="0" t="str">
        <f aca="false">IF(AND(D393=WF_END_PERIOD,R393,Z393&lt;&gt;1),1+COUNTIFS($D$5:$D$750,WF_END_PERIOD,$R$5:$R$750,TRUE(),$Z$5:$Z$750,"&lt;&gt;1",$S$5:$S$750,"&gt;"&amp;S393)+COUNTIFS($D$5:$D$750,WF_END_PERIOD,$R$5:$R$750,TRUE(),$Z$5:$Z$750,"&lt;&gt;1",$S$5:$S$750,S393,$B$5:$B$750,"&lt;"&amp;B393),"")</f>
        <v/>
      </c>
      <c r="AB393" s="11" t="b">
        <f aca="false">OR(D393=WF_START_PERIOD,D393=WF_END_PERIOD)</f>
        <v>0</v>
      </c>
      <c r="AC393" s="0" t="str">
        <f aca="false">B393&amp;"|"&amp;D393</f>
        <v>17749|20231231</v>
      </c>
    </row>
    <row r="394" customFormat="false" ht="15" hidden="false" customHeight="false" outlineLevel="0" collapsed="false">
      <c r="A394" s="0" t="n">
        <f aca="false">RawFinancials!A394</f>
        <v>391</v>
      </c>
      <c r="B394" s="0" t="n">
        <f aca="false">RawFinancials!C394</f>
        <v>17751</v>
      </c>
      <c r="C394" s="0" t="str">
        <f aca="false">RawFinancials!P394</f>
        <v>ANDROSCOGGIN SAVINGS BANK</v>
      </c>
      <c r="D394" s="0" t="n">
        <f aca="false">RawFinancials!W394</f>
        <v>20231231</v>
      </c>
      <c r="E394" s="0" t="str">
        <f aca="false">RawFinancials!Z394</f>
        <v>ME</v>
      </c>
      <c r="F394" s="0" t="n">
        <f aca="false">RawFinancials!B394</f>
        <v>1594063</v>
      </c>
      <c r="G394" s="0" t="n">
        <f aca="false">RawFinancials!U394</f>
        <v>0</v>
      </c>
      <c r="H394" s="0" t="n">
        <f aca="false">RawFinancials!O394</f>
        <v>868</v>
      </c>
      <c r="I394" s="0" t="n">
        <f aca="false">IF(AND(ISNUMBER(G394),ISNUMBER(H394)),G394+H394,"")</f>
        <v>868</v>
      </c>
      <c r="J394" s="0" t="n">
        <f aca="false">RawFinancials!D394</f>
        <v>1298128</v>
      </c>
      <c r="K394" s="0" t="n">
        <f aca="false">RawFinancials!F394</f>
        <v>137906</v>
      </c>
      <c r="L394" s="0" t="n">
        <f aca="false">RawFinancials!L394</f>
        <v>1301332</v>
      </c>
      <c r="M394" s="0" t="n">
        <f aca="false">RawFinancials!N394</f>
        <v>1106344</v>
      </c>
      <c r="N394" s="13" t="n">
        <f aca="false">RawFinancials!X394</f>
        <v>0.596513557387332</v>
      </c>
      <c r="O394" s="13" t="n">
        <f aca="false">RawFinancials!V394</f>
        <v>12.1764467340533</v>
      </c>
      <c r="P394" s="13" t="n">
        <f aca="false">IF(AND(ISNUMBER(L394),L394&lt;&gt;0,ISNUMBER(M394)),100*M394/L394,"")</f>
        <v>85.01627563143</v>
      </c>
      <c r="Q394" s="13" t="n">
        <f aca="false">IF(AND(ISNUMBER(F394),F394&lt;&gt;0,ISNUMBER(K394)),100*K394/F394,"")</f>
        <v>8.65122645717265</v>
      </c>
      <c r="R394" s="11" t="b">
        <f aca="false">AND(ISNUMBER(F394),F394&gt;0,ISNUMBER(G394),G394&gt;=0,ISNUMBER(H394),H394&gt;=0)</f>
        <v>1</v>
      </c>
      <c r="S394" s="13" t="n">
        <f aca="false">IF(R394,100*I394/F394,"")</f>
        <v>0.0544520511422698</v>
      </c>
      <c r="T394" s="11" t="b">
        <f aca="false">NOT(AND(OR(AND(ISBLANK(RawFinancials!B394),ISBLANK(_RawBaseline!B391)),AND(ISNUMBER(RawFinancials!B394),ISNUMBER(_RawBaseline!B391),RawFinancials!B394=_RawBaseline!B391)),OR(AND(ISBLANK(RawFinancials!U394),ISBLANK(_RawBaseline!U391)),AND(ISNUMBER(RawFinancials!U394),ISNUMBER(_RawBaseline!U391),RawFinancials!U394=_RawBaseline!U391)),OR(AND(ISBLANK(RawFinancials!O394),ISBLANK(_RawBaseline!O391)),AND(ISNUMBER(RawFinancials!O394),ISNUMBER(_RawBaseline!O391),RawFinancials!O394=_RawBaseline!O391))))</f>
        <v>0</v>
      </c>
      <c r="U394" s="13" t="n">
        <f aca="false">IF(AND(D394=WF_START_PERIOD,R394,COUNTIFS($B$5:$B$750,B394,$D$5:$D$750,WF_END_PERIOD,$R$5:$R$750,TRUE())&gt;0),SUMIFS($S$5:$S$750,$B$5:$B$750,B394,$D$5:$D$750,WF_END_PERIOD,$R$5:$R$750,TRUE()),0)</f>
        <v>0</v>
      </c>
      <c r="V394" s="0" t="str">
        <f aca="false">IF(AND(D394=WF_START_PERIOD,COUNTIFS($B$5:$B$750,B394,$D$5:$D$750,WF_END_PERIOD)&gt;0),INDEX($E$5:$E$750,MATCH(B394&amp;"|"&amp;WF_END_PERIOD,$AC$5:$AC$750,0)),"")</f>
        <v/>
      </c>
      <c r="W394" s="11" t="b">
        <f aca="false">COUNTIFS($B$5:$B$750,B394,$D$5:$D$750,WF_START_PERIOD,$R$5:$R$750,TRUE())&gt;0</f>
        <v>1</v>
      </c>
      <c r="X394" s="11" t="b">
        <f aca="false">COUNTIFS($B$5:$B$750,B394,$D$5:$D$750,WF_END_PERIOD,$R$5:$R$750,TRUE())&gt;0</f>
        <v>1</v>
      </c>
      <c r="Y394" s="0" t="str">
        <f aca="false">IF(AND(D394=WF_END_PERIOD,COUNTIFS($B$5:$B$750,B394,$D$5:$D$750,WF_START_PERIOD)&gt;0),INDEX($E$5:$E$750,MATCH(B394&amp;"|"&amp;WF_START_PERIOD,$AC$5:$AC$750,0)),"")</f>
        <v/>
      </c>
      <c r="Z394" s="0" t="str">
        <f aca="false">IF(AND(D394=WF_END_PERIOD,R394),1+COUNTIFS($D$5:$D$750,WF_END_PERIOD,$E$5:$E$750,E394,$R$5:$R$750,TRUE(),$S$5:$S$750,"&gt;"&amp;S394)+COUNTIFS($D$5:$D$750,WF_END_PERIOD,$E$5:$E$750,E394,$R$5:$R$750,TRUE(),$S$5:$S$750,S394,$B$5:$B$750,"&lt;"&amp;B394),"")</f>
        <v/>
      </c>
      <c r="AA394" s="0" t="str">
        <f aca="false">IF(AND(D394=WF_END_PERIOD,R394,Z394&lt;&gt;1),1+COUNTIFS($D$5:$D$750,WF_END_PERIOD,$R$5:$R$750,TRUE(),$Z$5:$Z$750,"&lt;&gt;1",$S$5:$S$750,"&gt;"&amp;S394)+COUNTIFS($D$5:$D$750,WF_END_PERIOD,$R$5:$R$750,TRUE(),$Z$5:$Z$750,"&lt;&gt;1",$S$5:$S$750,S394,$B$5:$B$750,"&lt;"&amp;B394),"")</f>
        <v/>
      </c>
      <c r="AB394" s="11" t="b">
        <f aca="false">OR(D394=WF_START_PERIOD,D394=WF_END_PERIOD)</f>
        <v>0</v>
      </c>
      <c r="AC394" s="0" t="str">
        <f aca="false">B394&amp;"|"&amp;D394</f>
        <v>17751|20231231</v>
      </c>
    </row>
    <row r="395" customFormat="false" ht="15" hidden="false" customHeight="false" outlineLevel="0" collapsed="false">
      <c r="A395" s="0" t="n">
        <f aca="false">RawFinancials!A395</f>
        <v>392</v>
      </c>
      <c r="B395" s="0" t="n">
        <f aca="false">RawFinancials!C395</f>
        <v>17897</v>
      </c>
      <c r="C395" s="0" t="str">
        <f aca="false">RawFinancials!P395</f>
        <v>KENNEBEC SAVINGS BANK</v>
      </c>
      <c r="D395" s="0" t="n">
        <f aca="false">RawFinancials!W395</f>
        <v>20231231</v>
      </c>
      <c r="E395" s="0" t="str">
        <f aca="false">RawFinancials!Z395</f>
        <v>ME</v>
      </c>
      <c r="F395" s="0" t="n">
        <f aca="false">RawFinancials!B395</f>
        <v>1710496</v>
      </c>
      <c r="G395" s="0" t="n">
        <f aca="false">RawFinancials!U395</f>
        <v>0</v>
      </c>
      <c r="H395" s="0" t="n">
        <f aca="false">RawFinancials!O395</f>
        <v>3022</v>
      </c>
      <c r="I395" s="0" t="n">
        <f aca="false">IF(AND(ISNUMBER(G395),ISNUMBER(H395)),G395+H395,"")</f>
        <v>3022</v>
      </c>
      <c r="J395" s="0" t="n">
        <f aca="false">RawFinancials!D395</f>
        <v>1305375</v>
      </c>
      <c r="K395" s="0" t="n">
        <f aca="false">RawFinancials!F395</f>
        <v>207718</v>
      </c>
      <c r="L395" s="0" t="n">
        <f aca="false">RawFinancials!L395</f>
        <v>1443037</v>
      </c>
      <c r="M395" s="0" t="n">
        <f aca="false">RawFinancials!N395</f>
        <v>1358198</v>
      </c>
      <c r="N395" s="13" t="n">
        <f aca="false">RawFinancials!X395</f>
        <v>0.65399363820256</v>
      </c>
      <c r="O395" s="13" t="n">
        <f aca="false">RawFinancials!V395</f>
        <v>17.2376294794173</v>
      </c>
      <c r="P395" s="13" t="n">
        <f aca="false">IF(AND(ISNUMBER(L395),L395&lt;&gt;0,ISNUMBER(M395)),100*M395/L395,"")</f>
        <v>94.1208021693138</v>
      </c>
      <c r="Q395" s="13" t="n">
        <f aca="false">IF(AND(ISNUMBER(F395),F395&lt;&gt;0,ISNUMBER(K395)),100*K395/F395,"")</f>
        <v>12.1437290703983</v>
      </c>
      <c r="R395" s="11" t="b">
        <f aca="false">AND(ISNUMBER(F395),F395&gt;0,ISNUMBER(G395),G395&gt;=0,ISNUMBER(H395),H395&gt;=0)</f>
        <v>1</v>
      </c>
      <c r="S395" s="13" t="n">
        <f aca="false">IF(R395,100*I395/F395,"")</f>
        <v>0.176673900435897</v>
      </c>
      <c r="T395" s="11" t="b">
        <f aca="false">NOT(AND(OR(AND(ISBLANK(RawFinancials!B395),ISBLANK(_RawBaseline!B392)),AND(ISNUMBER(RawFinancials!B395),ISNUMBER(_RawBaseline!B392),RawFinancials!B395=_RawBaseline!B392)),OR(AND(ISBLANK(RawFinancials!U395),ISBLANK(_RawBaseline!U392)),AND(ISNUMBER(RawFinancials!U395),ISNUMBER(_RawBaseline!U392),RawFinancials!U395=_RawBaseline!U392)),OR(AND(ISBLANK(RawFinancials!O395),ISBLANK(_RawBaseline!O392)),AND(ISNUMBER(RawFinancials!O395),ISNUMBER(_RawBaseline!O392),RawFinancials!O395=_RawBaseline!O392))))</f>
        <v>0</v>
      </c>
      <c r="U395" s="13" t="n">
        <f aca="false">IF(AND(D395=WF_START_PERIOD,R395,COUNTIFS($B$5:$B$750,B395,$D$5:$D$750,WF_END_PERIOD,$R$5:$R$750,TRUE())&gt;0),SUMIFS($S$5:$S$750,$B$5:$B$750,B395,$D$5:$D$750,WF_END_PERIOD,$R$5:$R$750,TRUE()),0)</f>
        <v>0</v>
      </c>
      <c r="V395" s="0" t="str">
        <f aca="false">IF(AND(D395=WF_START_PERIOD,COUNTIFS($B$5:$B$750,B395,$D$5:$D$750,WF_END_PERIOD)&gt;0),INDEX($E$5:$E$750,MATCH(B395&amp;"|"&amp;WF_END_PERIOD,$AC$5:$AC$750,0)),"")</f>
        <v/>
      </c>
      <c r="W395" s="11" t="b">
        <f aca="false">COUNTIFS($B$5:$B$750,B395,$D$5:$D$750,WF_START_PERIOD,$R$5:$R$750,TRUE())&gt;0</f>
        <v>1</v>
      </c>
      <c r="X395" s="11" t="b">
        <f aca="false">COUNTIFS($B$5:$B$750,B395,$D$5:$D$750,WF_END_PERIOD,$R$5:$R$750,TRUE())&gt;0</f>
        <v>1</v>
      </c>
      <c r="Y395" s="0" t="str">
        <f aca="false">IF(AND(D395=WF_END_PERIOD,COUNTIFS($B$5:$B$750,B395,$D$5:$D$750,WF_START_PERIOD)&gt;0),INDEX($E$5:$E$750,MATCH(B395&amp;"|"&amp;WF_START_PERIOD,$AC$5:$AC$750,0)),"")</f>
        <v/>
      </c>
      <c r="Z395" s="0" t="str">
        <f aca="false">IF(AND(D395=WF_END_PERIOD,R395),1+COUNTIFS($D$5:$D$750,WF_END_PERIOD,$E$5:$E$750,E395,$R$5:$R$750,TRUE(),$S$5:$S$750,"&gt;"&amp;S395)+COUNTIFS($D$5:$D$750,WF_END_PERIOD,$E$5:$E$750,E395,$R$5:$R$750,TRUE(),$S$5:$S$750,S395,$B$5:$B$750,"&lt;"&amp;B395),"")</f>
        <v/>
      </c>
      <c r="AA395" s="0" t="str">
        <f aca="false">IF(AND(D395=WF_END_PERIOD,R395,Z395&lt;&gt;1),1+COUNTIFS($D$5:$D$750,WF_END_PERIOD,$R$5:$R$750,TRUE(),$Z$5:$Z$750,"&lt;&gt;1",$S$5:$S$750,"&gt;"&amp;S395)+COUNTIFS($D$5:$D$750,WF_END_PERIOD,$R$5:$R$750,TRUE(),$Z$5:$Z$750,"&lt;&gt;1",$S$5:$S$750,S395,$B$5:$B$750,"&lt;"&amp;B395),"")</f>
        <v/>
      </c>
      <c r="AB395" s="11" t="b">
        <f aca="false">OR(D395=WF_START_PERIOD,D395=WF_END_PERIOD)</f>
        <v>0</v>
      </c>
      <c r="AC395" s="0" t="str">
        <f aca="false">B395&amp;"|"&amp;D395</f>
        <v>17897|20231231</v>
      </c>
    </row>
    <row r="396" customFormat="false" ht="15" hidden="false" customHeight="false" outlineLevel="0" collapsed="false">
      <c r="A396" s="0" t="n">
        <f aca="false">RawFinancials!A396</f>
        <v>393</v>
      </c>
      <c r="B396" s="0" t="n">
        <f aca="false">RawFinancials!C396</f>
        <v>17951</v>
      </c>
      <c r="C396" s="0" t="str">
        <f aca="false">RawFinancials!P396</f>
        <v>FRANKLIN SAVINGS BANK</v>
      </c>
      <c r="D396" s="0" t="n">
        <f aca="false">RawFinancials!W396</f>
        <v>20231231</v>
      </c>
      <c r="E396" s="0" t="str">
        <f aca="false">RawFinancials!Z396</f>
        <v>NH</v>
      </c>
      <c r="F396" s="0" t="n">
        <f aca="false">RawFinancials!B396</f>
        <v>786047</v>
      </c>
      <c r="G396" s="0" t="n">
        <f aca="false">RawFinancials!U396</f>
        <v>0</v>
      </c>
      <c r="H396" s="0" t="n">
        <f aca="false">RawFinancials!O396</f>
        <v>175</v>
      </c>
      <c r="I396" s="0" t="n">
        <f aca="false">IF(AND(ISNUMBER(G396),ISNUMBER(H396)),G396+H396,"")</f>
        <v>175</v>
      </c>
      <c r="J396" s="0" t="n">
        <f aca="false">RawFinancials!D396</f>
        <v>667956</v>
      </c>
      <c r="K396" s="0" t="n">
        <f aca="false">RawFinancials!F396</f>
        <v>61893</v>
      </c>
      <c r="L396" s="0" t="n">
        <f aca="false">RawFinancials!L396</f>
        <v>579733</v>
      </c>
      <c r="M396" s="0" t="n">
        <f aca="false">RawFinancials!N396</f>
        <v>540903</v>
      </c>
      <c r="N396" s="13" t="n">
        <f aca="false">RawFinancials!X396</f>
        <v>0.589256193210774</v>
      </c>
      <c r="O396" s="13" t="n">
        <f aca="false">RawFinancials!V396</f>
        <v>14.5884941078829</v>
      </c>
      <c r="P396" s="13" t="n">
        <f aca="false">IF(AND(ISNUMBER(L396),L396&lt;&gt;0,ISNUMBER(M396)),100*M396/L396,"")</f>
        <v>93.3020890651386</v>
      </c>
      <c r="Q396" s="13" t="n">
        <f aca="false">IF(AND(ISNUMBER(F396),F396&lt;&gt;0,ISNUMBER(K396)),100*K396/F396,"")</f>
        <v>7.8739566463583</v>
      </c>
      <c r="R396" s="11" t="b">
        <f aca="false">AND(ISNUMBER(F396),F396&gt;0,ISNUMBER(G396),G396&gt;=0,ISNUMBER(H396),H396&gt;=0)</f>
        <v>1</v>
      </c>
      <c r="S396" s="13" t="n">
        <f aca="false">IF(R396,100*I396/F396,"")</f>
        <v>0.0222632997772398</v>
      </c>
      <c r="T396" s="11" t="b">
        <f aca="false">NOT(AND(OR(AND(ISBLANK(RawFinancials!B396),ISBLANK(_RawBaseline!B393)),AND(ISNUMBER(RawFinancials!B396),ISNUMBER(_RawBaseline!B393),RawFinancials!B396=_RawBaseline!B393)),OR(AND(ISBLANK(RawFinancials!U396),ISBLANK(_RawBaseline!U393)),AND(ISNUMBER(RawFinancials!U396),ISNUMBER(_RawBaseline!U393),RawFinancials!U396=_RawBaseline!U393)),OR(AND(ISBLANK(RawFinancials!O396),ISBLANK(_RawBaseline!O393)),AND(ISNUMBER(RawFinancials!O396),ISNUMBER(_RawBaseline!O393),RawFinancials!O396=_RawBaseline!O393))))</f>
        <v>0</v>
      </c>
      <c r="U396" s="13" t="n">
        <f aca="false">IF(AND(D396=WF_START_PERIOD,R396,COUNTIFS($B$5:$B$750,B396,$D$5:$D$750,WF_END_PERIOD,$R$5:$R$750,TRUE())&gt;0),SUMIFS($S$5:$S$750,$B$5:$B$750,B396,$D$5:$D$750,WF_END_PERIOD,$R$5:$R$750,TRUE()),0)</f>
        <v>0</v>
      </c>
      <c r="V396" s="0" t="str">
        <f aca="false">IF(AND(D396=WF_START_PERIOD,COUNTIFS($B$5:$B$750,B396,$D$5:$D$750,WF_END_PERIOD)&gt;0),INDEX($E$5:$E$750,MATCH(B396&amp;"|"&amp;WF_END_PERIOD,$AC$5:$AC$750,0)),"")</f>
        <v/>
      </c>
      <c r="W396" s="11" t="b">
        <f aca="false">COUNTIFS($B$5:$B$750,B396,$D$5:$D$750,WF_START_PERIOD,$R$5:$R$750,TRUE())&gt;0</f>
        <v>1</v>
      </c>
      <c r="X396" s="11" t="b">
        <f aca="false">COUNTIFS($B$5:$B$750,B396,$D$5:$D$750,WF_END_PERIOD,$R$5:$R$750,TRUE())&gt;0</f>
        <v>1</v>
      </c>
      <c r="Y396" s="0" t="str">
        <f aca="false">IF(AND(D396=WF_END_PERIOD,COUNTIFS($B$5:$B$750,B396,$D$5:$D$750,WF_START_PERIOD)&gt;0),INDEX($E$5:$E$750,MATCH(B396&amp;"|"&amp;WF_START_PERIOD,$AC$5:$AC$750,0)),"")</f>
        <v/>
      </c>
      <c r="Z396" s="0" t="str">
        <f aca="false">IF(AND(D396=WF_END_PERIOD,R396),1+COUNTIFS($D$5:$D$750,WF_END_PERIOD,$E$5:$E$750,E396,$R$5:$R$750,TRUE(),$S$5:$S$750,"&gt;"&amp;S396)+COUNTIFS($D$5:$D$750,WF_END_PERIOD,$E$5:$E$750,E396,$R$5:$R$750,TRUE(),$S$5:$S$750,S396,$B$5:$B$750,"&lt;"&amp;B396),"")</f>
        <v/>
      </c>
      <c r="AA396" s="0" t="str">
        <f aca="false">IF(AND(D396=WF_END_PERIOD,R396,Z396&lt;&gt;1),1+COUNTIFS($D$5:$D$750,WF_END_PERIOD,$R$5:$R$750,TRUE(),$Z$5:$Z$750,"&lt;&gt;1",$S$5:$S$750,"&gt;"&amp;S396)+COUNTIFS($D$5:$D$750,WF_END_PERIOD,$R$5:$R$750,TRUE(),$Z$5:$Z$750,"&lt;&gt;1",$S$5:$S$750,S396,$B$5:$B$750,"&lt;"&amp;B396),"")</f>
        <v/>
      </c>
      <c r="AB396" s="11" t="b">
        <f aca="false">OR(D396=WF_START_PERIOD,D396=WF_END_PERIOD)</f>
        <v>0</v>
      </c>
      <c r="AC396" s="0" t="str">
        <f aca="false">B396&amp;"|"&amp;D396</f>
        <v>17951|20231231</v>
      </c>
    </row>
    <row r="397" customFormat="false" ht="15" hidden="false" customHeight="false" outlineLevel="0" collapsed="false">
      <c r="A397" s="0" t="n">
        <f aca="false">RawFinancials!A397</f>
        <v>394</v>
      </c>
      <c r="B397" s="0" t="n">
        <f aca="false">RawFinancials!C397</f>
        <v>17960</v>
      </c>
      <c r="C397" s="0" t="str">
        <f aca="false">RawFinancials!P397</f>
        <v>MERRIMACK COUNTY SAVINGS BANK</v>
      </c>
      <c r="D397" s="0" t="n">
        <f aca="false">RawFinancials!W397</f>
        <v>20231231</v>
      </c>
      <c r="E397" s="0" t="str">
        <f aca="false">RawFinancials!Z397</f>
        <v>NH</v>
      </c>
      <c r="F397" s="0" t="n">
        <f aca="false">RawFinancials!B397</f>
        <v>1368285</v>
      </c>
      <c r="G397" s="0" t="n">
        <f aca="false">RawFinancials!U397</f>
        <v>284</v>
      </c>
      <c r="H397" s="0" t="n">
        <f aca="false">RawFinancials!O397</f>
        <v>8829</v>
      </c>
      <c r="I397" s="0" t="n">
        <f aca="false">IF(AND(ISNUMBER(G397),ISNUMBER(H397)),G397+H397,"")</f>
        <v>9113</v>
      </c>
      <c r="J397" s="0" t="n">
        <f aca="false">RawFinancials!D397</f>
        <v>1030269</v>
      </c>
      <c r="K397" s="0" t="n">
        <f aca="false">RawFinancials!F397</f>
        <v>113530</v>
      </c>
      <c r="L397" s="0" t="n">
        <f aca="false">RawFinancials!L397</f>
        <v>1165140</v>
      </c>
      <c r="M397" s="0" t="n">
        <f aca="false">RawFinancials!N397</f>
        <v>832768</v>
      </c>
      <c r="N397" s="13" t="n">
        <f aca="false">RawFinancials!X397</f>
        <v>0.517619709580597</v>
      </c>
      <c r="O397" s="13" t="n">
        <f aca="false">RawFinancials!V397</f>
        <v>13.2488524274602</v>
      </c>
      <c r="P397" s="13" t="n">
        <f aca="false">IF(AND(ISNUMBER(L397),L397&lt;&gt;0,ISNUMBER(M397)),100*M397/L397,"")</f>
        <v>71.4736426523851</v>
      </c>
      <c r="Q397" s="13" t="n">
        <f aca="false">IF(AND(ISNUMBER(F397),F397&lt;&gt;0,ISNUMBER(K397)),100*K397/F397,"")</f>
        <v>8.29724801485071</v>
      </c>
      <c r="R397" s="11" t="b">
        <f aca="false">AND(ISNUMBER(F397),F397&gt;0,ISNUMBER(G397),G397&gt;=0,ISNUMBER(H397),H397&gt;=0)</f>
        <v>1</v>
      </c>
      <c r="S397" s="13" t="n">
        <f aca="false">IF(R397,100*I397/F397,"")</f>
        <v>0.666016217381613</v>
      </c>
      <c r="T397" s="11" t="b">
        <f aca="false">NOT(AND(OR(AND(ISBLANK(RawFinancials!B397),ISBLANK(_RawBaseline!B394)),AND(ISNUMBER(RawFinancials!B397),ISNUMBER(_RawBaseline!B394),RawFinancials!B397=_RawBaseline!B394)),OR(AND(ISBLANK(RawFinancials!U397),ISBLANK(_RawBaseline!U394)),AND(ISNUMBER(RawFinancials!U397),ISNUMBER(_RawBaseline!U394),RawFinancials!U397=_RawBaseline!U394)),OR(AND(ISBLANK(RawFinancials!O397),ISBLANK(_RawBaseline!O394)),AND(ISNUMBER(RawFinancials!O397),ISNUMBER(_RawBaseline!O394),RawFinancials!O397=_RawBaseline!O394))))</f>
        <v>0</v>
      </c>
      <c r="U397" s="13" t="n">
        <f aca="false">IF(AND(D397=WF_START_PERIOD,R397,COUNTIFS($B$5:$B$750,B397,$D$5:$D$750,WF_END_PERIOD,$R$5:$R$750,TRUE())&gt;0),SUMIFS($S$5:$S$750,$B$5:$B$750,B397,$D$5:$D$750,WF_END_PERIOD,$R$5:$R$750,TRUE()),0)</f>
        <v>0</v>
      </c>
      <c r="V397" s="0" t="str">
        <f aca="false">IF(AND(D397=WF_START_PERIOD,COUNTIFS($B$5:$B$750,B397,$D$5:$D$750,WF_END_PERIOD)&gt;0),INDEX($E$5:$E$750,MATCH(B397&amp;"|"&amp;WF_END_PERIOD,$AC$5:$AC$750,0)),"")</f>
        <v/>
      </c>
      <c r="W397" s="11" t="b">
        <f aca="false">COUNTIFS($B$5:$B$750,B397,$D$5:$D$750,WF_START_PERIOD,$R$5:$R$750,TRUE())&gt;0</f>
        <v>1</v>
      </c>
      <c r="X397" s="11" t="b">
        <f aca="false">COUNTIFS($B$5:$B$750,B397,$D$5:$D$750,WF_END_PERIOD,$R$5:$R$750,TRUE())&gt;0</f>
        <v>1</v>
      </c>
      <c r="Y397" s="0" t="str">
        <f aca="false">IF(AND(D397=WF_END_PERIOD,COUNTIFS($B$5:$B$750,B397,$D$5:$D$750,WF_START_PERIOD)&gt;0),INDEX($E$5:$E$750,MATCH(B397&amp;"|"&amp;WF_START_PERIOD,$AC$5:$AC$750,0)),"")</f>
        <v/>
      </c>
      <c r="Z397" s="0" t="str">
        <f aca="false">IF(AND(D397=WF_END_PERIOD,R397),1+COUNTIFS($D$5:$D$750,WF_END_PERIOD,$E$5:$E$750,E397,$R$5:$R$750,TRUE(),$S$5:$S$750,"&gt;"&amp;S397)+COUNTIFS($D$5:$D$750,WF_END_PERIOD,$E$5:$E$750,E397,$R$5:$R$750,TRUE(),$S$5:$S$750,S397,$B$5:$B$750,"&lt;"&amp;B397),"")</f>
        <v/>
      </c>
      <c r="AA397" s="0" t="str">
        <f aca="false">IF(AND(D397=WF_END_PERIOD,R397,Z397&lt;&gt;1),1+COUNTIFS($D$5:$D$750,WF_END_PERIOD,$R$5:$R$750,TRUE(),$Z$5:$Z$750,"&lt;&gt;1",$S$5:$S$750,"&gt;"&amp;S397)+COUNTIFS($D$5:$D$750,WF_END_PERIOD,$R$5:$R$750,TRUE(),$Z$5:$Z$750,"&lt;&gt;1",$S$5:$S$750,S397,$B$5:$B$750,"&lt;"&amp;B397),"")</f>
        <v/>
      </c>
      <c r="AB397" s="11" t="b">
        <f aca="false">OR(D397=WF_START_PERIOD,D397=WF_END_PERIOD)</f>
        <v>0</v>
      </c>
      <c r="AC397" s="0" t="str">
        <f aca="false">B397&amp;"|"&amp;D397</f>
        <v>17960|20231231</v>
      </c>
    </row>
    <row r="398" customFormat="false" ht="15" hidden="false" customHeight="false" outlineLevel="0" collapsed="false">
      <c r="A398" s="0" t="n">
        <f aca="false">RawFinancials!A398</f>
        <v>395</v>
      </c>
      <c r="B398" s="0" t="n">
        <f aca="false">RawFinancials!C398</f>
        <v>18012</v>
      </c>
      <c r="C398" s="0" t="str">
        <f aca="false">RawFinancials!P398</f>
        <v>BANK OF NEW HAMPSHIRE</v>
      </c>
      <c r="D398" s="0" t="n">
        <f aca="false">RawFinancials!W398</f>
        <v>20231231</v>
      </c>
      <c r="E398" s="0" t="str">
        <f aca="false">RawFinancials!Z398</f>
        <v>NH</v>
      </c>
      <c r="F398" s="0" t="n">
        <f aca="false">RawFinancials!B398</f>
        <v>2515915</v>
      </c>
      <c r="G398" s="0" t="n">
        <f aca="false">RawFinancials!U398</f>
        <v>0</v>
      </c>
      <c r="H398" s="0" t="n">
        <f aca="false">RawFinancials!O398</f>
        <v>555</v>
      </c>
      <c r="I398" s="0" t="n">
        <f aca="false">IF(AND(ISNUMBER(G398),ISNUMBER(H398)),G398+H398,"")</f>
        <v>555</v>
      </c>
      <c r="J398" s="0" t="n">
        <f aca="false">RawFinancials!D398</f>
        <v>2106019</v>
      </c>
      <c r="K398" s="0" t="n">
        <f aca="false">RawFinancials!F398</f>
        <v>266248</v>
      </c>
      <c r="L398" s="0" t="n">
        <f aca="false">RawFinancials!L398</f>
        <v>1993532</v>
      </c>
      <c r="M398" s="0" t="n">
        <f aca="false">RawFinancials!N398</f>
        <v>1887130</v>
      </c>
      <c r="N398" s="13" t="n">
        <f aca="false">RawFinancials!X398</f>
        <v>0.877971664486964</v>
      </c>
      <c r="O398" s="13" t="n">
        <f aca="false">RawFinancials!V398</f>
        <v>14.2074219489545</v>
      </c>
      <c r="P398" s="13" t="n">
        <f aca="false">IF(AND(ISNUMBER(L398),L398&lt;&gt;0,ISNUMBER(M398)),100*M398/L398,"")</f>
        <v>94.6626389744434</v>
      </c>
      <c r="Q398" s="13" t="n">
        <f aca="false">IF(AND(ISNUMBER(F398),F398&lt;&gt;0,ISNUMBER(K398)),100*K398/F398,"")</f>
        <v>10.5825514772955</v>
      </c>
      <c r="R398" s="11" t="b">
        <f aca="false">AND(ISNUMBER(F398),F398&gt;0,ISNUMBER(G398),G398&gt;=0,ISNUMBER(H398),H398&gt;=0)</f>
        <v>1</v>
      </c>
      <c r="S398" s="13" t="n">
        <f aca="false">IF(R398,100*I398/F398,"")</f>
        <v>0.022059568785114</v>
      </c>
      <c r="T398" s="11" t="b">
        <f aca="false">NOT(AND(OR(AND(ISBLANK(RawFinancials!B398),ISBLANK(_RawBaseline!B395)),AND(ISNUMBER(RawFinancials!B398),ISNUMBER(_RawBaseline!B395),RawFinancials!B398=_RawBaseline!B395)),OR(AND(ISBLANK(RawFinancials!U398),ISBLANK(_RawBaseline!U395)),AND(ISNUMBER(RawFinancials!U398),ISNUMBER(_RawBaseline!U395),RawFinancials!U398=_RawBaseline!U395)),OR(AND(ISBLANK(RawFinancials!O398),ISBLANK(_RawBaseline!O395)),AND(ISNUMBER(RawFinancials!O398),ISNUMBER(_RawBaseline!O395),RawFinancials!O398=_RawBaseline!O395))))</f>
        <v>0</v>
      </c>
      <c r="U398" s="13" t="n">
        <f aca="false">IF(AND(D398=WF_START_PERIOD,R398,COUNTIFS($B$5:$B$750,B398,$D$5:$D$750,WF_END_PERIOD,$R$5:$R$750,TRUE())&gt;0),SUMIFS($S$5:$S$750,$B$5:$B$750,B398,$D$5:$D$750,WF_END_PERIOD,$R$5:$R$750,TRUE()),0)</f>
        <v>0</v>
      </c>
      <c r="V398" s="0" t="str">
        <f aca="false">IF(AND(D398=WF_START_PERIOD,COUNTIFS($B$5:$B$750,B398,$D$5:$D$750,WF_END_PERIOD)&gt;0),INDEX($E$5:$E$750,MATCH(B398&amp;"|"&amp;WF_END_PERIOD,$AC$5:$AC$750,0)),"")</f>
        <v/>
      </c>
      <c r="W398" s="11" t="b">
        <f aca="false">COUNTIFS($B$5:$B$750,B398,$D$5:$D$750,WF_START_PERIOD,$R$5:$R$750,TRUE())&gt;0</f>
        <v>1</v>
      </c>
      <c r="X398" s="11" t="b">
        <f aca="false">COUNTIFS($B$5:$B$750,B398,$D$5:$D$750,WF_END_PERIOD,$R$5:$R$750,TRUE())&gt;0</f>
        <v>1</v>
      </c>
      <c r="Y398" s="0" t="str">
        <f aca="false">IF(AND(D398=WF_END_PERIOD,COUNTIFS($B$5:$B$750,B398,$D$5:$D$750,WF_START_PERIOD)&gt;0),INDEX($E$5:$E$750,MATCH(B398&amp;"|"&amp;WF_START_PERIOD,$AC$5:$AC$750,0)),"")</f>
        <v/>
      </c>
      <c r="Z398" s="0" t="str">
        <f aca="false">IF(AND(D398=WF_END_PERIOD,R398),1+COUNTIFS($D$5:$D$750,WF_END_PERIOD,$E$5:$E$750,E398,$R$5:$R$750,TRUE(),$S$5:$S$750,"&gt;"&amp;S398)+COUNTIFS($D$5:$D$750,WF_END_PERIOD,$E$5:$E$750,E398,$R$5:$R$750,TRUE(),$S$5:$S$750,S398,$B$5:$B$750,"&lt;"&amp;B398),"")</f>
        <v/>
      </c>
      <c r="AA398" s="0" t="str">
        <f aca="false">IF(AND(D398=WF_END_PERIOD,R398,Z398&lt;&gt;1),1+COUNTIFS($D$5:$D$750,WF_END_PERIOD,$R$5:$R$750,TRUE(),$Z$5:$Z$750,"&lt;&gt;1",$S$5:$S$750,"&gt;"&amp;S398)+COUNTIFS($D$5:$D$750,WF_END_PERIOD,$R$5:$R$750,TRUE(),$Z$5:$Z$750,"&lt;&gt;1",$S$5:$S$750,S398,$B$5:$B$750,"&lt;"&amp;B398),"")</f>
        <v/>
      </c>
      <c r="AB398" s="11" t="b">
        <f aca="false">OR(D398=WF_START_PERIOD,D398=WF_END_PERIOD)</f>
        <v>0</v>
      </c>
      <c r="AC398" s="0" t="str">
        <f aca="false">B398&amp;"|"&amp;D398</f>
        <v>18012|20231231</v>
      </c>
    </row>
    <row r="399" customFormat="false" ht="15" hidden="false" customHeight="false" outlineLevel="0" collapsed="false">
      <c r="A399" s="0" t="n">
        <f aca="false">RawFinancials!A399</f>
        <v>396</v>
      </c>
      <c r="B399" s="0" t="n">
        <f aca="false">RawFinancials!C399</f>
        <v>18013</v>
      </c>
      <c r="C399" s="0" t="str">
        <f aca="false">RawFinancials!P399</f>
        <v>MASCOMA BANK</v>
      </c>
      <c r="D399" s="0" t="n">
        <f aca="false">RawFinancials!W399</f>
        <v>20231231</v>
      </c>
      <c r="E399" s="0" t="str">
        <f aca="false">RawFinancials!Z399</f>
        <v>NH</v>
      </c>
      <c r="F399" s="0" t="n">
        <f aca="false">RawFinancials!B399</f>
        <v>2931539</v>
      </c>
      <c r="G399" s="0" t="n">
        <f aca="false">RawFinancials!U399</f>
        <v>24</v>
      </c>
      <c r="H399" s="0" t="n">
        <f aca="false">RawFinancials!O399</f>
        <v>686</v>
      </c>
      <c r="I399" s="0" t="n">
        <f aca="false">IF(AND(ISNUMBER(G399),ISNUMBER(H399)),G399+H399,"")</f>
        <v>710</v>
      </c>
      <c r="J399" s="0" t="n">
        <f aca="false">RawFinancials!D399</f>
        <v>2493477</v>
      </c>
      <c r="K399" s="0" t="n">
        <f aca="false">RawFinancials!F399</f>
        <v>220301</v>
      </c>
      <c r="L399" s="0" t="n">
        <f aca="false">RawFinancials!L399</f>
        <v>2374611</v>
      </c>
      <c r="M399" s="0" t="n">
        <f aca="false">RawFinancials!N399</f>
        <v>2161468</v>
      </c>
      <c r="N399" s="13" t="n">
        <f aca="false">RawFinancials!X399</f>
        <v>0.394516829891397</v>
      </c>
      <c r="O399" s="13" t="n">
        <f aca="false">RawFinancials!V399</f>
        <v>12.6829971931169</v>
      </c>
      <c r="P399" s="13" t="n">
        <f aca="false">IF(AND(ISNUMBER(L399),L399&lt;&gt;0,ISNUMBER(M399)),100*M399/L399,"")</f>
        <v>91.0240877347911</v>
      </c>
      <c r="Q399" s="13" t="n">
        <f aca="false">IF(AND(ISNUMBER(F399),F399&lt;&gt;0,ISNUMBER(K399)),100*K399/F399,"")</f>
        <v>7.51485823657813</v>
      </c>
      <c r="R399" s="11" t="b">
        <f aca="false">AND(ISNUMBER(F399),F399&gt;0,ISNUMBER(G399),G399&gt;=0,ISNUMBER(H399),H399&gt;=0)</f>
        <v>1</v>
      </c>
      <c r="S399" s="13" t="n">
        <f aca="false">IF(R399,100*I399/F399,"")</f>
        <v>0.0242193605474804</v>
      </c>
      <c r="T399" s="11" t="b">
        <f aca="false">NOT(AND(OR(AND(ISBLANK(RawFinancials!B399),ISBLANK(_RawBaseline!B396)),AND(ISNUMBER(RawFinancials!B399),ISNUMBER(_RawBaseline!B396),RawFinancials!B399=_RawBaseline!B396)),OR(AND(ISBLANK(RawFinancials!U399),ISBLANK(_RawBaseline!U396)),AND(ISNUMBER(RawFinancials!U399),ISNUMBER(_RawBaseline!U396),RawFinancials!U399=_RawBaseline!U396)),OR(AND(ISBLANK(RawFinancials!O399),ISBLANK(_RawBaseline!O396)),AND(ISNUMBER(RawFinancials!O399),ISNUMBER(_RawBaseline!O396),RawFinancials!O399=_RawBaseline!O396))))</f>
        <v>0</v>
      </c>
      <c r="U399" s="13" t="n">
        <f aca="false">IF(AND(D399=WF_START_PERIOD,R399,COUNTIFS($B$5:$B$750,B399,$D$5:$D$750,WF_END_PERIOD,$R$5:$R$750,TRUE())&gt;0),SUMIFS($S$5:$S$750,$B$5:$B$750,B399,$D$5:$D$750,WF_END_PERIOD,$R$5:$R$750,TRUE()),0)</f>
        <v>0</v>
      </c>
      <c r="V399" s="0" t="str">
        <f aca="false">IF(AND(D399=WF_START_PERIOD,COUNTIFS($B$5:$B$750,B399,$D$5:$D$750,WF_END_PERIOD)&gt;0),INDEX($E$5:$E$750,MATCH(B399&amp;"|"&amp;WF_END_PERIOD,$AC$5:$AC$750,0)),"")</f>
        <v/>
      </c>
      <c r="W399" s="11" t="b">
        <f aca="false">COUNTIFS($B$5:$B$750,B399,$D$5:$D$750,WF_START_PERIOD,$R$5:$R$750,TRUE())&gt;0</f>
        <v>1</v>
      </c>
      <c r="X399" s="11" t="b">
        <f aca="false">COUNTIFS($B$5:$B$750,B399,$D$5:$D$750,WF_END_PERIOD,$R$5:$R$750,TRUE())&gt;0</f>
        <v>1</v>
      </c>
      <c r="Y399" s="0" t="str">
        <f aca="false">IF(AND(D399=WF_END_PERIOD,COUNTIFS($B$5:$B$750,B399,$D$5:$D$750,WF_START_PERIOD)&gt;0),INDEX($E$5:$E$750,MATCH(B399&amp;"|"&amp;WF_START_PERIOD,$AC$5:$AC$750,0)),"")</f>
        <v/>
      </c>
      <c r="Z399" s="0" t="str">
        <f aca="false">IF(AND(D399=WF_END_PERIOD,R399),1+COUNTIFS($D$5:$D$750,WF_END_PERIOD,$E$5:$E$750,E399,$R$5:$R$750,TRUE(),$S$5:$S$750,"&gt;"&amp;S399)+COUNTIFS($D$5:$D$750,WF_END_PERIOD,$E$5:$E$750,E399,$R$5:$R$750,TRUE(),$S$5:$S$750,S399,$B$5:$B$750,"&lt;"&amp;B399),"")</f>
        <v/>
      </c>
      <c r="AA399" s="0" t="str">
        <f aca="false">IF(AND(D399=WF_END_PERIOD,R399,Z399&lt;&gt;1),1+COUNTIFS($D$5:$D$750,WF_END_PERIOD,$R$5:$R$750,TRUE(),$Z$5:$Z$750,"&lt;&gt;1",$S$5:$S$750,"&gt;"&amp;S399)+COUNTIFS($D$5:$D$750,WF_END_PERIOD,$R$5:$R$750,TRUE(),$Z$5:$Z$750,"&lt;&gt;1",$S$5:$S$750,S399,$B$5:$B$750,"&lt;"&amp;B399),"")</f>
        <v/>
      </c>
      <c r="AB399" s="11" t="b">
        <f aca="false">OR(D399=WF_START_PERIOD,D399=WF_END_PERIOD)</f>
        <v>0</v>
      </c>
      <c r="AC399" s="0" t="str">
        <f aca="false">B399&amp;"|"&amp;D399</f>
        <v>18013|20231231</v>
      </c>
    </row>
    <row r="400" customFormat="false" ht="15" hidden="false" customHeight="false" outlineLevel="0" collapsed="false">
      <c r="A400" s="0" t="n">
        <f aca="false">RawFinancials!A400</f>
        <v>397</v>
      </c>
      <c r="B400" s="0" t="n">
        <f aca="false">RawFinancials!C400</f>
        <v>18028</v>
      </c>
      <c r="C400" s="0" t="str">
        <f aca="false">RawFinancials!P400</f>
        <v>SUGAR RIVER BANK</v>
      </c>
      <c r="D400" s="0" t="n">
        <f aca="false">RawFinancials!W400</f>
        <v>20231231</v>
      </c>
      <c r="E400" s="0" t="str">
        <f aca="false">RawFinancials!Z400</f>
        <v>NH</v>
      </c>
      <c r="F400" s="0" t="n">
        <f aca="false">RawFinancials!B400</f>
        <v>392854</v>
      </c>
      <c r="G400" s="0" t="n">
        <f aca="false">RawFinancials!U400</f>
        <v>104</v>
      </c>
      <c r="H400" s="0" t="n">
        <f aca="false">RawFinancials!O400</f>
        <v>817</v>
      </c>
      <c r="I400" s="0" t="n">
        <f aca="false">IF(AND(ISNUMBER(G400),ISNUMBER(H400)),G400+H400,"")</f>
        <v>921</v>
      </c>
      <c r="J400" s="0" t="n">
        <f aca="false">RawFinancials!D400</f>
        <v>313497</v>
      </c>
      <c r="K400" s="0" t="n">
        <f aca="false">RawFinancials!F400</f>
        <v>40632</v>
      </c>
      <c r="L400" s="0" t="n">
        <f aca="false">RawFinancials!L400</f>
        <v>265068</v>
      </c>
      <c r="M400" s="0" t="n">
        <f aca="false">RawFinancials!N400</f>
        <v>237654</v>
      </c>
      <c r="N400" s="13" t="n">
        <f aca="false">RawFinancials!X400</f>
        <v>0.610395045804294</v>
      </c>
      <c r="O400" s="13" t="n">
        <f aca="false">RawFinancials!V400</f>
        <v>0</v>
      </c>
      <c r="P400" s="13" t="n">
        <f aca="false">IF(AND(ISNUMBER(L400),L400&lt;&gt;0,ISNUMBER(M400)),100*M400/L400,"")</f>
        <v>89.6577482004618</v>
      </c>
      <c r="Q400" s="13" t="n">
        <f aca="false">IF(AND(ISNUMBER(F400),F400&lt;&gt;0,ISNUMBER(K400)),100*K400/F400,"")</f>
        <v>10.3427736512801</v>
      </c>
      <c r="R400" s="11" t="b">
        <f aca="false">AND(ISNUMBER(F400),F400&gt;0,ISNUMBER(G400),G400&gt;=0,ISNUMBER(H400),H400&gt;=0)</f>
        <v>1</v>
      </c>
      <c r="S400" s="13" t="n">
        <f aca="false">IF(R400,100*I400/F400,"")</f>
        <v>0.234438239142277</v>
      </c>
      <c r="T400" s="11" t="b">
        <f aca="false">NOT(AND(OR(AND(ISBLANK(RawFinancials!B400),ISBLANK(_RawBaseline!B397)),AND(ISNUMBER(RawFinancials!B400),ISNUMBER(_RawBaseline!B397),RawFinancials!B400=_RawBaseline!B397)),OR(AND(ISBLANK(RawFinancials!U400),ISBLANK(_RawBaseline!U397)),AND(ISNUMBER(RawFinancials!U400),ISNUMBER(_RawBaseline!U397),RawFinancials!U400=_RawBaseline!U397)),OR(AND(ISBLANK(RawFinancials!O400),ISBLANK(_RawBaseline!O397)),AND(ISNUMBER(RawFinancials!O400),ISNUMBER(_RawBaseline!O397),RawFinancials!O400=_RawBaseline!O397))))</f>
        <v>0</v>
      </c>
      <c r="U400" s="13" t="n">
        <f aca="false">IF(AND(D400=WF_START_PERIOD,R400,COUNTIFS($B$5:$B$750,B400,$D$5:$D$750,WF_END_PERIOD,$R$5:$R$750,TRUE())&gt;0),SUMIFS($S$5:$S$750,$B$5:$B$750,B400,$D$5:$D$750,WF_END_PERIOD,$R$5:$R$750,TRUE()),0)</f>
        <v>0</v>
      </c>
      <c r="V400" s="0" t="str">
        <f aca="false">IF(AND(D400=WF_START_PERIOD,COUNTIFS($B$5:$B$750,B400,$D$5:$D$750,WF_END_PERIOD)&gt;0),INDEX($E$5:$E$750,MATCH(B400&amp;"|"&amp;WF_END_PERIOD,$AC$5:$AC$750,0)),"")</f>
        <v/>
      </c>
      <c r="W400" s="11" t="b">
        <f aca="false">COUNTIFS($B$5:$B$750,B400,$D$5:$D$750,WF_START_PERIOD,$R$5:$R$750,TRUE())&gt;0</f>
        <v>1</v>
      </c>
      <c r="X400" s="11" t="b">
        <f aca="false">COUNTIFS($B$5:$B$750,B400,$D$5:$D$750,WF_END_PERIOD,$R$5:$R$750,TRUE())&gt;0</f>
        <v>1</v>
      </c>
      <c r="Y400" s="0" t="str">
        <f aca="false">IF(AND(D400=WF_END_PERIOD,COUNTIFS($B$5:$B$750,B400,$D$5:$D$750,WF_START_PERIOD)&gt;0),INDEX($E$5:$E$750,MATCH(B400&amp;"|"&amp;WF_START_PERIOD,$AC$5:$AC$750,0)),"")</f>
        <v/>
      </c>
      <c r="Z400" s="0" t="str">
        <f aca="false">IF(AND(D400=WF_END_PERIOD,R400),1+COUNTIFS($D$5:$D$750,WF_END_PERIOD,$E$5:$E$750,E400,$R$5:$R$750,TRUE(),$S$5:$S$750,"&gt;"&amp;S400)+COUNTIFS($D$5:$D$750,WF_END_PERIOD,$E$5:$E$750,E400,$R$5:$R$750,TRUE(),$S$5:$S$750,S400,$B$5:$B$750,"&lt;"&amp;B400),"")</f>
        <v/>
      </c>
      <c r="AA400" s="0" t="str">
        <f aca="false">IF(AND(D400=WF_END_PERIOD,R400,Z400&lt;&gt;1),1+COUNTIFS($D$5:$D$750,WF_END_PERIOD,$R$5:$R$750,TRUE(),$Z$5:$Z$750,"&lt;&gt;1",$S$5:$S$750,"&gt;"&amp;S400)+COUNTIFS($D$5:$D$750,WF_END_PERIOD,$R$5:$R$750,TRUE(),$Z$5:$Z$750,"&lt;&gt;1",$S$5:$S$750,S400,$B$5:$B$750,"&lt;"&amp;B400),"")</f>
        <v/>
      </c>
      <c r="AB400" s="11" t="b">
        <f aca="false">OR(D400=WF_START_PERIOD,D400=WF_END_PERIOD)</f>
        <v>0</v>
      </c>
      <c r="AC400" s="0" t="str">
        <f aca="false">B400&amp;"|"&amp;D400</f>
        <v>18028|20231231</v>
      </c>
    </row>
    <row r="401" customFormat="false" ht="15" hidden="false" customHeight="false" outlineLevel="0" collapsed="false">
      <c r="A401" s="0" t="n">
        <f aca="false">RawFinancials!A401</f>
        <v>398</v>
      </c>
      <c r="B401" s="0" t="n">
        <f aca="false">RawFinancials!C401</f>
        <v>18030</v>
      </c>
      <c r="C401" s="0" t="str">
        <f aca="false">RawFinancials!P401</f>
        <v>SAVINGS BANK OF WALPOLE</v>
      </c>
      <c r="D401" s="0" t="n">
        <f aca="false">RawFinancials!W401</f>
        <v>20231231</v>
      </c>
      <c r="E401" s="0" t="str">
        <f aca="false">RawFinancials!Z401</f>
        <v>NH</v>
      </c>
      <c r="F401" s="0" t="n">
        <f aca="false">RawFinancials!B401</f>
        <v>727730</v>
      </c>
      <c r="G401" s="0" t="n">
        <f aca="false">RawFinancials!U401</f>
        <v>0</v>
      </c>
      <c r="H401" s="0" t="n">
        <f aca="false">RawFinancials!O401</f>
        <v>456</v>
      </c>
      <c r="I401" s="0" t="n">
        <f aca="false">IF(AND(ISNUMBER(G401),ISNUMBER(H401)),G401+H401,"")</f>
        <v>456</v>
      </c>
      <c r="J401" s="0" t="n">
        <f aca="false">RawFinancials!D401</f>
        <v>660214</v>
      </c>
      <c r="K401" s="0" t="n">
        <f aca="false">RawFinancials!F401</f>
        <v>49050</v>
      </c>
      <c r="L401" s="0" t="n">
        <f aca="false">RawFinancials!L401</f>
        <v>587845</v>
      </c>
      <c r="M401" s="0" t="n">
        <f aca="false">RawFinancials!N401</f>
        <v>451120</v>
      </c>
      <c r="N401" s="13" t="n">
        <f aca="false">RawFinancials!X401</f>
        <v>0.703209915440082</v>
      </c>
      <c r="O401" s="13" t="n">
        <f aca="false">RawFinancials!V401</f>
        <v>13.2959890498966</v>
      </c>
      <c r="P401" s="13" t="n">
        <f aca="false">IF(AND(ISNUMBER(L401),L401&lt;&gt;0,ISNUMBER(M401)),100*M401/L401,"")</f>
        <v>76.741317864403</v>
      </c>
      <c r="Q401" s="13" t="n">
        <f aca="false">IF(AND(ISNUMBER(F401),F401&lt;&gt;0,ISNUMBER(K401)),100*K401/F401,"")</f>
        <v>6.740137138774</v>
      </c>
      <c r="R401" s="11" t="b">
        <f aca="false">AND(ISNUMBER(F401),F401&gt;0,ISNUMBER(G401),G401&gt;=0,ISNUMBER(H401),H401&gt;=0)</f>
        <v>1</v>
      </c>
      <c r="S401" s="13" t="n">
        <f aca="false">IF(R401,100*I401/F401,"")</f>
        <v>0.0626606021464005</v>
      </c>
      <c r="T401" s="11" t="b">
        <f aca="false">NOT(AND(OR(AND(ISBLANK(RawFinancials!B401),ISBLANK(_RawBaseline!B398)),AND(ISNUMBER(RawFinancials!B401),ISNUMBER(_RawBaseline!B398),RawFinancials!B401=_RawBaseline!B398)),OR(AND(ISBLANK(RawFinancials!U401),ISBLANK(_RawBaseline!U398)),AND(ISNUMBER(RawFinancials!U401),ISNUMBER(_RawBaseline!U398),RawFinancials!U401=_RawBaseline!U398)),OR(AND(ISBLANK(RawFinancials!O401),ISBLANK(_RawBaseline!O398)),AND(ISNUMBER(RawFinancials!O401),ISNUMBER(_RawBaseline!O398),RawFinancials!O401=_RawBaseline!O398))))</f>
        <v>0</v>
      </c>
      <c r="U401" s="13" t="n">
        <f aca="false">IF(AND(D401=WF_START_PERIOD,R401,COUNTIFS($B$5:$B$750,B401,$D$5:$D$750,WF_END_PERIOD,$R$5:$R$750,TRUE())&gt;0),SUMIFS($S$5:$S$750,$B$5:$B$750,B401,$D$5:$D$750,WF_END_PERIOD,$R$5:$R$750,TRUE()),0)</f>
        <v>0</v>
      </c>
      <c r="V401" s="0" t="str">
        <f aca="false">IF(AND(D401=WF_START_PERIOD,COUNTIFS($B$5:$B$750,B401,$D$5:$D$750,WF_END_PERIOD)&gt;0),INDEX($E$5:$E$750,MATCH(B401&amp;"|"&amp;WF_END_PERIOD,$AC$5:$AC$750,0)),"")</f>
        <v/>
      </c>
      <c r="W401" s="11" t="b">
        <f aca="false">COUNTIFS($B$5:$B$750,B401,$D$5:$D$750,WF_START_PERIOD,$R$5:$R$750,TRUE())&gt;0</f>
        <v>1</v>
      </c>
      <c r="X401" s="11" t="b">
        <f aca="false">COUNTIFS($B$5:$B$750,B401,$D$5:$D$750,WF_END_PERIOD,$R$5:$R$750,TRUE())&gt;0</f>
        <v>1</v>
      </c>
      <c r="Y401" s="0" t="str">
        <f aca="false">IF(AND(D401=WF_END_PERIOD,COUNTIFS($B$5:$B$750,B401,$D$5:$D$750,WF_START_PERIOD)&gt;0),INDEX($E$5:$E$750,MATCH(B401&amp;"|"&amp;WF_START_PERIOD,$AC$5:$AC$750,0)),"")</f>
        <v/>
      </c>
      <c r="Z401" s="0" t="str">
        <f aca="false">IF(AND(D401=WF_END_PERIOD,R401),1+COUNTIFS($D$5:$D$750,WF_END_PERIOD,$E$5:$E$750,E401,$R$5:$R$750,TRUE(),$S$5:$S$750,"&gt;"&amp;S401)+COUNTIFS($D$5:$D$750,WF_END_PERIOD,$E$5:$E$750,E401,$R$5:$R$750,TRUE(),$S$5:$S$750,S401,$B$5:$B$750,"&lt;"&amp;B401),"")</f>
        <v/>
      </c>
      <c r="AA401" s="0" t="str">
        <f aca="false">IF(AND(D401=WF_END_PERIOD,R401,Z401&lt;&gt;1),1+COUNTIFS($D$5:$D$750,WF_END_PERIOD,$R$5:$R$750,TRUE(),$Z$5:$Z$750,"&lt;&gt;1",$S$5:$S$750,"&gt;"&amp;S401)+COUNTIFS($D$5:$D$750,WF_END_PERIOD,$R$5:$R$750,TRUE(),$Z$5:$Z$750,"&lt;&gt;1",$S$5:$S$750,S401,$B$5:$B$750,"&lt;"&amp;B401),"")</f>
        <v/>
      </c>
      <c r="AB401" s="11" t="b">
        <f aca="false">OR(D401=WF_START_PERIOD,D401=WF_END_PERIOD)</f>
        <v>0</v>
      </c>
      <c r="AC401" s="0" t="str">
        <f aca="false">B401&amp;"|"&amp;D401</f>
        <v>18030|20231231</v>
      </c>
    </row>
    <row r="402" customFormat="false" ht="15" hidden="false" customHeight="false" outlineLevel="0" collapsed="false">
      <c r="A402" s="0" t="n">
        <f aca="false">RawFinancials!A402</f>
        <v>399</v>
      </c>
      <c r="B402" s="0" t="n">
        <f aca="false">RawFinancials!C402</f>
        <v>18031</v>
      </c>
      <c r="C402" s="0" t="str">
        <f aca="false">RawFinancials!P402</f>
        <v>WOODSVILLE GUARANTY SAVINGS BANK</v>
      </c>
      <c r="D402" s="0" t="n">
        <f aca="false">RawFinancials!W402</f>
        <v>20231231</v>
      </c>
      <c r="E402" s="0" t="str">
        <f aca="false">RawFinancials!Z402</f>
        <v>NH</v>
      </c>
      <c r="F402" s="0" t="n">
        <f aca="false">RawFinancials!B402</f>
        <v>684364</v>
      </c>
      <c r="G402" s="0" t="n">
        <f aca="false">RawFinancials!U402</f>
        <v>0</v>
      </c>
      <c r="H402" s="0" t="n">
        <f aca="false">RawFinancials!O402</f>
        <v>697</v>
      </c>
      <c r="I402" s="0" t="n">
        <f aca="false">IF(AND(ISNUMBER(G402),ISNUMBER(H402)),G402+H402,"")</f>
        <v>697</v>
      </c>
      <c r="J402" s="0" t="n">
        <f aca="false">RawFinancials!D402</f>
        <v>562404</v>
      </c>
      <c r="K402" s="0" t="n">
        <f aca="false">RawFinancials!F402</f>
        <v>37606</v>
      </c>
      <c r="L402" s="0" t="n">
        <f aca="false">RawFinancials!L402</f>
        <v>480262</v>
      </c>
      <c r="M402" s="0" t="n">
        <f aca="false">RawFinancials!N402</f>
        <v>439722</v>
      </c>
      <c r="N402" s="13" t="n">
        <f aca="false">RawFinancials!X402</f>
        <v>0.257383867860737</v>
      </c>
      <c r="O402" s="13" t="n">
        <f aca="false">RawFinancials!V402</f>
        <v>16.0938463078374</v>
      </c>
      <c r="P402" s="13" t="n">
        <f aca="false">IF(AND(ISNUMBER(L402),L402&lt;&gt;0,ISNUMBER(M402)),100*M402/L402,"")</f>
        <v>91.5587741690994</v>
      </c>
      <c r="Q402" s="13" t="n">
        <f aca="false">IF(AND(ISNUMBER(F402),F402&lt;&gt;0,ISNUMBER(K402)),100*K402/F402,"")</f>
        <v>5.49502896119609</v>
      </c>
      <c r="R402" s="11" t="b">
        <f aca="false">AND(ISNUMBER(F402),F402&gt;0,ISNUMBER(G402),G402&gt;=0,ISNUMBER(H402),H402&gt;=0)</f>
        <v>1</v>
      </c>
      <c r="S402" s="13" t="n">
        <f aca="false">IF(R402,100*I402/F402,"")</f>
        <v>0.101846385841453</v>
      </c>
      <c r="T402" s="11" t="b">
        <f aca="false">NOT(AND(OR(AND(ISBLANK(RawFinancials!B402),ISBLANK(_RawBaseline!B399)),AND(ISNUMBER(RawFinancials!B402),ISNUMBER(_RawBaseline!B399),RawFinancials!B402=_RawBaseline!B399)),OR(AND(ISBLANK(RawFinancials!U402),ISBLANK(_RawBaseline!U399)),AND(ISNUMBER(RawFinancials!U402),ISNUMBER(_RawBaseline!U399),RawFinancials!U402=_RawBaseline!U399)),OR(AND(ISBLANK(RawFinancials!O402),ISBLANK(_RawBaseline!O399)),AND(ISNUMBER(RawFinancials!O402),ISNUMBER(_RawBaseline!O399),RawFinancials!O402=_RawBaseline!O399))))</f>
        <v>0</v>
      </c>
      <c r="U402" s="13" t="n">
        <f aca="false">IF(AND(D402=WF_START_PERIOD,R402,COUNTIFS($B$5:$B$750,B402,$D$5:$D$750,WF_END_PERIOD,$R$5:$R$750,TRUE())&gt;0),SUMIFS($S$5:$S$750,$B$5:$B$750,B402,$D$5:$D$750,WF_END_PERIOD,$R$5:$R$750,TRUE()),0)</f>
        <v>0</v>
      </c>
      <c r="V402" s="0" t="str">
        <f aca="false">IF(AND(D402=WF_START_PERIOD,COUNTIFS($B$5:$B$750,B402,$D$5:$D$750,WF_END_PERIOD)&gt;0),INDEX($E$5:$E$750,MATCH(B402&amp;"|"&amp;WF_END_PERIOD,$AC$5:$AC$750,0)),"")</f>
        <v/>
      </c>
      <c r="W402" s="11" t="b">
        <f aca="false">COUNTIFS($B$5:$B$750,B402,$D$5:$D$750,WF_START_PERIOD,$R$5:$R$750,TRUE())&gt;0</f>
        <v>1</v>
      </c>
      <c r="X402" s="11" t="b">
        <f aca="false">COUNTIFS($B$5:$B$750,B402,$D$5:$D$750,WF_END_PERIOD,$R$5:$R$750,TRUE())&gt;0</f>
        <v>1</v>
      </c>
      <c r="Y402" s="0" t="str">
        <f aca="false">IF(AND(D402=WF_END_PERIOD,COUNTIFS($B$5:$B$750,B402,$D$5:$D$750,WF_START_PERIOD)&gt;0),INDEX($E$5:$E$750,MATCH(B402&amp;"|"&amp;WF_START_PERIOD,$AC$5:$AC$750,0)),"")</f>
        <v/>
      </c>
      <c r="Z402" s="0" t="str">
        <f aca="false">IF(AND(D402=WF_END_PERIOD,R402),1+COUNTIFS($D$5:$D$750,WF_END_PERIOD,$E$5:$E$750,E402,$R$5:$R$750,TRUE(),$S$5:$S$750,"&gt;"&amp;S402)+COUNTIFS($D$5:$D$750,WF_END_PERIOD,$E$5:$E$750,E402,$R$5:$R$750,TRUE(),$S$5:$S$750,S402,$B$5:$B$750,"&lt;"&amp;B402),"")</f>
        <v/>
      </c>
      <c r="AA402" s="0" t="str">
        <f aca="false">IF(AND(D402=WF_END_PERIOD,R402,Z402&lt;&gt;1),1+COUNTIFS($D$5:$D$750,WF_END_PERIOD,$R$5:$R$750,TRUE(),$Z$5:$Z$750,"&lt;&gt;1",$S$5:$S$750,"&gt;"&amp;S402)+COUNTIFS($D$5:$D$750,WF_END_PERIOD,$R$5:$R$750,TRUE(),$Z$5:$Z$750,"&lt;&gt;1",$S$5:$S$750,S402,$B$5:$B$750,"&lt;"&amp;B402),"")</f>
        <v/>
      </c>
      <c r="AB402" s="11" t="b">
        <f aca="false">OR(D402=WF_START_PERIOD,D402=WF_END_PERIOD)</f>
        <v>0</v>
      </c>
      <c r="AC402" s="0" t="str">
        <f aca="false">B402&amp;"|"&amp;D402</f>
        <v>18031|20231231</v>
      </c>
    </row>
    <row r="403" customFormat="false" ht="15" hidden="false" customHeight="false" outlineLevel="0" collapsed="false">
      <c r="A403" s="0" t="n">
        <f aca="false">RawFinancials!A403</f>
        <v>400</v>
      </c>
      <c r="B403" s="0" t="n">
        <f aca="false">RawFinancials!C403</f>
        <v>18038</v>
      </c>
      <c r="C403" s="0" t="str">
        <f aca="false">RawFinancials!P403</f>
        <v>CLAREMONT SAVINGS BANK</v>
      </c>
      <c r="D403" s="0" t="n">
        <f aca="false">RawFinancials!W403</f>
        <v>20231231</v>
      </c>
      <c r="E403" s="0" t="str">
        <f aca="false">RawFinancials!Z403</f>
        <v>NH</v>
      </c>
      <c r="F403" s="0" t="n">
        <f aca="false">RawFinancials!B403</f>
        <v>552093</v>
      </c>
      <c r="G403" s="0" t="n">
        <f aca="false">RawFinancials!U403</f>
        <v>0</v>
      </c>
      <c r="H403" s="0" t="n">
        <f aca="false">RawFinancials!O403</f>
        <v>2367</v>
      </c>
      <c r="I403" s="0" t="n">
        <f aca="false">IF(AND(ISNUMBER(G403),ISNUMBER(H403)),G403+H403,"")</f>
        <v>2367</v>
      </c>
      <c r="J403" s="0" t="n">
        <f aca="false">RawFinancials!D403</f>
        <v>419606</v>
      </c>
      <c r="K403" s="0" t="n">
        <f aca="false">RawFinancials!F403</f>
        <v>66547</v>
      </c>
      <c r="L403" s="0" t="n">
        <f aca="false">RawFinancials!L403</f>
        <v>418246</v>
      </c>
      <c r="M403" s="0" t="n">
        <f aca="false">RawFinancials!N403</f>
        <v>392161</v>
      </c>
      <c r="N403" s="13" t="n">
        <f aca="false">RawFinancials!X403</f>
        <v>0.311938300906613</v>
      </c>
      <c r="O403" s="13" t="n">
        <f aca="false">RawFinancials!V403</f>
        <v>0</v>
      </c>
      <c r="P403" s="13" t="n">
        <f aca="false">IF(AND(ISNUMBER(L403),L403&lt;&gt;0,ISNUMBER(M403)),100*M403/L403,"")</f>
        <v>93.7632398158022</v>
      </c>
      <c r="Q403" s="13" t="n">
        <f aca="false">IF(AND(ISNUMBER(F403),F403&lt;&gt;0,ISNUMBER(K403)),100*K403/F403,"")</f>
        <v>12.0535851749615</v>
      </c>
      <c r="R403" s="11" t="b">
        <f aca="false">AND(ISNUMBER(F403),F403&gt;0,ISNUMBER(G403),G403&gt;=0,ISNUMBER(H403),H403&gt;=0)</f>
        <v>1</v>
      </c>
      <c r="S403" s="13" t="n">
        <f aca="false">IF(R403,100*I403/F403,"")</f>
        <v>0.428732115784841</v>
      </c>
      <c r="T403" s="11" t="b">
        <f aca="false">NOT(AND(OR(AND(ISBLANK(RawFinancials!B403),ISBLANK(_RawBaseline!B400)),AND(ISNUMBER(RawFinancials!B403),ISNUMBER(_RawBaseline!B400),RawFinancials!B403=_RawBaseline!B400)),OR(AND(ISBLANK(RawFinancials!U403),ISBLANK(_RawBaseline!U400)),AND(ISNUMBER(RawFinancials!U403),ISNUMBER(_RawBaseline!U400),RawFinancials!U403=_RawBaseline!U400)),OR(AND(ISBLANK(RawFinancials!O403),ISBLANK(_RawBaseline!O400)),AND(ISNUMBER(RawFinancials!O403),ISNUMBER(_RawBaseline!O400),RawFinancials!O403=_RawBaseline!O400))))</f>
        <v>0</v>
      </c>
      <c r="U403" s="13" t="n">
        <f aca="false">IF(AND(D403=WF_START_PERIOD,R403,COUNTIFS($B$5:$B$750,B403,$D$5:$D$750,WF_END_PERIOD,$R$5:$R$750,TRUE())&gt;0),SUMIFS($S$5:$S$750,$B$5:$B$750,B403,$D$5:$D$750,WF_END_PERIOD,$R$5:$R$750,TRUE()),0)</f>
        <v>0</v>
      </c>
      <c r="V403" s="0" t="str">
        <f aca="false">IF(AND(D403=WF_START_PERIOD,COUNTIFS($B$5:$B$750,B403,$D$5:$D$750,WF_END_PERIOD)&gt;0),INDEX($E$5:$E$750,MATCH(B403&amp;"|"&amp;WF_END_PERIOD,$AC$5:$AC$750,0)),"")</f>
        <v/>
      </c>
      <c r="W403" s="11" t="b">
        <f aca="false">COUNTIFS($B$5:$B$750,B403,$D$5:$D$750,WF_START_PERIOD,$R$5:$R$750,TRUE())&gt;0</f>
        <v>1</v>
      </c>
      <c r="X403" s="11" t="b">
        <f aca="false">COUNTIFS($B$5:$B$750,B403,$D$5:$D$750,WF_END_PERIOD,$R$5:$R$750,TRUE())&gt;0</f>
        <v>1</v>
      </c>
      <c r="Y403" s="0" t="str">
        <f aca="false">IF(AND(D403=WF_END_PERIOD,COUNTIFS($B$5:$B$750,B403,$D$5:$D$750,WF_START_PERIOD)&gt;0),INDEX($E$5:$E$750,MATCH(B403&amp;"|"&amp;WF_START_PERIOD,$AC$5:$AC$750,0)),"")</f>
        <v/>
      </c>
      <c r="Z403" s="0" t="str">
        <f aca="false">IF(AND(D403=WF_END_PERIOD,R403),1+COUNTIFS($D$5:$D$750,WF_END_PERIOD,$E$5:$E$750,E403,$R$5:$R$750,TRUE(),$S$5:$S$750,"&gt;"&amp;S403)+COUNTIFS($D$5:$D$750,WF_END_PERIOD,$E$5:$E$750,E403,$R$5:$R$750,TRUE(),$S$5:$S$750,S403,$B$5:$B$750,"&lt;"&amp;B403),"")</f>
        <v/>
      </c>
      <c r="AA403" s="0" t="str">
        <f aca="false">IF(AND(D403=WF_END_PERIOD,R403,Z403&lt;&gt;1),1+COUNTIFS($D$5:$D$750,WF_END_PERIOD,$R$5:$R$750,TRUE(),$Z$5:$Z$750,"&lt;&gt;1",$S$5:$S$750,"&gt;"&amp;S403)+COUNTIFS($D$5:$D$750,WF_END_PERIOD,$R$5:$R$750,TRUE(),$Z$5:$Z$750,"&lt;&gt;1",$S$5:$S$750,S403,$B$5:$B$750,"&lt;"&amp;B403),"")</f>
        <v/>
      </c>
      <c r="AB403" s="11" t="b">
        <f aca="false">OR(D403=WF_START_PERIOD,D403=WF_END_PERIOD)</f>
        <v>0</v>
      </c>
      <c r="AC403" s="0" t="str">
        <f aca="false">B403&amp;"|"&amp;D403</f>
        <v>18038|20231231</v>
      </c>
    </row>
    <row r="404" customFormat="false" ht="15" hidden="false" customHeight="false" outlineLevel="0" collapsed="false">
      <c r="A404" s="0" t="n">
        <f aca="false">RawFinancials!A404</f>
        <v>401</v>
      </c>
      <c r="B404" s="0" t="n">
        <f aca="false">RawFinancials!C404</f>
        <v>18408</v>
      </c>
      <c r="C404" s="0" t="str">
        <f aca="false">RawFinancials!P404</f>
        <v>BANGOR SAVINGS BANK</v>
      </c>
      <c r="D404" s="0" t="n">
        <f aca="false">RawFinancials!W404</f>
        <v>20231231</v>
      </c>
      <c r="E404" s="0" t="str">
        <f aca="false">RawFinancials!Z404</f>
        <v>ME</v>
      </c>
      <c r="F404" s="0" t="n">
        <f aca="false">RawFinancials!B404</f>
        <v>7260613</v>
      </c>
      <c r="G404" s="0" t="n">
        <f aca="false">RawFinancials!U404</f>
        <v>0</v>
      </c>
      <c r="H404" s="0" t="n">
        <f aca="false">RawFinancials!O404</f>
        <v>3682</v>
      </c>
      <c r="I404" s="0" t="n">
        <f aca="false">IF(AND(ISNUMBER(G404),ISNUMBER(H404)),G404+H404,"")</f>
        <v>3682</v>
      </c>
      <c r="J404" s="0" t="n">
        <f aca="false">RawFinancials!D404</f>
        <v>5329154</v>
      </c>
      <c r="K404" s="0" t="n">
        <f aca="false">RawFinancials!F404</f>
        <v>408311</v>
      </c>
      <c r="L404" s="0" t="n">
        <f aca="false">RawFinancials!L404</f>
        <v>4829377</v>
      </c>
      <c r="M404" s="0" t="n">
        <f aca="false">RawFinancials!N404</f>
        <v>4395557</v>
      </c>
      <c r="N404" s="13" t="n">
        <f aca="false">RawFinancials!X404</f>
        <v>0.245774438397451</v>
      </c>
      <c r="O404" s="13" t="n">
        <f aca="false">RawFinancials!V404</f>
        <v>11.8012092146704</v>
      </c>
      <c r="P404" s="13" t="n">
        <f aca="false">IF(AND(ISNUMBER(L404),L404&lt;&gt;0,ISNUMBER(M404)),100*M404/L404,"")</f>
        <v>91.0170607927275</v>
      </c>
      <c r="Q404" s="13" t="n">
        <f aca="false">IF(AND(ISNUMBER(F404),F404&lt;&gt;0,ISNUMBER(K404)),100*K404/F404,"")</f>
        <v>5.62364362347917</v>
      </c>
      <c r="R404" s="11" t="b">
        <f aca="false">AND(ISNUMBER(F404),F404&gt;0,ISNUMBER(G404),G404&gt;=0,ISNUMBER(H404),H404&gt;=0)</f>
        <v>1</v>
      </c>
      <c r="S404" s="13" t="n">
        <f aca="false">IF(R404,100*I404/F404,"")</f>
        <v>0.0507119715649354</v>
      </c>
      <c r="T404" s="11" t="b">
        <f aca="false">NOT(AND(OR(AND(ISBLANK(RawFinancials!B404),ISBLANK(_RawBaseline!B401)),AND(ISNUMBER(RawFinancials!B404),ISNUMBER(_RawBaseline!B401),RawFinancials!B404=_RawBaseline!B401)),OR(AND(ISBLANK(RawFinancials!U404),ISBLANK(_RawBaseline!U401)),AND(ISNUMBER(RawFinancials!U404),ISNUMBER(_RawBaseline!U401),RawFinancials!U404=_RawBaseline!U401)),OR(AND(ISBLANK(RawFinancials!O404),ISBLANK(_RawBaseline!O401)),AND(ISNUMBER(RawFinancials!O404),ISNUMBER(_RawBaseline!O401),RawFinancials!O404=_RawBaseline!O401))))</f>
        <v>0</v>
      </c>
      <c r="U404" s="13" t="n">
        <f aca="false">IF(AND(D404=WF_START_PERIOD,R404,COUNTIFS($B$5:$B$750,B404,$D$5:$D$750,WF_END_PERIOD,$R$5:$R$750,TRUE())&gt;0),SUMIFS($S$5:$S$750,$B$5:$B$750,B404,$D$5:$D$750,WF_END_PERIOD,$R$5:$R$750,TRUE()),0)</f>
        <v>0</v>
      </c>
      <c r="V404" s="0" t="str">
        <f aca="false">IF(AND(D404=WF_START_PERIOD,COUNTIFS($B$5:$B$750,B404,$D$5:$D$750,WF_END_PERIOD)&gt;0),INDEX($E$5:$E$750,MATCH(B404&amp;"|"&amp;WF_END_PERIOD,$AC$5:$AC$750,0)),"")</f>
        <v/>
      </c>
      <c r="W404" s="11" t="b">
        <f aca="false">COUNTIFS($B$5:$B$750,B404,$D$5:$D$750,WF_START_PERIOD,$R$5:$R$750,TRUE())&gt;0</f>
        <v>1</v>
      </c>
      <c r="X404" s="11" t="b">
        <f aca="false">COUNTIFS($B$5:$B$750,B404,$D$5:$D$750,WF_END_PERIOD,$R$5:$R$750,TRUE())&gt;0</f>
        <v>1</v>
      </c>
      <c r="Y404" s="0" t="str">
        <f aca="false">IF(AND(D404=WF_END_PERIOD,COUNTIFS($B$5:$B$750,B404,$D$5:$D$750,WF_START_PERIOD)&gt;0),INDEX($E$5:$E$750,MATCH(B404&amp;"|"&amp;WF_START_PERIOD,$AC$5:$AC$750,0)),"")</f>
        <v/>
      </c>
      <c r="Z404" s="0" t="str">
        <f aca="false">IF(AND(D404=WF_END_PERIOD,R404),1+COUNTIFS($D$5:$D$750,WF_END_PERIOD,$E$5:$E$750,E404,$R$5:$R$750,TRUE(),$S$5:$S$750,"&gt;"&amp;S404)+COUNTIFS($D$5:$D$750,WF_END_PERIOD,$E$5:$E$750,E404,$R$5:$R$750,TRUE(),$S$5:$S$750,S404,$B$5:$B$750,"&lt;"&amp;B404),"")</f>
        <v/>
      </c>
      <c r="AA404" s="0" t="str">
        <f aca="false">IF(AND(D404=WF_END_PERIOD,R404,Z404&lt;&gt;1),1+COUNTIFS($D$5:$D$750,WF_END_PERIOD,$R$5:$R$750,TRUE(),$Z$5:$Z$750,"&lt;&gt;1",$S$5:$S$750,"&gt;"&amp;S404)+COUNTIFS($D$5:$D$750,WF_END_PERIOD,$R$5:$R$750,TRUE(),$Z$5:$Z$750,"&lt;&gt;1",$S$5:$S$750,S404,$B$5:$B$750,"&lt;"&amp;B404),"")</f>
        <v/>
      </c>
      <c r="AB404" s="11" t="b">
        <f aca="false">OR(D404=WF_START_PERIOD,D404=WF_END_PERIOD)</f>
        <v>0</v>
      </c>
      <c r="AC404" s="0" t="str">
        <f aca="false">B404&amp;"|"&amp;D404</f>
        <v>18408|20231231</v>
      </c>
    </row>
    <row r="405" customFormat="false" ht="15" hidden="false" customHeight="false" outlineLevel="0" collapsed="false">
      <c r="A405" s="0" t="n">
        <f aca="false">RawFinancials!A405</f>
        <v>402</v>
      </c>
      <c r="B405" s="0" t="n">
        <f aca="false">RawFinancials!C405</f>
        <v>19531</v>
      </c>
      <c r="C405" s="0" t="str">
        <f aca="false">RawFinancials!P405</f>
        <v>MACHIAS SAVINGS BANK</v>
      </c>
      <c r="D405" s="0" t="n">
        <f aca="false">RawFinancials!W405</f>
        <v>20231231</v>
      </c>
      <c r="E405" s="0" t="str">
        <f aca="false">RawFinancials!Z405</f>
        <v>ME</v>
      </c>
      <c r="F405" s="0" t="n">
        <f aca="false">RawFinancials!B405</f>
        <v>2483046</v>
      </c>
      <c r="G405" s="0" t="n">
        <f aca="false">RawFinancials!U405</f>
        <v>53</v>
      </c>
      <c r="H405" s="0" t="n">
        <f aca="false">RawFinancials!O405</f>
        <v>6950</v>
      </c>
      <c r="I405" s="0" t="n">
        <f aca="false">IF(AND(ISNUMBER(G405),ISNUMBER(H405)),G405+H405,"")</f>
        <v>7003</v>
      </c>
      <c r="J405" s="0" t="n">
        <f aca="false">RawFinancials!D405</f>
        <v>2045823</v>
      </c>
      <c r="K405" s="0" t="n">
        <f aca="false">RawFinancials!F405</f>
        <v>242363</v>
      </c>
      <c r="L405" s="0" t="n">
        <f aca="false">RawFinancials!L405</f>
        <v>1996479</v>
      </c>
      <c r="M405" s="0" t="n">
        <f aca="false">RawFinancials!N405</f>
        <v>1632308</v>
      </c>
      <c r="N405" s="13" t="n">
        <f aca="false">RawFinancials!X405</f>
        <v>0.483130976497632</v>
      </c>
      <c r="O405" s="13" t="n">
        <f aca="false">RawFinancials!V405</f>
        <v>14.4325224821325</v>
      </c>
      <c r="P405" s="13" t="n">
        <f aca="false">IF(AND(ISNUMBER(L405),L405&lt;&gt;0,ISNUMBER(M405)),100*M405/L405,"")</f>
        <v>81.7593373133401</v>
      </c>
      <c r="Q405" s="13" t="n">
        <f aca="false">IF(AND(ISNUMBER(F405),F405&lt;&gt;0,ISNUMBER(K405)),100*K405/F405,"")</f>
        <v>9.76071325299652</v>
      </c>
      <c r="R405" s="11" t="b">
        <f aca="false">AND(ISNUMBER(F405),F405&gt;0,ISNUMBER(G405),G405&gt;=0,ISNUMBER(H405),H405&gt;=0)</f>
        <v>1</v>
      </c>
      <c r="S405" s="13" t="n">
        <f aca="false">IF(R405,100*I405/F405,"")</f>
        <v>0.282032632500566</v>
      </c>
      <c r="T405" s="11" t="b">
        <f aca="false">NOT(AND(OR(AND(ISBLANK(RawFinancials!B405),ISBLANK(_RawBaseline!B402)),AND(ISNUMBER(RawFinancials!B405),ISNUMBER(_RawBaseline!B402),RawFinancials!B405=_RawBaseline!B402)),OR(AND(ISBLANK(RawFinancials!U405),ISBLANK(_RawBaseline!U402)),AND(ISNUMBER(RawFinancials!U405),ISNUMBER(_RawBaseline!U402),RawFinancials!U405=_RawBaseline!U402)),OR(AND(ISBLANK(RawFinancials!O405),ISBLANK(_RawBaseline!O402)),AND(ISNUMBER(RawFinancials!O405),ISNUMBER(_RawBaseline!O402),RawFinancials!O405=_RawBaseline!O402))))</f>
        <v>0</v>
      </c>
      <c r="U405" s="13" t="n">
        <f aca="false">IF(AND(D405=WF_START_PERIOD,R405,COUNTIFS($B$5:$B$750,B405,$D$5:$D$750,WF_END_PERIOD,$R$5:$R$750,TRUE())&gt;0),SUMIFS($S$5:$S$750,$B$5:$B$750,B405,$D$5:$D$750,WF_END_PERIOD,$R$5:$R$750,TRUE()),0)</f>
        <v>0</v>
      </c>
      <c r="V405" s="0" t="str">
        <f aca="false">IF(AND(D405=WF_START_PERIOD,COUNTIFS($B$5:$B$750,B405,$D$5:$D$750,WF_END_PERIOD)&gt;0),INDEX($E$5:$E$750,MATCH(B405&amp;"|"&amp;WF_END_PERIOD,$AC$5:$AC$750,0)),"")</f>
        <v/>
      </c>
      <c r="W405" s="11" t="b">
        <f aca="false">COUNTIFS($B$5:$B$750,B405,$D$5:$D$750,WF_START_PERIOD,$R$5:$R$750,TRUE())&gt;0</f>
        <v>1</v>
      </c>
      <c r="X405" s="11" t="b">
        <f aca="false">COUNTIFS($B$5:$B$750,B405,$D$5:$D$750,WF_END_PERIOD,$R$5:$R$750,TRUE())&gt;0</f>
        <v>1</v>
      </c>
      <c r="Y405" s="0" t="str">
        <f aca="false">IF(AND(D405=WF_END_PERIOD,COUNTIFS($B$5:$B$750,B405,$D$5:$D$750,WF_START_PERIOD)&gt;0),INDEX($E$5:$E$750,MATCH(B405&amp;"|"&amp;WF_START_PERIOD,$AC$5:$AC$750,0)),"")</f>
        <v/>
      </c>
      <c r="Z405" s="0" t="str">
        <f aca="false">IF(AND(D405=WF_END_PERIOD,R405),1+COUNTIFS($D$5:$D$750,WF_END_PERIOD,$E$5:$E$750,E405,$R$5:$R$750,TRUE(),$S$5:$S$750,"&gt;"&amp;S405)+COUNTIFS($D$5:$D$750,WF_END_PERIOD,$E$5:$E$750,E405,$R$5:$R$750,TRUE(),$S$5:$S$750,S405,$B$5:$B$750,"&lt;"&amp;B405),"")</f>
        <v/>
      </c>
      <c r="AA405" s="0" t="str">
        <f aca="false">IF(AND(D405=WF_END_PERIOD,R405,Z405&lt;&gt;1),1+COUNTIFS($D$5:$D$750,WF_END_PERIOD,$R$5:$R$750,TRUE(),$Z$5:$Z$750,"&lt;&gt;1",$S$5:$S$750,"&gt;"&amp;S405)+COUNTIFS($D$5:$D$750,WF_END_PERIOD,$R$5:$R$750,TRUE(),$Z$5:$Z$750,"&lt;&gt;1",$S$5:$S$750,S405,$B$5:$B$750,"&lt;"&amp;B405),"")</f>
        <v/>
      </c>
      <c r="AB405" s="11" t="b">
        <f aca="false">OR(D405=WF_START_PERIOD,D405=WF_END_PERIOD)</f>
        <v>0</v>
      </c>
      <c r="AC405" s="0" t="str">
        <f aca="false">B405&amp;"|"&amp;D405</f>
        <v>19531|20231231</v>
      </c>
    </row>
    <row r="406" customFormat="false" ht="15" hidden="false" customHeight="false" outlineLevel="0" collapsed="false">
      <c r="A406" s="0" t="n">
        <f aca="false">RawFinancials!A406</f>
        <v>403</v>
      </c>
      <c r="B406" s="0" t="n">
        <f aca="false">RawFinancials!C406</f>
        <v>19532</v>
      </c>
      <c r="C406" s="0" t="str">
        <f aca="false">RawFinancials!P406</f>
        <v>SKOWHEGAN SAVINGS BANK</v>
      </c>
      <c r="D406" s="0" t="n">
        <f aca="false">RawFinancials!W406</f>
        <v>20231231</v>
      </c>
      <c r="E406" s="0" t="str">
        <f aca="false">RawFinancials!Z406</f>
        <v>ME</v>
      </c>
      <c r="F406" s="0" t="n">
        <f aca="false">RawFinancials!B406</f>
        <v>876702</v>
      </c>
      <c r="G406" s="0" t="n">
        <f aca="false">RawFinancials!U406</f>
        <v>12</v>
      </c>
      <c r="H406" s="0" t="n">
        <f aca="false">RawFinancials!O406</f>
        <v>1128</v>
      </c>
      <c r="I406" s="0" t="n">
        <f aca="false">IF(AND(ISNUMBER(G406),ISNUMBER(H406)),G406+H406,"")</f>
        <v>1140</v>
      </c>
      <c r="J406" s="0" t="n">
        <f aca="false">RawFinancials!D406</f>
        <v>727881</v>
      </c>
      <c r="K406" s="0" t="n">
        <f aca="false">RawFinancials!F406</f>
        <v>96676</v>
      </c>
      <c r="L406" s="0" t="n">
        <f aca="false">RawFinancials!L406</f>
        <v>585480</v>
      </c>
      <c r="M406" s="0" t="n">
        <f aca="false">RawFinancials!N406</f>
        <v>482338</v>
      </c>
      <c r="N406" s="13" t="n">
        <f aca="false">RawFinancials!X406</f>
        <v>0.768323735574911</v>
      </c>
      <c r="O406" s="13" t="n">
        <f aca="false">RawFinancials!V406</f>
        <v>20.8402581908709</v>
      </c>
      <c r="P406" s="13" t="n">
        <f aca="false">IF(AND(ISNUMBER(L406),L406&lt;&gt;0,ISNUMBER(M406)),100*M406/L406,"")</f>
        <v>82.383343581335</v>
      </c>
      <c r="Q406" s="13" t="n">
        <f aca="false">IF(AND(ISNUMBER(F406),F406&lt;&gt;0,ISNUMBER(K406)),100*K406/F406,"")</f>
        <v>11.0272361646261</v>
      </c>
      <c r="R406" s="11" t="b">
        <f aca="false">AND(ISNUMBER(F406),F406&gt;0,ISNUMBER(G406),G406&gt;=0,ISNUMBER(H406),H406&gt;=0)</f>
        <v>1</v>
      </c>
      <c r="S406" s="13" t="n">
        <f aca="false">IF(R406,100*I406/F406,"")</f>
        <v>0.130032781948712</v>
      </c>
      <c r="T406" s="11" t="b">
        <f aca="false">NOT(AND(OR(AND(ISBLANK(RawFinancials!B406),ISBLANK(_RawBaseline!B403)),AND(ISNUMBER(RawFinancials!B406),ISNUMBER(_RawBaseline!B403),RawFinancials!B406=_RawBaseline!B403)),OR(AND(ISBLANK(RawFinancials!U406),ISBLANK(_RawBaseline!U403)),AND(ISNUMBER(RawFinancials!U406),ISNUMBER(_RawBaseline!U403),RawFinancials!U406=_RawBaseline!U403)),OR(AND(ISBLANK(RawFinancials!O406),ISBLANK(_RawBaseline!O403)),AND(ISNUMBER(RawFinancials!O406),ISNUMBER(_RawBaseline!O403),RawFinancials!O406=_RawBaseline!O403))))</f>
        <v>0</v>
      </c>
      <c r="U406" s="13" t="n">
        <f aca="false">IF(AND(D406=WF_START_PERIOD,R406,COUNTIFS($B$5:$B$750,B406,$D$5:$D$750,WF_END_PERIOD,$R$5:$R$750,TRUE())&gt;0),SUMIFS($S$5:$S$750,$B$5:$B$750,B406,$D$5:$D$750,WF_END_PERIOD,$R$5:$R$750,TRUE()),0)</f>
        <v>0</v>
      </c>
      <c r="V406" s="0" t="str">
        <f aca="false">IF(AND(D406=WF_START_PERIOD,COUNTIFS($B$5:$B$750,B406,$D$5:$D$750,WF_END_PERIOD)&gt;0),INDEX($E$5:$E$750,MATCH(B406&amp;"|"&amp;WF_END_PERIOD,$AC$5:$AC$750,0)),"")</f>
        <v/>
      </c>
      <c r="W406" s="11" t="b">
        <f aca="false">COUNTIFS($B$5:$B$750,B406,$D$5:$D$750,WF_START_PERIOD,$R$5:$R$750,TRUE())&gt;0</f>
        <v>1</v>
      </c>
      <c r="X406" s="11" t="b">
        <f aca="false">COUNTIFS($B$5:$B$750,B406,$D$5:$D$750,WF_END_PERIOD,$R$5:$R$750,TRUE())&gt;0</f>
        <v>1</v>
      </c>
      <c r="Y406" s="0" t="str">
        <f aca="false">IF(AND(D406=WF_END_PERIOD,COUNTIFS($B$5:$B$750,B406,$D$5:$D$750,WF_START_PERIOD)&gt;0),INDEX($E$5:$E$750,MATCH(B406&amp;"|"&amp;WF_START_PERIOD,$AC$5:$AC$750,0)),"")</f>
        <v/>
      </c>
      <c r="Z406" s="0" t="str">
        <f aca="false">IF(AND(D406=WF_END_PERIOD,R406),1+COUNTIFS($D$5:$D$750,WF_END_PERIOD,$E$5:$E$750,E406,$R$5:$R$750,TRUE(),$S$5:$S$750,"&gt;"&amp;S406)+COUNTIFS($D$5:$D$750,WF_END_PERIOD,$E$5:$E$750,E406,$R$5:$R$750,TRUE(),$S$5:$S$750,S406,$B$5:$B$750,"&lt;"&amp;B406),"")</f>
        <v/>
      </c>
      <c r="AA406" s="0" t="str">
        <f aca="false">IF(AND(D406=WF_END_PERIOD,R406,Z406&lt;&gt;1),1+COUNTIFS($D$5:$D$750,WF_END_PERIOD,$R$5:$R$750,TRUE(),$Z$5:$Z$750,"&lt;&gt;1",$S$5:$S$750,"&gt;"&amp;S406)+COUNTIFS($D$5:$D$750,WF_END_PERIOD,$R$5:$R$750,TRUE(),$Z$5:$Z$750,"&lt;&gt;1",$S$5:$S$750,S406,$B$5:$B$750,"&lt;"&amp;B406),"")</f>
        <v/>
      </c>
      <c r="AB406" s="11" t="b">
        <f aca="false">OR(D406=WF_START_PERIOD,D406=WF_END_PERIOD)</f>
        <v>0</v>
      </c>
      <c r="AC406" s="0" t="str">
        <f aca="false">B406&amp;"|"&amp;D406</f>
        <v>19532|20231231</v>
      </c>
    </row>
    <row r="407" customFormat="false" ht="15" hidden="false" customHeight="false" outlineLevel="0" collapsed="false">
      <c r="A407" s="0" t="n">
        <f aca="false">RawFinancials!A407</f>
        <v>404</v>
      </c>
      <c r="B407" s="0" t="n">
        <f aca="false">RawFinancials!C407</f>
        <v>19690</v>
      </c>
      <c r="C407" s="0" t="str">
        <f aca="false">RawFinancials!P407</f>
        <v>NORTHEAST BANK</v>
      </c>
      <c r="D407" s="0" t="n">
        <f aca="false">RawFinancials!W407</f>
        <v>20231231</v>
      </c>
      <c r="E407" s="0" t="str">
        <f aca="false">RawFinancials!Z407</f>
        <v>ME</v>
      </c>
      <c r="F407" s="0" t="n">
        <f aca="false">RawFinancials!B407</f>
        <v>2968976</v>
      </c>
      <c r="G407" s="0" t="n">
        <f aca="false">RawFinancials!U407</f>
        <v>0</v>
      </c>
      <c r="H407" s="0" t="n">
        <f aca="false">RawFinancials!O407</f>
        <v>30772</v>
      </c>
      <c r="I407" s="0" t="n">
        <f aca="false">IF(AND(ISNUMBER(G407),ISNUMBER(H407)),G407+H407,"")</f>
        <v>30772</v>
      </c>
      <c r="J407" s="0" t="n">
        <f aca="false">RawFinancials!D407</f>
        <v>2150988</v>
      </c>
      <c r="K407" s="0" t="n">
        <f aca="false">RawFinancials!F407</f>
        <v>327540</v>
      </c>
      <c r="L407" s="0" t="n">
        <f aca="false">RawFinancials!L407</f>
        <v>2611058</v>
      </c>
      <c r="M407" s="0" t="n">
        <f aca="false">RawFinancials!N407</f>
        <v>2127332</v>
      </c>
      <c r="N407" s="13" t="n">
        <f aca="false">RawFinancials!X407</f>
        <v>1.87023078988431</v>
      </c>
      <c r="O407" s="13" t="n">
        <f aca="false">RawFinancials!V407</f>
        <v>13.7063330070435</v>
      </c>
      <c r="P407" s="13" t="n">
        <f aca="false">IF(AND(ISNUMBER(L407),L407&lt;&gt;0,ISNUMBER(M407)),100*M407/L407,"")</f>
        <v>81.4739465764453</v>
      </c>
      <c r="Q407" s="13" t="n">
        <f aca="false">IF(AND(ISNUMBER(F407),F407&lt;&gt;0,ISNUMBER(K407)),100*K407/F407,"")</f>
        <v>11.03208648369</v>
      </c>
      <c r="R407" s="11" t="b">
        <f aca="false">AND(ISNUMBER(F407),F407&gt;0,ISNUMBER(G407),G407&gt;=0,ISNUMBER(H407),H407&gt;=0)</f>
        <v>1</v>
      </c>
      <c r="S407" s="13" t="n">
        <f aca="false">IF(R407,100*I407/F407,"")</f>
        <v>1.03645162507208</v>
      </c>
      <c r="T407" s="11" t="b">
        <f aca="false">NOT(AND(OR(AND(ISBLANK(RawFinancials!B407),ISBLANK(_RawBaseline!B404)),AND(ISNUMBER(RawFinancials!B407),ISNUMBER(_RawBaseline!B404),RawFinancials!B407=_RawBaseline!B404)),OR(AND(ISBLANK(RawFinancials!U407),ISBLANK(_RawBaseline!U404)),AND(ISNUMBER(RawFinancials!U407),ISNUMBER(_RawBaseline!U404),RawFinancials!U407=_RawBaseline!U404)),OR(AND(ISBLANK(RawFinancials!O407),ISBLANK(_RawBaseline!O404)),AND(ISNUMBER(RawFinancials!O407),ISNUMBER(_RawBaseline!O404),RawFinancials!O407=_RawBaseline!O404))))</f>
        <v>0</v>
      </c>
      <c r="U407" s="13" t="n">
        <f aca="false">IF(AND(D407=WF_START_PERIOD,R407,COUNTIFS($B$5:$B$750,B407,$D$5:$D$750,WF_END_PERIOD,$R$5:$R$750,TRUE())&gt;0),SUMIFS($S$5:$S$750,$B$5:$B$750,B407,$D$5:$D$750,WF_END_PERIOD,$R$5:$R$750,TRUE()),0)</f>
        <v>0</v>
      </c>
      <c r="V407" s="0" t="str">
        <f aca="false">IF(AND(D407=WF_START_PERIOD,COUNTIFS($B$5:$B$750,B407,$D$5:$D$750,WF_END_PERIOD)&gt;0),INDEX($E$5:$E$750,MATCH(B407&amp;"|"&amp;WF_END_PERIOD,$AC$5:$AC$750,0)),"")</f>
        <v/>
      </c>
      <c r="W407" s="11" t="b">
        <f aca="false">COUNTIFS($B$5:$B$750,B407,$D$5:$D$750,WF_START_PERIOD,$R$5:$R$750,TRUE())&gt;0</f>
        <v>1</v>
      </c>
      <c r="X407" s="11" t="b">
        <f aca="false">COUNTIFS($B$5:$B$750,B407,$D$5:$D$750,WF_END_PERIOD,$R$5:$R$750,TRUE())&gt;0</f>
        <v>1</v>
      </c>
      <c r="Y407" s="0" t="str">
        <f aca="false">IF(AND(D407=WF_END_PERIOD,COUNTIFS($B$5:$B$750,B407,$D$5:$D$750,WF_START_PERIOD)&gt;0),INDEX($E$5:$E$750,MATCH(B407&amp;"|"&amp;WF_START_PERIOD,$AC$5:$AC$750,0)),"")</f>
        <v/>
      </c>
      <c r="Z407" s="0" t="str">
        <f aca="false">IF(AND(D407=WF_END_PERIOD,R407),1+COUNTIFS($D$5:$D$750,WF_END_PERIOD,$E$5:$E$750,E407,$R$5:$R$750,TRUE(),$S$5:$S$750,"&gt;"&amp;S407)+COUNTIFS($D$5:$D$750,WF_END_PERIOD,$E$5:$E$750,E407,$R$5:$R$750,TRUE(),$S$5:$S$750,S407,$B$5:$B$750,"&lt;"&amp;B407),"")</f>
        <v/>
      </c>
      <c r="AA407" s="0" t="str">
        <f aca="false">IF(AND(D407=WF_END_PERIOD,R407,Z407&lt;&gt;1),1+COUNTIFS($D$5:$D$750,WF_END_PERIOD,$R$5:$R$750,TRUE(),$Z$5:$Z$750,"&lt;&gt;1",$S$5:$S$750,"&gt;"&amp;S407)+COUNTIFS($D$5:$D$750,WF_END_PERIOD,$R$5:$R$750,TRUE(),$Z$5:$Z$750,"&lt;&gt;1",$S$5:$S$750,S407,$B$5:$B$750,"&lt;"&amp;B407),"")</f>
        <v/>
      </c>
      <c r="AB407" s="11" t="b">
        <f aca="false">OR(D407=WF_START_PERIOD,D407=WF_END_PERIOD)</f>
        <v>0</v>
      </c>
      <c r="AC407" s="0" t="str">
        <f aca="false">B407&amp;"|"&amp;D407</f>
        <v>19690|20231231</v>
      </c>
    </row>
    <row r="408" customFormat="false" ht="15" hidden="false" customHeight="false" outlineLevel="0" collapsed="false">
      <c r="A408" s="0" t="n">
        <f aca="false">RawFinancials!A408</f>
        <v>405</v>
      </c>
      <c r="B408" s="0" t="n">
        <f aca="false">RawFinancials!C408</f>
        <v>19836</v>
      </c>
      <c r="C408" s="0" t="str">
        <f aca="false">RawFinancials!P408</f>
        <v>FRANKLIN SAVINGS BANK</v>
      </c>
      <c r="D408" s="0" t="n">
        <f aca="false">RawFinancials!W408</f>
        <v>20231231</v>
      </c>
      <c r="E408" s="0" t="str">
        <f aca="false">RawFinancials!Z408</f>
        <v>ME</v>
      </c>
      <c r="F408" s="0" t="n">
        <f aca="false">RawFinancials!B408</f>
        <v>659684</v>
      </c>
      <c r="G408" s="0" t="n">
        <f aca="false">RawFinancials!U408</f>
        <v>123</v>
      </c>
      <c r="H408" s="0" t="n">
        <f aca="false">RawFinancials!O408</f>
        <v>3751</v>
      </c>
      <c r="I408" s="0" t="n">
        <f aca="false">IF(AND(ISNUMBER(G408),ISNUMBER(H408)),G408+H408,"")</f>
        <v>3874</v>
      </c>
      <c r="J408" s="0" t="n">
        <f aca="false">RawFinancials!D408</f>
        <v>484649</v>
      </c>
      <c r="K408" s="0" t="n">
        <f aca="false">RawFinancials!F408</f>
        <v>120787</v>
      </c>
      <c r="L408" s="0" t="n">
        <f aca="false">RawFinancials!L408</f>
        <v>547206</v>
      </c>
      <c r="M408" s="0" t="n">
        <f aca="false">RawFinancials!N408</f>
        <v>481157</v>
      </c>
      <c r="N408" s="13" t="n">
        <f aca="false">RawFinancials!X408</f>
        <v>0.787682704932891</v>
      </c>
      <c r="O408" s="13" t="n">
        <f aca="false">RawFinancials!V408</f>
        <v>25.7908734334641</v>
      </c>
      <c r="P408" s="13" t="n">
        <f aca="false">IF(AND(ISNUMBER(L408),L408&lt;&gt;0,ISNUMBER(M408)),100*M408/L408,"")</f>
        <v>87.929774161833</v>
      </c>
      <c r="Q408" s="13" t="n">
        <f aca="false">IF(AND(ISNUMBER(F408),F408&lt;&gt;0,ISNUMBER(K408)),100*K408/F408,"")</f>
        <v>18.3098271293528</v>
      </c>
      <c r="R408" s="11" t="b">
        <f aca="false">AND(ISNUMBER(F408),F408&gt;0,ISNUMBER(G408),G408&gt;=0,ISNUMBER(H408),H408&gt;=0)</f>
        <v>1</v>
      </c>
      <c r="S408" s="13" t="n">
        <f aca="false">IF(R408,100*I408/F408,"")</f>
        <v>0.587250865565938</v>
      </c>
      <c r="T408" s="11" t="b">
        <f aca="false">NOT(AND(OR(AND(ISBLANK(RawFinancials!B408),ISBLANK(_RawBaseline!B405)),AND(ISNUMBER(RawFinancials!B408),ISNUMBER(_RawBaseline!B405),RawFinancials!B408=_RawBaseline!B405)),OR(AND(ISBLANK(RawFinancials!U408),ISBLANK(_RawBaseline!U405)),AND(ISNUMBER(RawFinancials!U408),ISNUMBER(_RawBaseline!U405),RawFinancials!U408=_RawBaseline!U405)),OR(AND(ISBLANK(RawFinancials!O408),ISBLANK(_RawBaseline!O405)),AND(ISNUMBER(RawFinancials!O408),ISNUMBER(_RawBaseline!O405),RawFinancials!O408=_RawBaseline!O405))))</f>
        <v>0</v>
      </c>
      <c r="U408" s="13" t="n">
        <f aca="false">IF(AND(D408=WF_START_PERIOD,R408,COUNTIFS($B$5:$B$750,B408,$D$5:$D$750,WF_END_PERIOD,$R$5:$R$750,TRUE())&gt;0),SUMIFS($S$5:$S$750,$B$5:$B$750,B408,$D$5:$D$750,WF_END_PERIOD,$R$5:$R$750,TRUE()),0)</f>
        <v>0</v>
      </c>
      <c r="V408" s="0" t="str">
        <f aca="false">IF(AND(D408=WF_START_PERIOD,COUNTIFS($B$5:$B$750,B408,$D$5:$D$750,WF_END_PERIOD)&gt;0),INDEX($E$5:$E$750,MATCH(B408&amp;"|"&amp;WF_END_PERIOD,$AC$5:$AC$750,0)),"")</f>
        <v/>
      </c>
      <c r="W408" s="11" t="b">
        <f aca="false">COUNTIFS($B$5:$B$750,B408,$D$5:$D$750,WF_START_PERIOD,$R$5:$R$750,TRUE())&gt;0</f>
        <v>1</v>
      </c>
      <c r="X408" s="11" t="b">
        <f aca="false">COUNTIFS($B$5:$B$750,B408,$D$5:$D$750,WF_END_PERIOD,$R$5:$R$750,TRUE())&gt;0</f>
        <v>1</v>
      </c>
      <c r="Y408" s="0" t="str">
        <f aca="false">IF(AND(D408=WF_END_PERIOD,COUNTIFS($B$5:$B$750,B408,$D$5:$D$750,WF_START_PERIOD)&gt;0),INDEX($E$5:$E$750,MATCH(B408&amp;"|"&amp;WF_START_PERIOD,$AC$5:$AC$750,0)),"")</f>
        <v/>
      </c>
      <c r="Z408" s="0" t="str">
        <f aca="false">IF(AND(D408=WF_END_PERIOD,R408),1+COUNTIFS($D$5:$D$750,WF_END_PERIOD,$E$5:$E$750,E408,$R$5:$R$750,TRUE(),$S$5:$S$750,"&gt;"&amp;S408)+COUNTIFS($D$5:$D$750,WF_END_PERIOD,$E$5:$E$750,E408,$R$5:$R$750,TRUE(),$S$5:$S$750,S408,$B$5:$B$750,"&lt;"&amp;B408),"")</f>
        <v/>
      </c>
      <c r="AA408" s="0" t="str">
        <f aca="false">IF(AND(D408=WF_END_PERIOD,R408,Z408&lt;&gt;1),1+COUNTIFS($D$5:$D$750,WF_END_PERIOD,$R$5:$R$750,TRUE(),$Z$5:$Z$750,"&lt;&gt;1",$S$5:$S$750,"&gt;"&amp;S408)+COUNTIFS($D$5:$D$750,WF_END_PERIOD,$R$5:$R$750,TRUE(),$Z$5:$Z$750,"&lt;&gt;1",$S$5:$S$750,S408,$B$5:$B$750,"&lt;"&amp;B408),"")</f>
        <v/>
      </c>
      <c r="AB408" s="11" t="b">
        <f aca="false">OR(D408=WF_START_PERIOD,D408=WF_END_PERIOD)</f>
        <v>0</v>
      </c>
      <c r="AC408" s="0" t="str">
        <f aca="false">B408&amp;"|"&amp;D408</f>
        <v>19836|20231231</v>
      </c>
    </row>
    <row r="409" customFormat="false" ht="15" hidden="false" customHeight="false" outlineLevel="0" collapsed="false">
      <c r="A409" s="0" t="n">
        <f aca="false">RawFinancials!A409</f>
        <v>406</v>
      </c>
      <c r="B409" s="0" t="n">
        <f aca="false">RawFinancials!C409</f>
        <v>24540</v>
      </c>
      <c r="C409" s="0" t="str">
        <f aca="false">RawFinancials!P409</f>
        <v>BANK OF NEW ENGLAND</v>
      </c>
      <c r="D409" s="0" t="n">
        <f aca="false">RawFinancials!W409</f>
        <v>20231231</v>
      </c>
      <c r="E409" s="0" t="str">
        <f aca="false">RawFinancials!Z409</f>
        <v>NH</v>
      </c>
      <c r="F409" s="0" t="n">
        <f aca="false">RawFinancials!B409</f>
        <v>1381838</v>
      </c>
      <c r="G409" s="0" t="n">
        <f aca="false">RawFinancials!U409</f>
        <v>0</v>
      </c>
      <c r="H409" s="0" t="n">
        <f aca="false">RawFinancials!O409</f>
        <v>430</v>
      </c>
      <c r="I409" s="0" t="n">
        <f aca="false">IF(AND(ISNUMBER(G409),ISNUMBER(H409)),G409+H409,"")</f>
        <v>430</v>
      </c>
      <c r="J409" s="0" t="n">
        <f aca="false">RawFinancials!D409</f>
        <v>1106164</v>
      </c>
      <c r="K409" s="0" t="n">
        <f aca="false">RawFinancials!F409</f>
        <v>246470</v>
      </c>
      <c r="L409" s="0" t="n">
        <f aca="false">RawFinancials!L409</f>
        <v>1204510</v>
      </c>
      <c r="M409" s="0" t="n">
        <f aca="false">RawFinancials!N409</f>
        <v>1166184</v>
      </c>
      <c r="N409" s="13" t="n">
        <f aca="false">RawFinancials!X409</f>
        <v>2.38776188693731</v>
      </c>
      <c r="O409" s="13" t="n">
        <f aca="false">RawFinancials!V409</f>
        <v>19.0652745831146</v>
      </c>
      <c r="P409" s="13" t="n">
        <f aca="false">IF(AND(ISNUMBER(L409),L409&lt;&gt;0,ISNUMBER(M409)),100*M409/L409,"")</f>
        <v>96.8181252127421</v>
      </c>
      <c r="Q409" s="13" t="n">
        <f aca="false">IF(AND(ISNUMBER(F409),F409&lt;&gt;0,ISNUMBER(K409)),100*K409/F409,"")</f>
        <v>17.8363889254746</v>
      </c>
      <c r="R409" s="11" t="b">
        <f aca="false">AND(ISNUMBER(F409),F409&gt;0,ISNUMBER(G409),G409&gt;=0,ISNUMBER(H409),H409&gt;=0)</f>
        <v>1</v>
      </c>
      <c r="S409" s="13" t="n">
        <f aca="false">IF(R409,100*I409/F409,"")</f>
        <v>0.0311179747553621</v>
      </c>
      <c r="T409" s="11" t="b">
        <f aca="false">NOT(AND(OR(AND(ISBLANK(RawFinancials!B409),ISBLANK(_RawBaseline!B406)),AND(ISNUMBER(RawFinancials!B409),ISNUMBER(_RawBaseline!B406),RawFinancials!B409=_RawBaseline!B406)),OR(AND(ISBLANK(RawFinancials!U409),ISBLANK(_RawBaseline!U406)),AND(ISNUMBER(RawFinancials!U409),ISNUMBER(_RawBaseline!U406),RawFinancials!U409=_RawBaseline!U406)),OR(AND(ISBLANK(RawFinancials!O409),ISBLANK(_RawBaseline!O406)),AND(ISNUMBER(RawFinancials!O409),ISNUMBER(_RawBaseline!O406),RawFinancials!O409=_RawBaseline!O406))))</f>
        <v>0</v>
      </c>
      <c r="U409" s="13" t="n">
        <f aca="false">IF(AND(D409=WF_START_PERIOD,R409,COUNTIFS($B$5:$B$750,B409,$D$5:$D$750,WF_END_PERIOD,$R$5:$R$750,TRUE())&gt;0),SUMIFS($S$5:$S$750,$B$5:$B$750,B409,$D$5:$D$750,WF_END_PERIOD,$R$5:$R$750,TRUE()),0)</f>
        <v>0</v>
      </c>
      <c r="V409" s="0" t="str">
        <f aca="false">IF(AND(D409=WF_START_PERIOD,COUNTIFS($B$5:$B$750,B409,$D$5:$D$750,WF_END_PERIOD)&gt;0),INDEX($E$5:$E$750,MATCH(B409&amp;"|"&amp;WF_END_PERIOD,$AC$5:$AC$750,0)),"")</f>
        <v/>
      </c>
      <c r="W409" s="11" t="b">
        <f aca="false">COUNTIFS($B$5:$B$750,B409,$D$5:$D$750,WF_START_PERIOD,$R$5:$R$750,TRUE())&gt;0</f>
        <v>1</v>
      </c>
      <c r="X409" s="11" t="b">
        <f aca="false">COUNTIFS($B$5:$B$750,B409,$D$5:$D$750,WF_END_PERIOD,$R$5:$R$750,TRUE())&gt;0</f>
        <v>1</v>
      </c>
      <c r="Y409" s="0" t="str">
        <f aca="false">IF(AND(D409=WF_END_PERIOD,COUNTIFS($B$5:$B$750,B409,$D$5:$D$750,WF_START_PERIOD)&gt;0),INDEX($E$5:$E$750,MATCH(B409&amp;"|"&amp;WF_START_PERIOD,$AC$5:$AC$750,0)),"")</f>
        <v/>
      </c>
      <c r="Z409" s="0" t="str">
        <f aca="false">IF(AND(D409=WF_END_PERIOD,R409),1+COUNTIFS($D$5:$D$750,WF_END_PERIOD,$E$5:$E$750,E409,$R$5:$R$750,TRUE(),$S$5:$S$750,"&gt;"&amp;S409)+COUNTIFS($D$5:$D$750,WF_END_PERIOD,$E$5:$E$750,E409,$R$5:$R$750,TRUE(),$S$5:$S$750,S409,$B$5:$B$750,"&lt;"&amp;B409),"")</f>
        <v/>
      </c>
      <c r="AA409" s="0" t="str">
        <f aca="false">IF(AND(D409=WF_END_PERIOD,R409,Z409&lt;&gt;1),1+COUNTIFS($D$5:$D$750,WF_END_PERIOD,$R$5:$R$750,TRUE(),$Z$5:$Z$750,"&lt;&gt;1",$S$5:$S$750,"&gt;"&amp;S409)+COUNTIFS($D$5:$D$750,WF_END_PERIOD,$R$5:$R$750,TRUE(),$Z$5:$Z$750,"&lt;&gt;1",$S$5:$S$750,S409,$B$5:$B$750,"&lt;"&amp;B409),"")</f>
        <v/>
      </c>
      <c r="AB409" s="11" t="b">
        <f aca="false">OR(D409=WF_START_PERIOD,D409=WF_END_PERIOD)</f>
        <v>0</v>
      </c>
      <c r="AC409" s="0" t="str">
        <f aca="false">B409&amp;"|"&amp;D409</f>
        <v>24540|20231231</v>
      </c>
    </row>
    <row r="410" customFormat="false" ht="15" hidden="false" customHeight="false" outlineLevel="0" collapsed="false">
      <c r="A410" s="0" t="n">
        <f aca="false">RawFinancials!A410</f>
        <v>407</v>
      </c>
      <c r="B410" s="0" t="n">
        <f aca="false">RawFinancials!C410</f>
        <v>27824</v>
      </c>
      <c r="C410" s="0" t="str">
        <f aca="false">RawFinancials!P410</f>
        <v>SALEM CO-OPERATIVE BANK</v>
      </c>
      <c r="D410" s="0" t="n">
        <f aca="false">RawFinancials!W410</f>
        <v>20231231</v>
      </c>
      <c r="E410" s="0" t="str">
        <f aca="false">RawFinancials!Z410</f>
        <v>NH</v>
      </c>
      <c r="F410" s="0" t="n">
        <f aca="false">RawFinancials!B410</f>
        <v>540887</v>
      </c>
      <c r="G410" s="0" t="n">
        <f aca="false">RawFinancials!U410</f>
        <v>0</v>
      </c>
      <c r="H410" s="0" t="n">
        <f aca="false">RawFinancials!O410</f>
        <v>1178</v>
      </c>
      <c r="I410" s="0" t="n">
        <f aca="false">IF(AND(ISNUMBER(G410),ISNUMBER(H410)),G410+H410,"")</f>
        <v>1178</v>
      </c>
      <c r="J410" s="0" t="n">
        <f aca="false">RawFinancials!D410</f>
        <v>387033</v>
      </c>
      <c r="K410" s="0" t="n">
        <f aca="false">RawFinancials!F410</f>
        <v>65160</v>
      </c>
      <c r="L410" s="0" t="n">
        <f aca="false">RawFinancials!L410</f>
        <v>453372</v>
      </c>
      <c r="M410" s="0" t="n">
        <f aca="false">RawFinancials!N410</f>
        <v>388283</v>
      </c>
      <c r="N410" s="13" t="n">
        <f aca="false">RawFinancials!X410</f>
        <v>-0.189996164928387</v>
      </c>
      <c r="O410" s="13" t="n">
        <f aca="false">RawFinancials!V410</f>
        <v>21.059017196498</v>
      </c>
      <c r="P410" s="13" t="n">
        <f aca="false">IF(AND(ISNUMBER(L410),L410&lt;&gt;0,ISNUMBER(M410)),100*M410/L410,"")</f>
        <v>85.6433568901476</v>
      </c>
      <c r="Q410" s="13" t="n">
        <f aca="false">IF(AND(ISNUMBER(F410),F410&lt;&gt;0,ISNUMBER(K410)),100*K410/F410,"")</f>
        <v>12.0468785531913</v>
      </c>
      <c r="R410" s="11" t="b">
        <f aca="false">AND(ISNUMBER(F410),F410&gt;0,ISNUMBER(G410),G410&gt;=0,ISNUMBER(H410),H410&gt;=0)</f>
        <v>1</v>
      </c>
      <c r="S410" s="13" t="n">
        <f aca="false">IF(R410,100*I410/F410,"")</f>
        <v>0.217790407238481</v>
      </c>
      <c r="T410" s="11" t="b">
        <f aca="false">NOT(AND(OR(AND(ISBLANK(RawFinancials!B410),ISBLANK(_RawBaseline!B407)),AND(ISNUMBER(RawFinancials!B410),ISNUMBER(_RawBaseline!B407),RawFinancials!B410=_RawBaseline!B407)),OR(AND(ISBLANK(RawFinancials!U410),ISBLANK(_RawBaseline!U407)),AND(ISNUMBER(RawFinancials!U410),ISNUMBER(_RawBaseline!U407),RawFinancials!U410=_RawBaseline!U407)),OR(AND(ISBLANK(RawFinancials!O410),ISBLANK(_RawBaseline!O407)),AND(ISNUMBER(RawFinancials!O410),ISNUMBER(_RawBaseline!O407),RawFinancials!O410=_RawBaseline!O407))))</f>
        <v>0</v>
      </c>
      <c r="U410" s="13" t="n">
        <f aca="false">IF(AND(D410=WF_START_PERIOD,R410,COUNTIFS($B$5:$B$750,B410,$D$5:$D$750,WF_END_PERIOD,$R$5:$R$750,TRUE())&gt;0),SUMIFS($S$5:$S$750,$B$5:$B$750,B410,$D$5:$D$750,WF_END_PERIOD,$R$5:$R$750,TRUE()),0)</f>
        <v>0</v>
      </c>
      <c r="V410" s="0" t="str">
        <f aca="false">IF(AND(D410=WF_START_PERIOD,COUNTIFS($B$5:$B$750,B410,$D$5:$D$750,WF_END_PERIOD)&gt;0),INDEX($E$5:$E$750,MATCH(B410&amp;"|"&amp;WF_END_PERIOD,$AC$5:$AC$750,0)),"")</f>
        <v/>
      </c>
      <c r="W410" s="11" t="b">
        <f aca="false">COUNTIFS($B$5:$B$750,B410,$D$5:$D$750,WF_START_PERIOD,$R$5:$R$750,TRUE())&gt;0</f>
        <v>1</v>
      </c>
      <c r="X410" s="11" t="b">
        <f aca="false">COUNTIFS($B$5:$B$750,B410,$D$5:$D$750,WF_END_PERIOD,$R$5:$R$750,TRUE())&gt;0</f>
        <v>1</v>
      </c>
      <c r="Y410" s="0" t="str">
        <f aca="false">IF(AND(D410=WF_END_PERIOD,COUNTIFS($B$5:$B$750,B410,$D$5:$D$750,WF_START_PERIOD)&gt;0),INDEX($E$5:$E$750,MATCH(B410&amp;"|"&amp;WF_START_PERIOD,$AC$5:$AC$750,0)),"")</f>
        <v/>
      </c>
      <c r="Z410" s="0" t="str">
        <f aca="false">IF(AND(D410=WF_END_PERIOD,R410),1+COUNTIFS($D$5:$D$750,WF_END_PERIOD,$E$5:$E$750,E410,$R$5:$R$750,TRUE(),$S$5:$S$750,"&gt;"&amp;S410)+COUNTIFS($D$5:$D$750,WF_END_PERIOD,$E$5:$E$750,E410,$R$5:$R$750,TRUE(),$S$5:$S$750,S410,$B$5:$B$750,"&lt;"&amp;B410),"")</f>
        <v/>
      </c>
      <c r="AA410" s="0" t="str">
        <f aca="false">IF(AND(D410=WF_END_PERIOD,R410,Z410&lt;&gt;1),1+COUNTIFS($D$5:$D$750,WF_END_PERIOD,$R$5:$R$750,TRUE(),$Z$5:$Z$750,"&lt;&gt;1",$S$5:$S$750,"&gt;"&amp;S410)+COUNTIFS($D$5:$D$750,WF_END_PERIOD,$R$5:$R$750,TRUE(),$Z$5:$Z$750,"&lt;&gt;1",$S$5:$S$750,S410,$B$5:$B$750,"&lt;"&amp;B410),"")</f>
        <v/>
      </c>
      <c r="AB410" s="11" t="b">
        <f aca="false">OR(D410=WF_START_PERIOD,D410=WF_END_PERIOD)</f>
        <v>0</v>
      </c>
      <c r="AC410" s="0" t="str">
        <f aca="false">B410&amp;"|"&amp;D410</f>
        <v>27824|20231231</v>
      </c>
    </row>
    <row r="411" customFormat="false" ht="15" hidden="false" customHeight="false" outlineLevel="0" collapsed="false">
      <c r="A411" s="0" t="n">
        <f aca="false">RawFinancials!A411</f>
        <v>408</v>
      </c>
      <c r="B411" s="0" t="n">
        <f aca="false">RawFinancials!C411</f>
        <v>28155</v>
      </c>
      <c r="C411" s="0" t="str">
        <f aca="false">RawFinancials!P411</f>
        <v>PROFILE BANK</v>
      </c>
      <c r="D411" s="0" t="n">
        <f aca="false">RawFinancials!W411</f>
        <v>20231231</v>
      </c>
      <c r="E411" s="0" t="str">
        <f aca="false">RawFinancials!Z411</f>
        <v>NH</v>
      </c>
      <c r="F411" s="0" t="n">
        <f aca="false">RawFinancials!B411</f>
        <v>300333</v>
      </c>
      <c r="G411" s="0" t="n">
        <f aca="false">RawFinancials!U411</f>
        <v>0</v>
      </c>
      <c r="H411" s="0" t="n">
        <f aca="false">RawFinancials!O411</f>
        <v>0</v>
      </c>
      <c r="I411" s="0" t="n">
        <f aca="false">IF(AND(ISNUMBER(G411),ISNUMBER(H411)),G411+H411,"")</f>
        <v>0</v>
      </c>
      <c r="J411" s="0" t="n">
        <f aca="false">RawFinancials!D411</f>
        <v>262408</v>
      </c>
      <c r="K411" s="0" t="n">
        <f aca="false">RawFinancials!F411</f>
        <v>27418</v>
      </c>
      <c r="L411" s="0" t="n">
        <f aca="false">RawFinancials!L411</f>
        <v>167102</v>
      </c>
      <c r="M411" s="0" t="n">
        <f aca="false">RawFinancials!N411</f>
        <v>149453</v>
      </c>
      <c r="N411" s="13" t="n">
        <f aca="false">RawFinancials!X411</f>
        <v>-0.0555299835149543</v>
      </c>
      <c r="O411" s="13" t="n">
        <f aca="false">RawFinancials!V411</f>
        <v>17.465163376961</v>
      </c>
      <c r="P411" s="13" t="n">
        <f aca="false">IF(AND(ISNUMBER(L411),L411&lt;&gt;0,ISNUMBER(M411)),100*M411/L411,"")</f>
        <v>89.4381874543692</v>
      </c>
      <c r="Q411" s="13" t="n">
        <f aca="false">IF(AND(ISNUMBER(F411),F411&lt;&gt;0,ISNUMBER(K411)),100*K411/F411,"")</f>
        <v>9.12919992142056</v>
      </c>
      <c r="R411" s="11" t="b">
        <f aca="false">AND(ISNUMBER(F411),F411&gt;0,ISNUMBER(G411),G411&gt;=0,ISNUMBER(H411),H411&gt;=0)</f>
        <v>1</v>
      </c>
      <c r="S411" s="13" t="n">
        <f aca="false">IF(R411,100*I411/F411,"")</f>
        <v>0</v>
      </c>
      <c r="T411" s="11" t="b">
        <f aca="false">NOT(AND(OR(AND(ISBLANK(RawFinancials!B411),ISBLANK(_RawBaseline!B408)),AND(ISNUMBER(RawFinancials!B411),ISNUMBER(_RawBaseline!B408),RawFinancials!B411=_RawBaseline!B408)),OR(AND(ISBLANK(RawFinancials!U411),ISBLANK(_RawBaseline!U408)),AND(ISNUMBER(RawFinancials!U411),ISNUMBER(_RawBaseline!U408),RawFinancials!U411=_RawBaseline!U408)),OR(AND(ISBLANK(RawFinancials!O411),ISBLANK(_RawBaseline!O408)),AND(ISNUMBER(RawFinancials!O411),ISNUMBER(_RawBaseline!O408),RawFinancials!O411=_RawBaseline!O408))))</f>
        <v>0</v>
      </c>
      <c r="U411" s="13" t="n">
        <f aca="false">IF(AND(D411=WF_START_PERIOD,R411,COUNTIFS($B$5:$B$750,B411,$D$5:$D$750,WF_END_PERIOD,$R$5:$R$750,TRUE())&gt;0),SUMIFS($S$5:$S$750,$B$5:$B$750,B411,$D$5:$D$750,WF_END_PERIOD,$R$5:$R$750,TRUE()),0)</f>
        <v>0</v>
      </c>
      <c r="V411" s="0" t="str">
        <f aca="false">IF(AND(D411=WF_START_PERIOD,COUNTIFS($B$5:$B$750,B411,$D$5:$D$750,WF_END_PERIOD)&gt;0),INDEX($E$5:$E$750,MATCH(B411&amp;"|"&amp;WF_END_PERIOD,$AC$5:$AC$750,0)),"")</f>
        <v/>
      </c>
      <c r="W411" s="11" t="b">
        <f aca="false">COUNTIFS($B$5:$B$750,B411,$D$5:$D$750,WF_START_PERIOD,$R$5:$R$750,TRUE())&gt;0</f>
        <v>1</v>
      </c>
      <c r="X411" s="11" t="b">
        <f aca="false">COUNTIFS($B$5:$B$750,B411,$D$5:$D$750,WF_END_PERIOD,$R$5:$R$750,TRUE())&gt;0</f>
        <v>1</v>
      </c>
      <c r="Y411" s="0" t="str">
        <f aca="false">IF(AND(D411=WF_END_PERIOD,COUNTIFS($B$5:$B$750,B411,$D$5:$D$750,WF_START_PERIOD)&gt;0),INDEX($E$5:$E$750,MATCH(B411&amp;"|"&amp;WF_START_PERIOD,$AC$5:$AC$750,0)),"")</f>
        <v/>
      </c>
      <c r="Z411" s="0" t="str">
        <f aca="false">IF(AND(D411=WF_END_PERIOD,R411),1+COUNTIFS($D$5:$D$750,WF_END_PERIOD,$E$5:$E$750,E411,$R$5:$R$750,TRUE(),$S$5:$S$750,"&gt;"&amp;S411)+COUNTIFS($D$5:$D$750,WF_END_PERIOD,$E$5:$E$750,E411,$R$5:$R$750,TRUE(),$S$5:$S$750,S411,$B$5:$B$750,"&lt;"&amp;B411),"")</f>
        <v/>
      </c>
      <c r="AA411" s="0" t="str">
        <f aca="false">IF(AND(D411=WF_END_PERIOD,R411,Z411&lt;&gt;1),1+COUNTIFS($D$5:$D$750,WF_END_PERIOD,$R$5:$R$750,TRUE(),$Z$5:$Z$750,"&lt;&gt;1",$S$5:$S$750,"&gt;"&amp;S411)+COUNTIFS($D$5:$D$750,WF_END_PERIOD,$R$5:$R$750,TRUE(),$Z$5:$Z$750,"&lt;&gt;1",$S$5:$S$750,S411,$B$5:$B$750,"&lt;"&amp;B411),"")</f>
        <v/>
      </c>
      <c r="AB411" s="11" t="b">
        <f aca="false">OR(D411=WF_START_PERIOD,D411=WF_END_PERIOD)</f>
        <v>0</v>
      </c>
      <c r="AC411" s="0" t="str">
        <f aca="false">B411&amp;"|"&amp;D411</f>
        <v>28155|20231231</v>
      </c>
    </row>
    <row r="412" customFormat="false" ht="15" hidden="false" customHeight="false" outlineLevel="0" collapsed="false">
      <c r="A412" s="0" t="n">
        <f aca="false">RawFinancials!A412</f>
        <v>409</v>
      </c>
      <c r="B412" s="0" t="n">
        <f aca="false">RawFinancials!C412</f>
        <v>28288</v>
      </c>
      <c r="C412" s="0" t="str">
        <f aca="false">RawFinancials!P412</f>
        <v>AUBURN SAVINGS BANK, FSB</v>
      </c>
      <c r="D412" s="0" t="n">
        <f aca="false">RawFinancials!W412</f>
        <v>20231231</v>
      </c>
      <c r="E412" s="0" t="str">
        <f aca="false">RawFinancials!Z412</f>
        <v>ME</v>
      </c>
      <c r="F412" s="0" t="n">
        <f aca="false">RawFinancials!B412</f>
        <v>105413</v>
      </c>
      <c r="G412" s="0" t="n">
        <f aca="false">RawFinancials!U412</f>
        <v>0</v>
      </c>
      <c r="H412" s="0" t="n">
        <f aca="false">RawFinancials!O412</f>
        <v>257</v>
      </c>
      <c r="I412" s="0" t="n">
        <f aca="false">IF(AND(ISNUMBER(G412),ISNUMBER(H412)),G412+H412,"")</f>
        <v>257</v>
      </c>
      <c r="J412" s="0" t="n">
        <f aca="false">RawFinancials!D412</f>
        <v>79221</v>
      </c>
      <c r="K412" s="0" t="n">
        <f aca="false">RawFinancials!F412</f>
        <v>6044</v>
      </c>
      <c r="L412" s="0" t="n">
        <f aca="false">RawFinancials!L412</f>
        <v>84936</v>
      </c>
      <c r="M412" s="0" t="n">
        <f aca="false">RawFinancials!N412</f>
        <v>76865</v>
      </c>
      <c r="N412" s="13" t="n">
        <f aca="false">RawFinancials!X412</f>
        <v>-0.0661496616639364</v>
      </c>
      <c r="O412" s="13" t="n">
        <f aca="false">RawFinancials!V412</f>
        <v>12.817178197792</v>
      </c>
      <c r="P412" s="13" t="n">
        <f aca="false">IF(AND(ISNUMBER(L412),L412&lt;&gt;0,ISNUMBER(M412)),100*M412/L412,"")</f>
        <v>90.4975510972968</v>
      </c>
      <c r="Q412" s="13" t="n">
        <f aca="false">IF(AND(ISNUMBER(F412),F412&lt;&gt;0,ISNUMBER(K412)),100*K412/F412,"")</f>
        <v>5.7336381660706</v>
      </c>
      <c r="R412" s="11" t="b">
        <f aca="false">AND(ISNUMBER(F412),F412&gt;0,ISNUMBER(G412),G412&gt;=0,ISNUMBER(H412),H412&gt;=0)</f>
        <v>1</v>
      </c>
      <c r="S412" s="13" t="n">
        <f aca="false">IF(R412,100*I412/F412,"")</f>
        <v>0.243802946505649</v>
      </c>
      <c r="T412" s="11" t="b">
        <f aca="false">NOT(AND(OR(AND(ISBLANK(RawFinancials!B412),ISBLANK(_RawBaseline!B409)),AND(ISNUMBER(RawFinancials!B412),ISNUMBER(_RawBaseline!B409),RawFinancials!B412=_RawBaseline!B409)),OR(AND(ISBLANK(RawFinancials!U412),ISBLANK(_RawBaseline!U409)),AND(ISNUMBER(RawFinancials!U412),ISNUMBER(_RawBaseline!U409),RawFinancials!U412=_RawBaseline!U409)),OR(AND(ISBLANK(RawFinancials!O412),ISBLANK(_RawBaseline!O409)),AND(ISNUMBER(RawFinancials!O412),ISNUMBER(_RawBaseline!O409),RawFinancials!O412=_RawBaseline!O409))))</f>
        <v>0</v>
      </c>
      <c r="U412" s="13" t="n">
        <f aca="false">IF(AND(D412=WF_START_PERIOD,R412,COUNTIFS($B$5:$B$750,B412,$D$5:$D$750,WF_END_PERIOD,$R$5:$R$750,TRUE())&gt;0),SUMIFS($S$5:$S$750,$B$5:$B$750,B412,$D$5:$D$750,WF_END_PERIOD,$R$5:$R$750,TRUE()),0)</f>
        <v>0</v>
      </c>
      <c r="V412" s="0" t="str">
        <f aca="false">IF(AND(D412=WF_START_PERIOD,COUNTIFS($B$5:$B$750,B412,$D$5:$D$750,WF_END_PERIOD)&gt;0),INDEX($E$5:$E$750,MATCH(B412&amp;"|"&amp;WF_END_PERIOD,$AC$5:$AC$750,0)),"")</f>
        <v/>
      </c>
      <c r="W412" s="11" t="b">
        <f aca="false">COUNTIFS($B$5:$B$750,B412,$D$5:$D$750,WF_START_PERIOD,$R$5:$R$750,TRUE())&gt;0</f>
        <v>1</v>
      </c>
      <c r="X412" s="11" t="b">
        <f aca="false">COUNTIFS($B$5:$B$750,B412,$D$5:$D$750,WF_END_PERIOD,$R$5:$R$750,TRUE())&gt;0</f>
        <v>1</v>
      </c>
      <c r="Y412" s="0" t="str">
        <f aca="false">IF(AND(D412=WF_END_PERIOD,COUNTIFS($B$5:$B$750,B412,$D$5:$D$750,WF_START_PERIOD)&gt;0),INDEX($E$5:$E$750,MATCH(B412&amp;"|"&amp;WF_START_PERIOD,$AC$5:$AC$750,0)),"")</f>
        <v/>
      </c>
      <c r="Z412" s="0" t="str">
        <f aca="false">IF(AND(D412=WF_END_PERIOD,R412),1+COUNTIFS($D$5:$D$750,WF_END_PERIOD,$E$5:$E$750,E412,$R$5:$R$750,TRUE(),$S$5:$S$750,"&gt;"&amp;S412)+COUNTIFS($D$5:$D$750,WF_END_PERIOD,$E$5:$E$750,E412,$R$5:$R$750,TRUE(),$S$5:$S$750,S412,$B$5:$B$750,"&lt;"&amp;B412),"")</f>
        <v/>
      </c>
      <c r="AA412" s="0" t="str">
        <f aca="false">IF(AND(D412=WF_END_PERIOD,R412,Z412&lt;&gt;1),1+COUNTIFS($D$5:$D$750,WF_END_PERIOD,$R$5:$R$750,TRUE(),$Z$5:$Z$750,"&lt;&gt;1",$S$5:$S$750,"&gt;"&amp;S412)+COUNTIFS($D$5:$D$750,WF_END_PERIOD,$R$5:$R$750,TRUE(),$Z$5:$Z$750,"&lt;&gt;1",$S$5:$S$750,S412,$B$5:$B$750,"&lt;"&amp;B412),"")</f>
        <v/>
      </c>
      <c r="AB412" s="11" t="b">
        <f aca="false">OR(D412=WF_START_PERIOD,D412=WF_END_PERIOD)</f>
        <v>0</v>
      </c>
      <c r="AC412" s="0" t="str">
        <f aca="false">B412&amp;"|"&amp;D412</f>
        <v>28288|20231231</v>
      </c>
    </row>
    <row r="413" customFormat="false" ht="15" hidden="false" customHeight="false" outlineLevel="0" collapsed="false">
      <c r="A413" s="0" t="n">
        <f aca="false">RawFinancials!A413</f>
        <v>410</v>
      </c>
      <c r="B413" s="0" t="n">
        <f aca="false">RawFinancials!C413</f>
        <v>28369</v>
      </c>
      <c r="C413" s="0" t="str">
        <f aca="false">RawFinancials!P413</f>
        <v>ROCKLAND SAVINGS BANK, FSB</v>
      </c>
      <c r="D413" s="0" t="n">
        <f aca="false">RawFinancials!W413</f>
        <v>20231231</v>
      </c>
      <c r="E413" s="0" t="str">
        <f aca="false">RawFinancials!Z413</f>
        <v>ME</v>
      </c>
      <c r="F413" s="0" t="n">
        <f aca="false">RawFinancials!B413</f>
        <v>93947</v>
      </c>
      <c r="G413" s="0" t="n">
        <f aca="false">RawFinancials!U413</f>
        <v>0</v>
      </c>
      <c r="H413" s="0" t="n">
        <f aca="false">RawFinancials!O413</f>
        <v>178</v>
      </c>
      <c r="I413" s="0" t="n">
        <f aca="false">IF(AND(ISNUMBER(G413),ISNUMBER(H413)),G413+H413,"")</f>
        <v>178</v>
      </c>
      <c r="J413" s="0" t="n">
        <f aca="false">RawFinancials!D413</f>
        <v>77109</v>
      </c>
      <c r="K413" s="0" t="n">
        <f aca="false">RawFinancials!F413</f>
        <v>9350</v>
      </c>
      <c r="L413" s="0" t="n">
        <f aca="false">RawFinancials!L413</f>
        <v>78888</v>
      </c>
      <c r="M413" s="0" t="n">
        <f aca="false">RawFinancials!N413</f>
        <v>65888</v>
      </c>
      <c r="N413" s="13" t="n">
        <f aca="false">RawFinancials!X413</f>
        <v>-0.191016386958749</v>
      </c>
      <c r="O413" s="13" t="n">
        <f aca="false">RawFinancials!V413</f>
        <v>0</v>
      </c>
      <c r="P413" s="13" t="n">
        <f aca="false">IF(AND(ISNUMBER(L413),L413&lt;&gt;0,ISNUMBER(M413)),100*M413/L413,"")</f>
        <v>83.5209410810263</v>
      </c>
      <c r="Q413" s="13" t="n">
        <f aca="false">IF(AND(ISNUMBER(F413),F413&lt;&gt;0,ISNUMBER(K413)),100*K413/F413,"")</f>
        <v>9.95241998147892</v>
      </c>
      <c r="R413" s="11" t="b">
        <f aca="false">AND(ISNUMBER(F413),F413&gt;0,ISNUMBER(G413),G413&gt;=0,ISNUMBER(H413),H413&gt;=0)</f>
        <v>1</v>
      </c>
      <c r="S413" s="13" t="n">
        <f aca="false">IF(R413,100*I413/F413,"")</f>
        <v>0.18946853012869</v>
      </c>
      <c r="T413" s="11" t="b">
        <f aca="false">NOT(AND(OR(AND(ISBLANK(RawFinancials!B413),ISBLANK(_RawBaseline!B410)),AND(ISNUMBER(RawFinancials!B413),ISNUMBER(_RawBaseline!B410),RawFinancials!B413=_RawBaseline!B410)),OR(AND(ISBLANK(RawFinancials!U413),ISBLANK(_RawBaseline!U410)),AND(ISNUMBER(RawFinancials!U413),ISNUMBER(_RawBaseline!U410),RawFinancials!U413=_RawBaseline!U410)),OR(AND(ISBLANK(RawFinancials!O413),ISBLANK(_RawBaseline!O410)),AND(ISNUMBER(RawFinancials!O413),ISNUMBER(_RawBaseline!O410),RawFinancials!O413=_RawBaseline!O410))))</f>
        <v>0</v>
      </c>
      <c r="U413" s="13" t="n">
        <f aca="false">IF(AND(D413=WF_START_PERIOD,R413,COUNTIFS($B$5:$B$750,B413,$D$5:$D$750,WF_END_PERIOD,$R$5:$R$750,TRUE())&gt;0),SUMIFS($S$5:$S$750,$B$5:$B$750,B413,$D$5:$D$750,WF_END_PERIOD,$R$5:$R$750,TRUE()),0)</f>
        <v>0</v>
      </c>
      <c r="V413" s="0" t="str">
        <f aca="false">IF(AND(D413=WF_START_PERIOD,COUNTIFS($B$5:$B$750,B413,$D$5:$D$750,WF_END_PERIOD)&gt;0),INDEX($E$5:$E$750,MATCH(B413&amp;"|"&amp;WF_END_PERIOD,$AC$5:$AC$750,0)),"")</f>
        <v/>
      </c>
      <c r="W413" s="11" t="b">
        <f aca="false">COUNTIFS($B$5:$B$750,B413,$D$5:$D$750,WF_START_PERIOD,$R$5:$R$750,TRUE())&gt;0</f>
        <v>1</v>
      </c>
      <c r="X413" s="11" t="b">
        <f aca="false">COUNTIFS($B$5:$B$750,B413,$D$5:$D$750,WF_END_PERIOD,$R$5:$R$750,TRUE())&gt;0</f>
        <v>1</v>
      </c>
      <c r="Y413" s="0" t="str">
        <f aca="false">IF(AND(D413=WF_END_PERIOD,COUNTIFS($B$5:$B$750,B413,$D$5:$D$750,WF_START_PERIOD)&gt;0),INDEX($E$5:$E$750,MATCH(B413&amp;"|"&amp;WF_START_PERIOD,$AC$5:$AC$750,0)),"")</f>
        <v/>
      </c>
      <c r="Z413" s="0" t="str">
        <f aca="false">IF(AND(D413=WF_END_PERIOD,R413),1+COUNTIFS($D$5:$D$750,WF_END_PERIOD,$E$5:$E$750,E413,$R$5:$R$750,TRUE(),$S$5:$S$750,"&gt;"&amp;S413)+COUNTIFS($D$5:$D$750,WF_END_PERIOD,$E$5:$E$750,E413,$R$5:$R$750,TRUE(),$S$5:$S$750,S413,$B$5:$B$750,"&lt;"&amp;B413),"")</f>
        <v/>
      </c>
      <c r="AA413" s="0" t="str">
        <f aca="false">IF(AND(D413=WF_END_PERIOD,R413,Z413&lt;&gt;1),1+COUNTIFS($D$5:$D$750,WF_END_PERIOD,$R$5:$R$750,TRUE(),$Z$5:$Z$750,"&lt;&gt;1",$S$5:$S$750,"&gt;"&amp;S413)+COUNTIFS($D$5:$D$750,WF_END_PERIOD,$R$5:$R$750,TRUE(),$Z$5:$Z$750,"&lt;&gt;1",$S$5:$S$750,S413,$B$5:$B$750,"&lt;"&amp;B413),"")</f>
        <v/>
      </c>
      <c r="AB413" s="11" t="b">
        <f aca="false">OR(D413=WF_START_PERIOD,D413=WF_END_PERIOD)</f>
        <v>0</v>
      </c>
      <c r="AC413" s="0" t="str">
        <f aca="false">B413&amp;"|"&amp;D413</f>
        <v>28369|20231231</v>
      </c>
    </row>
    <row r="414" customFormat="false" ht="15" hidden="false" customHeight="false" outlineLevel="0" collapsed="false">
      <c r="A414" s="0" t="n">
        <f aca="false">RawFinancials!A414</f>
        <v>411</v>
      </c>
      <c r="B414" s="0" t="n">
        <f aca="false">RawFinancials!C414</f>
        <v>28837</v>
      </c>
      <c r="C414" s="0" t="str">
        <f aca="false">RawFinancials!P414</f>
        <v>THE BRATTLEBORO SAVINGS AND LOAN ASSOCIATION</v>
      </c>
      <c r="D414" s="0" t="n">
        <f aca="false">RawFinancials!W414</f>
        <v>20231231</v>
      </c>
      <c r="E414" s="0" t="str">
        <f aca="false">RawFinancials!Z414</f>
        <v>VT</v>
      </c>
      <c r="F414" s="0" t="n">
        <f aca="false">RawFinancials!B414</f>
        <v>285205</v>
      </c>
      <c r="G414" s="0" t="n">
        <f aca="false">RawFinancials!U414</f>
        <v>0</v>
      </c>
      <c r="H414" s="0" t="n">
        <f aca="false">RawFinancials!O414</f>
        <v>89</v>
      </c>
      <c r="I414" s="0" t="n">
        <f aca="false">IF(AND(ISNUMBER(G414),ISNUMBER(H414)),G414+H414,"")</f>
        <v>89</v>
      </c>
      <c r="J414" s="0" t="n">
        <f aca="false">RawFinancials!D414</f>
        <v>255839</v>
      </c>
      <c r="K414" s="0" t="n">
        <f aca="false">RawFinancials!F414</f>
        <v>26107</v>
      </c>
      <c r="L414" s="0" t="n">
        <f aca="false">RawFinancials!L414</f>
        <v>198536</v>
      </c>
      <c r="M414" s="0" t="n">
        <f aca="false">RawFinancials!N414</f>
        <v>190865</v>
      </c>
      <c r="N414" s="13" t="n">
        <f aca="false">RawFinancials!X414</f>
        <v>0.843499779821749</v>
      </c>
      <c r="O414" s="13" t="n">
        <f aca="false">RawFinancials!V414</f>
        <v>16.6032466838163</v>
      </c>
      <c r="P414" s="13" t="n">
        <f aca="false">IF(AND(ISNUMBER(L414),L414&lt;&gt;0,ISNUMBER(M414)),100*M414/L414,"")</f>
        <v>96.1362171092396</v>
      </c>
      <c r="Q414" s="13" t="n">
        <f aca="false">IF(AND(ISNUMBER(F414),F414&lt;&gt;0,ISNUMBER(K414)),100*K414/F414,"")</f>
        <v>9.15376658894479</v>
      </c>
      <c r="R414" s="11" t="b">
        <f aca="false">AND(ISNUMBER(F414),F414&gt;0,ISNUMBER(G414),G414&gt;=0,ISNUMBER(H414),H414&gt;=0)</f>
        <v>1</v>
      </c>
      <c r="S414" s="13" t="n">
        <f aca="false">IF(R414,100*I414/F414,"")</f>
        <v>0.0312056240248242</v>
      </c>
      <c r="T414" s="11" t="b">
        <f aca="false">NOT(AND(OR(AND(ISBLANK(RawFinancials!B414),ISBLANK(_RawBaseline!B411)),AND(ISNUMBER(RawFinancials!B414),ISNUMBER(_RawBaseline!B411),RawFinancials!B414=_RawBaseline!B411)),OR(AND(ISBLANK(RawFinancials!U414),ISBLANK(_RawBaseline!U411)),AND(ISNUMBER(RawFinancials!U414),ISNUMBER(_RawBaseline!U411),RawFinancials!U414=_RawBaseline!U411)),OR(AND(ISBLANK(RawFinancials!O414),ISBLANK(_RawBaseline!O411)),AND(ISNUMBER(RawFinancials!O414),ISNUMBER(_RawBaseline!O411),RawFinancials!O414=_RawBaseline!O411))))</f>
        <v>0</v>
      </c>
      <c r="U414" s="13" t="n">
        <f aca="false">IF(AND(D414=WF_START_PERIOD,R414,COUNTIFS($B$5:$B$750,B414,$D$5:$D$750,WF_END_PERIOD,$R$5:$R$750,TRUE())&gt;0),SUMIFS($S$5:$S$750,$B$5:$B$750,B414,$D$5:$D$750,WF_END_PERIOD,$R$5:$R$750,TRUE()),0)</f>
        <v>0</v>
      </c>
      <c r="V414" s="0" t="str">
        <f aca="false">IF(AND(D414=WF_START_PERIOD,COUNTIFS($B$5:$B$750,B414,$D$5:$D$750,WF_END_PERIOD)&gt;0),INDEX($E$5:$E$750,MATCH(B414&amp;"|"&amp;WF_END_PERIOD,$AC$5:$AC$750,0)),"")</f>
        <v/>
      </c>
      <c r="W414" s="11" t="b">
        <f aca="false">COUNTIFS($B$5:$B$750,B414,$D$5:$D$750,WF_START_PERIOD,$R$5:$R$750,TRUE())&gt;0</f>
        <v>1</v>
      </c>
      <c r="X414" s="11" t="b">
        <f aca="false">COUNTIFS($B$5:$B$750,B414,$D$5:$D$750,WF_END_PERIOD,$R$5:$R$750,TRUE())&gt;0</f>
        <v>1</v>
      </c>
      <c r="Y414" s="0" t="str">
        <f aca="false">IF(AND(D414=WF_END_PERIOD,COUNTIFS($B$5:$B$750,B414,$D$5:$D$750,WF_START_PERIOD)&gt;0),INDEX($E$5:$E$750,MATCH(B414&amp;"|"&amp;WF_START_PERIOD,$AC$5:$AC$750,0)),"")</f>
        <v/>
      </c>
      <c r="Z414" s="0" t="str">
        <f aca="false">IF(AND(D414=WF_END_PERIOD,R414),1+COUNTIFS($D$5:$D$750,WF_END_PERIOD,$E$5:$E$750,E414,$R$5:$R$750,TRUE(),$S$5:$S$750,"&gt;"&amp;S414)+COUNTIFS($D$5:$D$750,WF_END_PERIOD,$E$5:$E$750,E414,$R$5:$R$750,TRUE(),$S$5:$S$750,S414,$B$5:$B$750,"&lt;"&amp;B414),"")</f>
        <v/>
      </c>
      <c r="AA414" s="0" t="str">
        <f aca="false">IF(AND(D414=WF_END_PERIOD,R414,Z414&lt;&gt;1),1+COUNTIFS($D$5:$D$750,WF_END_PERIOD,$R$5:$R$750,TRUE(),$Z$5:$Z$750,"&lt;&gt;1",$S$5:$S$750,"&gt;"&amp;S414)+COUNTIFS($D$5:$D$750,WF_END_PERIOD,$R$5:$R$750,TRUE(),$Z$5:$Z$750,"&lt;&gt;1",$S$5:$S$750,S414,$B$5:$B$750,"&lt;"&amp;B414),"")</f>
        <v/>
      </c>
      <c r="AB414" s="11" t="b">
        <f aca="false">OR(D414=WF_START_PERIOD,D414=WF_END_PERIOD)</f>
        <v>0</v>
      </c>
      <c r="AC414" s="0" t="str">
        <f aca="false">B414&amp;"|"&amp;D414</f>
        <v>28837|20231231</v>
      </c>
    </row>
    <row r="415" customFormat="false" ht="15" hidden="false" customHeight="false" outlineLevel="0" collapsed="false">
      <c r="A415" s="0" t="n">
        <f aca="false">RawFinancials!A415</f>
        <v>412</v>
      </c>
      <c r="B415" s="0" t="n">
        <f aca="false">RawFinancials!C415</f>
        <v>29636</v>
      </c>
      <c r="C415" s="0" t="str">
        <f aca="false">RawFinancials!P415</f>
        <v>FIRST FEDERAL SAVINGS AND LOAN ASSOCIATION OF BATH</v>
      </c>
      <c r="D415" s="0" t="n">
        <f aca="false">RawFinancials!W415</f>
        <v>20231231</v>
      </c>
      <c r="E415" s="0" t="str">
        <f aca="false">RawFinancials!Z415</f>
        <v>ME</v>
      </c>
      <c r="F415" s="0" t="n">
        <f aca="false">RawFinancials!B415</f>
        <v>179139</v>
      </c>
      <c r="G415" s="0" t="n">
        <f aca="false">RawFinancials!U415</f>
        <v>0</v>
      </c>
      <c r="H415" s="0" t="n">
        <f aca="false">RawFinancials!O415</f>
        <v>1361</v>
      </c>
      <c r="I415" s="0" t="n">
        <f aca="false">IF(AND(ISNUMBER(G415),ISNUMBER(H415)),G415+H415,"")</f>
        <v>1361</v>
      </c>
      <c r="J415" s="0" t="n">
        <f aca="false">RawFinancials!D415</f>
        <v>140257</v>
      </c>
      <c r="K415" s="0" t="n">
        <f aca="false">RawFinancials!F415</f>
        <v>25841</v>
      </c>
      <c r="L415" s="0" t="n">
        <f aca="false">RawFinancials!L415</f>
        <v>134978</v>
      </c>
      <c r="M415" s="0" t="n">
        <f aca="false">RawFinancials!N415</f>
        <v>131783</v>
      </c>
      <c r="N415" s="13" t="n">
        <f aca="false">RawFinancials!X415</f>
        <v>0.411731485018589</v>
      </c>
      <c r="O415" s="13" t="n">
        <f aca="false">RawFinancials!V415</f>
        <v>27.101782005029</v>
      </c>
      <c r="P415" s="13" t="n">
        <f aca="false">IF(AND(ISNUMBER(L415),L415&lt;&gt;0,ISNUMBER(M415)),100*M415/L415,"")</f>
        <v>97.6329475914594</v>
      </c>
      <c r="Q415" s="13" t="n">
        <f aca="false">IF(AND(ISNUMBER(F415),F415&lt;&gt;0,ISNUMBER(K415)),100*K415/F415,"")</f>
        <v>14.4251112264778</v>
      </c>
      <c r="R415" s="11" t="b">
        <f aca="false">AND(ISNUMBER(F415),F415&gt;0,ISNUMBER(G415),G415&gt;=0,ISNUMBER(H415),H415&gt;=0)</f>
        <v>1</v>
      </c>
      <c r="S415" s="13" t="n">
        <f aca="false">IF(R415,100*I415/F415,"")</f>
        <v>0.759745225774399</v>
      </c>
      <c r="T415" s="11" t="b">
        <f aca="false">NOT(AND(OR(AND(ISBLANK(RawFinancials!B415),ISBLANK(_RawBaseline!B412)),AND(ISNUMBER(RawFinancials!B415),ISNUMBER(_RawBaseline!B412),RawFinancials!B415=_RawBaseline!B412)),OR(AND(ISBLANK(RawFinancials!U415),ISBLANK(_RawBaseline!U412)),AND(ISNUMBER(RawFinancials!U415),ISNUMBER(_RawBaseline!U412),RawFinancials!U415=_RawBaseline!U412)),OR(AND(ISBLANK(RawFinancials!O415),ISBLANK(_RawBaseline!O412)),AND(ISNUMBER(RawFinancials!O415),ISNUMBER(_RawBaseline!O412),RawFinancials!O415=_RawBaseline!O412))))</f>
        <v>0</v>
      </c>
      <c r="U415" s="13" t="n">
        <f aca="false">IF(AND(D415=WF_START_PERIOD,R415,COUNTIFS($B$5:$B$750,B415,$D$5:$D$750,WF_END_PERIOD,$R$5:$R$750,TRUE())&gt;0),SUMIFS($S$5:$S$750,$B$5:$B$750,B415,$D$5:$D$750,WF_END_PERIOD,$R$5:$R$750,TRUE()),0)</f>
        <v>0</v>
      </c>
      <c r="V415" s="0" t="str">
        <f aca="false">IF(AND(D415=WF_START_PERIOD,COUNTIFS($B$5:$B$750,B415,$D$5:$D$750,WF_END_PERIOD)&gt;0),INDEX($E$5:$E$750,MATCH(B415&amp;"|"&amp;WF_END_PERIOD,$AC$5:$AC$750,0)),"")</f>
        <v/>
      </c>
      <c r="W415" s="11" t="b">
        <f aca="false">COUNTIFS($B$5:$B$750,B415,$D$5:$D$750,WF_START_PERIOD,$R$5:$R$750,TRUE())&gt;0</f>
        <v>1</v>
      </c>
      <c r="X415" s="11" t="b">
        <f aca="false">COUNTIFS($B$5:$B$750,B415,$D$5:$D$750,WF_END_PERIOD,$R$5:$R$750,TRUE())&gt;0</f>
        <v>1</v>
      </c>
      <c r="Y415" s="0" t="str">
        <f aca="false">IF(AND(D415=WF_END_PERIOD,COUNTIFS($B$5:$B$750,B415,$D$5:$D$750,WF_START_PERIOD)&gt;0),INDEX($E$5:$E$750,MATCH(B415&amp;"|"&amp;WF_START_PERIOD,$AC$5:$AC$750,0)),"")</f>
        <v/>
      </c>
      <c r="Z415" s="0" t="str">
        <f aca="false">IF(AND(D415=WF_END_PERIOD,R415),1+COUNTIFS($D$5:$D$750,WF_END_PERIOD,$E$5:$E$750,E415,$R$5:$R$750,TRUE(),$S$5:$S$750,"&gt;"&amp;S415)+COUNTIFS($D$5:$D$750,WF_END_PERIOD,$E$5:$E$750,E415,$R$5:$R$750,TRUE(),$S$5:$S$750,S415,$B$5:$B$750,"&lt;"&amp;B415),"")</f>
        <v/>
      </c>
      <c r="AA415" s="0" t="str">
        <f aca="false">IF(AND(D415=WF_END_PERIOD,R415,Z415&lt;&gt;1),1+COUNTIFS($D$5:$D$750,WF_END_PERIOD,$R$5:$R$750,TRUE(),$Z$5:$Z$750,"&lt;&gt;1",$S$5:$S$750,"&gt;"&amp;S415)+COUNTIFS($D$5:$D$750,WF_END_PERIOD,$R$5:$R$750,TRUE(),$Z$5:$Z$750,"&lt;&gt;1",$S$5:$S$750,S415,$B$5:$B$750,"&lt;"&amp;B415),"")</f>
        <v/>
      </c>
      <c r="AB415" s="11" t="b">
        <f aca="false">OR(D415=WF_START_PERIOD,D415=WF_END_PERIOD)</f>
        <v>0</v>
      </c>
      <c r="AC415" s="0" t="str">
        <f aca="false">B415&amp;"|"&amp;D415</f>
        <v>29636|20231231</v>
      </c>
    </row>
    <row r="416" customFormat="false" ht="15" hidden="false" customHeight="false" outlineLevel="0" collapsed="false">
      <c r="A416" s="0" t="n">
        <f aca="false">RawFinancials!A416</f>
        <v>413</v>
      </c>
      <c r="B416" s="0" t="n">
        <f aca="false">RawFinancials!C416</f>
        <v>29743</v>
      </c>
      <c r="C416" s="0" t="str">
        <f aca="false">RawFinancials!P416</f>
        <v>AROOSTOOK COUNTY FEDERAL SAVINGS AND LOAN ASSOCIATION</v>
      </c>
      <c r="D416" s="0" t="n">
        <f aca="false">RawFinancials!W416</f>
        <v>20231231</v>
      </c>
      <c r="E416" s="0" t="str">
        <f aca="false">RawFinancials!Z416</f>
        <v>ME</v>
      </c>
      <c r="F416" s="0" t="n">
        <f aca="false">RawFinancials!B416</f>
        <v>188129</v>
      </c>
      <c r="G416" s="0" t="n">
        <f aca="false">RawFinancials!U416</f>
        <v>0</v>
      </c>
      <c r="H416" s="0" t="n">
        <f aca="false">RawFinancials!O416</f>
        <v>436</v>
      </c>
      <c r="I416" s="0" t="n">
        <f aca="false">IF(AND(ISNUMBER(G416),ISNUMBER(H416)),G416+H416,"")</f>
        <v>436</v>
      </c>
      <c r="J416" s="0" t="n">
        <f aca="false">RawFinancials!D416</f>
        <v>163831</v>
      </c>
      <c r="K416" s="0" t="n">
        <f aca="false">RawFinancials!F416</f>
        <v>16795</v>
      </c>
      <c r="L416" s="0" t="n">
        <f aca="false">RawFinancials!L416</f>
        <v>133848</v>
      </c>
      <c r="M416" s="0" t="n">
        <f aca="false">RawFinancials!N416</f>
        <v>85948</v>
      </c>
      <c r="N416" s="13" t="n">
        <f aca="false">RawFinancials!X416</f>
        <v>0.530724484627272</v>
      </c>
      <c r="O416" s="13" t="n">
        <f aca="false">RawFinancials!V416</f>
        <v>17.8279612561101</v>
      </c>
      <c r="P416" s="13" t="n">
        <f aca="false">IF(AND(ISNUMBER(L416),L416&lt;&gt;0,ISNUMBER(M416)),100*M416/L416,"")</f>
        <v>64.2131372900604</v>
      </c>
      <c r="Q416" s="13" t="n">
        <f aca="false">IF(AND(ISNUMBER(F416),F416&lt;&gt;0,ISNUMBER(K416)),100*K416/F416,"")</f>
        <v>8.92738493267917</v>
      </c>
      <c r="R416" s="11" t="b">
        <f aca="false">AND(ISNUMBER(F416),F416&gt;0,ISNUMBER(G416),G416&gt;=0,ISNUMBER(H416),H416&gt;=0)</f>
        <v>1</v>
      </c>
      <c r="S416" s="13" t="n">
        <f aca="false">IF(R416,100*I416/F416,"")</f>
        <v>0.231755869642639</v>
      </c>
      <c r="T416" s="11" t="b">
        <f aca="false">NOT(AND(OR(AND(ISBLANK(RawFinancials!B416),ISBLANK(_RawBaseline!B413)),AND(ISNUMBER(RawFinancials!B416),ISNUMBER(_RawBaseline!B413),RawFinancials!B416=_RawBaseline!B413)),OR(AND(ISBLANK(RawFinancials!U416),ISBLANK(_RawBaseline!U413)),AND(ISNUMBER(RawFinancials!U416),ISNUMBER(_RawBaseline!U413),RawFinancials!U416=_RawBaseline!U413)),OR(AND(ISBLANK(RawFinancials!O416),ISBLANK(_RawBaseline!O413)),AND(ISNUMBER(RawFinancials!O416),ISNUMBER(_RawBaseline!O413),RawFinancials!O416=_RawBaseline!O413))))</f>
        <v>0</v>
      </c>
      <c r="U416" s="13" t="n">
        <f aca="false">IF(AND(D416=WF_START_PERIOD,R416,COUNTIFS($B$5:$B$750,B416,$D$5:$D$750,WF_END_PERIOD,$R$5:$R$750,TRUE())&gt;0),SUMIFS($S$5:$S$750,$B$5:$B$750,B416,$D$5:$D$750,WF_END_PERIOD,$R$5:$R$750,TRUE()),0)</f>
        <v>0</v>
      </c>
      <c r="V416" s="0" t="str">
        <f aca="false">IF(AND(D416=WF_START_PERIOD,COUNTIFS($B$5:$B$750,B416,$D$5:$D$750,WF_END_PERIOD)&gt;0),INDEX($E$5:$E$750,MATCH(B416&amp;"|"&amp;WF_END_PERIOD,$AC$5:$AC$750,0)),"")</f>
        <v/>
      </c>
      <c r="W416" s="11" t="b">
        <f aca="false">COUNTIFS($B$5:$B$750,B416,$D$5:$D$750,WF_START_PERIOD,$R$5:$R$750,TRUE())&gt;0</f>
        <v>1</v>
      </c>
      <c r="X416" s="11" t="b">
        <f aca="false">COUNTIFS($B$5:$B$750,B416,$D$5:$D$750,WF_END_PERIOD,$R$5:$R$750,TRUE())&gt;0</f>
        <v>1</v>
      </c>
      <c r="Y416" s="0" t="str">
        <f aca="false">IF(AND(D416=WF_END_PERIOD,COUNTIFS($B$5:$B$750,B416,$D$5:$D$750,WF_START_PERIOD)&gt;0),INDEX($E$5:$E$750,MATCH(B416&amp;"|"&amp;WF_START_PERIOD,$AC$5:$AC$750,0)),"")</f>
        <v/>
      </c>
      <c r="Z416" s="0" t="str">
        <f aca="false">IF(AND(D416=WF_END_PERIOD,R416),1+COUNTIFS($D$5:$D$750,WF_END_PERIOD,$E$5:$E$750,E416,$R$5:$R$750,TRUE(),$S$5:$S$750,"&gt;"&amp;S416)+COUNTIFS($D$5:$D$750,WF_END_PERIOD,$E$5:$E$750,E416,$R$5:$R$750,TRUE(),$S$5:$S$750,S416,$B$5:$B$750,"&lt;"&amp;B416),"")</f>
        <v/>
      </c>
      <c r="AA416" s="0" t="str">
        <f aca="false">IF(AND(D416=WF_END_PERIOD,R416,Z416&lt;&gt;1),1+COUNTIFS($D$5:$D$750,WF_END_PERIOD,$R$5:$R$750,TRUE(),$Z$5:$Z$750,"&lt;&gt;1",$S$5:$S$750,"&gt;"&amp;S416)+COUNTIFS($D$5:$D$750,WF_END_PERIOD,$R$5:$R$750,TRUE(),$Z$5:$Z$750,"&lt;&gt;1",$S$5:$S$750,S416,$B$5:$B$750,"&lt;"&amp;B416),"")</f>
        <v/>
      </c>
      <c r="AB416" s="11" t="b">
        <f aca="false">OR(D416=WF_START_PERIOD,D416=WF_END_PERIOD)</f>
        <v>0</v>
      </c>
      <c r="AC416" s="0" t="str">
        <f aca="false">B416&amp;"|"&amp;D416</f>
        <v>29743|20231231</v>
      </c>
    </row>
    <row r="417" customFormat="false" ht="15" hidden="false" customHeight="false" outlineLevel="0" collapsed="false">
      <c r="A417" s="0" t="n">
        <f aca="false">RawFinancials!A417</f>
        <v>414</v>
      </c>
      <c r="B417" s="0" t="n">
        <f aca="false">RawFinancials!C417</f>
        <v>29744</v>
      </c>
      <c r="C417" s="0" t="str">
        <f aca="false">RawFinancials!P417</f>
        <v>FIRST SEACOAST BANK</v>
      </c>
      <c r="D417" s="0" t="n">
        <f aca="false">RawFinancials!W417</f>
        <v>20231231</v>
      </c>
      <c r="E417" s="0" t="str">
        <f aca="false">RawFinancials!Z417</f>
        <v>NH</v>
      </c>
      <c r="F417" s="0" t="n">
        <f aca="false">RawFinancials!B417</f>
        <v>571301</v>
      </c>
      <c r="G417" s="0" t="n">
        <f aca="false">RawFinancials!U417</f>
        <v>0</v>
      </c>
      <c r="H417" s="0" t="n">
        <f aca="false">RawFinancials!O417</f>
        <v>141</v>
      </c>
      <c r="I417" s="0" t="n">
        <f aca="false">IF(AND(ISNUMBER(G417),ISNUMBER(H417)),G417+H417,"")</f>
        <v>141</v>
      </c>
      <c r="J417" s="0" t="n">
        <f aca="false">RawFinancials!D417</f>
        <v>426673</v>
      </c>
      <c r="K417" s="0" t="n">
        <f aca="false">RawFinancials!F417</f>
        <v>46181</v>
      </c>
      <c r="L417" s="0" t="n">
        <f aca="false">RawFinancials!L417</f>
        <v>429667</v>
      </c>
      <c r="M417" s="0" t="n">
        <f aca="false">RawFinancials!N417</f>
        <v>394330</v>
      </c>
      <c r="N417" s="13" t="n">
        <f aca="false">RawFinancials!X417</f>
        <v>-1.92589358136684</v>
      </c>
      <c r="O417" s="13" t="n">
        <f aca="false">RawFinancials!V417</f>
        <v>15.3066612398453</v>
      </c>
      <c r="P417" s="13" t="n">
        <f aca="false">IF(AND(ISNUMBER(L417),L417&lt;&gt;0,ISNUMBER(M417)),100*M417/L417,"")</f>
        <v>91.7757239909046</v>
      </c>
      <c r="Q417" s="13" t="n">
        <f aca="false">IF(AND(ISNUMBER(F417),F417&lt;&gt;0,ISNUMBER(K417)),100*K417/F417,"")</f>
        <v>8.08347963682892</v>
      </c>
      <c r="R417" s="11" t="b">
        <f aca="false">AND(ISNUMBER(F417),F417&gt;0,ISNUMBER(G417),G417&gt;=0,ISNUMBER(H417),H417&gt;=0)</f>
        <v>1</v>
      </c>
      <c r="S417" s="13" t="n">
        <f aca="false">IF(R417,100*I417/F417,"")</f>
        <v>0.0246805099238405</v>
      </c>
      <c r="T417" s="11" t="b">
        <f aca="false">NOT(AND(OR(AND(ISBLANK(RawFinancials!B417),ISBLANK(_RawBaseline!B414)),AND(ISNUMBER(RawFinancials!B417),ISNUMBER(_RawBaseline!B414),RawFinancials!B417=_RawBaseline!B414)),OR(AND(ISBLANK(RawFinancials!U417),ISBLANK(_RawBaseline!U414)),AND(ISNUMBER(RawFinancials!U417),ISNUMBER(_RawBaseline!U414),RawFinancials!U417=_RawBaseline!U414)),OR(AND(ISBLANK(RawFinancials!O417),ISBLANK(_RawBaseline!O414)),AND(ISNUMBER(RawFinancials!O417),ISNUMBER(_RawBaseline!O414),RawFinancials!O417=_RawBaseline!O414))))</f>
        <v>0</v>
      </c>
      <c r="U417" s="13" t="n">
        <f aca="false">IF(AND(D417=WF_START_PERIOD,R417,COUNTIFS($B$5:$B$750,B417,$D$5:$D$750,WF_END_PERIOD,$R$5:$R$750,TRUE())&gt;0),SUMIFS($S$5:$S$750,$B$5:$B$750,B417,$D$5:$D$750,WF_END_PERIOD,$R$5:$R$750,TRUE()),0)</f>
        <v>0</v>
      </c>
      <c r="V417" s="0" t="str">
        <f aca="false">IF(AND(D417=WF_START_PERIOD,COUNTIFS($B$5:$B$750,B417,$D$5:$D$750,WF_END_PERIOD)&gt;0),INDEX($E$5:$E$750,MATCH(B417&amp;"|"&amp;WF_END_PERIOD,$AC$5:$AC$750,0)),"")</f>
        <v/>
      </c>
      <c r="W417" s="11" t="b">
        <f aca="false">COUNTIFS($B$5:$B$750,B417,$D$5:$D$750,WF_START_PERIOD,$R$5:$R$750,TRUE())&gt;0</f>
        <v>1</v>
      </c>
      <c r="X417" s="11" t="b">
        <f aca="false">COUNTIFS($B$5:$B$750,B417,$D$5:$D$750,WF_END_PERIOD,$R$5:$R$750,TRUE())&gt;0</f>
        <v>1</v>
      </c>
      <c r="Y417" s="0" t="str">
        <f aca="false">IF(AND(D417=WF_END_PERIOD,COUNTIFS($B$5:$B$750,B417,$D$5:$D$750,WF_START_PERIOD)&gt;0),INDEX($E$5:$E$750,MATCH(B417&amp;"|"&amp;WF_START_PERIOD,$AC$5:$AC$750,0)),"")</f>
        <v/>
      </c>
      <c r="Z417" s="0" t="str">
        <f aca="false">IF(AND(D417=WF_END_PERIOD,R417),1+COUNTIFS($D$5:$D$750,WF_END_PERIOD,$E$5:$E$750,E417,$R$5:$R$750,TRUE(),$S$5:$S$750,"&gt;"&amp;S417)+COUNTIFS($D$5:$D$750,WF_END_PERIOD,$E$5:$E$750,E417,$R$5:$R$750,TRUE(),$S$5:$S$750,S417,$B$5:$B$750,"&lt;"&amp;B417),"")</f>
        <v/>
      </c>
      <c r="AA417" s="0" t="str">
        <f aca="false">IF(AND(D417=WF_END_PERIOD,R417,Z417&lt;&gt;1),1+COUNTIFS($D$5:$D$750,WF_END_PERIOD,$R$5:$R$750,TRUE(),$Z$5:$Z$750,"&lt;&gt;1",$S$5:$S$750,"&gt;"&amp;S417)+COUNTIFS($D$5:$D$750,WF_END_PERIOD,$R$5:$R$750,TRUE(),$Z$5:$Z$750,"&lt;&gt;1",$S$5:$S$750,S417,$B$5:$B$750,"&lt;"&amp;B417),"")</f>
        <v/>
      </c>
      <c r="AB417" s="11" t="b">
        <f aca="false">OR(D417=WF_START_PERIOD,D417=WF_END_PERIOD)</f>
        <v>0</v>
      </c>
      <c r="AC417" s="0" t="str">
        <f aca="false">B417&amp;"|"&amp;D417</f>
        <v>29744|20231231</v>
      </c>
    </row>
    <row r="418" customFormat="false" ht="15" hidden="false" customHeight="false" outlineLevel="0" collapsed="false">
      <c r="A418" s="0" t="n">
        <f aca="false">RawFinancials!A418</f>
        <v>415</v>
      </c>
      <c r="B418" s="0" t="n">
        <f aca="false">RawFinancials!C418</f>
        <v>30350</v>
      </c>
      <c r="C418" s="0" t="str">
        <f aca="false">RawFinancials!P418</f>
        <v>THE BANK OF BENNINGTON</v>
      </c>
      <c r="D418" s="0" t="n">
        <f aca="false">RawFinancials!W418</f>
        <v>20231231</v>
      </c>
      <c r="E418" s="0" t="str">
        <f aca="false">RawFinancials!Z418</f>
        <v>VT</v>
      </c>
      <c r="F418" s="0" t="n">
        <f aca="false">RawFinancials!B418</f>
        <v>552031</v>
      </c>
      <c r="G418" s="0" t="n">
        <f aca="false">RawFinancials!U418</f>
        <v>0</v>
      </c>
      <c r="H418" s="0" t="n">
        <f aca="false">RawFinancials!O418</f>
        <v>2020</v>
      </c>
      <c r="I418" s="0" t="n">
        <f aca="false">IF(AND(ISNUMBER(G418),ISNUMBER(H418)),G418+H418,"")</f>
        <v>2020</v>
      </c>
      <c r="J418" s="0" t="n">
        <f aca="false">RawFinancials!D418</f>
        <v>441306</v>
      </c>
      <c r="K418" s="0" t="n">
        <f aca="false">RawFinancials!F418</f>
        <v>56419</v>
      </c>
      <c r="L418" s="0" t="n">
        <f aca="false">RawFinancials!L418</f>
        <v>403381</v>
      </c>
      <c r="M418" s="0" t="n">
        <f aca="false">RawFinancials!N418</f>
        <v>383810</v>
      </c>
      <c r="N418" s="13" t="n">
        <f aca="false">RawFinancials!X418</f>
        <v>0.694638101857137</v>
      </c>
      <c r="O418" s="13" t="n">
        <f aca="false">RawFinancials!V418</f>
        <v>20.7187970391521</v>
      </c>
      <c r="P418" s="13" t="n">
        <f aca="false">IF(AND(ISNUMBER(L418),L418&lt;&gt;0,ISNUMBER(M418)),100*M418/L418,"")</f>
        <v>95.148259337946</v>
      </c>
      <c r="Q418" s="13" t="n">
        <f aca="false">IF(AND(ISNUMBER(F418),F418&lt;&gt;0,ISNUMBER(K418)),100*K418/F418,"")</f>
        <v>10.2202593694919</v>
      </c>
      <c r="R418" s="11" t="b">
        <f aca="false">AND(ISNUMBER(F418),F418&gt;0,ISNUMBER(G418),G418&gt;=0,ISNUMBER(H418),H418&gt;=0)</f>
        <v>1</v>
      </c>
      <c r="S418" s="13" t="n">
        <f aca="false">IF(R418,100*I418/F418,"")</f>
        <v>0.365921479047372</v>
      </c>
      <c r="T418" s="11" t="b">
        <f aca="false">NOT(AND(OR(AND(ISBLANK(RawFinancials!B418),ISBLANK(_RawBaseline!B415)),AND(ISNUMBER(RawFinancials!B418),ISNUMBER(_RawBaseline!B415),RawFinancials!B418=_RawBaseline!B415)),OR(AND(ISBLANK(RawFinancials!U418),ISBLANK(_RawBaseline!U415)),AND(ISNUMBER(RawFinancials!U418),ISNUMBER(_RawBaseline!U415),RawFinancials!U418=_RawBaseline!U415)),OR(AND(ISBLANK(RawFinancials!O418),ISBLANK(_RawBaseline!O415)),AND(ISNUMBER(RawFinancials!O418),ISNUMBER(_RawBaseline!O415),RawFinancials!O418=_RawBaseline!O415))))</f>
        <v>0</v>
      </c>
      <c r="U418" s="13" t="n">
        <f aca="false">IF(AND(D418=WF_START_PERIOD,R418,COUNTIFS($B$5:$B$750,B418,$D$5:$D$750,WF_END_PERIOD,$R$5:$R$750,TRUE())&gt;0),SUMIFS($S$5:$S$750,$B$5:$B$750,B418,$D$5:$D$750,WF_END_PERIOD,$R$5:$R$750,TRUE()),0)</f>
        <v>0</v>
      </c>
      <c r="V418" s="0" t="str">
        <f aca="false">IF(AND(D418=WF_START_PERIOD,COUNTIFS($B$5:$B$750,B418,$D$5:$D$750,WF_END_PERIOD)&gt;0),INDEX($E$5:$E$750,MATCH(B418&amp;"|"&amp;WF_END_PERIOD,$AC$5:$AC$750,0)),"")</f>
        <v/>
      </c>
      <c r="W418" s="11" t="b">
        <f aca="false">COUNTIFS($B$5:$B$750,B418,$D$5:$D$750,WF_START_PERIOD,$R$5:$R$750,TRUE())&gt;0</f>
        <v>1</v>
      </c>
      <c r="X418" s="11" t="b">
        <f aca="false">COUNTIFS($B$5:$B$750,B418,$D$5:$D$750,WF_END_PERIOD,$R$5:$R$750,TRUE())&gt;0</f>
        <v>1</v>
      </c>
      <c r="Y418" s="0" t="str">
        <f aca="false">IF(AND(D418=WF_END_PERIOD,COUNTIFS($B$5:$B$750,B418,$D$5:$D$750,WF_START_PERIOD)&gt;0),INDEX($E$5:$E$750,MATCH(B418&amp;"|"&amp;WF_START_PERIOD,$AC$5:$AC$750,0)),"")</f>
        <v/>
      </c>
      <c r="Z418" s="0" t="str">
        <f aca="false">IF(AND(D418=WF_END_PERIOD,R418),1+COUNTIFS($D$5:$D$750,WF_END_PERIOD,$E$5:$E$750,E418,$R$5:$R$750,TRUE(),$S$5:$S$750,"&gt;"&amp;S418)+COUNTIFS($D$5:$D$750,WF_END_PERIOD,$E$5:$E$750,E418,$R$5:$R$750,TRUE(),$S$5:$S$750,S418,$B$5:$B$750,"&lt;"&amp;B418),"")</f>
        <v/>
      </c>
      <c r="AA418" s="0" t="str">
        <f aca="false">IF(AND(D418=WF_END_PERIOD,R418,Z418&lt;&gt;1),1+COUNTIFS($D$5:$D$750,WF_END_PERIOD,$R$5:$R$750,TRUE(),$Z$5:$Z$750,"&lt;&gt;1",$S$5:$S$750,"&gt;"&amp;S418)+COUNTIFS($D$5:$D$750,WF_END_PERIOD,$R$5:$R$750,TRUE(),$Z$5:$Z$750,"&lt;&gt;1",$S$5:$S$750,S418,$B$5:$B$750,"&lt;"&amp;B418),"")</f>
        <v/>
      </c>
      <c r="AB418" s="11" t="b">
        <f aca="false">OR(D418=WF_START_PERIOD,D418=WF_END_PERIOD)</f>
        <v>0</v>
      </c>
      <c r="AC418" s="0" t="str">
        <f aca="false">B418&amp;"|"&amp;D418</f>
        <v>30350|20231231</v>
      </c>
    </row>
    <row r="419" customFormat="false" ht="15" hidden="false" customHeight="false" outlineLevel="0" collapsed="false">
      <c r="A419" s="0" t="n">
        <f aca="false">RawFinancials!A419</f>
        <v>416</v>
      </c>
      <c r="B419" s="0" t="n">
        <f aca="false">RawFinancials!C419</f>
        <v>30878</v>
      </c>
      <c r="C419" s="0" t="str">
        <f aca="false">RawFinancials!P419</f>
        <v>BAR HARBOR SAVINGS AND LOAN ASSOCIATION</v>
      </c>
      <c r="D419" s="0" t="n">
        <f aca="false">RawFinancials!W419</f>
        <v>20231231</v>
      </c>
      <c r="E419" s="0" t="str">
        <f aca="false">RawFinancials!Z419</f>
        <v>ME</v>
      </c>
      <c r="F419" s="0" t="n">
        <f aca="false">RawFinancials!B419</f>
        <v>105203</v>
      </c>
      <c r="G419" s="0" t="n">
        <f aca="false">RawFinancials!U419</f>
        <v>0</v>
      </c>
      <c r="H419" s="0" t="n">
        <f aca="false">RawFinancials!O419</f>
        <v>584</v>
      </c>
      <c r="I419" s="0" t="n">
        <f aca="false">IF(AND(ISNUMBER(G419),ISNUMBER(H419)),G419+H419,"")</f>
        <v>584</v>
      </c>
      <c r="J419" s="0" t="n">
        <f aca="false">RawFinancials!D419</f>
        <v>73899</v>
      </c>
      <c r="K419" s="0" t="n">
        <f aca="false">RawFinancials!F419</f>
        <v>12316</v>
      </c>
      <c r="L419" s="0" t="n">
        <f aca="false">RawFinancials!L419</f>
        <v>86638</v>
      </c>
      <c r="M419" s="0" t="n">
        <f aca="false">RawFinancials!N419</f>
        <v>86535</v>
      </c>
      <c r="N419" s="13" t="n">
        <f aca="false">RawFinancials!X419</f>
        <v>-0.284696681831123</v>
      </c>
      <c r="O419" s="13" t="n">
        <f aca="false">RawFinancials!V419</f>
        <v>0</v>
      </c>
      <c r="P419" s="13" t="n">
        <f aca="false">IF(AND(ISNUMBER(L419),L419&lt;&gt;0,ISNUMBER(M419)),100*M419/L419,"")</f>
        <v>99.8811145224959</v>
      </c>
      <c r="Q419" s="13" t="n">
        <f aca="false">IF(AND(ISNUMBER(F419),F419&lt;&gt;0,ISNUMBER(K419)),100*K419/F419,"")</f>
        <v>11.7068904879138</v>
      </c>
      <c r="R419" s="11" t="b">
        <f aca="false">AND(ISNUMBER(F419),F419&gt;0,ISNUMBER(G419),G419&gt;=0,ISNUMBER(H419),H419&gt;=0)</f>
        <v>1</v>
      </c>
      <c r="S419" s="13" t="n">
        <f aca="false">IF(R419,100*I419/F419,"")</f>
        <v>0.555117249508094</v>
      </c>
      <c r="T419" s="11" t="b">
        <f aca="false">NOT(AND(OR(AND(ISBLANK(RawFinancials!B419),ISBLANK(_RawBaseline!B416)),AND(ISNUMBER(RawFinancials!B419),ISNUMBER(_RawBaseline!B416),RawFinancials!B419=_RawBaseline!B416)),OR(AND(ISBLANK(RawFinancials!U419),ISBLANK(_RawBaseline!U416)),AND(ISNUMBER(RawFinancials!U419),ISNUMBER(_RawBaseline!U416),RawFinancials!U419=_RawBaseline!U416)),OR(AND(ISBLANK(RawFinancials!O419),ISBLANK(_RawBaseline!O416)),AND(ISNUMBER(RawFinancials!O419),ISNUMBER(_RawBaseline!O416),RawFinancials!O419=_RawBaseline!O416))))</f>
        <v>0</v>
      </c>
      <c r="U419" s="13" t="n">
        <f aca="false">IF(AND(D419=WF_START_PERIOD,R419,COUNTIFS($B$5:$B$750,B419,$D$5:$D$750,WF_END_PERIOD,$R$5:$R$750,TRUE())&gt;0),SUMIFS($S$5:$S$750,$B$5:$B$750,B419,$D$5:$D$750,WF_END_PERIOD,$R$5:$R$750,TRUE()),0)</f>
        <v>0</v>
      </c>
      <c r="V419" s="0" t="str">
        <f aca="false">IF(AND(D419=WF_START_PERIOD,COUNTIFS($B$5:$B$750,B419,$D$5:$D$750,WF_END_PERIOD)&gt;0),INDEX($E$5:$E$750,MATCH(B419&amp;"|"&amp;WF_END_PERIOD,$AC$5:$AC$750,0)),"")</f>
        <v/>
      </c>
      <c r="W419" s="11" t="b">
        <f aca="false">COUNTIFS($B$5:$B$750,B419,$D$5:$D$750,WF_START_PERIOD,$R$5:$R$750,TRUE())&gt;0</f>
        <v>1</v>
      </c>
      <c r="X419" s="11" t="b">
        <f aca="false">COUNTIFS($B$5:$B$750,B419,$D$5:$D$750,WF_END_PERIOD,$R$5:$R$750,TRUE())&gt;0</f>
        <v>1</v>
      </c>
      <c r="Y419" s="0" t="str">
        <f aca="false">IF(AND(D419=WF_END_PERIOD,COUNTIFS($B$5:$B$750,B419,$D$5:$D$750,WF_START_PERIOD)&gt;0),INDEX($E$5:$E$750,MATCH(B419&amp;"|"&amp;WF_START_PERIOD,$AC$5:$AC$750,0)),"")</f>
        <v/>
      </c>
      <c r="Z419" s="0" t="str">
        <f aca="false">IF(AND(D419=WF_END_PERIOD,R419),1+COUNTIFS($D$5:$D$750,WF_END_PERIOD,$E$5:$E$750,E419,$R$5:$R$750,TRUE(),$S$5:$S$750,"&gt;"&amp;S419)+COUNTIFS($D$5:$D$750,WF_END_PERIOD,$E$5:$E$750,E419,$R$5:$R$750,TRUE(),$S$5:$S$750,S419,$B$5:$B$750,"&lt;"&amp;B419),"")</f>
        <v/>
      </c>
      <c r="AA419" s="0" t="str">
        <f aca="false">IF(AND(D419=WF_END_PERIOD,R419,Z419&lt;&gt;1),1+COUNTIFS($D$5:$D$750,WF_END_PERIOD,$R$5:$R$750,TRUE(),$Z$5:$Z$750,"&lt;&gt;1",$S$5:$S$750,"&gt;"&amp;S419)+COUNTIFS($D$5:$D$750,WF_END_PERIOD,$R$5:$R$750,TRUE(),$Z$5:$Z$750,"&lt;&gt;1",$S$5:$S$750,S419,$B$5:$B$750,"&lt;"&amp;B419),"")</f>
        <v/>
      </c>
      <c r="AB419" s="11" t="b">
        <f aca="false">OR(D419=WF_START_PERIOD,D419=WF_END_PERIOD)</f>
        <v>0</v>
      </c>
      <c r="AC419" s="0" t="str">
        <f aca="false">B419&amp;"|"&amp;D419</f>
        <v>30878|20231231</v>
      </c>
    </row>
    <row r="420" customFormat="false" ht="15" hidden="false" customHeight="false" outlineLevel="0" collapsed="false">
      <c r="A420" s="0" t="n">
        <f aca="false">RawFinancials!A420</f>
        <v>417</v>
      </c>
      <c r="B420" s="0" t="n">
        <f aca="false">RawFinancials!C420</f>
        <v>33418</v>
      </c>
      <c r="C420" s="0" t="str">
        <f aca="false">RawFinancials!P420</f>
        <v>LEDYARD NATIONAL BANK</v>
      </c>
      <c r="D420" s="0" t="n">
        <f aca="false">RawFinancials!W420</f>
        <v>20231231</v>
      </c>
      <c r="E420" s="0" t="str">
        <f aca="false">RawFinancials!Z420</f>
        <v>VT</v>
      </c>
      <c r="F420" s="0" t="n">
        <f aca="false">RawFinancials!B420</f>
        <v>854116</v>
      </c>
      <c r="G420" s="0" t="n">
        <f aca="false">RawFinancials!U420</f>
        <v>0</v>
      </c>
      <c r="H420" s="0" t="n">
        <f aca="false">RawFinancials!O420</f>
        <v>1741</v>
      </c>
      <c r="I420" s="0" t="n">
        <f aca="false">IF(AND(ISNUMBER(G420),ISNUMBER(H420)),G420+H420,"")</f>
        <v>1741</v>
      </c>
      <c r="J420" s="0" t="n">
        <f aca="false">RawFinancials!D420</f>
        <v>664122</v>
      </c>
      <c r="K420" s="0" t="n">
        <f aca="false">RawFinancials!F420</f>
        <v>68784</v>
      </c>
      <c r="L420" s="0" t="n">
        <f aca="false">RawFinancials!L420</f>
        <v>418780</v>
      </c>
      <c r="M420" s="0" t="n">
        <f aca="false">RawFinancials!N420</f>
        <v>354004</v>
      </c>
      <c r="N420" s="13" t="n">
        <f aca="false">RawFinancials!X420</f>
        <v>0.532293820018618</v>
      </c>
      <c r="O420" s="13" t="n">
        <f aca="false">RawFinancials!V420</f>
        <v>16.202753847616</v>
      </c>
      <c r="P420" s="13" t="n">
        <f aca="false">IF(AND(ISNUMBER(L420),L420&lt;&gt;0,ISNUMBER(M420)),100*M420/L420,"")</f>
        <v>84.5322126176035</v>
      </c>
      <c r="Q420" s="13" t="n">
        <f aca="false">IF(AND(ISNUMBER(F420),F420&lt;&gt;0,ISNUMBER(K420)),100*K420/F420,"")</f>
        <v>8.05323867015722</v>
      </c>
      <c r="R420" s="11" t="b">
        <f aca="false">AND(ISNUMBER(F420),F420&gt;0,ISNUMBER(G420),G420&gt;=0,ISNUMBER(H420),H420&gt;=0)</f>
        <v>1</v>
      </c>
      <c r="S420" s="13" t="n">
        <f aca="false">IF(R420,100*I420/F420,"")</f>
        <v>0.203836481227374</v>
      </c>
      <c r="T420" s="11" t="b">
        <f aca="false">NOT(AND(OR(AND(ISBLANK(RawFinancials!B420),ISBLANK(_RawBaseline!B417)),AND(ISNUMBER(RawFinancials!B420),ISNUMBER(_RawBaseline!B417),RawFinancials!B420=_RawBaseline!B417)),OR(AND(ISBLANK(RawFinancials!U420),ISBLANK(_RawBaseline!U417)),AND(ISNUMBER(RawFinancials!U420),ISNUMBER(_RawBaseline!U417),RawFinancials!U420=_RawBaseline!U417)),OR(AND(ISBLANK(RawFinancials!O420),ISBLANK(_RawBaseline!O417)),AND(ISNUMBER(RawFinancials!O420),ISNUMBER(_RawBaseline!O417),RawFinancials!O420=_RawBaseline!O417))))</f>
        <v>0</v>
      </c>
      <c r="U420" s="13" t="n">
        <f aca="false">IF(AND(D420=WF_START_PERIOD,R420,COUNTIFS($B$5:$B$750,B420,$D$5:$D$750,WF_END_PERIOD,$R$5:$R$750,TRUE())&gt;0),SUMIFS($S$5:$S$750,$B$5:$B$750,B420,$D$5:$D$750,WF_END_PERIOD,$R$5:$R$750,TRUE()),0)</f>
        <v>0</v>
      </c>
      <c r="V420" s="0" t="str">
        <f aca="false">IF(AND(D420=WF_START_PERIOD,COUNTIFS($B$5:$B$750,B420,$D$5:$D$750,WF_END_PERIOD)&gt;0),INDEX($E$5:$E$750,MATCH(B420&amp;"|"&amp;WF_END_PERIOD,$AC$5:$AC$750,0)),"")</f>
        <v/>
      </c>
      <c r="W420" s="11" t="b">
        <f aca="false">COUNTIFS($B$5:$B$750,B420,$D$5:$D$750,WF_START_PERIOD,$R$5:$R$750,TRUE())&gt;0</f>
        <v>1</v>
      </c>
      <c r="X420" s="11" t="b">
        <f aca="false">COUNTIFS($B$5:$B$750,B420,$D$5:$D$750,WF_END_PERIOD,$R$5:$R$750,TRUE())&gt;0</f>
        <v>1</v>
      </c>
      <c r="Y420" s="0" t="str">
        <f aca="false">IF(AND(D420=WF_END_PERIOD,COUNTIFS($B$5:$B$750,B420,$D$5:$D$750,WF_START_PERIOD)&gt;0),INDEX($E$5:$E$750,MATCH(B420&amp;"|"&amp;WF_START_PERIOD,$AC$5:$AC$750,0)),"")</f>
        <v/>
      </c>
      <c r="Z420" s="0" t="str">
        <f aca="false">IF(AND(D420=WF_END_PERIOD,R420),1+COUNTIFS($D$5:$D$750,WF_END_PERIOD,$E$5:$E$750,E420,$R$5:$R$750,TRUE(),$S$5:$S$750,"&gt;"&amp;S420)+COUNTIFS($D$5:$D$750,WF_END_PERIOD,$E$5:$E$750,E420,$R$5:$R$750,TRUE(),$S$5:$S$750,S420,$B$5:$B$750,"&lt;"&amp;B420),"")</f>
        <v/>
      </c>
      <c r="AA420" s="0" t="str">
        <f aca="false">IF(AND(D420=WF_END_PERIOD,R420,Z420&lt;&gt;1),1+COUNTIFS($D$5:$D$750,WF_END_PERIOD,$R$5:$R$750,TRUE(),$Z$5:$Z$750,"&lt;&gt;1",$S$5:$S$750,"&gt;"&amp;S420)+COUNTIFS($D$5:$D$750,WF_END_PERIOD,$R$5:$R$750,TRUE(),$Z$5:$Z$750,"&lt;&gt;1",$S$5:$S$750,S420,$B$5:$B$750,"&lt;"&amp;B420),"")</f>
        <v/>
      </c>
      <c r="AB420" s="11" t="b">
        <f aca="false">OR(D420=WF_START_PERIOD,D420=WF_END_PERIOD)</f>
        <v>0</v>
      </c>
      <c r="AC420" s="0" t="str">
        <f aca="false">B420&amp;"|"&amp;D420</f>
        <v>33418|20231231</v>
      </c>
    </row>
    <row r="421" customFormat="false" ht="15" hidden="false" customHeight="false" outlineLevel="0" collapsed="false">
      <c r="A421" s="0" t="n">
        <f aca="false">RawFinancials!A421</f>
        <v>418</v>
      </c>
      <c r="B421" s="0" t="n">
        <f aca="false">RawFinancials!C421</f>
        <v>35206</v>
      </c>
      <c r="C421" s="0" t="str">
        <f aca="false">RawFinancials!P421</f>
        <v>FIDELITY PERSONAL TRUST COMPANY, FSB</v>
      </c>
      <c r="D421" s="0" t="n">
        <f aca="false">RawFinancials!W421</f>
        <v>20231231</v>
      </c>
      <c r="E421" s="0" t="str">
        <f aca="false">RawFinancials!Z421</f>
        <v>NH</v>
      </c>
      <c r="F421" s="0" t="n">
        <f aca="false">RawFinancials!B421</f>
        <v>78004</v>
      </c>
      <c r="G421" s="0" t="n">
        <f aca="false">RawFinancials!U421</f>
        <v>0</v>
      </c>
      <c r="H421" s="0" t="n">
        <f aca="false">RawFinancials!O421</f>
        <v>0</v>
      </c>
      <c r="I421" s="0" t="n">
        <f aca="false">IF(AND(ISNUMBER(G421),ISNUMBER(H421)),G421+H421,"")</f>
        <v>0</v>
      </c>
      <c r="J421" s="0" t="n">
        <f aca="false">RawFinancials!D421</f>
        <v>500</v>
      </c>
      <c r="K421" s="0" t="n">
        <f aca="false">RawFinancials!F421</f>
        <v>74403</v>
      </c>
      <c r="L421" s="0" t="n">
        <f aca="false">RawFinancials!L421</f>
        <v>0</v>
      </c>
      <c r="M421" s="0" t="n">
        <f aca="false">RawFinancials!N421</f>
        <v>0</v>
      </c>
      <c r="N421" s="13" t="n">
        <f aca="false">RawFinancials!X421</f>
        <v>19.6375956732605</v>
      </c>
      <c r="O421" s="13" t="n">
        <f aca="false">RawFinancials!V421</f>
        <v>0</v>
      </c>
      <c r="P421" s="13" t="str">
        <f aca="false">IF(AND(ISNUMBER(L421),L421&lt;&gt;0,ISNUMBER(M421)),100*M421/L421,"")</f>
        <v/>
      </c>
      <c r="Q421" s="13" t="n">
        <f aca="false">IF(AND(ISNUMBER(F421),F421&lt;&gt;0,ISNUMBER(K421)),100*K421/F421,"")</f>
        <v>95.3835700733296</v>
      </c>
      <c r="R421" s="11" t="b">
        <f aca="false">AND(ISNUMBER(F421),F421&gt;0,ISNUMBER(G421),G421&gt;=0,ISNUMBER(H421),H421&gt;=0)</f>
        <v>1</v>
      </c>
      <c r="S421" s="13" t="n">
        <f aca="false">IF(R421,100*I421/F421,"")</f>
        <v>0</v>
      </c>
      <c r="T421" s="11" t="b">
        <f aca="false">NOT(AND(OR(AND(ISBLANK(RawFinancials!B421),ISBLANK(_RawBaseline!B418)),AND(ISNUMBER(RawFinancials!B421),ISNUMBER(_RawBaseline!B418),RawFinancials!B421=_RawBaseline!B418)),OR(AND(ISBLANK(RawFinancials!U421),ISBLANK(_RawBaseline!U418)),AND(ISNUMBER(RawFinancials!U421),ISNUMBER(_RawBaseline!U418),RawFinancials!U421=_RawBaseline!U418)),OR(AND(ISBLANK(RawFinancials!O421),ISBLANK(_RawBaseline!O418)),AND(ISNUMBER(RawFinancials!O421),ISNUMBER(_RawBaseline!O418),RawFinancials!O421=_RawBaseline!O418))))</f>
        <v>0</v>
      </c>
      <c r="U421" s="13" t="n">
        <f aca="false">IF(AND(D421=WF_START_PERIOD,R421,COUNTIFS($B$5:$B$750,B421,$D$5:$D$750,WF_END_PERIOD,$R$5:$R$750,TRUE())&gt;0),SUMIFS($S$5:$S$750,$B$5:$B$750,B421,$D$5:$D$750,WF_END_PERIOD,$R$5:$R$750,TRUE()),0)</f>
        <v>0</v>
      </c>
      <c r="V421" s="0" t="str">
        <f aca="false">IF(AND(D421=WF_START_PERIOD,COUNTIFS($B$5:$B$750,B421,$D$5:$D$750,WF_END_PERIOD)&gt;0),INDEX($E$5:$E$750,MATCH(B421&amp;"|"&amp;WF_END_PERIOD,$AC$5:$AC$750,0)),"")</f>
        <v/>
      </c>
      <c r="W421" s="11" t="b">
        <f aca="false">COUNTIFS($B$5:$B$750,B421,$D$5:$D$750,WF_START_PERIOD,$R$5:$R$750,TRUE())&gt;0</f>
        <v>1</v>
      </c>
      <c r="X421" s="11" t="b">
        <f aca="false">COUNTIFS($B$5:$B$750,B421,$D$5:$D$750,WF_END_PERIOD,$R$5:$R$750,TRUE())&gt;0</f>
        <v>1</v>
      </c>
      <c r="Y421" s="0" t="str">
        <f aca="false">IF(AND(D421=WF_END_PERIOD,COUNTIFS($B$5:$B$750,B421,$D$5:$D$750,WF_START_PERIOD)&gt;0),INDEX($E$5:$E$750,MATCH(B421&amp;"|"&amp;WF_START_PERIOD,$AC$5:$AC$750,0)),"")</f>
        <v/>
      </c>
      <c r="Z421" s="0" t="str">
        <f aca="false">IF(AND(D421=WF_END_PERIOD,R421),1+COUNTIFS($D$5:$D$750,WF_END_PERIOD,$E$5:$E$750,E421,$R$5:$R$750,TRUE(),$S$5:$S$750,"&gt;"&amp;S421)+COUNTIFS($D$5:$D$750,WF_END_PERIOD,$E$5:$E$750,E421,$R$5:$R$750,TRUE(),$S$5:$S$750,S421,$B$5:$B$750,"&lt;"&amp;B421),"")</f>
        <v/>
      </c>
      <c r="AA421" s="0" t="str">
        <f aca="false">IF(AND(D421=WF_END_PERIOD,R421,Z421&lt;&gt;1),1+COUNTIFS($D$5:$D$750,WF_END_PERIOD,$R$5:$R$750,TRUE(),$Z$5:$Z$750,"&lt;&gt;1",$S$5:$S$750,"&gt;"&amp;S421)+COUNTIFS($D$5:$D$750,WF_END_PERIOD,$R$5:$R$750,TRUE(),$Z$5:$Z$750,"&lt;&gt;1",$S$5:$S$750,S421,$B$5:$B$750,"&lt;"&amp;B421),"")</f>
        <v/>
      </c>
      <c r="AB421" s="11" t="b">
        <f aca="false">OR(D421=WF_START_PERIOD,D421=WF_END_PERIOD)</f>
        <v>0</v>
      </c>
      <c r="AC421" s="0" t="str">
        <f aca="false">B421&amp;"|"&amp;D421</f>
        <v>35206|20231231</v>
      </c>
    </row>
    <row r="422" customFormat="false" ht="15" hidden="false" customHeight="false" outlineLevel="0" collapsed="false">
      <c r="A422" s="0" t="n">
        <f aca="false">RawFinancials!A422</f>
        <v>419</v>
      </c>
      <c r="B422" s="0" t="n">
        <f aca="false">RawFinancials!C422</f>
        <v>4255</v>
      </c>
      <c r="C422" s="0" t="str">
        <f aca="false">RawFinancials!P422</f>
        <v>THE CAMDEN NATIONAL BANK</v>
      </c>
      <c r="D422" s="0" t="n">
        <f aca="false">RawFinancials!W422</f>
        <v>20231231</v>
      </c>
      <c r="E422" s="0" t="str">
        <f aca="false">RawFinancials!Z422</f>
        <v>ME</v>
      </c>
      <c r="F422" s="0" t="n">
        <f aca="false">RawFinancials!B422</f>
        <v>5700364</v>
      </c>
      <c r="G422" s="0" t="n">
        <f aca="false">RawFinancials!U422</f>
        <v>0</v>
      </c>
      <c r="H422" s="0" t="n">
        <f aca="false">RawFinancials!O422</f>
        <v>5448</v>
      </c>
      <c r="I422" s="0" t="n">
        <f aca="false">IF(AND(ISNUMBER(G422),ISNUMBER(H422)),G422+H422,"")</f>
        <v>5448</v>
      </c>
      <c r="J422" s="0" t="n">
        <f aca="false">RawFinancials!D422</f>
        <v>4632579</v>
      </c>
      <c r="K422" s="0" t="n">
        <f aca="false">RawFinancials!F422</f>
        <v>508674</v>
      </c>
      <c r="L422" s="0" t="n">
        <f aca="false">RawFinancials!L422</f>
        <v>4108414</v>
      </c>
      <c r="M422" s="0" t="n">
        <f aca="false">RawFinancials!N422</f>
        <v>3717758</v>
      </c>
      <c r="N422" s="13" t="n">
        <f aca="false">RawFinancials!X422</f>
        <v>0.80297935806377</v>
      </c>
      <c r="O422" s="13" t="n">
        <f aca="false">RawFinancials!V422</f>
        <v>13.6976813844604</v>
      </c>
      <c r="P422" s="13" t="n">
        <f aca="false">IF(AND(ISNUMBER(L422),L422&lt;&gt;0,ISNUMBER(M422)),100*M422/L422,"")</f>
        <v>90.4913185477413</v>
      </c>
      <c r="Q422" s="13" t="n">
        <f aca="false">IF(AND(ISNUMBER(F422),F422&lt;&gt;0,ISNUMBER(K422)),100*K422/F422,"")</f>
        <v>8.92353540931772</v>
      </c>
      <c r="R422" s="11" t="b">
        <f aca="false">AND(ISNUMBER(F422),F422&gt;0,ISNUMBER(G422),G422&gt;=0,ISNUMBER(H422),H422&gt;=0)</f>
        <v>1</v>
      </c>
      <c r="S422" s="13" t="n">
        <f aca="false">IF(R422,100*I422/F422,"")</f>
        <v>0.0955728441201299</v>
      </c>
      <c r="T422" s="11" t="b">
        <f aca="false">NOT(AND(OR(AND(ISBLANK(RawFinancials!B422),ISBLANK(_RawBaseline!B419)),AND(ISNUMBER(RawFinancials!B422),ISNUMBER(_RawBaseline!B419),RawFinancials!B422=_RawBaseline!B419)),OR(AND(ISBLANK(RawFinancials!U422),ISBLANK(_RawBaseline!U419)),AND(ISNUMBER(RawFinancials!U422),ISNUMBER(_RawBaseline!U419),RawFinancials!U422=_RawBaseline!U419)),OR(AND(ISBLANK(RawFinancials!O422),ISBLANK(_RawBaseline!O419)),AND(ISNUMBER(RawFinancials!O422),ISNUMBER(_RawBaseline!O419),RawFinancials!O422=_RawBaseline!O419))))</f>
        <v>0</v>
      </c>
      <c r="U422" s="13" t="n">
        <f aca="false">IF(AND(D422=WF_START_PERIOD,R422,COUNTIFS($B$5:$B$750,B422,$D$5:$D$750,WF_END_PERIOD,$R$5:$R$750,TRUE())&gt;0),SUMIFS($S$5:$S$750,$B$5:$B$750,B422,$D$5:$D$750,WF_END_PERIOD,$R$5:$R$750,TRUE()),0)</f>
        <v>0</v>
      </c>
      <c r="V422" s="0" t="str">
        <f aca="false">IF(AND(D422=WF_START_PERIOD,COUNTIFS($B$5:$B$750,B422,$D$5:$D$750,WF_END_PERIOD)&gt;0),INDEX($E$5:$E$750,MATCH(B422&amp;"|"&amp;WF_END_PERIOD,$AC$5:$AC$750,0)),"")</f>
        <v/>
      </c>
      <c r="W422" s="11" t="b">
        <f aca="false">COUNTIFS($B$5:$B$750,B422,$D$5:$D$750,WF_START_PERIOD,$R$5:$R$750,TRUE())&gt;0</f>
        <v>1</v>
      </c>
      <c r="X422" s="11" t="b">
        <f aca="false">COUNTIFS($B$5:$B$750,B422,$D$5:$D$750,WF_END_PERIOD,$R$5:$R$750,TRUE())&gt;0</f>
        <v>1</v>
      </c>
      <c r="Y422" s="0" t="str">
        <f aca="false">IF(AND(D422=WF_END_PERIOD,COUNTIFS($B$5:$B$750,B422,$D$5:$D$750,WF_START_PERIOD)&gt;0),INDEX($E$5:$E$750,MATCH(B422&amp;"|"&amp;WF_START_PERIOD,$AC$5:$AC$750,0)),"")</f>
        <v/>
      </c>
      <c r="Z422" s="0" t="str">
        <f aca="false">IF(AND(D422=WF_END_PERIOD,R422),1+COUNTIFS($D$5:$D$750,WF_END_PERIOD,$E$5:$E$750,E422,$R$5:$R$750,TRUE(),$S$5:$S$750,"&gt;"&amp;S422)+COUNTIFS($D$5:$D$750,WF_END_PERIOD,$E$5:$E$750,E422,$R$5:$R$750,TRUE(),$S$5:$S$750,S422,$B$5:$B$750,"&lt;"&amp;B422),"")</f>
        <v/>
      </c>
      <c r="AA422" s="0" t="str">
        <f aca="false">IF(AND(D422=WF_END_PERIOD,R422,Z422&lt;&gt;1),1+COUNTIFS($D$5:$D$750,WF_END_PERIOD,$R$5:$R$750,TRUE(),$Z$5:$Z$750,"&lt;&gt;1",$S$5:$S$750,"&gt;"&amp;S422)+COUNTIFS($D$5:$D$750,WF_END_PERIOD,$R$5:$R$750,TRUE(),$Z$5:$Z$750,"&lt;&gt;1",$S$5:$S$750,S422,$B$5:$B$750,"&lt;"&amp;B422),"")</f>
        <v/>
      </c>
      <c r="AB422" s="11" t="b">
        <f aca="false">OR(D422=WF_START_PERIOD,D422=WF_END_PERIOD)</f>
        <v>0</v>
      </c>
      <c r="AC422" s="0" t="str">
        <f aca="false">B422&amp;"|"&amp;D422</f>
        <v>4255|20231231</v>
      </c>
    </row>
    <row r="423" customFormat="false" ht="15" hidden="false" customHeight="false" outlineLevel="0" collapsed="false">
      <c r="A423" s="0" t="n">
        <f aca="false">RawFinancials!A423</f>
        <v>420</v>
      </c>
      <c r="B423" s="0" t="n">
        <f aca="false">RawFinancials!C423</f>
        <v>4256</v>
      </c>
      <c r="C423" s="0" t="str">
        <f aca="false">RawFinancials!P423</f>
        <v>FIRST NATIONAL BANK</v>
      </c>
      <c r="D423" s="0" t="n">
        <f aca="false">RawFinancials!W423</f>
        <v>20231231</v>
      </c>
      <c r="E423" s="0" t="str">
        <f aca="false">RawFinancials!Z423</f>
        <v>ME</v>
      </c>
      <c r="F423" s="0" t="n">
        <f aca="false">RawFinancials!B423</f>
        <v>2911223</v>
      </c>
      <c r="G423" s="0" t="n">
        <f aca="false">RawFinancials!U423</f>
        <v>429</v>
      </c>
      <c r="H423" s="0" t="n">
        <f aca="false">RawFinancials!O423</f>
        <v>2178</v>
      </c>
      <c r="I423" s="0" t="n">
        <f aca="false">IF(AND(ISNUMBER(G423),ISNUMBER(H423)),G423+H423,"")</f>
        <v>2607</v>
      </c>
      <c r="J423" s="0" t="n">
        <f aca="false">RawFinancials!D423</f>
        <v>2600329</v>
      </c>
      <c r="K423" s="0" t="n">
        <f aca="false">RawFinancials!F423</f>
        <v>214531</v>
      </c>
      <c r="L423" s="0" t="n">
        <f aca="false">RawFinancials!L423</f>
        <v>2129454</v>
      </c>
      <c r="M423" s="0" t="n">
        <f aca="false">RawFinancials!N423</f>
        <v>1701843</v>
      </c>
      <c r="N423" s="13" t="n">
        <f aca="false">RawFinancials!X423</f>
        <v>1.07604648622624</v>
      </c>
      <c r="O423" s="13" t="n">
        <f aca="false">RawFinancials!V423</f>
        <v>13.6193252605501</v>
      </c>
      <c r="P423" s="13" t="n">
        <f aca="false">IF(AND(ISNUMBER(L423),L423&lt;&gt;0,ISNUMBER(M423)),100*M423/L423,"")</f>
        <v>79.9192187293081</v>
      </c>
      <c r="Q423" s="13" t="n">
        <f aca="false">IF(AND(ISNUMBER(F423),F423&lt;&gt;0,ISNUMBER(K423)),100*K423/F423,"")</f>
        <v>7.3691022638939</v>
      </c>
      <c r="R423" s="11" t="b">
        <f aca="false">AND(ISNUMBER(F423),F423&gt;0,ISNUMBER(G423),G423&gt;=0,ISNUMBER(H423),H423&gt;=0)</f>
        <v>1</v>
      </c>
      <c r="S423" s="13" t="n">
        <f aca="false">IF(R423,100*I423/F423,"")</f>
        <v>0.0895499932502594</v>
      </c>
      <c r="T423" s="11" t="b">
        <f aca="false">NOT(AND(OR(AND(ISBLANK(RawFinancials!B423),ISBLANK(_RawBaseline!B420)),AND(ISNUMBER(RawFinancials!B423),ISNUMBER(_RawBaseline!B420),RawFinancials!B423=_RawBaseline!B420)),OR(AND(ISBLANK(RawFinancials!U423),ISBLANK(_RawBaseline!U420)),AND(ISNUMBER(RawFinancials!U423),ISNUMBER(_RawBaseline!U420),RawFinancials!U423=_RawBaseline!U420)),OR(AND(ISBLANK(RawFinancials!O423),ISBLANK(_RawBaseline!O420)),AND(ISNUMBER(RawFinancials!O423),ISNUMBER(_RawBaseline!O420),RawFinancials!O423=_RawBaseline!O420))))</f>
        <v>0</v>
      </c>
      <c r="U423" s="13" t="n">
        <f aca="false">IF(AND(D423=WF_START_PERIOD,R423,COUNTIFS($B$5:$B$750,B423,$D$5:$D$750,WF_END_PERIOD,$R$5:$R$750,TRUE())&gt;0),SUMIFS($S$5:$S$750,$B$5:$B$750,B423,$D$5:$D$750,WF_END_PERIOD,$R$5:$R$750,TRUE()),0)</f>
        <v>0</v>
      </c>
      <c r="V423" s="0" t="str">
        <f aca="false">IF(AND(D423=WF_START_PERIOD,COUNTIFS($B$5:$B$750,B423,$D$5:$D$750,WF_END_PERIOD)&gt;0),INDEX($E$5:$E$750,MATCH(B423&amp;"|"&amp;WF_END_PERIOD,$AC$5:$AC$750,0)),"")</f>
        <v/>
      </c>
      <c r="W423" s="11" t="b">
        <f aca="false">COUNTIFS($B$5:$B$750,B423,$D$5:$D$750,WF_START_PERIOD,$R$5:$R$750,TRUE())&gt;0</f>
        <v>1</v>
      </c>
      <c r="X423" s="11" t="b">
        <f aca="false">COUNTIFS($B$5:$B$750,B423,$D$5:$D$750,WF_END_PERIOD,$R$5:$R$750,TRUE())&gt;0</f>
        <v>1</v>
      </c>
      <c r="Y423" s="0" t="str">
        <f aca="false">IF(AND(D423=WF_END_PERIOD,COUNTIFS($B$5:$B$750,B423,$D$5:$D$750,WF_START_PERIOD)&gt;0),INDEX($E$5:$E$750,MATCH(B423&amp;"|"&amp;WF_START_PERIOD,$AC$5:$AC$750,0)),"")</f>
        <v/>
      </c>
      <c r="Z423" s="0" t="str">
        <f aca="false">IF(AND(D423=WF_END_PERIOD,R423),1+COUNTIFS($D$5:$D$750,WF_END_PERIOD,$E$5:$E$750,E423,$R$5:$R$750,TRUE(),$S$5:$S$750,"&gt;"&amp;S423)+COUNTIFS($D$5:$D$750,WF_END_PERIOD,$E$5:$E$750,E423,$R$5:$R$750,TRUE(),$S$5:$S$750,S423,$B$5:$B$750,"&lt;"&amp;B423),"")</f>
        <v/>
      </c>
      <c r="AA423" s="0" t="str">
        <f aca="false">IF(AND(D423=WF_END_PERIOD,R423,Z423&lt;&gt;1),1+COUNTIFS($D$5:$D$750,WF_END_PERIOD,$R$5:$R$750,TRUE(),$Z$5:$Z$750,"&lt;&gt;1",$S$5:$S$750,"&gt;"&amp;S423)+COUNTIFS($D$5:$D$750,WF_END_PERIOD,$R$5:$R$750,TRUE(),$Z$5:$Z$750,"&lt;&gt;1",$S$5:$S$750,S423,$B$5:$B$750,"&lt;"&amp;B423),"")</f>
        <v/>
      </c>
      <c r="AB423" s="11" t="b">
        <f aca="false">OR(D423=WF_START_PERIOD,D423=WF_END_PERIOD)</f>
        <v>0</v>
      </c>
      <c r="AC423" s="0" t="str">
        <f aca="false">B423&amp;"|"&amp;D423</f>
        <v>4256|20231231</v>
      </c>
    </row>
    <row r="424" customFormat="false" ht="15" hidden="false" customHeight="false" outlineLevel="0" collapsed="false">
      <c r="A424" s="0" t="n">
        <f aca="false">RawFinancials!A424</f>
        <v>421</v>
      </c>
      <c r="B424" s="0" t="n">
        <f aca="false">RawFinancials!C424</f>
        <v>59086</v>
      </c>
      <c r="C424" s="0" t="str">
        <f aca="false">RawFinancials!P424</f>
        <v>PRIMARY BANK</v>
      </c>
      <c r="D424" s="0" t="n">
        <f aca="false">RawFinancials!W424</f>
        <v>20231231</v>
      </c>
      <c r="E424" s="0" t="str">
        <f aca="false">RawFinancials!Z424</f>
        <v>NH</v>
      </c>
      <c r="F424" s="0" t="n">
        <f aca="false">RawFinancials!B424</f>
        <v>693138</v>
      </c>
      <c r="G424" s="0" t="n">
        <f aca="false">RawFinancials!U424</f>
        <v>1112</v>
      </c>
      <c r="H424" s="0" t="n">
        <f aca="false">RawFinancials!O424</f>
        <v>4555</v>
      </c>
      <c r="I424" s="0" t="n">
        <f aca="false">IF(AND(ISNUMBER(G424),ISNUMBER(H424)),G424+H424,"")</f>
        <v>5667</v>
      </c>
      <c r="J424" s="0" t="n">
        <f aca="false">RawFinancials!D424</f>
        <v>600781</v>
      </c>
      <c r="K424" s="0" t="n">
        <f aca="false">RawFinancials!F424</f>
        <v>88263</v>
      </c>
      <c r="L424" s="0" t="n">
        <f aca="false">RawFinancials!L424</f>
        <v>588570</v>
      </c>
      <c r="M424" s="0" t="n">
        <f aca="false">RawFinancials!N424</f>
        <v>473617</v>
      </c>
      <c r="N424" s="13" t="n">
        <f aca="false">RawFinancials!X424</f>
        <v>1.45617949519887</v>
      </c>
      <c r="O424" s="13" t="n">
        <f aca="false">RawFinancials!V424</f>
        <v>15.2351344587961</v>
      </c>
      <c r="P424" s="13" t="n">
        <f aca="false">IF(AND(ISNUMBER(L424),L424&lt;&gt;0,ISNUMBER(M424)),100*M424/L424,"")</f>
        <v>80.4691030803473</v>
      </c>
      <c r="Q424" s="13" t="n">
        <f aca="false">IF(AND(ISNUMBER(F424),F424&lt;&gt;0,ISNUMBER(K424)),100*K424/F424,"")</f>
        <v>12.7338278957437</v>
      </c>
      <c r="R424" s="11" t="b">
        <f aca="false">AND(ISNUMBER(F424),F424&gt;0,ISNUMBER(G424),G424&gt;=0,ISNUMBER(H424),H424&gt;=0)</f>
        <v>1</v>
      </c>
      <c r="S424" s="13" t="n">
        <f aca="false">IF(R424,100*I424/F424,"")</f>
        <v>0.817586108394</v>
      </c>
      <c r="T424" s="11" t="b">
        <f aca="false">NOT(AND(OR(AND(ISBLANK(RawFinancials!B424),ISBLANK(_RawBaseline!B421)),AND(ISNUMBER(RawFinancials!B424),ISNUMBER(_RawBaseline!B421),RawFinancials!B424=_RawBaseline!B421)),OR(AND(ISBLANK(RawFinancials!U424),ISBLANK(_RawBaseline!U421)),AND(ISNUMBER(RawFinancials!U424),ISNUMBER(_RawBaseline!U421),RawFinancials!U424=_RawBaseline!U421)),OR(AND(ISBLANK(RawFinancials!O424),ISBLANK(_RawBaseline!O421)),AND(ISNUMBER(RawFinancials!O424),ISNUMBER(_RawBaseline!O421),RawFinancials!O424=_RawBaseline!O421))))</f>
        <v>0</v>
      </c>
      <c r="U424" s="13" t="n">
        <f aca="false">IF(AND(D424=WF_START_PERIOD,R424,COUNTIFS($B$5:$B$750,B424,$D$5:$D$750,WF_END_PERIOD,$R$5:$R$750,TRUE())&gt;0),SUMIFS($S$5:$S$750,$B$5:$B$750,B424,$D$5:$D$750,WF_END_PERIOD,$R$5:$R$750,TRUE()),0)</f>
        <v>0</v>
      </c>
      <c r="V424" s="0" t="str">
        <f aca="false">IF(AND(D424=WF_START_PERIOD,COUNTIFS($B$5:$B$750,B424,$D$5:$D$750,WF_END_PERIOD)&gt;0),INDEX($E$5:$E$750,MATCH(B424&amp;"|"&amp;WF_END_PERIOD,$AC$5:$AC$750,0)),"")</f>
        <v/>
      </c>
      <c r="W424" s="11" t="b">
        <f aca="false">COUNTIFS($B$5:$B$750,B424,$D$5:$D$750,WF_START_PERIOD,$R$5:$R$750,TRUE())&gt;0</f>
        <v>1</v>
      </c>
      <c r="X424" s="11" t="b">
        <f aca="false">COUNTIFS($B$5:$B$750,B424,$D$5:$D$750,WF_END_PERIOD,$R$5:$R$750,TRUE())&gt;0</f>
        <v>1</v>
      </c>
      <c r="Y424" s="0" t="str">
        <f aca="false">IF(AND(D424=WF_END_PERIOD,COUNTIFS($B$5:$B$750,B424,$D$5:$D$750,WF_START_PERIOD)&gt;0),INDEX($E$5:$E$750,MATCH(B424&amp;"|"&amp;WF_START_PERIOD,$AC$5:$AC$750,0)),"")</f>
        <v/>
      </c>
      <c r="Z424" s="0" t="str">
        <f aca="false">IF(AND(D424=WF_END_PERIOD,R424),1+COUNTIFS($D$5:$D$750,WF_END_PERIOD,$E$5:$E$750,E424,$R$5:$R$750,TRUE(),$S$5:$S$750,"&gt;"&amp;S424)+COUNTIFS($D$5:$D$750,WF_END_PERIOD,$E$5:$E$750,E424,$R$5:$R$750,TRUE(),$S$5:$S$750,S424,$B$5:$B$750,"&lt;"&amp;B424),"")</f>
        <v/>
      </c>
      <c r="AA424" s="0" t="str">
        <f aca="false">IF(AND(D424=WF_END_PERIOD,R424,Z424&lt;&gt;1),1+COUNTIFS($D$5:$D$750,WF_END_PERIOD,$R$5:$R$750,TRUE(),$Z$5:$Z$750,"&lt;&gt;1",$S$5:$S$750,"&gt;"&amp;S424)+COUNTIFS($D$5:$D$750,WF_END_PERIOD,$R$5:$R$750,TRUE(),$Z$5:$Z$750,"&lt;&gt;1",$S$5:$S$750,S424,$B$5:$B$750,"&lt;"&amp;B424),"")</f>
        <v/>
      </c>
      <c r="AB424" s="11" t="b">
        <f aca="false">OR(D424=WF_START_PERIOD,D424=WF_END_PERIOD)</f>
        <v>0</v>
      </c>
      <c r="AC424" s="0" t="str">
        <f aca="false">B424&amp;"|"&amp;D424</f>
        <v>59086|20231231</v>
      </c>
    </row>
    <row r="425" customFormat="false" ht="15" hidden="false" customHeight="false" outlineLevel="0" collapsed="false">
      <c r="A425" s="0" t="n">
        <f aca="false">RawFinancials!A425</f>
        <v>422</v>
      </c>
      <c r="B425" s="0" t="n">
        <f aca="false">RawFinancials!C425</f>
        <v>59176</v>
      </c>
      <c r="C425" s="0" t="str">
        <f aca="false">RawFinancials!P425</f>
        <v>THE MILLYARD BANK</v>
      </c>
      <c r="D425" s="0" t="n">
        <f aca="false">RawFinancials!W425</f>
        <v>20231231</v>
      </c>
      <c r="E425" s="0" t="str">
        <f aca="false">RawFinancials!Z425</f>
        <v>NH</v>
      </c>
      <c r="F425" s="0" t="n">
        <f aca="false">RawFinancials!B425</f>
        <v>238058</v>
      </c>
      <c r="G425" s="0" t="n">
        <f aca="false">RawFinancials!U425</f>
        <v>0</v>
      </c>
      <c r="H425" s="0" t="n">
        <f aca="false">RawFinancials!O425</f>
        <v>0</v>
      </c>
      <c r="I425" s="0" t="n">
        <f aca="false">IF(AND(ISNUMBER(G425),ISNUMBER(H425)),G425+H425,"")</f>
        <v>0</v>
      </c>
      <c r="J425" s="0" t="n">
        <f aca="false">RawFinancials!D425</f>
        <v>197828</v>
      </c>
      <c r="K425" s="0" t="n">
        <f aca="false">RawFinancials!F425</f>
        <v>23051</v>
      </c>
      <c r="L425" s="0" t="n">
        <f aca="false">RawFinancials!L425</f>
        <v>151977</v>
      </c>
      <c r="M425" s="0" t="n">
        <f aca="false">RawFinancials!N425</f>
        <v>128774</v>
      </c>
      <c r="N425" s="13" t="n">
        <f aca="false">RawFinancials!X425</f>
        <v>-0.191603674122027</v>
      </c>
      <c r="O425" s="13" t="n">
        <f aca="false">RawFinancials!V425</f>
        <v>16.0544884234369</v>
      </c>
      <c r="P425" s="13" t="n">
        <f aca="false">IF(AND(ISNUMBER(L425),L425&lt;&gt;0,ISNUMBER(M425)),100*M425/L425,"")</f>
        <v>84.7325582160459</v>
      </c>
      <c r="Q425" s="13" t="n">
        <f aca="false">IF(AND(ISNUMBER(F425),F425&lt;&gt;0,ISNUMBER(K425)),100*K425/F425,"")</f>
        <v>9.68293441094187</v>
      </c>
      <c r="R425" s="11" t="b">
        <f aca="false">AND(ISNUMBER(F425),F425&gt;0,ISNUMBER(G425),G425&gt;=0,ISNUMBER(H425),H425&gt;=0)</f>
        <v>1</v>
      </c>
      <c r="S425" s="13" t="n">
        <f aca="false">IF(R425,100*I425/F425,"")</f>
        <v>0</v>
      </c>
      <c r="T425" s="11" t="b">
        <f aca="false">NOT(AND(OR(AND(ISBLANK(RawFinancials!B425),ISBLANK(_RawBaseline!B422)),AND(ISNUMBER(RawFinancials!B425),ISNUMBER(_RawBaseline!B422),RawFinancials!B425=_RawBaseline!B422)),OR(AND(ISBLANK(RawFinancials!U425),ISBLANK(_RawBaseline!U422)),AND(ISNUMBER(RawFinancials!U425),ISNUMBER(_RawBaseline!U422),RawFinancials!U425=_RawBaseline!U422)),OR(AND(ISBLANK(RawFinancials!O425),ISBLANK(_RawBaseline!O422)),AND(ISNUMBER(RawFinancials!O425),ISNUMBER(_RawBaseline!O422),RawFinancials!O425=_RawBaseline!O422))))</f>
        <v>0</v>
      </c>
      <c r="U425" s="13" t="n">
        <f aca="false">IF(AND(D425=WF_START_PERIOD,R425,COUNTIFS($B$5:$B$750,B425,$D$5:$D$750,WF_END_PERIOD,$R$5:$R$750,TRUE())&gt;0),SUMIFS($S$5:$S$750,$B$5:$B$750,B425,$D$5:$D$750,WF_END_PERIOD,$R$5:$R$750,TRUE()),0)</f>
        <v>0</v>
      </c>
      <c r="V425" s="0" t="str">
        <f aca="false">IF(AND(D425=WF_START_PERIOD,COUNTIFS($B$5:$B$750,B425,$D$5:$D$750,WF_END_PERIOD)&gt;0),INDEX($E$5:$E$750,MATCH(B425&amp;"|"&amp;WF_END_PERIOD,$AC$5:$AC$750,0)),"")</f>
        <v/>
      </c>
      <c r="W425" s="11" t="b">
        <f aca="false">COUNTIFS($B$5:$B$750,B425,$D$5:$D$750,WF_START_PERIOD,$R$5:$R$750,TRUE())&gt;0</f>
        <v>1</v>
      </c>
      <c r="X425" s="11" t="b">
        <f aca="false">COUNTIFS($B$5:$B$750,B425,$D$5:$D$750,WF_END_PERIOD,$R$5:$R$750,TRUE())&gt;0</f>
        <v>1</v>
      </c>
      <c r="Y425" s="0" t="str">
        <f aca="false">IF(AND(D425=WF_END_PERIOD,COUNTIFS($B$5:$B$750,B425,$D$5:$D$750,WF_START_PERIOD)&gt;0),INDEX($E$5:$E$750,MATCH(B425&amp;"|"&amp;WF_START_PERIOD,$AC$5:$AC$750,0)),"")</f>
        <v/>
      </c>
      <c r="Z425" s="0" t="str">
        <f aca="false">IF(AND(D425=WF_END_PERIOD,R425),1+COUNTIFS($D$5:$D$750,WF_END_PERIOD,$E$5:$E$750,E425,$R$5:$R$750,TRUE(),$S$5:$S$750,"&gt;"&amp;S425)+COUNTIFS($D$5:$D$750,WF_END_PERIOD,$E$5:$E$750,E425,$R$5:$R$750,TRUE(),$S$5:$S$750,S425,$B$5:$B$750,"&lt;"&amp;B425),"")</f>
        <v/>
      </c>
      <c r="AA425" s="0" t="str">
        <f aca="false">IF(AND(D425=WF_END_PERIOD,R425,Z425&lt;&gt;1),1+COUNTIFS($D$5:$D$750,WF_END_PERIOD,$R$5:$R$750,TRUE(),$Z$5:$Z$750,"&lt;&gt;1",$S$5:$S$750,"&gt;"&amp;S425)+COUNTIFS($D$5:$D$750,WF_END_PERIOD,$R$5:$R$750,TRUE(),$Z$5:$Z$750,"&lt;&gt;1",$S$5:$S$750,S425,$B$5:$B$750,"&lt;"&amp;B425),"")</f>
        <v/>
      </c>
      <c r="AB425" s="11" t="b">
        <f aca="false">OR(D425=WF_START_PERIOD,D425=WF_END_PERIOD)</f>
        <v>0</v>
      </c>
      <c r="AC425" s="0" t="str">
        <f aca="false">B425&amp;"|"&amp;D425</f>
        <v>59176|20231231</v>
      </c>
    </row>
    <row r="426" customFormat="false" ht="15" hidden="false" customHeight="false" outlineLevel="0" collapsed="false">
      <c r="A426" s="0" t="n">
        <f aca="false">RawFinancials!A426</f>
        <v>423</v>
      </c>
      <c r="B426" s="0" t="n">
        <f aca="false">RawFinancials!C426</f>
        <v>59289</v>
      </c>
      <c r="C426" s="0" t="str">
        <f aca="false">RawFinancials!P426</f>
        <v>WALDEN MUTUAL BANK</v>
      </c>
      <c r="D426" s="0" t="n">
        <f aca="false">RawFinancials!W426</f>
        <v>20231231</v>
      </c>
      <c r="E426" s="0" t="str">
        <f aca="false">RawFinancials!Z426</f>
        <v>NH</v>
      </c>
      <c r="F426" s="0" t="n">
        <f aca="false">RawFinancials!B426</f>
        <v>75597</v>
      </c>
      <c r="G426" s="0" t="n">
        <f aca="false">RawFinancials!U426</f>
        <v>0</v>
      </c>
      <c r="H426" s="0" t="n">
        <f aca="false">RawFinancials!O426</f>
        <v>0</v>
      </c>
      <c r="I426" s="0" t="n">
        <f aca="false">IF(AND(ISNUMBER(G426),ISNUMBER(H426)),G426+H426,"")</f>
        <v>0</v>
      </c>
      <c r="J426" s="0" t="n">
        <f aca="false">RawFinancials!D426</f>
        <v>55515</v>
      </c>
      <c r="K426" s="0" t="n">
        <f aca="false">RawFinancials!F426</f>
        <v>19214</v>
      </c>
      <c r="L426" s="0" t="n">
        <f aca="false">RawFinancials!L426</f>
        <v>34267</v>
      </c>
      <c r="M426" s="0" t="n">
        <f aca="false">RawFinancials!N426</f>
        <v>13703</v>
      </c>
      <c r="N426" s="13" t="n">
        <f aca="false">RawFinancials!X426</f>
        <v>-4.45568212086552</v>
      </c>
      <c r="O426" s="13" t="n">
        <f aca="false">RawFinancials!V426</f>
        <v>0</v>
      </c>
      <c r="P426" s="13" t="n">
        <f aca="false">IF(AND(ISNUMBER(L426),L426&lt;&gt;0,ISNUMBER(M426)),100*M426/L426,"")</f>
        <v>39.98891061371</v>
      </c>
      <c r="Q426" s="13" t="n">
        <f aca="false">IF(AND(ISNUMBER(F426),F426&lt;&gt;0,ISNUMBER(K426)),100*K426/F426,"")</f>
        <v>25.4163525007606</v>
      </c>
      <c r="R426" s="11" t="b">
        <f aca="false">AND(ISNUMBER(F426),F426&gt;0,ISNUMBER(G426),G426&gt;=0,ISNUMBER(H426),H426&gt;=0)</f>
        <v>1</v>
      </c>
      <c r="S426" s="13" t="n">
        <f aca="false">IF(R426,100*I426/F426,"")</f>
        <v>0</v>
      </c>
      <c r="T426" s="11" t="b">
        <f aca="false">NOT(AND(OR(AND(ISBLANK(RawFinancials!B426),ISBLANK(_RawBaseline!B423)),AND(ISNUMBER(RawFinancials!B426),ISNUMBER(_RawBaseline!B423),RawFinancials!B426=_RawBaseline!B423)),OR(AND(ISBLANK(RawFinancials!U426),ISBLANK(_RawBaseline!U423)),AND(ISNUMBER(RawFinancials!U426),ISNUMBER(_RawBaseline!U423),RawFinancials!U426=_RawBaseline!U423)),OR(AND(ISBLANK(RawFinancials!O426),ISBLANK(_RawBaseline!O423)),AND(ISNUMBER(RawFinancials!O426),ISNUMBER(_RawBaseline!O423),RawFinancials!O426=_RawBaseline!O423))))</f>
        <v>0</v>
      </c>
      <c r="U426" s="13" t="n">
        <f aca="false">IF(AND(D426=WF_START_PERIOD,R426,COUNTIFS($B$5:$B$750,B426,$D$5:$D$750,WF_END_PERIOD,$R$5:$R$750,TRUE())&gt;0),SUMIFS($S$5:$S$750,$B$5:$B$750,B426,$D$5:$D$750,WF_END_PERIOD,$R$5:$R$750,TRUE()),0)</f>
        <v>0</v>
      </c>
      <c r="V426" s="0" t="str">
        <f aca="false">IF(AND(D426=WF_START_PERIOD,COUNTIFS($B$5:$B$750,B426,$D$5:$D$750,WF_END_PERIOD)&gt;0),INDEX($E$5:$E$750,MATCH(B426&amp;"|"&amp;WF_END_PERIOD,$AC$5:$AC$750,0)),"")</f>
        <v/>
      </c>
      <c r="W426" s="11" t="b">
        <f aca="false">COUNTIFS($B$5:$B$750,B426,$D$5:$D$750,WF_START_PERIOD,$R$5:$R$750,TRUE())&gt;0</f>
        <v>1</v>
      </c>
      <c r="X426" s="11" t="b">
        <f aca="false">COUNTIFS($B$5:$B$750,B426,$D$5:$D$750,WF_END_PERIOD,$R$5:$R$750,TRUE())&gt;0</f>
        <v>1</v>
      </c>
      <c r="Y426" s="0" t="str">
        <f aca="false">IF(AND(D426=WF_END_PERIOD,COUNTIFS($B$5:$B$750,B426,$D$5:$D$750,WF_START_PERIOD)&gt;0),INDEX($E$5:$E$750,MATCH(B426&amp;"|"&amp;WF_START_PERIOD,$AC$5:$AC$750,0)),"")</f>
        <v/>
      </c>
      <c r="Z426" s="0" t="str">
        <f aca="false">IF(AND(D426=WF_END_PERIOD,R426),1+COUNTIFS($D$5:$D$750,WF_END_PERIOD,$E$5:$E$750,E426,$R$5:$R$750,TRUE(),$S$5:$S$750,"&gt;"&amp;S426)+COUNTIFS($D$5:$D$750,WF_END_PERIOD,$E$5:$E$750,E426,$R$5:$R$750,TRUE(),$S$5:$S$750,S426,$B$5:$B$750,"&lt;"&amp;B426),"")</f>
        <v/>
      </c>
      <c r="AA426" s="0" t="str">
        <f aca="false">IF(AND(D426=WF_END_PERIOD,R426,Z426&lt;&gt;1),1+COUNTIFS($D$5:$D$750,WF_END_PERIOD,$R$5:$R$750,TRUE(),$Z$5:$Z$750,"&lt;&gt;1",$S$5:$S$750,"&gt;"&amp;S426)+COUNTIFS($D$5:$D$750,WF_END_PERIOD,$R$5:$R$750,TRUE(),$Z$5:$Z$750,"&lt;&gt;1",$S$5:$S$750,S426,$B$5:$B$750,"&lt;"&amp;B426),"")</f>
        <v/>
      </c>
      <c r="AB426" s="11" t="b">
        <f aca="false">OR(D426=WF_START_PERIOD,D426=WF_END_PERIOD)</f>
        <v>0</v>
      </c>
      <c r="AC426" s="0" t="str">
        <f aca="false">B426&amp;"|"&amp;D426</f>
        <v>59289|20231231</v>
      </c>
    </row>
    <row r="427" customFormat="false" ht="15" hidden="false" customHeight="false" outlineLevel="0" collapsed="false">
      <c r="A427" s="0" t="n">
        <f aca="false">RawFinancials!A427</f>
        <v>424</v>
      </c>
      <c r="B427" s="0" t="n">
        <f aca="false">RawFinancials!C427</f>
        <v>59298</v>
      </c>
      <c r="C427" s="0" t="str">
        <f aca="false">RawFinancials!P427</f>
        <v>BANK OF BURLINGTON</v>
      </c>
      <c r="D427" s="0" t="n">
        <f aca="false">RawFinancials!W427</f>
        <v>20231231</v>
      </c>
      <c r="E427" s="0" t="str">
        <f aca="false">RawFinancials!Z427</f>
        <v>VT</v>
      </c>
      <c r="F427" s="0" t="n">
        <f aca="false">RawFinancials!B427</f>
        <v>159178</v>
      </c>
      <c r="G427" s="0" t="n">
        <f aca="false">RawFinancials!U427</f>
        <v>0</v>
      </c>
      <c r="H427" s="0" t="n">
        <f aca="false">RawFinancials!O427</f>
        <v>0</v>
      </c>
      <c r="I427" s="0" t="n">
        <f aca="false">IF(AND(ISNUMBER(G427),ISNUMBER(H427)),G427+H427,"")</f>
        <v>0</v>
      </c>
      <c r="J427" s="0" t="n">
        <f aca="false">RawFinancials!D427</f>
        <v>130214</v>
      </c>
      <c r="K427" s="0" t="n">
        <f aca="false">RawFinancials!F427</f>
        <v>27360</v>
      </c>
      <c r="L427" s="0" t="n">
        <f aca="false">RawFinancials!L427</f>
        <v>77426</v>
      </c>
      <c r="M427" s="0" t="n">
        <f aca="false">RawFinancials!N427</f>
        <v>58407</v>
      </c>
      <c r="N427" s="13" t="n">
        <f aca="false">RawFinancials!X427</f>
        <v>-2.10600972672534</v>
      </c>
      <c r="O427" s="13" t="n">
        <f aca="false">RawFinancials!V427</f>
        <v>0</v>
      </c>
      <c r="P427" s="13" t="n">
        <f aca="false">IF(AND(ISNUMBER(L427),L427&lt;&gt;0,ISNUMBER(M427)),100*M427/L427,"")</f>
        <v>75.4359000852427</v>
      </c>
      <c r="Q427" s="13" t="n">
        <f aca="false">IF(AND(ISNUMBER(F427),F427&lt;&gt;0,ISNUMBER(K427)),100*K427/F427,"")</f>
        <v>17.1883049165086</v>
      </c>
      <c r="R427" s="11" t="b">
        <f aca="false">AND(ISNUMBER(F427),F427&gt;0,ISNUMBER(G427),G427&gt;=0,ISNUMBER(H427),H427&gt;=0)</f>
        <v>1</v>
      </c>
      <c r="S427" s="13" t="n">
        <f aca="false">IF(R427,100*I427/F427,"")</f>
        <v>0</v>
      </c>
      <c r="T427" s="11" t="b">
        <f aca="false">NOT(AND(OR(AND(ISBLANK(RawFinancials!B427),ISBLANK(_RawBaseline!B424)),AND(ISNUMBER(RawFinancials!B427),ISNUMBER(_RawBaseline!B424),RawFinancials!B427=_RawBaseline!B424)),OR(AND(ISBLANK(RawFinancials!U427),ISBLANK(_RawBaseline!U424)),AND(ISNUMBER(RawFinancials!U427),ISNUMBER(_RawBaseline!U424),RawFinancials!U427=_RawBaseline!U424)),OR(AND(ISBLANK(RawFinancials!O427),ISBLANK(_RawBaseline!O424)),AND(ISNUMBER(RawFinancials!O427),ISNUMBER(_RawBaseline!O424),RawFinancials!O427=_RawBaseline!O424))))</f>
        <v>0</v>
      </c>
      <c r="U427" s="13" t="n">
        <f aca="false">IF(AND(D427=WF_START_PERIOD,R427,COUNTIFS($B$5:$B$750,B427,$D$5:$D$750,WF_END_PERIOD,$R$5:$R$750,TRUE())&gt;0),SUMIFS($S$5:$S$750,$B$5:$B$750,B427,$D$5:$D$750,WF_END_PERIOD,$R$5:$R$750,TRUE()),0)</f>
        <v>0</v>
      </c>
      <c r="V427" s="0" t="str">
        <f aca="false">IF(AND(D427=WF_START_PERIOD,COUNTIFS($B$5:$B$750,B427,$D$5:$D$750,WF_END_PERIOD)&gt;0),INDEX($E$5:$E$750,MATCH(B427&amp;"|"&amp;WF_END_PERIOD,$AC$5:$AC$750,0)),"")</f>
        <v/>
      </c>
      <c r="W427" s="11" t="b">
        <f aca="false">COUNTIFS($B$5:$B$750,B427,$D$5:$D$750,WF_START_PERIOD,$R$5:$R$750,TRUE())&gt;0</f>
        <v>1</v>
      </c>
      <c r="X427" s="11" t="b">
        <f aca="false">COUNTIFS($B$5:$B$750,B427,$D$5:$D$750,WF_END_PERIOD,$R$5:$R$750,TRUE())&gt;0</f>
        <v>1</v>
      </c>
      <c r="Y427" s="0" t="str">
        <f aca="false">IF(AND(D427=WF_END_PERIOD,COUNTIFS($B$5:$B$750,B427,$D$5:$D$750,WF_START_PERIOD)&gt;0),INDEX($E$5:$E$750,MATCH(B427&amp;"|"&amp;WF_START_PERIOD,$AC$5:$AC$750,0)),"")</f>
        <v/>
      </c>
      <c r="Z427" s="0" t="str">
        <f aca="false">IF(AND(D427=WF_END_PERIOD,R427),1+COUNTIFS($D$5:$D$750,WF_END_PERIOD,$E$5:$E$750,E427,$R$5:$R$750,TRUE(),$S$5:$S$750,"&gt;"&amp;S427)+COUNTIFS($D$5:$D$750,WF_END_PERIOD,$E$5:$E$750,E427,$R$5:$R$750,TRUE(),$S$5:$S$750,S427,$B$5:$B$750,"&lt;"&amp;B427),"")</f>
        <v/>
      </c>
      <c r="AA427" s="0" t="str">
        <f aca="false">IF(AND(D427=WF_END_PERIOD,R427,Z427&lt;&gt;1),1+COUNTIFS($D$5:$D$750,WF_END_PERIOD,$R$5:$R$750,TRUE(),$Z$5:$Z$750,"&lt;&gt;1",$S$5:$S$750,"&gt;"&amp;S427)+COUNTIFS($D$5:$D$750,WF_END_PERIOD,$R$5:$R$750,TRUE(),$Z$5:$Z$750,"&lt;&gt;1",$S$5:$S$750,S427,$B$5:$B$750,"&lt;"&amp;B427),"")</f>
        <v/>
      </c>
      <c r="AB427" s="11" t="b">
        <f aca="false">OR(D427=WF_START_PERIOD,D427=WF_END_PERIOD)</f>
        <v>0</v>
      </c>
      <c r="AC427" s="0" t="str">
        <f aca="false">B427&amp;"|"&amp;D427</f>
        <v>59298|20231231</v>
      </c>
    </row>
    <row r="428" customFormat="false" ht="15" hidden="false" customHeight="false" outlineLevel="0" collapsed="false">
      <c r="A428" s="0" t="n">
        <f aca="false">RawFinancials!A428</f>
        <v>425</v>
      </c>
      <c r="B428" s="0" t="n">
        <f aca="false">RawFinancials!C428</f>
        <v>6271</v>
      </c>
      <c r="C428" s="0" t="str">
        <f aca="false">RawFinancials!P428</f>
        <v>COMMUNITY NATIONAL BANK</v>
      </c>
      <c r="D428" s="0" t="n">
        <f aca="false">RawFinancials!W428</f>
        <v>20231231</v>
      </c>
      <c r="E428" s="0" t="str">
        <f aca="false">RawFinancials!Z428</f>
        <v>VT</v>
      </c>
      <c r="F428" s="0" t="n">
        <f aca="false">RawFinancials!B428</f>
        <v>1098634</v>
      </c>
      <c r="G428" s="0" t="n">
        <f aca="false">RawFinancials!U428</f>
        <v>485</v>
      </c>
      <c r="H428" s="0" t="n">
        <f aca="false">RawFinancials!O428</f>
        <v>6955</v>
      </c>
      <c r="I428" s="0" t="n">
        <f aca="false">IF(AND(ISNUMBER(G428),ISNUMBER(H428)),G428+H428,"")</f>
        <v>7440</v>
      </c>
      <c r="J428" s="0" t="n">
        <f aca="false">RawFinancials!D428</f>
        <v>898049</v>
      </c>
      <c r="K428" s="0" t="n">
        <f aca="false">RawFinancials!F428</f>
        <v>101032</v>
      </c>
      <c r="L428" s="0" t="n">
        <f aca="false">RawFinancials!L428</f>
        <v>846003</v>
      </c>
      <c r="M428" s="0" t="n">
        <f aca="false">RawFinancials!N428</f>
        <v>655964</v>
      </c>
      <c r="N428" s="13" t="n">
        <f aca="false">RawFinancials!X428</f>
        <v>1.3825664132056</v>
      </c>
      <c r="O428" s="13" t="n">
        <f aca="false">RawFinancials!V428</f>
        <v>14.9041762421334</v>
      </c>
      <c r="P428" s="13" t="n">
        <f aca="false">IF(AND(ISNUMBER(L428),L428&lt;&gt;0,ISNUMBER(M428)),100*M428/L428,"")</f>
        <v>77.536840885907</v>
      </c>
      <c r="Q428" s="13" t="n">
        <f aca="false">IF(AND(ISNUMBER(F428),F428&lt;&gt;0,ISNUMBER(K428)),100*K428/F428,"")</f>
        <v>9.19614721554221</v>
      </c>
      <c r="R428" s="11" t="b">
        <f aca="false">AND(ISNUMBER(F428),F428&gt;0,ISNUMBER(G428),G428&gt;=0,ISNUMBER(H428),H428&gt;=0)</f>
        <v>1</v>
      </c>
      <c r="S428" s="13" t="n">
        <f aca="false">IF(R428,100*I428/F428,"")</f>
        <v>0.677204601350404</v>
      </c>
      <c r="T428" s="11" t="b">
        <f aca="false">NOT(AND(OR(AND(ISBLANK(RawFinancials!B428),ISBLANK(_RawBaseline!B425)),AND(ISNUMBER(RawFinancials!B428),ISNUMBER(_RawBaseline!B425),RawFinancials!B428=_RawBaseline!B425)),OR(AND(ISBLANK(RawFinancials!U428),ISBLANK(_RawBaseline!U425)),AND(ISNUMBER(RawFinancials!U428),ISNUMBER(_RawBaseline!U425),RawFinancials!U428=_RawBaseline!U425)),OR(AND(ISBLANK(RawFinancials!O428),ISBLANK(_RawBaseline!O425)),AND(ISNUMBER(RawFinancials!O428),ISNUMBER(_RawBaseline!O425),RawFinancials!O428=_RawBaseline!O425))))</f>
        <v>0</v>
      </c>
      <c r="U428" s="13" t="n">
        <f aca="false">IF(AND(D428=WF_START_PERIOD,R428,COUNTIFS($B$5:$B$750,B428,$D$5:$D$750,WF_END_PERIOD,$R$5:$R$750,TRUE())&gt;0),SUMIFS($S$5:$S$750,$B$5:$B$750,B428,$D$5:$D$750,WF_END_PERIOD,$R$5:$R$750,TRUE()),0)</f>
        <v>0</v>
      </c>
      <c r="V428" s="0" t="str">
        <f aca="false">IF(AND(D428=WF_START_PERIOD,COUNTIFS($B$5:$B$750,B428,$D$5:$D$750,WF_END_PERIOD)&gt;0),INDEX($E$5:$E$750,MATCH(B428&amp;"|"&amp;WF_END_PERIOD,$AC$5:$AC$750,0)),"")</f>
        <v/>
      </c>
      <c r="W428" s="11" t="b">
        <f aca="false">COUNTIFS($B$5:$B$750,B428,$D$5:$D$750,WF_START_PERIOD,$R$5:$R$750,TRUE())&gt;0</f>
        <v>1</v>
      </c>
      <c r="X428" s="11" t="b">
        <f aca="false">COUNTIFS($B$5:$B$750,B428,$D$5:$D$750,WF_END_PERIOD,$R$5:$R$750,TRUE())&gt;0</f>
        <v>1</v>
      </c>
      <c r="Y428" s="0" t="str">
        <f aca="false">IF(AND(D428=WF_END_PERIOD,COUNTIFS($B$5:$B$750,B428,$D$5:$D$750,WF_START_PERIOD)&gt;0),INDEX($E$5:$E$750,MATCH(B428&amp;"|"&amp;WF_START_PERIOD,$AC$5:$AC$750,0)),"")</f>
        <v/>
      </c>
      <c r="Z428" s="0" t="str">
        <f aca="false">IF(AND(D428=WF_END_PERIOD,R428),1+COUNTIFS($D$5:$D$750,WF_END_PERIOD,$E$5:$E$750,E428,$R$5:$R$750,TRUE(),$S$5:$S$750,"&gt;"&amp;S428)+COUNTIFS($D$5:$D$750,WF_END_PERIOD,$E$5:$E$750,E428,$R$5:$R$750,TRUE(),$S$5:$S$750,S428,$B$5:$B$750,"&lt;"&amp;B428),"")</f>
        <v/>
      </c>
      <c r="AA428" s="0" t="str">
        <f aca="false">IF(AND(D428=WF_END_PERIOD,R428,Z428&lt;&gt;1),1+COUNTIFS($D$5:$D$750,WF_END_PERIOD,$R$5:$R$750,TRUE(),$Z$5:$Z$750,"&lt;&gt;1",$S$5:$S$750,"&gt;"&amp;S428)+COUNTIFS($D$5:$D$750,WF_END_PERIOD,$R$5:$R$750,TRUE(),$Z$5:$Z$750,"&lt;&gt;1",$S$5:$S$750,S428,$B$5:$B$750,"&lt;"&amp;B428),"")</f>
        <v/>
      </c>
      <c r="AB428" s="11" t="b">
        <f aca="false">OR(D428=WF_START_PERIOD,D428=WF_END_PERIOD)</f>
        <v>0</v>
      </c>
      <c r="AC428" s="0" t="str">
        <f aca="false">B428&amp;"|"&amp;D428</f>
        <v>6271|20231231</v>
      </c>
    </row>
    <row r="429" customFormat="false" ht="15" hidden="false" customHeight="false" outlineLevel="0" collapsed="false">
      <c r="A429" s="0" t="n">
        <f aca="false">RawFinancials!A429</f>
        <v>426</v>
      </c>
      <c r="B429" s="0" t="n">
        <f aca="false">RawFinancials!C429</f>
        <v>6275</v>
      </c>
      <c r="C429" s="0" t="str">
        <f aca="false">RawFinancials!P429</f>
        <v>THE NATIONAL BANK OF MIDDLEBURY</v>
      </c>
      <c r="D429" s="0" t="n">
        <f aca="false">RawFinancials!W429</f>
        <v>20231231</v>
      </c>
      <c r="E429" s="0" t="str">
        <f aca="false">RawFinancials!Z429</f>
        <v>VT</v>
      </c>
      <c r="F429" s="0" t="n">
        <f aca="false">RawFinancials!B429</f>
        <v>560588</v>
      </c>
      <c r="G429" s="0" t="n">
        <f aca="false">RawFinancials!U429</f>
        <v>104</v>
      </c>
      <c r="H429" s="0" t="n">
        <f aca="false">RawFinancials!O429</f>
        <v>1221</v>
      </c>
      <c r="I429" s="0" t="n">
        <f aca="false">IF(AND(ISNUMBER(G429),ISNUMBER(H429)),G429+H429,"")</f>
        <v>1325</v>
      </c>
      <c r="J429" s="0" t="n">
        <f aca="false">RawFinancials!D429</f>
        <v>486814</v>
      </c>
      <c r="K429" s="0" t="n">
        <f aca="false">RawFinancials!F429</f>
        <v>30793</v>
      </c>
      <c r="L429" s="0" t="n">
        <f aca="false">RawFinancials!L429</f>
        <v>336986</v>
      </c>
      <c r="M429" s="0" t="n">
        <f aca="false">RawFinancials!N429</f>
        <v>278886</v>
      </c>
      <c r="N429" s="13" t="n">
        <f aca="false">RawFinancials!X429</f>
        <v>0.433314521647085</v>
      </c>
      <c r="O429" s="13" t="n">
        <f aca="false">RawFinancials!V429</f>
        <v>14.8417408506429</v>
      </c>
      <c r="P429" s="13" t="n">
        <f aca="false">IF(AND(ISNUMBER(L429),L429&lt;&gt;0,ISNUMBER(M429)),100*M429/L429,"")</f>
        <v>82.7589276705857</v>
      </c>
      <c r="Q429" s="13" t="n">
        <f aca="false">IF(AND(ISNUMBER(F429),F429&lt;&gt;0,ISNUMBER(K429)),100*K429/F429,"")</f>
        <v>5.49298236851306</v>
      </c>
      <c r="R429" s="11" t="b">
        <f aca="false">AND(ISNUMBER(F429),F429&gt;0,ISNUMBER(G429),G429&gt;=0,ISNUMBER(H429),H429&gt;=0)</f>
        <v>1</v>
      </c>
      <c r="S429" s="13" t="n">
        <f aca="false">IF(R429,100*I429/F429,"")</f>
        <v>0.236358965942903</v>
      </c>
      <c r="T429" s="11" t="b">
        <f aca="false">NOT(AND(OR(AND(ISBLANK(RawFinancials!B429),ISBLANK(_RawBaseline!B426)),AND(ISNUMBER(RawFinancials!B429),ISNUMBER(_RawBaseline!B426),RawFinancials!B429=_RawBaseline!B426)),OR(AND(ISBLANK(RawFinancials!U429),ISBLANK(_RawBaseline!U426)),AND(ISNUMBER(RawFinancials!U429),ISNUMBER(_RawBaseline!U426),RawFinancials!U429=_RawBaseline!U426)),OR(AND(ISBLANK(RawFinancials!O429),ISBLANK(_RawBaseline!O426)),AND(ISNUMBER(RawFinancials!O429),ISNUMBER(_RawBaseline!O426),RawFinancials!O429=_RawBaseline!O426))))</f>
        <v>0</v>
      </c>
      <c r="U429" s="13" t="n">
        <f aca="false">IF(AND(D429=WF_START_PERIOD,R429,COUNTIFS($B$5:$B$750,B429,$D$5:$D$750,WF_END_PERIOD,$R$5:$R$750,TRUE())&gt;0),SUMIFS($S$5:$S$750,$B$5:$B$750,B429,$D$5:$D$750,WF_END_PERIOD,$R$5:$R$750,TRUE()),0)</f>
        <v>0</v>
      </c>
      <c r="V429" s="0" t="str">
        <f aca="false">IF(AND(D429=WF_START_PERIOD,COUNTIFS($B$5:$B$750,B429,$D$5:$D$750,WF_END_PERIOD)&gt;0),INDEX($E$5:$E$750,MATCH(B429&amp;"|"&amp;WF_END_PERIOD,$AC$5:$AC$750,0)),"")</f>
        <v/>
      </c>
      <c r="W429" s="11" t="b">
        <f aca="false">COUNTIFS($B$5:$B$750,B429,$D$5:$D$750,WF_START_PERIOD,$R$5:$R$750,TRUE())&gt;0</f>
        <v>1</v>
      </c>
      <c r="X429" s="11" t="b">
        <f aca="false">COUNTIFS($B$5:$B$750,B429,$D$5:$D$750,WF_END_PERIOD,$R$5:$R$750,TRUE())&gt;0</f>
        <v>1</v>
      </c>
      <c r="Y429" s="0" t="str">
        <f aca="false">IF(AND(D429=WF_END_PERIOD,COUNTIFS($B$5:$B$750,B429,$D$5:$D$750,WF_START_PERIOD)&gt;0),INDEX($E$5:$E$750,MATCH(B429&amp;"|"&amp;WF_START_PERIOD,$AC$5:$AC$750,0)),"")</f>
        <v/>
      </c>
      <c r="Z429" s="0" t="str">
        <f aca="false">IF(AND(D429=WF_END_PERIOD,R429),1+COUNTIFS($D$5:$D$750,WF_END_PERIOD,$E$5:$E$750,E429,$R$5:$R$750,TRUE(),$S$5:$S$750,"&gt;"&amp;S429)+COUNTIFS($D$5:$D$750,WF_END_PERIOD,$E$5:$E$750,E429,$R$5:$R$750,TRUE(),$S$5:$S$750,S429,$B$5:$B$750,"&lt;"&amp;B429),"")</f>
        <v/>
      </c>
      <c r="AA429" s="0" t="str">
        <f aca="false">IF(AND(D429=WF_END_PERIOD,R429,Z429&lt;&gt;1),1+COUNTIFS($D$5:$D$750,WF_END_PERIOD,$R$5:$R$750,TRUE(),$Z$5:$Z$750,"&lt;&gt;1",$S$5:$S$750,"&gt;"&amp;S429)+COUNTIFS($D$5:$D$750,WF_END_PERIOD,$R$5:$R$750,TRUE(),$Z$5:$Z$750,"&lt;&gt;1",$S$5:$S$750,S429,$B$5:$B$750,"&lt;"&amp;B429),"")</f>
        <v/>
      </c>
      <c r="AB429" s="11" t="b">
        <f aca="false">OR(D429=WF_START_PERIOD,D429=WF_END_PERIOD)</f>
        <v>0</v>
      </c>
      <c r="AC429" s="0" t="str">
        <f aca="false">B429&amp;"|"&amp;D429</f>
        <v>6275|20231231</v>
      </c>
    </row>
    <row r="430" customFormat="false" ht="15" hidden="false" customHeight="false" outlineLevel="0" collapsed="false">
      <c r="A430" s="0" t="n">
        <f aca="false">RawFinancials!A430</f>
        <v>427</v>
      </c>
      <c r="B430" s="0" t="n">
        <f aca="false">RawFinancials!C430</f>
        <v>6280</v>
      </c>
      <c r="C430" s="0" t="str">
        <f aca="false">RawFinancials!P430</f>
        <v>THE FIRST NATIONAL BANK OF ORWELL</v>
      </c>
      <c r="D430" s="0" t="n">
        <f aca="false">RawFinancials!W430</f>
        <v>20231231</v>
      </c>
      <c r="E430" s="0" t="str">
        <f aca="false">RawFinancials!Z430</f>
        <v>VT</v>
      </c>
      <c r="F430" s="0" t="n">
        <f aca="false">RawFinancials!B430</f>
        <v>78840</v>
      </c>
      <c r="G430" s="0" t="n">
        <f aca="false">RawFinancials!U430</f>
        <v>0</v>
      </c>
      <c r="H430" s="0" t="n">
        <f aca="false">RawFinancials!O430</f>
        <v>956</v>
      </c>
      <c r="I430" s="0" t="n">
        <f aca="false">IF(AND(ISNUMBER(G430),ISNUMBER(H430)),G430+H430,"")</f>
        <v>956</v>
      </c>
      <c r="J430" s="0" t="n">
        <f aca="false">RawFinancials!D430</f>
        <v>68883</v>
      </c>
      <c r="K430" s="0" t="n">
        <f aca="false">RawFinancials!F430</f>
        <v>9375</v>
      </c>
      <c r="L430" s="0" t="n">
        <f aca="false">RawFinancials!L430</f>
        <v>67918</v>
      </c>
      <c r="M430" s="0" t="n">
        <f aca="false">RawFinancials!N430</f>
        <v>59964</v>
      </c>
      <c r="N430" s="13" t="n">
        <f aca="false">RawFinancials!X430</f>
        <v>1.84538132619786</v>
      </c>
      <c r="O430" s="13" t="n">
        <f aca="false">RawFinancials!V430</f>
        <v>0</v>
      </c>
      <c r="P430" s="13" t="n">
        <f aca="false">IF(AND(ISNUMBER(L430),L430&lt;&gt;0,ISNUMBER(M430)),100*M430/L430,"")</f>
        <v>88.2888188698136</v>
      </c>
      <c r="Q430" s="13" t="n">
        <f aca="false">IF(AND(ISNUMBER(F430),F430&lt;&gt;0,ISNUMBER(K430)),100*K430/F430,"")</f>
        <v>11.8911719939117</v>
      </c>
      <c r="R430" s="11" t="b">
        <f aca="false">AND(ISNUMBER(F430),F430&gt;0,ISNUMBER(G430),G430&gt;=0,ISNUMBER(H430),H430&gt;=0)</f>
        <v>1</v>
      </c>
      <c r="S430" s="13" t="n">
        <f aca="false">IF(R430,100*I430/F430,"")</f>
        <v>1.21258244545916</v>
      </c>
      <c r="T430" s="11" t="b">
        <f aca="false">NOT(AND(OR(AND(ISBLANK(RawFinancials!B430),ISBLANK(_RawBaseline!B427)),AND(ISNUMBER(RawFinancials!B430),ISNUMBER(_RawBaseline!B427),RawFinancials!B430=_RawBaseline!B427)),OR(AND(ISBLANK(RawFinancials!U430),ISBLANK(_RawBaseline!U427)),AND(ISNUMBER(RawFinancials!U430),ISNUMBER(_RawBaseline!U427),RawFinancials!U430=_RawBaseline!U427)),OR(AND(ISBLANK(RawFinancials!O430),ISBLANK(_RawBaseline!O427)),AND(ISNUMBER(RawFinancials!O430),ISNUMBER(_RawBaseline!O427),RawFinancials!O430=_RawBaseline!O427))))</f>
        <v>0</v>
      </c>
      <c r="U430" s="13" t="n">
        <f aca="false">IF(AND(D430=WF_START_PERIOD,R430,COUNTIFS($B$5:$B$750,B430,$D$5:$D$750,WF_END_PERIOD,$R$5:$R$750,TRUE())&gt;0),SUMIFS($S$5:$S$750,$B$5:$B$750,B430,$D$5:$D$750,WF_END_PERIOD,$R$5:$R$750,TRUE()),0)</f>
        <v>0</v>
      </c>
      <c r="V430" s="0" t="str">
        <f aca="false">IF(AND(D430=WF_START_PERIOD,COUNTIFS($B$5:$B$750,B430,$D$5:$D$750,WF_END_PERIOD)&gt;0),INDEX($E$5:$E$750,MATCH(B430&amp;"|"&amp;WF_END_PERIOD,$AC$5:$AC$750,0)),"")</f>
        <v/>
      </c>
      <c r="W430" s="11" t="b">
        <f aca="false">COUNTIFS($B$5:$B$750,B430,$D$5:$D$750,WF_START_PERIOD,$R$5:$R$750,TRUE())&gt;0</f>
        <v>1</v>
      </c>
      <c r="X430" s="11" t="b">
        <f aca="false">COUNTIFS($B$5:$B$750,B430,$D$5:$D$750,WF_END_PERIOD,$R$5:$R$750,TRUE())&gt;0</f>
        <v>1</v>
      </c>
      <c r="Y430" s="0" t="str">
        <f aca="false">IF(AND(D430=WF_END_PERIOD,COUNTIFS($B$5:$B$750,B430,$D$5:$D$750,WF_START_PERIOD)&gt;0),INDEX($E$5:$E$750,MATCH(B430&amp;"|"&amp;WF_START_PERIOD,$AC$5:$AC$750,0)),"")</f>
        <v/>
      </c>
      <c r="Z430" s="0" t="str">
        <f aca="false">IF(AND(D430=WF_END_PERIOD,R430),1+COUNTIFS($D$5:$D$750,WF_END_PERIOD,$E$5:$E$750,E430,$R$5:$R$750,TRUE(),$S$5:$S$750,"&gt;"&amp;S430)+COUNTIFS($D$5:$D$750,WF_END_PERIOD,$E$5:$E$750,E430,$R$5:$R$750,TRUE(),$S$5:$S$750,S430,$B$5:$B$750,"&lt;"&amp;B430),"")</f>
        <v/>
      </c>
      <c r="AA430" s="0" t="str">
        <f aca="false">IF(AND(D430=WF_END_PERIOD,R430,Z430&lt;&gt;1),1+COUNTIFS($D$5:$D$750,WF_END_PERIOD,$R$5:$R$750,TRUE(),$Z$5:$Z$750,"&lt;&gt;1",$S$5:$S$750,"&gt;"&amp;S430)+COUNTIFS($D$5:$D$750,WF_END_PERIOD,$R$5:$R$750,TRUE(),$Z$5:$Z$750,"&lt;&gt;1",$S$5:$S$750,S430,$B$5:$B$750,"&lt;"&amp;B430),"")</f>
        <v/>
      </c>
      <c r="AB430" s="11" t="b">
        <f aca="false">OR(D430=WF_START_PERIOD,D430=WF_END_PERIOD)</f>
        <v>0</v>
      </c>
      <c r="AC430" s="0" t="str">
        <f aca="false">B430&amp;"|"&amp;D430</f>
        <v>6280|20231231</v>
      </c>
    </row>
    <row r="431" customFormat="false" ht="15" hidden="false" customHeight="false" outlineLevel="0" collapsed="false">
      <c r="A431" s="0" t="n">
        <f aca="false">RawFinancials!A431</f>
        <v>428</v>
      </c>
      <c r="B431" s="0" t="n">
        <f aca="false">RawFinancials!C431</f>
        <v>11971</v>
      </c>
      <c r="C431" s="0" t="str">
        <f aca="false">RawFinancials!P431</f>
        <v>BAR HARBOR BANK &amp; TRUST</v>
      </c>
      <c r="D431" s="0" t="n">
        <f aca="false">RawFinancials!W431</f>
        <v>20240331</v>
      </c>
      <c r="E431" s="0" t="str">
        <f aca="false">RawFinancials!Z431</f>
        <v>ME</v>
      </c>
      <c r="F431" s="0" t="n">
        <f aca="false">RawFinancials!B431</f>
        <v>3955727</v>
      </c>
      <c r="G431" s="0" t="n">
        <f aca="false">RawFinancials!U431</f>
        <v>0</v>
      </c>
      <c r="H431" s="0" t="n">
        <f aca="false">RawFinancials!O431</f>
        <v>6869</v>
      </c>
      <c r="I431" s="0" t="n">
        <f aca="false">IF(AND(ISNUMBER(G431),ISNUMBER(H431)),G431+H431,"")</f>
        <v>6869</v>
      </c>
      <c r="J431" s="0" t="n">
        <f aca="false">RawFinancials!D431</f>
        <v>3137892</v>
      </c>
      <c r="K431" s="0" t="n">
        <f aca="false">RawFinancials!F431</f>
        <v>487592</v>
      </c>
      <c r="L431" s="0" t="n">
        <f aca="false">RawFinancials!L431</f>
        <v>3014809</v>
      </c>
      <c r="M431" s="0" t="n">
        <f aca="false">RawFinancials!N431</f>
        <v>2661075</v>
      </c>
      <c r="N431" s="13" t="n">
        <f aca="false">RawFinancials!X431</f>
        <v>1.1683674016711</v>
      </c>
      <c r="O431" s="13" t="n">
        <f aca="false">RawFinancials!V431</f>
        <v>14.0984467343394</v>
      </c>
      <c r="P431" s="13" t="n">
        <f aca="false">IF(AND(ISNUMBER(L431),L431&lt;&gt;0,ISNUMBER(M431)),100*M431/L431,"")</f>
        <v>88.2667857234074</v>
      </c>
      <c r="Q431" s="13" t="n">
        <f aca="false">IF(AND(ISNUMBER(F431),F431&lt;&gt;0,ISNUMBER(K431)),100*K431/F431,"")</f>
        <v>12.3262297929053</v>
      </c>
      <c r="R431" s="11" t="b">
        <f aca="false">AND(ISNUMBER(F431),F431&gt;0,ISNUMBER(G431),G431&gt;=0,ISNUMBER(H431),H431&gt;=0)</f>
        <v>1</v>
      </c>
      <c r="S431" s="13" t="n">
        <f aca="false">IF(R431,100*I431/F431,"")</f>
        <v>0.173646968054166</v>
      </c>
      <c r="T431" s="11" t="b">
        <f aca="false">NOT(AND(OR(AND(ISBLANK(RawFinancials!B431),ISBLANK(_RawBaseline!B428)),AND(ISNUMBER(RawFinancials!B431),ISNUMBER(_RawBaseline!B428),RawFinancials!B431=_RawBaseline!B428)),OR(AND(ISBLANK(RawFinancials!U431),ISBLANK(_RawBaseline!U428)),AND(ISNUMBER(RawFinancials!U431),ISNUMBER(_RawBaseline!U428),RawFinancials!U431=_RawBaseline!U428)),OR(AND(ISBLANK(RawFinancials!O431),ISBLANK(_RawBaseline!O428)),AND(ISNUMBER(RawFinancials!O431),ISNUMBER(_RawBaseline!O428),RawFinancials!O431=_RawBaseline!O428))))</f>
        <v>0</v>
      </c>
      <c r="U431" s="13" t="n">
        <f aca="false">IF(AND(D431=WF_START_PERIOD,R431,COUNTIFS($B$5:$B$750,B431,$D$5:$D$750,WF_END_PERIOD,$R$5:$R$750,TRUE())&gt;0),SUMIFS($S$5:$S$750,$B$5:$B$750,B431,$D$5:$D$750,WF_END_PERIOD,$R$5:$R$750,TRUE()),0)</f>
        <v>0</v>
      </c>
      <c r="V431" s="0" t="str">
        <f aca="false">IF(AND(D431=WF_START_PERIOD,COUNTIFS($B$5:$B$750,B431,$D$5:$D$750,WF_END_PERIOD)&gt;0),INDEX($E$5:$E$750,MATCH(B431&amp;"|"&amp;WF_END_PERIOD,$AC$5:$AC$750,0)),"")</f>
        <v/>
      </c>
      <c r="W431" s="11" t="b">
        <f aca="false">COUNTIFS($B$5:$B$750,B431,$D$5:$D$750,WF_START_PERIOD,$R$5:$R$750,TRUE())&gt;0</f>
        <v>1</v>
      </c>
      <c r="X431" s="11" t="b">
        <f aca="false">COUNTIFS($B$5:$B$750,B431,$D$5:$D$750,WF_END_PERIOD,$R$5:$R$750,TRUE())&gt;0</f>
        <v>1</v>
      </c>
      <c r="Y431" s="0" t="str">
        <f aca="false">IF(AND(D431=WF_END_PERIOD,COUNTIFS($B$5:$B$750,B431,$D$5:$D$750,WF_START_PERIOD)&gt;0),INDEX($E$5:$E$750,MATCH(B431&amp;"|"&amp;WF_START_PERIOD,$AC$5:$AC$750,0)),"")</f>
        <v/>
      </c>
      <c r="Z431" s="0" t="str">
        <f aca="false">IF(AND(D431=WF_END_PERIOD,R431),1+COUNTIFS($D$5:$D$750,WF_END_PERIOD,$E$5:$E$750,E431,$R$5:$R$750,TRUE(),$S$5:$S$750,"&gt;"&amp;S431)+COUNTIFS($D$5:$D$750,WF_END_PERIOD,$E$5:$E$750,E431,$R$5:$R$750,TRUE(),$S$5:$S$750,S431,$B$5:$B$750,"&lt;"&amp;B431),"")</f>
        <v/>
      </c>
      <c r="AA431" s="0" t="str">
        <f aca="false">IF(AND(D431=WF_END_PERIOD,R431,Z431&lt;&gt;1),1+COUNTIFS($D$5:$D$750,WF_END_PERIOD,$R$5:$R$750,TRUE(),$Z$5:$Z$750,"&lt;&gt;1",$S$5:$S$750,"&gt;"&amp;S431)+COUNTIFS($D$5:$D$750,WF_END_PERIOD,$R$5:$R$750,TRUE(),$Z$5:$Z$750,"&lt;&gt;1",$S$5:$S$750,S431,$B$5:$B$750,"&lt;"&amp;B431),"")</f>
        <v/>
      </c>
      <c r="AB431" s="11" t="b">
        <f aca="false">OR(D431=WF_START_PERIOD,D431=WF_END_PERIOD)</f>
        <v>0</v>
      </c>
      <c r="AC431" s="0" t="str">
        <f aca="false">B431&amp;"|"&amp;D431</f>
        <v>11971|20240331</v>
      </c>
    </row>
    <row r="432" customFormat="false" ht="15" hidden="false" customHeight="false" outlineLevel="0" collapsed="false">
      <c r="A432" s="0" t="n">
        <f aca="false">RawFinancials!A432</f>
        <v>429</v>
      </c>
      <c r="B432" s="0" t="n">
        <f aca="false">RawFinancials!C432</f>
        <v>12874</v>
      </c>
      <c r="C432" s="0" t="str">
        <f aca="false">RawFinancials!P432</f>
        <v>KATAHDIN TRUST COMPANY</v>
      </c>
      <c r="D432" s="0" t="n">
        <f aca="false">RawFinancials!W432</f>
        <v>20240331</v>
      </c>
      <c r="E432" s="0" t="str">
        <f aca="false">RawFinancials!Z432</f>
        <v>ME</v>
      </c>
      <c r="F432" s="0" t="n">
        <f aca="false">RawFinancials!B432</f>
        <v>1024449</v>
      </c>
      <c r="G432" s="0" t="n">
        <f aca="false">RawFinancials!U432</f>
        <v>0</v>
      </c>
      <c r="H432" s="0" t="n">
        <f aca="false">RawFinancials!O432</f>
        <v>1466</v>
      </c>
      <c r="I432" s="0" t="n">
        <f aca="false">IF(AND(ISNUMBER(G432),ISNUMBER(H432)),G432+H432,"")</f>
        <v>1466</v>
      </c>
      <c r="J432" s="0" t="n">
        <f aca="false">RawFinancials!D432</f>
        <v>876882</v>
      </c>
      <c r="K432" s="0" t="n">
        <f aca="false">RawFinancials!F432</f>
        <v>106671</v>
      </c>
      <c r="L432" s="0" t="n">
        <f aca="false">RawFinancials!L432</f>
        <v>797792</v>
      </c>
      <c r="M432" s="0" t="n">
        <f aca="false">RawFinancials!N432</f>
        <v>629564</v>
      </c>
      <c r="N432" s="13" t="n">
        <f aca="false">RawFinancials!X432</f>
        <v>0.884731192413479</v>
      </c>
      <c r="O432" s="13" t="n">
        <f aca="false">RawFinancials!V432</f>
        <v>16.0884328878907</v>
      </c>
      <c r="P432" s="13" t="n">
        <f aca="false">IF(AND(ISNUMBER(L432),L432&lt;&gt;0,ISNUMBER(M432)),100*M432/L432,"")</f>
        <v>78.9133007099595</v>
      </c>
      <c r="Q432" s="13" t="n">
        <f aca="false">IF(AND(ISNUMBER(F432),F432&lt;&gt;0,ISNUMBER(K432)),100*K432/F432,"")</f>
        <v>10.4125241959336</v>
      </c>
      <c r="R432" s="11" t="b">
        <f aca="false">AND(ISNUMBER(F432),F432&gt;0,ISNUMBER(G432),G432&gt;=0,ISNUMBER(H432),H432&gt;=0)</f>
        <v>1</v>
      </c>
      <c r="S432" s="13" t="n">
        <f aca="false">IF(R432,100*I432/F432,"")</f>
        <v>0.143101315926903</v>
      </c>
      <c r="T432" s="11" t="b">
        <f aca="false">NOT(AND(OR(AND(ISBLANK(RawFinancials!B432),ISBLANK(_RawBaseline!B429)),AND(ISNUMBER(RawFinancials!B432),ISNUMBER(_RawBaseline!B429),RawFinancials!B432=_RawBaseline!B429)),OR(AND(ISBLANK(RawFinancials!U432),ISBLANK(_RawBaseline!U429)),AND(ISNUMBER(RawFinancials!U432),ISNUMBER(_RawBaseline!U429),RawFinancials!U432=_RawBaseline!U429)),OR(AND(ISBLANK(RawFinancials!O432),ISBLANK(_RawBaseline!O429)),AND(ISNUMBER(RawFinancials!O432),ISNUMBER(_RawBaseline!O429),RawFinancials!O432=_RawBaseline!O429))))</f>
        <v>0</v>
      </c>
      <c r="U432" s="13" t="n">
        <f aca="false">IF(AND(D432=WF_START_PERIOD,R432,COUNTIFS($B$5:$B$750,B432,$D$5:$D$750,WF_END_PERIOD,$R$5:$R$750,TRUE())&gt;0),SUMIFS($S$5:$S$750,$B$5:$B$750,B432,$D$5:$D$750,WF_END_PERIOD,$R$5:$R$750,TRUE()),0)</f>
        <v>0</v>
      </c>
      <c r="V432" s="0" t="str">
        <f aca="false">IF(AND(D432=WF_START_PERIOD,COUNTIFS($B$5:$B$750,B432,$D$5:$D$750,WF_END_PERIOD)&gt;0),INDEX($E$5:$E$750,MATCH(B432&amp;"|"&amp;WF_END_PERIOD,$AC$5:$AC$750,0)),"")</f>
        <v/>
      </c>
      <c r="W432" s="11" t="b">
        <f aca="false">COUNTIFS($B$5:$B$750,B432,$D$5:$D$750,WF_START_PERIOD,$R$5:$R$750,TRUE())&gt;0</f>
        <v>1</v>
      </c>
      <c r="X432" s="11" t="b">
        <f aca="false">COUNTIFS($B$5:$B$750,B432,$D$5:$D$750,WF_END_PERIOD,$R$5:$R$750,TRUE())&gt;0</f>
        <v>1</v>
      </c>
      <c r="Y432" s="0" t="str">
        <f aca="false">IF(AND(D432=WF_END_PERIOD,COUNTIFS($B$5:$B$750,B432,$D$5:$D$750,WF_START_PERIOD)&gt;0),INDEX($E$5:$E$750,MATCH(B432&amp;"|"&amp;WF_START_PERIOD,$AC$5:$AC$750,0)),"")</f>
        <v/>
      </c>
      <c r="Z432" s="0" t="str">
        <f aca="false">IF(AND(D432=WF_END_PERIOD,R432),1+COUNTIFS($D$5:$D$750,WF_END_PERIOD,$E$5:$E$750,E432,$R$5:$R$750,TRUE(),$S$5:$S$750,"&gt;"&amp;S432)+COUNTIFS($D$5:$D$750,WF_END_PERIOD,$E$5:$E$750,E432,$R$5:$R$750,TRUE(),$S$5:$S$750,S432,$B$5:$B$750,"&lt;"&amp;B432),"")</f>
        <v/>
      </c>
      <c r="AA432" s="0" t="str">
        <f aca="false">IF(AND(D432=WF_END_PERIOD,R432,Z432&lt;&gt;1),1+COUNTIFS($D$5:$D$750,WF_END_PERIOD,$R$5:$R$750,TRUE(),$Z$5:$Z$750,"&lt;&gt;1",$S$5:$S$750,"&gt;"&amp;S432)+COUNTIFS($D$5:$D$750,WF_END_PERIOD,$R$5:$R$750,TRUE(),$Z$5:$Z$750,"&lt;&gt;1",$S$5:$S$750,S432,$B$5:$B$750,"&lt;"&amp;B432),"")</f>
        <v/>
      </c>
      <c r="AB432" s="11" t="b">
        <f aca="false">OR(D432=WF_START_PERIOD,D432=WF_END_PERIOD)</f>
        <v>0</v>
      </c>
      <c r="AC432" s="0" t="str">
        <f aca="false">B432&amp;"|"&amp;D432</f>
        <v>12874|20240331</v>
      </c>
    </row>
    <row r="433" customFormat="false" ht="15" hidden="false" customHeight="false" outlineLevel="0" collapsed="false">
      <c r="A433" s="0" t="n">
        <f aca="false">RawFinancials!A433</f>
        <v>430</v>
      </c>
      <c r="B433" s="0" t="n">
        <f aca="false">RawFinancials!C433</f>
        <v>13063</v>
      </c>
      <c r="C433" s="0" t="str">
        <f aca="false">RawFinancials!P433</f>
        <v>KENNEBUNK SAVINGS BANK</v>
      </c>
      <c r="D433" s="0" t="n">
        <f aca="false">RawFinancials!W433</f>
        <v>20240331</v>
      </c>
      <c r="E433" s="0" t="str">
        <f aca="false">RawFinancials!Z433</f>
        <v>ME</v>
      </c>
      <c r="F433" s="0" t="n">
        <f aca="false">RawFinancials!B433</f>
        <v>1806517</v>
      </c>
      <c r="G433" s="0" t="n">
        <f aca="false">RawFinancials!U433</f>
        <v>0</v>
      </c>
      <c r="H433" s="0" t="n">
        <f aca="false">RawFinancials!O433</f>
        <v>510</v>
      </c>
      <c r="I433" s="0" t="n">
        <f aca="false">IF(AND(ISNUMBER(G433),ISNUMBER(H433)),G433+H433,"")</f>
        <v>510</v>
      </c>
      <c r="J433" s="0" t="n">
        <f aca="false">RawFinancials!D433</f>
        <v>1572488</v>
      </c>
      <c r="K433" s="0" t="n">
        <f aca="false">RawFinancials!F433</f>
        <v>144426</v>
      </c>
      <c r="L433" s="0" t="n">
        <f aca="false">RawFinancials!L433</f>
        <v>1429824</v>
      </c>
      <c r="M433" s="0" t="n">
        <f aca="false">RawFinancials!N433</f>
        <v>1360729</v>
      </c>
      <c r="N433" s="13" t="n">
        <f aca="false">RawFinancials!X433</f>
        <v>0.280149291821904</v>
      </c>
      <c r="O433" s="13" t="n">
        <f aca="false">RawFinancials!V433</f>
        <v>0</v>
      </c>
      <c r="P433" s="13" t="n">
        <f aca="false">IF(AND(ISNUMBER(L433),L433&lt;&gt;0,ISNUMBER(M433)),100*M433/L433,"")</f>
        <v>95.1675870596661</v>
      </c>
      <c r="Q433" s="13" t="n">
        <f aca="false">IF(AND(ISNUMBER(F433),F433&lt;&gt;0,ISNUMBER(K433)),100*K433/F433,"")</f>
        <v>7.994721333926</v>
      </c>
      <c r="R433" s="11" t="b">
        <f aca="false">AND(ISNUMBER(F433),F433&gt;0,ISNUMBER(G433),G433&gt;=0,ISNUMBER(H433),H433&gt;=0)</f>
        <v>1</v>
      </c>
      <c r="S433" s="13" t="n">
        <f aca="false">IF(R433,100*I433/F433,"")</f>
        <v>0.0282311209913884</v>
      </c>
      <c r="T433" s="11" t="b">
        <f aca="false">NOT(AND(OR(AND(ISBLANK(RawFinancials!B433),ISBLANK(_RawBaseline!B430)),AND(ISNUMBER(RawFinancials!B433),ISNUMBER(_RawBaseline!B430),RawFinancials!B433=_RawBaseline!B430)),OR(AND(ISBLANK(RawFinancials!U433),ISBLANK(_RawBaseline!U430)),AND(ISNUMBER(RawFinancials!U433),ISNUMBER(_RawBaseline!U430),RawFinancials!U433=_RawBaseline!U430)),OR(AND(ISBLANK(RawFinancials!O433),ISBLANK(_RawBaseline!O430)),AND(ISNUMBER(RawFinancials!O433),ISNUMBER(_RawBaseline!O430),RawFinancials!O433=_RawBaseline!O430))))</f>
        <v>0</v>
      </c>
      <c r="U433" s="13" t="n">
        <f aca="false">IF(AND(D433=WF_START_PERIOD,R433,COUNTIFS($B$5:$B$750,B433,$D$5:$D$750,WF_END_PERIOD,$R$5:$R$750,TRUE())&gt;0),SUMIFS($S$5:$S$750,$B$5:$B$750,B433,$D$5:$D$750,WF_END_PERIOD,$R$5:$R$750,TRUE()),0)</f>
        <v>0</v>
      </c>
      <c r="V433" s="0" t="str">
        <f aca="false">IF(AND(D433=WF_START_PERIOD,COUNTIFS($B$5:$B$750,B433,$D$5:$D$750,WF_END_PERIOD)&gt;0),INDEX($E$5:$E$750,MATCH(B433&amp;"|"&amp;WF_END_PERIOD,$AC$5:$AC$750,0)),"")</f>
        <v/>
      </c>
      <c r="W433" s="11" t="b">
        <f aca="false">COUNTIFS($B$5:$B$750,B433,$D$5:$D$750,WF_START_PERIOD,$R$5:$R$750,TRUE())&gt;0</f>
        <v>1</v>
      </c>
      <c r="X433" s="11" t="b">
        <f aca="false">COUNTIFS($B$5:$B$750,B433,$D$5:$D$750,WF_END_PERIOD,$R$5:$R$750,TRUE())&gt;0</f>
        <v>1</v>
      </c>
      <c r="Y433" s="0" t="str">
        <f aca="false">IF(AND(D433=WF_END_PERIOD,COUNTIFS($B$5:$B$750,B433,$D$5:$D$750,WF_START_PERIOD)&gt;0),INDEX($E$5:$E$750,MATCH(B433&amp;"|"&amp;WF_START_PERIOD,$AC$5:$AC$750,0)),"")</f>
        <v/>
      </c>
      <c r="Z433" s="0" t="str">
        <f aca="false">IF(AND(D433=WF_END_PERIOD,R433),1+COUNTIFS($D$5:$D$750,WF_END_PERIOD,$E$5:$E$750,E433,$R$5:$R$750,TRUE(),$S$5:$S$750,"&gt;"&amp;S433)+COUNTIFS($D$5:$D$750,WF_END_PERIOD,$E$5:$E$750,E433,$R$5:$R$750,TRUE(),$S$5:$S$750,S433,$B$5:$B$750,"&lt;"&amp;B433),"")</f>
        <v/>
      </c>
      <c r="AA433" s="0" t="str">
        <f aca="false">IF(AND(D433=WF_END_PERIOD,R433,Z433&lt;&gt;1),1+COUNTIFS($D$5:$D$750,WF_END_PERIOD,$R$5:$R$750,TRUE(),$Z$5:$Z$750,"&lt;&gt;1",$S$5:$S$750,"&gt;"&amp;S433)+COUNTIFS($D$5:$D$750,WF_END_PERIOD,$R$5:$R$750,TRUE(),$Z$5:$Z$750,"&lt;&gt;1",$S$5:$S$750,S433,$B$5:$B$750,"&lt;"&amp;B433),"")</f>
        <v/>
      </c>
      <c r="AB433" s="11" t="b">
        <f aca="false">OR(D433=WF_START_PERIOD,D433=WF_END_PERIOD)</f>
        <v>0</v>
      </c>
      <c r="AC433" s="0" t="str">
        <f aca="false">B433&amp;"|"&amp;D433</f>
        <v>13063|20240331</v>
      </c>
    </row>
    <row r="434" customFormat="false" ht="15" hidden="false" customHeight="false" outlineLevel="0" collapsed="false">
      <c r="A434" s="0" t="n">
        <f aca="false">RawFinancials!A434</f>
        <v>431</v>
      </c>
      <c r="B434" s="0" t="n">
        <f aca="false">RawFinancials!C434</f>
        <v>14134</v>
      </c>
      <c r="C434" s="0" t="str">
        <f aca="false">RawFinancials!P434</f>
        <v>PASSUMPSIC SAVINGS BANK</v>
      </c>
      <c r="D434" s="0" t="n">
        <f aca="false">RawFinancials!W434</f>
        <v>20240331</v>
      </c>
      <c r="E434" s="0" t="str">
        <f aca="false">RawFinancials!Z434</f>
        <v>VT</v>
      </c>
      <c r="F434" s="0" t="n">
        <f aca="false">RawFinancials!B434</f>
        <v>842231</v>
      </c>
      <c r="G434" s="0" t="n">
        <f aca="false">RawFinancials!U434</f>
        <v>0</v>
      </c>
      <c r="H434" s="0" t="n">
        <f aca="false">RawFinancials!O434</f>
        <v>10903</v>
      </c>
      <c r="I434" s="0" t="n">
        <f aca="false">IF(AND(ISNUMBER(G434),ISNUMBER(H434)),G434+H434,"")</f>
        <v>10903</v>
      </c>
      <c r="J434" s="0" t="n">
        <f aca="false">RawFinancials!D434</f>
        <v>674131</v>
      </c>
      <c r="K434" s="0" t="n">
        <f aca="false">RawFinancials!F434</f>
        <v>108189</v>
      </c>
      <c r="L434" s="0" t="n">
        <f aca="false">RawFinancials!L434</f>
        <v>633180</v>
      </c>
      <c r="M434" s="0" t="n">
        <f aca="false">RawFinancials!N434</f>
        <v>560872</v>
      </c>
      <c r="N434" s="13" t="n">
        <f aca="false">RawFinancials!X434</f>
        <v>1.52742469831594</v>
      </c>
      <c r="O434" s="13" t="n">
        <f aca="false">RawFinancials!V434</f>
        <v>19.5631605084554</v>
      </c>
      <c r="P434" s="13" t="n">
        <f aca="false">IF(AND(ISNUMBER(L434),L434&lt;&gt;0,ISNUMBER(M434)),100*M434/L434,"")</f>
        <v>88.5801825705171</v>
      </c>
      <c r="Q434" s="13" t="n">
        <f aca="false">IF(AND(ISNUMBER(F434),F434&lt;&gt;0,ISNUMBER(K434)),100*K434/F434,"")</f>
        <v>12.8455257524361</v>
      </c>
      <c r="R434" s="11" t="b">
        <f aca="false">AND(ISNUMBER(F434),F434&gt;0,ISNUMBER(G434),G434&gt;=0,ISNUMBER(H434),H434&gt;=0)</f>
        <v>1</v>
      </c>
      <c r="S434" s="13" t="n">
        <f aca="false">IF(R434,100*I434/F434,"")</f>
        <v>1.29453795930095</v>
      </c>
      <c r="T434" s="11" t="b">
        <f aca="false">NOT(AND(OR(AND(ISBLANK(RawFinancials!B434),ISBLANK(_RawBaseline!B431)),AND(ISNUMBER(RawFinancials!B434),ISNUMBER(_RawBaseline!B431),RawFinancials!B434=_RawBaseline!B431)),OR(AND(ISBLANK(RawFinancials!U434),ISBLANK(_RawBaseline!U431)),AND(ISNUMBER(RawFinancials!U434),ISNUMBER(_RawBaseline!U431),RawFinancials!U434=_RawBaseline!U431)),OR(AND(ISBLANK(RawFinancials!O434),ISBLANK(_RawBaseline!O431)),AND(ISNUMBER(RawFinancials!O434),ISNUMBER(_RawBaseline!O431),RawFinancials!O434=_RawBaseline!O431))))</f>
        <v>0</v>
      </c>
      <c r="U434" s="13" t="n">
        <f aca="false">IF(AND(D434=WF_START_PERIOD,R434,COUNTIFS($B$5:$B$750,B434,$D$5:$D$750,WF_END_PERIOD,$R$5:$R$750,TRUE())&gt;0),SUMIFS($S$5:$S$750,$B$5:$B$750,B434,$D$5:$D$750,WF_END_PERIOD,$R$5:$R$750,TRUE()),0)</f>
        <v>0</v>
      </c>
      <c r="V434" s="0" t="str">
        <f aca="false">IF(AND(D434=WF_START_PERIOD,COUNTIFS($B$5:$B$750,B434,$D$5:$D$750,WF_END_PERIOD)&gt;0),INDEX($E$5:$E$750,MATCH(B434&amp;"|"&amp;WF_END_PERIOD,$AC$5:$AC$750,0)),"")</f>
        <v/>
      </c>
      <c r="W434" s="11" t="b">
        <f aca="false">COUNTIFS($B$5:$B$750,B434,$D$5:$D$750,WF_START_PERIOD,$R$5:$R$750,TRUE())&gt;0</f>
        <v>1</v>
      </c>
      <c r="X434" s="11" t="b">
        <f aca="false">COUNTIFS($B$5:$B$750,B434,$D$5:$D$750,WF_END_PERIOD,$R$5:$R$750,TRUE())&gt;0</f>
        <v>1</v>
      </c>
      <c r="Y434" s="0" t="str">
        <f aca="false">IF(AND(D434=WF_END_PERIOD,COUNTIFS($B$5:$B$750,B434,$D$5:$D$750,WF_START_PERIOD)&gt;0),INDEX($E$5:$E$750,MATCH(B434&amp;"|"&amp;WF_START_PERIOD,$AC$5:$AC$750,0)),"")</f>
        <v/>
      </c>
      <c r="Z434" s="0" t="str">
        <f aca="false">IF(AND(D434=WF_END_PERIOD,R434),1+COUNTIFS($D$5:$D$750,WF_END_PERIOD,$E$5:$E$750,E434,$R$5:$R$750,TRUE(),$S$5:$S$750,"&gt;"&amp;S434)+COUNTIFS($D$5:$D$750,WF_END_PERIOD,$E$5:$E$750,E434,$R$5:$R$750,TRUE(),$S$5:$S$750,S434,$B$5:$B$750,"&lt;"&amp;B434),"")</f>
        <v/>
      </c>
      <c r="AA434" s="0" t="str">
        <f aca="false">IF(AND(D434=WF_END_PERIOD,R434,Z434&lt;&gt;1),1+COUNTIFS($D$5:$D$750,WF_END_PERIOD,$R$5:$R$750,TRUE(),$Z$5:$Z$750,"&lt;&gt;1",$S$5:$S$750,"&gt;"&amp;S434)+COUNTIFS($D$5:$D$750,WF_END_PERIOD,$R$5:$R$750,TRUE(),$Z$5:$Z$750,"&lt;&gt;1",$S$5:$S$750,S434,$B$5:$B$750,"&lt;"&amp;B434),"")</f>
        <v/>
      </c>
      <c r="AB434" s="11" t="b">
        <f aca="false">OR(D434=WF_START_PERIOD,D434=WF_END_PERIOD)</f>
        <v>0</v>
      </c>
      <c r="AC434" s="0" t="str">
        <f aca="false">B434&amp;"|"&amp;D434</f>
        <v>14134|20240331</v>
      </c>
    </row>
    <row r="435" customFormat="false" ht="15" hidden="false" customHeight="false" outlineLevel="0" collapsed="false">
      <c r="A435" s="0" t="n">
        <f aca="false">RawFinancials!A435</f>
        <v>432</v>
      </c>
      <c r="B435" s="0" t="n">
        <f aca="false">RawFinancials!C435</f>
        <v>14136</v>
      </c>
      <c r="C435" s="0" t="str">
        <f aca="false">RawFinancials!P435</f>
        <v>WELLS RIVER SAVINGS BANK</v>
      </c>
      <c r="D435" s="0" t="n">
        <f aca="false">RawFinancials!W435</f>
        <v>20240331</v>
      </c>
      <c r="E435" s="0" t="str">
        <f aca="false">RawFinancials!Z435</f>
        <v>VT</v>
      </c>
      <c r="F435" s="0" t="n">
        <f aca="false">RawFinancials!B435</f>
        <v>239150</v>
      </c>
      <c r="G435" s="0" t="n">
        <f aca="false">RawFinancials!U435</f>
        <v>469</v>
      </c>
      <c r="H435" s="0" t="n">
        <f aca="false">RawFinancials!O435</f>
        <v>502</v>
      </c>
      <c r="I435" s="0" t="n">
        <f aca="false">IF(AND(ISNUMBER(G435),ISNUMBER(H435)),G435+H435,"")</f>
        <v>971</v>
      </c>
      <c r="J435" s="0" t="n">
        <f aca="false">RawFinancials!D435</f>
        <v>196243</v>
      </c>
      <c r="K435" s="0" t="n">
        <f aca="false">RawFinancials!F435</f>
        <v>17389</v>
      </c>
      <c r="L435" s="0" t="n">
        <f aca="false">RawFinancials!L435</f>
        <v>153163</v>
      </c>
      <c r="M435" s="0" t="n">
        <f aca="false">RawFinancials!N435</f>
        <v>123830</v>
      </c>
      <c r="N435" s="13" t="n">
        <f aca="false">RawFinancials!X435</f>
        <v>0.678212630653181</v>
      </c>
      <c r="O435" s="13" t="n">
        <f aca="false">RawFinancials!V435</f>
        <v>17.5483668012374</v>
      </c>
      <c r="P435" s="13" t="n">
        <f aca="false">IF(AND(ISNUMBER(L435),L435&lt;&gt;0,ISNUMBER(M435)),100*M435/L435,"")</f>
        <v>80.8485077988809</v>
      </c>
      <c r="Q435" s="13" t="n">
        <f aca="false">IF(AND(ISNUMBER(F435),F435&lt;&gt;0,ISNUMBER(K435)),100*K435/F435,"")</f>
        <v>7.27116872255906</v>
      </c>
      <c r="R435" s="11" t="b">
        <f aca="false">AND(ISNUMBER(F435),F435&gt;0,ISNUMBER(G435),G435&gt;=0,ISNUMBER(H435),H435&gt;=0)</f>
        <v>1</v>
      </c>
      <c r="S435" s="13" t="n">
        <f aca="false">IF(R435,100*I435/F435,"")</f>
        <v>0.406021325527911</v>
      </c>
      <c r="T435" s="11" t="b">
        <f aca="false">NOT(AND(OR(AND(ISBLANK(RawFinancials!B435),ISBLANK(_RawBaseline!B432)),AND(ISNUMBER(RawFinancials!B435),ISNUMBER(_RawBaseline!B432),RawFinancials!B435=_RawBaseline!B432)),OR(AND(ISBLANK(RawFinancials!U435),ISBLANK(_RawBaseline!U432)),AND(ISNUMBER(RawFinancials!U435),ISNUMBER(_RawBaseline!U432),RawFinancials!U435=_RawBaseline!U432)),OR(AND(ISBLANK(RawFinancials!O435),ISBLANK(_RawBaseline!O432)),AND(ISNUMBER(RawFinancials!O435),ISNUMBER(_RawBaseline!O432),RawFinancials!O435=_RawBaseline!O432))))</f>
        <v>0</v>
      </c>
      <c r="U435" s="13" t="n">
        <f aca="false">IF(AND(D435=WF_START_PERIOD,R435,COUNTIFS($B$5:$B$750,B435,$D$5:$D$750,WF_END_PERIOD,$R$5:$R$750,TRUE())&gt;0),SUMIFS($S$5:$S$750,$B$5:$B$750,B435,$D$5:$D$750,WF_END_PERIOD,$R$5:$R$750,TRUE()),0)</f>
        <v>0</v>
      </c>
      <c r="V435" s="0" t="str">
        <f aca="false">IF(AND(D435=WF_START_PERIOD,COUNTIFS($B$5:$B$750,B435,$D$5:$D$750,WF_END_PERIOD)&gt;0),INDEX($E$5:$E$750,MATCH(B435&amp;"|"&amp;WF_END_PERIOD,$AC$5:$AC$750,0)),"")</f>
        <v/>
      </c>
      <c r="W435" s="11" t="b">
        <f aca="false">COUNTIFS($B$5:$B$750,B435,$D$5:$D$750,WF_START_PERIOD,$R$5:$R$750,TRUE())&gt;0</f>
        <v>1</v>
      </c>
      <c r="X435" s="11" t="b">
        <f aca="false">COUNTIFS($B$5:$B$750,B435,$D$5:$D$750,WF_END_PERIOD,$R$5:$R$750,TRUE())&gt;0</f>
        <v>1</v>
      </c>
      <c r="Y435" s="0" t="str">
        <f aca="false">IF(AND(D435=WF_END_PERIOD,COUNTIFS($B$5:$B$750,B435,$D$5:$D$750,WF_START_PERIOD)&gt;0),INDEX($E$5:$E$750,MATCH(B435&amp;"|"&amp;WF_START_PERIOD,$AC$5:$AC$750,0)),"")</f>
        <v/>
      </c>
      <c r="Z435" s="0" t="str">
        <f aca="false">IF(AND(D435=WF_END_PERIOD,R435),1+COUNTIFS($D$5:$D$750,WF_END_PERIOD,$E$5:$E$750,E435,$R$5:$R$750,TRUE(),$S$5:$S$750,"&gt;"&amp;S435)+COUNTIFS($D$5:$D$750,WF_END_PERIOD,$E$5:$E$750,E435,$R$5:$R$750,TRUE(),$S$5:$S$750,S435,$B$5:$B$750,"&lt;"&amp;B435),"")</f>
        <v/>
      </c>
      <c r="AA435" s="0" t="str">
        <f aca="false">IF(AND(D435=WF_END_PERIOD,R435,Z435&lt;&gt;1),1+COUNTIFS($D$5:$D$750,WF_END_PERIOD,$R$5:$R$750,TRUE(),$Z$5:$Z$750,"&lt;&gt;1",$S$5:$S$750,"&gt;"&amp;S435)+COUNTIFS($D$5:$D$750,WF_END_PERIOD,$R$5:$R$750,TRUE(),$Z$5:$Z$750,"&lt;&gt;1",$S$5:$S$750,S435,$B$5:$B$750,"&lt;"&amp;B435),"")</f>
        <v/>
      </c>
      <c r="AB435" s="11" t="b">
        <f aca="false">OR(D435=WF_START_PERIOD,D435=WF_END_PERIOD)</f>
        <v>0</v>
      </c>
      <c r="AC435" s="0" t="str">
        <f aca="false">B435&amp;"|"&amp;D435</f>
        <v>14136|20240331</v>
      </c>
    </row>
    <row r="436" customFormat="false" ht="15" hidden="false" customHeight="false" outlineLevel="0" collapsed="false">
      <c r="A436" s="0" t="n">
        <f aca="false">RawFinancials!A436</f>
        <v>433</v>
      </c>
      <c r="B436" s="0" t="n">
        <f aca="false">RawFinancials!C436</f>
        <v>14140</v>
      </c>
      <c r="C436" s="0" t="str">
        <f aca="false">RawFinancials!P436</f>
        <v>NORTHFIELD SAVINGS BANK</v>
      </c>
      <c r="D436" s="0" t="n">
        <f aca="false">RawFinancials!W436</f>
        <v>20240331</v>
      </c>
      <c r="E436" s="0" t="str">
        <f aca="false">RawFinancials!Z436</f>
        <v>VT</v>
      </c>
      <c r="F436" s="0" t="n">
        <f aca="false">RawFinancials!B436</f>
        <v>1501419</v>
      </c>
      <c r="G436" s="0" t="n">
        <f aca="false">RawFinancials!U436</f>
        <v>0</v>
      </c>
      <c r="H436" s="0" t="n">
        <f aca="false">RawFinancials!O436</f>
        <v>4548</v>
      </c>
      <c r="I436" s="0" t="n">
        <f aca="false">IF(AND(ISNUMBER(G436),ISNUMBER(H436)),G436+H436,"")</f>
        <v>4548</v>
      </c>
      <c r="J436" s="0" t="n">
        <f aca="false">RawFinancials!D436</f>
        <v>1223701</v>
      </c>
      <c r="K436" s="0" t="n">
        <f aca="false">RawFinancials!F436</f>
        <v>125756</v>
      </c>
      <c r="L436" s="0" t="n">
        <f aca="false">RawFinancials!L436</f>
        <v>1056452</v>
      </c>
      <c r="M436" s="0" t="n">
        <f aca="false">RawFinancials!N436</f>
        <v>938480</v>
      </c>
      <c r="N436" s="13" t="n">
        <f aca="false">RawFinancials!X436</f>
        <v>0.266123685640066</v>
      </c>
      <c r="O436" s="13" t="n">
        <f aca="false">RawFinancials!V436</f>
        <v>0</v>
      </c>
      <c r="P436" s="13" t="n">
        <f aca="false">IF(AND(ISNUMBER(L436),L436&lt;&gt;0,ISNUMBER(M436)),100*M436/L436,"")</f>
        <v>88.8331888244804</v>
      </c>
      <c r="Q436" s="13" t="n">
        <f aca="false">IF(AND(ISNUMBER(F436),F436&lt;&gt;0,ISNUMBER(K436)),100*K436/F436,"")</f>
        <v>8.37580981724622</v>
      </c>
      <c r="R436" s="11" t="b">
        <f aca="false">AND(ISNUMBER(F436),F436&gt;0,ISNUMBER(G436),G436&gt;=0,ISNUMBER(H436),H436&gt;=0)</f>
        <v>1</v>
      </c>
      <c r="S436" s="13" t="n">
        <f aca="false">IF(R436,100*I436/F436,"")</f>
        <v>0.302913443882088</v>
      </c>
      <c r="T436" s="11" t="b">
        <f aca="false">NOT(AND(OR(AND(ISBLANK(RawFinancials!B436),ISBLANK(_RawBaseline!B433)),AND(ISNUMBER(RawFinancials!B436),ISNUMBER(_RawBaseline!B433),RawFinancials!B436=_RawBaseline!B433)),OR(AND(ISBLANK(RawFinancials!U436),ISBLANK(_RawBaseline!U433)),AND(ISNUMBER(RawFinancials!U436),ISNUMBER(_RawBaseline!U433),RawFinancials!U436=_RawBaseline!U433)),OR(AND(ISBLANK(RawFinancials!O436),ISBLANK(_RawBaseline!O433)),AND(ISNUMBER(RawFinancials!O436),ISNUMBER(_RawBaseline!O433),RawFinancials!O436=_RawBaseline!O433))))</f>
        <v>0</v>
      </c>
      <c r="U436" s="13" t="n">
        <f aca="false">IF(AND(D436=WF_START_PERIOD,R436,COUNTIFS($B$5:$B$750,B436,$D$5:$D$750,WF_END_PERIOD,$R$5:$R$750,TRUE())&gt;0),SUMIFS($S$5:$S$750,$B$5:$B$750,B436,$D$5:$D$750,WF_END_PERIOD,$R$5:$R$750,TRUE()),0)</f>
        <v>0</v>
      </c>
      <c r="V436" s="0" t="str">
        <f aca="false">IF(AND(D436=WF_START_PERIOD,COUNTIFS($B$5:$B$750,B436,$D$5:$D$750,WF_END_PERIOD)&gt;0),INDEX($E$5:$E$750,MATCH(B436&amp;"|"&amp;WF_END_PERIOD,$AC$5:$AC$750,0)),"")</f>
        <v/>
      </c>
      <c r="W436" s="11" t="b">
        <f aca="false">COUNTIFS($B$5:$B$750,B436,$D$5:$D$750,WF_START_PERIOD,$R$5:$R$750,TRUE())&gt;0</f>
        <v>1</v>
      </c>
      <c r="X436" s="11" t="b">
        <f aca="false">COUNTIFS($B$5:$B$750,B436,$D$5:$D$750,WF_END_PERIOD,$R$5:$R$750,TRUE())&gt;0</f>
        <v>1</v>
      </c>
      <c r="Y436" s="0" t="str">
        <f aca="false">IF(AND(D436=WF_END_PERIOD,COUNTIFS($B$5:$B$750,B436,$D$5:$D$750,WF_START_PERIOD)&gt;0),INDEX($E$5:$E$750,MATCH(B436&amp;"|"&amp;WF_START_PERIOD,$AC$5:$AC$750,0)),"")</f>
        <v/>
      </c>
      <c r="Z436" s="0" t="str">
        <f aca="false">IF(AND(D436=WF_END_PERIOD,R436),1+COUNTIFS($D$5:$D$750,WF_END_PERIOD,$E$5:$E$750,E436,$R$5:$R$750,TRUE(),$S$5:$S$750,"&gt;"&amp;S436)+COUNTIFS($D$5:$D$750,WF_END_PERIOD,$E$5:$E$750,E436,$R$5:$R$750,TRUE(),$S$5:$S$750,S436,$B$5:$B$750,"&lt;"&amp;B436),"")</f>
        <v/>
      </c>
      <c r="AA436" s="0" t="str">
        <f aca="false">IF(AND(D436=WF_END_PERIOD,R436,Z436&lt;&gt;1),1+COUNTIFS($D$5:$D$750,WF_END_PERIOD,$R$5:$R$750,TRUE(),$Z$5:$Z$750,"&lt;&gt;1",$S$5:$S$750,"&gt;"&amp;S436)+COUNTIFS($D$5:$D$750,WF_END_PERIOD,$R$5:$R$750,TRUE(),$Z$5:$Z$750,"&lt;&gt;1",$S$5:$S$750,S436,$B$5:$B$750,"&lt;"&amp;B436),"")</f>
        <v/>
      </c>
      <c r="AB436" s="11" t="b">
        <f aca="false">OR(D436=WF_START_PERIOD,D436=WF_END_PERIOD)</f>
        <v>0</v>
      </c>
      <c r="AC436" s="0" t="str">
        <f aca="false">B436&amp;"|"&amp;D436</f>
        <v>14140|20240331</v>
      </c>
    </row>
    <row r="437" customFormat="false" ht="15" hidden="false" customHeight="false" outlineLevel="0" collapsed="false">
      <c r="A437" s="0" t="n">
        <f aca="false">RawFinancials!A437</f>
        <v>434</v>
      </c>
      <c r="B437" s="0" t="n">
        <f aca="false">RawFinancials!C437</f>
        <v>14158</v>
      </c>
      <c r="C437" s="0" t="str">
        <f aca="false">RawFinancials!P437</f>
        <v>UNION BANK</v>
      </c>
      <c r="D437" s="0" t="n">
        <f aca="false">RawFinancials!W437</f>
        <v>20240331</v>
      </c>
      <c r="E437" s="0" t="str">
        <f aca="false">RawFinancials!Z437</f>
        <v>VT</v>
      </c>
      <c r="F437" s="0" t="n">
        <f aca="false">RawFinancials!B437</f>
        <v>1416981</v>
      </c>
      <c r="G437" s="0" t="n">
        <f aca="false">RawFinancials!U437</f>
        <v>60</v>
      </c>
      <c r="H437" s="0" t="n">
        <f aca="false">RawFinancials!O437</f>
        <v>1813</v>
      </c>
      <c r="I437" s="0" t="n">
        <f aca="false">IF(AND(ISNUMBER(G437),ISNUMBER(H437)),G437+H437,"")</f>
        <v>1873</v>
      </c>
      <c r="J437" s="0" t="n">
        <f aca="false">RawFinancials!D437</f>
        <v>1175239</v>
      </c>
      <c r="K437" s="0" t="n">
        <f aca="false">RawFinancials!F437</f>
        <v>79774</v>
      </c>
      <c r="L437" s="0" t="n">
        <f aca="false">RawFinancials!L437</f>
        <v>1039391</v>
      </c>
      <c r="M437" s="0" t="n">
        <f aca="false">RawFinancials!N437</f>
        <v>909000</v>
      </c>
      <c r="N437" s="13" t="n">
        <f aca="false">RawFinancials!X437</f>
        <v>0.733611995914674</v>
      </c>
      <c r="O437" s="13" t="n">
        <f aca="false">RawFinancials!V437</f>
        <v>13.3404695925329</v>
      </c>
      <c r="P437" s="13" t="n">
        <f aca="false">IF(AND(ISNUMBER(L437),L437&lt;&gt;0,ISNUMBER(M437)),100*M437/L437,"")</f>
        <v>87.4550578175105</v>
      </c>
      <c r="Q437" s="13" t="n">
        <f aca="false">IF(AND(ISNUMBER(F437),F437&lt;&gt;0,ISNUMBER(K437)),100*K437/F437,"")</f>
        <v>5.62985671649796</v>
      </c>
      <c r="R437" s="11" t="b">
        <f aca="false">AND(ISNUMBER(F437),F437&gt;0,ISNUMBER(G437),G437&gt;=0,ISNUMBER(H437),H437&gt;=0)</f>
        <v>1</v>
      </c>
      <c r="S437" s="13" t="n">
        <f aca="false">IF(R437,100*I437/F437,"")</f>
        <v>0.132182435756019</v>
      </c>
      <c r="T437" s="11" t="b">
        <f aca="false">NOT(AND(OR(AND(ISBLANK(RawFinancials!B437),ISBLANK(_RawBaseline!B434)),AND(ISNUMBER(RawFinancials!B437),ISNUMBER(_RawBaseline!B434),RawFinancials!B437=_RawBaseline!B434)),OR(AND(ISBLANK(RawFinancials!U437),ISBLANK(_RawBaseline!U434)),AND(ISNUMBER(RawFinancials!U437),ISNUMBER(_RawBaseline!U434),RawFinancials!U437=_RawBaseline!U434)),OR(AND(ISBLANK(RawFinancials!O437),ISBLANK(_RawBaseline!O434)),AND(ISNUMBER(RawFinancials!O437),ISNUMBER(_RawBaseline!O434),RawFinancials!O437=_RawBaseline!O434))))</f>
        <v>0</v>
      </c>
      <c r="U437" s="13" t="n">
        <f aca="false">IF(AND(D437=WF_START_PERIOD,R437,COUNTIFS($B$5:$B$750,B437,$D$5:$D$750,WF_END_PERIOD,$R$5:$R$750,TRUE())&gt;0),SUMIFS($S$5:$S$750,$B$5:$B$750,B437,$D$5:$D$750,WF_END_PERIOD,$R$5:$R$750,TRUE()),0)</f>
        <v>0</v>
      </c>
      <c r="V437" s="0" t="str">
        <f aca="false">IF(AND(D437=WF_START_PERIOD,COUNTIFS($B$5:$B$750,B437,$D$5:$D$750,WF_END_PERIOD)&gt;0),INDEX($E$5:$E$750,MATCH(B437&amp;"|"&amp;WF_END_PERIOD,$AC$5:$AC$750,0)),"")</f>
        <v/>
      </c>
      <c r="W437" s="11" t="b">
        <f aca="false">COUNTIFS($B$5:$B$750,B437,$D$5:$D$750,WF_START_PERIOD,$R$5:$R$750,TRUE())&gt;0</f>
        <v>1</v>
      </c>
      <c r="X437" s="11" t="b">
        <f aca="false">COUNTIFS($B$5:$B$750,B437,$D$5:$D$750,WF_END_PERIOD,$R$5:$R$750,TRUE())&gt;0</f>
        <v>1</v>
      </c>
      <c r="Y437" s="0" t="str">
        <f aca="false">IF(AND(D437=WF_END_PERIOD,COUNTIFS($B$5:$B$750,B437,$D$5:$D$750,WF_START_PERIOD)&gt;0),INDEX($E$5:$E$750,MATCH(B437&amp;"|"&amp;WF_START_PERIOD,$AC$5:$AC$750,0)),"")</f>
        <v/>
      </c>
      <c r="Z437" s="0" t="str">
        <f aca="false">IF(AND(D437=WF_END_PERIOD,R437),1+COUNTIFS($D$5:$D$750,WF_END_PERIOD,$E$5:$E$750,E437,$R$5:$R$750,TRUE(),$S$5:$S$750,"&gt;"&amp;S437)+COUNTIFS($D$5:$D$750,WF_END_PERIOD,$E$5:$E$750,E437,$R$5:$R$750,TRUE(),$S$5:$S$750,S437,$B$5:$B$750,"&lt;"&amp;B437),"")</f>
        <v/>
      </c>
      <c r="AA437" s="0" t="str">
        <f aca="false">IF(AND(D437=WF_END_PERIOD,R437,Z437&lt;&gt;1),1+COUNTIFS($D$5:$D$750,WF_END_PERIOD,$R$5:$R$750,TRUE(),$Z$5:$Z$750,"&lt;&gt;1",$S$5:$S$750,"&gt;"&amp;S437)+COUNTIFS($D$5:$D$750,WF_END_PERIOD,$R$5:$R$750,TRUE(),$Z$5:$Z$750,"&lt;&gt;1",$S$5:$S$750,S437,$B$5:$B$750,"&lt;"&amp;B437),"")</f>
        <v/>
      </c>
      <c r="AB437" s="11" t="b">
        <f aca="false">OR(D437=WF_START_PERIOD,D437=WF_END_PERIOD)</f>
        <v>0</v>
      </c>
      <c r="AC437" s="0" t="str">
        <f aca="false">B437&amp;"|"&amp;D437</f>
        <v>14158|20240331</v>
      </c>
    </row>
    <row r="438" customFormat="false" ht="15" hidden="false" customHeight="false" outlineLevel="0" collapsed="false">
      <c r="A438" s="0" t="n">
        <f aca="false">RawFinancials!A438</f>
        <v>435</v>
      </c>
      <c r="B438" s="0" t="n">
        <f aca="false">RawFinancials!C438</f>
        <v>14168</v>
      </c>
      <c r="C438" s="0" t="str">
        <f aca="false">RawFinancials!P438</f>
        <v>PEOPLES TRUST COMPANY OF ST. ALBANS</v>
      </c>
      <c r="D438" s="0" t="n">
        <f aca="false">RawFinancials!W438</f>
        <v>20240331</v>
      </c>
      <c r="E438" s="0" t="str">
        <f aca="false">RawFinancials!Z438</f>
        <v>VT</v>
      </c>
      <c r="F438" s="0" t="n">
        <f aca="false">RawFinancials!B438</f>
        <v>363663</v>
      </c>
      <c r="G438" s="0" t="n">
        <f aca="false">RawFinancials!U438</f>
        <v>1</v>
      </c>
      <c r="H438" s="0" t="n">
        <f aca="false">RawFinancials!O438</f>
        <v>1095</v>
      </c>
      <c r="I438" s="0" t="n">
        <f aca="false">IF(AND(ISNUMBER(G438),ISNUMBER(H438)),G438+H438,"")</f>
        <v>1096</v>
      </c>
      <c r="J438" s="0" t="n">
        <f aca="false">RawFinancials!D438</f>
        <v>323430</v>
      </c>
      <c r="K438" s="0" t="n">
        <f aca="false">RawFinancials!F438</f>
        <v>35210</v>
      </c>
      <c r="L438" s="0" t="n">
        <f aca="false">RawFinancials!L438</f>
        <v>250702</v>
      </c>
      <c r="M438" s="0" t="n">
        <f aca="false">RawFinancials!N438</f>
        <v>213218</v>
      </c>
      <c r="N438" s="13" t="n">
        <f aca="false">RawFinancials!X438</f>
        <v>0.787388476403298</v>
      </c>
      <c r="O438" s="13" t="n">
        <f aca="false">RawFinancials!V438</f>
        <v>16.3907253005299</v>
      </c>
      <c r="P438" s="13" t="n">
        <f aca="false">IF(AND(ISNUMBER(L438),L438&lt;&gt;0,ISNUMBER(M438)),100*M438/L438,"")</f>
        <v>85.0483841373423</v>
      </c>
      <c r="Q438" s="13" t="n">
        <f aca="false">IF(AND(ISNUMBER(F438),F438&lt;&gt;0,ISNUMBER(K438)),100*K438/F438,"")</f>
        <v>9.6820407905121</v>
      </c>
      <c r="R438" s="11" t="b">
        <f aca="false">AND(ISNUMBER(F438),F438&gt;0,ISNUMBER(G438),G438&gt;=0,ISNUMBER(H438),H438&gt;=0)</f>
        <v>1</v>
      </c>
      <c r="S438" s="13" t="n">
        <f aca="false">IF(R438,100*I438/F438,"")</f>
        <v>0.301377924067062</v>
      </c>
      <c r="T438" s="11" t="b">
        <f aca="false">NOT(AND(OR(AND(ISBLANK(RawFinancials!B438),ISBLANK(_RawBaseline!B435)),AND(ISNUMBER(RawFinancials!B438),ISNUMBER(_RawBaseline!B435),RawFinancials!B438=_RawBaseline!B435)),OR(AND(ISBLANK(RawFinancials!U438),ISBLANK(_RawBaseline!U435)),AND(ISNUMBER(RawFinancials!U438),ISNUMBER(_RawBaseline!U435),RawFinancials!U438=_RawBaseline!U435)),OR(AND(ISBLANK(RawFinancials!O438),ISBLANK(_RawBaseline!O435)),AND(ISNUMBER(RawFinancials!O438),ISNUMBER(_RawBaseline!O435),RawFinancials!O438=_RawBaseline!O435))))</f>
        <v>0</v>
      </c>
      <c r="U438" s="13" t="n">
        <f aca="false">IF(AND(D438=WF_START_PERIOD,R438,COUNTIFS($B$5:$B$750,B438,$D$5:$D$750,WF_END_PERIOD,$R$5:$R$750,TRUE())&gt;0),SUMIFS($S$5:$S$750,$B$5:$B$750,B438,$D$5:$D$750,WF_END_PERIOD,$R$5:$R$750,TRUE()),0)</f>
        <v>0</v>
      </c>
      <c r="V438" s="0" t="str">
        <f aca="false">IF(AND(D438=WF_START_PERIOD,COUNTIFS($B$5:$B$750,B438,$D$5:$D$750,WF_END_PERIOD)&gt;0),INDEX($E$5:$E$750,MATCH(B438&amp;"|"&amp;WF_END_PERIOD,$AC$5:$AC$750,0)),"")</f>
        <v/>
      </c>
      <c r="W438" s="11" t="b">
        <f aca="false">COUNTIFS($B$5:$B$750,B438,$D$5:$D$750,WF_START_PERIOD,$R$5:$R$750,TRUE())&gt;0</f>
        <v>1</v>
      </c>
      <c r="X438" s="11" t="b">
        <f aca="false">COUNTIFS($B$5:$B$750,B438,$D$5:$D$750,WF_END_PERIOD,$R$5:$R$750,TRUE())&gt;0</f>
        <v>1</v>
      </c>
      <c r="Y438" s="0" t="str">
        <f aca="false">IF(AND(D438=WF_END_PERIOD,COUNTIFS($B$5:$B$750,B438,$D$5:$D$750,WF_START_PERIOD)&gt;0),INDEX($E$5:$E$750,MATCH(B438&amp;"|"&amp;WF_START_PERIOD,$AC$5:$AC$750,0)),"")</f>
        <v/>
      </c>
      <c r="Z438" s="0" t="str">
        <f aca="false">IF(AND(D438=WF_END_PERIOD,R438),1+COUNTIFS($D$5:$D$750,WF_END_PERIOD,$E$5:$E$750,E438,$R$5:$R$750,TRUE(),$S$5:$S$750,"&gt;"&amp;S438)+COUNTIFS($D$5:$D$750,WF_END_PERIOD,$E$5:$E$750,E438,$R$5:$R$750,TRUE(),$S$5:$S$750,S438,$B$5:$B$750,"&lt;"&amp;B438),"")</f>
        <v/>
      </c>
      <c r="AA438" s="0" t="str">
        <f aca="false">IF(AND(D438=WF_END_PERIOD,R438,Z438&lt;&gt;1),1+COUNTIFS($D$5:$D$750,WF_END_PERIOD,$R$5:$R$750,TRUE(),$Z$5:$Z$750,"&lt;&gt;1",$S$5:$S$750,"&gt;"&amp;S438)+COUNTIFS($D$5:$D$750,WF_END_PERIOD,$R$5:$R$750,TRUE(),$Z$5:$Z$750,"&lt;&gt;1",$S$5:$S$750,S438,$B$5:$B$750,"&lt;"&amp;B438),"")</f>
        <v/>
      </c>
      <c r="AB438" s="11" t="b">
        <f aca="false">OR(D438=WF_START_PERIOD,D438=WF_END_PERIOD)</f>
        <v>0</v>
      </c>
      <c r="AC438" s="0" t="str">
        <f aca="false">B438&amp;"|"&amp;D438</f>
        <v>14168|20240331</v>
      </c>
    </row>
    <row r="439" customFormat="false" ht="15" hidden="false" customHeight="false" outlineLevel="0" collapsed="false">
      <c r="A439" s="0" t="n">
        <f aca="false">RawFinancials!A439</f>
        <v>436</v>
      </c>
      <c r="B439" s="0" t="n">
        <f aca="false">RawFinancials!C439</f>
        <v>14240</v>
      </c>
      <c r="C439" s="0" t="str">
        <f aca="false">RawFinancials!P439</f>
        <v>NORTHWAY BANK</v>
      </c>
      <c r="D439" s="0" t="n">
        <f aca="false">RawFinancials!W439</f>
        <v>20240331</v>
      </c>
      <c r="E439" s="0" t="str">
        <f aca="false">RawFinancials!Z439</f>
        <v>NH</v>
      </c>
      <c r="F439" s="0" t="n">
        <f aca="false">RawFinancials!B439</f>
        <v>1238358</v>
      </c>
      <c r="G439" s="0" t="n">
        <f aca="false">RawFinancials!U439</f>
        <v>0</v>
      </c>
      <c r="H439" s="0" t="n">
        <f aca="false">RawFinancials!O439</f>
        <v>3281</v>
      </c>
      <c r="I439" s="0" t="n">
        <f aca="false">IF(AND(ISNUMBER(G439),ISNUMBER(H439)),G439+H439,"")</f>
        <v>3281</v>
      </c>
      <c r="J439" s="0" t="n">
        <f aca="false">RawFinancials!D439</f>
        <v>983728</v>
      </c>
      <c r="K439" s="0" t="n">
        <f aca="false">RawFinancials!F439</f>
        <v>87867</v>
      </c>
      <c r="L439" s="0" t="n">
        <f aca="false">RawFinancials!L439</f>
        <v>920113</v>
      </c>
      <c r="M439" s="0" t="n">
        <f aca="false">RawFinancials!N439</f>
        <v>804017</v>
      </c>
      <c r="N439" s="13" t="n">
        <f aca="false">RawFinancials!X439</f>
        <v>0.489845223176813</v>
      </c>
      <c r="O439" s="13" t="n">
        <f aca="false">RawFinancials!V439</f>
        <v>16.0804516584333</v>
      </c>
      <c r="P439" s="13" t="n">
        <f aca="false">IF(AND(ISNUMBER(L439),L439&lt;&gt;0,ISNUMBER(M439)),100*M439/L439,"")</f>
        <v>87.3824193332775</v>
      </c>
      <c r="Q439" s="13" t="n">
        <f aca="false">IF(AND(ISNUMBER(F439),F439&lt;&gt;0,ISNUMBER(K439)),100*K439/F439,"")</f>
        <v>7.09544412843459</v>
      </c>
      <c r="R439" s="11" t="b">
        <f aca="false">AND(ISNUMBER(F439),F439&gt;0,ISNUMBER(G439),G439&gt;=0,ISNUMBER(H439),H439&gt;=0)</f>
        <v>1</v>
      </c>
      <c r="S439" s="13" t="n">
        <f aca="false">IF(R439,100*I439/F439,"")</f>
        <v>0.264947616117472</v>
      </c>
      <c r="T439" s="11" t="b">
        <f aca="false">NOT(AND(OR(AND(ISBLANK(RawFinancials!B439),ISBLANK(_RawBaseline!B436)),AND(ISNUMBER(RawFinancials!B439),ISNUMBER(_RawBaseline!B436),RawFinancials!B439=_RawBaseline!B436)),OR(AND(ISBLANK(RawFinancials!U439),ISBLANK(_RawBaseline!U436)),AND(ISNUMBER(RawFinancials!U439),ISNUMBER(_RawBaseline!U436),RawFinancials!U439=_RawBaseline!U436)),OR(AND(ISBLANK(RawFinancials!O439),ISBLANK(_RawBaseline!O436)),AND(ISNUMBER(RawFinancials!O439),ISNUMBER(_RawBaseline!O436),RawFinancials!O439=_RawBaseline!O436))))</f>
        <v>0</v>
      </c>
      <c r="U439" s="13" t="n">
        <f aca="false">IF(AND(D439=WF_START_PERIOD,R439,COUNTIFS($B$5:$B$750,B439,$D$5:$D$750,WF_END_PERIOD,$R$5:$R$750,TRUE())&gt;0),SUMIFS($S$5:$S$750,$B$5:$B$750,B439,$D$5:$D$750,WF_END_PERIOD,$R$5:$R$750,TRUE()),0)</f>
        <v>0</v>
      </c>
      <c r="V439" s="0" t="str">
        <f aca="false">IF(AND(D439=WF_START_PERIOD,COUNTIFS($B$5:$B$750,B439,$D$5:$D$750,WF_END_PERIOD)&gt;0),INDEX($E$5:$E$750,MATCH(B439&amp;"|"&amp;WF_END_PERIOD,$AC$5:$AC$750,0)),"")</f>
        <v/>
      </c>
      <c r="W439" s="11" t="b">
        <f aca="false">COUNTIFS($B$5:$B$750,B439,$D$5:$D$750,WF_START_PERIOD,$R$5:$R$750,TRUE())&gt;0</f>
        <v>1</v>
      </c>
      <c r="X439" s="11" t="b">
        <f aca="false">COUNTIFS($B$5:$B$750,B439,$D$5:$D$750,WF_END_PERIOD,$R$5:$R$750,TRUE())&gt;0</f>
        <v>0</v>
      </c>
      <c r="Y439" s="0" t="str">
        <f aca="false">IF(AND(D439=WF_END_PERIOD,COUNTIFS($B$5:$B$750,B439,$D$5:$D$750,WF_START_PERIOD)&gt;0),INDEX($E$5:$E$750,MATCH(B439&amp;"|"&amp;WF_START_PERIOD,$AC$5:$AC$750,0)),"")</f>
        <v/>
      </c>
      <c r="Z439" s="0" t="str">
        <f aca="false">IF(AND(D439=WF_END_PERIOD,R439),1+COUNTIFS($D$5:$D$750,WF_END_PERIOD,$E$5:$E$750,E439,$R$5:$R$750,TRUE(),$S$5:$S$750,"&gt;"&amp;S439)+COUNTIFS($D$5:$D$750,WF_END_PERIOD,$E$5:$E$750,E439,$R$5:$R$750,TRUE(),$S$5:$S$750,S439,$B$5:$B$750,"&lt;"&amp;B439),"")</f>
        <v/>
      </c>
      <c r="AA439" s="0" t="str">
        <f aca="false">IF(AND(D439=WF_END_PERIOD,R439,Z439&lt;&gt;1),1+COUNTIFS($D$5:$D$750,WF_END_PERIOD,$R$5:$R$750,TRUE(),$Z$5:$Z$750,"&lt;&gt;1",$S$5:$S$750,"&gt;"&amp;S439)+COUNTIFS($D$5:$D$750,WF_END_PERIOD,$R$5:$R$750,TRUE(),$Z$5:$Z$750,"&lt;&gt;1",$S$5:$S$750,S439,$B$5:$B$750,"&lt;"&amp;B439),"")</f>
        <v/>
      </c>
      <c r="AB439" s="11" t="b">
        <f aca="false">OR(D439=WF_START_PERIOD,D439=WF_END_PERIOD)</f>
        <v>0</v>
      </c>
      <c r="AC439" s="0" t="str">
        <f aca="false">B439&amp;"|"&amp;D439</f>
        <v>14240|20240331</v>
      </c>
    </row>
    <row r="440" customFormat="false" ht="15" hidden="false" customHeight="false" outlineLevel="0" collapsed="false">
      <c r="A440" s="0" t="n">
        <f aca="false">RawFinancials!A440</f>
        <v>437</v>
      </c>
      <c r="B440" s="0" t="n">
        <f aca="false">RawFinancials!C440</f>
        <v>17115</v>
      </c>
      <c r="C440" s="0" t="str">
        <f aca="false">RawFinancials!P440</f>
        <v>PARTNERS BANK OF NEW ENGLAND</v>
      </c>
      <c r="D440" s="0" t="n">
        <f aca="false">RawFinancials!W440</f>
        <v>20240331</v>
      </c>
      <c r="E440" s="0" t="str">
        <f aca="false">RawFinancials!Z440</f>
        <v>ME</v>
      </c>
      <c r="F440" s="0" t="n">
        <f aca="false">RawFinancials!B440</f>
        <v>1079745</v>
      </c>
      <c r="G440" s="0" t="n">
        <f aca="false">RawFinancials!U440</f>
        <v>0</v>
      </c>
      <c r="H440" s="0" t="n">
        <f aca="false">RawFinancials!O440</f>
        <v>2344</v>
      </c>
      <c r="I440" s="0" t="n">
        <f aca="false">IF(AND(ISNUMBER(G440),ISNUMBER(H440)),G440+H440,"")</f>
        <v>2344</v>
      </c>
      <c r="J440" s="0" t="n">
        <f aca="false">RawFinancials!D440</f>
        <v>803428</v>
      </c>
      <c r="K440" s="0" t="n">
        <f aca="false">RawFinancials!F440</f>
        <v>88109</v>
      </c>
      <c r="L440" s="0" t="n">
        <f aca="false">RawFinancials!L440</f>
        <v>896159</v>
      </c>
      <c r="M440" s="0" t="n">
        <f aca="false">RawFinancials!N440</f>
        <v>845242</v>
      </c>
      <c r="N440" s="13" t="n">
        <f aca="false">RawFinancials!X440</f>
        <v>0.534576872366088</v>
      </c>
      <c r="O440" s="13" t="n">
        <f aca="false">RawFinancials!V440</f>
        <v>13.958856660342</v>
      </c>
      <c r="P440" s="13" t="n">
        <f aca="false">IF(AND(ISNUMBER(L440),L440&lt;&gt;0,ISNUMBER(M440)),100*M440/L440,"")</f>
        <v>94.3183073539405</v>
      </c>
      <c r="Q440" s="13" t="n">
        <f aca="false">IF(AND(ISNUMBER(F440),F440&lt;&gt;0,ISNUMBER(K440)),100*K440/F440,"")</f>
        <v>8.16016744694349</v>
      </c>
      <c r="R440" s="11" t="b">
        <f aca="false">AND(ISNUMBER(F440),F440&gt;0,ISNUMBER(G440),G440&gt;=0,ISNUMBER(H440),H440&gt;=0)</f>
        <v>1</v>
      </c>
      <c r="S440" s="13" t="n">
        <f aca="false">IF(R440,100*I440/F440,"")</f>
        <v>0.217088293995342</v>
      </c>
      <c r="T440" s="11" t="b">
        <f aca="false">NOT(AND(OR(AND(ISBLANK(RawFinancials!B440),ISBLANK(_RawBaseline!B437)),AND(ISNUMBER(RawFinancials!B440),ISNUMBER(_RawBaseline!B437),RawFinancials!B440=_RawBaseline!B437)),OR(AND(ISBLANK(RawFinancials!U440),ISBLANK(_RawBaseline!U437)),AND(ISNUMBER(RawFinancials!U440),ISNUMBER(_RawBaseline!U437),RawFinancials!U440=_RawBaseline!U437)),OR(AND(ISBLANK(RawFinancials!O440),ISBLANK(_RawBaseline!O437)),AND(ISNUMBER(RawFinancials!O440),ISNUMBER(_RawBaseline!O437),RawFinancials!O440=_RawBaseline!O437))))</f>
        <v>0</v>
      </c>
      <c r="U440" s="13" t="n">
        <f aca="false">IF(AND(D440=WF_START_PERIOD,R440,COUNTIFS($B$5:$B$750,B440,$D$5:$D$750,WF_END_PERIOD,$R$5:$R$750,TRUE())&gt;0),SUMIFS($S$5:$S$750,$B$5:$B$750,B440,$D$5:$D$750,WF_END_PERIOD,$R$5:$R$750,TRUE()),0)</f>
        <v>0</v>
      </c>
      <c r="V440" s="0" t="str">
        <f aca="false">IF(AND(D440=WF_START_PERIOD,COUNTIFS($B$5:$B$750,B440,$D$5:$D$750,WF_END_PERIOD)&gt;0),INDEX($E$5:$E$750,MATCH(B440&amp;"|"&amp;WF_END_PERIOD,$AC$5:$AC$750,0)),"")</f>
        <v/>
      </c>
      <c r="W440" s="11" t="b">
        <f aca="false">COUNTIFS($B$5:$B$750,B440,$D$5:$D$750,WF_START_PERIOD,$R$5:$R$750,TRUE())&gt;0</f>
        <v>1</v>
      </c>
      <c r="X440" s="11" t="b">
        <f aca="false">COUNTIFS($B$5:$B$750,B440,$D$5:$D$750,WF_END_PERIOD,$R$5:$R$750,TRUE())&gt;0</f>
        <v>1</v>
      </c>
      <c r="Y440" s="0" t="str">
        <f aca="false">IF(AND(D440=WF_END_PERIOD,COUNTIFS($B$5:$B$750,B440,$D$5:$D$750,WF_START_PERIOD)&gt;0),INDEX($E$5:$E$750,MATCH(B440&amp;"|"&amp;WF_START_PERIOD,$AC$5:$AC$750,0)),"")</f>
        <v/>
      </c>
      <c r="Z440" s="0" t="str">
        <f aca="false">IF(AND(D440=WF_END_PERIOD,R440),1+COUNTIFS($D$5:$D$750,WF_END_PERIOD,$E$5:$E$750,E440,$R$5:$R$750,TRUE(),$S$5:$S$750,"&gt;"&amp;S440)+COUNTIFS($D$5:$D$750,WF_END_PERIOD,$E$5:$E$750,E440,$R$5:$R$750,TRUE(),$S$5:$S$750,S440,$B$5:$B$750,"&lt;"&amp;B440),"")</f>
        <v/>
      </c>
      <c r="AA440" s="0" t="str">
        <f aca="false">IF(AND(D440=WF_END_PERIOD,R440,Z440&lt;&gt;1),1+COUNTIFS($D$5:$D$750,WF_END_PERIOD,$R$5:$R$750,TRUE(),$Z$5:$Z$750,"&lt;&gt;1",$S$5:$S$750,"&gt;"&amp;S440)+COUNTIFS($D$5:$D$750,WF_END_PERIOD,$R$5:$R$750,TRUE(),$Z$5:$Z$750,"&lt;&gt;1",$S$5:$S$750,S440,$B$5:$B$750,"&lt;"&amp;B440),"")</f>
        <v/>
      </c>
      <c r="AB440" s="11" t="b">
        <f aca="false">OR(D440=WF_START_PERIOD,D440=WF_END_PERIOD)</f>
        <v>0</v>
      </c>
      <c r="AC440" s="0" t="str">
        <f aca="false">B440&amp;"|"&amp;D440</f>
        <v>17115|20240331</v>
      </c>
    </row>
    <row r="441" customFormat="false" ht="15" hidden="false" customHeight="false" outlineLevel="0" collapsed="false">
      <c r="A441" s="0" t="n">
        <f aca="false">RawFinancials!A441</f>
        <v>438</v>
      </c>
      <c r="B441" s="0" t="n">
        <f aca="false">RawFinancials!C441</f>
        <v>17180</v>
      </c>
      <c r="C441" s="0" t="str">
        <f aca="false">RawFinancials!P441</f>
        <v>MEREDITH VILLAGE SAVINGS BANK</v>
      </c>
      <c r="D441" s="0" t="n">
        <f aca="false">RawFinancials!W441</f>
        <v>20240331</v>
      </c>
      <c r="E441" s="0" t="str">
        <f aca="false">RawFinancials!Z441</f>
        <v>NH</v>
      </c>
      <c r="F441" s="0" t="n">
        <f aca="false">RawFinancials!B441</f>
        <v>1658628</v>
      </c>
      <c r="G441" s="0" t="n">
        <f aca="false">RawFinancials!U441</f>
        <v>0</v>
      </c>
      <c r="H441" s="0" t="n">
        <f aca="false">RawFinancials!O441</f>
        <v>6109</v>
      </c>
      <c r="I441" s="0" t="n">
        <f aca="false">IF(AND(ISNUMBER(G441),ISNUMBER(H441)),G441+H441,"")</f>
        <v>6109</v>
      </c>
      <c r="J441" s="0" t="n">
        <f aca="false">RawFinancials!D441</f>
        <v>1184689</v>
      </c>
      <c r="K441" s="0" t="n">
        <f aca="false">RawFinancials!F441</f>
        <v>137543</v>
      </c>
      <c r="L441" s="0" t="n">
        <f aca="false">RawFinancials!L441</f>
        <v>1488562</v>
      </c>
      <c r="M441" s="0" t="n">
        <f aca="false">RawFinancials!N441</f>
        <v>1225328</v>
      </c>
      <c r="N441" s="13" t="n">
        <f aca="false">RawFinancials!X441</f>
        <v>0.387207231428846</v>
      </c>
      <c r="O441" s="13" t="n">
        <f aca="false">RawFinancials!V441</f>
        <v>14.3313029893451</v>
      </c>
      <c r="P441" s="13" t="n">
        <f aca="false">IF(AND(ISNUMBER(L441),L441&lt;&gt;0,ISNUMBER(M441)),100*M441/L441,"")</f>
        <v>82.3162219645537</v>
      </c>
      <c r="Q441" s="13" t="n">
        <f aca="false">IF(AND(ISNUMBER(F441),F441&lt;&gt;0,ISNUMBER(K441)),100*K441/F441,"")</f>
        <v>8.29257675621055</v>
      </c>
      <c r="R441" s="11" t="b">
        <f aca="false">AND(ISNUMBER(F441),F441&gt;0,ISNUMBER(G441),G441&gt;=0,ISNUMBER(H441),H441&gt;=0)</f>
        <v>1</v>
      </c>
      <c r="S441" s="13" t="n">
        <f aca="false">IF(R441,100*I441/F441,"")</f>
        <v>0.368316463969015</v>
      </c>
      <c r="T441" s="11" t="b">
        <f aca="false">NOT(AND(OR(AND(ISBLANK(RawFinancials!B441),ISBLANK(_RawBaseline!B438)),AND(ISNUMBER(RawFinancials!B441),ISNUMBER(_RawBaseline!B438),RawFinancials!B441=_RawBaseline!B438)),OR(AND(ISBLANK(RawFinancials!U441),ISBLANK(_RawBaseline!U438)),AND(ISNUMBER(RawFinancials!U441),ISNUMBER(_RawBaseline!U438),RawFinancials!U441=_RawBaseline!U438)),OR(AND(ISBLANK(RawFinancials!O441),ISBLANK(_RawBaseline!O438)),AND(ISNUMBER(RawFinancials!O441),ISNUMBER(_RawBaseline!O438),RawFinancials!O441=_RawBaseline!O438))))</f>
        <v>0</v>
      </c>
      <c r="U441" s="13" t="n">
        <f aca="false">IF(AND(D441=WF_START_PERIOD,R441,COUNTIFS($B$5:$B$750,B441,$D$5:$D$750,WF_END_PERIOD,$R$5:$R$750,TRUE())&gt;0),SUMIFS($S$5:$S$750,$B$5:$B$750,B441,$D$5:$D$750,WF_END_PERIOD,$R$5:$R$750,TRUE()),0)</f>
        <v>0</v>
      </c>
      <c r="V441" s="0" t="str">
        <f aca="false">IF(AND(D441=WF_START_PERIOD,COUNTIFS($B$5:$B$750,B441,$D$5:$D$750,WF_END_PERIOD)&gt;0),INDEX($E$5:$E$750,MATCH(B441&amp;"|"&amp;WF_END_PERIOD,$AC$5:$AC$750,0)),"")</f>
        <v/>
      </c>
      <c r="W441" s="11" t="b">
        <f aca="false">COUNTIFS($B$5:$B$750,B441,$D$5:$D$750,WF_START_PERIOD,$R$5:$R$750,TRUE())&gt;0</f>
        <v>1</v>
      </c>
      <c r="X441" s="11" t="b">
        <f aca="false">COUNTIFS($B$5:$B$750,B441,$D$5:$D$750,WF_END_PERIOD,$R$5:$R$750,TRUE())&gt;0</f>
        <v>1</v>
      </c>
      <c r="Y441" s="0" t="str">
        <f aca="false">IF(AND(D441=WF_END_PERIOD,COUNTIFS($B$5:$B$750,B441,$D$5:$D$750,WF_START_PERIOD)&gt;0),INDEX($E$5:$E$750,MATCH(B441&amp;"|"&amp;WF_START_PERIOD,$AC$5:$AC$750,0)),"")</f>
        <v/>
      </c>
      <c r="Z441" s="0" t="str">
        <f aca="false">IF(AND(D441=WF_END_PERIOD,R441),1+COUNTIFS($D$5:$D$750,WF_END_PERIOD,$E$5:$E$750,E441,$R$5:$R$750,TRUE(),$S$5:$S$750,"&gt;"&amp;S441)+COUNTIFS($D$5:$D$750,WF_END_PERIOD,$E$5:$E$750,E441,$R$5:$R$750,TRUE(),$S$5:$S$750,S441,$B$5:$B$750,"&lt;"&amp;B441),"")</f>
        <v/>
      </c>
      <c r="AA441" s="0" t="str">
        <f aca="false">IF(AND(D441=WF_END_PERIOD,R441,Z441&lt;&gt;1),1+COUNTIFS($D$5:$D$750,WF_END_PERIOD,$R$5:$R$750,TRUE(),$Z$5:$Z$750,"&lt;&gt;1",$S$5:$S$750,"&gt;"&amp;S441)+COUNTIFS($D$5:$D$750,WF_END_PERIOD,$R$5:$R$750,TRUE(),$Z$5:$Z$750,"&lt;&gt;1",$S$5:$S$750,S441,$B$5:$B$750,"&lt;"&amp;B441),"")</f>
        <v/>
      </c>
      <c r="AB441" s="11" t="b">
        <f aca="false">OR(D441=WF_START_PERIOD,D441=WF_END_PERIOD)</f>
        <v>0</v>
      </c>
      <c r="AC441" s="0" t="str">
        <f aca="false">B441&amp;"|"&amp;D441</f>
        <v>17180|20240331</v>
      </c>
    </row>
    <row r="442" customFormat="false" ht="15" hidden="false" customHeight="false" outlineLevel="0" collapsed="false">
      <c r="A442" s="0" t="n">
        <f aca="false">RawFinancials!A442</f>
        <v>439</v>
      </c>
      <c r="B442" s="0" t="n">
        <f aca="false">RawFinancials!C442</f>
        <v>17443</v>
      </c>
      <c r="C442" s="0" t="str">
        <f aca="false">RawFinancials!P442</f>
        <v>PISCATAQUA SAVINGS BANK</v>
      </c>
      <c r="D442" s="0" t="n">
        <f aca="false">RawFinancials!W442</f>
        <v>20240331</v>
      </c>
      <c r="E442" s="0" t="str">
        <f aca="false">RawFinancials!Z442</f>
        <v>NH</v>
      </c>
      <c r="F442" s="0" t="n">
        <f aca="false">RawFinancials!B442</f>
        <v>343636</v>
      </c>
      <c r="G442" s="0" t="n">
        <f aca="false">RawFinancials!U442</f>
        <v>0</v>
      </c>
      <c r="H442" s="0" t="n">
        <f aca="false">RawFinancials!O442</f>
        <v>1048</v>
      </c>
      <c r="I442" s="0" t="n">
        <f aca="false">IF(AND(ISNUMBER(G442),ISNUMBER(H442)),G442+H442,"")</f>
        <v>1048</v>
      </c>
      <c r="J442" s="0" t="n">
        <f aca="false">RawFinancials!D442</f>
        <v>303567</v>
      </c>
      <c r="K442" s="0" t="n">
        <f aca="false">RawFinancials!F442</f>
        <v>38886</v>
      </c>
      <c r="L442" s="0" t="n">
        <f aca="false">RawFinancials!L442</f>
        <v>200566</v>
      </c>
      <c r="M442" s="0" t="n">
        <f aca="false">RawFinancials!N442</f>
        <v>198841</v>
      </c>
      <c r="N442" s="13" t="n">
        <f aca="false">RawFinancials!X442</f>
        <v>-0.50316710300389</v>
      </c>
      <c r="O442" s="13" t="n">
        <f aca="false">RawFinancials!V442</f>
        <v>0</v>
      </c>
      <c r="P442" s="13" t="n">
        <f aca="false">IF(AND(ISNUMBER(L442),L442&lt;&gt;0,ISNUMBER(M442)),100*M442/L442,"")</f>
        <v>99.1399339868173</v>
      </c>
      <c r="Q442" s="13" t="n">
        <f aca="false">IF(AND(ISNUMBER(F442),F442&lt;&gt;0,ISNUMBER(K442)),100*K442/F442,"")</f>
        <v>11.3160437206812</v>
      </c>
      <c r="R442" s="11" t="b">
        <f aca="false">AND(ISNUMBER(F442),F442&gt;0,ISNUMBER(G442),G442&gt;=0,ISNUMBER(H442),H442&gt;=0)</f>
        <v>1</v>
      </c>
      <c r="S442" s="13" t="n">
        <f aca="false">IF(R442,100*I442/F442,"")</f>
        <v>0.304973867697215</v>
      </c>
      <c r="T442" s="11" t="b">
        <f aca="false">NOT(AND(OR(AND(ISBLANK(RawFinancials!B442),ISBLANK(_RawBaseline!B439)),AND(ISNUMBER(RawFinancials!B442),ISNUMBER(_RawBaseline!B439),RawFinancials!B442=_RawBaseline!B439)),OR(AND(ISBLANK(RawFinancials!U442),ISBLANK(_RawBaseline!U439)),AND(ISNUMBER(RawFinancials!U442),ISNUMBER(_RawBaseline!U439),RawFinancials!U442=_RawBaseline!U439)),OR(AND(ISBLANK(RawFinancials!O442),ISBLANK(_RawBaseline!O439)),AND(ISNUMBER(RawFinancials!O442),ISNUMBER(_RawBaseline!O439),RawFinancials!O442=_RawBaseline!O439))))</f>
        <v>0</v>
      </c>
      <c r="U442" s="13" t="n">
        <f aca="false">IF(AND(D442=WF_START_PERIOD,R442,COUNTIFS($B$5:$B$750,B442,$D$5:$D$750,WF_END_PERIOD,$R$5:$R$750,TRUE())&gt;0),SUMIFS($S$5:$S$750,$B$5:$B$750,B442,$D$5:$D$750,WF_END_PERIOD,$R$5:$R$750,TRUE()),0)</f>
        <v>0</v>
      </c>
      <c r="V442" s="0" t="str">
        <f aca="false">IF(AND(D442=WF_START_PERIOD,COUNTIFS($B$5:$B$750,B442,$D$5:$D$750,WF_END_PERIOD)&gt;0),INDEX($E$5:$E$750,MATCH(B442&amp;"|"&amp;WF_END_PERIOD,$AC$5:$AC$750,0)),"")</f>
        <v/>
      </c>
      <c r="W442" s="11" t="b">
        <f aca="false">COUNTIFS($B$5:$B$750,B442,$D$5:$D$750,WF_START_PERIOD,$R$5:$R$750,TRUE())&gt;0</f>
        <v>1</v>
      </c>
      <c r="X442" s="11" t="b">
        <f aca="false">COUNTIFS($B$5:$B$750,B442,$D$5:$D$750,WF_END_PERIOD,$R$5:$R$750,TRUE())&gt;0</f>
        <v>1</v>
      </c>
      <c r="Y442" s="0" t="str">
        <f aca="false">IF(AND(D442=WF_END_PERIOD,COUNTIFS($B$5:$B$750,B442,$D$5:$D$750,WF_START_PERIOD)&gt;0),INDEX($E$5:$E$750,MATCH(B442&amp;"|"&amp;WF_START_PERIOD,$AC$5:$AC$750,0)),"")</f>
        <v/>
      </c>
      <c r="Z442" s="0" t="str">
        <f aca="false">IF(AND(D442=WF_END_PERIOD,R442),1+COUNTIFS($D$5:$D$750,WF_END_PERIOD,$E$5:$E$750,E442,$R$5:$R$750,TRUE(),$S$5:$S$750,"&gt;"&amp;S442)+COUNTIFS($D$5:$D$750,WF_END_PERIOD,$E$5:$E$750,E442,$R$5:$R$750,TRUE(),$S$5:$S$750,S442,$B$5:$B$750,"&lt;"&amp;B442),"")</f>
        <v/>
      </c>
      <c r="AA442" s="0" t="str">
        <f aca="false">IF(AND(D442=WF_END_PERIOD,R442,Z442&lt;&gt;1),1+COUNTIFS($D$5:$D$750,WF_END_PERIOD,$R$5:$R$750,TRUE(),$Z$5:$Z$750,"&lt;&gt;1",$S$5:$S$750,"&gt;"&amp;S442)+COUNTIFS($D$5:$D$750,WF_END_PERIOD,$R$5:$R$750,TRUE(),$Z$5:$Z$750,"&lt;&gt;1",$S$5:$S$750,S442,$B$5:$B$750,"&lt;"&amp;B442),"")</f>
        <v/>
      </c>
      <c r="AB442" s="11" t="b">
        <f aca="false">OR(D442=WF_START_PERIOD,D442=WF_END_PERIOD)</f>
        <v>0</v>
      </c>
      <c r="AC442" s="0" t="str">
        <f aca="false">B442&amp;"|"&amp;D442</f>
        <v>17443|20240331</v>
      </c>
    </row>
    <row r="443" customFormat="false" ht="15" hidden="false" customHeight="false" outlineLevel="0" collapsed="false">
      <c r="A443" s="0" t="n">
        <f aca="false">RawFinancials!A443</f>
        <v>440</v>
      </c>
      <c r="B443" s="0" t="n">
        <f aca="false">RawFinancials!C443</f>
        <v>17658</v>
      </c>
      <c r="C443" s="0" t="str">
        <f aca="false">RawFinancials!P443</f>
        <v>NORWAY SAVINGS BANK</v>
      </c>
      <c r="D443" s="0" t="n">
        <f aca="false">RawFinancials!W443</f>
        <v>20240331</v>
      </c>
      <c r="E443" s="0" t="str">
        <f aca="false">RawFinancials!Z443</f>
        <v>ME</v>
      </c>
      <c r="F443" s="0" t="n">
        <f aca="false">RawFinancials!B443</f>
        <v>1866220</v>
      </c>
      <c r="G443" s="0" t="n">
        <f aca="false">RawFinancials!U443</f>
        <v>385</v>
      </c>
      <c r="H443" s="0" t="n">
        <f aca="false">RawFinancials!O443</f>
        <v>9256</v>
      </c>
      <c r="I443" s="0" t="n">
        <f aca="false">IF(AND(ISNUMBER(G443),ISNUMBER(H443)),G443+H443,"")</f>
        <v>9641</v>
      </c>
      <c r="J443" s="0" t="n">
        <f aca="false">RawFinancials!D443</f>
        <v>1503369</v>
      </c>
      <c r="K443" s="0" t="n">
        <f aca="false">RawFinancials!F443</f>
        <v>208139</v>
      </c>
      <c r="L443" s="0" t="n">
        <f aca="false">RawFinancials!L443</f>
        <v>1313902</v>
      </c>
      <c r="M443" s="0" t="n">
        <f aca="false">RawFinancials!N443</f>
        <v>1122390</v>
      </c>
      <c r="N443" s="13" t="n">
        <f aca="false">RawFinancials!X443</f>
        <v>0.958254818606865</v>
      </c>
      <c r="O443" s="13" t="n">
        <f aca="false">RawFinancials!V443</f>
        <v>0</v>
      </c>
      <c r="P443" s="13" t="n">
        <f aca="false">IF(AND(ISNUMBER(L443),L443&lt;&gt;0,ISNUMBER(M443)),100*M443/L443,"")</f>
        <v>85.4241792766888</v>
      </c>
      <c r="Q443" s="13" t="n">
        <f aca="false">IF(AND(ISNUMBER(F443),F443&lt;&gt;0,ISNUMBER(K443)),100*K443/F443,"")</f>
        <v>11.1529723183762</v>
      </c>
      <c r="R443" s="11" t="b">
        <f aca="false">AND(ISNUMBER(F443),F443&gt;0,ISNUMBER(G443),G443&gt;=0,ISNUMBER(H443),H443&gt;=0)</f>
        <v>1</v>
      </c>
      <c r="S443" s="13" t="n">
        <f aca="false">IF(R443,100*I443/F443,"")</f>
        <v>0.516605759235246</v>
      </c>
      <c r="T443" s="11" t="b">
        <f aca="false">NOT(AND(OR(AND(ISBLANK(RawFinancials!B443),ISBLANK(_RawBaseline!B440)),AND(ISNUMBER(RawFinancials!B443),ISNUMBER(_RawBaseline!B440),RawFinancials!B443=_RawBaseline!B440)),OR(AND(ISBLANK(RawFinancials!U443),ISBLANK(_RawBaseline!U440)),AND(ISNUMBER(RawFinancials!U443),ISNUMBER(_RawBaseline!U440),RawFinancials!U443=_RawBaseline!U440)),OR(AND(ISBLANK(RawFinancials!O443),ISBLANK(_RawBaseline!O440)),AND(ISNUMBER(RawFinancials!O443),ISNUMBER(_RawBaseline!O440),RawFinancials!O443=_RawBaseline!O440))))</f>
        <v>0</v>
      </c>
      <c r="U443" s="13" t="n">
        <f aca="false">IF(AND(D443=WF_START_PERIOD,R443,COUNTIFS($B$5:$B$750,B443,$D$5:$D$750,WF_END_PERIOD,$R$5:$R$750,TRUE())&gt;0),SUMIFS($S$5:$S$750,$B$5:$B$750,B443,$D$5:$D$750,WF_END_PERIOD,$R$5:$R$750,TRUE()),0)</f>
        <v>0</v>
      </c>
      <c r="V443" s="0" t="str">
        <f aca="false">IF(AND(D443=WF_START_PERIOD,COUNTIFS($B$5:$B$750,B443,$D$5:$D$750,WF_END_PERIOD)&gt;0),INDEX($E$5:$E$750,MATCH(B443&amp;"|"&amp;WF_END_PERIOD,$AC$5:$AC$750,0)),"")</f>
        <v/>
      </c>
      <c r="W443" s="11" t="b">
        <f aca="false">COUNTIFS($B$5:$B$750,B443,$D$5:$D$750,WF_START_PERIOD,$R$5:$R$750,TRUE())&gt;0</f>
        <v>1</v>
      </c>
      <c r="X443" s="11" t="b">
        <f aca="false">COUNTIFS($B$5:$B$750,B443,$D$5:$D$750,WF_END_PERIOD,$R$5:$R$750,TRUE())&gt;0</f>
        <v>1</v>
      </c>
      <c r="Y443" s="0" t="str">
        <f aca="false">IF(AND(D443=WF_END_PERIOD,COUNTIFS($B$5:$B$750,B443,$D$5:$D$750,WF_START_PERIOD)&gt;0),INDEX($E$5:$E$750,MATCH(B443&amp;"|"&amp;WF_START_PERIOD,$AC$5:$AC$750,0)),"")</f>
        <v/>
      </c>
      <c r="Z443" s="0" t="str">
        <f aca="false">IF(AND(D443=WF_END_PERIOD,R443),1+COUNTIFS($D$5:$D$750,WF_END_PERIOD,$E$5:$E$750,E443,$R$5:$R$750,TRUE(),$S$5:$S$750,"&gt;"&amp;S443)+COUNTIFS($D$5:$D$750,WF_END_PERIOD,$E$5:$E$750,E443,$R$5:$R$750,TRUE(),$S$5:$S$750,S443,$B$5:$B$750,"&lt;"&amp;B443),"")</f>
        <v/>
      </c>
      <c r="AA443" s="0" t="str">
        <f aca="false">IF(AND(D443=WF_END_PERIOD,R443,Z443&lt;&gt;1),1+COUNTIFS($D$5:$D$750,WF_END_PERIOD,$R$5:$R$750,TRUE(),$Z$5:$Z$750,"&lt;&gt;1",$S$5:$S$750,"&gt;"&amp;S443)+COUNTIFS($D$5:$D$750,WF_END_PERIOD,$R$5:$R$750,TRUE(),$Z$5:$Z$750,"&lt;&gt;1",$S$5:$S$750,S443,$B$5:$B$750,"&lt;"&amp;B443),"")</f>
        <v/>
      </c>
      <c r="AB443" s="11" t="b">
        <f aca="false">OR(D443=WF_START_PERIOD,D443=WF_END_PERIOD)</f>
        <v>0</v>
      </c>
      <c r="AC443" s="0" t="str">
        <f aca="false">B443&amp;"|"&amp;D443</f>
        <v>17658|20240331</v>
      </c>
    </row>
    <row r="444" customFormat="false" ht="15" hidden="false" customHeight="false" outlineLevel="0" collapsed="false">
      <c r="A444" s="0" t="n">
        <f aca="false">RawFinancials!A444</f>
        <v>441</v>
      </c>
      <c r="B444" s="0" t="n">
        <f aca="false">RawFinancials!C444</f>
        <v>17741</v>
      </c>
      <c r="C444" s="0" t="str">
        <f aca="false">RawFinancials!P444</f>
        <v>MAINE COMMUNITY BANK</v>
      </c>
      <c r="D444" s="0" t="n">
        <f aca="false">RawFinancials!W444</f>
        <v>20240331</v>
      </c>
      <c r="E444" s="0" t="str">
        <f aca="false">RawFinancials!Z444</f>
        <v>ME</v>
      </c>
      <c r="F444" s="0" t="n">
        <f aca="false">RawFinancials!B444</f>
        <v>1107414</v>
      </c>
      <c r="G444" s="0" t="n">
        <f aca="false">RawFinancials!U444</f>
        <v>0</v>
      </c>
      <c r="H444" s="0" t="n">
        <f aca="false">RawFinancials!O444</f>
        <v>7415</v>
      </c>
      <c r="I444" s="0" t="n">
        <f aca="false">IF(AND(ISNUMBER(G444),ISNUMBER(H444)),G444+H444,"")</f>
        <v>7415</v>
      </c>
      <c r="J444" s="0" t="n">
        <f aca="false">RawFinancials!D444</f>
        <v>821220</v>
      </c>
      <c r="K444" s="0" t="n">
        <f aca="false">RawFinancials!F444</f>
        <v>140357</v>
      </c>
      <c r="L444" s="0" t="n">
        <f aca="false">RawFinancials!L444</f>
        <v>927393</v>
      </c>
      <c r="M444" s="0" t="n">
        <f aca="false">RawFinancials!N444</f>
        <v>863345</v>
      </c>
      <c r="N444" s="13" t="n">
        <f aca="false">RawFinancials!X444</f>
        <v>0.564580253103116</v>
      </c>
      <c r="O444" s="13" t="n">
        <f aca="false">RawFinancials!V444</f>
        <v>0</v>
      </c>
      <c r="P444" s="13" t="n">
        <f aca="false">IF(AND(ISNUMBER(L444),L444&lt;&gt;0,ISNUMBER(M444)),100*M444/L444,"")</f>
        <v>93.0937585252423</v>
      </c>
      <c r="Q444" s="13" t="n">
        <f aca="false">IF(AND(ISNUMBER(F444),F444&lt;&gt;0,ISNUMBER(K444)),100*K444/F444,"")</f>
        <v>12.6743024740522</v>
      </c>
      <c r="R444" s="11" t="b">
        <f aca="false">AND(ISNUMBER(F444),F444&gt;0,ISNUMBER(G444),G444&gt;=0,ISNUMBER(H444),H444&gt;=0)</f>
        <v>1</v>
      </c>
      <c r="S444" s="13" t="n">
        <f aca="false">IF(R444,100*I444/F444,"")</f>
        <v>0.669577953683085</v>
      </c>
      <c r="T444" s="11" t="b">
        <f aca="false">NOT(AND(OR(AND(ISBLANK(RawFinancials!B444),ISBLANK(_RawBaseline!B441)),AND(ISNUMBER(RawFinancials!B444),ISNUMBER(_RawBaseline!B441),RawFinancials!B444=_RawBaseline!B441)),OR(AND(ISBLANK(RawFinancials!U444),ISBLANK(_RawBaseline!U441)),AND(ISNUMBER(RawFinancials!U444),ISNUMBER(_RawBaseline!U441),RawFinancials!U444=_RawBaseline!U441)),OR(AND(ISBLANK(RawFinancials!O444),ISBLANK(_RawBaseline!O441)),AND(ISNUMBER(RawFinancials!O444),ISNUMBER(_RawBaseline!O441),RawFinancials!O444=_RawBaseline!O441))))</f>
        <v>0</v>
      </c>
      <c r="U444" s="13" t="n">
        <f aca="false">IF(AND(D444=WF_START_PERIOD,R444,COUNTIFS($B$5:$B$750,B444,$D$5:$D$750,WF_END_PERIOD,$R$5:$R$750,TRUE())&gt;0),SUMIFS($S$5:$S$750,$B$5:$B$750,B444,$D$5:$D$750,WF_END_PERIOD,$R$5:$R$750,TRUE()),0)</f>
        <v>0</v>
      </c>
      <c r="V444" s="0" t="str">
        <f aca="false">IF(AND(D444=WF_START_PERIOD,COUNTIFS($B$5:$B$750,B444,$D$5:$D$750,WF_END_PERIOD)&gt;0),INDEX($E$5:$E$750,MATCH(B444&amp;"|"&amp;WF_END_PERIOD,$AC$5:$AC$750,0)),"")</f>
        <v/>
      </c>
      <c r="W444" s="11" t="b">
        <f aca="false">COUNTIFS($B$5:$B$750,B444,$D$5:$D$750,WF_START_PERIOD,$R$5:$R$750,TRUE())&gt;0</f>
        <v>1</v>
      </c>
      <c r="X444" s="11" t="b">
        <f aca="false">COUNTIFS($B$5:$B$750,B444,$D$5:$D$750,WF_END_PERIOD,$R$5:$R$750,TRUE())&gt;0</f>
        <v>1</v>
      </c>
      <c r="Y444" s="0" t="str">
        <f aca="false">IF(AND(D444=WF_END_PERIOD,COUNTIFS($B$5:$B$750,B444,$D$5:$D$750,WF_START_PERIOD)&gt;0),INDEX($E$5:$E$750,MATCH(B444&amp;"|"&amp;WF_START_PERIOD,$AC$5:$AC$750,0)),"")</f>
        <v/>
      </c>
      <c r="Z444" s="0" t="str">
        <f aca="false">IF(AND(D444=WF_END_PERIOD,R444),1+COUNTIFS($D$5:$D$750,WF_END_PERIOD,$E$5:$E$750,E444,$R$5:$R$750,TRUE(),$S$5:$S$750,"&gt;"&amp;S444)+COUNTIFS($D$5:$D$750,WF_END_PERIOD,$E$5:$E$750,E444,$R$5:$R$750,TRUE(),$S$5:$S$750,S444,$B$5:$B$750,"&lt;"&amp;B444),"")</f>
        <v/>
      </c>
      <c r="AA444" s="0" t="str">
        <f aca="false">IF(AND(D444=WF_END_PERIOD,R444,Z444&lt;&gt;1),1+COUNTIFS($D$5:$D$750,WF_END_PERIOD,$R$5:$R$750,TRUE(),$Z$5:$Z$750,"&lt;&gt;1",$S$5:$S$750,"&gt;"&amp;S444)+COUNTIFS($D$5:$D$750,WF_END_PERIOD,$R$5:$R$750,TRUE(),$Z$5:$Z$750,"&lt;&gt;1",$S$5:$S$750,S444,$B$5:$B$750,"&lt;"&amp;B444),"")</f>
        <v/>
      </c>
      <c r="AB444" s="11" t="b">
        <f aca="false">OR(D444=WF_START_PERIOD,D444=WF_END_PERIOD)</f>
        <v>0</v>
      </c>
      <c r="AC444" s="0" t="str">
        <f aca="false">B444&amp;"|"&amp;D444</f>
        <v>17741|20240331</v>
      </c>
    </row>
    <row r="445" customFormat="false" ht="15" hidden="false" customHeight="false" outlineLevel="0" collapsed="false">
      <c r="A445" s="0" t="n">
        <f aca="false">RawFinancials!A445</f>
        <v>442</v>
      </c>
      <c r="B445" s="0" t="n">
        <f aca="false">RawFinancials!C445</f>
        <v>17743</v>
      </c>
      <c r="C445" s="0" t="str">
        <f aca="false">RawFinancials!P445</f>
        <v>SACO &amp; BIDDEFORD SAVINGS INSTITUTION</v>
      </c>
      <c r="D445" s="0" t="n">
        <f aca="false">RawFinancials!W445</f>
        <v>20240331</v>
      </c>
      <c r="E445" s="0" t="str">
        <f aca="false">RawFinancials!Z445</f>
        <v>ME</v>
      </c>
      <c r="F445" s="0" t="n">
        <f aca="false">RawFinancials!B445</f>
        <v>1393711</v>
      </c>
      <c r="G445" s="0" t="n">
        <f aca="false">RawFinancials!U445</f>
        <v>0</v>
      </c>
      <c r="H445" s="0" t="n">
        <f aca="false">RawFinancials!O445</f>
        <v>3695</v>
      </c>
      <c r="I445" s="0" t="n">
        <f aca="false">IF(AND(ISNUMBER(G445),ISNUMBER(H445)),G445+H445,"")</f>
        <v>3695</v>
      </c>
      <c r="J445" s="0" t="n">
        <f aca="false">RawFinancials!D445</f>
        <v>978717</v>
      </c>
      <c r="K445" s="0" t="n">
        <f aca="false">RawFinancials!F445</f>
        <v>122061</v>
      </c>
      <c r="L445" s="0" t="n">
        <f aca="false">RawFinancials!L445</f>
        <v>1099628</v>
      </c>
      <c r="M445" s="0" t="n">
        <f aca="false">RawFinancials!N445</f>
        <v>1062851</v>
      </c>
      <c r="N445" s="13" t="n">
        <f aca="false">RawFinancials!X445</f>
        <v>-0.0366187223309691</v>
      </c>
      <c r="O445" s="13" t="n">
        <f aca="false">RawFinancials!V445</f>
        <v>0</v>
      </c>
      <c r="P445" s="13" t="n">
        <f aca="false">IF(AND(ISNUMBER(L445),L445&lt;&gt;0,ISNUMBER(M445)),100*M445/L445,"")</f>
        <v>96.6555053163434</v>
      </c>
      <c r="Q445" s="13" t="n">
        <f aca="false">IF(AND(ISNUMBER(F445),F445&lt;&gt;0,ISNUMBER(K445)),100*K445/F445,"")</f>
        <v>8.75798497679935</v>
      </c>
      <c r="R445" s="11" t="b">
        <f aca="false">AND(ISNUMBER(F445),F445&gt;0,ISNUMBER(G445),G445&gt;=0,ISNUMBER(H445),H445&gt;=0)</f>
        <v>1</v>
      </c>
      <c r="S445" s="13" t="n">
        <f aca="false">IF(R445,100*I445/F445,"")</f>
        <v>0.265119526214545</v>
      </c>
      <c r="T445" s="11" t="b">
        <f aca="false">NOT(AND(OR(AND(ISBLANK(RawFinancials!B445),ISBLANK(_RawBaseline!B442)),AND(ISNUMBER(RawFinancials!B445),ISNUMBER(_RawBaseline!B442),RawFinancials!B445=_RawBaseline!B442)),OR(AND(ISBLANK(RawFinancials!U445),ISBLANK(_RawBaseline!U442)),AND(ISNUMBER(RawFinancials!U445),ISNUMBER(_RawBaseline!U442),RawFinancials!U445=_RawBaseline!U442)),OR(AND(ISBLANK(RawFinancials!O445),ISBLANK(_RawBaseline!O442)),AND(ISNUMBER(RawFinancials!O445),ISNUMBER(_RawBaseline!O442),RawFinancials!O445=_RawBaseline!O442))))</f>
        <v>0</v>
      </c>
      <c r="U445" s="13" t="n">
        <f aca="false">IF(AND(D445=WF_START_PERIOD,R445,COUNTIFS($B$5:$B$750,B445,$D$5:$D$750,WF_END_PERIOD,$R$5:$R$750,TRUE())&gt;0),SUMIFS($S$5:$S$750,$B$5:$B$750,B445,$D$5:$D$750,WF_END_PERIOD,$R$5:$R$750,TRUE()),0)</f>
        <v>0</v>
      </c>
      <c r="V445" s="0" t="str">
        <f aca="false">IF(AND(D445=WF_START_PERIOD,COUNTIFS($B$5:$B$750,B445,$D$5:$D$750,WF_END_PERIOD)&gt;0),INDEX($E$5:$E$750,MATCH(B445&amp;"|"&amp;WF_END_PERIOD,$AC$5:$AC$750,0)),"")</f>
        <v/>
      </c>
      <c r="W445" s="11" t="b">
        <f aca="false">COUNTIFS($B$5:$B$750,B445,$D$5:$D$750,WF_START_PERIOD,$R$5:$R$750,TRUE())&gt;0</f>
        <v>1</v>
      </c>
      <c r="X445" s="11" t="b">
        <f aca="false">COUNTIFS($B$5:$B$750,B445,$D$5:$D$750,WF_END_PERIOD,$R$5:$R$750,TRUE())&gt;0</f>
        <v>1</v>
      </c>
      <c r="Y445" s="0" t="str">
        <f aca="false">IF(AND(D445=WF_END_PERIOD,COUNTIFS($B$5:$B$750,B445,$D$5:$D$750,WF_START_PERIOD)&gt;0),INDEX($E$5:$E$750,MATCH(B445&amp;"|"&amp;WF_START_PERIOD,$AC$5:$AC$750,0)),"")</f>
        <v/>
      </c>
      <c r="Z445" s="0" t="str">
        <f aca="false">IF(AND(D445=WF_END_PERIOD,R445),1+COUNTIFS($D$5:$D$750,WF_END_PERIOD,$E$5:$E$750,E445,$R$5:$R$750,TRUE(),$S$5:$S$750,"&gt;"&amp;S445)+COUNTIFS($D$5:$D$750,WF_END_PERIOD,$E$5:$E$750,E445,$R$5:$R$750,TRUE(),$S$5:$S$750,S445,$B$5:$B$750,"&lt;"&amp;B445),"")</f>
        <v/>
      </c>
      <c r="AA445" s="0" t="str">
        <f aca="false">IF(AND(D445=WF_END_PERIOD,R445,Z445&lt;&gt;1),1+COUNTIFS($D$5:$D$750,WF_END_PERIOD,$R$5:$R$750,TRUE(),$Z$5:$Z$750,"&lt;&gt;1",$S$5:$S$750,"&gt;"&amp;S445)+COUNTIFS($D$5:$D$750,WF_END_PERIOD,$R$5:$R$750,TRUE(),$Z$5:$Z$750,"&lt;&gt;1",$S$5:$S$750,S445,$B$5:$B$750,"&lt;"&amp;B445),"")</f>
        <v/>
      </c>
      <c r="AB445" s="11" t="b">
        <f aca="false">OR(D445=WF_START_PERIOD,D445=WF_END_PERIOD)</f>
        <v>0</v>
      </c>
      <c r="AC445" s="0" t="str">
        <f aca="false">B445&amp;"|"&amp;D445</f>
        <v>17743|20240331</v>
      </c>
    </row>
    <row r="446" customFormat="false" ht="15" hidden="false" customHeight="false" outlineLevel="0" collapsed="false">
      <c r="A446" s="0" t="n">
        <f aca="false">RawFinancials!A446</f>
        <v>443</v>
      </c>
      <c r="B446" s="0" t="n">
        <f aca="false">RawFinancials!C446</f>
        <v>17748</v>
      </c>
      <c r="C446" s="0" t="str">
        <f aca="false">RawFinancials!P446</f>
        <v>GORHAM SAVINGS BANK</v>
      </c>
      <c r="D446" s="0" t="n">
        <f aca="false">RawFinancials!W446</f>
        <v>20240331</v>
      </c>
      <c r="E446" s="0" t="str">
        <f aca="false">RawFinancials!Z446</f>
        <v>ME</v>
      </c>
      <c r="F446" s="0" t="n">
        <f aca="false">RawFinancials!B446</f>
        <v>1644996</v>
      </c>
      <c r="G446" s="0" t="n">
        <f aca="false">RawFinancials!U446</f>
        <v>0</v>
      </c>
      <c r="H446" s="0" t="n">
        <f aca="false">RawFinancials!O446</f>
        <v>9414</v>
      </c>
      <c r="I446" s="0" t="n">
        <f aca="false">IF(AND(ISNUMBER(G446),ISNUMBER(H446)),G446+H446,"")</f>
        <v>9414</v>
      </c>
      <c r="J446" s="0" t="n">
        <f aca="false">RawFinancials!D446</f>
        <v>1346317</v>
      </c>
      <c r="K446" s="0" t="n">
        <f aca="false">RawFinancials!F446</f>
        <v>112176</v>
      </c>
      <c r="L446" s="0" t="n">
        <f aca="false">RawFinancials!L446</f>
        <v>1265225</v>
      </c>
      <c r="M446" s="0" t="n">
        <f aca="false">RawFinancials!N446</f>
        <v>1052324</v>
      </c>
      <c r="N446" s="13" t="n">
        <f aca="false">RawFinancials!X446</f>
        <v>0.186368991289905</v>
      </c>
      <c r="O446" s="13" t="n">
        <f aca="false">RawFinancials!V446</f>
        <v>0</v>
      </c>
      <c r="P446" s="13" t="n">
        <f aca="false">IF(AND(ISNUMBER(L446),L446&lt;&gt;0,ISNUMBER(M446)),100*M446/L446,"")</f>
        <v>83.1728743899306</v>
      </c>
      <c r="Q446" s="13" t="n">
        <f aca="false">IF(AND(ISNUMBER(F446),F446&lt;&gt;0,ISNUMBER(K446)),100*K446/F446,"")</f>
        <v>6.81922630814908</v>
      </c>
      <c r="R446" s="11" t="b">
        <f aca="false">AND(ISNUMBER(F446),F446&gt;0,ISNUMBER(G446),G446&gt;=0,ISNUMBER(H446),H446&gt;=0)</f>
        <v>1</v>
      </c>
      <c r="S446" s="13" t="n">
        <f aca="false">IF(R446,100*I446/F446,"")</f>
        <v>0.572281026823166</v>
      </c>
      <c r="T446" s="11" t="b">
        <f aca="false">NOT(AND(OR(AND(ISBLANK(RawFinancials!B446),ISBLANK(_RawBaseline!B443)),AND(ISNUMBER(RawFinancials!B446),ISNUMBER(_RawBaseline!B443),RawFinancials!B446=_RawBaseline!B443)),OR(AND(ISBLANK(RawFinancials!U446),ISBLANK(_RawBaseline!U443)),AND(ISNUMBER(RawFinancials!U446),ISNUMBER(_RawBaseline!U443),RawFinancials!U446=_RawBaseline!U443)),OR(AND(ISBLANK(RawFinancials!O446),ISBLANK(_RawBaseline!O443)),AND(ISNUMBER(RawFinancials!O446),ISNUMBER(_RawBaseline!O443),RawFinancials!O446=_RawBaseline!O443))))</f>
        <v>0</v>
      </c>
      <c r="U446" s="13" t="n">
        <f aca="false">IF(AND(D446=WF_START_PERIOD,R446,COUNTIFS($B$5:$B$750,B446,$D$5:$D$750,WF_END_PERIOD,$R$5:$R$750,TRUE())&gt;0),SUMIFS($S$5:$S$750,$B$5:$B$750,B446,$D$5:$D$750,WF_END_PERIOD,$R$5:$R$750,TRUE()),0)</f>
        <v>0</v>
      </c>
      <c r="V446" s="0" t="str">
        <f aca="false">IF(AND(D446=WF_START_PERIOD,COUNTIFS($B$5:$B$750,B446,$D$5:$D$750,WF_END_PERIOD)&gt;0),INDEX($E$5:$E$750,MATCH(B446&amp;"|"&amp;WF_END_PERIOD,$AC$5:$AC$750,0)),"")</f>
        <v/>
      </c>
      <c r="W446" s="11" t="b">
        <f aca="false">COUNTIFS($B$5:$B$750,B446,$D$5:$D$750,WF_START_PERIOD,$R$5:$R$750,TRUE())&gt;0</f>
        <v>1</v>
      </c>
      <c r="X446" s="11" t="b">
        <f aca="false">COUNTIFS($B$5:$B$750,B446,$D$5:$D$750,WF_END_PERIOD,$R$5:$R$750,TRUE())&gt;0</f>
        <v>0</v>
      </c>
      <c r="Y446" s="0" t="str">
        <f aca="false">IF(AND(D446=WF_END_PERIOD,COUNTIFS($B$5:$B$750,B446,$D$5:$D$750,WF_START_PERIOD)&gt;0),INDEX($E$5:$E$750,MATCH(B446&amp;"|"&amp;WF_START_PERIOD,$AC$5:$AC$750,0)),"")</f>
        <v/>
      </c>
      <c r="Z446" s="0" t="str">
        <f aca="false">IF(AND(D446=WF_END_PERIOD,R446),1+COUNTIFS($D$5:$D$750,WF_END_PERIOD,$E$5:$E$750,E446,$R$5:$R$750,TRUE(),$S$5:$S$750,"&gt;"&amp;S446)+COUNTIFS($D$5:$D$750,WF_END_PERIOD,$E$5:$E$750,E446,$R$5:$R$750,TRUE(),$S$5:$S$750,S446,$B$5:$B$750,"&lt;"&amp;B446),"")</f>
        <v/>
      </c>
      <c r="AA446" s="0" t="str">
        <f aca="false">IF(AND(D446=WF_END_PERIOD,R446,Z446&lt;&gt;1),1+COUNTIFS($D$5:$D$750,WF_END_PERIOD,$R$5:$R$750,TRUE(),$Z$5:$Z$750,"&lt;&gt;1",$S$5:$S$750,"&gt;"&amp;S446)+COUNTIFS($D$5:$D$750,WF_END_PERIOD,$R$5:$R$750,TRUE(),$Z$5:$Z$750,"&lt;&gt;1",$S$5:$S$750,S446,$B$5:$B$750,"&lt;"&amp;B446),"")</f>
        <v/>
      </c>
      <c r="AB446" s="11" t="b">
        <f aca="false">OR(D446=WF_START_PERIOD,D446=WF_END_PERIOD)</f>
        <v>0</v>
      </c>
      <c r="AC446" s="0" t="str">
        <f aca="false">B446&amp;"|"&amp;D446</f>
        <v>17748|20240331</v>
      </c>
    </row>
    <row r="447" customFormat="false" ht="15" hidden="false" customHeight="false" outlineLevel="0" collapsed="false">
      <c r="A447" s="0" t="n">
        <f aca="false">RawFinancials!A447</f>
        <v>444</v>
      </c>
      <c r="B447" s="0" t="n">
        <f aca="false">RawFinancials!C447</f>
        <v>17749</v>
      </c>
      <c r="C447" s="0" t="str">
        <f aca="false">RawFinancials!P447</f>
        <v>BATH SAVINGS INSTITUTION</v>
      </c>
      <c r="D447" s="0" t="n">
        <f aca="false">RawFinancials!W447</f>
        <v>20240331</v>
      </c>
      <c r="E447" s="0" t="str">
        <f aca="false">RawFinancials!Z447</f>
        <v>ME</v>
      </c>
      <c r="F447" s="0" t="n">
        <f aca="false">RawFinancials!B447</f>
        <v>1350095</v>
      </c>
      <c r="G447" s="0" t="n">
        <f aca="false">RawFinancials!U447</f>
        <v>3</v>
      </c>
      <c r="H447" s="0" t="n">
        <f aca="false">RawFinancials!O447</f>
        <v>546</v>
      </c>
      <c r="I447" s="0" t="n">
        <f aca="false">IF(AND(ISNUMBER(G447),ISNUMBER(H447)),G447+H447,"")</f>
        <v>549</v>
      </c>
      <c r="J447" s="0" t="n">
        <f aca="false">RawFinancials!D447</f>
        <v>1048039</v>
      </c>
      <c r="K447" s="0" t="n">
        <f aca="false">RawFinancials!F447</f>
        <v>173084</v>
      </c>
      <c r="L447" s="0" t="n">
        <f aca="false">RawFinancials!L447</f>
        <v>812727</v>
      </c>
      <c r="M447" s="0" t="n">
        <f aca="false">RawFinancials!N447</f>
        <v>738584</v>
      </c>
      <c r="N447" s="13" t="n">
        <f aca="false">RawFinancials!X447</f>
        <v>1.20534836371594</v>
      </c>
      <c r="O447" s="13" t="n">
        <f aca="false">RawFinancials!V447</f>
        <v>0</v>
      </c>
      <c r="P447" s="13" t="n">
        <f aca="false">IF(AND(ISNUMBER(L447),L447&lt;&gt;0,ISNUMBER(M447)),100*M447/L447,"")</f>
        <v>90.8772564465066</v>
      </c>
      <c r="Q447" s="13" t="n">
        <f aca="false">IF(AND(ISNUMBER(F447),F447&lt;&gt;0,ISNUMBER(K447)),100*K447/F447,"")</f>
        <v>12.8201348793974</v>
      </c>
      <c r="R447" s="11" t="b">
        <f aca="false">AND(ISNUMBER(F447),F447&gt;0,ISNUMBER(G447),G447&gt;=0,ISNUMBER(H447),H447&gt;=0)</f>
        <v>1</v>
      </c>
      <c r="S447" s="13" t="n">
        <f aca="false">IF(R447,100*I447/F447,"")</f>
        <v>0.0406638051396383</v>
      </c>
      <c r="T447" s="11" t="b">
        <f aca="false">NOT(AND(OR(AND(ISBLANK(RawFinancials!B447),ISBLANK(_RawBaseline!B444)),AND(ISNUMBER(RawFinancials!B447),ISNUMBER(_RawBaseline!B444),RawFinancials!B447=_RawBaseline!B444)),OR(AND(ISBLANK(RawFinancials!U447),ISBLANK(_RawBaseline!U444)),AND(ISNUMBER(RawFinancials!U447),ISNUMBER(_RawBaseline!U444),RawFinancials!U447=_RawBaseline!U444)),OR(AND(ISBLANK(RawFinancials!O447),ISBLANK(_RawBaseline!O444)),AND(ISNUMBER(RawFinancials!O447),ISNUMBER(_RawBaseline!O444),RawFinancials!O447=_RawBaseline!O444))))</f>
        <v>0</v>
      </c>
      <c r="U447" s="13" t="n">
        <f aca="false">IF(AND(D447=WF_START_PERIOD,R447,COUNTIFS($B$5:$B$750,B447,$D$5:$D$750,WF_END_PERIOD,$R$5:$R$750,TRUE())&gt;0),SUMIFS($S$5:$S$750,$B$5:$B$750,B447,$D$5:$D$750,WF_END_PERIOD,$R$5:$R$750,TRUE()),0)</f>
        <v>0</v>
      </c>
      <c r="V447" s="0" t="str">
        <f aca="false">IF(AND(D447=WF_START_PERIOD,COUNTIFS($B$5:$B$750,B447,$D$5:$D$750,WF_END_PERIOD)&gt;0),INDEX($E$5:$E$750,MATCH(B447&amp;"|"&amp;WF_END_PERIOD,$AC$5:$AC$750,0)),"")</f>
        <v/>
      </c>
      <c r="W447" s="11" t="b">
        <f aca="false">COUNTIFS($B$5:$B$750,B447,$D$5:$D$750,WF_START_PERIOD,$R$5:$R$750,TRUE())&gt;0</f>
        <v>1</v>
      </c>
      <c r="X447" s="11" t="b">
        <f aca="false">COUNTIFS($B$5:$B$750,B447,$D$5:$D$750,WF_END_PERIOD,$R$5:$R$750,TRUE())&gt;0</f>
        <v>1</v>
      </c>
      <c r="Y447" s="0" t="str">
        <f aca="false">IF(AND(D447=WF_END_PERIOD,COUNTIFS($B$5:$B$750,B447,$D$5:$D$750,WF_START_PERIOD)&gt;0),INDEX($E$5:$E$750,MATCH(B447&amp;"|"&amp;WF_START_PERIOD,$AC$5:$AC$750,0)),"")</f>
        <v/>
      </c>
      <c r="Z447" s="0" t="str">
        <f aca="false">IF(AND(D447=WF_END_PERIOD,R447),1+COUNTIFS($D$5:$D$750,WF_END_PERIOD,$E$5:$E$750,E447,$R$5:$R$750,TRUE(),$S$5:$S$750,"&gt;"&amp;S447)+COUNTIFS($D$5:$D$750,WF_END_PERIOD,$E$5:$E$750,E447,$R$5:$R$750,TRUE(),$S$5:$S$750,S447,$B$5:$B$750,"&lt;"&amp;B447),"")</f>
        <v/>
      </c>
      <c r="AA447" s="0" t="str">
        <f aca="false">IF(AND(D447=WF_END_PERIOD,R447,Z447&lt;&gt;1),1+COUNTIFS($D$5:$D$750,WF_END_PERIOD,$R$5:$R$750,TRUE(),$Z$5:$Z$750,"&lt;&gt;1",$S$5:$S$750,"&gt;"&amp;S447)+COUNTIFS($D$5:$D$750,WF_END_PERIOD,$R$5:$R$750,TRUE(),$Z$5:$Z$750,"&lt;&gt;1",$S$5:$S$750,S447,$B$5:$B$750,"&lt;"&amp;B447),"")</f>
        <v/>
      </c>
      <c r="AB447" s="11" t="b">
        <f aca="false">OR(D447=WF_START_PERIOD,D447=WF_END_PERIOD)</f>
        <v>0</v>
      </c>
      <c r="AC447" s="0" t="str">
        <f aca="false">B447&amp;"|"&amp;D447</f>
        <v>17749|20240331</v>
      </c>
    </row>
    <row r="448" customFormat="false" ht="15" hidden="false" customHeight="false" outlineLevel="0" collapsed="false">
      <c r="A448" s="0" t="n">
        <f aca="false">RawFinancials!A448</f>
        <v>445</v>
      </c>
      <c r="B448" s="0" t="n">
        <f aca="false">RawFinancials!C448</f>
        <v>17751</v>
      </c>
      <c r="C448" s="0" t="str">
        <f aca="false">RawFinancials!P448</f>
        <v>ANDROSCOGGIN SAVINGS BANK</v>
      </c>
      <c r="D448" s="0" t="n">
        <f aca="false">RawFinancials!W448</f>
        <v>20240331</v>
      </c>
      <c r="E448" s="0" t="str">
        <f aca="false">RawFinancials!Z448</f>
        <v>ME</v>
      </c>
      <c r="F448" s="0" t="n">
        <f aca="false">RawFinancials!B448</f>
        <v>1632063</v>
      </c>
      <c r="G448" s="0" t="n">
        <f aca="false">RawFinancials!U448</f>
        <v>0</v>
      </c>
      <c r="H448" s="0" t="n">
        <f aca="false">RawFinancials!O448</f>
        <v>805</v>
      </c>
      <c r="I448" s="0" t="n">
        <f aca="false">IF(AND(ISNUMBER(G448),ISNUMBER(H448)),G448+H448,"")</f>
        <v>805</v>
      </c>
      <c r="J448" s="0" t="n">
        <f aca="false">RawFinancials!D448</f>
        <v>1308912</v>
      </c>
      <c r="K448" s="0" t="n">
        <f aca="false">RawFinancials!F448</f>
        <v>138475</v>
      </c>
      <c r="L448" s="0" t="n">
        <f aca="false">RawFinancials!L448</f>
        <v>1332202</v>
      </c>
      <c r="M448" s="0" t="n">
        <f aca="false">RawFinancials!N448</f>
        <v>1123971</v>
      </c>
      <c r="N448" s="13" t="n">
        <f aca="false">RawFinancials!X448</f>
        <v>0.407671616049714</v>
      </c>
      <c r="O448" s="13" t="n">
        <f aca="false">RawFinancials!V448</f>
        <v>11.9941117035014</v>
      </c>
      <c r="P448" s="13" t="n">
        <f aca="false">IF(AND(ISNUMBER(L448),L448&lt;&gt;0,ISNUMBER(M448)),100*M448/L448,"")</f>
        <v>84.3694124464608</v>
      </c>
      <c r="Q448" s="13" t="n">
        <f aca="false">IF(AND(ISNUMBER(F448),F448&lt;&gt;0,ISNUMBER(K448)),100*K448/F448,"")</f>
        <v>8.48466021225896</v>
      </c>
      <c r="R448" s="11" t="b">
        <f aca="false">AND(ISNUMBER(F448),F448&gt;0,ISNUMBER(G448),G448&gt;=0,ISNUMBER(H448),H448&gt;=0)</f>
        <v>1</v>
      </c>
      <c r="S448" s="13" t="n">
        <f aca="false">IF(R448,100*I448/F448,"")</f>
        <v>0.0493240763377394</v>
      </c>
      <c r="T448" s="11" t="b">
        <f aca="false">NOT(AND(OR(AND(ISBLANK(RawFinancials!B448),ISBLANK(_RawBaseline!B445)),AND(ISNUMBER(RawFinancials!B448),ISNUMBER(_RawBaseline!B445),RawFinancials!B448=_RawBaseline!B445)),OR(AND(ISBLANK(RawFinancials!U448),ISBLANK(_RawBaseline!U445)),AND(ISNUMBER(RawFinancials!U448),ISNUMBER(_RawBaseline!U445),RawFinancials!U448=_RawBaseline!U445)),OR(AND(ISBLANK(RawFinancials!O448),ISBLANK(_RawBaseline!O445)),AND(ISNUMBER(RawFinancials!O448),ISNUMBER(_RawBaseline!O445),RawFinancials!O448=_RawBaseline!O445))))</f>
        <v>0</v>
      </c>
      <c r="U448" s="13" t="n">
        <f aca="false">IF(AND(D448=WF_START_PERIOD,R448,COUNTIFS($B$5:$B$750,B448,$D$5:$D$750,WF_END_PERIOD,$R$5:$R$750,TRUE())&gt;0),SUMIFS($S$5:$S$750,$B$5:$B$750,B448,$D$5:$D$750,WF_END_PERIOD,$R$5:$R$750,TRUE()),0)</f>
        <v>0</v>
      </c>
      <c r="V448" s="0" t="str">
        <f aca="false">IF(AND(D448=WF_START_PERIOD,COUNTIFS($B$5:$B$750,B448,$D$5:$D$750,WF_END_PERIOD)&gt;0),INDEX($E$5:$E$750,MATCH(B448&amp;"|"&amp;WF_END_PERIOD,$AC$5:$AC$750,0)),"")</f>
        <v/>
      </c>
      <c r="W448" s="11" t="b">
        <f aca="false">COUNTIFS($B$5:$B$750,B448,$D$5:$D$750,WF_START_PERIOD,$R$5:$R$750,TRUE())&gt;0</f>
        <v>1</v>
      </c>
      <c r="X448" s="11" t="b">
        <f aca="false">COUNTIFS($B$5:$B$750,B448,$D$5:$D$750,WF_END_PERIOD,$R$5:$R$750,TRUE())&gt;0</f>
        <v>1</v>
      </c>
      <c r="Y448" s="0" t="str">
        <f aca="false">IF(AND(D448=WF_END_PERIOD,COUNTIFS($B$5:$B$750,B448,$D$5:$D$750,WF_START_PERIOD)&gt;0),INDEX($E$5:$E$750,MATCH(B448&amp;"|"&amp;WF_START_PERIOD,$AC$5:$AC$750,0)),"")</f>
        <v/>
      </c>
      <c r="Z448" s="0" t="str">
        <f aca="false">IF(AND(D448=WF_END_PERIOD,R448),1+COUNTIFS($D$5:$D$750,WF_END_PERIOD,$E$5:$E$750,E448,$R$5:$R$750,TRUE(),$S$5:$S$750,"&gt;"&amp;S448)+COUNTIFS($D$5:$D$750,WF_END_PERIOD,$E$5:$E$750,E448,$R$5:$R$750,TRUE(),$S$5:$S$750,S448,$B$5:$B$750,"&lt;"&amp;B448),"")</f>
        <v/>
      </c>
      <c r="AA448" s="0" t="str">
        <f aca="false">IF(AND(D448=WF_END_PERIOD,R448,Z448&lt;&gt;1),1+COUNTIFS($D$5:$D$750,WF_END_PERIOD,$R$5:$R$750,TRUE(),$Z$5:$Z$750,"&lt;&gt;1",$S$5:$S$750,"&gt;"&amp;S448)+COUNTIFS($D$5:$D$750,WF_END_PERIOD,$R$5:$R$750,TRUE(),$Z$5:$Z$750,"&lt;&gt;1",$S$5:$S$750,S448,$B$5:$B$750,"&lt;"&amp;B448),"")</f>
        <v/>
      </c>
      <c r="AB448" s="11" t="b">
        <f aca="false">OR(D448=WF_START_PERIOD,D448=WF_END_PERIOD)</f>
        <v>0</v>
      </c>
      <c r="AC448" s="0" t="str">
        <f aca="false">B448&amp;"|"&amp;D448</f>
        <v>17751|20240331</v>
      </c>
    </row>
    <row r="449" customFormat="false" ht="15" hidden="false" customHeight="false" outlineLevel="0" collapsed="false">
      <c r="A449" s="0" t="n">
        <f aca="false">RawFinancials!A449</f>
        <v>446</v>
      </c>
      <c r="B449" s="0" t="n">
        <f aca="false">RawFinancials!C449</f>
        <v>17897</v>
      </c>
      <c r="C449" s="0" t="str">
        <f aca="false">RawFinancials!P449</f>
        <v>KENNEBEC SAVINGS BANK</v>
      </c>
      <c r="D449" s="0" t="n">
        <f aca="false">RawFinancials!W449</f>
        <v>20240331</v>
      </c>
      <c r="E449" s="0" t="str">
        <f aca="false">RawFinancials!Z449</f>
        <v>ME</v>
      </c>
      <c r="F449" s="0" t="n">
        <f aca="false">RawFinancials!B449</f>
        <v>1717181</v>
      </c>
      <c r="G449" s="0" t="n">
        <f aca="false">RawFinancials!U449</f>
        <v>0</v>
      </c>
      <c r="H449" s="0" t="n">
        <f aca="false">RawFinancials!O449</f>
        <v>3411</v>
      </c>
      <c r="I449" s="0" t="n">
        <f aca="false">IF(AND(ISNUMBER(G449),ISNUMBER(H449)),G449+H449,"")</f>
        <v>3411</v>
      </c>
      <c r="J449" s="0" t="n">
        <f aca="false">RawFinancials!D449</f>
        <v>1296371</v>
      </c>
      <c r="K449" s="0" t="n">
        <f aca="false">RawFinancials!F449</f>
        <v>211359</v>
      </c>
      <c r="L449" s="0" t="n">
        <f aca="false">RawFinancials!L449</f>
        <v>1431534</v>
      </c>
      <c r="M449" s="0" t="n">
        <f aca="false">RawFinancials!N449</f>
        <v>1346782</v>
      </c>
      <c r="N449" s="13" t="n">
        <f aca="false">RawFinancials!X449</f>
        <v>1.19917950261941</v>
      </c>
      <c r="O449" s="13" t="n">
        <f aca="false">RawFinancials!V449</f>
        <v>17.5420163258205</v>
      </c>
      <c r="P449" s="13" t="n">
        <f aca="false">IF(AND(ISNUMBER(L449),L449&lt;&gt;0,ISNUMBER(M449)),100*M449/L449,"")</f>
        <v>94.0796376474467</v>
      </c>
      <c r="Q449" s="13" t="n">
        <f aca="false">IF(AND(ISNUMBER(F449),F449&lt;&gt;0,ISNUMBER(K449)),100*K449/F449,"")</f>
        <v>12.3084869911791</v>
      </c>
      <c r="R449" s="11" t="b">
        <f aca="false">AND(ISNUMBER(F449),F449&gt;0,ISNUMBER(G449),G449&gt;=0,ISNUMBER(H449),H449&gt;=0)</f>
        <v>1</v>
      </c>
      <c r="S449" s="13" t="n">
        <f aca="false">IF(R449,100*I449/F449,"")</f>
        <v>0.198639514413449</v>
      </c>
      <c r="T449" s="11" t="b">
        <f aca="false">NOT(AND(OR(AND(ISBLANK(RawFinancials!B449),ISBLANK(_RawBaseline!B446)),AND(ISNUMBER(RawFinancials!B449),ISNUMBER(_RawBaseline!B446),RawFinancials!B449=_RawBaseline!B446)),OR(AND(ISBLANK(RawFinancials!U449),ISBLANK(_RawBaseline!U446)),AND(ISNUMBER(RawFinancials!U449),ISNUMBER(_RawBaseline!U446),RawFinancials!U449=_RawBaseline!U446)),OR(AND(ISBLANK(RawFinancials!O449),ISBLANK(_RawBaseline!O446)),AND(ISNUMBER(RawFinancials!O449),ISNUMBER(_RawBaseline!O446),RawFinancials!O449=_RawBaseline!O446))))</f>
        <v>0</v>
      </c>
      <c r="U449" s="13" t="n">
        <f aca="false">IF(AND(D449=WF_START_PERIOD,R449,COUNTIFS($B$5:$B$750,B449,$D$5:$D$750,WF_END_PERIOD,$R$5:$R$750,TRUE())&gt;0),SUMIFS($S$5:$S$750,$B$5:$B$750,B449,$D$5:$D$750,WF_END_PERIOD,$R$5:$R$750,TRUE()),0)</f>
        <v>0</v>
      </c>
      <c r="V449" s="0" t="str">
        <f aca="false">IF(AND(D449=WF_START_PERIOD,COUNTIFS($B$5:$B$750,B449,$D$5:$D$750,WF_END_PERIOD)&gt;0),INDEX($E$5:$E$750,MATCH(B449&amp;"|"&amp;WF_END_PERIOD,$AC$5:$AC$750,0)),"")</f>
        <v/>
      </c>
      <c r="W449" s="11" t="b">
        <f aca="false">COUNTIFS($B$5:$B$750,B449,$D$5:$D$750,WF_START_PERIOD,$R$5:$R$750,TRUE())&gt;0</f>
        <v>1</v>
      </c>
      <c r="X449" s="11" t="b">
        <f aca="false">COUNTIFS($B$5:$B$750,B449,$D$5:$D$750,WF_END_PERIOD,$R$5:$R$750,TRUE())&gt;0</f>
        <v>1</v>
      </c>
      <c r="Y449" s="0" t="str">
        <f aca="false">IF(AND(D449=WF_END_PERIOD,COUNTIFS($B$5:$B$750,B449,$D$5:$D$750,WF_START_PERIOD)&gt;0),INDEX($E$5:$E$750,MATCH(B449&amp;"|"&amp;WF_START_PERIOD,$AC$5:$AC$750,0)),"")</f>
        <v/>
      </c>
      <c r="Z449" s="0" t="str">
        <f aca="false">IF(AND(D449=WF_END_PERIOD,R449),1+COUNTIFS($D$5:$D$750,WF_END_PERIOD,$E$5:$E$750,E449,$R$5:$R$750,TRUE(),$S$5:$S$750,"&gt;"&amp;S449)+COUNTIFS($D$5:$D$750,WF_END_PERIOD,$E$5:$E$750,E449,$R$5:$R$750,TRUE(),$S$5:$S$750,S449,$B$5:$B$750,"&lt;"&amp;B449),"")</f>
        <v/>
      </c>
      <c r="AA449" s="0" t="str">
        <f aca="false">IF(AND(D449=WF_END_PERIOD,R449,Z449&lt;&gt;1),1+COUNTIFS($D$5:$D$750,WF_END_PERIOD,$R$5:$R$750,TRUE(),$Z$5:$Z$750,"&lt;&gt;1",$S$5:$S$750,"&gt;"&amp;S449)+COUNTIFS($D$5:$D$750,WF_END_PERIOD,$R$5:$R$750,TRUE(),$Z$5:$Z$750,"&lt;&gt;1",$S$5:$S$750,S449,$B$5:$B$750,"&lt;"&amp;B449),"")</f>
        <v/>
      </c>
      <c r="AB449" s="11" t="b">
        <f aca="false">OR(D449=WF_START_PERIOD,D449=WF_END_PERIOD)</f>
        <v>0</v>
      </c>
      <c r="AC449" s="0" t="str">
        <f aca="false">B449&amp;"|"&amp;D449</f>
        <v>17897|20240331</v>
      </c>
    </row>
    <row r="450" customFormat="false" ht="15" hidden="false" customHeight="false" outlineLevel="0" collapsed="false">
      <c r="A450" s="0" t="n">
        <f aca="false">RawFinancials!A450</f>
        <v>447</v>
      </c>
      <c r="B450" s="0" t="n">
        <f aca="false">RawFinancials!C450</f>
        <v>17951</v>
      </c>
      <c r="C450" s="0" t="str">
        <f aca="false">RawFinancials!P450</f>
        <v>FRANKLIN SAVINGS BANK</v>
      </c>
      <c r="D450" s="0" t="n">
        <f aca="false">RawFinancials!W450</f>
        <v>20240331</v>
      </c>
      <c r="E450" s="0" t="str">
        <f aca="false">RawFinancials!Z450</f>
        <v>NH</v>
      </c>
      <c r="F450" s="0" t="n">
        <f aca="false">RawFinancials!B450</f>
        <v>794635</v>
      </c>
      <c r="G450" s="0" t="n">
        <f aca="false">RawFinancials!U450</f>
        <v>0</v>
      </c>
      <c r="H450" s="0" t="n">
        <f aca="false">RawFinancials!O450</f>
        <v>174</v>
      </c>
      <c r="I450" s="0" t="n">
        <f aca="false">IF(AND(ISNUMBER(G450),ISNUMBER(H450)),G450+H450,"")</f>
        <v>174</v>
      </c>
      <c r="J450" s="0" t="n">
        <f aca="false">RawFinancials!D450</f>
        <v>661495</v>
      </c>
      <c r="K450" s="0" t="n">
        <f aca="false">RawFinancials!F450</f>
        <v>61632</v>
      </c>
      <c r="L450" s="0" t="n">
        <f aca="false">RawFinancials!L450</f>
        <v>585701</v>
      </c>
      <c r="M450" s="0" t="n">
        <f aca="false">RawFinancials!N450</f>
        <v>544281</v>
      </c>
      <c r="N450" s="13" t="n">
        <f aca="false">RawFinancials!X450</f>
        <v>0.560264493427521</v>
      </c>
      <c r="O450" s="13" t="n">
        <f aca="false">RawFinancials!V450</f>
        <v>14.6324208046485</v>
      </c>
      <c r="P450" s="13" t="n">
        <f aca="false">IF(AND(ISNUMBER(L450),L450&lt;&gt;0,ISNUMBER(M450)),100*M450/L450,"")</f>
        <v>92.9281322722686</v>
      </c>
      <c r="Q450" s="13" t="n">
        <f aca="false">IF(AND(ISNUMBER(F450),F450&lt;&gt;0,ISNUMBER(K450)),100*K450/F450,"")</f>
        <v>7.75601376732714</v>
      </c>
      <c r="R450" s="11" t="b">
        <f aca="false">AND(ISNUMBER(F450),F450&gt;0,ISNUMBER(G450),G450&gt;=0,ISNUMBER(H450),H450&gt;=0)</f>
        <v>1</v>
      </c>
      <c r="S450" s="13" t="n">
        <f aca="false">IF(R450,100*I450/F450,"")</f>
        <v>0.0218968457216206</v>
      </c>
      <c r="T450" s="11" t="b">
        <f aca="false">NOT(AND(OR(AND(ISBLANK(RawFinancials!B450),ISBLANK(_RawBaseline!B447)),AND(ISNUMBER(RawFinancials!B450),ISNUMBER(_RawBaseline!B447),RawFinancials!B450=_RawBaseline!B447)),OR(AND(ISBLANK(RawFinancials!U450),ISBLANK(_RawBaseline!U447)),AND(ISNUMBER(RawFinancials!U450),ISNUMBER(_RawBaseline!U447),RawFinancials!U450=_RawBaseline!U447)),OR(AND(ISBLANK(RawFinancials!O450),ISBLANK(_RawBaseline!O447)),AND(ISNUMBER(RawFinancials!O450),ISNUMBER(_RawBaseline!O447),RawFinancials!O450=_RawBaseline!O447))))</f>
        <v>0</v>
      </c>
      <c r="U450" s="13" t="n">
        <f aca="false">IF(AND(D450=WF_START_PERIOD,R450,COUNTIFS($B$5:$B$750,B450,$D$5:$D$750,WF_END_PERIOD,$R$5:$R$750,TRUE())&gt;0),SUMIFS($S$5:$S$750,$B$5:$B$750,B450,$D$5:$D$750,WF_END_PERIOD,$R$5:$R$750,TRUE()),0)</f>
        <v>0</v>
      </c>
      <c r="V450" s="0" t="str">
        <f aca="false">IF(AND(D450=WF_START_PERIOD,COUNTIFS($B$5:$B$750,B450,$D$5:$D$750,WF_END_PERIOD)&gt;0),INDEX($E$5:$E$750,MATCH(B450&amp;"|"&amp;WF_END_PERIOD,$AC$5:$AC$750,0)),"")</f>
        <v/>
      </c>
      <c r="W450" s="11" t="b">
        <f aca="false">COUNTIFS($B$5:$B$750,B450,$D$5:$D$750,WF_START_PERIOD,$R$5:$R$750,TRUE())&gt;0</f>
        <v>1</v>
      </c>
      <c r="X450" s="11" t="b">
        <f aca="false">COUNTIFS($B$5:$B$750,B450,$D$5:$D$750,WF_END_PERIOD,$R$5:$R$750,TRUE())&gt;0</f>
        <v>1</v>
      </c>
      <c r="Y450" s="0" t="str">
        <f aca="false">IF(AND(D450=WF_END_PERIOD,COUNTIFS($B$5:$B$750,B450,$D$5:$D$750,WF_START_PERIOD)&gt;0),INDEX($E$5:$E$750,MATCH(B450&amp;"|"&amp;WF_START_PERIOD,$AC$5:$AC$750,0)),"")</f>
        <v/>
      </c>
      <c r="Z450" s="0" t="str">
        <f aca="false">IF(AND(D450=WF_END_PERIOD,R450),1+COUNTIFS($D$5:$D$750,WF_END_PERIOD,$E$5:$E$750,E450,$R$5:$R$750,TRUE(),$S$5:$S$750,"&gt;"&amp;S450)+COUNTIFS($D$5:$D$750,WF_END_PERIOD,$E$5:$E$750,E450,$R$5:$R$750,TRUE(),$S$5:$S$750,S450,$B$5:$B$750,"&lt;"&amp;B450),"")</f>
        <v/>
      </c>
      <c r="AA450" s="0" t="str">
        <f aca="false">IF(AND(D450=WF_END_PERIOD,R450,Z450&lt;&gt;1),1+COUNTIFS($D$5:$D$750,WF_END_PERIOD,$R$5:$R$750,TRUE(),$Z$5:$Z$750,"&lt;&gt;1",$S$5:$S$750,"&gt;"&amp;S450)+COUNTIFS($D$5:$D$750,WF_END_PERIOD,$R$5:$R$750,TRUE(),$Z$5:$Z$750,"&lt;&gt;1",$S$5:$S$750,S450,$B$5:$B$750,"&lt;"&amp;B450),"")</f>
        <v/>
      </c>
      <c r="AB450" s="11" t="b">
        <f aca="false">OR(D450=WF_START_PERIOD,D450=WF_END_PERIOD)</f>
        <v>0</v>
      </c>
      <c r="AC450" s="0" t="str">
        <f aca="false">B450&amp;"|"&amp;D450</f>
        <v>17951|20240331</v>
      </c>
    </row>
    <row r="451" customFormat="false" ht="15" hidden="false" customHeight="false" outlineLevel="0" collapsed="false">
      <c r="A451" s="0" t="n">
        <f aca="false">RawFinancials!A451</f>
        <v>448</v>
      </c>
      <c r="B451" s="0" t="n">
        <f aca="false">RawFinancials!C451</f>
        <v>17960</v>
      </c>
      <c r="C451" s="0" t="str">
        <f aca="false">RawFinancials!P451</f>
        <v>MERRIMACK COUNTY SAVINGS BANK</v>
      </c>
      <c r="D451" s="0" t="n">
        <f aca="false">RawFinancials!W451</f>
        <v>20240331</v>
      </c>
      <c r="E451" s="0" t="str">
        <f aca="false">RawFinancials!Z451</f>
        <v>NH</v>
      </c>
      <c r="F451" s="0" t="n">
        <f aca="false">RawFinancials!B451</f>
        <v>1358652</v>
      </c>
      <c r="G451" s="0" t="n">
        <f aca="false">RawFinancials!U451</f>
        <v>0</v>
      </c>
      <c r="H451" s="0" t="n">
        <f aca="false">RawFinancials!O451</f>
        <v>9231</v>
      </c>
      <c r="I451" s="0" t="n">
        <f aca="false">IF(AND(ISNUMBER(G451),ISNUMBER(H451)),G451+H451,"")</f>
        <v>9231</v>
      </c>
      <c r="J451" s="0" t="n">
        <f aca="false">RawFinancials!D451</f>
        <v>1003157</v>
      </c>
      <c r="K451" s="0" t="n">
        <f aca="false">RawFinancials!F451</f>
        <v>113634</v>
      </c>
      <c r="L451" s="0" t="n">
        <f aca="false">RawFinancials!L451</f>
        <v>1167672</v>
      </c>
      <c r="M451" s="0" t="n">
        <f aca="false">RawFinancials!N451</f>
        <v>831348</v>
      </c>
      <c r="N451" s="13" t="n">
        <f aca="false">RawFinancials!X451</f>
        <v>0.376099631197934</v>
      </c>
      <c r="O451" s="13" t="n">
        <f aca="false">RawFinancials!V451</f>
        <v>13.3536414605849</v>
      </c>
      <c r="P451" s="13" t="n">
        <f aca="false">IF(AND(ISNUMBER(L451),L451&lt;&gt;0,ISNUMBER(M451)),100*M451/L451,"")</f>
        <v>71.1970484862187</v>
      </c>
      <c r="Q451" s="13" t="n">
        <f aca="false">IF(AND(ISNUMBER(F451),F451&lt;&gt;0,ISNUMBER(K451)),100*K451/F451,"")</f>
        <v>8.3637311099531</v>
      </c>
      <c r="R451" s="11" t="b">
        <f aca="false">AND(ISNUMBER(F451),F451&gt;0,ISNUMBER(G451),G451&gt;=0,ISNUMBER(H451),H451&gt;=0)</f>
        <v>1</v>
      </c>
      <c r="S451" s="13" t="n">
        <f aca="false">IF(R451,100*I451/F451,"")</f>
        <v>0.679423428515911</v>
      </c>
      <c r="T451" s="11" t="b">
        <f aca="false">NOT(AND(OR(AND(ISBLANK(RawFinancials!B451),ISBLANK(_RawBaseline!B448)),AND(ISNUMBER(RawFinancials!B451),ISNUMBER(_RawBaseline!B448),RawFinancials!B451=_RawBaseline!B448)),OR(AND(ISBLANK(RawFinancials!U451),ISBLANK(_RawBaseline!U448)),AND(ISNUMBER(RawFinancials!U451),ISNUMBER(_RawBaseline!U448),RawFinancials!U451=_RawBaseline!U448)),OR(AND(ISBLANK(RawFinancials!O451),ISBLANK(_RawBaseline!O448)),AND(ISNUMBER(RawFinancials!O451),ISNUMBER(_RawBaseline!O448),RawFinancials!O451=_RawBaseline!O448))))</f>
        <v>0</v>
      </c>
      <c r="U451" s="13" t="n">
        <f aca="false">IF(AND(D451=WF_START_PERIOD,R451,COUNTIFS($B$5:$B$750,B451,$D$5:$D$750,WF_END_PERIOD,$R$5:$R$750,TRUE())&gt;0),SUMIFS($S$5:$S$750,$B$5:$B$750,B451,$D$5:$D$750,WF_END_PERIOD,$R$5:$R$750,TRUE()),0)</f>
        <v>0</v>
      </c>
      <c r="V451" s="0" t="str">
        <f aca="false">IF(AND(D451=WF_START_PERIOD,COUNTIFS($B$5:$B$750,B451,$D$5:$D$750,WF_END_PERIOD)&gt;0),INDEX($E$5:$E$750,MATCH(B451&amp;"|"&amp;WF_END_PERIOD,$AC$5:$AC$750,0)),"")</f>
        <v/>
      </c>
      <c r="W451" s="11" t="b">
        <f aca="false">COUNTIFS($B$5:$B$750,B451,$D$5:$D$750,WF_START_PERIOD,$R$5:$R$750,TRUE())&gt;0</f>
        <v>1</v>
      </c>
      <c r="X451" s="11" t="b">
        <f aca="false">COUNTIFS($B$5:$B$750,B451,$D$5:$D$750,WF_END_PERIOD,$R$5:$R$750,TRUE())&gt;0</f>
        <v>1</v>
      </c>
      <c r="Y451" s="0" t="str">
        <f aca="false">IF(AND(D451=WF_END_PERIOD,COUNTIFS($B$5:$B$750,B451,$D$5:$D$750,WF_START_PERIOD)&gt;0),INDEX($E$5:$E$750,MATCH(B451&amp;"|"&amp;WF_START_PERIOD,$AC$5:$AC$750,0)),"")</f>
        <v/>
      </c>
      <c r="Z451" s="0" t="str">
        <f aca="false">IF(AND(D451=WF_END_PERIOD,R451),1+COUNTIFS($D$5:$D$750,WF_END_PERIOD,$E$5:$E$750,E451,$R$5:$R$750,TRUE(),$S$5:$S$750,"&gt;"&amp;S451)+COUNTIFS($D$5:$D$750,WF_END_PERIOD,$E$5:$E$750,E451,$R$5:$R$750,TRUE(),$S$5:$S$750,S451,$B$5:$B$750,"&lt;"&amp;B451),"")</f>
        <v/>
      </c>
      <c r="AA451" s="0" t="str">
        <f aca="false">IF(AND(D451=WF_END_PERIOD,R451,Z451&lt;&gt;1),1+COUNTIFS($D$5:$D$750,WF_END_PERIOD,$R$5:$R$750,TRUE(),$Z$5:$Z$750,"&lt;&gt;1",$S$5:$S$750,"&gt;"&amp;S451)+COUNTIFS($D$5:$D$750,WF_END_PERIOD,$R$5:$R$750,TRUE(),$Z$5:$Z$750,"&lt;&gt;1",$S$5:$S$750,S451,$B$5:$B$750,"&lt;"&amp;B451),"")</f>
        <v/>
      </c>
      <c r="AB451" s="11" t="b">
        <f aca="false">OR(D451=WF_START_PERIOD,D451=WF_END_PERIOD)</f>
        <v>0</v>
      </c>
      <c r="AC451" s="0" t="str">
        <f aca="false">B451&amp;"|"&amp;D451</f>
        <v>17960|20240331</v>
      </c>
    </row>
    <row r="452" customFormat="false" ht="15" hidden="false" customHeight="false" outlineLevel="0" collapsed="false">
      <c r="A452" s="0" t="n">
        <f aca="false">RawFinancials!A452</f>
        <v>449</v>
      </c>
      <c r="B452" s="0" t="n">
        <f aca="false">RawFinancials!C452</f>
        <v>18012</v>
      </c>
      <c r="C452" s="0" t="str">
        <f aca="false">RawFinancials!P452</f>
        <v>BANK OF NEW HAMPSHIRE</v>
      </c>
      <c r="D452" s="0" t="n">
        <f aca="false">RawFinancials!W452</f>
        <v>20240331</v>
      </c>
      <c r="E452" s="0" t="str">
        <f aca="false">RawFinancials!Z452</f>
        <v>NH</v>
      </c>
      <c r="F452" s="0" t="n">
        <f aca="false">RawFinancials!B452</f>
        <v>2475597</v>
      </c>
      <c r="G452" s="0" t="n">
        <f aca="false">RawFinancials!U452</f>
        <v>0</v>
      </c>
      <c r="H452" s="0" t="n">
        <f aca="false">RawFinancials!O452</f>
        <v>790</v>
      </c>
      <c r="I452" s="0" t="n">
        <f aca="false">IF(AND(ISNUMBER(G452),ISNUMBER(H452)),G452+H452,"")</f>
        <v>790</v>
      </c>
      <c r="J452" s="0" t="n">
        <f aca="false">RawFinancials!D452</f>
        <v>2087993</v>
      </c>
      <c r="K452" s="0" t="n">
        <f aca="false">RawFinancials!F452</f>
        <v>269535</v>
      </c>
      <c r="L452" s="0" t="n">
        <f aca="false">RawFinancials!L452</f>
        <v>1997011</v>
      </c>
      <c r="M452" s="0" t="n">
        <f aca="false">RawFinancials!N452</f>
        <v>1892259</v>
      </c>
      <c r="N452" s="13" t="n">
        <f aca="false">RawFinancials!X452</f>
        <v>0.667372932289855</v>
      </c>
      <c r="O452" s="13" t="n">
        <f aca="false">RawFinancials!V452</f>
        <v>14.3710292966398</v>
      </c>
      <c r="P452" s="13" t="n">
        <f aca="false">IF(AND(ISNUMBER(L452),L452&lt;&gt;0,ISNUMBER(M452)),100*M452/L452,"")</f>
        <v>94.7545606909526</v>
      </c>
      <c r="Q452" s="13" t="n">
        <f aca="false">IF(AND(ISNUMBER(F452),F452&lt;&gt;0,ISNUMBER(K452)),100*K452/F452,"")</f>
        <v>10.8876767906893</v>
      </c>
      <c r="R452" s="11" t="b">
        <f aca="false">AND(ISNUMBER(F452),F452&gt;0,ISNUMBER(G452),G452&gt;=0,ISNUMBER(H452),H452&gt;=0)</f>
        <v>1</v>
      </c>
      <c r="S452" s="13" t="n">
        <f aca="false">IF(R452,100*I452/F452,"")</f>
        <v>0.0319114944799174</v>
      </c>
      <c r="T452" s="11" t="b">
        <f aca="false">NOT(AND(OR(AND(ISBLANK(RawFinancials!B452),ISBLANK(_RawBaseline!B449)),AND(ISNUMBER(RawFinancials!B452),ISNUMBER(_RawBaseline!B449),RawFinancials!B452=_RawBaseline!B449)),OR(AND(ISBLANK(RawFinancials!U452),ISBLANK(_RawBaseline!U449)),AND(ISNUMBER(RawFinancials!U452),ISNUMBER(_RawBaseline!U449),RawFinancials!U452=_RawBaseline!U449)),OR(AND(ISBLANK(RawFinancials!O452),ISBLANK(_RawBaseline!O449)),AND(ISNUMBER(RawFinancials!O452),ISNUMBER(_RawBaseline!O449),RawFinancials!O452=_RawBaseline!O449))))</f>
        <v>0</v>
      </c>
      <c r="U452" s="13" t="n">
        <f aca="false">IF(AND(D452=WF_START_PERIOD,R452,COUNTIFS($B$5:$B$750,B452,$D$5:$D$750,WF_END_PERIOD,$R$5:$R$750,TRUE())&gt;0),SUMIFS($S$5:$S$750,$B$5:$B$750,B452,$D$5:$D$750,WF_END_PERIOD,$R$5:$R$750,TRUE()),0)</f>
        <v>0</v>
      </c>
      <c r="V452" s="0" t="str">
        <f aca="false">IF(AND(D452=WF_START_PERIOD,COUNTIFS($B$5:$B$750,B452,$D$5:$D$750,WF_END_PERIOD)&gt;0),INDEX($E$5:$E$750,MATCH(B452&amp;"|"&amp;WF_END_PERIOD,$AC$5:$AC$750,0)),"")</f>
        <v/>
      </c>
      <c r="W452" s="11" t="b">
        <f aca="false">COUNTIFS($B$5:$B$750,B452,$D$5:$D$750,WF_START_PERIOD,$R$5:$R$750,TRUE())&gt;0</f>
        <v>1</v>
      </c>
      <c r="X452" s="11" t="b">
        <f aca="false">COUNTIFS($B$5:$B$750,B452,$D$5:$D$750,WF_END_PERIOD,$R$5:$R$750,TRUE())&gt;0</f>
        <v>1</v>
      </c>
      <c r="Y452" s="0" t="str">
        <f aca="false">IF(AND(D452=WF_END_PERIOD,COUNTIFS($B$5:$B$750,B452,$D$5:$D$750,WF_START_PERIOD)&gt;0),INDEX($E$5:$E$750,MATCH(B452&amp;"|"&amp;WF_START_PERIOD,$AC$5:$AC$750,0)),"")</f>
        <v/>
      </c>
      <c r="Z452" s="0" t="str">
        <f aca="false">IF(AND(D452=WF_END_PERIOD,R452),1+COUNTIFS($D$5:$D$750,WF_END_PERIOD,$E$5:$E$750,E452,$R$5:$R$750,TRUE(),$S$5:$S$750,"&gt;"&amp;S452)+COUNTIFS($D$5:$D$750,WF_END_PERIOD,$E$5:$E$750,E452,$R$5:$R$750,TRUE(),$S$5:$S$750,S452,$B$5:$B$750,"&lt;"&amp;B452),"")</f>
        <v/>
      </c>
      <c r="AA452" s="0" t="str">
        <f aca="false">IF(AND(D452=WF_END_PERIOD,R452,Z452&lt;&gt;1),1+COUNTIFS($D$5:$D$750,WF_END_PERIOD,$R$5:$R$750,TRUE(),$Z$5:$Z$750,"&lt;&gt;1",$S$5:$S$750,"&gt;"&amp;S452)+COUNTIFS($D$5:$D$750,WF_END_PERIOD,$R$5:$R$750,TRUE(),$Z$5:$Z$750,"&lt;&gt;1",$S$5:$S$750,S452,$B$5:$B$750,"&lt;"&amp;B452),"")</f>
        <v/>
      </c>
      <c r="AB452" s="11" t="b">
        <f aca="false">OR(D452=WF_START_PERIOD,D452=WF_END_PERIOD)</f>
        <v>0</v>
      </c>
      <c r="AC452" s="0" t="str">
        <f aca="false">B452&amp;"|"&amp;D452</f>
        <v>18012|20240331</v>
      </c>
    </row>
    <row r="453" customFormat="false" ht="15" hidden="false" customHeight="false" outlineLevel="0" collapsed="false">
      <c r="A453" s="0" t="n">
        <f aca="false">RawFinancials!A453</f>
        <v>450</v>
      </c>
      <c r="B453" s="0" t="n">
        <f aca="false">RawFinancials!C453</f>
        <v>18013</v>
      </c>
      <c r="C453" s="0" t="str">
        <f aca="false">RawFinancials!P453</f>
        <v>MASCOMA BANK</v>
      </c>
      <c r="D453" s="0" t="n">
        <f aca="false">RawFinancials!W453</f>
        <v>20240331</v>
      </c>
      <c r="E453" s="0" t="str">
        <f aca="false">RawFinancials!Z453</f>
        <v>NH</v>
      </c>
      <c r="F453" s="0" t="n">
        <f aca="false">RawFinancials!B453</f>
        <v>2943126</v>
      </c>
      <c r="G453" s="0" t="n">
        <f aca="false">RawFinancials!U453</f>
        <v>357</v>
      </c>
      <c r="H453" s="0" t="n">
        <f aca="false">RawFinancials!O453</f>
        <v>990</v>
      </c>
      <c r="I453" s="0" t="n">
        <f aca="false">IF(AND(ISNUMBER(G453),ISNUMBER(H453)),G453+H453,"")</f>
        <v>1347</v>
      </c>
      <c r="J453" s="0" t="n">
        <f aca="false">RawFinancials!D453</f>
        <v>2511525</v>
      </c>
      <c r="K453" s="0" t="n">
        <f aca="false">RawFinancials!F453</f>
        <v>220450</v>
      </c>
      <c r="L453" s="0" t="n">
        <f aca="false">RawFinancials!L453</f>
        <v>2386994</v>
      </c>
      <c r="M453" s="0" t="n">
        <f aca="false">RawFinancials!N453</f>
        <v>2170356</v>
      </c>
      <c r="N453" s="13" t="n">
        <f aca="false">RawFinancials!X453</f>
        <v>0.262414963236202</v>
      </c>
      <c r="O453" s="13" t="n">
        <f aca="false">RawFinancials!V453</f>
        <v>12.4379068806188</v>
      </c>
      <c r="P453" s="13" t="n">
        <f aca="false">IF(AND(ISNUMBER(L453),L453&lt;&gt;0,ISNUMBER(M453)),100*M453/L453,"")</f>
        <v>90.9242335757861</v>
      </c>
      <c r="Q453" s="13" t="n">
        <f aca="false">IF(AND(ISNUMBER(F453),F453&lt;&gt;0,ISNUMBER(K453)),100*K453/F453,"")</f>
        <v>7.49033510627815</v>
      </c>
      <c r="R453" s="11" t="b">
        <f aca="false">AND(ISNUMBER(F453),F453&gt;0,ISNUMBER(G453),G453&gt;=0,ISNUMBER(H453),H453&gt;=0)</f>
        <v>1</v>
      </c>
      <c r="S453" s="13" t="n">
        <f aca="false">IF(R453,100*I453/F453,"")</f>
        <v>0.0457676633620171</v>
      </c>
      <c r="T453" s="11" t="b">
        <f aca="false">NOT(AND(OR(AND(ISBLANK(RawFinancials!B453),ISBLANK(_RawBaseline!B450)),AND(ISNUMBER(RawFinancials!B453),ISNUMBER(_RawBaseline!B450),RawFinancials!B453=_RawBaseline!B450)),OR(AND(ISBLANK(RawFinancials!U453),ISBLANK(_RawBaseline!U450)),AND(ISNUMBER(RawFinancials!U453),ISNUMBER(_RawBaseline!U450),RawFinancials!U453=_RawBaseline!U450)),OR(AND(ISBLANK(RawFinancials!O453),ISBLANK(_RawBaseline!O450)),AND(ISNUMBER(RawFinancials!O453),ISNUMBER(_RawBaseline!O450),RawFinancials!O453=_RawBaseline!O450))))</f>
        <v>0</v>
      </c>
      <c r="U453" s="13" t="n">
        <f aca="false">IF(AND(D453=WF_START_PERIOD,R453,COUNTIFS($B$5:$B$750,B453,$D$5:$D$750,WF_END_PERIOD,$R$5:$R$750,TRUE())&gt;0),SUMIFS($S$5:$S$750,$B$5:$B$750,B453,$D$5:$D$750,WF_END_PERIOD,$R$5:$R$750,TRUE()),0)</f>
        <v>0</v>
      </c>
      <c r="V453" s="0" t="str">
        <f aca="false">IF(AND(D453=WF_START_PERIOD,COUNTIFS($B$5:$B$750,B453,$D$5:$D$750,WF_END_PERIOD)&gt;0),INDEX($E$5:$E$750,MATCH(B453&amp;"|"&amp;WF_END_PERIOD,$AC$5:$AC$750,0)),"")</f>
        <v/>
      </c>
      <c r="W453" s="11" t="b">
        <f aca="false">COUNTIFS($B$5:$B$750,B453,$D$5:$D$750,WF_START_PERIOD,$R$5:$R$750,TRUE())&gt;0</f>
        <v>1</v>
      </c>
      <c r="X453" s="11" t="b">
        <f aca="false">COUNTIFS($B$5:$B$750,B453,$D$5:$D$750,WF_END_PERIOD,$R$5:$R$750,TRUE())&gt;0</f>
        <v>1</v>
      </c>
      <c r="Y453" s="0" t="str">
        <f aca="false">IF(AND(D453=WF_END_PERIOD,COUNTIFS($B$5:$B$750,B453,$D$5:$D$750,WF_START_PERIOD)&gt;0),INDEX($E$5:$E$750,MATCH(B453&amp;"|"&amp;WF_START_PERIOD,$AC$5:$AC$750,0)),"")</f>
        <v/>
      </c>
      <c r="Z453" s="0" t="str">
        <f aca="false">IF(AND(D453=WF_END_PERIOD,R453),1+COUNTIFS($D$5:$D$750,WF_END_PERIOD,$E$5:$E$750,E453,$R$5:$R$750,TRUE(),$S$5:$S$750,"&gt;"&amp;S453)+COUNTIFS($D$5:$D$750,WF_END_PERIOD,$E$5:$E$750,E453,$R$5:$R$750,TRUE(),$S$5:$S$750,S453,$B$5:$B$750,"&lt;"&amp;B453),"")</f>
        <v/>
      </c>
      <c r="AA453" s="0" t="str">
        <f aca="false">IF(AND(D453=WF_END_PERIOD,R453,Z453&lt;&gt;1),1+COUNTIFS($D$5:$D$750,WF_END_PERIOD,$R$5:$R$750,TRUE(),$Z$5:$Z$750,"&lt;&gt;1",$S$5:$S$750,"&gt;"&amp;S453)+COUNTIFS($D$5:$D$750,WF_END_PERIOD,$R$5:$R$750,TRUE(),$Z$5:$Z$750,"&lt;&gt;1",$S$5:$S$750,S453,$B$5:$B$750,"&lt;"&amp;B453),"")</f>
        <v/>
      </c>
      <c r="AB453" s="11" t="b">
        <f aca="false">OR(D453=WF_START_PERIOD,D453=WF_END_PERIOD)</f>
        <v>0</v>
      </c>
      <c r="AC453" s="0" t="str">
        <f aca="false">B453&amp;"|"&amp;D453</f>
        <v>18013|20240331</v>
      </c>
    </row>
    <row r="454" customFormat="false" ht="15" hidden="false" customHeight="false" outlineLevel="0" collapsed="false">
      <c r="A454" s="0" t="n">
        <f aca="false">RawFinancials!A454</f>
        <v>451</v>
      </c>
      <c r="B454" s="0" t="n">
        <f aca="false">RawFinancials!C454</f>
        <v>18028</v>
      </c>
      <c r="C454" s="0" t="str">
        <f aca="false">RawFinancials!P454</f>
        <v>SUGAR RIVER BANK</v>
      </c>
      <c r="D454" s="0" t="n">
        <f aca="false">RawFinancials!W454</f>
        <v>20240331</v>
      </c>
      <c r="E454" s="0" t="str">
        <f aca="false">RawFinancials!Z454</f>
        <v>NH</v>
      </c>
      <c r="F454" s="0" t="n">
        <f aca="false">RawFinancials!B454</f>
        <v>397277</v>
      </c>
      <c r="G454" s="0" t="n">
        <f aca="false">RawFinancials!U454</f>
        <v>59</v>
      </c>
      <c r="H454" s="0" t="n">
        <f aca="false">RawFinancials!O454</f>
        <v>704</v>
      </c>
      <c r="I454" s="0" t="n">
        <f aca="false">IF(AND(ISNUMBER(G454),ISNUMBER(H454)),G454+H454,"")</f>
        <v>763</v>
      </c>
      <c r="J454" s="0" t="n">
        <f aca="false">RawFinancials!D454</f>
        <v>325871</v>
      </c>
      <c r="K454" s="0" t="n">
        <f aca="false">RawFinancials!F454</f>
        <v>40522</v>
      </c>
      <c r="L454" s="0" t="n">
        <f aca="false">RawFinancials!L454</f>
        <v>267508</v>
      </c>
      <c r="M454" s="0" t="n">
        <f aca="false">RawFinancials!N454</f>
        <v>240691</v>
      </c>
      <c r="N454" s="13" t="n">
        <f aca="false">RawFinancials!X454</f>
        <v>0.397908701215368</v>
      </c>
      <c r="O454" s="13" t="n">
        <f aca="false">RawFinancials!V454</f>
        <v>0</v>
      </c>
      <c r="P454" s="13" t="n">
        <f aca="false">IF(AND(ISNUMBER(L454),L454&lt;&gt;0,ISNUMBER(M454)),100*M454/L454,"")</f>
        <v>89.9752530765435</v>
      </c>
      <c r="Q454" s="13" t="n">
        <f aca="false">IF(AND(ISNUMBER(F454),F454&lt;&gt;0,ISNUMBER(K454)),100*K454/F454,"")</f>
        <v>10.1999360647609</v>
      </c>
      <c r="R454" s="11" t="b">
        <f aca="false">AND(ISNUMBER(F454),F454&gt;0,ISNUMBER(G454),G454&gt;=0,ISNUMBER(H454),H454&gt;=0)</f>
        <v>1</v>
      </c>
      <c r="S454" s="13" t="n">
        <f aca="false">IF(R454,100*I454/F454,"")</f>
        <v>0.192057430961269</v>
      </c>
      <c r="T454" s="11" t="b">
        <f aca="false">NOT(AND(OR(AND(ISBLANK(RawFinancials!B454),ISBLANK(_RawBaseline!B451)),AND(ISNUMBER(RawFinancials!B454),ISNUMBER(_RawBaseline!B451),RawFinancials!B454=_RawBaseline!B451)),OR(AND(ISBLANK(RawFinancials!U454),ISBLANK(_RawBaseline!U451)),AND(ISNUMBER(RawFinancials!U454),ISNUMBER(_RawBaseline!U451),RawFinancials!U454=_RawBaseline!U451)),OR(AND(ISBLANK(RawFinancials!O454),ISBLANK(_RawBaseline!O451)),AND(ISNUMBER(RawFinancials!O454),ISNUMBER(_RawBaseline!O451),RawFinancials!O454=_RawBaseline!O451))))</f>
        <v>0</v>
      </c>
      <c r="U454" s="13" t="n">
        <f aca="false">IF(AND(D454=WF_START_PERIOD,R454,COUNTIFS($B$5:$B$750,B454,$D$5:$D$750,WF_END_PERIOD,$R$5:$R$750,TRUE())&gt;0),SUMIFS($S$5:$S$750,$B$5:$B$750,B454,$D$5:$D$750,WF_END_PERIOD,$R$5:$R$750,TRUE()),0)</f>
        <v>0</v>
      </c>
      <c r="V454" s="0" t="str">
        <f aca="false">IF(AND(D454=WF_START_PERIOD,COUNTIFS($B$5:$B$750,B454,$D$5:$D$750,WF_END_PERIOD)&gt;0),INDEX($E$5:$E$750,MATCH(B454&amp;"|"&amp;WF_END_PERIOD,$AC$5:$AC$750,0)),"")</f>
        <v/>
      </c>
      <c r="W454" s="11" t="b">
        <f aca="false">COUNTIFS($B$5:$B$750,B454,$D$5:$D$750,WF_START_PERIOD,$R$5:$R$750,TRUE())&gt;0</f>
        <v>1</v>
      </c>
      <c r="X454" s="11" t="b">
        <f aca="false">COUNTIFS($B$5:$B$750,B454,$D$5:$D$750,WF_END_PERIOD,$R$5:$R$750,TRUE())&gt;0</f>
        <v>1</v>
      </c>
      <c r="Y454" s="0" t="str">
        <f aca="false">IF(AND(D454=WF_END_PERIOD,COUNTIFS($B$5:$B$750,B454,$D$5:$D$750,WF_START_PERIOD)&gt;0),INDEX($E$5:$E$750,MATCH(B454&amp;"|"&amp;WF_START_PERIOD,$AC$5:$AC$750,0)),"")</f>
        <v/>
      </c>
      <c r="Z454" s="0" t="str">
        <f aca="false">IF(AND(D454=WF_END_PERIOD,R454),1+COUNTIFS($D$5:$D$750,WF_END_PERIOD,$E$5:$E$750,E454,$R$5:$R$750,TRUE(),$S$5:$S$750,"&gt;"&amp;S454)+COUNTIFS($D$5:$D$750,WF_END_PERIOD,$E$5:$E$750,E454,$R$5:$R$750,TRUE(),$S$5:$S$750,S454,$B$5:$B$750,"&lt;"&amp;B454),"")</f>
        <v/>
      </c>
      <c r="AA454" s="0" t="str">
        <f aca="false">IF(AND(D454=WF_END_PERIOD,R454,Z454&lt;&gt;1),1+COUNTIFS($D$5:$D$750,WF_END_PERIOD,$R$5:$R$750,TRUE(),$Z$5:$Z$750,"&lt;&gt;1",$S$5:$S$750,"&gt;"&amp;S454)+COUNTIFS($D$5:$D$750,WF_END_PERIOD,$R$5:$R$750,TRUE(),$Z$5:$Z$750,"&lt;&gt;1",$S$5:$S$750,S454,$B$5:$B$750,"&lt;"&amp;B454),"")</f>
        <v/>
      </c>
      <c r="AB454" s="11" t="b">
        <f aca="false">OR(D454=WF_START_PERIOD,D454=WF_END_PERIOD)</f>
        <v>0</v>
      </c>
      <c r="AC454" s="0" t="str">
        <f aca="false">B454&amp;"|"&amp;D454</f>
        <v>18028|20240331</v>
      </c>
    </row>
    <row r="455" customFormat="false" ht="15" hidden="false" customHeight="false" outlineLevel="0" collapsed="false">
      <c r="A455" s="0" t="n">
        <f aca="false">RawFinancials!A455</f>
        <v>452</v>
      </c>
      <c r="B455" s="0" t="n">
        <f aca="false">RawFinancials!C455</f>
        <v>18030</v>
      </c>
      <c r="C455" s="0" t="str">
        <f aca="false">RawFinancials!P455</f>
        <v>SAVINGS BANK OF WALPOLE</v>
      </c>
      <c r="D455" s="0" t="n">
        <f aca="false">RawFinancials!W455</f>
        <v>20240331</v>
      </c>
      <c r="E455" s="0" t="str">
        <f aca="false">RawFinancials!Z455</f>
        <v>NH</v>
      </c>
      <c r="F455" s="0" t="n">
        <f aca="false">RawFinancials!B455</f>
        <v>760475</v>
      </c>
      <c r="G455" s="0" t="n">
        <f aca="false">RawFinancials!U455</f>
        <v>133</v>
      </c>
      <c r="H455" s="0" t="n">
        <f aca="false">RawFinancials!O455</f>
        <v>508</v>
      </c>
      <c r="I455" s="0" t="n">
        <f aca="false">IF(AND(ISNUMBER(G455),ISNUMBER(H455)),G455+H455,"")</f>
        <v>641</v>
      </c>
      <c r="J455" s="0" t="n">
        <f aca="false">RawFinancials!D455</f>
        <v>679167</v>
      </c>
      <c r="K455" s="0" t="n">
        <f aca="false">RawFinancials!F455</f>
        <v>49359</v>
      </c>
      <c r="L455" s="0" t="n">
        <f aca="false">RawFinancials!L455</f>
        <v>576022</v>
      </c>
      <c r="M455" s="0" t="n">
        <f aca="false">RawFinancials!N455</f>
        <v>444671</v>
      </c>
      <c r="N455" s="13" t="n">
        <f aca="false">RawFinancials!X455</f>
        <v>0.68055140252855</v>
      </c>
      <c r="O455" s="13" t="n">
        <f aca="false">RawFinancials!V455</f>
        <v>13.5007684922143</v>
      </c>
      <c r="P455" s="13" t="n">
        <f aca="false">IF(AND(ISNUMBER(L455),L455&lt;&gt;0,ISNUMBER(M455)),100*M455/L455,"")</f>
        <v>77.1968778970248</v>
      </c>
      <c r="Q455" s="13" t="n">
        <f aca="false">IF(AND(ISNUMBER(F455),F455&lt;&gt;0,ISNUMBER(K455)),100*K455/F455,"")</f>
        <v>6.490548670239</v>
      </c>
      <c r="R455" s="11" t="b">
        <f aca="false">AND(ISNUMBER(F455),F455&gt;0,ISNUMBER(G455),G455&gt;=0,ISNUMBER(H455),H455&gt;=0)</f>
        <v>1</v>
      </c>
      <c r="S455" s="13" t="n">
        <f aca="false">IF(R455,100*I455/F455,"")</f>
        <v>0.0842894243729248</v>
      </c>
      <c r="T455" s="11" t="b">
        <f aca="false">NOT(AND(OR(AND(ISBLANK(RawFinancials!B455),ISBLANK(_RawBaseline!B452)),AND(ISNUMBER(RawFinancials!B455),ISNUMBER(_RawBaseline!B452),RawFinancials!B455=_RawBaseline!B452)),OR(AND(ISBLANK(RawFinancials!U455),ISBLANK(_RawBaseline!U452)),AND(ISNUMBER(RawFinancials!U455),ISNUMBER(_RawBaseline!U452),RawFinancials!U455=_RawBaseline!U452)),OR(AND(ISBLANK(RawFinancials!O455),ISBLANK(_RawBaseline!O452)),AND(ISNUMBER(RawFinancials!O455),ISNUMBER(_RawBaseline!O452),RawFinancials!O455=_RawBaseline!O452))))</f>
        <v>0</v>
      </c>
      <c r="U455" s="13" t="n">
        <f aca="false">IF(AND(D455=WF_START_PERIOD,R455,COUNTIFS($B$5:$B$750,B455,$D$5:$D$750,WF_END_PERIOD,$R$5:$R$750,TRUE())&gt;0),SUMIFS($S$5:$S$750,$B$5:$B$750,B455,$D$5:$D$750,WF_END_PERIOD,$R$5:$R$750,TRUE()),0)</f>
        <v>0</v>
      </c>
      <c r="V455" s="0" t="str">
        <f aca="false">IF(AND(D455=WF_START_PERIOD,COUNTIFS($B$5:$B$750,B455,$D$5:$D$750,WF_END_PERIOD)&gt;0),INDEX($E$5:$E$750,MATCH(B455&amp;"|"&amp;WF_END_PERIOD,$AC$5:$AC$750,0)),"")</f>
        <v/>
      </c>
      <c r="W455" s="11" t="b">
        <f aca="false">COUNTIFS($B$5:$B$750,B455,$D$5:$D$750,WF_START_PERIOD,$R$5:$R$750,TRUE())&gt;0</f>
        <v>1</v>
      </c>
      <c r="X455" s="11" t="b">
        <f aca="false">COUNTIFS($B$5:$B$750,B455,$D$5:$D$750,WF_END_PERIOD,$R$5:$R$750,TRUE())&gt;0</f>
        <v>1</v>
      </c>
      <c r="Y455" s="0" t="str">
        <f aca="false">IF(AND(D455=WF_END_PERIOD,COUNTIFS($B$5:$B$750,B455,$D$5:$D$750,WF_START_PERIOD)&gt;0),INDEX($E$5:$E$750,MATCH(B455&amp;"|"&amp;WF_START_PERIOD,$AC$5:$AC$750,0)),"")</f>
        <v/>
      </c>
      <c r="Z455" s="0" t="str">
        <f aca="false">IF(AND(D455=WF_END_PERIOD,R455),1+COUNTIFS($D$5:$D$750,WF_END_PERIOD,$E$5:$E$750,E455,$R$5:$R$750,TRUE(),$S$5:$S$750,"&gt;"&amp;S455)+COUNTIFS($D$5:$D$750,WF_END_PERIOD,$E$5:$E$750,E455,$R$5:$R$750,TRUE(),$S$5:$S$750,S455,$B$5:$B$750,"&lt;"&amp;B455),"")</f>
        <v/>
      </c>
      <c r="AA455" s="0" t="str">
        <f aca="false">IF(AND(D455=WF_END_PERIOD,R455,Z455&lt;&gt;1),1+COUNTIFS($D$5:$D$750,WF_END_PERIOD,$R$5:$R$750,TRUE(),$Z$5:$Z$750,"&lt;&gt;1",$S$5:$S$750,"&gt;"&amp;S455)+COUNTIFS($D$5:$D$750,WF_END_PERIOD,$R$5:$R$750,TRUE(),$Z$5:$Z$750,"&lt;&gt;1",$S$5:$S$750,S455,$B$5:$B$750,"&lt;"&amp;B455),"")</f>
        <v/>
      </c>
      <c r="AB455" s="11" t="b">
        <f aca="false">OR(D455=WF_START_PERIOD,D455=WF_END_PERIOD)</f>
        <v>0</v>
      </c>
      <c r="AC455" s="0" t="str">
        <f aca="false">B455&amp;"|"&amp;D455</f>
        <v>18030|20240331</v>
      </c>
    </row>
    <row r="456" customFormat="false" ht="15" hidden="false" customHeight="false" outlineLevel="0" collapsed="false">
      <c r="A456" s="0" t="n">
        <f aca="false">RawFinancials!A456</f>
        <v>453</v>
      </c>
      <c r="B456" s="0" t="n">
        <f aca="false">RawFinancials!C456</f>
        <v>18031</v>
      </c>
      <c r="C456" s="0" t="str">
        <f aca="false">RawFinancials!P456</f>
        <v>WOODSVILLE GUARANTY SAVINGS BANK</v>
      </c>
      <c r="D456" s="0" t="n">
        <f aca="false">RawFinancials!W456</f>
        <v>20240331</v>
      </c>
      <c r="E456" s="0" t="str">
        <f aca="false">RawFinancials!Z456</f>
        <v>NH</v>
      </c>
      <c r="F456" s="0" t="n">
        <f aca="false">RawFinancials!B456</f>
        <v>669872</v>
      </c>
      <c r="G456" s="0" t="n">
        <f aca="false">RawFinancials!U456</f>
        <v>8</v>
      </c>
      <c r="H456" s="0" t="n">
        <f aca="false">RawFinancials!O456</f>
        <v>893</v>
      </c>
      <c r="I456" s="0" t="n">
        <f aca="false">IF(AND(ISNUMBER(G456),ISNUMBER(H456)),G456+H456,"")</f>
        <v>901</v>
      </c>
      <c r="J456" s="0" t="n">
        <f aca="false">RawFinancials!D456</f>
        <v>532494</v>
      </c>
      <c r="K456" s="0" t="n">
        <f aca="false">RawFinancials!F456</f>
        <v>36392</v>
      </c>
      <c r="L456" s="0" t="n">
        <f aca="false">RawFinancials!L456</f>
        <v>476691</v>
      </c>
      <c r="M456" s="0" t="n">
        <f aca="false">RawFinancials!N456</f>
        <v>436768</v>
      </c>
      <c r="N456" s="13" t="n">
        <f aca="false">RawFinancials!X456</f>
        <v>0.457822713323232</v>
      </c>
      <c r="O456" s="13" t="n">
        <f aca="false">RawFinancials!V456</f>
        <v>16.3361319436295</v>
      </c>
      <c r="P456" s="13" t="n">
        <f aca="false">IF(AND(ISNUMBER(L456),L456&lt;&gt;0,ISNUMBER(M456)),100*M456/L456,"")</f>
        <v>91.6249729908893</v>
      </c>
      <c r="Q456" s="13" t="n">
        <f aca="false">IF(AND(ISNUMBER(F456),F456&lt;&gt;0,ISNUMBER(K456)),100*K456/F456,"")</f>
        <v>5.43267967611723</v>
      </c>
      <c r="R456" s="11" t="b">
        <f aca="false">AND(ISNUMBER(F456),F456&gt;0,ISNUMBER(G456),G456&gt;=0,ISNUMBER(H456),H456&gt;=0)</f>
        <v>1</v>
      </c>
      <c r="S456" s="13" t="n">
        <f aca="false">IF(R456,100*I456/F456,"")</f>
        <v>0.134503308094681</v>
      </c>
      <c r="T456" s="11" t="b">
        <f aca="false">NOT(AND(OR(AND(ISBLANK(RawFinancials!B456),ISBLANK(_RawBaseline!B453)),AND(ISNUMBER(RawFinancials!B456),ISNUMBER(_RawBaseline!B453),RawFinancials!B456=_RawBaseline!B453)),OR(AND(ISBLANK(RawFinancials!U456),ISBLANK(_RawBaseline!U453)),AND(ISNUMBER(RawFinancials!U456),ISNUMBER(_RawBaseline!U453),RawFinancials!U456=_RawBaseline!U453)),OR(AND(ISBLANK(RawFinancials!O456),ISBLANK(_RawBaseline!O453)),AND(ISNUMBER(RawFinancials!O456),ISNUMBER(_RawBaseline!O453),RawFinancials!O456=_RawBaseline!O453))))</f>
        <v>0</v>
      </c>
      <c r="U456" s="13" t="n">
        <f aca="false">IF(AND(D456=WF_START_PERIOD,R456,COUNTIFS($B$5:$B$750,B456,$D$5:$D$750,WF_END_PERIOD,$R$5:$R$750,TRUE())&gt;0),SUMIFS($S$5:$S$750,$B$5:$B$750,B456,$D$5:$D$750,WF_END_PERIOD,$R$5:$R$750,TRUE()),0)</f>
        <v>0</v>
      </c>
      <c r="V456" s="0" t="str">
        <f aca="false">IF(AND(D456=WF_START_PERIOD,COUNTIFS($B$5:$B$750,B456,$D$5:$D$750,WF_END_PERIOD)&gt;0),INDEX($E$5:$E$750,MATCH(B456&amp;"|"&amp;WF_END_PERIOD,$AC$5:$AC$750,0)),"")</f>
        <v/>
      </c>
      <c r="W456" s="11" t="b">
        <f aca="false">COUNTIFS($B$5:$B$750,B456,$D$5:$D$750,WF_START_PERIOD,$R$5:$R$750,TRUE())&gt;0</f>
        <v>1</v>
      </c>
      <c r="X456" s="11" t="b">
        <f aca="false">COUNTIFS($B$5:$B$750,B456,$D$5:$D$750,WF_END_PERIOD,$R$5:$R$750,TRUE())&gt;0</f>
        <v>1</v>
      </c>
      <c r="Y456" s="0" t="str">
        <f aca="false">IF(AND(D456=WF_END_PERIOD,COUNTIFS($B$5:$B$750,B456,$D$5:$D$750,WF_START_PERIOD)&gt;0),INDEX($E$5:$E$750,MATCH(B456&amp;"|"&amp;WF_START_PERIOD,$AC$5:$AC$750,0)),"")</f>
        <v/>
      </c>
      <c r="Z456" s="0" t="str">
        <f aca="false">IF(AND(D456=WF_END_PERIOD,R456),1+COUNTIFS($D$5:$D$750,WF_END_PERIOD,$E$5:$E$750,E456,$R$5:$R$750,TRUE(),$S$5:$S$750,"&gt;"&amp;S456)+COUNTIFS($D$5:$D$750,WF_END_PERIOD,$E$5:$E$750,E456,$R$5:$R$750,TRUE(),$S$5:$S$750,S456,$B$5:$B$750,"&lt;"&amp;B456),"")</f>
        <v/>
      </c>
      <c r="AA456" s="0" t="str">
        <f aca="false">IF(AND(D456=WF_END_PERIOD,R456,Z456&lt;&gt;1),1+COUNTIFS($D$5:$D$750,WF_END_PERIOD,$R$5:$R$750,TRUE(),$Z$5:$Z$750,"&lt;&gt;1",$S$5:$S$750,"&gt;"&amp;S456)+COUNTIFS($D$5:$D$750,WF_END_PERIOD,$R$5:$R$750,TRUE(),$Z$5:$Z$750,"&lt;&gt;1",$S$5:$S$750,S456,$B$5:$B$750,"&lt;"&amp;B456),"")</f>
        <v/>
      </c>
      <c r="AB456" s="11" t="b">
        <f aca="false">OR(D456=WF_START_PERIOD,D456=WF_END_PERIOD)</f>
        <v>0</v>
      </c>
      <c r="AC456" s="0" t="str">
        <f aca="false">B456&amp;"|"&amp;D456</f>
        <v>18031|20240331</v>
      </c>
    </row>
    <row r="457" customFormat="false" ht="15" hidden="false" customHeight="false" outlineLevel="0" collapsed="false">
      <c r="A457" s="0" t="n">
        <f aca="false">RawFinancials!A457</f>
        <v>454</v>
      </c>
      <c r="B457" s="0" t="n">
        <f aca="false">RawFinancials!C457</f>
        <v>18038</v>
      </c>
      <c r="C457" s="0" t="str">
        <f aca="false">RawFinancials!P457</f>
        <v>CLAREMONT SAVINGS BANK</v>
      </c>
      <c r="D457" s="0" t="n">
        <f aca="false">RawFinancials!W457</f>
        <v>20240331</v>
      </c>
      <c r="E457" s="0" t="str">
        <f aca="false">RawFinancials!Z457</f>
        <v>NH</v>
      </c>
      <c r="F457" s="0" t="n">
        <f aca="false">RawFinancials!B457</f>
        <v>522345</v>
      </c>
      <c r="G457" s="0" t="n">
        <f aca="false">RawFinancials!U457</f>
        <v>0</v>
      </c>
      <c r="H457" s="0" t="n">
        <f aca="false">RawFinancials!O457</f>
        <v>2189</v>
      </c>
      <c r="I457" s="0" t="n">
        <f aca="false">IF(AND(ISNUMBER(G457),ISNUMBER(H457)),G457+H457,"")</f>
        <v>2189</v>
      </c>
      <c r="J457" s="0" t="n">
        <f aca="false">RawFinancials!D457</f>
        <v>409953</v>
      </c>
      <c r="K457" s="0" t="n">
        <f aca="false">RawFinancials!F457</f>
        <v>65908</v>
      </c>
      <c r="L457" s="0" t="n">
        <f aca="false">RawFinancials!L457</f>
        <v>416656</v>
      </c>
      <c r="M457" s="0" t="n">
        <f aca="false">RawFinancials!N457</f>
        <v>389167</v>
      </c>
      <c r="N457" s="13" t="n">
        <f aca="false">RawFinancials!X457</f>
        <v>1.0870799431889</v>
      </c>
      <c r="O457" s="13" t="n">
        <f aca="false">RawFinancials!V457</f>
        <v>0</v>
      </c>
      <c r="P457" s="13" t="n">
        <f aca="false">IF(AND(ISNUMBER(L457),L457&lt;&gt;0,ISNUMBER(M457)),100*M457/L457,"")</f>
        <v>93.4024711032602</v>
      </c>
      <c r="Q457" s="13" t="n">
        <f aca="false">IF(AND(ISNUMBER(F457),F457&lt;&gt;0,ISNUMBER(K457)),100*K457/F457,"")</f>
        <v>12.6177143458825</v>
      </c>
      <c r="R457" s="11" t="b">
        <f aca="false">AND(ISNUMBER(F457),F457&gt;0,ISNUMBER(G457),G457&gt;=0,ISNUMBER(H457),H457&gt;=0)</f>
        <v>1</v>
      </c>
      <c r="S457" s="13" t="n">
        <f aca="false">IF(R457,100*I457/F457,"")</f>
        <v>0.419071686337574</v>
      </c>
      <c r="T457" s="11" t="b">
        <f aca="false">NOT(AND(OR(AND(ISBLANK(RawFinancials!B457),ISBLANK(_RawBaseline!B454)),AND(ISNUMBER(RawFinancials!B457),ISNUMBER(_RawBaseline!B454),RawFinancials!B457=_RawBaseline!B454)),OR(AND(ISBLANK(RawFinancials!U457),ISBLANK(_RawBaseline!U454)),AND(ISNUMBER(RawFinancials!U457),ISNUMBER(_RawBaseline!U454),RawFinancials!U457=_RawBaseline!U454)),OR(AND(ISBLANK(RawFinancials!O457),ISBLANK(_RawBaseline!O454)),AND(ISNUMBER(RawFinancials!O457),ISNUMBER(_RawBaseline!O454),RawFinancials!O457=_RawBaseline!O454))))</f>
        <v>0</v>
      </c>
      <c r="U457" s="13" t="n">
        <f aca="false">IF(AND(D457=WF_START_PERIOD,R457,COUNTIFS($B$5:$B$750,B457,$D$5:$D$750,WF_END_PERIOD,$R$5:$R$750,TRUE())&gt;0),SUMIFS($S$5:$S$750,$B$5:$B$750,B457,$D$5:$D$750,WF_END_PERIOD,$R$5:$R$750,TRUE()),0)</f>
        <v>0</v>
      </c>
      <c r="V457" s="0" t="str">
        <f aca="false">IF(AND(D457=WF_START_PERIOD,COUNTIFS($B$5:$B$750,B457,$D$5:$D$750,WF_END_PERIOD)&gt;0),INDEX($E$5:$E$750,MATCH(B457&amp;"|"&amp;WF_END_PERIOD,$AC$5:$AC$750,0)),"")</f>
        <v/>
      </c>
      <c r="W457" s="11" t="b">
        <f aca="false">COUNTIFS($B$5:$B$750,B457,$D$5:$D$750,WF_START_PERIOD,$R$5:$R$750,TRUE())&gt;0</f>
        <v>1</v>
      </c>
      <c r="X457" s="11" t="b">
        <f aca="false">COUNTIFS($B$5:$B$750,B457,$D$5:$D$750,WF_END_PERIOD,$R$5:$R$750,TRUE())&gt;0</f>
        <v>1</v>
      </c>
      <c r="Y457" s="0" t="str">
        <f aca="false">IF(AND(D457=WF_END_PERIOD,COUNTIFS($B$5:$B$750,B457,$D$5:$D$750,WF_START_PERIOD)&gt;0),INDEX($E$5:$E$750,MATCH(B457&amp;"|"&amp;WF_START_PERIOD,$AC$5:$AC$750,0)),"")</f>
        <v/>
      </c>
      <c r="Z457" s="0" t="str">
        <f aca="false">IF(AND(D457=WF_END_PERIOD,R457),1+COUNTIFS($D$5:$D$750,WF_END_PERIOD,$E$5:$E$750,E457,$R$5:$R$750,TRUE(),$S$5:$S$750,"&gt;"&amp;S457)+COUNTIFS($D$5:$D$750,WF_END_PERIOD,$E$5:$E$750,E457,$R$5:$R$750,TRUE(),$S$5:$S$750,S457,$B$5:$B$750,"&lt;"&amp;B457),"")</f>
        <v/>
      </c>
      <c r="AA457" s="0" t="str">
        <f aca="false">IF(AND(D457=WF_END_PERIOD,R457,Z457&lt;&gt;1),1+COUNTIFS($D$5:$D$750,WF_END_PERIOD,$R$5:$R$750,TRUE(),$Z$5:$Z$750,"&lt;&gt;1",$S$5:$S$750,"&gt;"&amp;S457)+COUNTIFS($D$5:$D$750,WF_END_PERIOD,$R$5:$R$750,TRUE(),$Z$5:$Z$750,"&lt;&gt;1",$S$5:$S$750,S457,$B$5:$B$750,"&lt;"&amp;B457),"")</f>
        <v/>
      </c>
      <c r="AB457" s="11" t="b">
        <f aca="false">OR(D457=WF_START_PERIOD,D457=WF_END_PERIOD)</f>
        <v>0</v>
      </c>
      <c r="AC457" s="0" t="str">
        <f aca="false">B457&amp;"|"&amp;D457</f>
        <v>18038|20240331</v>
      </c>
    </row>
    <row r="458" customFormat="false" ht="15" hidden="false" customHeight="false" outlineLevel="0" collapsed="false">
      <c r="A458" s="0" t="n">
        <f aca="false">RawFinancials!A458</f>
        <v>455</v>
      </c>
      <c r="B458" s="0" t="n">
        <f aca="false">RawFinancials!C458</f>
        <v>18408</v>
      </c>
      <c r="C458" s="0" t="str">
        <f aca="false">RawFinancials!P458</f>
        <v>BANGOR SAVINGS BANK</v>
      </c>
      <c r="D458" s="0" t="n">
        <f aca="false">RawFinancials!W458</f>
        <v>20240331</v>
      </c>
      <c r="E458" s="0" t="str">
        <f aca="false">RawFinancials!Z458</f>
        <v>ME</v>
      </c>
      <c r="F458" s="0" t="n">
        <f aca="false">RawFinancials!B458</f>
        <v>7209064</v>
      </c>
      <c r="G458" s="0" t="n">
        <f aca="false">RawFinancials!U458</f>
        <v>0</v>
      </c>
      <c r="H458" s="0" t="n">
        <f aca="false">RawFinancials!O458</f>
        <v>4530</v>
      </c>
      <c r="I458" s="0" t="n">
        <f aca="false">IF(AND(ISNUMBER(G458),ISNUMBER(H458)),G458+H458,"")</f>
        <v>4530</v>
      </c>
      <c r="J458" s="0" t="n">
        <f aca="false">RawFinancials!D458</f>
        <v>5243296</v>
      </c>
      <c r="K458" s="0" t="n">
        <f aca="false">RawFinancials!F458</f>
        <v>402922</v>
      </c>
      <c r="L458" s="0" t="n">
        <f aca="false">RawFinancials!L458</f>
        <v>4840855</v>
      </c>
      <c r="M458" s="0" t="n">
        <f aca="false">RawFinancials!N458</f>
        <v>4375722</v>
      </c>
      <c r="N458" s="13" t="n">
        <f aca="false">RawFinancials!X458</f>
        <v>-0.0140431607422889</v>
      </c>
      <c r="O458" s="13" t="n">
        <f aca="false">RawFinancials!V458</f>
        <v>11.6477404589509</v>
      </c>
      <c r="P458" s="13" t="n">
        <f aca="false">IF(AND(ISNUMBER(L458),L458&lt;&gt;0,ISNUMBER(M458)),100*M458/L458,"")</f>
        <v>90.3915114168881</v>
      </c>
      <c r="Q458" s="13" t="n">
        <f aca="false">IF(AND(ISNUMBER(F458),F458&lt;&gt;0,ISNUMBER(K458)),100*K458/F458,"")</f>
        <v>5.58910282943805</v>
      </c>
      <c r="R458" s="11" t="b">
        <f aca="false">AND(ISNUMBER(F458),F458&gt;0,ISNUMBER(G458),G458&gt;=0,ISNUMBER(H458),H458&gt;=0)</f>
        <v>1</v>
      </c>
      <c r="S458" s="13" t="n">
        <f aca="false">IF(R458,100*I458/F458,"")</f>
        <v>0.0628375611591186</v>
      </c>
      <c r="T458" s="11" t="b">
        <f aca="false">NOT(AND(OR(AND(ISBLANK(RawFinancials!B458),ISBLANK(_RawBaseline!B455)),AND(ISNUMBER(RawFinancials!B458),ISNUMBER(_RawBaseline!B455),RawFinancials!B458=_RawBaseline!B455)),OR(AND(ISBLANK(RawFinancials!U458),ISBLANK(_RawBaseline!U455)),AND(ISNUMBER(RawFinancials!U458),ISNUMBER(_RawBaseline!U455),RawFinancials!U458=_RawBaseline!U455)),OR(AND(ISBLANK(RawFinancials!O458),ISBLANK(_RawBaseline!O455)),AND(ISNUMBER(RawFinancials!O458),ISNUMBER(_RawBaseline!O455),RawFinancials!O458=_RawBaseline!O455))))</f>
        <v>0</v>
      </c>
      <c r="U458" s="13" t="n">
        <f aca="false">IF(AND(D458=WF_START_PERIOD,R458,COUNTIFS($B$5:$B$750,B458,$D$5:$D$750,WF_END_PERIOD,$R$5:$R$750,TRUE())&gt;0),SUMIFS($S$5:$S$750,$B$5:$B$750,B458,$D$5:$D$750,WF_END_PERIOD,$R$5:$R$750,TRUE()),0)</f>
        <v>0</v>
      </c>
      <c r="V458" s="0" t="str">
        <f aca="false">IF(AND(D458=WF_START_PERIOD,COUNTIFS($B$5:$B$750,B458,$D$5:$D$750,WF_END_PERIOD)&gt;0),INDEX($E$5:$E$750,MATCH(B458&amp;"|"&amp;WF_END_PERIOD,$AC$5:$AC$750,0)),"")</f>
        <v/>
      </c>
      <c r="W458" s="11" t="b">
        <f aca="false">COUNTIFS($B$5:$B$750,B458,$D$5:$D$750,WF_START_PERIOD,$R$5:$R$750,TRUE())&gt;0</f>
        <v>1</v>
      </c>
      <c r="X458" s="11" t="b">
        <f aca="false">COUNTIFS($B$5:$B$750,B458,$D$5:$D$750,WF_END_PERIOD,$R$5:$R$750,TRUE())&gt;0</f>
        <v>1</v>
      </c>
      <c r="Y458" s="0" t="str">
        <f aca="false">IF(AND(D458=WF_END_PERIOD,COUNTIFS($B$5:$B$750,B458,$D$5:$D$750,WF_START_PERIOD)&gt;0),INDEX($E$5:$E$750,MATCH(B458&amp;"|"&amp;WF_START_PERIOD,$AC$5:$AC$750,0)),"")</f>
        <v/>
      </c>
      <c r="Z458" s="0" t="str">
        <f aca="false">IF(AND(D458=WF_END_PERIOD,R458),1+COUNTIFS($D$5:$D$750,WF_END_PERIOD,$E$5:$E$750,E458,$R$5:$R$750,TRUE(),$S$5:$S$750,"&gt;"&amp;S458)+COUNTIFS($D$5:$D$750,WF_END_PERIOD,$E$5:$E$750,E458,$R$5:$R$750,TRUE(),$S$5:$S$750,S458,$B$5:$B$750,"&lt;"&amp;B458),"")</f>
        <v/>
      </c>
      <c r="AA458" s="0" t="str">
        <f aca="false">IF(AND(D458=WF_END_PERIOD,R458,Z458&lt;&gt;1),1+COUNTIFS($D$5:$D$750,WF_END_PERIOD,$R$5:$R$750,TRUE(),$Z$5:$Z$750,"&lt;&gt;1",$S$5:$S$750,"&gt;"&amp;S458)+COUNTIFS($D$5:$D$750,WF_END_PERIOD,$R$5:$R$750,TRUE(),$Z$5:$Z$750,"&lt;&gt;1",$S$5:$S$750,S458,$B$5:$B$750,"&lt;"&amp;B458),"")</f>
        <v/>
      </c>
      <c r="AB458" s="11" t="b">
        <f aca="false">OR(D458=WF_START_PERIOD,D458=WF_END_PERIOD)</f>
        <v>0</v>
      </c>
      <c r="AC458" s="0" t="str">
        <f aca="false">B458&amp;"|"&amp;D458</f>
        <v>18408|20240331</v>
      </c>
    </row>
    <row r="459" customFormat="false" ht="15" hidden="false" customHeight="false" outlineLevel="0" collapsed="false">
      <c r="A459" s="0" t="n">
        <f aca="false">RawFinancials!A459</f>
        <v>456</v>
      </c>
      <c r="B459" s="0" t="n">
        <f aca="false">RawFinancials!C459</f>
        <v>19531</v>
      </c>
      <c r="C459" s="0" t="str">
        <f aca="false">RawFinancials!P459</f>
        <v>MACHIAS SAVINGS BANK</v>
      </c>
      <c r="D459" s="0" t="n">
        <f aca="false">RawFinancials!W459</f>
        <v>20240331</v>
      </c>
      <c r="E459" s="0" t="str">
        <f aca="false">RawFinancials!Z459</f>
        <v>ME</v>
      </c>
      <c r="F459" s="0" t="n">
        <f aca="false">RawFinancials!B459</f>
        <v>2536962</v>
      </c>
      <c r="G459" s="0" t="n">
        <f aca="false">RawFinancials!U459</f>
        <v>26</v>
      </c>
      <c r="H459" s="0" t="n">
        <f aca="false">RawFinancials!O459</f>
        <v>8011</v>
      </c>
      <c r="I459" s="0" t="n">
        <f aca="false">IF(AND(ISNUMBER(G459),ISNUMBER(H459)),G459+H459,"")</f>
        <v>8037</v>
      </c>
      <c r="J459" s="0" t="n">
        <f aca="false">RawFinancials!D459</f>
        <v>1943034</v>
      </c>
      <c r="K459" s="0" t="n">
        <f aca="false">RawFinancials!F459</f>
        <v>242536</v>
      </c>
      <c r="L459" s="0" t="n">
        <f aca="false">RawFinancials!L459</f>
        <v>2037730</v>
      </c>
      <c r="M459" s="0" t="n">
        <f aca="false">RawFinancials!N459</f>
        <v>1667925</v>
      </c>
      <c r="N459" s="13" t="n">
        <f aca="false">RawFinancials!X459</f>
        <v>0.303107086681934</v>
      </c>
      <c r="O459" s="13" t="n">
        <f aca="false">RawFinancials!V459</f>
        <v>14.3160659623927</v>
      </c>
      <c r="P459" s="13" t="n">
        <f aca="false">IF(AND(ISNUMBER(L459),L459&lt;&gt;0,ISNUMBER(M459)),100*M459/L459,"")</f>
        <v>81.8521099458711</v>
      </c>
      <c r="Q459" s="13" t="n">
        <f aca="false">IF(AND(ISNUMBER(F459),F459&lt;&gt;0,ISNUMBER(K459)),100*K459/F459,"")</f>
        <v>9.56009589422309</v>
      </c>
      <c r="R459" s="11" t="b">
        <f aca="false">AND(ISNUMBER(F459),F459&gt;0,ISNUMBER(G459),G459&gt;=0,ISNUMBER(H459),H459&gt;=0)</f>
        <v>1</v>
      </c>
      <c r="S459" s="13" t="n">
        <f aca="false">IF(R459,100*I459/F459,"")</f>
        <v>0.316796231082689</v>
      </c>
      <c r="T459" s="11" t="b">
        <f aca="false">NOT(AND(OR(AND(ISBLANK(RawFinancials!B459),ISBLANK(_RawBaseline!B456)),AND(ISNUMBER(RawFinancials!B459),ISNUMBER(_RawBaseline!B456),RawFinancials!B459=_RawBaseline!B456)),OR(AND(ISBLANK(RawFinancials!U459),ISBLANK(_RawBaseline!U456)),AND(ISNUMBER(RawFinancials!U459),ISNUMBER(_RawBaseline!U456),RawFinancials!U459=_RawBaseline!U456)),OR(AND(ISBLANK(RawFinancials!O459),ISBLANK(_RawBaseline!O456)),AND(ISNUMBER(RawFinancials!O459),ISNUMBER(_RawBaseline!O456),RawFinancials!O459=_RawBaseline!O456))))</f>
        <v>0</v>
      </c>
      <c r="U459" s="13" t="n">
        <f aca="false">IF(AND(D459=WF_START_PERIOD,R459,COUNTIFS($B$5:$B$750,B459,$D$5:$D$750,WF_END_PERIOD,$R$5:$R$750,TRUE())&gt;0),SUMIFS($S$5:$S$750,$B$5:$B$750,B459,$D$5:$D$750,WF_END_PERIOD,$R$5:$R$750,TRUE()),0)</f>
        <v>0</v>
      </c>
      <c r="V459" s="0" t="str">
        <f aca="false">IF(AND(D459=WF_START_PERIOD,COUNTIFS($B$5:$B$750,B459,$D$5:$D$750,WF_END_PERIOD)&gt;0),INDEX($E$5:$E$750,MATCH(B459&amp;"|"&amp;WF_END_PERIOD,$AC$5:$AC$750,0)),"")</f>
        <v/>
      </c>
      <c r="W459" s="11" t="b">
        <f aca="false">COUNTIFS($B$5:$B$750,B459,$D$5:$D$750,WF_START_PERIOD,$R$5:$R$750,TRUE())&gt;0</f>
        <v>1</v>
      </c>
      <c r="X459" s="11" t="b">
        <f aca="false">COUNTIFS($B$5:$B$750,B459,$D$5:$D$750,WF_END_PERIOD,$R$5:$R$750,TRUE())&gt;0</f>
        <v>1</v>
      </c>
      <c r="Y459" s="0" t="str">
        <f aca="false">IF(AND(D459=WF_END_PERIOD,COUNTIFS($B$5:$B$750,B459,$D$5:$D$750,WF_START_PERIOD)&gt;0),INDEX($E$5:$E$750,MATCH(B459&amp;"|"&amp;WF_START_PERIOD,$AC$5:$AC$750,0)),"")</f>
        <v/>
      </c>
      <c r="Z459" s="0" t="str">
        <f aca="false">IF(AND(D459=WF_END_PERIOD,R459),1+COUNTIFS($D$5:$D$750,WF_END_PERIOD,$E$5:$E$750,E459,$R$5:$R$750,TRUE(),$S$5:$S$750,"&gt;"&amp;S459)+COUNTIFS($D$5:$D$750,WF_END_PERIOD,$E$5:$E$750,E459,$R$5:$R$750,TRUE(),$S$5:$S$750,S459,$B$5:$B$750,"&lt;"&amp;B459),"")</f>
        <v/>
      </c>
      <c r="AA459" s="0" t="str">
        <f aca="false">IF(AND(D459=WF_END_PERIOD,R459,Z459&lt;&gt;1),1+COUNTIFS($D$5:$D$750,WF_END_PERIOD,$R$5:$R$750,TRUE(),$Z$5:$Z$750,"&lt;&gt;1",$S$5:$S$750,"&gt;"&amp;S459)+COUNTIFS($D$5:$D$750,WF_END_PERIOD,$R$5:$R$750,TRUE(),$Z$5:$Z$750,"&lt;&gt;1",$S$5:$S$750,S459,$B$5:$B$750,"&lt;"&amp;B459),"")</f>
        <v/>
      </c>
      <c r="AB459" s="11" t="b">
        <f aca="false">OR(D459=WF_START_PERIOD,D459=WF_END_PERIOD)</f>
        <v>0</v>
      </c>
      <c r="AC459" s="0" t="str">
        <f aca="false">B459&amp;"|"&amp;D459</f>
        <v>19531|20240331</v>
      </c>
    </row>
    <row r="460" customFormat="false" ht="15" hidden="false" customHeight="false" outlineLevel="0" collapsed="false">
      <c r="A460" s="0" t="n">
        <f aca="false">RawFinancials!A460</f>
        <v>457</v>
      </c>
      <c r="B460" s="0" t="n">
        <f aca="false">RawFinancials!C460</f>
        <v>19532</v>
      </c>
      <c r="C460" s="0" t="str">
        <f aca="false">RawFinancials!P460</f>
        <v>SKOWHEGAN SAVINGS BANK</v>
      </c>
      <c r="D460" s="0" t="n">
        <f aca="false">RawFinancials!W460</f>
        <v>20240331</v>
      </c>
      <c r="E460" s="0" t="str">
        <f aca="false">RawFinancials!Z460</f>
        <v>ME</v>
      </c>
      <c r="F460" s="0" t="n">
        <f aca="false">RawFinancials!B460</f>
        <v>898226</v>
      </c>
      <c r="G460" s="0" t="n">
        <f aca="false">RawFinancials!U460</f>
        <v>0</v>
      </c>
      <c r="H460" s="0" t="n">
        <f aca="false">RawFinancials!O460</f>
        <v>1722</v>
      </c>
      <c r="I460" s="0" t="n">
        <f aca="false">IF(AND(ISNUMBER(G460),ISNUMBER(H460)),G460+H460,"")</f>
        <v>1722</v>
      </c>
      <c r="J460" s="0" t="n">
        <f aca="false">RawFinancials!D460</f>
        <v>728574</v>
      </c>
      <c r="K460" s="0" t="n">
        <f aca="false">RawFinancials!F460</f>
        <v>97076</v>
      </c>
      <c r="L460" s="0" t="n">
        <f aca="false">RawFinancials!L460</f>
        <v>591701</v>
      </c>
      <c r="M460" s="0" t="n">
        <f aca="false">RawFinancials!N460</f>
        <v>486940</v>
      </c>
      <c r="N460" s="13" t="n">
        <f aca="false">RawFinancials!X460</f>
        <v>0.943362209622024</v>
      </c>
      <c r="O460" s="13" t="n">
        <f aca="false">RawFinancials!V460</f>
        <v>20.9615309283706</v>
      </c>
      <c r="P460" s="13" t="n">
        <f aca="false">IF(AND(ISNUMBER(L460),L460&lt;&gt;0,ISNUMBER(M460)),100*M460/L460,"")</f>
        <v>82.2949428850044</v>
      </c>
      <c r="Q460" s="13" t="n">
        <f aca="false">IF(AND(ISNUMBER(F460),F460&lt;&gt;0,ISNUMBER(K460)),100*K460/F460,"")</f>
        <v>10.8075250549416</v>
      </c>
      <c r="R460" s="11" t="b">
        <f aca="false">AND(ISNUMBER(F460),F460&gt;0,ISNUMBER(G460),G460&gt;=0,ISNUMBER(H460),H460&gt;=0)</f>
        <v>1</v>
      </c>
      <c r="S460" s="13" t="n">
        <f aca="false">IF(R460,100*I460/F460,"")</f>
        <v>0.191711217444162</v>
      </c>
      <c r="T460" s="11" t="b">
        <f aca="false">NOT(AND(OR(AND(ISBLANK(RawFinancials!B460),ISBLANK(_RawBaseline!B457)),AND(ISNUMBER(RawFinancials!B460),ISNUMBER(_RawBaseline!B457),RawFinancials!B460=_RawBaseline!B457)),OR(AND(ISBLANK(RawFinancials!U460),ISBLANK(_RawBaseline!U457)),AND(ISNUMBER(RawFinancials!U460),ISNUMBER(_RawBaseline!U457),RawFinancials!U460=_RawBaseline!U457)),OR(AND(ISBLANK(RawFinancials!O460),ISBLANK(_RawBaseline!O457)),AND(ISNUMBER(RawFinancials!O460),ISNUMBER(_RawBaseline!O457),RawFinancials!O460=_RawBaseline!O457))))</f>
        <v>0</v>
      </c>
      <c r="U460" s="13" t="n">
        <f aca="false">IF(AND(D460=WF_START_PERIOD,R460,COUNTIFS($B$5:$B$750,B460,$D$5:$D$750,WF_END_PERIOD,$R$5:$R$750,TRUE())&gt;0),SUMIFS($S$5:$S$750,$B$5:$B$750,B460,$D$5:$D$750,WF_END_PERIOD,$R$5:$R$750,TRUE()),0)</f>
        <v>0</v>
      </c>
      <c r="V460" s="0" t="str">
        <f aca="false">IF(AND(D460=WF_START_PERIOD,COUNTIFS($B$5:$B$750,B460,$D$5:$D$750,WF_END_PERIOD)&gt;0),INDEX($E$5:$E$750,MATCH(B460&amp;"|"&amp;WF_END_PERIOD,$AC$5:$AC$750,0)),"")</f>
        <v/>
      </c>
      <c r="W460" s="11" t="b">
        <f aca="false">COUNTIFS($B$5:$B$750,B460,$D$5:$D$750,WF_START_PERIOD,$R$5:$R$750,TRUE())&gt;0</f>
        <v>1</v>
      </c>
      <c r="X460" s="11" t="b">
        <f aca="false">COUNTIFS($B$5:$B$750,B460,$D$5:$D$750,WF_END_PERIOD,$R$5:$R$750,TRUE())&gt;0</f>
        <v>1</v>
      </c>
      <c r="Y460" s="0" t="str">
        <f aca="false">IF(AND(D460=WF_END_PERIOD,COUNTIFS($B$5:$B$750,B460,$D$5:$D$750,WF_START_PERIOD)&gt;0),INDEX($E$5:$E$750,MATCH(B460&amp;"|"&amp;WF_START_PERIOD,$AC$5:$AC$750,0)),"")</f>
        <v/>
      </c>
      <c r="Z460" s="0" t="str">
        <f aca="false">IF(AND(D460=WF_END_PERIOD,R460),1+COUNTIFS($D$5:$D$750,WF_END_PERIOD,$E$5:$E$750,E460,$R$5:$R$750,TRUE(),$S$5:$S$750,"&gt;"&amp;S460)+COUNTIFS($D$5:$D$750,WF_END_PERIOD,$E$5:$E$750,E460,$R$5:$R$750,TRUE(),$S$5:$S$750,S460,$B$5:$B$750,"&lt;"&amp;B460),"")</f>
        <v/>
      </c>
      <c r="AA460" s="0" t="str">
        <f aca="false">IF(AND(D460=WF_END_PERIOD,R460,Z460&lt;&gt;1),1+COUNTIFS($D$5:$D$750,WF_END_PERIOD,$R$5:$R$750,TRUE(),$Z$5:$Z$750,"&lt;&gt;1",$S$5:$S$750,"&gt;"&amp;S460)+COUNTIFS($D$5:$D$750,WF_END_PERIOD,$R$5:$R$750,TRUE(),$Z$5:$Z$750,"&lt;&gt;1",$S$5:$S$750,S460,$B$5:$B$750,"&lt;"&amp;B460),"")</f>
        <v/>
      </c>
      <c r="AB460" s="11" t="b">
        <f aca="false">OR(D460=WF_START_PERIOD,D460=WF_END_PERIOD)</f>
        <v>0</v>
      </c>
      <c r="AC460" s="0" t="str">
        <f aca="false">B460&amp;"|"&amp;D460</f>
        <v>19532|20240331</v>
      </c>
    </row>
    <row r="461" customFormat="false" ht="15" hidden="false" customHeight="false" outlineLevel="0" collapsed="false">
      <c r="A461" s="0" t="n">
        <f aca="false">RawFinancials!A461</f>
        <v>458</v>
      </c>
      <c r="B461" s="0" t="n">
        <f aca="false">RawFinancials!C461</f>
        <v>19690</v>
      </c>
      <c r="C461" s="0" t="str">
        <f aca="false">RawFinancials!P461</f>
        <v>NORTHEAST BANK</v>
      </c>
      <c r="D461" s="0" t="n">
        <f aca="false">RawFinancials!W461</f>
        <v>20240331</v>
      </c>
      <c r="E461" s="0" t="str">
        <f aca="false">RawFinancials!Z461</f>
        <v>ME</v>
      </c>
      <c r="F461" s="0" t="n">
        <f aca="false">RawFinancials!B461</f>
        <v>3001015</v>
      </c>
      <c r="G461" s="0" t="n">
        <f aca="false">RawFinancials!U461</f>
        <v>0</v>
      </c>
      <c r="H461" s="0" t="n">
        <f aca="false">RawFinancials!O461</f>
        <v>27951</v>
      </c>
      <c r="I461" s="0" t="n">
        <f aca="false">IF(AND(ISNUMBER(G461),ISNUMBER(H461)),G461+H461,"")</f>
        <v>27951</v>
      </c>
      <c r="J461" s="0" t="n">
        <f aca="false">RawFinancials!D461</f>
        <v>2249394</v>
      </c>
      <c r="K461" s="0" t="n">
        <f aca="false">RawFinancials!F461</f>
        <v>351913</v>
      </c>
      <c r="L461" s="0" t="n">
        <f aca="false">RawFinancials!L461</f>
        <v>2656781</v>
      </c>
      <c r="M461" s="0" t="n">
        <f aca="false">RawFinancials!N461</f>
        <v>2071416</v>
      </c>
      <c r="N461" s="13" t="n">
        <f aca="false">RawFinancials!X461</f>
        <v>1.85795924985482</v>
      </c>
      <c r="O461" s="13" t="n">
        <f aca="false">RawFinancials!V461</f>
        <v>14.2226449666769</v>
      </c>
      <c r="P461" s="13" t="n">
        <f aca="false">IF(AND(ISNUMBER(L461),L461&lt;&gt;0,ISNUMBER(M461)),100*M461/L461,"")</f>
        <v>77.9671339113009</v>
      </c>
      <c r="Q461" s="13" t="n">
        <f aca="false">IF(AND(ISNUMBER(F461),F461&lt;&gt;0,ISNUMBER(K461)),100*K461/F461,"")</f>
        <v>11.7264658790443</v>
      </c>
      <c r="R461" s="11" t="b">
        <f aca="false">AND(ISNUMBER(F461),F461&gt;0,ISNUMBER(G461),G461&gt;=0,ISNUMBER(H461),H461&gt;=0)</f>
        <v>1</v>
      </c>
      <c r="S461" s="13" t="n">
        <f aca="false">IF(R461,100*I461/F461,"")</f>
        <v>0.931384881448443</v>
      </c>
      <c r="T461" s="11" t="b">
        <f aca="false">NOT(AND(OR(AND(ISBLANK(RawFinancials!B461),ISBLANK(_RawBaseline!B458)),AND(ISNUMBER(RawFinancials!B461),ISNUMBER(_RawBaseline!B458),RawFinancials!B461=_RawBaseline!B458)),OR(AND(ISBLANK(RawFinancials!U461),ISBLANK(_RawBaseline!U458)),AND(ISNUMBER(RawFinancials!U461),ISNUMBER(_RawBaseline!U458),RawFinancials!U461=_RawBaseline!U458)),OR(AND(ISBLANK(RawFinancials!O461),ISBLANK(_RawBaseline!O458)),AND(ISNUMBER(RawFinancials!O461),ISNUMBER(_RawBaseline!O458),RawFinancials!O461=_RawBaseline!O458))))</f>
        <v>0</v>
      </c>
      <c r="U461" s="13" t="n">
        <f aca="false">IF(AND(D461=WF_START_PERIOD,R461,COUNTIFS($B$5:$B$750,B461,$D$5:$D$750,WF_END_PERIOD,$R$5:$R$750,TRUE())&gt;0),SUMIFS($S$5:$S$750,$B$5:$B$750,B461,$D$5:$D$750,WF_END_PERIOD,$R$5:$R$750,TRUE()),0)</f>
        <v>0</v>
      </c>
      <c r="V461" s="0" t="str">
        <f aca="false">IF(AND(D461=WF_START_PERIOD,COUNTIFS($B$5:$B$750,B461,$D$5:$D$750,WF_END_PERIOD)&gt;0),INDEX($E$5:$E$750,MATCH(B461&amp;"|"&amp;WF_END_PERIOD,$AC$5:$AC$750,0)),"")</f>
        <v/>
      </c>
      <c r="W461" s="11" t="b">
        <f aca="false">COUNTIFS($B$5:$B$750,B461,$D$5:$D$750,WF_START_PERIOD,$R$5:$R$750,TRUE())&gt;0</f>
        <v>1</v>
      </c>
      <c r="X461" s="11" t="b">
        <f aca="false">COUNTIFS($B$5:$B$750,B461,$D$5:$D$750,WF_END_PERIOD,$R$5:$R$750,TRUE())&gt;0</f>
        <v>1</v>
      </c>
      <c r="Y461" s="0" t="str">
        <f aca="false">IF(AND(D461=WF_END_PERIOD,COUNTIFS($B$5:$B$750,B461,$D$5:$D$750,WF_START_PERIOD)&gt;0),INDEX($E$5:$E$750,MATCH(B461&amp;"|"&amp;WF_START_PERIOD,$AC$5:$AC$750,0)),"")</f>
        <v/>
      </c>
      <c r="Z461" s="0" t="str">
        <f aca="false">IF(AND(D461=WF_END_PERIOD,R461),1+COUNTIFS($D$5:$D$750,WF_END_PERIOD,$E$5:$E$750,E461,$R$5:$R$750,TRUE(),$S$5:$S$750,"&gt;"&amp;S461)+COUNTIFS($D$5:$D$750,WF_END_PERIOD,$E$5:$E$750,E461,$R$5:$R$750,TRUE(),$S$5:$S$750,S461,$B$5:$B$750,"&lt;"&amp;B461),"")</f>
        <v/>
      </c>
      <c r="AA461" s="0" t="str">
        <f aca="false">IF(AND(D461=WF_END_PERIOD,R461,Z461&lt;&gt;1),1+COUNTIFS($D$5:$D$750,WF_END_PERIOD,$R$5:$R$750,TRUE(),$Z$5:$Z$750,"&lt;&gt;1",$S$5:$S$750,"&gt;"&amp;S461)+COUNTIFS($D$5:$D$750,WF_END_PERIOD,$R$5:$R$750,TRUE(),$Z$5:$Z$750,"&lt;&gt;1",$S$5:$S$750,S461,$B$5:$B$750,"&lt;"&amp;B461),"")</f>
        <v/>
      </c>
      <c r="AB461" s="11" t="b">
        <f aca="false">OR(D461=WF_START_PERIOD,D461=WF_END_PERIOD)</f>
        <v>0</v>
      </c>
      <c r="AC461" s="0" t="str">
        <f aca="false">B461&amp;"|"&amp;D461</f>
        <v>19690|20240331</v>
      </c>
    </row>
    <row r="462" customFormat="false" ht="15" hidden="false" customHeight="false" outlineLevel="0" collapsed="false">
      <c r="A462" s="0" t="n">
        <f aca="false">RawFinancials!A462</f>
        <v>459</v>
      </c>
      <c r="B462" s="0" t="n">
        <f aca="false">RawFinancials!C462</f>
        <v>19836</v>
      </c>
      <c r="C462" s="0" t="str">
        <f aca="false">RawFinancials!P462</f>
        <v>FRANKLIN SAVINGS BANK</v>
      </c>
      <c r="D462" s="0" t="n">
        <f aca="false">RawFinancials!W462</f>
        <v>20240331</v>
      </c>
      <c r="E462" s="0" t="str">
        <f aca="false">RawFinancials!Z462</f>
        <v>ME</v>
      </c>
      <c r="F462" s="0" t="n">
        <f aca="false">RawFinancials!B462</f>
        <v>677132</v>
      </c>
      <c r="G462" s="0" t="n">
        <f aca="false">RawFinancials!U462</f>
        <v>134</v>
      </c>
      <c r="H462" s="0" t="n">
        <f aca="false">RawFinancials!O462</f>
        <v>4708</v>
      </c>
      <c r="I462" s="0" t="n">
        <f aca="false">IF(AND(ISNUMBER(G462),ISNUMBER(H462)),G462+H462,"")</f>
        <v>4842</v>
      </c>
      <c r="J462" s="0" t="n">
        <f aca="false">RawFinancials!D462</f>
        <v>501943</v>
      </c>
      <c r="K462" s="0" t="n">
        <f aca="false">RawFinancials!F462</f>
        <v>121076</v>
      </c>
      <c r="L462" s="0" t="n">
        <f aca="false">RawFinancials!L462</f>
        <v>563910</v>
      </c>
      <c r="M462" s="0" t="n">
        <f aca="false">RawFinancials!N462</f>
        <v>501814</v>
      </c>
      <c r="N462" s="13" t="n">
        <f aca="false">RawFinancials!X462</f>
        <v>0.619382173762133</v>
      </c>
      <c r="O462" s="13" t="n">
        <f aca="false">RawFinancials!V462</f>
        <v>25.4067359742023</v>
      </c>
      <c r="P462" s="13" t="n">
        <f aca="false">IF(AND(ISNUMBER(L462),L462&lt;&gt;0,ISNUMBER(M462)),100*M462/L462,"")</f>
        <v>88.9883137380078</v>
      </c>
      <c r="Q462" s="13" t="n">
        <f aca="false">IF(AND(ISNUMBER(F462),F462&lt;&gt;0,ISNUMBER(K462)),100*K462/F462,"")</f>
        <v>17.8807086358347</v>
      </c>
      <c r="R462" s="11" t="b">
        <f aca="false">AND(ISNUMBER(F462),F462&gt;0,ISNUMBER(G462),G462&gt;=0,ISNUMBER(H462),H462&gt;=0)</f>
        <v>1</v>
      </c>
      <c r="S462" s="13" t="n">
        <f aca="false">IF(R462,100*I462/F462,"")</f>
        <v>0.715074756472889</v>
      </c>
      <c r="T462" s="11" t="b">
        <f aca="false">NOT(AND(OR(AND(ISBLANK(RawFinancials!B462),ISBLANK(_RawBaseline!B459)),AND(ISNUMBER(RawFinancials!B462),ISNUMBER(_RawBaseline!B459),RawFinancials!B462=_RawBaseline!B459)),OR(AND(ISBLANK(RawFinancials!U462),ISBLANK(_RawBaseline!U459)),AND(ISNUMBER(RawFinancials!U462),ISNUMBER(_RawBaseline!U459),RawFinancials!U462=_RawBaseline!U459)),OR(AND(ISBLANK(RawFinancials!O462),ISBLANK(_RawBaseline!O459)),AND(ISNUMBER(RawFinancials!O462),ISNUMBER(_RawBaseline!O459),RawFinancials!O462=_RawBaseline!O459))))</f>
        <v>0</v>
      </c>
      <c r="U462" s="13" t="n">
        <f aca="false">IF(AND(D462=WF_START_PERIOD,R462,COUNTIFS($B$5:$B$750,B462,$D$5:$D$750,WF_END_PERIOD,$R$5:$R$750,TRUE())&gt;0),SUMIFS($S$5:$S$750,$B$5:$B$750,B462,$D$5:$D$750,WF_END_PERIOD,$R$5:$R$750,TRUE()),0)</f>
        <v>0</v>
      </c>
      <c r="V462" s="0" t="str">
        <f aca="false">IF(AND(D462=WF_START_PERIOD,COUNTIFS($B$5:$B$750,B462,$D$5:$D$750,WF_END_PERIOD)&gt;0),INDEX($E$5:$E$750,MATCH(B462&amp;"|"&amp;WF_END_PERIOD,$AC$5:$AC$750,0)),"")</f>
        <v/>
      </c>
      <c r="W462" s="11" t="b">
        <f aca="false">COUNTIFS($B$5:$B$750,B462,$D$5:$D$750,WF_START_PERIOD,$R$5:$R$750,TRUE())&gt;0</f>
        <v>1</v>
      </c>
      <c r="X462" s="11" t="b">
        <f aca="false">COUNTIFS($B$5:$B$750,B462,$D$5:$D$750,WF_END_PERIOD,$R$5:$R$750,TRUE())&gt;0</f>
        <v>1</v>
      </c>
      <c r="Y462" s="0" t="str">
        <f aca="false">IF(AND(D462=WF_END_PERIOD,COUNTIFS($B$5:$B$750,B462,$D$5:$D$750,WF_START_PERIOD)&gt;0),INDEX($E$5:$E$750,MATCH(B462&amp;"|"&amp;WF_START_PERIOD,$AC$5:$AC$750,0)),"")</f>
        <v/>
      </c>
      <c r="Z462" s="0" t="str">
        <f aca="false">IF(AND(D462=WF_END_PERIOD,R462),1+COUNTIFS($D$5:$D$750,WF_END_PERIOD,$E$5:$E$750,E462,$R$5:$R$750,TRUE(),$S$5:$S$750,"&gt;"&amp;S462)+COUNTIFS($D$5:$D$750,WF_END_PERIOD,$E$5:$E$750,E462,$R$5:$R$750,TRUE(),$S$5:$S$750,S462,$B$5:$B$750,"&lt;"&amp;B462),"")</f>
        <v/>
      </c>
      <c r="AA462" s="0" t="str">
        <f aca="false">IF(AND(D462=WF_END_PERIOD,R462,Z462&lt;&gt;1),1+COUNTIFS($D$5:$D$750,WF_END_PERIOD,$R$5:$R$750,TRUE(),$Z$5:$Z$750,"&lt;&gt;1",$S$5:$S$750,"&gt;"&amp;S462)+COUNTIFS($D$5:$D$750,WF_END_PERIOD,$R$5:$R$750,TRUE(),$Z$5:$Z$750,"&lt;&gt;1",$S$5:$S$750,S462,$B$5:$B$750,"&lt;"&amp;B462),"")</f>
        <v/>
      </c>
      <c r="AB462" s="11" t="b">
        <f aca="false">OR(D462=WF_START_PERIOD,D462=WF_END_PERIOD)</f>
        <v>0</v>
      </c>
      <c r="AC462" s="0" t="str">
        <f aca="false">B462&amp;"|"&amp;D462</f>
        <v>19836|20240331</v>
      </c>
    </row>
    <row r="463" customFormat="false" ht="15" hidden="false" customHeight="false" outlineLevel="0" collapsed="false">
      <c r="A463" s="0" t="n">
        <f aca="false">RawFinancials!A463</f>
        <v>460</v>
      </c>
      <c r="B463" s="0" t="n">
        <f aca="false">RawFinancials!C463</f>
        <v>24540</v>
      </c>
      <c r="C463" s="0" t="str">
        <f aca="false">RawFinancials!P463</f>
        <v>BANK OF NEW ENGLAND</v>
      </c>
      <c r="D463" s="0" t="n">
        <f aca="false">RawFinancials!W463</f>
        <v>20240331</v>
      </c>
      <c r="E463" s="0" t="str">
        <f aca="false">RawFinancials!Z463</f>
        <v>NH</v>
      </c>
      <c r="F463" s="0" t="n">
        <f aca="false">RawFinancials!B463</f>
        <v>1433532</v>
      </c>
      <c r="G463" s="0" t="n">
        <f aca="false">RawFinancials!U463</f>
        <v>0</v>
      </c>
      <c r="H463" s="0" t="n">
        <f aca="false">RawFinancials!O463</f>
        <v>30157</v>
      </c>
      <c r="I463" s="0" t="n">
        <f aca="false">IF(AND(ISNUMBER(G463),ISNUMBER(H463)),G463+H463,"")</f>
        <v>30157</v>
      </c>
      <c r="J463" s="0" t="n">
        <f aca="false">RawFinancials!D463</f>
        <v>1156113</v>
      </c>
      <c r="K463" s="0" t="n">
        <f aca="false">RawFinancials!F463</f>
        <v>252599</v>
      </c>
      <c r="L463" s="0" t="n">
        <f aca="false">RawFinancials!L463</f>
        <v>1220007</v>
      </c>
      <c r="M463" s="0" t="n">
        <f aca="false">RawFinancials!N463</f>
        <v>1181027</v>
      </c>
      <c r="N463" s="13" t="n">
        <f aca="false">RawFinancials!X463</f>
        <v>1.89104806828232</v>
      </c>
      <c r="O463" s="13" t="n">
        <f aca="false">RawFinancials!V463</f>
        <v>18.9186492671387</v>
      </c>
      <c r="P463" s="13" t="n">
        <f aca="false">IF(AND(ISNUMBER(L463),L463&lt;&gt;0,ISNUMBER(M463)),100*M463/L463,"")</f>
        <v>96.8049363651192</v>
      </c>
      <c r="Q463" s="13" t="n">
        <f aca="false">IF(AND(ISNUMBER(F463),F463&lt;&gt;0,ISNUMBER(K463)),100*K463/F463,"")</f>
        <v>17.6207437294738</v>
      </c>
      <c r="R463" s="11" t="b">
        <f aca="false">AND(ISNUMBER(F463),F463&gt;0,ISNUMBER(G463),G463&gt;=0,ISNUMBER(H463),H463&gt;=0)</f>
        <v>1</v>
      </c>
      <c r="S463" s="13" t="n">
        <f aca="false">IF(R463,100*I463/F463,"")</f>
        <v>2.10368516363778</v>
      </c>
      <c r="T463" s="11" t="b">
        <f aca="false">NOT(AND(OR(AND(ISBLANK(RawFinancials!B463),ISBLANK(_RawBaseline!B460)),AND(ISNUMBER(RawFinancials!B463),ISNUMBER(_RawBaseline!B460),RawFinancials!B463=_RawBaseline!B460)),OR(AND(ISBLANK(RawFinancials!U463),ISBLANK(_RawBaseline!U460)),AND(ISNUMBER(RawFinancials!U463),ISNUMBER(_RawBaseline!U460),RawFinancials!U463=_RawBaseline!U460)),OR(AND(ISBLANK(RawFinancials!O463),ISBLANK(_RawBaseline!O460)),AND(ISNUMBER(RawFinancials!O463),ISNUMBER(_RawBaseline!O460),RawFinancials!O463=_RawBaseline!O460))))</f>
        <v>0</v>
      </c>
      <c r="U463" s="13" t="n">
        <f aca="false">IF(AND(D463=WF_START_PERIOD,R463,COUNTIFS($B$5:$B$750,B463,$D$5:$D$750,WF_END_PERIOD,$R$5:$R$750,TRUE())&gt;0),SUMIFS($S$5:$S$750,$B$5:$B$750,B463,$D$5:$D$750,WF_END_PERIOD,$R$5:$R$750,TRUE()),0)</f>
        <v>0</v>
      </c>
      <c r="V463" s="0" t="str">
        <f aca="false">IF(AND(D463=WF_START_PERIOD,COUNTIFS($B$5:$B$750,B463,$D$5:$D$750,WF_END_PERIOD)&gt;0),INDEX($E$5:$E$750,MATCH(B463&amp;"|"&amp;WF_END_PERIOD,$AC$5:$AC$750,0)),"")</f>
        <v/>
      </c>
      <c r="W463" s="11" t="b">
        <f aca="false">COUNTIFS($B$5:$B$750,B463,$D$5:$D$750,WF_START_PERIOD,$R$5:$R$750,TRUE())&gt;0</f>
        <v>1</v>
      </c>
      <c r="X463" s="11" t="b">
        <f aca="false">COUNTIFS($B$5:$B$750,B463,$D$5:$D$750,WF_END_PERIOD,$R$5:$R$750,TRUE())&gt;0</f>
        <v>1</v>
      </c>
      <c r="Y463" s="0" t="str">
        <f aca="false">IF(AND(D463=WF_END_PERIOD,COUNTIFS($B$5:$B$750,B463,$D$5:$D$750,WF_START_PERIOD)&gt;0),INDEX($E$5:$E$750,MATCH(B463&amp;"|"&amp;WF_START_PERIOD,$AC$5:$AC$750,0)),"")</f>
        <v/>
      </c>
      <c r="Z463" s="0" t="str">
        <f aca="false">IF(AND(D463=WF_END_PERIOD,R463),1+COUNTIFS($D$5:$D$750,WF_END_PERIOD,$E$5:$E$750,E463,$R$5:$R$750,TRUE(),$S$5:$S$750,"&gt;"&amp;S463)+COUNTIFS($D$5:$D$750,WF_END_PERIOD,$E$5:$E$750,E463,$R$5:$R$750,TRUE(),$S$5:$S$750,S463,$B$5:$B$750,"&lt;"&amp;B463),"")</f>
        <v/>
      </c>
      <c r="AA463" s="0" t="str">
        <f aca="false">IF(AND(D463=WF_END_PERIOD,R463,Z463&lt;&gt;1),1+COUNTIFS($D$5:$D$750,WF_END_PERIOD,$R$5:$R$750,TRUE(),$Z$5:$Z$750,"&lt;&gt;1",$S$5:$S$750,"&gt;"&amp;S463)+COUNTIFS($D$5:$D$750,WF_END_PERIOD,$R$5:$R$750,TRUE(),$Z$5:$Z$750,"&lt;&gt;1",$S$5:$S$750,S463,$B$5:$B$750,"&lt;"&amp;B463),"")</f>
        <v/>
      </c>
      <c r="AB463" s="11" t="b">
        <f aca="false">OR(D463=WF_START_PERIOD,D463=WF_END_PERIOD)</f>
        <v>0</v>
      </c>
      <c r="AC463" s="0" t="str">
        <f aca="false">B463&amp;"|"&amp;D463</f>
        <v>24540|20240331</v>
      </c>
    </row>
    <row r="464" customFormat="false" ht="15" hidden="false" customHeight="false" outlineLevel="0" collapsed="false">
      <c r="A464" s="0" t="n">
        <f aca="false">RawFinancials!A464</f>
        <v>461</v>
      </c>
      <c r="B464" s="0" t="n">
        <f aca="false">RawFinancials!C464</f>
        <v>27824</v>
      </c>
      <c r="C464" s="0" t="str">
        <f aca="false">RawFinancials!P464</f>
        <v>SALEM CO-OPERATIVE BANK</v>
      </c>
      <c r="D464" s="0" t="n">
        <f aca="false">RawFinancials!W464</f>
        <v>20240331</v>
      </c>
      <c r="E464" s="0" t="str">
        <f aca="false">RawFinancials!Z464</f>
        <v>NH</v>
      </c>
      <c r="F464" s="0" t="n">
        <f aca="false">RawFinancials!B464</f>
        <v>541415</v>
      </c>
      <c r="G464" s="0" t="n">
        <f aca="false">RawFinancials!U464</f>
        <v>0</v>
      </c>
      <c r="H464" s="0" t="n">
        <f aca="false">RawFinancials!O464</f>
        <v>1045</v>
      </c>
      <c r="I464" s="0" t="n">
        <f aca="false">IF(AND(ISNUMBER(G464),ISNUMBER(H464)),G464+H464,"")</f>
        <v>1045</v>
      </c>
      <c r="J464" s="0" t="n">
        <f aca="false">RawFinancials!D464</f>
        <v>385991</v>
      </c>
      <c r="K464" s="0" t="n">
        <f aca="false">RawFinancials!F464</f>
        <v>64777</v>
      </c>
      <c r="L464" s="0" t="n">
        <f aca="false">RawFinancials!L464</f>
        <v>453279</v>
      </c>
      <c r="M464" s="0" t="n">
        <f aca="false">RawFinancials!N464</f>
        <v>390846</v>
      </c>
      <c r="N464" s="13" t="n">
        <f aca="false">RawFinancials!X464</f>
        <v>-0.393235899037422</v>
      </c>
      <c r="O464" s="13" t="n">
        <f aca="false">RawFinancials!V464</f>
        <v>21.0236173119163</v>
      </c>
      <c r="P464" s="13" t="n">
        <f aca="false">IF(AND(ISNUMBER(L464),L464&lt;&gt;0,ISNUMBER(M464)),100*M464/L464,"")</f>
        <v>86.2263638950845</v>
      </c>
      <c r="Q464" s="13" t="n">
        <f aca="false">IF(AND(ISNUMBER(F464),F464&lt;&gt;0,ISNUMBER(K464)),100*K464/F464,"")</f>
        <v>11.9643896087105</v>
      </c>
      <c r="R464" s="11" t="b">
        <f aca="false">AND(ISNUMBER(F464),F464&gt;0,ISNUMBER(G464),G464&gt;=0,ISNUMBER(H464),H464&gt;=0)</f>
        <v>1</v>
      </c>
      <c r="S464" s="13" t="n">
        <f aca="false">IF(R464,100*I464/F464,"")</f>
        <v>0.193012753617835</v>
      </c>
      <c r="T464" s="11" t="b">
        <f aca="false">NOT(AND(OR(AND(ISBLANK(RawFinancials!B464),ISBLANK(_RawBaseline!B461)),AND(ISNUMBER(RawFinancials!B464),ISNUMBER(_RawBaseline!B461),RawFinancials!B464=_RawBaseline!B461)),OR(AND(ISBLANK(RawFinancials!U464),ISBLANK(_RawBaseline!U461)),AND(ISNUMBER(RawFinancials!U464),ISNUMBER(_RawBaseline!U461),RawFinancials!U464=_RawBaseline!U461)),OR(AND(ISBLANK(RawFinancials!O464),ISBLANK(_RawBaseline!O461)),AND(ISNUMBER(RawFinancials!O464),ISNUMBER(_RawBaseline!O461),RawFinancials!O464=_RawBaseline!O461))))</f>
        <v>0</v>
      </c>
      <c r="U464" s="13" t="n">
        <f aca="false">IF(AND(D464=WF_START_PERIOD,R464,COUNTIFS($B$5:$B$750,B464,$D$5:$D$750,WF_END_PERIOD,$R$5:$R$750,TRUE())&gt;0),SUMIFS($S$5:$S$750,$B$5:$B$750,B464,$D$5:$D$750,WF_END_PERIOD,$R$5:$R$750,TRUE()),0)</f>
        <v>0</v>
      </c>
      <c r="V464" s="0" t="str">
        <f aca="false">IF(AND(D464=WF_START_PERIOD,COUNTIFS($B$5:$B$750,B464,$D$5:$D$750,WF_END_PERIOD)&gt;0),INDEX($E$5:$E$750,MATCH(B464&amp;"|"&amp;WF_END_PERIOD,$AC$5:$AC$750,0)),"")</f>
        <v/>
      </c>
      <c r="W464" s="11" t="b">
        <f aca="false">COUNTIFS($B$5:$B$750,B464,$D$5:$D$750,WF_START_PERIOD,$R$5:$R$750,TRUE())&gt;0</f>
        <v>1</v>
      </c>
      <c r="X464" s="11" t="b">
        <f aca="false">COUNTIFS($B$5:$B$750,B464,$D$5:$D$750,WF_END_PERIOD,$R$5:$R$750,TRUE())&gt;0</f>
        <v>1</v>
      </c>
      <c r="Y464" s="0" t="str">
        <f aca="false">IF(AND(D464=WF_END_PERIOD,COUNTIFS($B$5:$B$750,B464,$D$5:$D$750,WF_START_PERIOD)&gt;0),INDEX($E$5:$E$750,MATCH(B464&amp;"|"&amp;WF_START_PERIOD,$AC$5:$AC$750,0)),"")</f>
        <v/>
      </c>
      <c r="Z464" s="0" t="str">
        <f aca="false">IF(AND(D464=WF_END_PERIOD,R464),1+COUNTIFS($D$5:$D$750,WF_END_PERIOD,$E$5:$E$750,E464,$R$5:$R$750,TRUE(),$S$5:$S$750,"&gt;"&amp;S464)+COUNTIFS($D$5:$D$750,WF_END_PERIOD,$E$5:$E$750,E464,$R$5:$R$750,TRUE(),$S$5:$S$750,S464,$B$5:$B$750,"&lt;"&amp;B464),"")</f>
        <v/>
      </c>
      <c r="AA464" s="0" t="str">
        <f aca="false">IF(AND(D464=WF_END_PERIOD,R464,Z464&lt;&gt;1),1+COUNTIFS($D$5:$D$750,WF_END_PERIOD,$R$5:$R$750,TRUE(),$Z$5:$Z$750,"&lt;&gt;1",$S$5:$S$750,"&gt;"&amp;S464)+COUNTIFS($D$5:$D$750,WF_END_PERIOD,$R$5:$R$750,TRUE(),$Z$5:$Z$750,"&lt;&gt;1",$S$5:$S$750,S464,$B$5:$B$750,"&lt;"&amp;B464),"")</f>
        <v/>
      </c>
      <c r="AB464" s="11" t="b">
        <f aca="false">OR(D464=WF_START_PERIOD,D464=WF_END_PERIOD)</f>
        <v>0</v>
      </c>
      <c r="AC464" s="0" t="str">
        <f aca="false">B464&amp;"|"&amp;D464</f>
        <v>27824|20240331</v>
      </c>
    </row>
    <row r="465" customFormat="false" ht="15" hidden="false" customHeight="false" outlineLevel="0" collapsed="false">
      <c r="A465" s="0" t="n">
        <f aca="false">RawFinancials!A465</f>
        <v>462</v>
      </c>
      <c r="B465" s="0" t="n">
        <f aca="false">RawFinancials!C465</f>
        <v>28155</v>
      </c>
      <c r="C465" s="0" t="str">
        <f aca="false">RawFinancials!P465</f>
        <v>PROFILE BANK</v>
      </c>
      <c r="D465" s="0" t="n">
        <f aca="false">RawFinancials!W465</f>
        <v>20240331</v>
      </c>
      <c r="E465" s="0" t="str">
        <f aca="false">RawFinancials!Z465</f>
        <v>NH</v>
      </c>
      <c r="F465" s="0" t="n">
        <f aca="false">RawFinancials!B465</f>
        <v>297031</v>
      </c>
      <c r="G465" s="0" t="n">
        <f aca="false">RawFinancials!U465</f>
        <v>0</v>
      </c>
      <c r="H465" s="0" t="n">
        <f aca="false">RawFinancials!O465</f>
        <v>130</v>
      </c>
      <c r="I465" s="0" t="n">
        <f aca="false">IF(AND(ISNUMBER(G465),ISNUMBER(H465)),G465+H465,"")</f>
        <v>130</v>
      </c>
      <c r="J465" s="0" t="n">
        <f aca="false">RawFinancials!D465</f>
        <v>249108</v>
      </c>
      <c r="K465" s="0" t="n">
        <f aca="false">RawFinancials!F465</f>
        <v>27388</v>
      </c>
      <c r="L465" s="0" t="n">
        <f aca="false">RawFinancials!L465</f>
        <v>166779</v>
      </c>
      <c r="M465" s="0" t="n">
        <f aca="false">RawFinancials!N465</f>
        <v>149746</v>
      </c>
      <c r="N465" s="13" t="n">
        <f aca="false">RawFinancials!X465</f>
        <v>-0.0455333766346817</v>
      </c>
      <c r="O465" s="13" t="n">
        <f aca="false">RawFinancials!V465</f>
        <v>17.7250205933339</v>
      </c>
      <c r="P465" s="13" t="n">
        <f aca="false">IF(AND(ISNUMBER(L465),L465&lt;&gt;0,ISNUMBER(M465)),100*M465/L465,"")</f>
        <v>89.7870835057172</v>
      </c>
      <c r="Q465" s="13" t="n">
        <f aca="false">IF(AND(ISNUMBER(F465),F465&lt;&gt;0,ISNUMBER(K465)),100*K465/F465,"")</f>
        <v>9.22058640343937</v>
      </c>
      <c r="R465" s="11" t="b">
        <f aca="false">AND(ISNUMBER(F465),F465&gt;0,ISNUMBER(G465),G465&gt;=0,ISNUMBER(H465),H465&gt;=0)</f>
        <v>1</v>
      </c>
      <c r="S465" s="13" t="n">
        <f aca="false">IF(R465,100*I465/F465,"")</f>
        <v>0.0437664755530568</v>
      </c>
      <c r="T465" s="11" t="b">
        <f aca="false">NOT(AND(OR(AND(ISBLANK(RawFinancials!B465),ISBLANK(_RawBaseline!B462)),AND(ISNUMBER(RawFinancials!B465),ISNUMBER(_RawBaseline!B462),RawFinancials!B465=_RawBaseline!B462)),OR(AND(ISBLANK(RawFinancials!U465),ISBLANK(_RawBaseline!U462)),AND(ISNUMBER(RawFinancials!U465),ISNUMBER(_RawBaseline!U462),RawFinancials!U465=_RawBaseline!U462)),OR(AND(ISBLANK(RawFinancials!O465),ISBLANK(_RawBaseline!O462)),AND(ISNUMBER(RawFinancials!O465),ISNUMBER(_RawBaseline!O462),RawFinancials!O465=_RawBaseline!O462))))</f>
        <v>0</v>
      </c>
      <c r="U465" s="13" t="n">
        <f aca="false">IF(AND(D465=WF_START_PERIOD,R465,COUNTIFS($B$5:$B$750,B465,$D$5:$D$750,WF_END_PERIOD,$R$5:$R$750,TRUE())&gt;0),SUMIFS($S$5:$S$750,$B$5:$B$750,B465,$D$5:$D$750,WF_END_PERIOD,$R$5:$R$750,TRUE()),0)</f>
        <v>0</v>
      </c>
      <c r="V465" s="0" t="str">
        <f aca="false">IF(AND(D465=WF_START_PERIOD,COUNTIFS($B$5:$B$750,B465,$D$5:$D$750,WF_END_PERIOD)&gt;0),INDEX($E$5:$E$750,MATCH(B465&amp;"|"&amp;WF_END_PERIOD,$AC$5:$AC$750,0)),"")</f>
        <v/>
      </c>
      <c r="W465" s="11" t="b">
        <f aca="false">COUNTIFS($B$5:$B$750,B465,$D$5:$D$750,WF_START_PERIOD,$R$5:$R$750,TRUE())&gt;0</f>
        <v>1</v>
      </c>
      <c r="X465" s="11" t="b">
        <f aca="false">COUNTIFS($B$5:$B$750,B465,$D$5:$D$750,WF_END_PERIOD,$R$5:$R$750,TRUE())&gt;0</f>
        <v>1</v>
      </c>
      <c r="Y465" s="0" t="str">
        <f aca="false">IF(AND(D465=WF_END_PERIOD,COUNTIFS($B$5:$B$750,B465,$D$5:$D$750,WF_START_PERIOD)&gt;0),INDEX($E$5:$E$750,MATCH(B465&amp;"|"&amp;WF_START_PERIOD,$AC$5:$AC$750,0)),"")</f>
        <v/>
      </c>
      <c r="Z465" s="0" t="str">
        <f aca="false">IF(AND(D465=WF_END_PERIOD,R465),1+COUNTIFS($D$5:$D$750,WF_END_PERIOD,$E$5:$E$750,E465,$R$5:$R$750,TRUE(),$S$5:$S$750,"&gt;"&amp;S465)+COUNTIFS($D$5:$D$750,WF_END_PERIOD,$E$5:$E$750,E465,$R$5:$R$750,TRUE(),$S$5:$S$750,S465,$B$5:$B$750,"&lt;"&amp;B465),"")</f>
        <v/>
      </c>
      <c r="AA465" s="0" t="str">
        <f aca="false">IF(AND(D465=WF_END_PERIOD,R465,Z465&lt;&gt;1),1+COUNTIFS($D$5:$D$750,WF_END_PERIOD,$R$5:$R$750,TRUE(),$Z$5:$Z$750,"&lt;&gt;1",$S$5:$S$750,"&gt;"&amp;S465)+COUNTIFS($D$5:$D$750,WF_END_PERIOD,$R$5:$R$750,TRUE(),$Z$5:$Z$750,"&lt;&gt;1",$S$5:$S$750,S465,$B$5:$B$750,"&lt;"&amp;B465),"")</f>
        <v/>
      </c>
      <c r="AB465" s="11" t="b">
        <f aca="false">OR(D465=WF_START_PERIOD,D465=WF_END_PERIOD)</f>
        <v>0</v>
      </c>
      <c r="AC465" s="0" t="str">
        <f aca="false">B465&amp;"|"&amp;D465</f>
        <v>28155|20240331</v>
      </c>
    </row>
    <row r="466" customFormat="false" ht="15" hidden="false" customHeight="false" outlineLevel="0" collapsed="false">
      <c r="A466" s="0" t="n">
        <f aca="false">RawFinancials!A466</f>
        <v>463</v>
      </c>
      <c r="B466" s="0" t="n">
        <f aca="false">RawFinancials!C466</f>
        <v>28288</v>
      </c>
      <c r="C466" s="0" t="str">
        <f aca="false">RawFinancials!P466</f>
        <v>AUBURN SAVINGS BANK, FSB</v>
      </c>
      <c r="D466" s="0" t="n">
        <f aca="false">RawFinancials!W466</f>
        <v>20240331</v>
      </c>
      <c r="E466" s="0" t="str">
        <f aca="false">RawFinancials!Z466</f>
        <v>ME</v>
      </c>
      <c r="F466" s="0" t="n">
        <f aca="false">RawFinancials!B466</f>
        <v>103458</v>
      </c>
      <c r="G466" s="0" t="n">
        <f aca="false">RawFinancials!U466</f>
        <v>0</v>
      </c>
      <c r="H466" s="0" t="n">
        <f aca="false">RawFinancials!O466</f>
        <v>254</v>
      </c>
      <c r="I466" s="0" t="n">
        <f aca="false">IF(AND(ISNUMBER(G466),ISNUMBER(H466)),G466+H466,"")</f>
        <v>254</v>
      </c>
      <c r="J466" s="0" t="n">
        <f aca="false">RawFinancials!D466</f>
        <v>74972</v>
      </c>
      <c r="K466" s="0" t="n">
        <f aca="false">RawFinancials!F466</f>
        <v>5859</v>
      </c>
      <c r="L466" s="0" t="n">
        <f aca="false">RawFinancials!L466</f>
        <v>83770</v>
      </c>
      <c r="M466" s="0" t="n">
        <f aca="false">RawFinancials!N466</f>
        <v>75913</v>
      </c>
      <c r="N466" s="13" t="n">
        <f aca="false">RawFinancials!X466</f>
        <v>0.0727721895332526</v>
      </c>
      <c r="O466" s="13" t="n">
        <f aca="false">RawFinancials!V466</f>
        <v>13.7396501276225</v>
      </c>
      <c r="P466" s="13" t="n">
        <f aca="false">IF(AND(ISNUMBER(L466),L466&lt;&gt;0,ISNUMBER(M466)),100*M466/L466,"")</f>
        <v>90.6207472842306</v>
      </c>
      <c r="Q466" s="13" t="n">
        <f aca="false">IF(AND(ISNUMBER(F466),F466&lt;&gt;0,ISNUMBER(K466)),100*K466/F466,"")</f>
        <v>5.66316766223975</v>
      </c>
      <c r="R466" s="11" t="b">
        <f aca="false">AND(ISNUMBER(F466),F466&gt;0,ISNUMBER(G466),G466&gt;=0,ISNUMBER(H466),H466&gt;=0)</f>
        <v>1</v>
      </c>
      <c r="S466" s="13" t="n">
        <f aca="false">IF(R466,100*I466/F466,"")</f>
        <v>0.245510255369329</v>
      </c>
      <c r="T466" s="11" t="b">
        <f aca="false">NOT(AND(OR(AND(ISBLANK(RawFinancials!B466),ISBLANK(_RawBaseline!B463)),AND(ISNUMBER(RawFinancials!B466),ISNUMBER(_RawBaseline!B463),RawFinancials!B466=_RawBaseline!B463)),OR(AND(ISBLANK(RawFinancials!U466),ISBLANK(_RawBaseline!U463)),AND(ISNUMBER(RawFinancials!U466),ISNUMBER(_RawBaseline!U463),RawFinancials!U466=_RawBaseline!U463)),OR(AND(ISBLANK(RawFinancials!O466),ISBLANK(_RawBaseline!O463)),AND(ISNUMBER(RawFinancials!O466),ISNUMBER(_RawBaseline!O463),RawFinancials!O466=_RawBaseline!O463))))</f>
        <v>0</v>
      </c>
      <c r="U466" s="13" t="n">
        <f aca="false">IF(AND(D466=WF_START_PERIOD,R466,COUNTIFS($B$5:$B$750,B466,$D$5:$D$750,WF_END_PERIOD,$R$5:$R$750,TRUE())&gt;0),SUMIFS($S$5:$S$750,$B$5:$B$750,B466,$D$5:$D$750,WF_END_PERIOD,$R$5:$R$750,TRUE()),0)</f>
        <v>0</v>
      </c>
      <c r="V466" s="0" t="str">
        <f aca="false">IF(AND(D466=WF_START_PERIOD,COUNTIFS($B$5:$B$750,B466,$D$5:$D$750,WF_END_PERIOD)&gt;0),INDEX($E$5:$E$750,MATCH(B466&amp;"|"&amp;WF_END_PERIOD,$AC$5:$AC$750,0)),"")</f>
        <v/>
      </c>
      <c r="W466" s="11" t="b">
        <f aca="false">COUNTIFS($B$5:$B$750,B466,$D$5:$D$750,WF_START_PERIOD,$R$5:$R$750,TRUE())&gt;0</f>
        <v>1</v>
      </c>
      <c r="X466" s="11" t="b">
        <f aca="false">COUNTIFS($B$5:$B$750,B466,$D$5:$D$750,WF_END_PERIOD,$R$5:$R$750,TRUE())&gt;0</f>
        <v>1</v>
      </c>
      <c r="Y466" s="0" t="str">
        <f aca="false">IF(AND(D466=WF_END_PERIOD,COUNTIFS($B$5:$B$750,B466,$D$5:$D$750,WF_START_PERIOD)&gt;0),INDEX($E$5:$E$750,MATCH(B466&amp;"|"&amp;WF_START_PERIOD,$AC$5:$AC$750,0)),"")</f>
        <v/>
      </c>
      <c r="Z466" s="0" t="str">
        <f aca="false">IF(AND(D466=WF_END_PERIOD,R466),1+COUNTIFS($D$5:$D$750,WF_END_PERIOD,$E$5:$E$750,E466,$R$5:$R$750,TRUE(),$S$5:$S$750,"&gt;"&amp;S466)+COUNTIFS($D$5:$D$750,WF_END_PERIOD,$E$5:$E$750,E466,$R$5:$R$750,TRUE(),$S$5:$S$750,S466,$B$5:$B$750,"&lt;"&amp;B466),"")</f>
        <v/>
      </c>
      <c r="AA466" s="0" t="str">
        <f aca="false">IF(AND(D466=WF_END_PERIOD,R466,Z466&lt;&gt;1),1+COUNTIFS($D$5:$D$750,WF_END_PERIOD,$R$5:$R$750,TRUE(),$Z$5:$Z$750,"&lt;&gt;1",$S$5:$S$750,"&gt;"&amp;S466)+COUNTIFS($D$5:$D$750,WF_END_PERIOD,$R$5:$R$750,TRUE(),$Z$5:$Z$750,"&lt;&gt;1",$S$5:$S$750,S466,$B$5:$B$750,"&lt;"&amp;B466),"")</f>
        <v/>
      </c>
      <c r="AB466" s="11" t="b">
        <f aca="false">OR(D466=WF_START_PERIOD,D466=WF_END_PERIOD)</f>
        <v>0</v>
      </c>
      <c r="AC466" s="0" t="str">
        <f aca="false">B466&amp;"|"&amp;D466</f>
        <v>28288|20240331</v>
      </c>
    </row>
    <row r="467" customFormat="false" ht="15" hidden="false" customHeight="false" outlineLevel="0" collapsed="false">
      <c r="A467" s="0" t="n">
        <f aca="false">RawFinancials!A467</f>
        <v>464</v>
      </c>
      <c r="B467" s="0" t="n">
        <f aca="false">RawFinancials!C467</f>
        <v>28369</v>
      </c>
      <c r="C467" s="0" t="str">
        <f aca="false">RawFinancials!P467</f>
        <v>ROCKLAND SAVINGS BANK, FSB</v>
      </c>
      <c r="D467" s="0" t="n">
        <f aca="false">RawFinancials!W467</f>
        <v>20240331</v>
      </c>
      <c r="E467" s="0" t="str">
        <f aca="false">RawFinancials!Z467</f>
        <v>ME</v>
      </c>
      <c r="F467" s="0" t="n">
        <f aca="false">RawFinancials!B467</f>
        <v>95113</v>
      </c>
      <c r="G467" s="0" t="n">
        <f aca="false">RawFinancials!U467</f>
        <v>0</v>
      </c>
      <c r="H467" s="0" t="n">
        <f aca="false">RawFinancials!O467</f>
        <v>174</v>
      </c>
      <c r="I467" s="0" t="n">
        <f aca="false">IF(AND(ISNUMBER(G467),ISNUMBER(H467)),G467+H467,"")</f>
        <v>174</v>
      </c>
      <c r="J467" s="0" t="n">
        <f aca="false">RawFinancials!D467</f>
        <v>75369</v>
      </c>
      <c r="K467" s="0" t="n">
        <f aca="false">RawFinancials!F467</f>
        <v>9266</v>
      </c>
      <c r="L467" s="0" t="n">
        <f aca="false">RawFinancials!L467</f>
        <v>80819</v>
      </c>
      <c r="M467" s="0" t="n">
        <f aca="false">RawFinancials!N467</f>
        <v>67466</v>
      </c>
      <c r="N467" s="13" t="n">
        <f aca="false">RawFinancials!X467</f>
        <v>-0.355442716597905</v>
      </c>
      <c r="O467" s="13" t="n">
        <f aca="false">RawFinancials!V467</f>
        <v>13.8289808112487</v>
      </c>
      <c r="P467" s="13" t="n">
        <f aca="false">IF(AND(ISNUMBER(L467),L467&lt;&gt;0,ISNUMBER(M467)),100*M467/L467,"")</f>
        <v>83.4778950494314</v>
      </c>
      <c r="Q467" s="13" t="n">
        <f aca="false">IF(AND(ISNUMBER(F467),F467&lt;&gt;0,ISNUMBER(K467)),100*K467/F467,"")</f>
        <v>9.74209624341573</v>
      </c>
      <c r="R467" s="11" t="b">
        <f aca="false">AND(ISNUMBER(F467),F467&gt;0,ISNUMBER(G467),G467&gt;=0,ISNUMBER(H467),H467&gt;=0)</f>
        <v>1</v>
      </c>
      <c r="S467" s="13" t="n">
        <f aca="false">IF(R467,100*I467/F467,"")</f>
        <v>0.182940292073639</v>
      </c>
      <c r="T467" s="11" t="b">
        <f aca="false">NOT(AND(OR(AND(ISBLANK(RawFinancials!B467),ISBLANK(_RawBaseline!B464)),AND(ISNUMBER(RawFinancials!B467),ISNUMBER(_RawBaseline!B464),RawFinancials!B467=_RawBaseline!B464)),OR(AND(ISBLANK(RawFinancials!U467),ISBLANK(_RawBaseline!U464)),AND(ISNUMBER(RawFinancials!U467),ISNUMBER(_RawBaseline!U464),RawFinancials!U467=_RawBaseline!U464)),OR(AND(ISBLANK(RawFinancials!O467),ISBLANK(_RawBaseline!O464)),AND(ISNUMBER(RawFinancials!O467),ISNUMBER(_RawBaseline!O464),RawFinancials!O467=_RawBaseline!O464))))</f>
        <v>0</v>
      </c>
      <c r="U467" s="13" t="n">
        <f aca="false">IF(AND(D467=WF_START_PERIOD,R467,COUNTIFS($B$5:$B$750,B467,$D$5:$D$750,WF_END_PERIOD,$R$5:$R$750,TRUE())&gt;0),SUMIFS($S$5:$S$750,$B$5:$B$750,B467,$D$5:$D$750,WF_END_PERIOD,$R$5:$R$750,TRUE()),0)</f>
        <v>0</v>
      </c>
      <c r="V467" s="0" t="str">
        <f aca="false">IF(AND(D467=WF_START_PERIOD,COUNTIFS($B$5:$B$750,B467,$D$5:$D$750,WF_END_PERIOD)&gt;0),INDEX($E$5:$E$750,MATCH(B467&amp;"|"&amp;WF_END_PERIOD,$AC$5:$AC$750,0)),"")</f>
        <v/>
      </c>
      <c r="W467" s="11" t="b">
        <f aca="false">COUNTIFS($B$5:$B$750,B467,$D$5:$D$750,WF_START_PERIOD,$R$5:$R$750,TRUE())&gt;0</f>
        <v>1</v>
      </c>
      <c r="X467" s="11" t="b">
        <f aca="false">COUNTIFS($B$5:$B$750,B467,$D$5:$D$750,WF_END_PERIOD,$R$5:$R$750,TRUE())&gt;0</f>
        <v>1</v>
      </c>
      <c r="Y467" s="0" t="str">
        <f aca="false">IF(AND(D467=WF_END_PERIOD,COUNTIFS($B$5:$B$750,B467,$D$5:$D$750,WF_START_PERIOD)&gt;0),INDEX($E$5:$E$750,MATCH(B467&amp;"|"&amp;WF_START_PERIOD,$AC$5:$AC$750,0)),"")</f>
        <v/>
      </c>
      <c r="Z467" s="0" t="str">
        <f aca="false">IF(AND(D467=WF_END_PERIOD,R467),1+COUNTIFS($D$5:$D$750,WF_END_PERIOD,$E$5:$E$750,E467,$R$5:$R$750,TRUE(),$S$5:$S$750,"&gt;"&amp;S467)+COUNTIFS($D$5:$D$750,WF_END_PERIOD,$E$5:$E$750,E467,$R$5:$R$750,TRUE(),$S$5:$S$750,S467,$B$5:$B$750,"&lt;"&amp;B467),"")</f>
        <v/>
      </c>
      <c r="AA467" s="0" t="str">
        <f aca="false">IF(AND(D467=WF_END_PERIOD,R467,Z467&lt;&gt;1),1+COUNTIFS($D$5:$D$750,WF_END_PERIOD,$R$5:$R$750,TRUE(),$Z$5:$Z$750,"&lt;&gt;1",$S$5:$S$750,"&gt;"&amp;S467)+COUNTIFS($D$5:$D$750,WF_END_PERIOD,$R$5:$R$750,TRUE(),$Z$5:$Z$750,"&lt;&gt;1",$S$5:$S$750,S467,$B$5:$B$750,"&lt;"&amp;B467),"")</f>
        <v/>
      </c>
      <c r="AB467" s="11" t="b">
        <f aca="false">OR(D467=WF_START_PERIOD,D467=WF_END_PERIOD)</f>
        <v>0</v>
      </c>
      <c r="AC467" s="0" t="str">
        <f aca="false">B467&amp;"|"&amp;D467</f>
        <v>28369|20240331</v>
      </c>
    </row>
    <row r="468" customFormat="false" ht="15" hidden="false" customHeight="false" outlineLevel="0" collapsed="false">
      <c r="A468" s="0" t="n">
        <f aca="false">RawFinancials!A468</f>
        <v>465</v>
      </c>
      <c r="B468" s="0" t="n">
        <f aca="false">RawFinancials!C468</f>
        <v>28837</v>
      </c>
      <c r="C468" s="0" t="str">
        <f aca="false">RawFinancials!P468</f>
        <v>THE BRATTLEBORO SAVINGS AND LOAN ASSOCIATION</v>
      </c>
      <c r="D468" s="0" t="n">
        <f aca="false">RawFinancials!W468</f>
        <v>20240331</v>
      </c>
      <c r="E468" s="0" t="str">
        <f aca="false">RawFinancials!Z468</f>
        <v>VT</v>
      </c>
      <c r="F468" s="0" t="n">
        <f aca="false">RawFinancials!B468</f>
        <v>280957</v>
      </c>
      <c r="G468" s="0" t="n">
        <f aca="false">RawFinancials!U468</f>
        <v>38</v>
      </c>
      <c r="H468" s="0" t="n">
        <f aca="false">RawFinancials!O468</f>
        <v>89</v>
      </c>
      <c r="I468" s="0" t="n">
        <f aca="false">IF(AND(ISNUMBER(G468),ISNUMBER(H468)),G468+H468,"")</f>
        <v>127</v>
      </c>
      <c r="J468" s="0" t="n">
        <f aca="false">RawFinancials!D468</f>
        <v>251772</v>
      </c>
      <c r="K468" s="0" t="n">
        <f aca="false">RawFinancials!F468</f>
        <v>26570</v>
      </c>
      <c r="L468" s="0" t="n">
        <f aca="false">RawFinancials!L468</f>
        <v>197084</v>
      </c>
      <c r="M468" s="0" t="n">
        <f aca="false">RawFinancials!N468</f>
        <v>188594</v>
      </c>
      <c r="N468" s="13" t="n">
        <f aca="false">RawFinancials!X468</f>
        <v>0.73901109576411</v>
      </c>
      <c r="O468" s="13" t="n">
        <f aca="false">RawFinancials!V468</f>
        <v>16.8987480781902</v>
      </c>
      <c r="P468" s="13" t="n">
        <f aca="false">IF(AND(ISNUMBER(L468),L468&lt;&gt;0,ISNUMBER(M468)),100*M468/L468,"")</f>
        <v>95.6921921617178</v>
      </c>
      <c r="Q468" s="13" t="n">
        <f aca="false">IF(AND(ISNUMBER(F468),F468&lt;&gt;0,ISNUMBER(K468)),100*K468/F468,"")</f>
        <v>9.45696316518186</v>
      </c>
      <c r="R468" s="11" t="b">
        <f aca="false">AND(ISNUMBER(F468),F468&gt;0,ISNUMBER(G468),G468&gt;=0,ISNUMBER(H468),H468&gt;=0)</f>
        <v>1</v>
      </c>
      <c r="S468" s="13" t="n">
        <f aca="false">IF(R468,100*I468/F468,"")</f>
        <v>0.0452026466683514</v>
      </c>
      <c r="T468" s="11" t="b">
        <f aca="false">NOT(AND(OR(AND(ISBLANK(RawFinancials!B468),ISBLANK(_RawBaseline!B465)),AND(ISNUMBER(RawFinancials!B468),ISNUMBER(_RawBaseline!B465),RawFinancials!B468=_RawBaseline!B465)),OR(AND(ISBLANK(RawFinancials!U468),ISBLANK(_RawBaseline!U465)),AND(ISNUMBER(RawFinancials!U468),ISNUMBER(_RawBaseline!U465),RawFinancials!U468=_RawBaseline!U465)),OR(AND(ISBLANK(RawFinancials!O468),ISBLANK(_RawBaseline!O465)),AND(ISNUMBER(RawFinancials!O468),ISNUMBER(_RawBaseline!O465),RawFinancials!O468=_RawBaseline!O465))))</f>
        <v>0</v>
      </c>
      <c r="U468" s="13" t="n">
        <f aca="false">IF(AND(D468=WF_START_PERIOD,R468,COUNTIFS($B$5:$B$750,B468,$D$5:$D$750,WF_END_PERIOD,$R$5:$R$750,TRUE())&gt;0),SUMIFS($S$5:$S$750,$B$5:$B$750,B468,$D$5:$D$750,WF_END_PERIOD,$R$5:$R$750,TRUE()),0)</f>
        <v>0</v>
      </c>
      <c r="V468" s="0" t="str">
        <f aca="false">IF(AND(D468=WF_START_PERIOD,COUNTIFS($B$5:$B$750,B468,$D$5:$D$750,WF_END_PERIOD)&gt;0),INDEX($E$5:$E$750,MATCH(B468&amp;"|"&amp;WF_END_PERIOD,$AC$5:$AC$750,0)),"")</f>
        <v/>
      </c>
      <c r="W468" s="11" t="b">
        <f aca="false">COUNTIFS($B$5:$B$750,B468,$D$5:$D$750,WF_START_PERIOD,$R$5:$R$750,TRUE())&gt;0</f>
        <v>1</v>
      </c>
      <c r="X468" s="11" t="b">
        <f aca="false">COUNTIFS($B$5:$B$750,B468,$D$5:$D$750,WF_END_PERIOD,$R$5:$R$750,TRUE())&gt;0</f>
        <v>1</v>
      </c>
      <c r="Y468" s="0" t="str">
        <f aca="false">IF(AND(D468=WF_END_PERIOD,COUNTIFS($B$5:$B$750,B468,$D$5:$D$750,WF_START_PERIOD)&gt;0),INDEX($E$5:$E$750,MATCH(B468&amp;"|"&amp;WF_START_PERIOD,$AC$5:$AC$750,0)),"")</f>
        <v/>
      </c>
      <c r="Z468" s="0" t="str">
        <f aca="false">IF(AND(D468=WF_END_PERIOD,R468),1+COUNTIFS($D$5:$D$750,WF_END_PERIOD,$E$5:$E$750,E468,$R$5:$R$750,TRUE(),$S$5:$S$750,"&gt;"&amp;S468)+COUNTIFS($D$5:$D$750,WF_END_PERIOD,$E$5:$E$750,E468,$R$5:$R$750,TRUE(),$S$5:$S$750,S468,$B$5:$B$750,"&lt;"&amp;B468),"")</f>
        <v/>
      </c>
      <c r="AA468" s="0" t="str">
        <f aca="false">IF(AND(D468=WF_END_PERIOD,R468,Z468&lt;&gt;1),1+COUNTIFS($D$5:$D$750,WF_END_PERIOD,$R$5:$R$750,TRUE(),$Z$5:$Z$750,"&lt;&gt;1",$S$5:$S$750,"&gt;"&amp;S468)+COUNTIFS($D$5:$D$750,WF_END_PERIOD,$R$5:$R$750,TRUE(),$Z$5:$Z$750,"&lt;&gt;1",$S$5:$S$750,S468,$B$5:$B$750,"&lt;"&amp;B468),"")</f>
        <v/>
      </c>
      <c r="AB468" s="11" t="b">
        <f aca="false">OR(D468=WF_START_PERIOD,D468=WF_END_PERIOD)</f>
        <v>0</v>
      </c>
      <c r="AC468" s="0" t="str">
        <f aca="false">B468&amp;"|"&amp;D468</f>
        <v>28837|20240331</v>
      </c>
    </row>
    <row r="469" customFormat="false" ht="15" hidden="false" customHeight="false" outlineLevel="0" collapsed="false">
      <c r="A469" s="0" t="n">
        <f aca="false">RawFinancials!A469</f>
        <v>466</v>
      </c>
      <c r="B469" s="0" t="n">
        <f aca="false">RawFinancials!C469</f>
        <v>29636</v>
      </c>
      <c r="C469" s="0" t="str">
        <f aca="false">RawFinancials!P469</f>
        <v>FIRST FEDERAL SAVINGS AND LOAN ASSOCIATION OF BATH</v>
      </c>
      <c r="D469" s="0" t="n">
        <f aca="false">RawFinancials!W469</f>
        <v>20240331</v>
      </c>
      <c r="E469" s="0" t="str">
        <f aca="false">RawFinancials!Z469</f>
        <v>ME</v>
      </c>
      <c r="F469" s="0" t="n">
        <f aca="false">RawFinancials!B469</f>
        <v>178210</v>
      </c>
      <c r="G469" s="0" t="n">
        <f aca="false">RawFinancials!U469</f>
        <v>0</v>
      </c>
      <c r="H469" s="0" t="n">
        <f aca="false">RawFinancials!O469</f>
        <v>899</v>
      </c>
      <c r="I469" s="0" t="n">
        <f aca="false">IF(AND(ISNUMBER(G469),ISNUMBER(H469)),G469+H469,"")</f>
        <v>899</v>
      </c>
      <c r="J469" s="0" t="n">
        <f aca="false">RawFinancials!D469</f>
        <v>137138</v>
      </c>
      <c r="K469" s="0" t="n">
        <f aca="false">RawFinancials!F469</f>
        <v>25969</v>
      </c>
      <c r="L469" s="0" t="n">
        <f aca="false">RawFinancials!L469</f>
        <v>135540</v>
      </c>
      <c r="M469" s="0" t="n">
        <f aca="false">RawFinancials!N469</f>
        <v>132513</v>
      </c>
      <c r="N469" s="13" t="n">
        <f aca="false">RawFinancials!X469</f>
        <v>0.311180386680808</v>
      </c>
      <c r="O469" s="13" t="n">
        <f aca="false">RawFinancials!V469</f>
        <v>27.410238197661</v>
      </c>
      <c r="P469" s="13" t="n">
        <f aca="false">IF(AND(ISNUMBER(L469),L469&lt;&gt;0,ISNUMBER(M469)),100*M469/L469,"")</f>
        <v>97.7667109340416</v>
      </c>
      <c r="Q469" s="13" t="n">
        <f aca="false">IF(AND(ISNUMBER(F469),F469&lt;&gt;0,ISNUMBER(K469)),100*K469/F469,"")</f>
        <v>14.5721339992144</v>
      </c>
      <c r="R469" s="11" t="b">
        <f aca="false">AND(ISNUMBER(F469),F469&gt;0,ISNUMBER(G469),G469&gt;=0,ISNUMBER(H469),H469&gt;=0)</f>
        <v>1</v>
      </c>
      <c r="S469" s="13" t="n">
        <f aca="false">IF(R469,100*I469/F469,"")</f>
        <v>0.504461029122945</v>
      </c>
      <c r="T469" s="11" t="b">
        <f aca="false">NOT(AND(OR(AND(ISBLANK(RawFinancials!B469),ISBLANK(_RawBaseline!B466)),AND(ISNUMBER(RawFinancials!B469),ISNUMBER(_RawBaseline!B466),RawFinancials!B469=_RawBaseline!B466)),OR(AND(ISBLANK(RawFinancials!U469),ISBLANK(_RawBaseline!U466)),AND(ISNUMBER(RawFinancials!U469),ISNUMBER(_RawBaseline!U466),RawFinancials!U469=_RawBaseline!U466)),OR(AND(ISBLANK(RawFinancials!O469),ISBLANK(_RawBaseline!O466)),AND(ISNUMBER(RawFinancials!O469),ISNUMBER(_RawBaseline!O466),RawFinancials!O469=_RawBaseline!O466))))</f>
        <v>0</v>
      </c>
      <c r="U469" s="13" t="n">
        <f aca="false">IF(AND(D469=WF_START_PERIOD,R469,COUNTIFS($B$5:$B$750,B469,$D$5:$D$750,WF_END_PERIOD,$R$5:$R$750,TRUE())&gt;0),SUMIFS($S$5:$S$750,$B$5:$B$750,B469,$D$5:$D$750,WF_END_PERIOD,$R$5:$R$750,TRUE()),0)</f>
        <v>0</v>
      </c>
      <c r="V469" s="0" t="str">
        <f aca="false">IF(AND(D469=WF_START_PERIOD,COUNTIFS($B$5:$B$750,B469,$D$5:$D$750,WF_END_PERIOD)&gt;0),INDEX($E$5:$E$750,MATCH(B469&amp;"|"&amp;WF_END_PERIOD,$AC$5:$AC$750,0)),"")</f>
        <v/>
      </c>
      <c r="W469" s="11" t="b">
        <f aca="false">COUNTIFS($B$5:$B$750,B469,$D$5:$D$750,WF_START_PERIOD,$R$5:$R$750,TRUE())&gt;0</f>
        <v>1</v>
      </c>
      <c r="X469" s="11" t="b">
        <f aca="false">COUNTIFS($B$5:$B$750,B469,$D$5:$D$750,WF_END_PERIOD,$R$5:$R$750,TRUE())&gt;0</f>
        <v>1</v>
      </c>
      <c r="Y469" s="0" t="str">
        <f aca="false">IF(AND(D469=WF_END_PERIOD,COUNTIFS($B$5:$B$750,B469,$D$5:$D$750,WF_START_PERIOD)&gt;0),INDEX($E$5:$E$750,MATCH(B469&amp;"|"&amp;WF_START_PERIOD,$AC$5:$AC$750,0)),"")</f>
        <v/>
      </c>
      <c r="Z469" s="0" t="str">
        <f aca="false">IF(AND(D469=WF_END_PERIOD,R469),1+COUNTIFS($D$5:$D$750,WF_END_PERIOD,$E$5:$E$750,E469,$R$5:$R$750,TRUE(),$S$5:$S$750,"&gt;"&amp;S469)+COUNTIFS($D$5:$D$750,WF_END_PERIOD,$E$5:$E$750,E469,$R$5:$R$750,TRUE(),$S$5:$S$750,S469,$B$5:$B$750,"&lt;"&amp;B469),"")</f>
        <v/>
      </c>
      <c r="AA469" s="0" t="str">
        <f aca="false">IF(AND(D469=WF_END_PERIOD,R469,Z469&lt;&gt;1),1+COUNTIFS($D$5:$D$750,WF_END_PERIOD,$R$5:$R$750,TRUE(),$Z$5:$Z$750,"&lt;&gt;1",$S$5:$S$750,"&gt;"&amp;S469)+COUNTIFS($D$5:$D$750,WF_END_PERIOD,$R$5:$R$750,TRUE(),$Z$5:$Z$750,"&lt;&gt;1",$S$5:$S$750,S469,$B$5:$B$750,"&lt;"&amp;B469),"")</f>
        <v/>
      </c>
      <c r="AB469" s="11" t="b">
        <f aca="false">OR(D469=WF_START_PERIOD,D469=WF_END_PERIOD)</f>
        <v>0</v>
      </c>
      <c r="AC469" s="0" t="str">
        <f aca="false">B469&amp;"|"&amp;D469</f>
        <v>29636|20240331</v>
      </c>
    </row>
    <row r="470" customFormat="false" ht="15" hidden="false" customHeight="false" outlineLevel="0" collapsed="false">
      <c r="A470" s="0" t="n">
        <f aca="false">RawFinancials!A470</f>
        <v>467</v>
      </c>
      <c r="B470" s="0" t="n">
        <f aca="false">RawFinancials!C470</f>
        <v>29743</v>
      </c>
      <c r="C470" s="0" t="str">
        <f aca="false">RawFinancials!P470</f>
        <v>AROOSTOOK COUNTY FEDERAL SAVINGS AND LOAN ASSOCIATION</v>
      </c>
      <c r="D470" s="0" t="n">
        <f aca="false">RawFinancials!W470</f>
        <v>20240331</v>
      </c>
      <c r="E470" s="0" t="str">
        <f aca="false">RawFinancials!Z470</f>
        <v>ME</v>
      </c>
      <c r="F470" s="0" t="n">
        <f aca="false">RawFinancials!B470</f>
        <v>184760</v>
      </c>
      <c r="G470" s="0" t="n">
        <f aca="false">RawFinancials!U470</f>
        <v>0</v>
      </c>
      <c r="H470" s="0" t="n">
        <f aca="false">RawFinancials!O470</f>
        <v>140</v>
      </c>
      <c r="I470" s="0" t="n">
        <f aca="false">IF(AND(ISNUMBER(G470),ISNUMBER(H470)),G470+H470,"")</f>
        <v>140</v>
      </c>
      <c r="J470" s="0" t="n">
        <f aca="false">RawFinancials!D470</f>
        <v>160737</v>
      </c>
      <c r="K470" s="0" t="n">
        <f aca="false">RawFinancials!F470</f>
        <v>16808</v>
      </c>
      <c r="L470" s="0" t="n">
        <f aca="false">RawFinancials!L470</f>
        <v>133015</v>
      </c>
      <c r="M470" s="0" t="n">
        <f aca="false">RawFinancials!N470</f>
        <v>85228</v>
      </c>
      <c r="N470" s="13" t="n">
        <f aca="false">RawFinancials!X470</f>
        <v>0.300357479035316</v>
      </c>
      <c r="O470" s="13" t="n">
        <f aca="false">RawFinancials!V470</f>
        <v>18.3034236752105</v>
      </c>
      <c r="P470" s="13" t="n">
        <f aca="false">IF(AND(ISNUMBER(L470),L470&lt;&gt;0,ISNUMBER(M470)),100*M470/L470,"")</f>
        <v>64.0739766191783</v>
      </c>
      <c r="Q470" s="13" t="n">
        <f aca="false">IF(AND(ISNUMBER(F470),F470&lt;&gt;0,ISNUMBER(K470)),100*K470/F470,"")</f>
        <v>9.09720718770297</v>
      </c>
      <c r="R470" s="11" t="b">
        <f aca="false">AND(ISNUMBER(F470),F470&gt;0,ISNUMBER(G470),G470&gt;=0,ISNUMBER(H470),H470&gt;=0)</f>
        <v>1</v>
      </c>
      <c r="S470" s="13" t="n">
        <f aca="false">IF(R470,100*I470/F470,"")</f>
        <v>0.0757739770513098</v>
      </c>
      <c r="T470" s="11" t="b">
        <f aca="false">NOT(AND(OR(AND(ISBLANK(RawFinancials!B470),ISBLANK(_RawBaseline!B467)),AND(ISNUMBER(RawFinancials!B470),ISNUMBER(_RawBaseline!B467),RawFinancials!B470=_RawBaseline!B467)),OR(AND(ISBLANK(RawFinancials!U470),ISBLANK(_RawBaseline!U467)),AND(ISNUMBER(RawFinancials!U470),ISNUMBER(_RawBaseline!U467),RawFinancials!U470=_RawBaseline!U467)),OR(AND(ISBLANK(RawFinancials!O470),ISBLANK(_RawBaseline!O467)),AND(ISNUMBER(RawFinancials!O470),ISNUMBER(_RawBaseline!O467),RawFinancials!O470=_RawBaseline!O467))))</f>
        <v>0</v>
      </c>
      <c r="U470" s="13" t="n">
        <f aca="false">IF(AND(D470=WF_START_PERIOD,R470,COUNTIFS($B$5:$B$750,B470,$D$5:$D$750,WF_END_PERIOD,$R$5:$R$750,TRUE())&gt;0),SUMIFS($S$5:$S$750,$B$5:$B$750,B470,$D$5:$D$750,WF_END_PERIOD,$R$5:$R$750,TRUE()),0)</f>
        <v>0</v>
      </c>
      <c r="V470" s="0" t="str">
        <f aca="false">IF(AND(D470=WF_START_PERIOD,COUNTIFS($B$5:$B$750,B470,$D$5:$D$750,WF_END_PERIOD)&gt;0),INDEX($E$5:$E$750,MATCH(B470&amp;"|"&amp;WF_END_PERIOD,$AC$5:$AC$750,0)),"")</f>
        <v/>
      </c>
      <c r="W470" s="11" t="b">
        <f aca="false">COUNTIFS($B$5:$B$750,B470,$D$5:$D$750,WF_START_PERIOD,$R$5:$R$750,TRUE())&gt;0</f>
        <v>1</v>
      </c>
      <c r="X470" s="11" t="b">
        <f aca="false">COUNTIFS($B$5:$B$750,B470,$D$5:$D$750,WF_END_PERIOD,$R$5:$R$750,TRUE())&gt;0</f>
        <v>1</v>
      </c>
      <c r="Y470" s="0" t="str">
        <f aca="false">IF(AND(D470=WF_END_PERIOD,COUNTIFS($B$5:$B$750,B470,$D$5:$D$750,WF_START_PERIOD)&gt;0),INDEX($E$5:$E$750,MATCH(B470&amp;"|"&amp;WF_START_PERIOD,$AC$5:$AC$750,0)),"")</f>
        <v/>
      </c>
      <c r="Z470" s="0" t="str">
        <f aca="false">IF(AND(D470=WF_END_PERIOD,R470),1+COUNTIFS($D$5:$D$750,WF_END_PERIOD,$E$5:$E$750,E470,$R$5:$R$750,TRUE(),$S$5:$S$750,"&gt;"&amp;S470)+COUNTIFS($D$5:$D$750,WF_END_PERIOD,$E$5:$E$750,E470,$R$5:$R$750,TRUE(),$S$5:$S$750,S470,$B$5:$B$750,"&lt;"&amp;B470),"")</f>
        <v/>
      </c>
      <c r="AA470" s="0" t="str">
        <f aca="false">IF(AND(D470=WF_END_PERIOD,R470,Z470&lt;&gt;1),1+COUNTIFS($D$5:$D$750,WF_END_PERIOD,$R$5:$R$750,TRUE(),$Z$5:$Z$750,"&lt;&gt;1",$S$5:$S$750,"&gt;"&amp;S470)+COUNTIFS($D$5:$D$750,WF_END_PERIOD,$R$5:$R$750,TRUE(),$Z$5:$Z$750,"&lt;&gt;1",$S$5:$S$750,S470,$B$5:$B$750,"&lt;"&amp;B470),"")</f>
        <v/>
      </c>
      <c r="AB470" s="11" t="b">
        <f aca="false">OR(D470=WF_START_PERIOD,D470=WF_END_PERIOD)</f>
        <v>0</v>
      </c>
      <c r="AC470" s="0" t="str">
        <f aca="false">B470&amp;"|"&amp;D470</f>
        <v>29743|20240331</v>
      </c>
    </row>
    <row r="471" customFormat="false" ht="15" hidden="false" customHeight="false" outlineLevel="0" collapsed="false">
      <c r="A471" s="0" t="n">
        <f aca="false">RawFinancials!A471</f>
        <v>468</v>
      </c>
      <c r="B471" s="0" t="n">
        <f aca="false">RawFinancials!C471</f>
        <v>29744</v>
      </c>
      <c r="C471" s="0" t="str">
        <f aca="false">RawFinancials!P471</f>
        <v>FIRST SEACOAST BANK</v>
      </c>
      <c r="D471" s="0" t="n">
        <f aca="false">RawFinancials!W471</f>
        <v>20240331</v>
      </c>
      <c r="E471" s="0" t="str">
        <f aca="false">RawFinancials!Z471</f>
        <v>NH</v>
      </c>
      <c r="F471" s="0" t="n">
        <f aca="false">RawFinancials!B471</f>
        <v>576540</v>
      </c>
      <c r="G471" s="0" t="n">
        <f aca="false">RawFinancials!U471</f>
        <v>0</v>
      </c>
      <c r="H471" s="0" t="n">
        <f aca="false">RawFinancials!O471</f>
        <v>141</v>
      </c>
      <c r="I471" s="0" t="n">
        <f aca="false">IF(AND(ISNUMBER(G471),ISNUMBER(H471)),G471+H471,"")</f>
        <v>141</v>
      </c>
      <c r="J471" s="0" t="n">
        <f aca="false">RawFinancials!D471</f>
        <v>428893</v>
      </c>
      <c r="K471" s="0" t="n">
        <f aca="false">RawFinancials!F471</f>
        <v>44302</v>
      </c>
      <c r="L471" s="0" t="n">
        <f aca="false">RawFinancials!L471</f>
        <v>431608</v>
      </c>
      <c r="M471" s="0" t="n">
        <f aca="false">RawFinancials!N471</f>
        <v>396224</v>
      </c>
      <c r="N471" s="13" t="n">
        <f aca="false">RawFinancials!X471</f>
        <v>-0.803595619950847</v>
      </c>
      <c r="O471" s="13" t="n">
        <f aca="false">RawFinancials!V471</f>
        <v>14.8696742059058</v>
      </c>
      <c r="P471" s="13" t="n">
        <f aca="false">IF(AND(ISNUMBER(L471),L471&lt;&gt;0,ISNUMBER(M471)),100*M471/L471,"")</f>
        <v>91.8018201701544</v>
      </c>
      <c r="Q471" s="13" t="n">
        <f aca="false">IF(AND(ISNUMBER(F471),F471&lt;&gt;0,ISNUMBER(K471)),100*K471/F471,"")</f>
        <v>7.68411558608249</v>
      </c>
      <c r="R471" s="11" t="b">
        <f aca="false">AND(ISNUMBER(F471),F471&gt;0,ISNUMBER(G471),G471&gt;=0,ISNUMBER(H471),H471&gt;=0)</f>
        <v>1</v>
      </c>
      <c r="S471" s="13" t="n">
        <f aca="false">IF(R471,100*I471/F471,"")</f>
        <v>0.0244562389426579</v>
      </c>
      <c r="T471" s="11" t="b">
        <f aca="false">NOT(AND(OR(AND(ISBLANK(RawFinancials!B471),ISBLANK(_RawBaseline!B468)),AND(ISNUMBER(RawFinancials!B471),ISNUMBER(_RawBaseline!B468),RawFinancials!B471=_RawBaseline!B468)),OR(AND(ISBLANK(RawFinancials!U471),ISBLANK(_RawBaseline!U468)),AND(ISNUMBER(RawFinancials!U471),ISNUMBER(_RawBaseline!U468),RawFinancials!U471=_RawBaseline!U468)),OR(AND(ISBLANK(RawFinancials!O471),ISBLANK(_RawBaseline!O468)),AND(ISNUMBER(RawFinancials!O471),ISNUMBER(_RawBaseline!O468),RawFinancials!O471=_RawBaseline!O468))))</f>
        <v>0</v>
      </c>
      <c r="U471" s="13" t="n">
        <f aca="false">IF(AND(D471=WF_START_PERIOD,R471,COUNTIFS($B$5:$B$750,B471,$D$5:$D$750,WF_END_PERIOD,$R$5:$R$750,TRUE())&gt;0),SUMIFS($S$5:$S$750,$B$5:$B$750,B471,$D$5:$D$750,WF_END_PERIOD,$R$5:$R$750,TRUE()),0)</f>
        <v>0</v>
      </c>
      <c r="V471" s="0" t="str">
        <f aca="false">IF(AND(D471=WF_START_PERIOD,COUNTIFS($B$5:$B$750,B471,$D$5:$D$750,WF_END_PERIOD)&gt;0),INDEX($E$5:$E$750,MATCH(B471&amp;"|"&amp;WF_END_PERIOD,$AC$5:$AC$750,0)),"")</f>
        <v/>
      </c>
      <c r="W471" s="11" t="b">
        <f aca="false">COUNTIFS($B$5:$B$750,B471,$D$5:$D$750,WF_START_PERIOD,$R$5:$R$750,TRUE())&gt;0</f>
        <v>1</v>
      </c>
      <c r="X471" s="11" t="b">
        <f aca="false">COUNTIFS($B$5:$B$750,B471,$D$5:$D$750,WF_END_PERIOD,$R$5:$R$750,TRUE())&gt;0</f>
        <v>1</v>
      </c>
      <c r="Y471" s="0" t="str">
        <f aca="false">IF(AND(D471=WF_END_PERIOD,COUNTIFS($B$5:$B$750,B471,$D$5:$D$750,WF_START_PERIOD)&gt;0),INDEX($E$5:$E$750,MATCH(B471&amp;"|"&amp;WF_START_PERIOD,$AC$5:$AC$750,0)),"")</f>
        <v/>
      </c>
      <c r="Z471" s="0" t="str">
        <f aca="false">IF(AND(D471=WF_END_PERIOD,R471),1+COUNTIFS($D$5:$D$750,WF_END_PERIOD,$E$5:$E$750,E471,$R$5:$R$750,TRUE(),$S$5:$S$750,"&gt;"&amp;S471)+COUNTIFS($D$5:$D$750,WF_END_PERIOD,$E$5:$E$750,E471,$R$5:$R$750,TRUE(),$S$5:$S$750,S471,$B$5:$B$750,"&lt;"&amp;B471),"")</f>
        <v/>
      </c>
      <c r="AA471" s="0" t="str">
        <f aca="false">IF(AND(D471=WF_END_PERIOD,R471,Z471&lt;&gt;1),1+COUNTIFS($D$5:$D$750,WF_END_PERIOD,$R$5:$R$750,TRUE(),$Z$5:$Z$750,"&lt;&gt;1",$S$5:$S$750,"&gt;"&amp;S471)+COUNTIFS($D$5:$D$750,WF_END_PERIOD,$R$5:$R$750,TRUE(),$Z$5:$Z$750,"&lt;&gt;1",$S$5:$S$750,S471,$B$5:$B$750,"&lt;"&amp;B471),"")</f>
        <v/>
      </c>
      <c r="AB471" s="11" t="b">
        <f aca="false">OR(D471=WF_START_PERIOD,D471=WF_END_PERIOD)</f>
        <v>0</v>
      </c>
      <c r="AC471" s="0" t="str">
        <f aca="false">B471&amp;"|"&amp;D471</f>
        <v>29744|20240331</v>
      </c>
    </row>
    <row r="472" customFormat="false" ht="15" hidden="false" customHeight="false" outlineLevel="0" collapsed="false">
      <c r="A472" s="0" t="n">
        <f aca="false">RawFinancials!A472</f>
        <v>469</v>
      </c>
      <c r="B472" s="0" t="n">
        <f aca="false">RawFinancials!C472</f>
        <v>30350</v>
      </c>
      <c r="C472" s="0" t="str">
        <f aca="false">RawFinancials!P472</f>
        <v>THE BANK OF BENNINGTON</v>
      </c>
      <c r="D472" s="0" t="n">
        <f aca="false">RawFinancials!W472</f>
        <v>20240331</v>
      </c>
      <c r="E472" s="0" t="str">
        <f aca="false">RawFinancials!Z472</f>
        <v>VT</v>
      </c>
      <c r="F472" s="0" t="n">
        <f aca="false">RawFinancials!B472</f>
        <v>558824</v>
      </c>
      <c r="G472" s="0" t="n">
        <f aca="false">RawFinancials!U472</f>
        <v>0</v>
      </c>
      <c r="H472" s="0" t="n">
        <f aca="false">RawFinancials!O472</f>
        <v>1795</v>
      </c>
      <c r="I472" s="0" t="n">
        <f aca="false">IF(AND(ISNUMBER(G472),ISNUMBER(H472)),G472+H472,"")</f>
        <v>1795</v>
      </c>
      <c r="J472" s="0" t="n">
        <f aca="false">RawFinancials!D472</f>
        <v>445096</v>
      </c>
      <c r="K472" s="0" t="n">
        <f aca="false">RawFinancials!F472</f>
        <v>56764</v>
      </c>
      <c r="L472" s="0" t="n">
        <f aca="false">RawFinancials!L472</f>
        <v>404058</v>
      </c>
      <c r="M472" s="0" t="n">
        <f aca="false">RawFinancials!N472</f>
        <v>385261</v>
      </c>
      <c r="N472" s="13" t="n">
        <f aca="false">RawFinancials!X472</f>
        <v>0.456585242898488</v>
      </c>
      <c r="O472" s="13" t="n">
        <f aca="false">RawFinancials!V472</f>
        <v>20.9443498153697</v>
      </c>
      <c r="P472" s="13" t="n">
        <f aca="false">IF(AND(ISNUMBER(L472),L472&lt;&gt;0,ISNUMBER(M472)),100*M472/L472,"")</f>
        <v>95.347945096991</v>
      </c>
      <c r="Q472" s="13" t="n">
        <f aca="false">IF(AND(ISNUMBER(F472),F472&lt;&gt;0,ISNUMBER(K472)),100*K472/F472,"")</f>
        <v>10.1577598671496</v>
      </c>
      <c r="R472" s="11" t="b">
        <f aca="false">AND(ISNUMBER(F472),F472&gt;0,ISNUMBER(G472),G472&gt;=0,ISNUMBER(H472),H472&gt;=0)</f>
        <v>1</v>
      </c>
      <c r="S472" s="13" t="n">
        <f aca="false">IF(R472,100*I472/F472,"")</f>
        <v>0.321210255822943</v>
      </c>
      <c r="T472" s="11" t="b">
        <f aca="false">NOT(AND(OR(AND(ISBLANK(RawFinancials!B472),ISBLANK(_RawBaseline!B469)),AND(ISNUMBER(RawFinancials!B472),ISNUMBER(_RawBaseline!B469),RawFinancials!B472=_RawBaseline!B469)),OR(AND(ISBLANK(RawFinancials!U472),ISBLANK(_RawBaseline!U469)),AND(ISNUMBER(RawFinancials!U472),ISNUMBER(_RawBaseline!U469),RawFinancials!U472=_RawBaseline!U469)),OR(AND(ISBLANK(RawFinancials!O472),ISBLANK(_RawBaseline!O469)),AND(ISNUMBER(RawFinancials!O472),ISNUMBER(_RawBaseline!O469),RawFinancials!O472=_RawBaseline!O469))))</f>
        <v>0</v>
      </c>
      <c r="U472" s="13" t="n">
        <f aca="false">IF(AND(D472=WF_START_PERIOD,R472,COUNTIFS($B$5:$B$750,B472,$D$5:$D$750,WF_END_PERIOD,$R$5:$R$750,TRUE())&gt;0),SUMIFS($S$5:$S$750,$B$5:$B$750,B472,$D$5:$D$750,WF_END_PERIOD,$R$5:$R$750,TRUE()),0)</f>
        <v>0</v>
      </c>
      <c r="V472" s="0" t="str">
        <f aca="false">IF(AND(D472=WF_START_PERIOD,COUNTIFS($B$5:$B$750,B472,$D$5:$D$750,WF_END_PERIOD)&gt;0),INDEX($E$5:$E$750,MATCH(B472&amp;"|"&amp;WF_END_PERIOD,$AC$5:$AC$750,0)),"")</f>
        <v/>
      </c>
      <c r="W472" s="11" t="b">
        <f aca="false">COUNTIFS($B$5:$B$750,B472,$D$5:$D$750,WF_START_PERIOD,$R$5:$R$750,TRUE())&gt;0</f>
        <v>1</v>
      </c>
      <c r="X472" s="11" t="b">
        <f aca="false">COUNTIFS($B$5:$B$750,B472,$D$5:$D$750,WF_END_PERIOD,$R$5:$R$750,TRUE())&gt;0</f>
        <v>1</v>
      </c>
      <c r="Y472" s="0" t="str">
        <f aca="false">IF(AND(D472=WF_END_PERIOD,COUNTIFS($B$5:$B$750,B472,$D$5:$D$750,WF_START_PERIOD)&gt;0),INDEX($E$5:$E$750,MATCH(B472&amp;"|"&amp;WF_START_PERIOD,$AC$5:$AC$750,0)),"")</f>
        <v/>
      </c>
      <c r="Z472" s="0" t="str">
        <f aca="false">IF(AND(D472=WF_END_PERIOD,R472),1+COUNTIFS($D$5:$D$750,WF_END_PERIOD,$E$5:$E$750,E472,$R$5:$R$750,TRUE(),$S$5:$S$750,"&gt;"&amp;S472)+COUNTIFS($D$5:$D$750,WF_END_PERIOD,$E$5:$E$750,E472,$R$5:$R$750,TRUE(),$S$5:$S$750,S472,$B$5:$B$750,"&lt;"&amp;B472),"")</f>
        <v/>
      </c>
      <c r="AA472" s="0" t="str">
        <f aca="false">IF(AND(D472=WF_END_PERIOD,R472,Z472&lt;&gt;1),1+COUNTIFS($D$5:$D$750,WF_END_PERIOD,$R$5:$R$750,TRUE(),$Z$5:$Z$750,"&lt;&gt;1",$S$5:$S$750,"&gt;"&amp;S472)+COUNTIFS($D$5:$D$750,WF_END_PERIOD,$R$5:$R$750,TRUE(),$Z$5:$Z$750,"&lt;&gt;1",$S$5:$S$750,S472,$B$5:$B$750,"&lt;"&amp;B472),"")</f>
        <v/>
      </c>
      <c r="AB472" s="11" t="b">
        <f aca="false">OR(D472=WF_START_PERIOD,D472=WF_END_PERIOD)</f>
        <v>0</v>
      </c>
      <c r="AC472" s="0" t="str">
        <f aca="false">B472&amp;"|"&amp;D472</f>
        <v>30350|20240331</v>
      </c>
    </row>
    <row r="473" customFormat="false" ht="15" hidden="false" customHeight="false" outlineLevel="0" collapsed="false">
      <c r="A473" s="0" t="n">
        <f aca="false">RawFinancials!A473</f>
        <v>470</v>
      </c>
      <c r="B473" s="0" t="n">
        <f aca="false">RawFinancials!C473</f>
        <v>30878</v>
      </c>
      <c r="C473" s="0" t="str">
        <f aca="false">RawFinancials!P473</f>
        <v>BAR HARBOR SAVINGS AND LOAN ASSOCIATION</v>
      </c>
      <c r="D473" s="0" t="n">
        <f aca="false">RawFinancials!W473</f>
        <v>20240331</v>
      </c>
      <c r="E473" s="0" t="str">
        <f aca="false">RawFinancials!Z473</f>
        <v>ME</v>
      </c>
      <c r="F473" s="0" t="n">
        <f aca="false">RawFinancials!B473</f>
        <v>102792</v>
      </c>
      <c r="G473" s="0" t="n">
        <f aca="false">RawFinancials!U473</f>
        <v>0</v>
      </c>
      <c r="H473" s="0" t="n">
        <f aca="false">RawFinancials!O473</f>
        <v>836</v>
      </c>
      <c r="I473" s="0" t="n">
        <f aca="false">IF(AND(ISNUMBER(G473),ISNUMBER(H473)),G473+H473,"")</f>
        <v>836</v>
      </c>
      <c r="J473" s="0" t="n">
        <f aca="false">RawFinancials!D473</f>
        <v>74987</v>
      </c>
      <c r="K473" s="0" t="n">
        <f aca="false">RawFinancials!F473</f>
        <v>12317</v>
      </c>
      <c r="L473" s="0" t="n">
        <f aca="false">RawFinancials!L473</f>
        <v>87874</v>
      </c>
      <c r="M473" s="0" t="n">
        <f aca="false">RawFinancials!N473</f>
        <v>87769</v>
      </c>
      <c r="N473" s="13" t="n">
        <f aca="false">RawFinancials!X473</f>
        <v>0.0615399408639631</v>
      </c>
      <c r="O473" s="13" t="n">
        <f aca="false">RawFinancials!V473</f>
        <v>0</v>
      </c>
      <c r="P473" s="13" t="n">
        <f aca="false">IF(AND(ISNUMBER(L473),L473&lt;&gt;0,ISNUMBER(M473)),100*M473/L473,"")</f>
        <v>99.8805107312743</v>
      </c>
      <c r="Q473" s="13" t="n">
        <f aca="false">IF(AND(ISNUMBER(F473),F473&lt;&gt;0,ISNUMBER(K473)),100*K473/F473,"")</f>
        <v>11.9824499961086</v>
      </c>
      <c r="R473" s="11" t="b">
        <f aca="false">AND(ISNUMBER(F473),F473&gt;0,ISNUMBER(G473),G473&gt;=0,ISNUMBER(H473),H473&gt;=0)</f>
        <v>1</v>
      </c>
      <c r="S473" s="13" t="n">
        <f aca="false">IF(R473,100*I473/F473,"")</f>
        <v>0.813292863257841</v>
      </c>
      <c r="T473" s="11" t="b">
        <f aca="false">NOT(AND(OR(AND(ISBLANK(RawFinancials!B473),ISBLANK(_RawBaseline!B470)),AND(ISNUMBER(RawFinancials!B473),ISNUMBER(_RawBaseline!B470),RawFinancials!B473=_RawBaseline!B470)),OR(AND(ISBLANK(RawFinancials!U473),ISBLANK(_RawBaseline!U470)),AND(ISNUMBER(RawFinancials!U473),ISNUMBER(_RawBaseline!U470),RawFinancials!U473=_RawBaseline!U470)),OR(AND(ISBLANK(RawFinancials!O473),ISBLANK(_RawBaseline!O470)),AND(ISNUMBER(RawFinancials!O473),ISNUMBER(_RawBaseline!O470),RawFinancials!O473=_RawBaseline!O470))))</f>
        <v>0</v>
      </c>
      <c r="U473" s="13" t="n">
        <f aca="false">IF(AND(D473=WF_START_PERIOD,R473,COUNTIFS($B$5:$B$750,B473,$D$5:$D$750,WF_END_PERIOD,$R$5:$R$750,TRUE())&gt;0),SUMIFS($S$5:$S$750,$B$5:$B$750,B473,$D$5:$D$750,WF_END_PERIOD,$R$5:$R$750,TRUE()),0)</f>
        <v>0</v>
      </c>
      <c r="V473" s="0" t="str">
        <f aca="false">IF(AND(D473=WF_START_PERIOD,COUNTIFS($B$5:$B$750,B473,$D$5:$D$750,WF_END_PERIOD)&gt;0),INDEX($E$5:$E$750,MATCH(B473&amp;"|"&amp;WF_END_PERIOD,$AC$5:$AC$750,0)),"")</f>
        <v/>
      </c>
      <c r="W473" s="11" t="b">
        <f aca="false">COUNTIFS($B$5:$B$750,B473,$D$5:$D$750,WF_START_PERIOD,$R$5:$R$750,TRUE())&gt;0</f>
        <v>1</v>
      </c>
      <c r="X473" s="11" t="b">
        <f aca="false">COUNTIFS($B$5:$B$750,B473,$D$5:$D$750,WF_END_PERIOD,$R$5:$R$750,TRUE())&gt;0</f>
        <v>1</v>
      </c>
      <c r="Y473" s="0" t="str">
        <f aca="false">IF(AND(D473=WF_END_PERIOD,COUNTIFS($B$5:$B$750,B473,$D$5:$D$750,WF_START_PERIOD)&gt;0),INDEX($E$5:$E$750,MATCH(B473&amp;"|"&amp;WF_START_PERIOD,$AC$5:$AC$750,0)),"")</f>
        <v/>
      </c>
      <c r="Z473" s="0" t="str">
        <f aca="false">IF(AND(D473=WF_END_PERIOD,R473),1+COUNTIFS($D$5:$D$750,WF_END_PERIOD,$E$5:$E$750,E473,$R$5:$R$750,TRUE(),$S$5:$S$750,"&gt;"&amp;S473)+COUNTIFS($D$5:$D$750,WF_END_PERIOD,$E$5:$E$750,E473,$R$5:$R$750,TRUE(),$S$5:$S$750,S473,$B$5:$B$750,"&lt;"&amp;B473),"")</f>
        <v/>
      </c>
      <c r="AA473" s="0" t="str">
        <f aca="false">IF(AND(D473=WF_END_PERIOD,R473,Z473&lt;&gt;1),1+COUNTIFS($D$5:$D$750,WF_END_PERIOD,$R$5:$R$750,TRUE(),$Z$5:$Z$750,"&lt;&gt;1",$S$5:$S$750,"&gt;"&amp;S473)+COUNTIFS($D$5:$D$750,WF_END_PERIOD,$R$5:$R$750,TRUE(),$Z$5:$Z$750,"&lt;&gt;1",$S$5:$S$750,S473,$B$5:$B$750,"&lt;"&amp;B473),"")</f>
        <v/>
      </c>
      <c r="AB473" s="11" t="b">
        <f aca="false">OR(D473=WF_START_PERIOD,D473=WF_END_PERIOD)</f>
        <v>0</v>
      </c>
      <c r="AC473" s="0" t="str">
        <f aca="false">B473&amp;"|"&amp;D473</f>
        <v>30878|20240331</v>
      </c>
    </row>
    <row r="474" customFormat="false" ht="15" hidden="false" customHeight="false" outlineLevel="0" collapsed="false">
      <c r="A474" s="0" t="n">
        <f aca="false">RawFinancials!A474</f>
        <v>471</v>
      </c>
      <c r="B474" s="0" t="n">
        <f aca="false">RawFinancials!C474</f>
        <v>33418</v>
      </c>
      <c r="C474" s="0" t="str">
        <f aca="false">RawFinancials!P474</f>
        <v>LEDYARD NATIONAL BANK</v>
      </c>
      <c r="D474" s="0" t="n">
        <f aca="false">RawFinancials!W474</f>
        <v>20240331</v>
      </c>
      <c r="E474" s="0" t="str">
        <f aca="false">RawFinancials!Z474</f>
        <v>VT</v>
      </c>
      <c r="F474" s="0" t="n">
        <f aca="false">RawFinancials!B474</f>
        <v>893621</v>
      </c>
      <c r="G474" s="0" t="n">
        <f aca="false">RawFinancials!U474</f>
        <v>0</v>
      </c>
      <c r="H474" s="0" t="n">
        <f aca="false">RawFinancials!O474</f>
        <v>1692</v>
      </c>
      <c r="I474" s="0" t="n">
        <f aca="false">IF(AND(ISNUMBER(G474),ISNUMBER(H474)),G474+H474,"")</f>
        <v>1692</v>
      </c>
      <c r="J474" s="0" t="n">
        <f aca="false">RawFinancials!D474</f>
        <v>783873</v>
      </c>
      <c r="K474" s="0" t="n">
        <f aca="false">RawFinancials!F474</f>
        <v>68407</v>
      </c>
      <c r="L474" s="0" t="n">
        <f aca="false">RawFinancials!L474</f>
        <v>457449</v>
      </c>
      <c r="M474" s="0" t="n">
        <f aca="false">RawFinancials!N474</f>
        <v>381804</v>
      </c>
      <c r="N474" s="13" t="n">
        <f aca="false">RawFinancials!X474</f>
        <v>0.317210198101888</v>
      </c>
      <c r="O474" s="13" t="n">
        <f aca="false">RawFinancials!V474</f>
        <v>14.9143227744402</v>
      </c>
      <c r="P474" s="13" t="n">
        <f aca="false">IF(AND(ISNUMBER(L474),L474&lt;&gt;0,ISNUMBER(M474)),100*M474/L474,"")</f>
        <v>83.4637303830591</v>
      </c>
      <c r="Q474" s="13" t="n">
        <f aca="false">IF(AND(ISNUMBER(F474),F474&lt;&gt;0,ISNUMBER(K474)),100*K474/F474,"")</f>
        <v>7.65503496448718</v>
      </c>
      <c r="R474" s="11" t="b">
        <f aca="false">AND(ISNUMBER(F474),F474&gt;0,ISNUMBER(G474),G474&gt;=0,ISNUMBER(H474),H474&gt;=0)</f>
        <v>1</v>
      </c>
      <c r="S474" s="13" t="n">
        <f aca="false">IF(R474,100*I474/F474,"")</f>
        <v>0.18934201412008</v>
      </c>
      <c r="T474" s="11" t="b">
        <f aca="false">NOT(AND(OR(AND(ISBLANK(RawFinancials!B474),ISBLANK(_RawBaseline!B471)),AND(ISNUMBER(RawFinancials!B474),ISNUMBER(_RawBaseline!B471),RawFinancials!B474=_RawBaseline!B471)),OR(AND(ISBLANK(RawFinancials!U474),ISBLANK(_RawBaseline!U471)),AND(ISNUMBER(RawFinancials!U474),ISNUMBER(_RawBaseline!U471),RawFinancials!U474=_RawBaseline!U471)),OR(AND(ISBLANK(RawFinancials!O474),ISBLANK(_RawBaseline!O471)),AND(ISNUMBER(RawFinancials!O474),ISNUMBER(_RawBaseline!O471),RawFinancials!O474=_RawBaseline!O471))))</f>
        <v>0</v>
      </c>
      <c r="U474" s="13" t="n">
        <f aca="false">IF(AND(D474=WF_START_PERIOD,R474,COUNTIFS($B$5:$B$750,B474,$D$5:$D$750,WF_END_PERIOD,$R$5:$R$750,TRUE())&gt;0),SUMIFS($S$5:$S$750,$B$5:$B$750,B474,$D$5:$D$750,WF_END_PERIOD,$R$5:$R$750,TRUE()),0)</f>
        <v>0</v>
      </c>
      <c r="V474" s="0" t="str">
        <f aca="false">IF(AND(D474=WF_START_PERIOD,COUNTIFS($B$5:$B$750,B474,$D$5:$D$750,WF_END_PERIOD)&gt;0),INDEX($E$5:$E$750,MATCH(B474&amp;"|"&amp;WF_END_PERIOD,$AC$5:$AC$750,0)),"")</f>
        <v/>
      </c>
      <c r="W474" s="11" t="b">
        <f aca="false">COUNTIFS($B$5:$B$750,B474,$D$5:$D$750,WF_START_PERIOD,$R$5:$R$750,TRUE())&gt;0</f>
        <v>1</v>
      </c>
      <c r="X474" s="11" t="b">
        <f aca="false">COUNTIFS($B$5:$B$750,B474,$D$5:$D$750,WF_END_PERIOD,$R$5:$R$750,TRUE())&gt;0</f>
        <v>1</v>
      </c>
      <c r="Y474" s="0" t="str">
        <f aca="false">IF(AND(D474=WF_END_PERIOD,COUNTIFS($B$5:$B$750,B474,$D$5:$D$750,WF_START_PERIOD)&gt;0),INDEX($E$5:$E$750,MATCH(B474&amp;"|"&amp;WF_START_PERIOD,$AC$5:$AC$750,0)),"")</f>
        <v/>
      </c>
      <c r="Z474" s="0" t="str">
        <f aca="false">IF(AND(D474=WF_END_PERIOD,R474),1+COUNTIFS($D$5:$D$750,WF_END_PERIOD,$E$5:$E$750,E474,$R$5:$R$750,TRUE(),$S$5:$S$750,"&gt;"&amp;S474)+COUNTIFS($D$5:$D$750,WF_END_PERIOD,$E$5:$E$750,E474,$R$5:$R$750,TRUE(),$S$5:$S$750,S474,$B$5:$B$750,"&lt;"&amp;B474),"")</f>
        <v/>
      </c>
      <c r="AA474" s="0" t="str">
        <f aca="false">IF(AND(D474=WF_END_PERIOD,R474,Z474&lt;&gt;1),1+COUNTIFS($D$5:$D$750,WF_END_PERIOD,$R$5:$R$750,TRUE(),$Z$5:$Z$750,"&lt;&gt;1",$S$5:$S$750,"&gt;"&amp;S474)+COUNTIFS($D$5:$D$750,WF_END_PERIOD,$R$5:$R$750,TRUE(),$Z$5:$Z$750,"&lt;&gt;1",$S$5:$S$750,S474,$B$5:$B$750,"&lt;"&amp;B474),"")</f>
        <v/>
      </c>
      <c r="AB474" s="11" t="b">
        <f aca="false">OR(D474=WF_START_PERIOD,D474=WF_END_PERIOD)</f>
        <v>0</v>
      </c>
      <c r="AC474" s="0" t="str">
        <f aca="false">B474&amp;"|"&amp;D474</f>
        <v>33418|20240331</v>
      </c>
    </row>
    <row r="475" customFormat="false" ht="15" hidden="false" customHeight="false" outlineLevel="0" collapsed="false">
      <c r="A475" s="0" t="n">
        <f aca="false">RawFinancials!A475</f>
        <v>472</v>
      </c>
      <c r="B475" s="0" t="n">
        <f aca="false">RawFinancials!C475</f>
        <v>35206</v>
      </c>
      <c r="C475" s="0" t="str">
        <f aca="false">RawFinancials!P475</f>
        <v>FIDELITY PERSONAL TRUST COMPANY, FSB</v>
      </c>
      <c r="D475" s="0" t="n">
        <f aca="false">RawFinancials!W475</f>
        <v>20240331</v>
      </c>
      <c r="E475" s="0" t="str">
        <f aca="false">RawFinancials!Z475</f>
        <v>NH</v>
      </c>
      <c r="F475" s="0" t="n">
        <f aca="false">RawFinancials!B475</f>
        <v>79848</v>
      </c>
      <c r="G475" s="0" t="n">
        <f aca="false">RawFinancials!U475</f>
        <v>0</v>
      </c>
      <c r="H475" s="0" t="n">
        <f aca="false">RawFinancials!O475</f>
        <v>0</v>
      </c>
      <c r="I475" s="0" t="n">
        <f aca="false">IF(AND(ISNUMBER(G475),ISNUMBER(H475)),G475+H475,"")</f>
        <v>0</v>
      </c>
      <c r="J475" s="0" t="n">
        <f aca="false">RawFinancials!D475</f>
        <v>500</v>
      </c>
      <c r="K475" s="0" t="n">
        <f aca="false">RawFinancials!F475</f>
        <v>77369</v>
      </c>
      <c r="L475" s="0" t="n">
        <f aca="false">RawFinancials!L475</f>
        <v>0</v>
      </c>
      <c r="M475" s="0" t="n">
        <f aca="false">RawFinancials!N475</f>
        <v>0</v>
      </c>
      <c r="N475" s="13" t="n">
        <f aca="false">RawFinancials!X475</f>
        <v>15.0318019410587</v>
      </c>
      <c r="O475" s="13" t="n">
        <f aca="false">RawFinancials!V475</f>
        <v>0</v>
      </c>
      <c r="P475" s="13" t="str">
        <f aca="false">IF(AND(ISNUMBER(L475),L475&lt;&gt;0,ISNUMBER(M475)),100*M475/L475,"")</f>
        <v/>
      </c>
      <c r="Q475" s="13" t="n">
        <f aca="false">IF(AND(ISNUMBER(F475),F475&lt;&gt;0,ISNUMBER(K475)),100*K475/F475,"")</f>
        <v>96.8953511672177</v>
      </c>
      <c r="R475" s="11" t="b">
        <f aca="false">AND(ISNUMBER(F475),F475&gt;0,ISNUMBER(G475),G475&gt;=0,ISNUMBER(H475),H475&gt;=0)</f>
        <v>1</v>
      </c>
      <c r="S475" s="13" t="n">
        <f aca="false">IF(R475,100*I475/F475,"")</f>
        <v>0</v>
      </c>
      <c r="T475" s="11" t="b">
        <f aca="false">NOT(AND(OR(AND(ISBLANK(RawFinancials!B475),ISBLANK(_RawBaseline!B472)),AND(ISNUMBER(RawFinancials!B475),ISNUMBER(_RawBaseline!B472),RawFinancials!B475=_RawBaseline!B472)),OR(AND(ISBLANK(RawFinancials!U475),ISBLANK(_RawBaseline!U472)),AND(ISNUMBER(RawFinancials!U475),ISNUMBER(_RawBaseline!U472),RawFinancials!U475=_RawBaseline!U472)),OR(AND(ISBLANK(RawFinancials!O475),ISBLANK(_RawBaseline!O472)),AND(ISNUMBER(RawFinancials!O475),ISNUMBER(_RawBaseline!O472),RawFinancials!O475=_RawBaseline!O472))))</f>
        <v>0</v>
      </c>
      <c r="U475" s="13" t="n">
        <f aca="false">IF(AND(D475=WF_START_PERIOD,R475,COUNTIFS($B$5:$B$750,B475,$D$5:$D$750,WF_END_PERIOD,$R$5:$R$750,TRUE())&gt;0),SUMIFS($S$5:$S$750,$B$5:$B$750,B475,$D$5:$D$750,WF_END_PERIOD,$R$5:$R$750,TRUE()),0)</f>
        <v>0</v>
      </c>
      <c r="V475" s="0" t="str">
        <f aca="false">IF(AND(D475=WF_START_PERIOD,COUNTIFS($B$5:$B$750,B475,$D$5:$D$750,WF_END_PERIOD)&gt;0),INDEX($E$5:$E$750,MATCH(B475&amp;"|"&amp;WF_END_PERIOD,$AC$5:$AC$750,0)),"")</f>
        <v/>
      </c>
      <c r="W475" s="11" t="b">
        <f aca="false">COUNTIFS($B$5:$B$750,B475,$D$5:$D$750,WF_START_PERIOD,$R$5:$R$750,TRUE())&gt;0</f>
        <v>1</v>
      </c>
      <c r="X475" s="11" t="b">
        <f aca="false">COUNTIFS($B$5:$B$750,B475,$D$5:$D$750,WF_END_PERIOD,$R$5:$R$750,TRUE())&gt;0</f>
        <v>1</v>
      </c>
      <c r="Y475" s="0" t="str">
        <f aca="false">IF(AND(D475=WF_END_PERIOD,COUNTIFS($B$5:$B$750,B475,$D$5:$D$750,WF_START_PERIOD)&gt;0),INDEX($E$5:$E$750,MATCH(B475&amp;"|"&amp;WF_START_PERIOD,$AC$5:$AC$750,0)),"")</f>
        <v/>
      </c>
      <c r="Z475" s="0" t="str">
        <f aca="false">IF(AND(D475=WF_END_PERIOD,R475),1+COUNTIFS($D$5:$D$750,WF_END_PERIOD,$E$5:$E$750,E475,$R$5:$R$750,TRUE(),$S$5:$S$750,"&gt;"&amp;S475)+COUNTIFS($D$5:$D$750,WF_END_PERIOD,$E$5:$E$750,E475,$R$5:$R$750,TRUE(),$S$5:$S$750,S475,$B$5:$B$750,"&lt;"&amp;B475),"")</f>
        <v/>
      </c>
      <c r="AA475" s="0" t="str">
        <f aca="false">IF(AND(D475=WF_END_PERIOD,R475,Z475&lt;&gt;1),1+COUNTIFS($D$5:$D$750,WF_END_PERIOD,$R$5:$R$750,TRUE(),$Z$5:$Z$750,"&lt;&gt;1",$S$5:$S$750,"&gt;"&amp;S475)+COUNTIFS($D$5:$D$750,WF_END_PERIOD,$R$5:$R$750,TRUE(),$Z$5:$Z$750,"&lt;&gt;1",$S$5:$S$750,S475,$B$5:$B$750,"&lt;"&amp;B475),"")</f>
        <v/>
      </c>
      <c r="AB475" s="11" t="b">
        <f aca="false">OR(D475=WF_START_PERIOD,D475=WF_END_PERIOD)</f>
        <v>0</v>
      </c>
      <c r="AC475" s="0" t="str">
        <f aca="false">B475&amp;"|"&amp;D475</f>
        <v>35206|20240331</v>
      </c>
    </row>
    <row r="476" customFormat="false" ht="15" hidden="false" customHeight="false" outlineLevel="0" collapsed="false">
      <c r="A476" s="0" t="n">
        <f aca="false">RawFinancials!A476</f>
        <v>473</v>
      </c>
      <c r="B476" s="0" t="n">
        <f aca="false">RawFinancials!C476</f>
        <v>4255</v>
      </c>
      <c r="C476" s="0" t="str">
        <f aca="false">RawFinancials!P476</f>
        <v>THE CAMDEN NATIONAL BANK</v>
      </c>
      <c r="D476" s="0" t="n">
        <f aca="false">RawFinancials!W476</f>
        <v>20240331</v>
      </c>
      <c r="E476" s="0" t="str">
        <f aca="false">RawFinancials!Z476</f>
        <v>ME</v>
      </c>
      <c r="F476" s="0" t="n">
        <f aca="false">RawFinancials!B476</f>
        <v>5784624</v>
      </c>
      <c r="G476" s="0" t="n">
        <f aca="false">RawFinancials!U476</f>
        <v>0</v>
      </c>
      <c r="H476" s="0" t="n">
        <f aca="false">RawFinancials!O476</f>
        <v>5658</v>
      </c>
      <c r="I476" s="0" t="n">
        <f aca="false">IF(AND(ISNUMBER(G476),ISNUMBER(H476)),G476+H476,"")</f>
        <v>5658</v>
      </c>
      <c r="J476" s="0" t="n">
        <f aca="false">RawFinancials!D476</f>
        <v>4586176</v>
      </c>
      <c r="K476" s="0" t="n">
        <f aca="false">RawFinancials!F476</f>
        <v>514258</v>
      </c>
      <c r="L476" s="0" t="n">
        <f aca="false">RawFinancials!L476</f>
        <v>4130564</v>
      </c>
      <c r="M476" s="0" t="n">
        <f aca="false">RawFinancials!N476</f>
        <v>3749893</v>
      </c>
      <c r="N476" s="13" t="n">
        <f aca="false">RawFinancials!X476</f>
        <v>0.965155557846469</v>
      </c>
      <c r="O476" s="13" t="n">
        <f aca="false">RawFinancials!V476</f>
        <v>13.8464365654592</v>
      </c>
      <c r="P476" s="13" t="n">
        <f aca="false">IF(AND(ISNUMBER(L476),L476&lt;&gt;0,ISNUMBER(M476)),100*M476/L476,"")</f>
        <v>90.7840430507795</v>
      </c>
      <c r="Q476" s="13" t="n">
        <f aca="false">IF(AND(ISNUMBER(F476),F476&lt;&gt;0,ISNUMBER(K476)),100*K476/F476,"")</f>
        <v>8.89008516370295</v>
      </c>
      <c r="R476" s="11" t="b">
        <f aca="false">AND(ISNUMBER(F476),F476&gt;0,ISNUMBER(G476),G476&gt;=0,ISNUMBER(H476),H476&gt;=0)</f>
        <v>1</v>
      </c>
      <c r="S476" s="13" t="n">
        <f aca="false">IF(R476,100*I476/F476,"")</f>
        <v>0.097811024536772</v>
      </c>
      <c r="T476" s="11" t="b">
        <f aca="false">NOT(AND(OR(AND(ISBLANK(RawFinancials!B476),ISBLANK(_RawBaseline!B473)),AND(ISNUMBER(RawFinancials!B476),ISNUMBER(_RawBaseline!B473),RawFinancials!B476=_RawBaseline!B473)),OR(AND(ISBLANK(RawFinancials!U476),ISBLANK(_RawBaseline!U473)),AND(ISNUMBER(RawFinancials!U476),ISNUMBER(_RawBaseline!U473),RawFinancials!U476=_RawBaseline!U473)),OR(AND(ISBLANK(RawFinancials!O476),ISBLANK(_RawBaseline!O473)),AND(ISNUMBER(RawFinancials!O476),ISNUMBER(_RawBaseline!O473),RawFinancials!O476=_RawBaseline!O473))))</f>
        <v>0</v>
      </c>
      <c r="U476" s="13" t="n">
        <f aca="false">IF(AND(D476=WF_START_PERIOD,R476,COUNTIFS($B$5:$B$750,B476,$D$5:$D$750,WF_END_PERIOD,$R$5:$R$750,TRUE())&gt;0),SUMIFS($S$5:$S$750,$B$5:$B$750,B476,$D$5:$D$750,WF_END_PERIOD,$R$5:$R$750,TRUE()),0)</f>
        <v>0</v>
      </c>
      <c r="V476" s="0" t="str">
        <f aca="false">IF(AND(D476=WF_START_PERIOD,COUNTIFS($B$5:$B$750,B476,$D$5:$D$750,WF_END_PERIOD)&gt;0),INDEX($E$5:$E$750,MATCH(B476&amp;"|"&amp;WF_END_PERIOD,$AC$5:$AC$750,0)),"")</f>
        <v/>
      </c>
      <c r="W476" s="11" t="b">
        <f aca="false">COUNTIFS($B$5:$B$750,B476,$D$5:$D$750,WF_START_PERIOD,$R$5:$R$750,TRUE())&gt;0</f>
        <v>1</v>
      </c>
      <c r="X476" s="11" t="b">
        <f aca="false">COUNTIFS($B$5:$B$750,B476,$D$5:$D$750,WF_END_PERIOD,$R$5:$R$750,TRUE())&gt;0</f>
        <v>1</v>
      </c>
      <c r="Y476" s="0" t="str">
        <f aca="false">IF(AND(D476=WF_END_PERIOD,COUNTIFS($B$5:$B$750,B476,$D$5:$D$750,WF_START_PERIOD)&gt;0),INDEX($E$5:$E$750,MATCH(B476&amp;"|"&amp;WF_START_PERIOD,$AC$5:$AC$750,0)),"")</f>
        <v/>
      </c>
      <c r="Z476" s="0" t="str">
        <f aca="false">IF(AND(D476=WF_END_PERIOD,R476),1+COUNTIFS($D$5:$D$750,WF_END_PERIOD,$E$5:$E$750,E476,$R$5:$R$750,TRUE(),$S$5:$S$750,"&gt;"&amp;S476)+COUNTIFS($D$5:$D$750,WF_END_PERIOD,$E$5:$E$750,E476,$R$5:$R$750,TRUE(),$S$5:$S$750,S476,$B$5:$B$750,"&lt;"&amp;B476),"")</f>
        <v/>
      </c>
      <c r="AA476" s="0" t="str">
        <f aca="false">IF(AND(D476=WF_END_PERIOD,R476,Z476&lt;&gt;1),1+COUNTIFS($D$5:$D$750,WF_END_PERIOD,$R$5:$R$750,TRUE(),$Z$5:$Z$750,"&lt;&gt;1",$S$5:$S$750,"&gt;"&amp;S476)+COUNTIFS($D$5:$D$750,WF_END_PERIOD,$R$5:$R$750,TRUE(),$Z$5:$Z$750,"&lt;&gt;1",$S$5:$S$750,S476,$B$5:$B$750,"&lt;"&amp;B476),"")</f>
        <v/>
      </c>
      <c r="AB476" s="11" t="b">
        <f aca="false">OR(D476=WF_START_PERIOD,D476=WF_END_PERIOD)</f>
        <v>0</v>
      </c>
      <c r="AC476" s="0" t="str">
        <f aca="false">B476&amp;"|"&amp;D476</f>
        <v>4255|20240331</v>
      </c>
    </row>
    <row r="477" customFormat="false" ht="15" hidden="false" customHeight="false" outlineLevel="0" collapsed="false">
      <c r="A477" s="0" t="n">
        <f aca="false">RawFinancials!A477</f>
        <v>474</v>
      </c>
      <c r="B477" s="0" t="n">
        <f aca="false">RawFinancials!C477</f>
        <v>4256</v>
      </c>
      <c r="C477" s="0" t="str">
        <f aca="false">RawFinancials!P477</f>
        <v>FIRST NATIONAL BANK</v>
      </c>
      <c r="D477" s="0" t="n">
        <f aca="false">RawFinancials!W477</f>
        <v>20240331</v>
      </c>
      <c r="E477" s="0" t="str">
        <f aca="false">RawFinancials!Z477</f>
        <v>ME</v>
      </c>
      <c r="F477" s="0" t="n">
        <f aca="false">RawFinancials!B477</f>
        <v>2942447</v>
      </c>
      <c r="G477" s="0" t="n">
        <f aca="false">RawFinancials!U477</f>
        <v>49</v>
      </c>
      <c r="H477" s="0" t="n">
        <f aca="false">RawFinancials!O477</f>
        <v>2710</v>
      </c>
      <c r="I477" s="0" t="n">
        <f aca="false">IF(AND(ISNUMBER(G477),ISNUMBER(H477)),G477+H477,"")</f>
        <v>2759</v>
      </c>
      <c r="J477" s="0" t="n">
        <f aca="false">RawFinancials!D477</f>
        <v>2549402</v>
      </c>
      <c r="K477" s="0" t="n">
        <f aca="false">RawFinancials!F477</f>
        <v>214088</v>
      </c>
      <c r="L477" s="0" t="n">
        <f aca="false">RawFinancials!L477</f>
        <v>2173746</v>
      </c>
      <c r="M477" s="0" t="n">
        <f aca="false">RawFinancials!N477</f>
        <v>1739026</v>
      </c>
      <c r="N477" s="13" t="n">
        <f aca="false">RawFinancials!X477</f>
        <v>0.85553165791717</v>
      </c>
      <c r="O477" s="13" t="n">
        <f aca="false">RawFinancials!V477</f>
        <v>13.4945885990368</v>
      </c>
      <c r="P477" s="13" t="n">
        <f aca="false">IF(AND(ISNUMBER(L477),L477&lt;&gt;0,ISNUMBER(M477)),100*M477/L477,"")</f>
        <v>80.0013433032194</v>
      </c>
      <c r="Q477" s="13" t="n">
        <f aca="false">IF(AND(ISNUMBER(F477),F477&lt;&gt;0,ISNUMBER(K477)),100*K477/F477,"")</f>
        <v>7.27584897875816</v>
      </c>
      <c r="R477" s="11" t="b">
        <f aca="false">AND(ISNUMBER(F477),F477&gt;0,ISNUMBER(G477),G477&gt;=0,ISNUMBER(H477),H477&gt;=0)</f>
        <v>1</v>
      </c>
      <c r="S477" s="13" t="n">
        <f aca="false">IF(R477,100*I477/F477,"")</f>
        <v>0.0937654951813915</v>
      </c>
      <c r="T477" s="11" t="b">
        <f aca="false">NOT(AND(OR(AND(ISBLANK(RawFinancials!B477),ISBLANK(_RawBaseline!B474)),AND(ISNUMBER(RawFinancials!B477),ISNUMBER(_RawBaseline!B474),RawFinancials!B477=_RawBaseline!B474)),OR(AND(ISBLANK(RawFinancials!U477),ISBLANK(_RawBaseline!U474)),AND(ISNUMBER(RawFinancials!U477),ISNUMBER(_RawBaseline!U474),RawFinancials!U477=_RawBaseline!U474)),OR(AND(ISBLANK(RawFinancials!O477),ISBLANK(_RawBaseline!O474)),AND(ISNUMBER(RawFinancials!O477),ISNUMBER(_RawBaseline!O474),RawFinancials!O477=_RawBaseline!O474))))</f>
        <v>0</v>
      </c>
      <c r="U477" s="13" t="n">
        <f aca="false">IF(AND(D477=WF_START_PERIOD,R477,COUNTIFS($B$5:$B$750,B477,$D$5:$D$750,WF_END_PERIOD,$R$5:$R$750,TRUE())&gt;0),SUMIFS($S$5:$S$750,$B$5:$B$750,B477,$D$5:$D$750,WF_END_PERIOD,$R$5:$R$750,TRUE()),0)</f>
        <v>0</v>
      </c>
      <c r="V477" s="0" t="str">
        <f aca="false">IF(AND(D477=WF_START_PERIOD,COUNTIFS($B$5:$B$750,B477,$D$5:$D$750,WF_END_PERIOD)&gt;0),INDEX($E$5:$E$750,MATCH(B477&amp;"|"&amp;WF_END_PERIOD,$AC$5:$AC$750,0)),"")</f>
        <v/>
      </c>
      <c r="W477" s="11" t="b">
        <f aca="false">COUNTIFS($B$5:$B$750,B477,$D$5:$D$750,WF_START_PERIOD,$R$5:$R$750,TRUE())&gt;0</f>
        <v>1</v>
      </c>
      <c r="X477" s="11" t="b">
        <f aca="false">COUNTIFS($B$5:$B$750,B477,$D$5:$D$750,WF_END_PERIOD,$R$5:$R$750,TRUE())&gt;0</f>
        <v>1</v>
      </c>
      <c r="Y477" s="0" t="str">
        <f aca="false">IF(AND(D477=WF_END_PERIOD,COUNTIFS($B$5:$B$750,B477,$D$5:$D$750,WF_START_PERIOD)&gt;0),INDEX($E$5:$E$750,MATCH(B477&amp;"|"&amp;WF_START_PERIOD,$AC$5:$AC$750,0)),"")</f>
        <v/>
      </c>
      <c r="Z477" s="0" t="str">
        <f aca="false">IF(AND(D477=WF_END_PERIOD,R477),1+COUNTIFS($D$5:$D$750,WF_END_PERIOD,$E$5:$E$750,E477,$R$5:$R$750,TRUE(),$S$5:$S$750,"&gt;"&amp;S477)+COUNTIFS($D$5:$D$750,WF_END_PERIOD,$E$5:$E$750,E477,$R$5:$R$750,TRUE(),$S$5:$S$750,S477,$B$5:$B$750,"&lt;"&amp;B477),"")</f>
        <v/>
      </c>
      <c r="AA477" s="0" t="str">
        <f aca="false">IF(AND(D477=WF_END_PERIOD,R477,Z477&lt;&gt;1),1+COUNTIFS($D$5:$D$750,WF_END_PERIOD,$R$5:$R$750,TRUE(),$Z$5:$Z$750,"&lt;&gt;1",$S$5:$S$750,"&gt;"&amp;S477)+COUNTIFS($D$5:$D$750,WF_END_PERIOD,$R$5:$R$750,TRUE(),$Z$5:$Z$750,"&lt;&gt;1",$S$5:$S$750,S477,$B$5:$B$750,"&lt;"&amp;B477),"")</f>
        <v/>
      </c>
      <c r="AB477" s="11" t="b">
        <f aca="false">OR(D477=WF_START_PERIOD,D477=WF_END_PERIOD)</f>
        <v>0</v>
      </c>
      <c r="AC477" s="0" t="str">
        <f aca="false">B477&amp;"|"&amp;D477</f>
        <v>4256|20240331</v>
      </c>
    </row>
    <row r="478" customFormat="false" ht="15" hidden="false" customHeight="false" outlineLevel="0" collapsed="false">
      <c r="A478" s="0" t="n">
        <f aca="false">RawFinancials!A478</f>
        <v>475</v>
      </c>
      <c r="B478" s="0" t="n">
        <f aca="false">RawFinancials!C478</f>
        <v>59086</v>
      </c>
      <c r="C478" s="0" t="str">
        <f aca="false">RawFinancials!P478</f>
        <v>PRIMARY BANK</v>
      </c>
      <c r="D478" s="0" t="n">
        <f aca="false">RawFinancials!W478</f>
        <v>20240331</v>
      </c>
      <c r="E478" s="0" t="str">
        <f aca="false">RawFinancials!Z478</f>
        <v>NH</v>
      </c>
      <c r="F478" s="0" t="n">
        <f aca="false">RawFinancials!B478</f>
        <v>697280</v>
      </c>
      <c r="G478" s="0" t="n">
        <f aca="false">RawFinancials!U478</f>
        <v>0</v>
      </c>
      <c r="H478" s="0" t="n">
        <f aca="false">RawFinancials!O478</f>
        <v>4483</v>
      </c>
      <c r="I478" s="0" t="n">
        <f aca="false">IF(AND(ISNUMBER(G478),ISNUMBER(H478)),G478+H478,"")</f>
        <v>4483</v>
      </c>
      <c r="J478" s="0" t="n">
        <f aca="false">RawFinancials!D478</f>
        <v>594743</v>
      </c>
      <c r="K478" s="0" t="n">
        <f aca="false">RawFinancials!F478</f>
        <v>90844</v>
      </c>
      <c r="L478" s="0" t="n">
        <f aca="false">RawFinancials!L478</f>
        <v>585578</v>
      </c>
      <c r="M478" s="0" t="n">
        <f aca="false">RawFinancials!N478</f>
        <v>474718</v>
      </c>
      <c r="N478" s="13" t="n">
        <f aca="false">RawFinancials!X478</f>
        <v>1.50861107954586</v>
      </c>
      <c r="O478" s="13" t="n">
        <f aca="false">RawFinancials!V478</f>
        <v>15.5722724532851</v>
      </c>
      <c r="P478" s="13" t="n">
        <f aca="false">IF(AND(ISNUMBER(L478),L478&lt;&gt;0,ISNUMBER(M478)),100*M478/L478,"")</f>
        <v>81.0682778383068</v>
      </c>
      <c r="Q478" s="13" t="n">
        <f aca="false">IF(AND(ISNUMBER(F478),F478&lt;&gt;0,ISNUMBER(K478)),100*K478/F478,"")</f>
        <v>13.0283386874713</v>
      </c>
      <c r="R478" s="11" t="b">
        <f aca="false">AND(ISNUMBER(F478),F478&gt;0,ISNUMBER(G478),G478&gt;=0,ISNUMBER(H478),H478&gt;=0)</f>
        <v>1</v>
      </c>
      <c r="S478" s="13" t="n">
        <f aca="false">IF(R478,100*I478/F478,"")</f>
        <v>0.642926801284993</v>
      </c>
      <c r="T478" s="11" t="b">
        <f aca="false">NOT(AND(OR(AND(ISBLANK(RawFinancials!B478),ISBLANK(_RawBaseline!B475)),AND(ISNUMBER(RawFinancials!B478),ISNUMBER(_RawBaseline!B475),RawFinancials!B478=_RawBaseline!B475)),OR(AND(ISBLANK(RawFinancials!U478),ISBLANK(_RawBaseline!U475)),AND(ISNUMBER(RawFinancials!U478),ISNUMBER(_RawBaseline!U475),RawFinancials!U478=_RawBaseline!U475)),OR(AND(ISBLANK(RawFinancials!O478),ISBLANK(_RawBaseline!O475)),AND(ISNUMBER(RawFinancials!O478),ISNUMBER(_RawBaseline!O475),RawFinancials!O478=_RawBaseline!O475))))</f>
        <v>0</v>
      </c>
      <c r="U478" s="13" t="n">
        <f aca="false">IF(AND(D478=WF_START_PERIOD,R478,COUNTIFS($B$5:$B$750,B478,$D$5:$D$750,WF_END_PERIOD,$R$5:$R$750,TRUE())&gt;0),SUMIFS($S$5:$S$750,$B$5:$B$750,B478,$D$5:$D$750,WF_END_PERIOD,$R$5:$R$750,TRUE()),0)</f>
        <v>0</v>
      </c>
      <c r="V478" s="0" t="str">
        <f aca="false">IF(AND(D478=WF_START_PERIOD,COUNTIFS($B$5:$B$750,B478,$D$5:$D$750,WF_END_PERIOD)&gt;0),INDEX($E$5:$E$750,MATCH(B478&amp;"|"&amp;WF_END_PERIOD,$AC$5:$AC$750,0)),"")</f>
        <v/>
      </c>
      <c r="W478" s="11" t="b">
        <f aca="false">COUNTIFS($B$5:$B$750,B478,$D$5:$D$750,WF_START_PERIOD,$R$5:$R$750,TRUE())&gt;0</f>
        <v>1</v>
      </c>
      <c r="X478" s="11" t="b">
        <f aca="false">COUNTIFS($B$5:$B$750,B478,$D$5:$D$750,WF_END_PERIOD,$R$5:$R$750,TRUE())&gt;0</f>
        <v>1</v>
      </c>
      <c r="Y478" s="0" t="str">
        <f aca="false">IF(AND(D478=WF_END_PERIOD,COUNTIFS($B$5:$B$750,B478,$D$5:$D$750,WF_START_PERIOD)&gt;0),INDEX($E$5:$E$750,MATCH(B478&amp;"|"&amp;WF_START_PERIOD,$AC$5:$AC$750,0)),"")</f>
        <v/>
      </c>
      <c r="Z478" s="0" t="str">
        <f aca="false">IF(AND(D478=WF_END_PERIOD,R478),1+COUNTIFS($D$5:$D$750,WF_END_PERIOD,$E$5:$E$750,E478,$R$5:$R$750,TRUE(),$S$5:$S$750,"&gt;"&amp;S478)+COUNTIFS($D$5:$D$750,WF_END_PERIOD,$E$5:$E$750,E478,$R$5:$R$750,TRUE(),$S$5:$S$750,S478,$B$5:$B$750,"&lt;"&amp;B478),"")</f>
        <v/>
      </c>
      <c r="AA478" s="0" t="str">
        <f aca="false">IF(AND(D478=WF_END_PERIOD,R478,Z478&lt;&gt;1),1+COUNTIFS($D$5:$D$750,WF_END_PERIOD,$R$5:$R$750,TRUE(),$Z$5:$Z$750,"&lt;&gt;1",$S$5:$S$750,"&gt;"&amp;S478)+COUNTIFS($D$5:$D$750,WF_END_PERIOD,$R$5:$R$750,TRUE(),$Z$5:$Z$750,"&lt;&gt;1",$S$5:$S$750,S478,$B$5:$B$750,"&lt;"&amp;B478),"")</f>
        <v/>
      </c>
      <c r="AB478" s="11" t="b">
        <f aca="false">OR(D478=WF_START_PERIOD,D478=WF_END_PERIOD)</f>
        <v>0</v>
      </c>
      <c r="AC478" s="0" t="str">
        <f aca="false">B478&amp;"|"&amp;D478</f>
        <v>59086|20240331</v>
      </c>
    </row>
    <row r="479" customFormat="false" ht="15" hidden="false" customHeight="false" outlineLevel="0" collapsed="false">
      <c r="A479" s="0" t="n">
        <f aca="false">RawFinancials!A479</f>
        <v>476</v>
      </c>
      <c r="B479" s="0" t="n">
        <f aca="false">RawFinancials!C479</f>
        <v>59176</v>
      </c>
      <c r="C479" s="0" t="str">
        <f aca="false">RawFinancials!P479</f>
        <v>THE MILLYARD BANK</v>
      </c>
      <c r="D479" s="0" t="n">
        <f aca="false">RawFinancials!W479</f>
        <v>20240331</v>
      </c>
      <c r="E479" s="0" t="str">
        <f aca="false">RawFinancials!Z479</f>
        <v>NH</v>
      </c>
      <c r="F479" s="0" t="n">
        <f aca="false">RawFinancials!B479</f>
        <v>222037</v>
      </c>
      <c r="G479" s="0" t="n">
        <f aca="false">RawFinancials!U479</f>
        <v>0</v>
      </c>
      <c r="H479" s="0" t="n">
        <f aca="false">RawFinancials!O479</f>
        <v>0</v>
      </c>
      <c r="I479" s="0" t="n">
        <f aca="false">IF(AND(ISNUMBER(G479),ISNUMBER(H479)),G479+H479,"")</f>
        <v>0</v>
      </c>
      <c r="J479" s="0" t="n">
        <f aca="false">RawFinancials!D479</f>
        <v>182535</v>
      </c>
      <c r="K479" s="0" t="n">
        <f aca="false">RawFinancials!F479</f>
        <v>26809</v>
      </c>
      <c r="L479" s="0" t="n">
        <f aca="false">RawFinancials!L479</f>
        <v>155520</v>
      </c>
      <c r="M479" s="0" t="n">
        <f aca="false">RawFinancials!N479</f>
        <v>132126</v>
      </c>
      <c r="N479" s="13" t="n">
        <f aca="false">RawFinancials!X479</f>
        <v>-0.0643345396059509</v>
      </c>
      <c r="O479" s="13" t="n">
        <f aca="false">RawFinancials!V479</f>
        <v>18.0162937093356</v>
      </c>
      <c r="P479" s="13" t="n">
        <f aca="false">IF(AND(ISNUMBER(L479),L479&lt;&gt;0,ISNUMBER(M479)),100*M479/L479,"")</f>
        <v>84.9575617283951</v>
      </c>
      <c r="Q479" s="13" t="n">
        <f aca="false">IF(AND(ISNUMBER(F479),F479&lt;&gt;0,ISNUMBER(K479)),100*K479/F479,"")</f>
        <v>12.0741137738305</v>
      </c>
      <c r="R479" s="11" t="b">
        <f aca="false">AND(ISNUMBER(F479),F479&gt;0,ISNUMBER(G479),G479&gt;=0,ISNUMBER(H479),H479&gt;=0)</f>
        <v>1</v>
      </c>
      <c r="S479" s="13" t="n">
        <f aca="false">IF(R479,100*I479/F479,"")</f>
        <v>0</v>
      </c>
      <c r="T479" s="11" t="b">
        <f aca="false">NOT(AND(OR(AND(ISBLANK(RawFinancials!B479),ISBLANK(_RawBaseline!B476)),AND(ISNUMBER(RawFinancials!B479),ISNUMBER(_RawBaseline!B476),RawFinancials!B479=_RawBaseline!B476)),OR(AND(ISBLANK(RawFinancials!U479),ISBLANK(_RawBaseline!U476)),AND(ISNUMBER(RawFinancials!U479),ISNUMBER(_RawBaseline!U476),RawFinancials!U479=_RawBaseline!U476)),OR(AND(ISBLANK(RawFinancials!O479),ISBLANK(_RawBaseline!O476)),AND(ISNUMBER(RawFinancials!O479),ISNUMBER(_RawBaseline!O476),RawFinancials!O479=_RawBaseline!O476))))</f>
        <v>0</v>
      </c>
      <c r="U479" s="13" t="n">
        <f aca="false">IF(AND(D479=WF_START_PERIOD,R479,COUNTIFS($B$5:$B$750,B479,$D$5:$D$750,WF_END_PERIOD,$R$5:$R$750,TRUE())&gt;0),SUMIFS($S$5:$S$750,$B$5:$B$750,B479,$D$5:$D$750,WF_END_PERIOD,$R$5:$R$750,TRUE()),0)</f>
        <v>0</v>
      </c>
      <c r="V479" s="0" t="str">
        <f aca="false">IF(AND(D479=WF_START_PERIOD,COUNTIFS($B$5:$B$750,B479,$D$5:$D$750,WF_END_PERIOD)&gt;0),INDEX($E$5:$E$750,MATCH(B479&amp;"|"&amp;WF_END_PERIOD,$AC$5:$AC$750,0)),"")</f>
        <v/>
      </c>
      <c r="W479" s="11" t="b">
        <f aca="false">COUNTIFS($B$5:$B$750,B479,$D$5:$D$750,WF_START_PERIOD,$R$5:$R$750,TRUE())&gt;0</f>
        <v>1</v>
      </c>
      <c r="X479" s="11" t="b">
        <f aca="false">COUNTIFS($B$5:$B$750,B479,$D$5:$D$750,WF_END_PERIOD,$R$5:$R$750,TRUE())&gt;0</f>
        <v>1</v>
      </c>
      <c r="Y479" s="0" t="str">
        <f aca="false">IF(AND(D479=WF_END_PERIOD,COUNTIFS($B$5:$B$750,B479,$D$5:$D$750,WF_START_PERIOD)&gt;0),INDEX($E$5:$E$750,MATCH(B479&amp;"|"&amp;WF_START_PERIOD,$AC$5:$AC$750,0)),"")</f>
        <v/>
      </c>
      <c r="Z479" s="0" t="str">
        <f aca="false">IF(AND(D479=WF_END_PERIOD,R479),1+COUNTIFS($D$5:$D$750,WF_END_PERIOD,$E$5:$E$750,E479,$R$5:$R$750,TRUE(),$S$5:$S$750,"&gt;"&amp;S479)+COUNTIFS($D$5:$D$750,WF_END_PERIOD,$E$5:$E$750,E479,$R$5:$R$750,TRUE(),$S$5:$S$750,S479,$B$5:$B$750,"&lt;"&amp;B479),"")</f>
        <v/>
      </c>
      <c r="AA479" s="0" t="str">
        <f aca="false">IF(AND(D479=WF_END_PERIOD,R479,Z479&lt;&gt;1),1+COUNTIFS($D$5:$D$750,WF_END_PERIOD,$R$5:$R$750,TRUE(),$Z$5:$Z$750,"&lt;&gt;1",$S$5:$S$750,"&gt;"&amp;S479)+COUNTIFS($D$5:$D$750,WF_END_PERIOD,$R$5:$R$750,TRUE(),$Z$5:$Z$750,"&lt;&gt;1",$S$5:$S$750,S479,$B$5:$B$750,"&lt;"&amp;B479),"")</f>
        <v/>
      </c>
      <c r="AB479" s="11" t="b">
        <f aca="false">OR(D479=WF_START_PERIOD,D479=WF_END_PERIOD)</f>
        <v>0</v>
      </c>
      <c r="AC479" s="0" t="str">
        <f aca="false">B479&amp;"|"&amp;D479</f>
        <v>59176|20240331</v>
      </c>
    </row>
    <row r="480" customFormat="false" ht="15" hidden="false" customHeight="false" outlineLevel="0" collapsed="false">
      <c r="A480" s="0" t="n">
        <f aca="false">RawFinancials!A480</f>
        <v>477</v>
      </c>
      <c r="B480" s="0" t="n">
        <f aca="false">RawFinancials!C480</f>
        <v>59289</v>
      </c>
      <c r="C480" s="0" t="str">
        <f aca="false">RawFinancials!P480</f>
        <v>WALDEN MUTUAL BANK</v>
      </c>
      <c r="D480" s="0" t="n">
        <f aca="false">RawFinancials!W480</f>
        <v>20240331</v>
      </c>
      <c r="E480" s="0" t="str">
        <f aca="false">RawFinancials!Z480</f>
        <v>NH</v>
      </c>
      <c r="F480" s="0" t="n">
        <f aca="false">RawFinancials!B480</f>
        <v>93964</v>
      </c>
      <c r="G480" s="0" t="n">
        <f aca="false">RawFinancials!U480</f>
        <v>0</v>
      </c>
      <c r="H480" s="0" t="n">
        <f aca="false">RawFinancials!O480</f>
        <v>327</v>
      </c>
      <c r="I480" s="0" t="n">
        <f aca="false">IF(AND(ISNUMBER(G480),ISNUMBER(H480)),G480+H480,"")</f>
        <v>327</v>
      </c>
      <c r="J480" s="0" t="n">
        <f aca="false">RawFinancials!D480</f>
        <v>74106</v>
      </c>
      <c r="K480" s="0" t="n">
        <f aca="false">RawFinancials!F480</f>
        <v>18864</v>
      </c>
      <c r="L480" s="0" t="n">
        <f aca="false">RawFinancials!L480</f>
        <v>45541</v>
      </c>
      <c r="M480" s="0" t="n">
        <f aca="false">RawFinancials!N480</f>
        <v>18119</v>
      </c>
      <c r="N480" s="13" t="n">
        <f aca="false">RawFinancials!X480</f>
        <v>-1.65604118871675</v>
      </c>
      <c r="O480" s="13" t="n">
        <f aca="false">RawFinancials!V480</f>
        <v>0</v>
      </c>
      <c r="P480" s="13" t="n">
        <f aca="false">IF(AND(ISNUMBER(L480),L480&lt;&gt;0,ISNUMBER(M480)),100*M480/L480,"")</f>
        <v>39.7861267868514</v>
      </c>
      <c r="Q480" s="13" t="n">
        <f aca="false">IF(AND(ISNUMBER(F480),F480&lt;&gt;0,ISNUMBER(K480)),100*K480/F480,"")</f>
        <v>20.0757737005662</v>
      </c>
      <c r="R480" s="11" t="b">
        <f aca="false">AND(ISNUMBER(F480),F480&gt;0,ISNUMBER(G480),G480&gt;=0,ISNUMBER(H480),H480&gt;=0)</f>
        <v>1</v>
      </c>
      <c r="S480" s="13" t="n">
        <f aca="false">IF(R480,100*I480/F480,"")</f>
        <v>0.3480056191733</v>
      </c>
      <c r="T480" s="11" t="b">
        <f aca="false">NOT(AND(OR(AND(ISBLANK(RawFinancials!B480),ISBLANK(_RawBaseline!B477)),AND(ISNUMBER(RawFinancials!B480),ISNUMBER(_RawBaseline!B477),RawFinancials!B480=_RawBaseline!B477)),OR(AND(ISBLANK(RawFinancials!U480),ISBLANK(_RawBaseline!U477)),AND(ISNUMBER(RawFinancials!U480),ISNUMBER(_RawBaseline!U477),RawFinancials!U480=_RawBaseline!U477)),OR(AND(ISBLANK(RawFinancials!O480),ISBLANK(_RawBaseline!O477)),AND(ISNUMBER(RawFinancials!O480),ISNUMBER(_RawBaseline!O477),RawFinancials!O480=_RawBaseline!O477))))</f>
        <v>0</v>
      </c>
      <c r="U480" s="13" t="n">
        <f aca="false">IF(AND(D480=WF_START_PERIOD,R480,COUNTIFS($B$5:$B$750,B480,$D$5:$D$750,WF_END_PERIOD,$R$5:$R$750,TRUE())&gt;0),SUMIFS($S$5:$S$750,$B$5:$B$750,B480,$D$5:$D$750,WF_END_PERIOD,$R$5:$R$750,TRUE()),0)</f>
        <v>0</v>
      </c>
      <c r="V480" s="0" t="str">
        <f aca="false">IF(AND(D480=WF_START_PERIOD,COUNTIFS($B$5:$B$750,B480,$D$5:$D$750,WF_END_PERIOD)&gt;0),INDEX($E$5:$E$750,MATCH(B480&amp;"|"&amp;WF_END_PERIOD,$AC$5:$AC$750,0)),"")</f>
        <v/>
      </c>
      <c r="W480" s="11" t="b">
        <f aca="false">COUNTIFS($B$5:$B$750,B480,$D$5:$D$750,WF_START_PERIOD,$R$5:$R$750,TRUE())&gt;0</f>
        <v>1</v>
      </c>
      <c r="X480" s="11" t="b">
        <f aca="false">COUNTIFS($B$5:$B$750,B480,$D$5:$D$750,WF_END_PERIOD,$R$5:$R$750,TRUE())&gt;0</f>
        <v>1</v>
      </c>
      <c r="Y480" s="0" t="str">
        <f aca="false">IF(AND(D480=WF_END_PERIOD,COUNTIFS($B$5:$B$750,B480,$D$5:$D$750,WF_START_PERIOD)&gt;0),INDEX($E$5:$E$750,MATCH(B480&amp;"|"&amp;WF_START_PERIOD,$AC$5:$AC$750,0)),"")</f>
        <v/>
      </c>
      <c r="Z480" s="0" t="str">
        <f aca="false">IF(AND(D480=WF_END_PERIOD,R480),1+COUNTIFS($D$5:$D$750,WF_END_PERIOD,$E$5:$E$750,E480,$R$5:$R$750,TRUE(),$S$5:$S$750,"&gt;"&amp;S480)+COUNTIFS($D$5:$D$750,WF_END_PERIOD,$E$5:$E$750,E480,$R$5:$R$750,TRUE(),$S$5:$S$750,S480,$B$5:$B$750,"&lt;"&amp;B480),"")</f>
        <v/>
      </c>
      <c r="AA480" s="0" t="str">
        <f aca="false">IF(AND(D480=WF_END_PERIOD,R480,Z480&lt;&gt;1),1+COUNTIFS($D$5:$D$750,WF_END_PERIOD,$R$5:$R$750,TRUE(),$Z$5:$Z$750,"&lt;&gt;1",$S$5:$S$750,"&gt;"&amp;S480)+COUNTIFS($D$5:$D$750,WF_END_PERIOD,$R$5:$R$750,TRUE(),$Z$5:$Z$750,"&lt;&gt;1",$S$5:$S$750,S480,$B$5:$B$750,"&lt;"&amp;B480),"")</f>
        <v/>
      </c>
      <c r="AB480" s="11" t="b">
        <f aca="false">OR(D480=WF_START_PERIOD,D480=WF_END_PERIOD)</f>
        <v>0</v>
      </c>
      <c r="AC480" s="0" t="str">
        <f aca="false">B480&amp;"|"&amp;D480</f>
        <v>59289|20240331</v>
      </c>
    </row>
    <row r="481" customFormat="false" ht="15" hidden="false" customHeight="false" outlineLevel="0" collapsed="false">
      <c r="A481" s="0" t="n">
        <f aca="false">RawFinancials!A481</f>
        <v>478</v>
      </c>
      <c r="B481" s="0" t="n">
        <f aca="false">RawFinancials!C481</f>
        <v>59298</v>
      </c>
      <c r="C481" s="0" t="str">
        <f aca="false">RawFinancials!P481</f>
        <v>BANK OF BURLINGTON</v>
      </c>
      <c r="D481" s="0" t="n">
        <f aca="false">RawFinancials!W481</f>
        <v>20240331</v>
      </c>
      <c r="E481" s="0" t="str">
        <f aca="false">RawFinancials!Z481</f>
        <v>VT</v>
      </c>
      <c r="F481" s="0" t="n">
        <f aca="false">RawFinancials!B481</f>
        <v>169806</v>
      </c>
      <c r="G481" s="0" t="n">
        <f aca="false">RawFinancials!U481</f>
        <v>0</v>
      </c>
      <c r="H481" s="0" t="n">
        <f aca="false">RawFinancials!O481</f>
        <v>0</v>
      </c>
      <c r="I481" s="0" t="n">
        <f aca="false">IF(AND(ISNUMBER(G481),ISNUMBER(H481)),G481+H481,"")</f>
        <v>0</v>
      </c>
      <c r="J481" s="0" t="n">
        <f aca="false">RawFinancials!D481</f>
        <v>142779</v>
      </c>
      <c r="K481" s="0" t="n">
        <f aca="false">RawFinancials!F481</f>
        <v>26235</v>
      </c>
      <c r="L481" s="0" t="n">
        <f aca="false">RawFinancials!L481</f>
        <v>84880</v>
      </c>
      <c r="M481" s="0" t="n">
        <f aca="false">RawFinancials!N481</f>
        <v>66264</v>
      </c>
      <c r="N481" s="13" t="n">
        <f aca="false">RawFinancials!X481</f>
        <v>-1.2766578313839</v>
      </c>
      <c r="O481" s="13" t="n">
        <f aca="false">RawFinancials!V481</f>
        <v>0</v>
      </c>
      <c r="P481" s="13" t="n">
        <f aca="false">IF(AND(ISNUMBER(L481),L481&lt;&gt;0,ISNUMBER(M481)),100*M481/L481,"")</f>
        <v>78.0678605089538</v>
      </c>
      <c r="Q481" s="13" t="n">
        <f aca="false">IF(AND(ISNUMBER(F481),F481&lt;&gt;0,ISNUMBER(K481)),100*K481/F481,"")</f>
        <v>15.4499840995018</v>
      </c>
      <c r="R481" s="11" t="b">
        <f aca="false">AND(ISNUMBER(F481),F481&gt;0,ISNUMBER(G481),G481&gt;=0,ISNUMBER(H481),H481&gt;=0)</f>
        <v>1</v>
      </c>
      <c r="S481" s="13" t="n">
        <f aca="false">IF(R481,100*I481/F481,"")</f>
        <v>0</v>
      </c>
      <c r="T481" s="11" t="b">
        <f aca="false">NOT(AND(OR(AND(ISBLANK(RawFinancials!B481),ISBLANK(_RawBaseline!B478)),AND(ISNUMBER(RawFinancials!B481),ISNUMBER(_RawBaseline!B478),RawFinancials!B481=_RawBaseline!B478)),OR(AND(ISBLANK(RawFinancials!U481),ISBLANK(_RawBaseline!U478)),AND(ISNUMBER(RawFinancials!U481),ISNUMBER(_RawBaseline!U478),RawFinancials!U481=_RawBaseline!U478)),OR(AND(ISBLANK(RawFinancials!O481),ISBLANK(_RawBaseline!O478)),AND(ISNUMBER(RawFinancials!O481),ISNUMBER(_RawBaseline!O478),RawFinancials!O481=_RawBaseline!O478))))</f>
        <v>0</v>
      </c>
      <c r="U481" s="13" t="n">
        <f aca="false">IF(AND(D481=WF_START_PERIOD,R481,COUNTIFS($B$5:$B$750,B481,$D$5:$D$750,WF_END_PERIOD,$R$5:$R$750,TRUE())&gt;0),SUMIFS($S$5:$S$750,$B$5:$B$750,B481,$D$5:$D$750,WF_END_PERIOD,$R$5:$R$750,TRUE()),0)</f>
        <v>0</v>
      </c>
      <c r="V481" s="0" t="str">
        <f aca="false">IF(AND(D481=WF_START_PERIOD,COUNTIFS($B$5:$B$750,B481,$D$5:$D$750,WF_END_PERIOD)&gt;0),INDEX($E$5:$E$750,MATCH(B481&amp;"|"&amp;WF_END_PERIOD,$AC$5:$AC$750,0)),"")</f>
        <v/>
      </c>
      <c r="W481" s="11" t="b">
        <f aca="false">COUNTIFS($B$5:$B$750,B481,$D$5:$D$750,WF_START_PERIOD,$R$5:$R$750,TRUE())&gt;0</f>
        <v>1</v>
      </c>
      <c r="X481" s="11" t="b">
        <f aca="false">COUNTIFS($B$5:$B$750,B481,$D$5:$D$750,WF_END_PERIOD,$R$5:$R$750,TRUE())&gt;0</f>
        <v>1</v>
      </c>
      <c r="Y481" s="0" t="str">
        <f aca="false">IF(AND(D481=WF_END_PERIOD,COUNTIFS($B$5:$B$750,B481,$D$5:$D$750,WF_START_PERIOD)&gt;0),INDEX($E$5:$E$750,MATCH(B481&amp;"|"&amp;WF_START_PERIOD,$AC$5:$AC$750,0)),"")</f>
        <v/>
      </c>
      <c r="Z481" s="0" t="str">
        <f aca="false">IF(AND(D481=WF_END_PERIOD,R481),1+COUNTIFS($D$5:$D$750,WF_END_PERIOD,$E$5:$E$750,E481,$R$5:$R$750,TRUE(),$S$5:$S$750,"&gt;"&amp;S481)+COUNTIFS($D$5:$D$750,WF_END_PERIOD,$E$5:$E$750,E481,$R$5:$R$750,TRUE(),$S$5:$S$750,S481,$B$5:$B$750,"&lt;"&amp;B481),"")</f>
        <v/>
      </c>
      <c r="AA481" s="0" t="str">
        <f aca="false">IF(AND(D481=WF_END_PERIOD,R481,Z481&lt;&gt;1),1+COUNTIFS($D$5:$D$750,WF_END_PERIOD,$R$5:$R$750,TRUE(),$Z$5:$Z$750,"&lt;&gt;1",$S$5:$S$750,"&gt;"&amp;S481)+COUNTIFS($D$5:$D$750,WF_END_PERIOD,$R$5:$R$750,TRUE(),$Z$5:$Z$750,"&lt;&gt;1",$S$5:$S$750,S481,$B$5:$B$750,"&lt;"&amp;B481),"")</f>
        <v/>
      </c>
      <c r="AB481" s="11" t="b">
        <f aca="false">OR(D481=WF_START_PERIOD,D481=WF_END_PERIOD)</f>
        <v>0</v>
      </c>
      <c r="AC481" s="0" t="str">
        <f aca="false">B481&amp;"|"&amp;D481</f>
        <v>59298|20240331</v>
      </c>
    </row>
    <row r="482" customFormat="false" ht="15" hidden="false" customHeight="false" outlineLevel="0" collapsed="false">
      <c r="A482" s="0" t="n">
        <f aca="false">RawFinancials!A482</f>
        <v>479</v>
      </c>
      <c r="B482" s="0" t="n">
        <f aca="false">RawFinancials!C482</f>
        <v>6271</v>
      </c>
      <c r="C482" s="0" t="str">
        <f aca="false">RawFinancials!P482</f>
        <v>COMMUNITY NATIONAL BANK</v>
      </c>
      <c r="D482" s="0" t="n">
        <f aca="false">RawFinancials!W482</f>
        <v>20240331</v>
      </c>
      <c r="E482" s="0" t="str">
        <f aca="false">RawFinancials!Z482</f>
        <v>VT</v>
      </c>
      <c r="F482" s="0" t="n">
        <f aca="false">RawFinancials!B482</f>
        <v>1106658</v>
      </c>
      <c r="G482" s="0" t="n">
        <f aca="false">RawFinancials!U482</f>
        <v>787</v>
      </c>
      <c r="H482" s="0" t="n">
        <f aca="false">RawFinancials!O482</f>
        <v>6384</v>
      </c>
      <c r="I482" s="0" t="n">
        <f aca="false">IF(AND(ISNUMBER(G482),ISNUMBER(H482)),G482+H482,"")</f>
        <v>7171</v>
      </c>
      <c r="J482" s="0" t="n">
        <f aca="false">RawFinancials!D482</f>
        <v>884850</v>
      </c>
      <c r="K482" s="0" t="n">
        <f aca="false">RawFinancials!F482</f>
        <v>101645</v>
      </c>
      <c r="L482" s="0" t="n">
        <f aca="false">RawFinancials!L482</f>
        <v>867382</v>
      </c>
      <c r="M482" s="0" t="n">
        <f aca="false">RawFinancials!N482</f>
        <v>668396</v>
      </c>
      <c r="N482" s="13" t="n">
        <f aca="false">RawFinancials!X482</f>
        <v>1.1249303947051</v>
      </c>
      <c r="O482" s="13" t="n">
        <f aca="false">RawFinancials!V482</f>
        <v>14.9516406498885</v>
      </c>
      <c r="P482" s="13" t="n">
        <f aca="false">IF(AND(ISNUMBER(L482),L482&lt;&gt;0,ISNUMBER(M482)),100*M482/L482,"")</f>
        <v>77.059012061583</v>
      </c>
      <c r="Q482" s="13" t="n">
        <f aca="false">IF(AND(ISNUMBER(F482),F482&lt;&gt;0,ISNUMBER(K482)),100*K482/F482,"")</f>
        <v>9.18486108626152</v>
      </c>
      <c r="R482" s="11" t="b">
        <f aca="false">AND(ISNUMBER(F482),F482&gt;0,ISNUMBER(G482),G482&gt;=0,ISNUMBER(H482),H482&gt;=0)</f>
        <v>1</v>
      </c>
      <c r="S482" s="13" t="n">
        <f aca="false">IF(R482,100*I482/F482,"")</f>
        <v>0.647987002307849</v>
      </c>
      <c r="T482" s="11" t="b">
        <f aca="false">NOT(AND(OR(AND(ISBLANK(RawFinancials!B482),ISBLANK(_RawBaseline!B479)),AND(ISNUMBER(RawFinancials!B482),ISNUMBER(_RawBaseline!B479),RawFinancials!B482=_RawBaseline!B479)),OR(AND(ISBLANK(RawFinancials!U482),ISBLANK(_RawBaseline!U479)),AND(ISNUMBER(RawFinancials!U482),ISNUMBER(_RawBaseline!U479),RawFinancials!U482=_RawBaseline!U479)),OR(AND(ISBLANK(RawFinancials!O482),ISBLANK(_RawBaseline!O479)),AND(ISNUMBER(RawFinancials!O482),ISNUMBER(_RawBaseline!O479),RawFinancials!O482=_RawBaseline!O479))))</f>
        <v>0</v>
      </c>
      <c r="U482" s="13" t="n">
        <f aca="false">IF(AND(D482=WF_START_PERIOD,R482,COUNTIFS($B$5:$B$750,B482,$D$5:$D$750,WF_END_PERIOD,$R$5:$R$750,TRUE())&gt;0),SUMIFS($S$5:$S$750,$B$5:$B$750,B482,$D$5:$D$750,WF_END_PERIOD,$R$5:$R$750,TRUE()),0)</f>
        <v>0</v>
      </c>
      <c r="V482" s="0" t="str">
        <f aca="false">IF(AND(D482=WF_START_PERIOD,COUNTIFS($B$5:$B$750,B482,$D$5:$D$750,WF_END_PERIOD)&gt;0),INDEX($E$5:$E$750,MATCH(B482&amp;"|"&amp;WF_END_PERIOD,$AC$5:$AC$750,0)),"")</f>
        <v/>
      </c>
      <c r="W482" s="11" t="b">
        <f aca="false">COUNTIFS($B$5:$B$750,B482,$D$5:$D$750,WF_START_PERIOD,$R$5:$R$750,TRUE())&gt;0</f>
        <v>1</v>
      </c>
      <c r="X482" s="11" t="b">
        <f aca="false">COUNTIFS($B$5:$B$750,B482,$D$5:$D$750,WF_END_PERIOD,$R$5:$R$750,TRUE())&gt;0</f>
        <v>1</v>
      </c>
      <c r="Y482" s="0" t="str">
        <f aca="false">IF(AND(D482=WF_END_PERIOD,COUNTIFS($B$5:$B$750,B482,$D$5:$D$750,WF_START_PERIOD)&gt;0),INDEX($E$5:$E$750,MATCH(B482&amp;"|"&amp;WF_START_PERIOD,$AC$5:$AC$750,0)),"")</f>
        <v/>
      </c>
      <c r="Z482" s="0" t="str">
        <f aca="false">IF(AND(D482=WF_END_PERIOD,R482),1+COUNTIFS($D$5:$D$750,WF_END_PERIOD,$E$5:$E$750,E482,$R$5:$R$750,TRUE(),$S$5:$S$750,"&gt;"&amp;S482)+COUNTIFS($D$5:$D$750,WF_END_PERIOD,$E$5:$E$750,E482,$R$5:$R$750,TRUE(),$S$5:$S$750,S482,$B$5:$B$750,"&lt;"&amp;B482),"")</f>
        <v/>
      </c>
      <c r="AA482" s="0" t="str">
        <f aca="false">IF(AND(D482=WF_END_PERIOD,R482,Z482&lt;&gt;1),1+COUNTIFS($D$5:$D$750,WF_END_PERIOD,$R$5:$R$750,TRUE(),$Z$5:$Z$750,"&lt;&gt;1",$S$5:$S$750,"&gt;"&amp;S482)+COUNTIFS($D$5:$D$750,WF_END_PERIOD,$R$5:$R$750,TRUE(),$Z$5:$Z$750,"&lt;&gt;1",$S$5:$S$750,S482,$B$5:$B$750,"&lt;"&amp;B482),"")</f>
        <v/>
      </c>
      <c r="AB482" s="11" t="b">
        <f aca="false">OR(D482=WF_START_PERIOD,D482=WF_END_PERIOD)</f>
        <v>0</v>
      </c>
      <c r="AC482" s="0" t="str">
        <f aca="false">B482&amp;"|"&amp;D482</f>
        <v>6271|20240331</v>
      </c>
    </row>
    <row r="483" customFormat="false" ht="15" hidden="false" customHeight="false" outlineLevel="0" collapsed="false">
      <c r="A483" s="0" t="n">
        <f aca="false">RawFinancials!A483</f>
        <v>480</v>
      </c>
      <c r="B483" s="0" t="n">
        <f aca="false">RawFinancials!C483</f>
        <v>6275</v>
      </c>
      <c r="C483" s="0" t="str">
        <f aca="false">RawFinancials!P483</f>
        <v>THE NATIONAL BANK OF MIDDLEBURY</v>
      </c>
      <c r="D483" s="0" t="n">
        <f aca="false">RawFinancials!W483</f>
        <v>20240331</v>
      </c>
      <c r="E483" s="0" t="str">
        <f aca="false">RawFinancials!Z483</f>
        <v>VT</v>
      </c>
      <c r="F483" s="0" t="n">
        <f aca="false">RawFinancials!B483</f>
        <v>560771</v>
      </c>
      <c r="G483" s="0" t="n">
        <f aca="false">RawFinancials!U483</f>
        <v>406</v>
      </c>
      <c r="H483" s="0" t="n">
        <f aca="false">RawFinancials!O483</f>
        <v>1168</v>
      </c>
      <c r="I483" s="0" t="n">
        <f aca="false">IF(AND(ISNUMBER(G483),ISNUMBER(H483)),G483+H483,"")</f>
        <v>1574</v>
      </c>
      <c r="J483" s="0" t="n">
        <f aca="false">RawFinancials!D483</f>
        <v>481992</v>
      </c>
      <c r="K483" s="0" t="n">
        <f aca="false">RawFinancials!F483</f>
        <v>30328</v>
      </c>
      <c r="L483" s="0" t="n">
        <f aca="false">RawFinancials!L483</f>
        <v>341837</v>
      </c>
      <c r="M483" s="0" t="n">
        <f aca="false">RawFinancials!N483</f>
        <v>282409</v>
      </c>
      <c r="N483" s="13" t="n">
        <f aca="false">RawFinancials!X483</f>
        <v>0.470857236620922</v>
      </c>
      <c r="O483" s="13" t="n">
        <f aca="false">RawFinancials!V483</f>
        <v>14.7583990455872</v>
      </c>
      <c r="P483" s="13" t="n">
        <f aca="false">IF(AND(ISNUMBER(L483),L483&lt;&gt;0,ISNUMBER(M483)),100*M483/L483,"")</f>
        <v>82.615106030067</v>
      </c>
      <c r="Q483" s="13" t="n">
        <f aca="false">IF(AND(ISNUMBER(F483),F483&lt;&gt;0,ISNUMBER(K483)),100*K483/F483,"")</f>
        <v>5.40826825923595</v>
      </c>
      <c r="R483" s="11" t="b">
        <f aca="false">AND(ISNUMBER(F483),F483&gt;0,ISNUMBER(G483),G483&gt;=0,ISNUMBER(H483),H483&gt;=0)</f>
        <v>1</v>
      </c>
      <c r="S483" s="13" t="n">
        <f aca="false">IF(R483,100*I483/F483,"")</f>
        <v>0.280684985493187</v>
      </c>
      <c r="T483" s="11" t="b">
        <f aca="false">NOT(AND(OR(AND(ISBLANK(RawFinancials!B483),ISBLANK(_RawBaseline!B480)),AND(ISNUMBER(RawFinancials!B483),ISNUMBER(_RawBaseline!B480),RawFinancials!B483=_RawBaseline!B480)),OR(AND(ISBLANK(RawFinancials!U483),ISBLANK(_RawBaseline!U480)),AND(ISNUMBER(RawFinancials!U483),ISNUMBER(_RawBaseline!U480),RawFinancials!U483=_RawBaseline!U480)),OR(AND(ISBLANK(RawFinancials!O483),ISBLANK(_RawBaseline!O480)),AND(ISNUMBER(RawFinancials!O483),ISNUMBER(_RawBaseline!O480),RawFinancials!O483=_RawBaseline!O480))))</f>
        <v>0</v>
      </c>
      <c r="U483" s="13" t="n">
        <f aca="false">IF(AND(D483=WF_START_PERIOD,R483,COUNTIFS($B$5:$B$750,B483,$D$5:$D$750,WF_END_PERIOD,$R$5:$R$750,TRUE())&gt;0),SUMIFS($S$5:$S$750,$B$5:$B$750,B483,$D$5:$D$750,WF_END_PERIOD,$R$5:$R$750,TRUE()),0)</f>
        <v>0</v>
      </c>
      <c r="V483" s="0" t="str">
        <f aca="false">IF(AND(D483=WF_START_PERIOD,COUNTIFS($B$5:$B$750,B483,$D$5:$D$750,WF_END_PERIOD)&gt;0),INDEX($E$5:$E$750,MATCH(B483&amp;"|"&amp;WF_END_PERIOD,$AC$5:$AC$750,0)),"")</f>
        <v/>
      </c>
      <c r="W483" s="11" t="b">
        <f aca="false">COUNTIFS($B$5:$B$750,B483,$D$5:$D$750,WF_START_PERIOD,$R$5:$R$750,TRUE())&gt;0</f>
        <v>1</v>
      </c>
      <c r="X483" s="11" t="b">
        <f aca="false">COUNTIFS($B$5:$B$750,B483,$D$5:$D$750,WF_END_PERIOD,$R$5:$R$750,TRUE())&gt;0</f>
        <v>1</v>
      </c>
      <c r="Y483" s="0" t="str">
        <f aca="false">IF(AND(D483=WF_END_PERIOD,COUNTIFS($B$5:$B$750,B483,$D$5:$D$750,WF_START_PERIOD)&gt;0),INDEX($E$5:$E$750,MATCH(B483&amp;"|"&amp;WF_START_PERIOD,$AC$5:$AC$750,0)),"")</f>
        <v/>
      </c>
      <c r="Z483" s="0" t="str">
        <f aca="false">IF(AND(D483=WF_END_PERIOD,R483),1+COUNTIFS($D$5:$D$750,WF_END_PERIOD,$E$5:$E$750,E483,$R$5:$R$750,TRUE(),$S$5:$S$750,"&gt;"&amp;S483)+COUNTIFS($D$5:$D$750,WF_END_PERIOD,$E$5:$E$750,E483,$R$5:$R$750,TRUE(),$S$5:$S$750,S483,$B$5:$B$750,"&lt;"&amp;B483),"")</f>
        <v/>
      </c>
      <c r="AA483" s="0" t="str">
        <f aca="false">IF(AND(D483=WF_END_PERIOD,R483,Z483&lt;&gt;1),1+COUNTIFS($D$5:$D$750,WF_END_PERIOD,$R$5:$R$750,TRUE(),$Z$5:$Z$750,"&lt;&gt;1",$S$5:$S$750,"&gt;"&amp;S483)+COUNTIFS($D$5:$D$750,WF_END_PERIOD,$R$5:$R$750,TRUE(),$Z$5:$Z$750,"&lt;&gt;1",$S$5:$S$750,S483,$B$5:$B$750,"&lt;"&amp;B483),"")</f>
        <v/>
      </c>
      <c r="AB483" s="11" t="b">
        <f aca="false">OR(D483=WF_START_PERIOD,D483=WF_END_PERIOD)</f>
        <v>0</v>
      </c>
      <c r="AC483" s="0" t="str">
        <f aca="false">B483&amp;"|"&amp;D483</f>
        <v>6275|20240331</v>
      </c>
    </row>
    <row r="484" customFormat="false" ht="15" hidden="false" customHeight="false" outlineLevel="0" collapsed="false">
      <c r="A484" s="0" t="n">
        <f aca="false">RawFinancials!A484</f>
        <v>481</v>
      </c>
      <c r="B484" s="0" t="n">
        <f aca="false">RawFinancials!C484</f>
        <v>6280</v>
      </c>
      <c r="C484" s="0" t="str">
        <f aca="false">RawFinancials!P484</f>
        <v>THE FIRST NATIONAL BANK OF ORWELL</v>
      </c>
      <c r="D484" s="0" t="n">
        <f aca="false">RawFinancials!W484</f>
        <v>20240331</v>
      </c>
      <c r="E484" s="0" t="str">
        <f aca="false">RawFinancials!Z484</f>
        <v>VT</v>
      </c>
      <c r="F484" s="0" t="n">
        <f aca="false">RawFinancials!B484</f>
        <v>78008</v>
      </c>
      <c r="G484" s="0" t="n">
        <f aca="false">RawFinancials!U484</f>
        <v>0</v>
      </c>
      <c r="H484" s="0" t="n">
        <f aca="false">RawFinancials!O484</f>
        <v>1333</v>
      </c>
      <c r="I484" s="0" t="n">
        <f aca="false">IF(AND(ISNUMBER(G484),ISNUMBER(H484)),G484+H484,"")</f>
        <v>1333</v>
      </c>
      <c r="J484" s="0" t="n">
        <f aca="false">RawFinancials!D484</f>
        <v>68177</v>
      </c>
      <c r="K484" s="0" t="n">
        <f aca="false">RawFinancials!F484</f>
        <v>9657</v>
      </c>
      <c r="L484" s="0" t="n">
        <f aca="false">RawFinancials!L484</f>
        <v>67312</v>
      </c>
      <c r="M484" s="0" t="n">
        <f aca="false">RawFinancials!N484</f>
        <v>59060</v>
      </c>
      <c r="N484" s="13" t="n">
        <f aca="false">RawFinancials!X484</f>
        <v>1.43833520350913</v>
      </c>
      <c r="O484" s="13" t="n">
        <f aca="false">RawFinancials!V484</f>
        <v>0</v>
      </c>
      <c r="P484" s="13" t="n">
        <f aca="false">IF(AND(ISNUMBER(L484),L484&lt;&gt;0,ISNUMBER(M484)),100*M484/L484,"")</f>
        <v>87.7406703113858</v>
      </c>
      <c r="Q484" s="13" t="n">
        <f aca="false">IF(AND(ISNUMBER(F484),F484&lt;&gt;0,ISNUMBER(K484)),100*K484/F484,"")</f>
        <v>12.3794995385089</v>
      </c>
      <c r="R484" s="11" t="b">
        <f aca="false">AND(ISNUMBER(F484),F484&gt;0,ISNUMBER(G484),G484&gt;=0,ISNUMBER(H484),H484&gt;=0)</f>
        <v>1</v>
      </c>
      <c r="S484" s="13" t="n">
        <f aca="false">IF(R484,100*I484/F484,"")</f>
        <v>1.70879909752846</v>
      </c>
      <c r="T484" s="11" t="b">
        <f aca="false">NOT(AND(OR(AND(ISBLANK(RawFinancials!B484),ISBLANK(_RawBaseline!B481)),AND(ISNUMBER(RawFinancials!B484),ISNUMBER(_RawBaseline!B481),RawFinancials!B484=_RawBaseline!B481)),OR(AND(ISBLANK(RawFinancials!U484),ISBLANK(_RawBaseline!U481)),AND(ISNUMBER(RawFinancials!U484),ISNUMBER(_RawBaseline!U481),RawFinancials!U484=_RawBaseline!U481)),OR(AND(ISBLANK(RawFinancials!O484),ISBLANK(_RawBaseline!O481)),AND(ISNUMBER(RawFinancials!O484),ISNUMBER(_RawBaseline!O481),RawFinancials!O484=_RawBaseline!O481))))</f>
        <v>0</v>
      </c>
      <c r="U484" s="13" t="n">
        <f aca="false">IF(AND(D484=WF_START_PERIOD,R484,COUNTIFS($B$5:$B$750,B484,$D$5:$D$750,WF_END_PERIOD,$R$5:$R$750,TRUE())&gt;0),SUMIFS($S$5:$S$750,$B$5:$B$750,B484,$D$5:$D$750,WF_END_PERIOD,$R$5:$R$750,TRUE()),0)</f>
        <v>0</v>
      </c>
      <c r="V484" s="0" t="str">
        <f aca="false">IF(AND(D484=WF_START_PERIOD,COUNTIFS($B$5:$B$750,B484,$D$5:$D$750,WF_END_PERIOD)&gt;0),INDEX($E$5:$E$750,MATCH(B484&amp;"|"&amp;WF_END_PERIOD,$AC$5:$AC$750,0)),"")</f>
        <v/>
      </c>
      <c r="W484" s="11" t="b">
        <f aca="false">COUNTIFS($B$5:$B$750,B484,$D$5:$D$750,WF_START_PERIOD,$R$5:$R$750,TRUE())&gt;0</f>
        <v>1</v>
      </c>
      <c r="X484" s="11" t="b">
        <f aca="false">COUNTIFS($B$5:$B$750,B484,$D$5:$D$750,WF_END_PERIOD,$R$5:$R$750,TRUE())&gt;0</f>
        <v>1</v>
      </c>
      <c r="Y484" s="0" t="str">
        <f aca="false">IF(AND(D484=WF_END_PERIOD,COUNTIFS($B$5:$B$750,B484,$D$5:$D$750,WF_START_PERIOD)&gt;0),INDEX($E$5:$E$750,MATCH(B484&amp;"|"&amp;WF_START_PERIOD,$AC$5:$AC$750,0)),"")</f>
        <v/>
      </c>
      <c r="Z484" s="0" t="str">
        <f aca="false">IF(AND(D484=WF_END_PERIOD,R484),1+COUNTIFS($D$5:$D$750,WF_END_PERIOD,$E$5:$E$750,E484,$R$5:$R$750,TRUE(),$S$5:$S$750,"&gt;"&amp;S484)+COUNTIFS($D$5:$D$750,WF_END_PERIOD,$E$5:$E$750,E484,$R$5:$R$750,TRUE(),$S$5:$S$750,S484,$B$5:$B$750,"&lt;"&amp;B484),"")</f>
        <v/>
      </c>
      <c r="AA484" s="0" t="str">
        <f aca="false">IF(AND(D484=WF_END_PERIOD,R484,Z484&lt;&gt;1),1+COUNTIFS($D$5:$D$750,WF_END_PERIOD,$R$5:$R$750,TRUE(),$Z$5:$Z$750,"&lt;&gt;1",$S$5:$S$750,"&gt;"&amp;S484)+COUNTIFS($D$5:$D$750,WF_END_PERIOD,$R$5:$R$750,TRUE(),$Z$5:$Z$750,"&lt;&gt;1",$S$5:$S$750,S484,$B$5:$B$750,"&lt;"&amp;B484),"")</f>
        <v/>
      </c>
      <c r="AB484" s="11" t="b">
        <f aca="false">OR(D484=WF_START_PERIOD,D484=WF_END_PERIOD)</f>
        <v>0</v>
      </c>
      <c r="AC484" s="0" t="str">
        <f aca="false">B484&amp;"|"&amp;D484</f>
        <v>6280|20240331</v>
      </c>
    </row>
    <row r="485" customFormat="false" ht="15" hidden="false" customHeight="false" outlineLevel="0" collapsed="false">
      <c r="A485" s="0" t="n">
        <f aca="false">RawFinancials!A485</f>
        <v>482</v>
      </c>
      <c r="B485" s="0" t="n">
        <f aca="false">RawFinancials!C485</f>
        <v>11971</v>
      </c>
      <c r="C485" s="0" t="str">
        <f aca="false">RawFinancials!P485</f>
        <v>BAR HARBOR BANK &amp; TRUST</v>
      </c>
      <c r="D485" s="0" t="n">
        <f aca="false">RawFinancials!W485</f>
        <v>20240630</v>
      </c>
      <c r="E485" s="0" t="str">
        <f aca="false">RawFinancials!Z485</f>
        <v>ME</v>
      </c>
      <c r="F485" s="0" t="n">
        <f aca="false">RawFinancials!B485</f>
        <v>4030143</v>
      </c>
      <c r="G485" s="0" t="n">
        <f aca="false">RawFinancials!U485</f>
        <v>34</v>
      </c>
      <c r="H485" s="0" t="n">
        <f aca="false">RawFinancials!O485</f>
        <v>6276</v>
      </c>
      <c r="I485" s="0" t="n">
        <f aca="false">IF(AND(ISNUMBER(G485),ISNUMBER(H485)),G485+H485,"")</f>
        <v>6310</v>
      </c>
      <c r="J485" s="0" t="n">
        <f aca="false">RawFinancials!D485</f>
        <v>3147483</v>
      </c>
      <c r="K485" s="0" t="n">
        <f aca="false">RawFinancials!F485</f>
        <v>493698</v>
      </c>
      <c r="L485" s="0" t="n">
        <f aca="false">RawFinancials!L485</f>
        <v>3068077</v>
      </c>
      <c r="M485" s="0" t="n">
        <f aca="false">RawFinancials!N485</f>
        <v>2699076</v>
      </c>
      <c r="N485" s="13" t="n">
        <f aca="false">RawFinancials!X485</f>
        <v>1.18607846053742</v>
      </c>
      <c r="O485" s="13" t="n">
        <f aca="false">RawFinancials!V485</f>
        <v>14.1219990069339</v>
      </c>
      <c r="P485" s="13" t="n">
        <f aca="false">IF(AND(ISNUMBER(L485),L485&lt;&gt;0,ISNUMBER(M485)),100*M485/L485,"")</f>
        <v>87.9728898590224</v>
      </c>
      <c r="Q485" s="13" t="n">
        <f aca="false">IF(AND(ISNUMBER(F485),F485&lt;&gt;0,ISNUMBER(K485)),100*K485/F485,"")</f>
        <v>12.2501360373565</v>
      </c>
      <c r="R485" s="11" t="b">
        <f aca="false">AND(ISNUMBER(F485),F485&gt;0,ISNUMBER(G485),G485&gt;=0,ISNUMBER(H485),H485&gt;=0)</f>
        <v>1</v>
      </c>
      <c r="S485" s="13" t="n">
        <f aca="false">IF(R485,100*I485/F485,"")</f>
        <v>0.156570126667962</v>
      </c>
      <c r="T485" s="11" t="b">
        <f aca="false">NOT(AND(OR(AND(ISBLANK(RawFinancials!B485),ISBLANK(_RawBaseline!B482)),AND(ISNUMBER(RawFinancials!B485),ISNUMBER(_RawBaseline!B482),RawFinancials!B485=_RawBaseline!B482)),OR(AND(ISBLANK(RawFinancials!U485),ISBLANK(_RawBaseline!U482)),AND(ISNUMBER(RawFinancials!U485),ISNUMBER(_RawBaseline!U482),RawFinancials!U485=_RawBaseline!U482)),OR(AND(ISBLANK(RawFinancials!O485),ISBLANK(_RawBaseline!O482)),AND(ISNUMBER(RawFinancials!O485),ISNUMBER(_RawBaseline!O482),RawFinancials!O485=_RawBaseline!O482))))</f>
        <v>0</v>
      </c>
      <c r="U485" s="13" t="n">
        <f aca="false">IF(AND(D485=WF_START_PERIOD,R485,COUNTIFS($B$5:$B$750,B485,$D$5:$D$750,WF_END_PERIOD,$R$5:$R$750,TRUE())&gt;0),SUMIFS($S$5:$S$750,$B$5:$B$750,B485,$D$5:$D$750,WF_END_PERIOD,$R$5:$R$750,TRUE()),0)</f>
        <v>0.24744054523126</v>
      </c>
      <c r="V485" s="0" t="str">
        <f aca="false">IF(AND(D485=WF_START_PERIOD,COUNTIFS($B$5:$B$750,B485,$D$5:$D$750,WF_END_PERIOD)&gt;0),INDEX($E$5:$E$750,MATCH(B485&amp;"|"&amp;WF_END_PERIOD,$AC$5:$AC$750,0)),"")</f>
        <v>ME</v>
      </c>
      <c r="W485" s="11" t="b">
        <f aca="false">COUNTIFS($B$5:$B$750,B485,$D$5:$D$750,WF_START_PERIOD,$R$5:$R$750,TRUE())&gt;0</f>
        <v>1</v>
      </c>
      <c r="X485" s="11" t="b">
        <f aca="false">COUNTIFS($B$5:$B$750,B485,$D$5:$D$750,WF_END_PERIOD,$R$5:$R$750,TRUE())&gt;0</f>
        <v>1</v>
      </c>
      <c r="Y485" s="0" t="str">
        <f aca="false">IF(AND(D485=WF_END_PERIOD,COUNTIFS($B$5:$B$750,B485,$D$5:$D$750,WF_START_PERIOD)&gt;0),INDEX($E$5:$E$750,MATCH(B485&amp;"|"&amp;WF_START_PERIOD,$AC$5:$AC$750,0)),"")</f>
        <v/>
      </c>
      <c r="Z485" s="0" t="str">
        <f aca="false">IF(AND(D485=WF_END_PERIOD,R485),1+COUNTIFS($D$5:$D$750,WF_END_PERIOD,$E$5:$E$750,E485,$R$5:$R$750,TRUE(),$S$5:$S$750,"&gt;"&amp;S485)+COUNTIFS($D$5:$D$750,WF_END_PERIOD,$E$5:$E$750,E485,$R$5:$R$750,TRUE(),$S$5:$S$750,S485,$B$5:$B$750,"&lt;"&amp;B485),"")</f>
        <v/>
      </c>
      <c r="AA485" s="0" t="str">
        <f aca="false">IF(AND(D485=WF_END_PERIOD,R485,Z485&lt;&gt;1),1+COUNTIFS($D$5:$D$750,WF_END_PERIOD,$R$5:$R$750,TRUE(),$Z$5:$Z$750,"&lt;&gt;1",$S$5:$S$750,"&gt;"&amp;S485)+COUNTIFS($D$5:$D$750,WF_END_PERIOD,$R$5:$R$750,TRUE(),$Z$5:$Z$750,"&lt;&gt;1",$S$5:$S$750,S485,$B$5:$B$750,"&lt;"&amp;B485),"")</f>
        <v/>
      </c>
      <c r="AB485" s="11" t="b">
        <f aca="false">OR(D485=WF_START_PERIOD,D485=WF_END_PERIOD)</f>
        <v>1</v>
      </c>
      <c r="AC485" s="0" t="str">
        <f aca="false">B485&amp;"|"&amp;D485</f>
        <v>11971|20240630</v>
      </c>
    </row>
    <row r="486" customFormat="false" ht="15" hidden="false" customHeight="false" outlineLevel="0" collapsed="false">
      <c r="A486" s="0" t="n">
        <f aca="false">RawFinancials!A486</f>
        <v>483</v>
      </c>
      <c r="B486" s="0" t="n">
        <f aca="false">RawFinancials!C486</f>
        <v>12874</v>
      </c>
      <c r="C486" s="0" t="str">
        <f aca="false">RawFinancials!P486</f>
        <v>KATAHDIN TRUST COMPANY</v>
      </c>
      <c r="D486" s="0" t="n">
        <f aca="false">RawFinancials!W486</f>
        <v>20240630</v>
      </c>
      <c r="E486" s="0" t="str">
        <f aca="false">RawFinancials!Z486</f>
        <v>ME</v>
      </c>
      <c r="F486" s="0" t="n">
        <f aca="false">RawFinancials!B486</f>
        <v>1036850</v>
      </c>
      <c r="G486" s="0" t="n">
        <f aca="false">RawFinancials!U486</f>
        <v>0</v>
      </c>
      <c r="H486" s="0" t="n">
        <f aca="false">RawFinancials!O486</f>
        <v>1516</v>
      </c>
      <c r="I486" s="0" t="n">
        <f aca="false">IF(AND(ISNUMBER(G486),ISNUMBER(H486)),G486+H486,"")</f>
        <v>1516</v>
      </c>
      <c r="J486" s="0" t="n">
        <f aca="false">RawFinancials!D486</f>
        <v>862144</v>
      </c>
      <c r="K486" s="0" t="n">
        <f aca="false">RawFinancials!F486</f>
        <v>108474</v>
      </c>
      <c r="L486" s="0" t="n">
        <f aca="false">RawFinancials!L486</f>
        <v>815577</v>
      </c>
      <c r="M486" s="0" t="n">
        <f aca="false">RawFinancials!N486</f>
        <v>639776</v>
      </c>
      <c r="N486" s="13" t="n">
        <f aca="false">RawFinancials!X486</f>
        <v>0.873634279818951</v>
      </c>
      <c r="O486" s="13" t="n">
        <f aca="false">RawFinancials!V486</f>
        <v>15.9291126336225</v>
      </c>
      <c r="P486" s="13" t="n">
        <f aca="false">IF(AND(ISNUMBER(L486),L486&lt;&gt;0,ISNUMBER(M486)),100*M486/L486,"")</f>
        <v>78.4445858576198</v>
      </c>
      <c r="Q486" s="13" t="n">
        <f aca="false">IF(AND(ISNUMBER(F486),F486&lt;&gt;0,ISNUMBER(K486)),100*K486/F486,"")</f>
        <v>10.4618797318802</v>
      </c>
      <c r="R486" s="11" t="b">
        <f aca="false">AND(ISNUMBER(F486),F486&gt;0,ISNUMBER(G486),G486&gt;=0,ISNUMBER(H486),H486&gt;=0)</f>
        <v>1</v>
      </c>
      <c r="S486" s="13" t="n">
        <f aca="false">IF(R486,100*I486/F486,"")</f>
        <v>0.146212084679558</v>
      </c>
      <c r="T486" s="11" t="b">
        <f aca="false">NOT(AND(OR(AND(ISBLANK(RawFinancials!B486),ISBLANK(_RawBaseline!B483)),AND(ISNUMBER(RawFinancials!B486),ISNUMBER(_RawBaseline!B483),RawFinancials!B486=_RawBaseline!B483)),OR(AND(ISBLANK(RawFinancials!U486),ISBLANK(_RawBaseline!U483)),AND(ISNUMBER(RawFinancials!U486),ISNUMBER(_RawBaseline!U483),RawFinancials!U486=_RawBaseline!U483)),OR(AND(ISBLANK(RawFinancials!O486),ISBLANK(_RawBaseline!O483)),AND(ISNUMBER(RawFinancials!O486),ISNUMBER(_RawBaseline!O483),RawFinancials!O486=_RawBaseline!O483))))</f>
        <v>0</v>
      </c>
      <c r="U486" s="13" t="n">
        <f aca="false">IF(AND(D486=WF_START_PERIOD,R486,COUNTIFS($B$5:$B$750,B486,$D$5:$D$750,WF_END_PERIOD,$R$5:$R$750,TRUE())&gt;0),SUMIFS($S$5:$S$750,$B$5:$B$750,B486,$D$5:$D$750,WF_END_PERIOD,$R$5:$R$750,TRUE()),0)</f>
        <v>0.12821315805956</v>
      </c>
      <c r="V486" s="0" t="str">
        <f aca="false">IF(AND(D486=WF_START_PERIOD,COUNTIFS($B$5:$B$750,B486,$D$5:$D$750,WF_END_PERIOD)&gt;0),INDEX($E$5:$E$750,MATCH(B486&amp;"|"&amp;WF_END_PERIOD,$AC$5:$AC$750,0)),"")</f>
        <v>ME</v>
      </c>
      <c r="W486" s="11" t="b">
        <f aca="false">COUNTIFS($B$5:$B$750,B486,$D$5:$D$750,WF_START_PERIOD,$R$5:$R$750,TRUE())&gt;0</f>
        <v>1</v>
      </c>
      <c r="X486" s="11" t="b">
        <f aca="false">COUNTIFS($B$5:$B$750,B486,$D$5:$D$750,WF_END_PERIOD,$R$5:$R$750,TRUE())&gt;0</f>
        <v>1</v>
      </c>
      <c r="Y486" s="0" t="str">
        <f aca="false">IF(AND(D486=WF_END_PERIOD,COUNTIFS($B$5:$B$750,B486,$D$5:$D$750,WF_START_PERIOD)&gt;0),INDEX($E$5:$E$750,MATCH(B486&amp;"|"&amp;WF_START_PERIOD,$AC$5:$AC$750,0)),"")</f>
        <v/>
      </c>
      <c r="Z486" s="0" t="str">
        <f aca="false">IF(AND(D486=WF_END_PERIOD,R486),1+COUNTIFS($D$5:$D$750,WF_END_PERIOD,$E$5:$E$750,E486,$R$5:$R$750,TRUE(),$S$5:$S$750,"&gt;"&amp;S486)+COUNTIFS($D$5:$D$750,WF_END_PERIOD,$E$5:$E$750,E486,$R$5:$R$750,TRUE(),$S$5:$S$750,S486,$B$5:$B$750,"&lt;"&amp;B486),"")</f>
        <v/>
      </c>
      <c r="AA486" s="0" t="str">
        <f aca="false">IF(AND(D486=WF_END_PERIOD,R486,Z486&lt;&gt;1),1+COUNTIFS($D$5:$D$750,WF_END_PERIOD,$R$5:$R$750,TRUE(),$Z$5:$Z$750,"&lt;&gt;1",$S$5:$S$750,"&gt;"&amp;S486)+COUNTIFS($D$5:$D$750,WF_END_PERIOD,$R$5:$R$750,TRUE(),$Z$5:$Z$750,"&lt;&gt;1",$S$5:$S$750,S486,$B$5:$B$750,"&lt;"&amp;B486),"")</f>
        <v/>
      </c>
      <c r="AB486" s="11" t="b">
        <f aca="false">OR(D486=WF_START_PERIOD,D486=WF_END_PERIOD)</f>
        <v>1</v>
      </c>
      <c r="AC486" s="0" t="str">
        <f aca="false">B486&amp;"|"&amp;D486</f>
        <v>12874|20240630</v>
      </c>
    </row>
    <row r="487" customFormat="false" ht="15" hidden="false" customHeight="false" outlineLevel="0" collapsed="false">
      <c r="A487" s="0" t="n">
        <f aca="false">RawFinancials!A487</f>
        <v>484</v>
      </c>
      <c r="B487" s="0" t="n">
        <f aca="false">RawFinancials!C487</f>
        <v>13063</v>
      </c>
      <c r="C487" s="0" t="str">
        <f aca="false">RawFinancials!P487</f>
        <v>KENNEBUNK SAVINGS BANK</v>
      </c>
      <c r="D487" s="0" t="n">
        <f aca="false">RawFinancials!W487</f>
        <v>20240630</v>
      </c>
      <c r="E487" s="0" t="str">
        <f aca="false">RawFinancials!Z487</f>
        <v>ME</v>
      </c>
      <c r="F487" s="0" t="n">
        <f aca="false">RawFinancials!B487</f>
        <v>1848882</v>
      </c>
      <c r="G487" s="0" t="n">
        <f aca="false">RawFinancials!U487</f>
        <v>0</v>
      </c>
      <c r="H487" s="0" t="n">
        <f aca="false">RawFinancials!O487</f>
        <v>701</v>
      </c>
      <c r="I487" s="0" t="n">
        <f aca="false">IF(AND(ISNUMBER(G487),ISNUMBER(H487)),G487+H487,"")</f>
        <v>701</v>
      </c>
      <c r="J487" s="0" t="n">
        <f aca="false">RawFinancials!D487</f>
        <v>1607298</v>
      </c>
      <c r="K487" s="0" t="n">
        <f aca="false">RawFinancials!F487</f>
        <v>147977</v>
      </c>
      <c r="L487" s="0" t="n">
        <f aca="false">RawFinancials!L487</f>
        <v>1470585</v>
      </c>
      <c r="M487" s="0" t="n">
        <f aca="false">RawFinancials!N487</f>
        <v>1404637</v>
      </c>
      <c r="N487" s="13" t="n">
        <f aca="false">RawFinancials!X487</f>
        <v>0.367034339548908</v>
      </c>
      <c r="O487" s="13" t="n">
        <f aca="false">RawFinancials!V487</f>
        <v>0</v>
      </c>
      <c r="P487" s="13" t="n">
        <f aca="false">IF(AND(ISNUMBER(L487),L487&lt;&gt;0,ISNUMBER(M487)),100*M487/L487,"")</f>
        <v>95.5155261341575</v>
      </c>
      <c r="Q487" s="13" t="n">
        <f aca="false">IF(AND(ISNUMBER(F487),F487&lt;&gt;0,ISNUMBER(K487)),100*K487/F487,"")</f>
        <v>8.00359352300471</v>
      </c>
      <c r="R487" s="11" t="b">
        <f aca="false">AND(ISNUMBER(F487),F487&gt;0,ISNUMBER(G487),G487&gt;=0,ISNUMBER(H487),H487&gt;=0)</f>
        <v>1</v>
      </c>
      <c r="S487" s="13" t="n">
        <f aca="false">IF(R487,100*I487/F487,"")</f>
        <v>0.0379148047306426</v>
      </c>
      <c r="T487" s="11" t="b">
        <f aca="false">NOT(AND(OR(AND(ISBLANK(RawFinancials!B487),ISBLANK(_RawBaseline!B484)),AND(ISNUMBER(RawFinancials!B487),ISNUMBER(_RawBaseline!B484),RawFinancials!B487=_RawBaseline!B484)),OR(AND(ISBLANK(RawFinancials!U487),ISBLANK(_RawBaseline!U484)),AND(ISNUMBER(RawFinancials!U487),ISNUMBER(_RawBaseline!U484),RawFinancials!U487=_RawBaseline!U484)),OR(AND(ISBLANK(RawFinancials!O487),ISBLANK(_RawBaseline!O484)),AND(ISNUMBER(RawFinancials!O487),ISNUMBER(_RawBaseline!O484),RawFinancials!O487=_RawBaseline!O484))))</f>
        <v>0</v>
      </c>
      <c r="U487" s="13" t="n">
        <f aca="false">IF(AND(D487=WF_START_PERIOD,R487,COUNTIFS($B$5:$B$750,B487,$D$5:$D$750,WF_END_PERIOD,$R$5:$R$750,TRUE())&gt;0),SUMIFS($S$5:$S$750,$B$5:$B$750,B487,$D$5:$D$750,WF_END_PERIOD,$R$5:$R$750,TRUE()),0)</f>
        <v>0.126507709677736</v>
      </c>
      <c r="V487" s="0" t="str">
        <f aca="false">IF(AND(D487=WF_START_PERIOD,COUNTIFS($B$5:$B$750,B487,$D$5:$D$750,WF_END_PERIOD)&gt;0),INDEX($E$5:$E$750,MATCH(B487&amp;"|"&amp;WF_END_PERIOD,$AC$5:$AC$750,0)),"")</f>
        <v>ME</v>
      </c>
      <c r="W487" s="11" t="b">
        <f aca="false">COUNTIFS($B$5:$B$750,B487,$D$5:$D$750,WF_START_PERIOD,$R$5:$R$750,TRUE())&gt;0</f>
        <v>1</v>
      </c>
      <c r="X487" s="11" t="b">
        <f aca="false">COUNTIFS($B$5:$B$750,B487,$D$5:$D$750,WF_END_PERIOD,$R$5:$R$750,TRUE())&gt;0</f>
        <v>1</v>
      </c>
      <c r="Y487" s="0" t="str">
        <f aca="false">IF(AND(D487=WF_END_PERIOD,COUNTIFS($B$5:$B$750,B487,$D$5:$D$750,WF_START_PERIOD)&gt;0),INDEX($E$5:$E$750,MATCH(B487&amp;"|"&amp;WF_START_PERIOD,$AC$5:$AC$750,0)),"")</f>
        <v/>
      </c>
      <c r="Z487" s="0" t="str">
        <f aca="false">IF(AND(D487=WF_END_PERIOD,R487),1+COUNTIFS($D$5:$D$750,WF_END_PERIOD,$E$5:$E$750,E487,$R$5:$R$750,TRUE(),$S$5:$S$750,"&gt;"&amp;S487)+COUNTIFS($D$5:$D$750,WF_END_PERIOD,$E$5:$E$750,E487,$R$5:$R$750,TRUE(),$S$5:$S$750,S487,$B$5:$B$750,"&lt;"&amp;B487),"")</f>
        <v/>
      </c>
      <c r="AA487" s="0" t="str">
        <f aca="false">IF(AND(D487=WF_END_PERIOD,R487,Z487&lt;&gt;1),1+COUNTIFS($D$5:$D$750,WF_END_PERIOD,$R$5:$R$750,TRUE(),$Z$5:$Z$750,"&lt;&gt;1",$S$5:$S$750,"&gt;"&amp;S487)+COUNTIFS($D$5:$D$750,WF_END_PERIOD,$R$5:$R$750,TRUE(),$Z$5:$Z$750,"&lt;&gt;1",$S$5:$S$750,S487,$B$5:$B$750,"&lt;"&amp;B487),"")</f>
        <v/>
      </c>
      <c r="AB487" s="11" t="b">
        <f aca="false">OR(D487=WF_START_PERIOD,D487=WF_END_PERIOD)</f>
        <v>1</v>
      </c>
      <c r="AC487" s="0" t="str">
        <f aca="false">B487&amp;"|"&amp;D487</f>
        <v>13063|20240630</v>
      </c>
    </row>
    <row r="488" customFormat="false" ht="15" hidden="false" customHeight="false" outlineLevel="0" collapsed="false">
      <c r="A488" s="0" t="n">
        <f aca="false">RawFinancials!A488</f>
        <v>485</v>
      </c>
      <c r="B488" s="0" t="n">
        <f aca="false">RawFinancials!C488</f>
        <v>14134</v>
      </c>
      <c r="C488" s="0" t="str">
        <f aca="false">RawFinancials!P488</f>
        <v>PASSUMPSIC SAVINGS BANK</v>
      </c>
      <c r="D488" s="0" t="n">
        <f aca="false">RawFinancials!W488</f>
        <v>20240630</v>
      </c>
      <c r="E488" s="0" t="str">
        <f aca="false">RawFinancials!Z488</f>
        <v>VT</v>
      </c>
      <c r="F488" s="0" t="n">
        <f aca="false">RawFinancials!B488</f>
        <v>842999</v>
      </c>
      <c r="G488" s="0" t="n">
        <f aca="false">RawFinancials!U488</f>
        <v>0</v>
      </c>
      <c r="H488" s="0" t="n">
        <f aca="false">RawFinancials!O488</f>
        <v>9888</v>
      </c>
      <c r="I488" s="0" t="n">
        <f aca="false">IF(AND(ISNUMBER(G488),ISNUMBER(H488)),G488+H488,"")</f>
        <v>9888</v>
      </c>
      <c r="J488" s="0" t="n">
        <f aca="false">RawFinancials!D488</f>
        <v>661992</v>
      </c>
      <c r="K488" s="0" t="n">
        <f aca="false">RawFinancials!F488</f>
        <v>108954</v>
      </c>
      <c r="L488" s="0" t="n">
        <f aca="false">RawFinancials!L488</f>
        <v>629164</v>
      </c>
      <c r="M488" s="0" t="n">
        <f aca="false">RawFinancials!N488</f>
        <v>563428</v>
      </c>
      <c r="N488" s="13" t="n">
        <f aca="false">RawFinancials!X488</f>
        <v>0.900954458964721</v>
      </c>
      <c r="O488" s="13" t="n">
        <f aca="false">RawFinancials!V488</f>
        <v>19.8068345450076</v>
      </c>
      <c r="P488" s="13" t="n">
        <f aca="false">IF(AND(ISNUMBER(L488),L488&lt;&gt;0,ISNUMBER(M488)),100*M488/L488,"")</f>
        <v>89.5518497561844</v>
      </c>
      <c r="Q488" s="13" t="n">
        <f aca="false">IF(AND(ISNUMBER(F488),F488&lt;&gt;0,ISNUMBER(K488)),100*K488/F488,"")</f>
        <v>12.9245704917799</v>
      </c>
      <c r="R488" s="11" t="b">
        <f aca="false">AND(ISNUMBER(F488),F488&gt;0,ISNUMBER(G488),G488&gt;=0,ISNUMBER(H488),H488&gt;=0)</f>
        <v>1</v>
      </c>
      <c r="S488" s="13" t="n">
        <f aca="false">IF(R488,100*I488/F488,"")</f>
        <v>1.17295512806065</v>
      </c>
      <c r="T488" s="11" t="b">
        <f aca="false">NOT(AND(OR(AND(ISBLANK(RawFinancials!B488),ISBLANK(_RawBaseline!B485)),AND(ISNUMBER(RawFinancials!B488),ISNUMBER(_RawBaseline!B485),RawFinancials!B488=_RawBaseline!B485)),OR(AND(ISBLANK(RawFinancials!U488),ISBLANK(_RawBaseline!U485)),AND(ISNUMBER(RawFinancials!U488),ISNUMBER(_RawBaseline!U485),RawFinancials!U488=_RawBaseline!U485)),OR(AND(ISBLANK(RawFinancials!O488),ISBLANK(_RawBaseline!O485)),AND(ISNUMBER(RawFinancials!O488),ISNUMBER(_RawBaseline!O485),RawFinancials!O488=_RawBaseline!O485))))</f>
        <v>0</v>
      </c>
      <c r="U488" s="13" t="n">
        <f aca="false">IF(AND(D488=WF_START_PERIOD,R488,COUNTIFS($B$5:$B$750,B488,$D$5:$D$750,WF_END_PERIOD,$R$5:$R$750,TRUE())&gt;0),SUMIFS($S$5:$S$750,$B$5:$B$750,B488,$D$5:$D$750,WF_END_PERIOD,$R$5:$R$750,TRUE()),0)</f>
        <v>0.307430108660056</v>
      </c>
      <c r="V488" s="0" t="str">
        <f aca="false">IF(AND(D488=WF_START_PERIOD,COUNTIFS($B$5:$B$750,B488,$D$5:$D$750,WF_END_PERIOD)&gt;0),INDEX($E$5:$E$750,MATCH(B488&amp;"|"&amp;WF_END_PERIOD,$AC$5:$AC$750,0)),"")</f>
        <v>VT</v>
      </c>
      <c r="W488" s="11" t="b">
        <f aca="false">COUNTIFS($B$5:$B$750,B488,$D$5:$D$750,WF_START_PERIOD,$R$5:$R$750,TRUE())&gt;0</f>
        <v>1</v>
      </c>
      <c r="X488" s="11" t="b">
        <f aca="false">COUNTIFS($B$5:$B$750,B488,$D$5:$D$750,WF_END_PERIOD,$R$5:$R$750,TRUE())&gt;0</f>
        <v>1</v>
      </c>
      <c r="Y488" s="0" t="str">
        <f aca="false">IF(AND(D488=WF_END_PERIOD,COUNTIFS($B$5:$B$750,B488,$D$5:$D$750,WF_START_PERIOD)&gt;0),INDEX($E$5:$E$750,MATCH(B488&amp;"|"&amp;WF_START_PERIOD,$AC$5:$AC$750,0)),"")</f>
        <v/>
      </c>
      <c r="Z488" s="0" t="str">
        <f aca="false">IF(AND(D488=WF_END_PERIOD,R488),1+COUNTIFS($D$5:$D$750,WF_END_PERIOD,$E$5:$E$750,E488,$R$5:$R$750,TRUE(),$S$5:$S$750,"&gt;"&amp;S488)+COUNTIFS($D$5:$D$750,WF_END_PERIOD,$E$5:$E$750,E488,$R$5:$R$750,TRUE(),$S$5:$S$750,S488,$B$5:$B$750,"&lt;"&amp;B488),"")</f>
        <v/>
      </c>
      <c r="AA488" s="0" t="str">
        <f aca="false">IF(AND(D488=WF_END_PERIOD,R488,Z488&lt;&gt;1),1+COUNTIFS($D$5:$D$750,WF_END_PERIOD,$R$5:$R$750,TRUE(),$Z$5:$Z$750,"&lt;&gt;1",$S$5:$S$750,"&gt;"&amp;S488)+COUNTIFS($D$5:$D$750,WF_END_PERIOD,$R$5:$R$750,TRUE(),$Z$5:$Z$750,"&lt;&gt;1",$S$5:$S$750,S488,$B$5:$B$750,"&lt;"&amp;B488),"")</f>
        <v/>
      </c>
      <c r="AB488" s="11" t="b">
        <f aca="false">OR(D488=WF_START_PERIOD,D488=WF_END_PERIOD)</f>
        <v>1</v>
      </c>
      <c r="AC488" s="0" t="str">
        <f aca="false">B488&amp;"|"&amp;D488</f>
        <v>14134|20240630</v>
      </c>
    </row>
    <row r="489" customFormat="false" ht="15" hidden="false" customHeight="false" outlineLevel="0" collapsed="false">
      <c r="A489" s="0" t="n">
        <f aca="false">RawFinancials!A489</f>
        <v>486</v>
      </c>
      <c r="B489" s="0" t="n">
        <f aca="false">RawFinancials!C489</f>
        <v>14136</v>
      </c>
      <c r="C489" s="0" t="str">
        <f aca="false">RawFinancials!P489</f>
        <v>WELLS RIVER SAVINGS BANK</v>
      </c>
      <c r="D489" s="0" t="n">
        <f aca="false">RawFinancials!W489</f>
        <v>20240630</v>
      </c>
      <c r="E489" s="0" t="str">
        <f aca="false">RawFinancials!Z489</f>
        <v>VT</v>
      </c>
      <c r="F489" s="0" t="n">
        <f aca="false">RawFinancials!B489</f>
        <v>234689</v>
      </c>
      <c r="G489" s="0" t="n">
        <f aca="false">RawFinancials!U489</f>
        <v>271</v>
      </c>
      <c r="H489" s="0" t="n">
        <f aca="false">RawFinancials!O489</f>
        <v>483</v>
      </c>
      <c r="I489" s="0" t="n">
        <f aca="false">IF(AND(ISNUMBER(G489),ISNUMBER(H489)),G489+H489,"")</f>
        <v>754</v>
      </c>
      <c r="J489" s="0" t="n">
        <f aca="false">RawFinancials!D489</f>
        <v>196106</v>
      </c>
      <c r="K489" s="0" t="n">
        <f aca="false">RawFinancials!F489</f>
        <v>18072</v>
      </c>
      <c r="L489" s="0" t="n">
        <f aca="false">RawFinancials!L489</f>
        <v>155721</v>
      </c>
      <c r="M489" s="0" t="n">
        <f aca="false">RawFinancials!N489</f>
        <v>125414</v>
      </c>
      <c r="N489" s="13" t="n">
        <f aca="false">RawFinancials!X489</f>
        <v>0.61382201704967</v>
      </c>
      <c r="O489" s="13" t="n">
        <f aca="false">RawFinancials!V489</f>
        <v>17.8729116356195</v>
      </c>
      <c r="P489" s="13" t="n">
        <f aca="false">IF(AND(ISNUMBER(L489),L489&lt;&gt;0,ISNUMBER(M489)),100*M489/L489,"")</f>
        <v>80.5376281940137</v>
      </c>
      <c r="Q489" s="13" t="n">
        <f aca="false">IF(AND(ISNUMBER(F489),F489&lt;&gt;0,ISNUMBER(K489)),100*K489/F489,"")</f>
        <v>7.70040351273387</v>
      </c>
      <c r="R489" s="11" t="b">
        <f aca="false">AND(ISNUMBER(F489),F489&gt;0,ISNUMBER(G489),G489&gt;=0,ISNUMBER(H489),H489&gt;=0)</f>
        <v>1</v>
      </c>
      <c r="S489" s="13" t="n">
        <f aca="false">IF(R489,100*I489/F489,"")</f>
        <v>0.321276242175816</v>
      </c>
      <c r="T489" s="11" t="b">
        <f aca="false">NOT(AND(OR(AND(ISBLANK(RawFinancials!B489),ISBLANK(_RawBaseline!B486)),AND(ISNUMBER(RawFinancials!B489),ISNUMBER(_RawBaseline!B486),RawFinancials!B489=_RawBaseline!B486)),OR(AND(ISBLANK(RawFinancials!U489),ISBLANK(_RawBaseline!U486)),AND(ISNUMBER(RawFinancials!U489),ISNUMBER(_RawBaseline!U486),RawFinancials!U489=_RawBaseline!U486)),OR(AND(ISBLANK(RawFinancials!O489),ISBLANK(_RawBaseline!O486)),AND(ISNUMBER(RawFinancials!O489),ISNUMBER(_RawBaseline!O486),RawFinancials!O489=_RawBaseline!O486))))</f>
        <v>0</v>
      </c>
      <c r="U489" s="13" t="n">
        <f aca="false">IF(AND(D489=WF_START_PERIOD,R489,COUNTIFS($B$5:$B$750,B489,$D$5:$D$750,WF_END_PERIOD,$R$5:$R$750,TRUE())&gt;0),SUMIFS($S$5:$S$750,$B$5:$B$750,B489,$D$5:$D$750,WF_END_PERIOD,$R$5:$R$750,TRUE()),0)</f>
        <v>0.434289954070914</v>
      </c>
      <c r="V489" s="0" t="str">
        <f aca="false">IF(AND(D489=WF_START_PERIOD,COUNTIFS($B$5:$B$750,B489,$D$5:$D$750,WF_END_PERIOD)&gt;0),INDEX($E$5:$E$750,MATCH(B489&amp;"|"&amp;WF_END_PERIOD,$AC$5:$AC$750,0)),"")</f>
        <v>VT</v>
      </c>
      <c r="W489" s="11" t="b">
        <f aca="false">COUNTIFS($B$5:$B$750,B489,$D$5:$D$750,WF_START_PERIOD,$R$5:$R$750,TRUE())&gt;0</f>
        <v>1</v>
      </c>
      <c r="X489" s="11" t="b">
        <f aca="false">COUNTIFS($B$5:$B$750,B489,$D$5:$D$750,WF_END_PERIOD,$R$5:$R$750,TRUE())&gt;0</f>
        <v>1</v>
      </c>
      <c r="Y489" s="0" t="str">
        <f aca="false">IF(AND(D489=WF_END_PERIOD,COUNTIFS($B$5:$B$750,B489,$D$5:$D$750,WF_START_PERIOD)&gt;0),INDEX($E$5:$E$750,MATCH(B489&amp;"|"&amp;WF_START_PERIOD,$AC$5:$AC$750,0)),"")</f>
        <v/>
      </c>
      <c r="Z489" s="0" t="str">
        <f aca="false">IF(AND(D489=WF_END_PERIOD,R489),1+COUNTIFS($D$5:$D$750,WF_END_PERIOD,$E$5:$E$750,E489,$R$5:$R$750,TRUE(),$S$5:$S$750,"&gt;"&amp;S489)+COUNTIFS($D$5:$D$750,WF_END_PERIOD,$E$5:$E$750,E489,$R$5:$R$750,TRUE(),$S$5:$S$750,S489,$B$5:$B$750,"&lt;"&amp;B489),"")</f>
        <v/>
      </c>
      <c r="AA489" s="0" t="str">
        <f aca="false">IF(AND(D489=WF_END_PERIOD,R489,Z489&lt;&gt;1),1+COUNTIFS($D$5:$D$750,WF_END_PERIOD,$R$5:$R$750,TRUE(),$Z$5:$Z$750,"&lt;&gt;1",$S$5:$S$750,"&gt;"&amp;S489)+COUNTIFS($D$5:$D$750,WF_END_PERIOD,$R$5:$R$750,TRUE(),$Z$5:$Z$750,"&lt;&gt;1",$S$5:$S$750,S489,$B$5:$B$750,"&lt;"&amp;B489),"")</f>
        <v/>
      </c>
      <c r="AB489" s="11" t="b">
        <f aca="false">OR(D489=WF_START_PERIOD,D489=WF_END_PERIOD)</f>
        <v>1</v>
      </c>
      <c r="AC489" s="0" t="str">
        <f aca="false">B489&amp;"|"&amp;D489</f>
        <v>14136|20240630</v>
      </c>
    </row>
    <row r="490" customFormat="false" ht="15" hidden="false" customHeight="false" outlineLevel="0" collapsed="false">
      <c r="A490" s="0" t="n">
        <f aca="false">RawFinancials!A490</f>
        <v>487</v>
      </c>
      <c r="B490" s="0" t="n">
        <f aca="false">RawFinancials!C490</f>
        <v>14140</v>
      </c>
      <c r="C490" s="0" t="str">
        <f aca="false">RawFinancials!P490</f>
        <v>NORTHFIELD SAVINGS BANK</v>
      </c>
      <c r="D490" s="0" t="n">
        <f aca="false">RawFinancials!W490</f>
        <v>20240630</v>
      </c>
      <c r="E490" s="0" t="str">
        <f aca="false">RawFinancials!Z490</f>
        <v>VT</v>
      </c>
      <c r="F490" s="0" t="n">
        <f aca="false">RawFinancials!B490</f>
        <v>1498757</v>
      </c>
      <c r="G490" s="0" t="n">
        <f aca="false">RawFinancials!U490</f>
        <v>0</v>
      </c>
      <c r="H490" s="0" t="n">
        <f aca="false">RawFinancials!O490</f>
        <v>2046</v>
      </c>
      <c r="I490" s="0" t="n">
        <f aca="false">IF(AND(ISNUMBER(G490),ISNUMBER(H490)),G490+H490,"")</f>
        <v>2046</v>
      </c>
      <c r="J490" s="0" t="n">
        <f aca="false">RawFinancials!D490</f>
        <v>1198797</v>
      </c>
      <c r="K490" s="0" t="n">
        <f aca="false">RawFinancials!F490</f>
        <v>127558</v>
      </c>
      <c r="L490" s="0" t="n">
        <f aca="false">RawFinancials!L490</f>
        <v>1076486</v>
      </c>
      <c r="M490" s="0" t="n">
        <f aca="false">RawFinancials!N490</f>
        <v>949990</v>
      </c>
      <c r="N490" s="13" t="n">
        <f aca="false">RawFinancials!X490</f>
        <v>0.291683814744817</v>
      </c>
      <c r="O490" s="13" t="n">
        <f aca="false">RawFinancials!V490</f>
        <v>0</v>
      </c>
      <c r="P490" s="13" t="n">
        <f aca="false">IF(AND(ISNUMBER(L490),L490&lt;&gt;0,ISNUMBER(M490)),100*M490/L490,"")</f>
        <v>88.2491737003547</v>
      </c>
      <c r="Q490" s="13" t="n">
        <f aca="false">IF(AND(ISNUMBER(F490),F490&lt;&gt;0,ISNUMBER(K490)),100*K490/F490,"")</f>
        <v>8.5109193818611</v>
      </c>
      <c r="R490" s="11" t="b">
        <f aca="false">AND(ISNUMBER(F490),F490&gt;0,ISNUMBER(G490),G490&gt;=0,ISNUMBER(H490),H490&gt;=0)</f>
        <v>1</v>
      </c>
      <c r="S490" s="13" t="n">
        <f aca="false">IF(R490,100*I490/F490,"")</f>
        <v>0.136513123875318</v>
      </c>
      <c r="T490" s="11" t="b">
        <f aca="false">NOT(AND(OR(AND(ISBLANK(RawFinancials!B490),ISBLANK(_RawBaseline!B487)),AND(ISNUMBER(RawFinancials!B490),ISNUMBER(_RawBaseline!B487),RawFinancials!B490=_RawBaseline!B487)),OR(AND(ISBLANK(RawFinancials!U490),ISBLANK(_RawBaseline!U487)),AND(ISNUMBER(RawFinancials!U490),ISNUMBER(_RawBaseline!U487),RawFinancials!U490=_RawBaseline!U487)),OR(AND(ISBLANK(RawFinancials!O490),ISBLANK(_RawBaseline!O487)),AND(ISNUMBER(RawFinancials!O490),ISNUMBER(_RawBaseline!O487),RawFinancials!O490=_RawBaseline!O487))))</f>
        <v>0</v>
      </c>
      <c r="U490" s="13" t="n">
        <f aca="false">IF(AND(D490=WF_START_PERIOD,R490,COUNTIFS($B$5:$B$750,B490,$D$5:$D$750,WF_END_PERIOD,$R$5:$R$750,TRUE())&gt;0),SUMIFS($S$5:$S$750,$B$5:$B$750,B490,$D$5:$D$750,WF_END_PERIOD,$R$5:$R$750,TRUE()),0)</f>
        <v>0.476441578561923</v>
      </c>
      <c r="V490" s="0" t="str">
        <f aca="false">IF(AND(D490=WF_START_PERIOD,COUNTIFS($B$5:$B$750,B490,$D$5:$D$750,WF_END_PERIOD)&gt;0),INDEX($E$5:$E$750,MATCH(B490&amp;"|"&amp;WF_END_PERIOD,$AC$5:$AC$750,0)),"")</f>
        <v>VT</v>
      </c>
      <c r="W490" s="11" t="b">
        <f aca="false">COUNTIFS($B$5:$B$750,B490,$D$5:$D$750,WF_START_PERIOD,$R$5:$R$750,TRUE())&gt;0</f>
        <v>1</v>
      </c>
      <c r="X490" s="11" t="b">
        <f aca="false">COUNTIFS($B$5:$B$750,B490,$D$5:$D$750,WF_END_PERIOD,$R$5:$R$750,TRUE())&gt;0</f>
        <v>1</v>
      </c>
      <c r="Y490" s="0" t="str">
        <f aca="false">IF(AND(D490=WF_END_PERIOD,COUNTIFS($B$5:$B$750,B490,$D$5:$D$750,WF_START_PERIOD)&gt;0),INDEX($E$5:$E$750,MATCH(B490&amp;"|"&amp;WF_START_PERIOD,$AC$5:$AC$750,0)),"")</f>
        <v/>
      </c>
      <c r="Z490" s="0" t="str">
        <f aca="false">IF(AND(D490=WF_END_PERIOD,R490),1+COUNTIFS($D$5:$D$750,WF_END_PERIOD,$E$5:$E$750,E490,$R$5:$R$750,TRUE(),$S$5:$S$750,"&gt;"&amp;S490)+COUNTIFS($D$5:$D$750,WF_END_PERIOD,$E$5:$E$750,E490,$R$5:$R$750,TRUE(),$S$5:$S$750,S490,$B$5:$B$750,"&lt;"&amp;B490),"")</f>
        <v/>
      </c>
      <c r="AA490" s="0" t="str">
        <f aca="false">IF(AND(D490=WF_END_PERIOD,R490,Z490&lt;&gt;1),1+COUNTIFS($D$5:$D$750,WF_END_PERIOD,$R$5:$R$750,TRUE(),$Z$5:$Z$750,"&lt;&gt;1",$S$5:$S$750,"&gt;"&amp;S490)+COUNTIFS($D$5:$D$750,WF_END_PERIOD,$R$5:$R$750,TRUE(),$Z$5:$Z$750,"&lt;&gt;1",$S$5:$S$750,S490,$B$5:$B$750,"&lt;"&amp;B490),"")</f>
        <v/>
      </c>
      <c r="AB490" s="11" t="b">
        <f aca="false">OR(D490=WF_START_PERIOD,D490=WF_END_PERIOD)</f>
        <v>1</v>
      </c>
      <c r="AC490" s="0" t="str">
        <f aca="false">B490&amp;"|"&amp;D490</f>
        <v>14140|20240630</v>
      </c>
    </row>
    <row r="491" customFormat="false" ht="15" hidden="false" customHeight="false" outlineLevel="0" collapsed="false">
      <c r="A491" s="0" t="n">
        <f aca="false">RawFinancials!A491</f>
        <v>488</v>
      </c>
      <c r="B491" s="0" t="n">
        <f aca="false">RawFinancials!C491</f>
        <v>14158</v>
      </c>
      <c r="C491" s="0" t="str">
        <f aca="false">RawFinancials!P491</f>
        <v>UNION BANK</v>
      </c>
      <c r="D491" s="0" t="n">
        <f aca="false">RawFinancials!W491</f>
        <v>20240630</v>
      </c>
      <c r="E491" s="0" t="str">
        <f aca="false">RawFinancials!Z491</f>
        <v>VT</v>
      </c>
      <c r="F491" s="0" t="n">
        <f aca="false">RawFinancials!B491</f>
        <v>1397831</v>
      </c>
      <c r="G491" s="0" t="n">
        <f aca="false">RawFinancials!U491</f>
        <v>157</v>
      </c>
      <c r="H491" s="0" t="n">
        <f aca="false">RawFinancials!O491</f>
        <v>1771</v>
      </c>
      <c r="I491" s="0" t="n">
        <f aca="false">IF(AND(ISNUMBER(G491),ISNUMBER(H491)),G491+H491,"")</f>
        <v>1928</v>
      </c>
      <c r="J491" s="0" t="n">
        <f aca="false">RawFinancials!D491</f>
        <v>1057053</v>
      </c>
      <c r="K491" s="0" t="n">
        <f aca="false">RawFinancials!F491</f>
        <v>80058</v>
      </c>
      <c r="L491" s="0" t="n">
        <f aca="false">RawFinancials!L491</f>
        <v>1014144</v>
      </c>
      <c r="M491" s="0" t="n">
        <f aca="false">RawFinancials!N491</f>
        <v>936491</v>
      </c>
      <c r="N491" s="13" t="n">
        <f aca="false">RawFinancials!X491</f>
        <v>0.687930744662969</v>
      </c>
      <c r="O491" s="13" t="n">
        <f aca="false">RawFinancials!V491</f>
        <v>13.1336578060651</v>
      </c>
      <c r="P491" s="13" t="n">
        <f aca="false">IF(AND(ISNUMBER(L491),L491&lt;&gt;0,ISNUMBER(M491)),100*M491/L491,"")</f>
        <v>92.3430005995204</v>
      </c>
      <c r="Q491" s="13" t="n">
        <f aca="false">IF(AND(ISNUMBER(F491),F491&lt;&gt;0,ISNUMBER(K491)),100*K491/F491,"")</f>
        <v>5.72730179828606</v>
      </c>
      <c r="R491" s="11" t="b">
        <f aca="false">AND(ISNUMBER(F491),F491&gt;0,ISNUMBER(G491),G491&gt;=0,ISNUMBER(H491),H491&gt;=0)</f>
        <v>1</v>
      </c>
      <c r="S491" s="13" t="n">
        <f aca="false">IF(R491,100*I491/F491,"")</f>
        <v>0.137927975556416</v>
      </c>
      <c r="T491" s="11" t="b">
        <f aca="false">NOT(AND(OR(AND(ISBLANK(RawFinancials!B491),ISBLANK(_RawBaseline!B488)),AND(ISNUMBER(RawFinancials!B491),ISNUMBER(_RawBaseline!B488),RawFinancials!B491=_RawBaseline!B488)),OR(AND(ISBLANK(RawFinancials!U491),ISBLANK(_RawBaseline!U488)),AND(ISNUMBER(RawFinancials!U491),ISNUMBER(_RawBaseline!U488),RawFinancials!U491=_RawBaseline!U488)),OR(AND(ISBLANK(RawFinancials!O491),ISBLANK(_RawBaseline!O488)),AND(ISNUMBER(RawFinancials!O491),ISNUMBER(_RawBaseline!O488),RawFinancials!O491=_RawBaseline!O488))))</f>
        <v>0</v>
      </c>
      <c r="U491" s="13" t="n">
        <f aca="false">IF(AND(D491=WF_START_PERIOD,R491,COUNTIFS($B$5:$B$750,B491,$D$5:$D$750,WF_END_PERIOD,$R$5:$R$750,TRUE())&gt;0),SUMIFS($S$5:$S$750,$B$5:$B$750,B491,$D$5:$D$750,WF_END_PERIOD,$R$5:$R$750,TRUE()),0)</f>
        <v>1.03153059376039</v>
      </c>
      <c r="V491" s="0" t="str">
        <f aca="false">IF(AND(D491=WF_START_PERIOD,COUNTIFS($B$5:$B$750,B491,$D$5:$D$750,WF_END_PERIOD)&gt;0),INDEX($E$5:$E$750,MATCH(B491&amp;"|"&amp;WF_END_PERIOD,$AC$5:$AC$750,0)),"")</f>
        <v>VT</v>
      </c>
      <c r="W491" s="11" t="b">
        <f aca="false">COUNTIFS($B$5:$B$750,B491,$D$5:$D$750,WF_START_PERIOD,$R$5:$R$750,TRUE())&gt;0</f>
        <v>1</v>
      </c>
      <c r="X491" s="11" t="b">
        <f aca="false">COUNTIFS($B$5:$B$750,B491,$D$5:$D$750,WF_END_PERIOD,$R$5:$R$750,TRUE())&gt;0</f>
        <v>1</v>
      </c>
      <c r="Y491" s="0" t="str">
        <f aca="false">IF(AND(D491=WF_END_PERIOD,COUNTIFS($B$5:$B$750,B491,$D$5:$D$750,WF_START_PERIOD)&gt;0),INDEX($E$5:$E$750,MATCH(B491&amp;"|"&amp;WF_START_PERIOD,$AC$5:$AC$750,0)),"")</f>
        <v/>
      </c>
      <c r="Z491" s="0" t="str">
        <f aca="false">IF(AND(D491=WF_END_PERIOD,R491),1+COUNTIFS($D$5:$D$750,WF_END_PERIOD,$E$5:$E$750,E491,$R$5:$R$750,TRUE(),$S$5:$S$750,"&gt;"&amp;S491)+COUNTIFS($D$5:$D$750,WF_END_PERIOD,$E$5:$E$750,E491,$R$5:$R$750,TRUE(),$S$5:$S$750,S491,$B$5:$B$750,"&lt;"&amp;B491),"")</f>
        <v/>
      </c>
      <c r="AA491" s="0" t="str">
        <f aca="false">IF(AND(D491=WF_END_PERIOD,R491,Z491&lt;&gt;1),1+COUNTIFS($D$5:$D$750,WF_END_PERIOD,$R$5:$R$750,TRUE(),$Z$5:$Z$750,"&lt;&gt;1",$S$5:$S$750,"&gt;"&amp;S491)+COUNTIFS($D$5:$D$750,WF_END_PERIOD,$R$5:$R$750,TRUE(),$Z$5:$Z$750,"&lt;&gt;1",$S$5:$S$750,S491,$B$5:$B$750,"&lt;"&amp;B491),"")</f>
        <v/>
      </c>
      <c r="AB491" s="11" t="b">
        <f aca="false">OR(D491=WF_START_PERIOD,D491=WF_END_PERIOD)</f>
        <v>1</v>
      </c>
      <c r="AC491" s="0" t="str">
        <f aca="false">B491&amp;"|"&amp;D491</f>
        <v>14158|20240630</v>
      </c>
    </row>
    <row r="492" customFormat="false" ht="15" hidden="false" customHeight="false" outlineLevel="0" collapsed="false">
      <c r="A492" s="0" t="n">
        <f aca="false">RawFinancials!A492</f>
        <v>489</v>
      </c>
      <c r="B492" s="0" t="n">
        <f aca="false">RawFinancials!C492</f>
        <v>14168</v>
      </c>
      <c r="C492" s="0" t="str">
        <f aca="false">RawFinancials!P492</f>
        <v>PEOPLES TRUST COMPANY OF ST. ALBANS</v>
      </c>
      <c r="D492" s="0" t="n">
        <f aca="false">RawFinancials!W492</f>
        <v>20240630</v>
      </c>
      <c r="E492" s="0" t="str">
        <f aca="false">RawFinancials!Z492</f>
        <v>VT</v>
      </c>
      <c r="F492" s="0" t="n">
        <f aca="false">RawFinancials!B492</f>
        <v>371774</v>
      </c>
      <c r="G492" s="0" t="n">
        <f aca="false">RawFinancials!U492</f>
        <v>1</v>
      </c>
      <c r="H492" s="0" t="n">
        <f aca="false">RawFinancials!O492</f>
        <v>1042</v>
      </c>
      <c r="I492" s="0" t="n">
        <f aca="false">IF(AND(ISNUMBER(G492),ISNUMBER(H492)),G492+H492,"")</f>
        <v>1043</v>
      </c>
      <c r="J492" s="0" t="n">
        <f aca="false">RawFinancials!D492</f>
        <v>330926</v>
      </c>
      <c r="K492" s="0" t="n">
        <f aca="false">RawFinancials!F492</f>
        <v>35832</v>
      </c>
      <c r="L492" s="0" t="n">
        <f aca="false">RawFinancials!L492</f>
        <v>262207</v>
      </c>
      <c r="M492" s="0" t="n">
        <f aca="false">RawFinancials!N492</f>
        <v>222296</v>
      </c>
      <c r="N492" s="13" t="n">
        <f aca="false">RawFinancials!X492</f>
        <v>0.916620469726825</v>
      </c>
      <c r="O492" s="13" t="n">
        <f aca="false">RawFinancials!V492</f>
        <v>16.1143275437546</v>
      </c>
      <c r="P492" s="13" t="n">
        <f aca="false">IF(AND(ISNUMBER(L492),L492&lt;&gt;0,ISNUMBER(M492)),100*M492/L492,"")</f>
        <v>84.7788197874199</v>
      </c>
      <c r="Q492" s="13" t="n">
        <f aca="false">IF(AND(ISNUMBER(F492),F492&lt;&gt;0,ISNUMBER(K492)),100*K492/F492,"")</f>
        <v>9.63811347754281</v>
      </c>
      <c r="R492" s="11" t="b">
        <f aca="false">AND(ISNUMBER(F492),F492&gt;0,ISNUMBER(G492),G492&gt;=0,ISNUMBER(H492),H492&gt;=0)</f>
        <v>1</v>
      </c>
      <c r="S492" s="13" t="n">
        <f aca="false">IF(R492,100*I492/F492,"")</f>
        <v>0.280546783798759</v>
      </c>
      <c r="T492" s="11" t="b">
        <f aca="false">NOT(AND(OR(AND(ISBLANK(RawFinancials!B492),ISBLANK(_RawBaseline!B489)),AND(ISNUMBER(RawFinancials!B492),ISNUMBER(_RawBaseline!B489),RawFinancials!B492=_RawBaseline!B489)),OR(AND(ISBLANK(RawFinancials!U492),ISBLANK(_RawBaseline!U489)),AND(ISNUMBER(RawFinancials!U492),ISNUMBER(_RawBaseline!U489),RawFinancials!U492=_RawBaseline!U489)),OR(AND(ISBLANK(RawFinancials!O492),ISBLANK(_RawBaseline!O489)),AND(ISNUMBER(RawFinancials!O492),ISNUMBER(_RawBaseline!O489),RawFinancials!O492=_RawBaseline!O489))))</f>
        <v>0</v>
      </c>
      <c r="U492" s="13" t="n">
        <f aca="false">IF(AND(D492=WF_START_PERIOD,R492,COUNTIFS($B$5:$B$750,B492,$D$5:$D$750,WF_END_PERIOD,$R$5:$R$750,TRUE())&gt;0),SUMIFS($S$5:$S$750,$B$5:$B$750,B492,$D$5:$D$750,WF_END_PERIOD,$R$5:$R$750,TRUE()),0)</f>
        <v>0.268542572754605</v>
      </c>
      <c r="V492" s="0" t="str">
        <f aca="false">IF(AND(D492=WF_START_PERIOD,COUNTIFS($B$5:$B$750,B492,$D$5:$D$750,WF_END_PERIOD)&gt;0),INDEX($E$5:$E$750,MATCH(B492&amp;"|"&amp;WF_END_PERIOD,$AC$5:$AC$750,0)),"")</f>
        <v>VT</v>
      </c>
      <c r="W492" s="11" t="b">
        <f aca="false">COUNTIFS($B$5:$B$750,B492,$D$5:$D$750,WF_START_PERIOD,$R$5:$R$750,TRUE())&gt;0</f>
        <v>1</v>
      </c>
      <c r="X492" s="11" t="b">
        <f aca="false">COUNTIFS($B$5:$B$750,B492,$D$5:$D$750,WF_END_PERIOD,$R$5:$R$750,TRUE())&gt;0</f>
        <v>1</v>
      </c>
      <c r="Y492" s="0" t="str">
        <f aca="false">IF(AND(D492=WF_END_PERIOD,COUNTIFS($B$5:$B$750,B492,$D$5:$D$750,WF_START_PERIOD)&gt;0),INDEX($E$5:$E$750,MATCH(B492&amp;"|"&amp;WF_START_PERIOD,$AC$5:$AC$750,0)),"")</f>
        <v/>
      </c>
      <c r="Z492" s="0" t="str">
        <f aca="false">IF(AND(D492=WF_END_PERIOD,R492),1+COUNTIFS($D$5:$D$750,WF_END_PERIOD,$E$5:$E$750,E492,$R$5:$R$750,TRUE(),$S$5:$S$750,"&gt;"&amp;S492)+COUNTIFS($D$5:$D$750,WF_END_PERIOD,$E$5:$E$750,E492,$R$5:$R$750,TRUE(),$S$5:$S$750,S492,$B$5:$B$750,"&lt;"&amp;B492),"")</f>
        <v/>
      </c>
      <c r="AA492" s="0" t="str">
        <f aca="false">IF(AND(D492=WF_END_PERIOD,R492,Z492&lt;&gt;1),1+COUNTIFS($D$5:$D$750,WF_END_PERIOD,$R$5:$R$750,TRUE(),$Z$5:$Z$750,"&lt;&gt;1",$S$5:$S$750,"&gt;"&amp;S492)+COUNTIFS($D$5:$D$750,WF_END_PERIOD,$R$5:$R$750,TRUE(),$Z$5:$Z$750,"&lt;&gt;1",$S$5:$S$750,S492,$B$5:$B$750,"&lt;"&amp;B492),"")</f>
        <v/>
      </c>
      <c r="AB492" s="11" t="b">
        <f aca="false">OR(D492=WF_START_PERIOD,D492=WF_END_PERIOD)</f>
        <v>1</v>
      </c>
      <c r="AC492" s="0" t="str">
        <f aca="false">B492&amp;"|"&amp;D492</f>
        <v>14168|20240630</v>
      </c>
    </row>
    <row r="493" customFormat="false" ht="15" hidden="false" customHeight="false" outlineLevel="0" collapsed="false">
      <c r="A493" s="0" t="n">
        <f aca="false">RawFinancials!A493</f>
        <v>490</v>
      </c>
      <c r="B493" s="0" t="n">
        <f aca="false">RawFinancials!C493</f>
        <v>14240</v>
      </c>
      <c r="C493" s="0" t="str">
        <f aca="false">RawFinancials!P493</f>
        <v>NORTHWAY BANK</v>
      </c>
      <c r="D493" s="0" t="n">
        <f aca="false">RawFinancials!W493</f>
        <v>20240630</v>
      </c>
      <c r="E493" s="0" t="str">
        <f aca="false">RawFinancials!Z493</f>
        <v>NH</v>
      </c>
      <c r="F493" s="0" t="n">
        <f aca="false">RawFinancials!B493</f>
        <v>1270696</v>
      </c>
      <c r="G493" s="0" t="n">
        <f aca="false">RawFinancials!U493</f>
        <v>0</v>
      </c>
      <c r="H493" s="0" t="n">
        <f aca="false">RawFinancials!O493</f>
        <v>3555</v>
      </c>
      <c r="I493" s="0" t="n">
        <f aca="false">IF(AND(ISNUMBER(G493),ISNUMBER(H493)),G493+H493,"")</f>
        <v>3555</v>
      </c>
      <c r="J493" s="0" t="n">
        <f aca="false">RawFinancials!D493</f>
        <v>1022140</v>
      </c>
      <c r="K493" s="0" t="n">
        <f aca="false">RawFinancials!F493</f>
        <v>88523</v>
      </c>
      <c r="L493" s="0" t="n">
        <f aca="false">RawFinancials!L493</f>
        <v>930519</v>
      </c>
      <c r="M493" s="0" t="n">
        <f aca="false">RawFinancials!N493</f>
        <v>787415</v>
      </c>
      <c r="N493" s="13" t="n">
        <f aca="false">RawFinancials!X493</f>
        <v>0.413870322740833</v>
      </c>
      <c r="O493" s="13" t="n">
        <f aca="false">RawFinancials!V493</f>
        <v>16.0006617207284</v>
      </c>
      <c r="P493" s="13" t="n">
        <f aca="false">IF(AND(ISNUMBER(L493),L493&lt;&gt;0,ISNUMBER(M493)),100*M493/L493,"")</f>
        <v>84.6210555614662</v>
      </c>
      <c r="Q493" s="13" t="n">
        <f aca="false">IF(AND(ISNUMBER(F493),F493&lt;&gt;0,ISNUMBER(K493)),100*K493/F493,"")</f>
        <v>6.96649710080145</v>
      </c>
      <c r="R493" s="11" t="b">
        <f aca="false">AND(ISNUMBER(F493),F493&gt;0,ISNUMBER(G493),G493&gt;=0,ISNUMBER(H493),H493&gt;=0)</f>
        <v>1</v>
      </c>
      <c r="S493" s="13" t="n">
        <f aca="false">IF(R493,100*I493/F493,"")</f>
        <v>0.279767938200797</v>
      </c>
      <c r="T493" s="11" t="b">
        <f aca="false">NOT(AND(OR(AND(ISBLANK(RawFinancials!B493),ISBLANK(_RawBaseline!B490)),AND(ISNUMBER(RawFinancials!B493),ISNUMBER(_RawBaseline!B490),RawFinancials!B493=_RawBaseline!B490)),OR(AND(ISBLANK(RawFinancials!U493),ISBLANK(_RawBaseline!U490)),AND(ISNUMBER(RawFinancials!U493),ISNUMBER(_RawBaseline!U490),RawFinancials!U493=_RawBaseline!U490)),OR(AND(ISBLANK(RawFinancials!O493),ISBLANK(_RawBaseline!O490)),AND(ISNUMBER(RawFinancials!O493),ISNUMBER(_RawBaseline!O490),RawFinancials!O493=_RawBaseline!O490))))</f>
        <v>0</v>
      </c>
      <c r="U493" s="13" t="n">
        <f aca="false">IF(AND(D493=WF_START_PERIOD,R493,COUNTIFS($B$5:$B$750,B493,$D$5:$D$750,WF_END_PERIOD,$R$5:$R$750,TRUE())&gt;0),SUMIFS($S$5:$S$750,$B$5:$B$750,B493,$D$5:$D$750,WF_END_PERIOD,$R$5:$R$750,TRUE()),0)</f>
        <v>0</v>
      </c>
      <c r="V493" s="0" t="str">
        <f aca="false">IF(AND(D493=WF_START_PERIOD,COUNTIFS($B$5:$B$750,B493,$D$5:$D$750,WF_END_PERIOD)&gt;0),INDEX($E$5:$E$750,MATCH(B493&amp;"|"&amp;WF_END_PERIOD,$AC$5:$AC$750,0)),"")</f>
        <v/>
      </c>
      <c r="W493" s="11" t="b">
        <f aca="false">COUNTIFS($B$5:$B$750,B493,$D$5:$D$750,WF_START_PERIOD,$R$5:$R$750,TRUE())&gt;0</f>
        <v>1</v>
      </c>
      <c r="X493" s="11" t="b">
        <f aca="false">COUNTIFS($B$5:$B$750,B493,$D$5:$D$750,WF_END_PERIOD,$R$5:$R$750,TRUE())&gt;0</f>
        <v>0</v>
      </c>
      <c r="Y493" s="0" t="str">
        <f aca="false">IF(AND(D493=WF_END_PERIOD,COUNTIFS($B$5:$B$750,B493,$D$5:$D$750,WF_START_PERIOD)&gt;0),INDEX($E$5:$E$750,MATCH(B493&amp;"|"&amp;WF_START_PERIOD,$AC$5:$AC$750,0)),"")</f>
        <v/>
      </c>
      <c r="Z493" s="0" t="str">
        <f aca="false">IF(AND(D493=WF_END_PERIOD,R493),1+COUNTIFS($D$5:$D$750,WF_END_PERIOD,$E$5:$E$750,E493,$R$5:$R$750,TRUE(),$S$5:$S$750,"&gt;"&amp;S493)+COUNTIFS($D$5:$D$750,WF_END_PERIOD,$E$5:$E$750,E493,$R$5:$R$750,TRUE(),$S$5:$S$750,S493,$B$5:$B$750,"&lt;"&amp;B493),"")</f>
        <v/>
      </c>
      <c r="AA493" s="0" t="str">
        <f aca="false">IF(AND(D493=WF_END_PERIOD,R493,Z493&lt;&gt;1),1+COUNTIFS($D$5:$D$750,WF_END_PERIOD,$R$5:$R$750,TRUE(),$Z$5:$Z$750,"&lt;&gt;1",$S$5:$S$750,"&gt;"&amp;S493)+COUNTIFS($D$5:$D$750,WF_END_PERIOD,$R$5:$R$750,TRUE(),$Z$5:$Z$750,"&lt;&gt;1",$S$5:$S$750,S493,$B$5:$B$750,"&lt;"&amp;B493),"")</f>
        <v/>
      </c>
      <c r="AB493" s="11" t="b">
        <f aca="false">OR(D493=WF_START_PERIOD,D493=WF_END_PERIOD)</f>
        <v>1</v>
      </c>
      <c r="AC493" s="0" t="str">
        <f aca="false">B493&amp;"|"&amp;D493</f>
        <v>14240|20240630</v>
      </c>
    </row>
    <row r="494" customFormat="false" ht="15" hidden="false" customHeight="false" outlineLevel="0" collapsed="false">
      <c r="A494" s="0" t="n">
        <f aca="false">RawFinancials!A494</f>
        <v>491</v>
      </c>
      <c r="B494" s="0" t="n">
        <f aca="false">RawFinancials!C494</f>
        <v>17115</v>
      </c>
      <c r="C494" s="0" t="str">
        <f aca="false">RawFinancials!P494</f>
        <v>PARTNERS BANK OF NEW ENGLAND</v>
      </c>
      <c r="D494" s="0" t="n">
        <f aca="false">RawFinancials!W494</f>
        <v>20240630</v>
      </c>
      <c r="E494" s="0" t="str">
        <f aca="false">RawFinancials!Z494</f>
        <v>ME</v>
      </c>
      <c r="F494" s="0" t="n">
        <f aca="false">RawFinancials!B494</f>
        <v>1071403</v>
      </c>
      <c r="G494" s="0" t="n">
        <f aca="false">RawFinancials!U494</f>
        <v>0</v>
      </c>
      <c r="H494" s="0" t="n">
        <f aca="false">RawFinancials!O494</f>
        <v>2433</v>
      </c>
      <c r="I494" s="0" t="n">
        <f aca="false">IF(AND(ISNUMBER(G494),ISNUMBER(H494)),G494+H494,"")</f>
        <v>2433</v>
      </c>
      <c r="J494" s="0" t="n">
        <f aca="false">RawFinancials!D494</f>
        <v>787661</v>
      </c>
      <c r="K494" s="0" t="n">
        <f aca="false">RawFinancials!F494</f>
        <v>89467</v>
      </c>
      <c r="L494" s="0" t="n">
        <f aca="false">RawFinancials!L494</f>
        <v>893732</v>
      </c>
      <c r="M494" s="0" t="n">
        <f aca="false">RawFinancials!N494</f>
        <v>843758</v>
      </c>
      <c r="N494" s="13" t="n">
        <f aca="false">RawFinancials!X494</f>
        <v>0.369675963044739</v>
      </c>
      <c r="O494" s="13" t="n">
        <f aca="false">RawFinancials!V494</f>
        <v>14.2345042759811</v>
      </c>
      <c r="P494" s="13" t="n">
        <f aca="false">IF(AND(ISNUMBER(L494),L494&lt;&gt;0,ISNUMBER(M494)),100*M494/L494,"")</f>
        <v>94.4083908822779</v>
      </c>
      <c r="Q494" s="13" t="n">
        <f aca="false">IF(AND(ISNUMBER(F494),F494&lt;&gt;0,ISNUMBER(K494)),100*K494/F494,"")</f>
        <v>8.35045263080279</v>
      </c>
      <c r="R494" s="11" t="b">
        <f aca="false">AND(ISNUMBER(F494),F494&gt;0,ISNUMBER(G494),G494&gt;=0,ISNUMBER(H494),H494&gt;=0)</f>
        <v>1</v>
      </c>
      <c r="S494" s="13" t="n">
        <f aca="false">IF(R494,100*I494/F494,"")</f>
        <v>0.227085419772019</v>
      </c>
      <c r="T494" s="11" t="b">
        <f aca="false">NOT(AND(OR(AND(ISBLANK(RawFinancials!B494),ISBLANK(_RawBaseline!B491)),AND(ISNUMBER(RawFinancials!B494),ISNUMBER(_RawBaseline!B491),RawFinancials!B494=_RawBaseline!B491)),OR(AND(ISBLANK(RawFinancials!U494),ISBLANK(_RawBaseline!U491)),AND(ISNUMBER(RawFinancials!U494),ISNUMBER(_RawBaseline!U491),RawFinancials!U494=_RawBaseline!U491)),OR(AND(ISBLANK(RawFinancials!O494),ISBLANK(_RawBaseline!O491)),AND(ISNUMBER(RawFinancials!O494),ISNUMBER(_RawBaseline!O491),RawFinancials!O494=_RawBaseline!O491))))</f>
        <v>0</v>
      </c>
      <c r="U494" s="13" t="n">
        <f aca="false">IF(AND(D494=WF_START_PERIOD,R494,COUNTIFS($B$5:$B$750,B494,$D$5:$D$750,WF_END_PERIOD,$R$5:$R$750,TRUE())&gt;0),SUMIFS($S$5:$S$750,$B$5:$B$750,B494,$D$5:$D$750,WF_END_PERIOD,$R$5:$R$750,TRUE()),0)</f>
        <v>0.238644676248921</v>
      </c>
      <c r="V494" s="0" t="str">
        <f aca="false">IF(AND(D494=WF_START_PERIOD,COUNTIFS($B$5:$B$750,B494,$D$5:$D$750,WF_END_PERIOD)&gt;0),INDEX($E$5:$E$750,MATCH(B494&amp;"|"&amp;WF_END_PERIOD,$AC$5:$AC$750,0)),"")</f>
        <v>ME</v>
      </c>
      <c r="W494" s="11" t="b">
        <f aca="false">COUNTIFS($B$5:$B$750,B494,$D$5:$D$750,WF_START_PERIOD,$R$5:$R$750,TRUE())&gt;0</f>
        <v>1</v>
      </c>
      <c r="X494" s="11" t="b">
        <f aca="false">COUNTIFS($B$5:$B$750,B494,$D$5:$D$750,WF_END_PERIOD,$R$5:$R$750,TRUE())&gt;0</f>
        <v>1</v>
      </c>
      <c r="Y494" s="0" t="str">
        <f aca="false">IF(AND(D494=WF_END_PERIOD,COUNTIFS($B$5:$B$750,B494,$D$5:$D$750,WF_START_PERIOD)&gt;0),INDEX($E$5:$E$750,MATCH(B494&amp;"|"&amp;WF_START_PERIOD,$AC$5:$AC$750,0)),"")</f>
        <v/>
      </c>
      <c r="Z494" s="0" t="str">
        <f aca="false">IF(AND(D494=WF_END_PERIOD,R494),1+COUNTIFS($D$5:$D$750,WF_END_PERIOD,$E$5:$E$750,E494,$R$5:$R$750,TRUE(),$S$5:$S$750,"&gt;"&amp;S494)+COUNTIFS($D$5:$D$750,WF_END_PERIOD,$E$5:$E$750,E494,$R$5:$R$750,TRUE(),$S$5:$S$750,S494,$B$5:$B$750,"&lt;"&amp;B494),"")</f>
        <v/>
      </c>
      <c r="AA494" s="0" t="str">
        <f aca="false">IF(AND(D494=WF_END_PERIOD,R494,Z494&lt;&gt;1),1+COUNTIFS($D$5:$D$750,WF_END_PERIOD,$R$5:$R$750,TRUE(),$Z$5:$Z$750,"&lt;&gt;1",$S$5:$S$750,"&gt;"&amp;S494)+COUNTIFS($D$5:$D$750,WF_END_PERIOD,$R$5:$R$750,TRUE(),$Z$5:$Z$750,"&lt;&gt;1",$S$5:$S$750,S494,$B$5:$B$750,"&lt;"&amp;B494),"")</f>
        <v/>
      </c>
      <c r="AB494" s="11" t="b">
        <f aca="false">OR(D494=WF_START_PERIOD,D494=WF_END_PERIOD)</f>
        <v>1</v>
      </c>
      <c r="AC494" s="0" t="str">
        <f aca="false">B494&amp;"|"&amp;D494</f>
        <v>17115|20240630</v>
      </c>
    </row>
    <row r="495" customFormat="false" ht="15" hidden="false" customHeight="false" outlineLevel="0" collapsed="false">
      <c r="A495" s="0" t="n">
        <f aca="false">RawFinancials!A495</f>
        <v>492</v>
      </c>
      <c r="B495" s="0" t="n">
        <f aca="false">RawFinancials!C495</f>
        <v>17180</v>
      </c>
      <c r="C495" s="0" t="str">
        <f aca="false">RawFinancials!P495</f>
        <v>MEREDITH VILLAGE SAVINGS BANK</v>
      </c>
      <c r="D495" s="0" t="n">
        <f aca="false">RawFinancials!W495</f>
        <v>20240630</v>
      </c>
      <c r="E495" s="0" t="str">
        <f aca="false">RawFinancials!Z495</f>
        <v>NH</v>
      </c>
      <c r="F495" s="0" t="n">
        <f aca="false">RawFinancials!B495</f>
        <v>1640511</v>
      </c>
      <c r="G495" s="0" t="n">
        <f aca="false">RawFinancials!U495</f>
        <v>0</v>
      </c>
      <c r="H495" s="0" t="n">
        <f aca="false">RawFinancials!O495</f>
        <v>5092</v>
      </c>
      <c r="I495" s="0" t="n">
        <f aca="false">IF(AND(ISNUMBER(G495),ISNUMBER(H495)),G495+H495,"")</f>
        <v>5092</v>
      </c>
      <c r="J495" s="0" t="n">
        <f aca="false">RawFinancials!D495</f>
        <v>1189680</v>
      </c>
      <c r="K495" s="0" t="n">
        <f aca="false">RawFinancials!F495</f>
        <v>139135</v>
      </c>
      <c r="L495" s="0" t="n">
        <f aca="false">RawFinancials!L495</f>
        <v>1460125</v>
      </c>
      <c r="M495" s="0" t="n">
        <f aca="false">RawFinancials!N495</f>
        <v>1213990</v>
      </c>
      <c r="N495" s="13" t="n">
        <f aca="false">RawFinancials!X495</f>
        <v>0.39737401699871</v>
      </c>
      <c r="O495" s="13" t="n">
        <f aca="false">RawFinancials!V495</f>
        <v>14.6981446942181</v>
      </c>
      <c r="P495" s="13" t="n">
        <f aca="false">IF(AND(ISNUMBER(L495),L495&lt;&gt;0,ISNUMBER(M495)),100*M495/L495,"")</f>
        <v>83.1428816026025</v>
      </c>
      <c r="Q495" s="13" t="n">
        <f aca="false">IF(AND(ISNUMBER(F495),F495&lt;&gt;0,ISNUMBER(K495)),100*K495/F495,"")</f>
        <v>8.48119884596934</v>
      </c>
      <c r="R495" s="11" t="b">
        <f aca="false">AND(ISNUMBER(F495),F495&gt;0,ISNUMBER(G495),G495&gt;=0,ISNUMBER(H495),H495&gt;=0)</f>
        <v>1</v>
      </c>
      <c r="S495" s="13" t="n">
        <f aca="false">IF(R495,100*I495/F495,"")</f>
        <v>0.310391091556229</v>
      </c>
      <c r="T495" s="11" t="b">
        <f aca="false">NOT(AND(OR(AND(ISBLANK(RawFinancials!B495),ISBLANK(_RawBaseline!B492)),AND(ISNUMBER(RawFinancials!B495),ISNUMBER(_RawBaseline!B492),RawFinancials!B495=_RawBaseline!B492)),OR(AND(ISBLANK(RawFinancials!U495),ISBLANK(_RawBaseline!U492)),AND(ISNUMBER(RawFinancials!U495),ISNUMBER(_RawBaseline!U492),RawFinancials!U495=_RawBaseline!U492)),OR(AND(ISBLANK(RawFinancials!O495),ISBLANK(_RawBaseline!O492)),AND(ISNUMBER(RawFinancials!O495),ISNUMBER(_RawBaseline!O492),RawFinancials!O495=_RawBaseline!O492))))</f>
        <v>0</v>
      </c>
      <c r="U495" s="13" t="n">
        <f aca="false">IF(AND(D495=WF_START_PERIOD,R495,COUNTIFS($B$5:$B$750,B495,$D$5:$D$750,WF_END_PERIOD,$R$5:$R$750,TRUE())&gt;0),SUMIFS($S$5:$S$750,$B$5:$B$750,B495,$D$5:$D$750,WF_END_PERIOD,$R$5:$R$750,TRUE()),0)</f>
        <v>0.31164609529064</v>
      </c>
      <c r="V495" s="0" t="str">
        <f aca="false">IF(AND(D495=WF_START_PERIOD,COUNTIFS($B$5:$B$750,B495,$D$5:$D$750,WF_END_PERIOD)&gt;0),INDEX($E$5:$E$750,MATCH(B495&amp;"|"&amp;WF_END_PERIOD,$AC$5:$AC$750,0)),"")</f>
        <v>NH</v>
      </c>
      <c r="W495" s="11" t="b">
        <f aca="false">COUNTIFS($B$5:$B$750,B495,$D$5:$D$750,WF_START_PERIOD,$R$5:$R$750,TRUE())&gt;0</f>
        <v>1</v>
      </c>
      <c r="X495" s="11" t="b">
        <f aca="false">COUNTIFS($B$5:$B$750,B495,$D$5:$D$750,WF_END_PERIOD,$R$5:$R$750,TRUE())&gt;0</f>
        <v>1</v>
      </c>
      <c r="Y495" s="0" t="str">
        <f aca="false">IF(AND(D495=WF_END_PERIOD,COUNTIFS($B$5:$B$750,B495,$D$5:$D$750,WF_START_PERIOD)&gt;0),INDEX($E$5:$E$750,MATCH(B495&amp;"|"&amp;WF_START_PERIOD,$AC$5:$AC$750,0)),"")</f>
        <v/>
      </c>
      <c r="Z495" s="0" t="str">
        <f aca="false">IF(AND(D495=WF_END_PERIOD,R495),1+COUNTIFS($D$5:$D$750,WF_END_PERIOD,$E$5:$E$750,E495,$R$5:$R$750,TRUE(),$S$5:$S$750,"&gt;"&amp;S495)+COUNTIFS($D$5:$D$750,WF_END_PERIOD,$E$5:$E$750,E495,$R$5:$R$750,TRUE(),$S$5:$S$750,S495,$B$5:$B$750,"&lt;"&amp;B495),"")</f>
        <v/>
      </c>
      <c r="AA495" s="0" t="str">
        <f aca="false">IF(AND(D495=WF_END_PERIOD,R495,Z495&lt;&gt;1),1+COUNTIFS($D$5:$D$750,WF_END_PERIOD,$R$5:$R$750,TRUE(),$Z$5:$Z$750,"&lt;&gt;1",$S$5:$S$750,"&gt;"&amp;S495)+COUNTIFS($D$5:$D$750,WF_END_PERIOD,$R$5:$R$750,TRUE(),$Z$5:$Z$750,"&lt;&gt;1",$S$5:$S$750,S495,$B$5:$B$750,"&lt;"&amp;B495),"")</f>
        <v/>
      </c>
      <c r="AB495" s="11" t="b">
        <f aca="false">OR(D495=WF_START_PERIOD,D495=WF_END_PERIOD)</f>
        <v>1</v>
      </c>
      <c r="AC495" s="0" t="str">
        <f aca="false">B495&amp;"|"&amp;D495</f>
        <v>17180|20240630</v>
      </c>
    </row>
    <row r="496" customFormat="false" ht="15" hidden="false" customHeight="false" outlineLevel="0" collapsed="false">
      <c r="A496" s="0" t="n">
        <f aca="false">RawFinancials!A496</f>
        <v>493</v>
      </c>
      <c r="B496" s="0" t="n">
        <f aca="false">RawFinancials!C496</f>
        <v>17443</v>
      </c>
      <c r="C496" s="0" t="str">
        <f aca="false">RawFinancials!P496</f>
        <v>PISCATAQUA SAVINGS BANK</v>
      </c>
      <c r="D496" s="0" t="n">
        <f aca="false">RawFinancials!W496</f>
        <v>20240630</v>
      </c>
      <c r="E496" s="0" t="str">
        <f aca="false">RawFinancials!Z496</f>
        <v>NH</v>
      </c>
      <c r="F496" s="0" t="n">
        <f aca="false">RawFinancials!B496</f>
        <v>365097</v>
      </c>
      <c r="G496" s="0" t="n">
        <f aca="false">RawFinancials!U496</f>
        <v>0</v>
      </c>
      <c r="H496" s="0" t="n">
        <f aca="false">RawFinancials!O496</f>
        <v>1042</v>
      </c>
      <c r="I496" s="0" t="n">
        <f aca="false">IF(AND(ISNUMBER(G496),ISNUMBER(H496)),G496+H496,"")</f>
        <v>1042</v>
      </c>
      <c r="J496" s="0" t="n">
        <f aca="false">RawFinancials!D496</f>
        <v>300117</v>
      </c>
      <c r="K496" s="0" t="n">
        <f aca="false">RawFinancials!F496</f>
        <v>38871</v>
      </c>
      <c r="L496" s="0" t="n">
        <f aca="false">RawFinancials!L496</f>
        <v>200580</v>
      </c>
      <c r="M496" s="0" t="n">
        <f aca="false">RawFinancials!N496</f>
        <v>198905</v>
      </c>
      <c r="N496" s="13" t="n">
        <f aca="false">RawFinancials!X496</f>
        <v>-0.190207341097617</v>
      </c>
      <c r="O496" s="13" t="n">
        <f aca="false">RawFinancials!V496</f>
        <v>0</v>
      </c>
      <c r="P496" s="13" t="n">
        <f aca="false">IF(AND(ISNUMBER(L496),L496&lt;&gt;0,ISNUMBER(M496)),100*M496/L496,"")</f>
        <v>99.1649217269917</v>
      </c>
      <c r="Q496" s="13" t="n">
        <f aca="false">IF(AND(ISNUMBER(F496),F496&lt;&gt;0,ISNUMBER(K496)),100*K496/F496,"")</f>
        <v>10.6467596282632</v>
      </c>
      <c r="R496" s="11" t="b">
        <f aca="false">AND(ISNUMBER(F496),F496&gt;0,ISNUMBER(G496),G496&gt;=0,ISNUMBER(H496),H496&gt;=0)</f>
        <v>1</v>
      </c>
      <c r="S496" s="13" t="n">
        <f aca="false">IF(R496,100*I496/F496,"")</f>
        <v>0.285403605069338</v>
      </c>
      <c r="T496" s="11" t="b">
        <f aca="false">NOT(AND(OR(AND(ISBLANK(RawFinancials!B496),ISBLANK(_RawBaseline!B493)),AND(ISNUMBER(RawFinancials!B496),ISNUMBER(_RawBaseline!B493),RawFinancials!B496=_RawBaseline!B493)),OR(AND(ISBLANK(RawFinancials!U496),ISBLANK(_RawBaseline!U493)),AND(ISNUMBER(RawFinancials!U496),ISNUMBER(_RawBaseline!U493),RawFinancials!U496=_RawBaseline!U493)),OR(AND(ISBLANK(RawFinancials!O496),ISBLANK(_RawBaseline!O493)),AND(ISNUMBER(RawFinancials!O496),ISNUMBER(_RawBaseline!O493),RawFinancials!O496=_RawBaseline!O493))))</f>
        <v>0</v>
      </c>
      <c r="U496" s="13" t="n">
        <f aca="false">IF(AND(D496=WF_START_PERIOD,R496,COUNTIFS($B$5:$B$750,B496,$D$5:$D$750,WF_END_PERIOD,$R$5:$R$750,TRUE())&gt;0),SUMIFS($S$5:$S$750,$B$5:$B$750,B496,$D$5:$D$750,WF_END_PERIOD,$R$5:$R$750,TRUE()),0)</f>
        <v>0.00600135303232001</v>
      </c>
      <c r="V496" s="0" t="str">
        <f aca="false">IF(AND(D496=WF_START_PERIOD,COUNTIFS($B$5:$B$750,B496,$D$5:$D$750,WF_END_PERIOD)&gt;0),INDEX($E$5:$E$750,MATCH(B496&amp;"|"&amp;WF_END_PERIOD,$AC$5:$AC$750,0)),"")</f>
        <v>NH</v>
      </c>
      <c r="W496" s="11" t="b">
        <f aca="false">COUNTIFS($B$5:$B$750,B496,$D$5:$D$750,WF_START_PERIOD,$R$5:$R$750,TRUE())&gt;0</f>
        <v>1</v>
      </c>
      <c r="X496" s="11" t="b">
        <f aca="false">COUNTIFS($B$5:$B$750,B496,$D$5:$D$750,WF_END_PERIOD,$R$5:$R$750,TRUE())&gt;0</f>
        <v>1</v>
      </c>
      <c r="Y496" s="0" t="str">
        <f aca="false">IF(AND(D496=WF_END_PERIOD,COUNTIFS($B$5:$B$750,B496,$D$5:$D$750,WF_START_PERIOD)&gt;0),INDEX($E$5:$E$750,MATCH(B496&amp;"|"&amp;WF_START_PERIOD,$AC$5:$AC$750,0)),"")</f>
        <v/>
      </c>
      <c r="Z496" s="0" t="str">
        <f aca="false">IF(AND(D496=WF_END_PERIOD,R496),1+COUNTIFS($D$5:$D$750,WF_END_PERIOD,$E$5:$E$750,E496,$R$5:$R$750,TRUE(),$S$5:$S$750,"&gt;"&amp;S496)+COUNTIFS($D$5:$D$750,WF_END_PERIOD,$E$5:$E$750,E496,$R$5:$R$750,TRUE(),$S$5:$S$750,S496,$B$5:$B$750,"&lt;"&amp;B496),"")</f>
        <v/>
      </c>
      <c r="AA496" s="0" t="str">
        <f aca="false">IF(AND(D496=WF_END_PERIOD,R496,Z496&lt;&gt;1),1+COUNTIFS($D$5:$D$750,WF_END_PERIOD,$R$5:$R$750,TRUE(),$Z$5:$Z$750,"&lt;&gt;1",$S$5:$S$750,"&gt;"&amp;S496)+COUNTIFS($D$5:$D$750,WF_END_PERIOD,$R$5:$R$750,TRUE(),$Z$5:$Z$750,"&lt;&gt;1",$S$5:$S$750,S496,$B$5:$B$750,"&lt;"&amp;B496),"")</f>
        <v/>
      </c>
      <c r="AB496" s="11" t="b">
        <f aca="false">OR(D496=WF_START_PERIOD,D496=WF_END_PERIOD)</f>
        <v>1</v>
      </c>
      <c r="AC496" s="0" t="str">
        <f aca="false">B496&amp;"|"&amp;D496</f>
        <v>17443|20240630</v>
      </c>
    </row>
    <row r="497" customFormat="false" ht="15" hidden="false" customHeight="false" outlineLevel="0" collapsed="false">
      <c r="A497" s="0" t="n">
        <f aca="false">RawFinancials!A497</f>
        <v>494</v>
      </c>
      <c r="B497" s="0" t="n">
        <f aca="false">RawFinancials!C497</f>
        <v>17658</v>
      </c>
      <c r="C497" s="0" t="str">
        <f aca="false">RawFinancials!P497</f>
        <v>NORWAY SAVINGS BANK</v>
      </c>
      <c r="D497" s="0" t="n">
        <f aca="false">RawFinancials!W497</f>
        <v>20240630</v>
      </c>
      <c r="E497" s="0" t="str">
        <f aca="false">RawFinancials!Z497</f>
        <v>ME</v>
      </c>
      <c r="F497" s="0" t="n">
        <f aca="false">RawFinancials!B497</f>
        <v>1912692</v>
      </c>
      <c r="G497" s="0" t="n">
        <f aca="false">RawFinancials!U497</f>
        <v>15</v>
      </c>
      <c r="H497" s="0" t="n">
        <f aca="false">RawFinancials!O497</f>
        <v>10806</v>
      </c>
      <c r="I497" s="0" t="n">
        <f aca="false">IF(AND(ISNUMBER(G497),ISNUMBER(H497)),G497+H497,"")</f>
        <v>10821</v>
      </c>
      <c r="J497" s="0" t="n">
        <f aca="false">RawFinancials!D497</f>
        <v>1503955</v>
      </c>
      <c r="K497" s="0" t="n">
        <f aca="false">RawFinancials!F497</f>
        <v>211101</v>
      </c>
      <c r="L497" s="0" t="n">
        <f aca="false">RawFinancials!L497</f>
        <v>1361231</v>
      </c>
      <c r="M497" s="0" t="n">
        <f aca="false">RawFinancials!N497</f>
        <v>1158750</v>
      </c>
      <c r="N497" s="13" t="n">
        <f aca="false">RawFinancials!X497</f>
        <v>0.777361795851378</v>
      </c>
      <c r="O497" s="13" t="n">
        <f aca="false">RawFinancials!V497</f>
        <v>0</v>
      </c>
      <c r="P497" s="13" t="n">
        <f aca="false">IF(AND(ISNUMBER(L497),L497&lt;&gt;0,ISNUMBER(M497)),100*M497/L497,"")</f>
        <v>85.1251550985836</v>
      </c>
      <c r="Q497" s="13" t="n">
        <f aca="false">IF(AND(ISNUMBER(F497),F497&lt;&gt;0,ISNUMBER(K497)),100*K497/F497,"")</f>
        <v>11.0368527708591</v>
      </c>
      <c r="R497" s="11" t="b">
        <f aca="false">AND(ISNUMBER(F497),F497&gt;0,ISNUMBER(G497),G497&gt;=0,ISNUMBER(H497),H497&gt;=0)</f>
        <v>1</v>
      </c>
      <c r="S497" s="13" t="n">
        <f aca="false">IF(R497,100*I497/F497,"")</f>
        <v>0.56574712499451</v>
      </c>
      <c r="T497" s="11" t="b">
        <f aca="false">NOT(AND(OR(AND(ISBLANK(RawFinancials!B497),ISBLANK(_RawBaseline!B494)),AND(ISNUMBER(RawFinancials!B497),ISNUMBER(_RawBaseline!B494),RawFinancials!B497=_RawBaseline!B494)),OR(AND(ISBLANK(RawFinancials!U497),ISBLANK(_RawBaseline!U494)),AND(ISNUMBER(RawFinancials!U497),ISNUMBER(_RawBaseline!U494),RawFinancials!U497=_RawBaseline!U494)),OR(AND(ISBLANK(RawFinancials!O497),ISBLANK(_RawBaseline!O494)),AND(ISNUMBER(RawFinancials!O497),ISNUMBER(_RawBaseline!O494),RawFinancials!O497=_RawBaseline!O494))))</f>
        <v>0</v>
      </c>
      <c r="U497" s="13" t="n">
        <f aca="false">IF(AND(D497=WF_START_PERIOD,R497,COUNTIFS($B$5:$B$750,B497,$D$5:$D$750,WF_END_PERIOD,$R$5:$R$750,TRUE())&gt;0),SUMIFS($S$5:$S$750,$B$5:$B$750,B497,$D$5:$D$750,WF_END_PERIOD,$R$5:$R$750,TRUE()),0)</f>
        <v>0.493760015539261</v>
      </c>
      <c r="V497" s="0" t="str">
        <f aca="false">IF(AND(D497=WF_START_PERIOD,COUNTIFS($B$5:$B$750,B497,$D$5:$D$750,WF_END_PERIOD)&gt;0),INDEX($E$5:$E$750,MATCH(B497&amp;"|"&amp;WF_END_PERIOD,$AC$5:$AC$750,0)),"")</f>
        <v>ME</v>
      </c>
      <c r="W497" s="11" t="b">
        <f aca="false">COUNTIFS($B$5:$B$750,B497,$D$5:$D$750,WF_START_PERIOD,$R$5:$R$750,TRUE())&gt;0</f>
        <v>1</v>
      </c>
      <c r="X497" s="11" t="b">
        <f aca="false">COUNTIFS($B$5:$B$750,B497,$D$5:$D$750,WF_END_PERIOD,$R$5:$R$750,TRUE())&gt;0</f>
        <v>1</v>
      </c>
      <c r="Y497" s="0" t="str">
        <f aca="false">IF(AND(D497=WF_END_PERIOD,COUNTIFS($B$5:$B$750,B497,$D$5:$D$750,WF_START_PERIOD)&gt;0),INDEX($E$5:$E$750,MATCH(B497&amp;"|"&amp;WF_START_PERIOD,$AC$5:$AC$750,0)),"")</f>
        <v/>
      </c>
      <c r="Z497" s="0" t="str">
        <f aca="false">IF(AND(D497=WF_END_PERIOD,R497),1+COUNTIFS($D$5:$D$750,WF_END_PERIOD,$E$5:$E$750,E497,$R$5:$R$750,TRUE(),$S$5:$S$750,"&gt;"&amp;S497)+COUNTIFS($D$5:$D$750,WF_END_PERIOD,$E$5:$E$750,E497,$R$5:$R$750,TRUE(),$S$5:$S$750,S497,$B$5:$B$750,"&lt;"&amp;B497),"")</f>
        <v/>
      </c>
      <c r="AA497" s="0" t="str">
        <f aca="false">IF(AND(D497=WF_END_PERIOD,R497,Z497&lt;&gt;1),1+COUNTIFS($D$5:$D$750,WF_END_PERIOD,$R$5:$R$750,TRUE(),$Z$5:$Z$750,"&lt;&gt;1",$S$5:$S$750,"&gt;"&amp;S497)+COUNTIFS($D$5:$D$750,WF_END_PERIOD,$R$5:$R$750,TRUE(),$Z$5:$Z$750,"&lt;&gt;1",$S$5:$S$750,S497,$B$5:$B$750,"&lt;"&amp;B497),"")</f>
        <v/>
      </c>
      <c r="AB497" s="11" t="b">
        <f aca="false">OR(D497=WF_START_PERIOD,D497=WF_END_PERIOD)</f>
        <v>1</v>
      </c>
      <c r="AC497" s="0" t="str">
        <f aca="false">B497&amp;"|"&amp;D497</f>
        <v>17658|20240630</v>
      </c>
    </row>
    <row r="498" customFormat="false" ht="15" hidden="false" customHeight="false" outlineLevel="0" collapsed="false">
      <c r="A498" s="0" t="n">
        <f aca="false">RawFinancials!A498</f>
        <v>495</v>
      </c>
      <c r="B498" s="0" t="n">
        <f aca="false">RawFinancials!C498</f>
        <v>17741</v>
      </c>
      <c r="C498" s="0" t="str">
        <f aca="false">RawFinancials!P498</f>
        <v>MAINE COMMUNITY BANK</v>
      </c>
      <c r="D498" s="0" t="n">
        <f aca="false">RawFinancials!W498</f>
        <v>20240630</v>
      </c>
      <c r="E498" s="0" t="str">
        <f aca="false">RawFinancials!Z498</f>
        <v>ME</v>
      </c>
      <c r="F498" s="0" t="n">
        <f aca="false">RawFinancials!B498</f>
        <v>1160635</v>
      </c>
      <c r="G498" s="0" t="n">
        <f aca="false">RawFinancials!U498</f>
        <v>0</v>
      </c>
      <c r="H498" s="0" t="n">
        <f aca="false">RawFinancials!O498</f>
        <v>7132</v>
      </c>
      <c r="I498" s="0" t="n">
        <f aca="false">IF(AND(ISNUMBER(G498),ISNUMBER(H498)),G498+H498,"")</f>
        <v>7132</v>
      </c>
      <c r="J498" s="0" t="n">
        <f aca="false">RawFinancials!D498</f>
        <v>863648</v>
      </c>
      <c r="K498" s="0" t="n">
        <f aca="false">RawFinancials!F498</f>
        <v>141966</v>
      </c>
      <c r="L498" s="0" t="n">
        <f aca="false">RawFinancials!L498</f>
        <v>968304</v>
      </c>
      <c r="M498" s="0" t="n">
        <f aca="false">RawFinancials!N498</f>
        <v>905457</v>
      </c>
      <c r="N498" s="13" t="n">
        <f aca="false">RawFinancials!X498</f>
        <v>0.576787824521446</v>
      </c>
      <c r="O498" s="13" t="n">
        <f aca="false">RawFinancials!V498</f>
        <v>0</v>
      </c>
      <c r="P498" s="13" t="n">
        <f aca="false">IF(AND(ISNUMBER(L498),L498&lt;&gt;0,ISNUMBER(M498)),100*M498/L498,"")</f>
        <v>93.5095796361473</v>
      </c>
      <c r="Q498" s="13" t="n">
        <f aca="false">IF(AND(ISNUMBER(F498),F498&lt;&gt;0,ISNUMBER(K498)),100*K498/F498,"")</f>
        <v>12.2317524458594</v>
      </c>
      <c r="R498" s="11" t="b">
        <f aca="false">AND(ISNUMBER(F498),F498&gt;0,ISNUMBER(G498),G498&gt;=0,ISNUMBER(H498),H498&gt;=0)</f>
        <v>1</v>
      </c>
      <c r="S498" s="13" t="n">
        <f aca="false">IF(R498,100*I498/F498,"")</f>
        <v>0.614491205245405</v>
      </c>
      <c r="T498" s="11" t="b">
        <f aca="false">NOT(AND(OR(AND(ISBLANK(RawFinancials!B498),ISBLANK(_RawBaseline!B495)),AND(ISNUMBER(RawFinancials!B498),ISNUMBER(_RawBaseline!B495),RawFinancials!B498=_RawBaseline!B495)),OR(AND(ISBLANK(RawFinancials!U498),ISBLANK(_RawBaseline!U495)),AND(ISNUMBER(RawFinancials!U498),ISNUMBER(_RawBaseline!U495),RawFinancials!U498=_RawBaseline!U495)),OR(AND(ISBLANK(RawFinancials!O498),ISBLANK(_RawBaseline!O495)),AND(ISNUMBER(RawFinancials!O498),ISNUMBER(_RawBaseline!O495),RawFinancials!O498=_RawBaseline!O495))))</f>
        <v>0</v>
      </c>
      <c r="U498" s="13" t="n">
        <f aca="false">IF(AND(D498=WF_START_PERIOD,R498,COUNTIFS($B$5:$B$750,B498,$D$5:$D$750,WF_END_PERIOD,$R$5:$R$750,TRUE())&gt;0),SUMIFS($S$5:$S$750,$B$5:$B$750,B498,$D$5:$D$750,WF_END_PERIOD,$R$5:$R$750,TRUE()),0)</f>
        <v>0.515244523623592</v>
      </c>
      <c r="V498" s="0" t="str">
        <f aca="false">IF(AND(D498=WF_START_PERIOD,COUNTIFS($B$5:$B$750,B498,$D$5:$D$750,WF_END_PERIOD)&gt;0),INDEX($E$5:$E$750,MATCH(B498&amp;"|"&amp;WF_END_PERIOD,$AC$5:$AC$750,0)),"")</f>
        <v>ME</v>
      </c>
      <c r="W498" s="11" t="b">
        <f aca="false">COUNTIFS($B$5:$B$750,B498,$D$5:$D$750,WF_START_PERIOD,$R$5:$R$750,TRUE())&gt;0</f>
        <v>1</v>
      </c>
      <c r="X498" s="11" t="b">
        <f aca="false">COUNTIFS($B$5:$B$750,B498,$D$5:$D$750,WF_END_PERIOD,$R$5:$R$750,TRUE())&gt;0</f>
        <v>1</v>
      </c>
      <c r="Y498" s="0" t="str">
        <f aca="false">IF(AND(D498=WF_END_PERIOD,COUNTIFS($B$5:$B$750,B498,$D$5:$D$750,WF_START_PERIOD)&gt;0),INDEX($E$5:$E$750,MATCH(B498&amp;"|"&amp;WF_START_PERIOD,$AC$5:$AC$750,0)),"")</f>
        <v/>
      </c>
      <c r="Z498" s="0" t="str">
        <f aca="false">IF(AND(D498=WF_END_PERIOD,R498),1+COUNTIFS($D$5:$D$750,WF_END_PERIOD,$E$5:$E$750,E498,$R$5:$R$750,TRUE(),$S$5:$S$750,"&gt;"&amp;S498)+COUNTIFS($D$5:$D$750,WF_END_PERIOD,$E$5:$E$750,E498,$R$5:$R$750,TRUE(),$S$5:$S$750,S498,$B$5:$B$750,"&lt;"&amp;B498),"")</f>
        <v/>
      </c>
      <c r="AA498" s="0" t="str">
        <f aca="false">IF(AND(D498=WF_END_PERIOD,R498,Z498&lt;&gt;1),1+COUNTIFS($D$5:$D$750,WF_END_PERIOD,$R$5:$R$750,TRUE(),$Z$5:$Z$750,"&lt;&gt;1",$S$5:$S$750,"&gt;"&amp;S498)+COUNTIFS($D$5:$D$750,WF_END_PERIOD,$R$5:$R$750,TRUE(),$Z$5:$Z$750,"&lt;&gt;1",$S$5:$S$750,S498,$B$5:$B$750,"&lt;"&amp;B498),"")</f>
        <v/>
      </c>
      <c r="AB498" s="11" t="b">
        <f aca="false">OR(D498=WF_START_PERIOD,D498=WF_END_PERIOD)</f>
        <v>1</v>
      </c>
      <c r="AC498" s="0" t="str">
        <f aca="false">B498&amp;"|"&amp;D498</f>
        <v>17741|20240630</v>
      </c>
    </row>
    <row r="499" customFormat="false" ht="15" hidden="false" customHeight="false" outlineLevel="0" collapsed="false">
      <c r="A499" s="0" t="n">
        <f aca="false">RawFinancials!A499</f>
        <v>496</v>
      </c>
      <c r="B499" s="0" t="n">
        <f aca="false">RawFinancials!C499</f>
        <v>17743</v>
      </c>
      <c r="C499" s="0" t="str">
        <f aca="false">RawFinancials!P499</f>
        <v>SACO &amp; BIDDEFORD SAVINGS INSTITUTION</v>
      </c>
      <c r="D499" s="0" t="n">
        <f aca="false">RawFinancials!W499</f>
        <v>20240630</v>
      </c>
      <c r="E499" s="0" t="str">
        <f aca="false">RawFinancials!Z499</f>
        <v>ME</v>
      </c>
      <c r="F499" s="0" t="n">
        <f aca="false">RawFinancials!B499</f>
        <v>1404406</v>
      </c>
      <c r="G499" s="0" t="n">
        <f aca="false">RawFinancials!U499</f>
        <v>0</v>
      </c>
      <c r="H499" s="0" t="n">
        <f aca="false">RawFinancials!O499</f>
        <v>3998</v>
      </c>
      <c r="I499" s="0" t="n">
        <f aca="false">IF(AND(ISNUMBER(G499),ISNUMBER(H499)),G499+H499,"")</f>
        <v>3998</v>
      </c>
      <c r="J499" s="0" t="n">
        <f aca="false">RawFinancials!D499</f>
        <v>980636</v>
      </c>
      <c r="K499" s="0" t="n">
        <f aca="false">RawFinancials!F499</f>
        <v>121628</v>
      </c>
      <c r="L499" s="0" t="n">
        <f aca="false">RawFinancials!L499</f>
        <v>1119255</v>
      </c>
      <c r="M499" s="0" t="n">
        <f aca="false">RawFinancials!N499</f>
        <v>1079649</v>
      </c>
      <c r="N499" s="13" t="n">
        <f aca="false">RawFinancials!X499</f>
        <v>-0.0312997808297457</v>
      </c>
      <c r="O499" s="13" t="n">
        <f aca="false">RawFinancials!V499</f>
        <v>0</v>
      </c>
      <c r="P499" s="13" t="n">
        <f aca="false">IF(AND(ISNUMBER(L499),L499&lt;&gt;0,ISNUMBER(M499)),100*M499/L499,"")</f>
        <v>96.4613961965772</v>
      </c>
      <c r="Q499" s="13" t="n">
        <f aca="false">IF(AND(ISNUMBER(F499),F499&lt;&gt;0,ISNUMBER(K499)),100*K499/F499,"")</f>
        <v>8.66045858533786</v>
      </c>
      <c r="R499" s="11" t="b">
        <f aca="false">AND(ISNUMBER(F499),F499&gt;0,ISNUMBER(G499),G499&gt;=0,ISNUMBER(H499),H499&gt;=0)</f>
        <v>1</v>
      </c>
      <c r="S499" s="13" t="n">
        <f aca="false">IF(R499,100*I499/F499,"")</f>
        <v>0.284675514060749</v>
      </c>
      <c r="T499" s="11" t="b">
        <f aca="false">NOT(AND(OR(AND(ISBLANK(RawFinancials!B499),ISBLANK(_RawBaseline!B496)),AND(ISNUMBER(RawFinancials!B499),ISNUMBER(_RawBaseline!B496),RawFinancials!B499=_RawBaseline!B496)),OR(AND(ISBLANK(RawFinancials!U499),ISBLANK(_RawBaseline!U496)),AND(ISNUMBER(RawFinancials!U499),ISNUMBER(_RawBaseline!U496),RawFinancials!U499=_RawBaseline!U496)),OR(AND(ISBLANK(RawFinancials!O499),ISBLANK(_RawBaseline!O496)),AND(ISNUMBER(RawFinancials!O499),ISNUMBER(_RawBaseline!O496),RawFinancials!O499=_RawBaseline!O496))))</f>
        <v>0</v>
      </c>
      <c r="U499" s="13" t="n">
        <f aca="false">IF(AND(D499=WF_START_PERIOD,R499,COUNTIFS($B$5:$B$750,B499,$D$5:$D$750,WF_END_PERIOD,$R$5:$R$750,TRUE())&gt;0),SUMIFS($S$5:$S$750,$B$5:$B$750,B499,$D$5:$D$750,WF_END_PERIOD,$R$5:$R$750,TRUE()),0)</f>
        <v>0.0282698373338279</v>
      </c>
      <c r="V499" s="0" t="str">
        <f aca="false">IF(AND(D499=WF_START_PERIOD,COUNTIFS($B$5:$B$750,B499,$D$5:$D$750,WF_END_PERIOD)&gt;0),INDEX($E$5:$E$750,MATCH(B499&amp;"|"&amp;WF_END_PERIOD,$AC$5:$AC$750,0)),"")</f>
        <v>ME</v>
      </c>
      <c r="W499" s="11" t="b">
        <f aca="false">COUNTIFS($B$5:$B$750,B499,$D$5:$D$750,WF_START_PERIOD,$R$5:$R$750,TRUE())&gt;0</f>
        <v>1</v>
      </c>
      <c r="X499" s="11" t="b">
        <f aca="false">COUNTIFS($B$5:$B$750,B499,$D$5:$D$750,WF_END_PERIOD,$R$5:$R$750,TRUE())&gt;0</f>
        <v>1</v>
      </c>
      <c r="Y499" s="0" t="str">
        <f aca="false">IF(AND(D499=WF_END_PERIOD,COUNTIFS($B$5:$B$750,B499,$D$5:$D$750,WF_START_PERIOD)&gt;0),INDEX($E$5:$E$750,MATCH(B499&amp;"|"&amp;WF_START_PERIOD,$AC$5:$AC$750,0)),"")</f>
        <v/>
      </c>
      <c r="Z499" s="0" t="str">
        <f aca="false">IF(AND(D499=WF_END_PERIOD,R499),1+COUNTIFS($D$5:$D$750,WF_END_PERIOD,$E$5:$E$750,E499,$R$5:$R$750,TRUE(),$S$5:$S$750,"&gt;"&amp;S499)+COUNTIFS($D$5:$D$750,WF_END_PERIOD,$E$5:$E$750,E499,$R$5:$R$750,TRUE(),$S$5:$S$750,S499,$B$5:$B$750,"&lt;"&amp;B499),"")</f>
        <v/>
      </c>
      <c r="AA499" s="0" t="str">
        <f aca="false">IF(AND(D499=WF_END_PERIOD,R499,Z499&lt;&gt;1),1+COUNTIFS($D$5:$D$750,WF_END_PERIOD,$R$5:$R$750,TRUE(),$Z$5:$Z$750,"&lt;&gt;1",$S$5:$S$750,"&gt;"&amp;S499)+COUNTIFS($D$5:$D$750,WF_END_PERIOD,$R$5:$R$750,TRUE(),$Z$5:$Z$750,"&lt;&gt;1",$S$5:$S$750,S499,$B$5:$B$750,"&lt;"&amp;B499),"")</f>
        <v/>
      </c>
      <c r="AB499" s="11" t="b">
        <f aca="false">OR(D499=WF_START_PERIOD,D499=WF_END_PERIOD)</f>
        <v>1</v>
      </c>
      <c r="AC499" s="0" t="str">
        <f aca="false">B499&amp;"|"&amp;D499</f>
        <v>17743|20240630</v>
      </c>
    </row>
    <row r="500" customFormat="false" ht="15" hidden="false" customHeight="false" outlineLevel="0" collapsed="false">
      <c r="A500" s="0" t="n">
        <f aca="false">RawFinancials!A500</f>
        <v>497</v>
      </c>
      <c r="B500" s="0" t="n">
        <f aca="false">RawFinancials!C500</f>
        <v>17748</v>
      </c>
      <c r="C500" s="0" t="str">
        <f aca="false">RawFinancials!P500</f>
        <v>GORHAM SAVINGS BANK</v>
      </c>
      <c r="D500" s="0" t="n">
        <f aca="false">RawFinancials!W500</f>
        <v>20240630</v>
      </c>
      <c r="E500" s="0" t="str">
        <f aca="false">RawFinancials!Z500</f>
        <v>ME</v>
      </c>
      <c r="F500" s="0" t="n">
        <f aca="false">RawFinancials!B500</f>
        <v>1653584</v>
      </c>
      <c r="G500" s="0" t="n">
        <f aca="false">RawFinancials!U500</f>
        <v>0</v>
      </c>
      <c r="H500" s="0" t="n">
        <f aca="false">RawFinancials!O500</f>
        <v>7932</v>
      </c>
      <c r="I500" s="0" t="n">
        <f aca="false">IF(AND(ISNUMBER(G500),ISNUMBER(H500)),G500+H500,"")</f>
        <v>7932</v>
      </c>
      <c r="J500" s="0" t="n">
        <f aca="false">RawFinancials!D500</f>
        <v>1349536</v>
      </c>
      <c r="K500" s="0" t="n">
        <f aca="false">RawFinancials!F500</f>
        <v>113727</v>
      </c>
      <c r="L500" s="0" t="n">
        <f aca="false">RawFinancials!L500</f>
        <v>1269678</v>
      </c>
      <c r="M500" s="0" t="n">
        <f aca="false">RawFinancials!N500</f>
        <v>1060225</v>
      </c>
      <c r="N500" s="13" t="n">
        <f aca="false">RawFinancials!X500</f>
        <v>0.279983250930057</v>
      </c>
      <c r="O500" s="13" t="n">
        <f aca="false">RawFinancials!V500</f>
        <v>0</v>
      </c>
      <c r="P500" s="13" t="n">
        <f aca="false">IF(AND(ISNUMBER(L500),L500&lt;&gt;0,ISNUMBER(M500)),100*M500/L500,"")</f>
        <v>83.5034552067532</v>
      </c>
      <c r="Q500" s="13" t="n">
        <f aca="false">IF(AND(ISNUMBER(F500),F500&lt;&gt;0,ISNUMBER(K500)),100*K500/F500,"")</f>
        <v>6.87760645966579</v>
      </c>
      <c r="R500" s="11" t="b">
        <f aca="false">AND(ISNUMBER(F500),F500&gt;0,ISNUMBER(G500),G500&gt;=0,ISNUMBER(H500),H500&gt;=0)</f>
        <v>1</v>
      </c>
      <c r="S500" s="13" t="n">
        <f aca="false">IF(R500,100*I500/F500,"")</f>
        <v>0.479685338029396</v>
      </c>
      <c r="T500" s="11" t="b">
        <f aca="false">NOT(AND(OR(AND(ISBLANK(RawFinancials!B500),ISBLANK(_RawBaseline!B497)),AND(ISNUMBER(RawFinancials!B500),ISNUMBER(_RawBaseline!B497),RawFinancials!B500=_RawBaseline!B497)),OR(AND(ISBLANK(RawFinancials!U500),ISBLANK(_RawBaseline!U497)),AND(ISNUMBER(RawFinancials!U500),ISNUMBER(_RawBaseline!U497),RawFinancials!U500=_RawBaseline!U497)),OR(AND(ISBLANK(RawFinancials!O500),ISBLANK(_RawBaseline!O497)),AND(ISNUMBER(RawFinancials!O500),ISNUMBER(_RawBaseline!O497),RawFinancials!O500=_RawBaseline!O497))))</f>
        <v>0</v>
      </c>
      <c r="U500" s="13" t="n">
        <f aca="false">IF(AND(D500=WF_START_PERIOD,R500,COUNTIFS($B$5:$B$750,B500,$D$5:$D$750,WF_END_PERIOD,$R$5:$R$750,TRUE())&gt;0),SUMIFS($S$5:$S$750,$B$5:$B$750,B500,$D$5:$D$750,WF_END_PERIOD,$R$5:$R$750,TRUE()),0)</f>
        <v>0</v>
      </c>
      <c r="V500" s="0" t="str">
        <f aca="false">IF(AND(D500=WF_START_PERIOD,COUNTIFS($B$5:$B$750,B500,$D$5:$D$750,WF_END_PERIOD)&gt;0),INDEX($E$5:$E$750,MATCH(B500&amp;"|"&amp;WF_END_PERIOD,$AC$5:$AC$750,0)),"")</f>
        <v/>
      </c>
      <c r="W500" s="11" t="b">
        <f aca="false">COUNTIFS($B$5:$B$750,B500,$D$5:$D$750,WF_START_PERIOD,$R$5:$R$750,TRUE())&gt;0</f>
        <v>1</v>
      </c>
      <c r="X500" s="11" t="b">
        <f aca="false">COUNTIFS($B$5:$B$750,B500,$D$5:$D$750,WF_END_PERIOD,$R$5:$R$750,TRUE())&gt;0</f>
        <v>0</v>
      </c>
      <c r="Y500" s="0" t="str">
        <f aca="false">IF(AND(D500=WF_END_PERIOD,COUNTIFS($B$5:$B$750,B500,$D$5:$D$750,WF_START_PERIOD)&gt;0),INDEX($E$5:$E$750,MATCH(B500&amp;"|"&amp;WF_START_PERIOD,$AC$5:$AC$750,0)),"")</f>
        <v/>
      </c>
      <c r="Z500" s="0" t="str">
        <f aca="false">IF(AND(D500=WF_END_PERIOD,R500),1+COUNTIFS($D$5:$D$750,WF_END_PERIOD,$E$5:$E$750,E500,$R$5:$R$750,TRUE(),$S$5:$S$750,"&gt;"&amp;S500)+COUNTIFS($D$5:$D$750,WF_END_PERIOD,$E$5:$E$750,E500,$R$5:$R$750,TRUE(),$S$5:$S$750,S500,$B$5:$B$750,"&lt;"&amp;B500),"")</f>
        <v/>
      </c>
      <c r="AA500" s="0" t="str">
        <f aca="false">IF(AND(D500=WF_END_PERIOD,R500,Z500&lt;&gt;1),1+COUNTIFS($D$5:$D$750,WF_END_PERIOD,$R$5:$R$750,TRUE(),$Z$5:$Z$750,"&lt;&gt;1",$S$5:$S$750,"&gt;"&amp;S500)+COUNTIFS($D$5:$D$750,WF_END_PERIOD,$R$5:$R$750,TRUE(),$Z$5:$Z$750,"&lt;&gt;1",$S$5:$S$750,S500,$B$5:$B$750,"&lt;"&amp;B500),"")</f>
        <v/>
      </c>
      <c r="AB500" s="11" t="b">
        <f aca="false">OR(D500=WF_START_PERIOD,D500=WF_END_PERIOD)</f>
        <v>1</v>
      </c>
      <c r="AC500" s="0" t="str">
        <f aca="false">B500&amp;"|"&amp;D500</f>
        <v>17748|20240630</v>
      </c>
    </row>
    <row r="501" customFormat="false" ht="15" hidden="false" customHeight="false" outlineLevel="0" collapsed="false">
      <c r="A501" s="0" t="n">
        <f aca="false">RawFinancials!A501</f>
        <v>498</v>
      </c>
      <c r="B501" s="0" t="n">
        <f aca="false">RawFinancials!C501</f>
        <v>17749</v>
      </c>
      <c r="C501" s="0" t="str">
        <f aca="false">RawFinancials!P501</f>
        <v>BATH SAVINGS INSTITUTION</v>
      </c>
      <c r="D501" s="0" t="n">
        <f aca="false">RawFinancials!W501</f>
        <v>20240630</v>
      </c>
      <c r="E501" s="0" t="str">
        <f aca="false">RawFinancials!Z501</f>
        <v>ME</v>
      </c>
      <c r="F501" s="0" t="n">
        <f aca="false">RawFinancials!B501</f>
        <v>1395226</v>
      </c>
      <c r="G501" s="0" t="n">
        <f aca="false">RawFinancials!U501</f>
        <v>0</v>
      </c>
      <c r="H501" s="0" t="n">
        <f aca="false">RawFinancials!O501</f>
        <v>243</v>
      </c>
      <c r="I501" s="0" t="n">
        <f aca="false">IF(AND(ISNUMBER(G501),ISNUMBER(H501)),G501+H501,"")</f>
        <v>243</v>
      </c>
      <c r="J501" s="0" t="n">
        <f aca="false">RawFinancials!D501</f>
        <v>1095901</v>
      </c>
      <c r="K501" s="0" t="n">
        <f aca="false">RawFinancials!F501</f>
        <v>177800</v>
      </c>
      <c r="L501" s="0" t="n">
        <f aca="false">RawFinancials!L501</f>
        <v>822053</v>
      </c>
      <c r="M501" s="0" t="n">
        <f aca="false">RawFinancials!N501</f>
        <v>744624</v>
      </c>
      <c r="N501" s="13" t="n">
        <f aca="false">RawFinancials!X501</f>
        <v>0.98007512250939</v>
      </c>
      <c r="O501" s="13" t="n">
        <f aca="false">RawFinancials!V501</f>
        <v>0</v>
      </c>
      <c r="P501" s="13" t="n">
        <f aca="false">IF(AND(ISNUMBER(L501),L501&lt;&gt;0,ISNUMBER(M501)),100*M501/L501,"")</f>
        <v>90.5810209317404</v>
      </c>
      <c r="Q501" s="13" t="n">
        <f aca="false">IF(AND(ISNUMBER(F501),F501&lt;&gt;0,ISNUMBER(K501)),100*K501/F501,"")</f>
        <v>12.7434551821712</v>
      </c>
      <c r="R501" s="11" t="b">
        <f aca="false">AND(ISNUMBER(F501),F501&gt;0,ISNUMBER(G501),G501&gt;=0,ISNUMBER(H501),H501&gt;=0)</f>
        <v>1</v>
      </c>
      <c r="S501" s="13" t="n">
        <f aca="false">IF(R501,100*I501/F501,"")</f>
        <v>0.0174165332354758</v>
      </c>
      <c r="T501" s="11" t="b">
        <f aca="false">NOT(AND(OR(AND(ISBLANK(RawFinancials!B501),ISBLANK(_RawBaseline!B498)),AND(ISNUMBER(RawFinancials!B501),ISNUMBER(_RawBaseline!B498),RawFinancials!B501=_RawBaseline!B498)),OR(AND(ISBLANK(RawFinancials!U501),ISBLANK(_RawBaseline!U498)),AND(ISNUMBER(RawFinancials!U501),ISNUMBER(_RawBaseline!U498),RawFinancials!U501=_RawBaseline!U498)),OR(AND(ISBLANK(RawFinancials!O501),ISBLANK(_RawBaseline!O498)),AND(ISNUMBER(RawFinancials!O501),ISNUMBER(_RawBaseline!O498),RawFinancials!O501=_RawBaseline!O498))))</f>
        <v>0</v>
      </c>
      <c r="U501" s="13" t="n">
        <f aca="false">IF(AND(D501=WF_START_PERIOD,R501,COUNTIFS($B$5:$B$750,B501,$D$5:$D$750,WF_END_PERIOD,$R$5:$R$750,TRUE())&gt;0),SUMIFS($S$5:$S$750,$B$5:$B$750,B501,$D$5:$D$750,WF_END_PERIOD,$R$5:$R$750,TRUE()),0)</f>
        <v>0.0947532134599288</v>
      </c>
      <c r="V501" s="0" t="str">
        <f aca="false">IF(AND(D501=WF_START_PERIOD,COUNTIFS($B$5:$B$750,B501,$D$5:$D$750,WF_END_PERIOD)&gt;0),INDEX($E$5:$E$750,MATCH(B501&amp;"|"&amp;WF_END_PERIOD,$AC$5:$AC$750,0)),"")</f>
        <v>ME</v>
      </c>
      <c r="W501" s="11" t="b">
        <f aca="false">COUNTIFS($B$5:$B$750,B501,$D$5:$D$750,WF_START_PERIOD,$R$5:$R$750,TRUE())&gt;0</f>
        <v>1</v>
      </c>
      <c r="X501" s="11" t="b">
        <f aca="false">COUNTIFS($B$5:$B$750,B501,$D$5:$D$750,WF_END_PERIOD,$R$5:$R$750,TRUE())&gt;0</f>
        <v>1</v>
      </c>
      <c r="Y501" s="0" t="str">
        <f aca="false">IF(AND(D501=WF_END_PERIOD,COUNTIFS($B$5:$B$750,B501,$D$5:$D$750,WF_START_PERIOD)&gt;0),INDEX($E$5:$E$750,MATCH(B501&amp;"|"&amp;WF_START_PERIOD,$AC$5:$AC$750,0)),"")</f>
        <v/>
      </c>
      <c r="Z501" s="0" t="str">
        <f aca="false">IF(AND(D501=WF_END_PERIOD,R501),1+COUNTIFS($D$5:$D$750,WF_END_PERIOD,$E$5:$E$750,E501,$R$5:$R$750,TRUE(),$S$5:$S$750,"&gt;"&amp;S501)+COUNTIFS($D$5:$D$750,WF_END_PERIOD,$E$5:$E$750,E501,$R$5:$R$750,TRUE(),$S$5:$S$750,S501,$B$5:$B$750,"&lt;"&amp;B501),"")</f>
        <v/>
      </c>
      <c r="AA501" s="0" t="str">
        <f aca="false">IF(AND(D501=WF_END_PERIOD,R501,Z501&lt;&gt;1),1+COUNTIFS($D$5:$D$750,WF_END_PERIOD,$R$5:$R$750,TRUE(),$Z$5:$Z$750,"&lt;&gt;1",$S$5:$S$750,"&gt;"&amp;S501)+COUNTIFS($D$5:$D$750,WF_END_PERIOD,$R$5:$R$750,TRUE(),$Z$5:$Z$750,"&lt;&gt;1",$S$5:$S$750,S501,$B$5:$B$750,"&lt;"&amp;B501),"")</f>
        <v/>
      </c>
      <c r="AB501" s="11" t="b">
        <f aca="false">OR(D501=WF_START_PERIOD,D501=WF_END_PERIOD)</f>
        <v>1</v>
      </c>
      <c r="AC501" s="0" t="str">
        <f aca="false">B501&amp;"|"&amp;D501</f>
        <v>17749|20240630</v>
      </c>
    </row>
    <row r="502" customFormat="false" ht="15" hidden="false" customHeight="false" outlineLevel="0" collapsed="false">
      <c r="A502" s="0" t="n">
        <f aca="false">RawFinancials!A502</f>
        <v>499</v>
      </c>
      <c r="B502" s="0" t="n">
        <f aca="false">RawFinancials!C502</f>
        <v>17751</v>
      </c>
      <c r="C502" s="0" t="str">
        <f aca="false">RawFinancials!P502</f>
        <v>ANDROSCOGGIN SAVINGS BANK</v>
      </c>
      <c r="D502" s="0" t="n">
        <f aca="false">RawFinancials!W502</f>
        <v>20240630</v>
      </c>
      <c r="E502" s="0" t="str">
        <f aca="false">RawFinancials!Z502</f>
        <v>ME</v>
      </c>
      <c r="F502" s="0" t="n">
        <f aca="false">RawFinancials!B502</f>
        <v>1628666</v>
      </c>
      <c r="G502" s="0" t="n">
        <f aca="false">RawFinancials!U502</f>
        <v>0</v>
      </c>
      <c r="H502" s="0" t="n">
        <f aca="false">RawFinancials!O502</f>
        <v>4863</v>
      </c>
      <c r="I502" s="0" t="n">
        <f aca="false">IF(AND(ISNUMBER(G502),ISNUMBER(H502)),G502+H502,"")</f>
        <v>4863</v>
      </c>
      <c r="J502" s="0" t="n">
        <f aca="false">RawFinancials!D502</f>
        <v>1314857</v>
      </c>
      <c r="K502" s="0" t="n">
        <f aca="false">RawFinancials!F502</f>
        <v>140560</v>
      </c>
      <c r="L502" s="0" t="n">
        <f aca="false">RawFinancials!L502</f>
        <v>1345733</v>
      </c>
      <c r="M502" s="0" t="n">
        <f aca="false">RawFinancials!N502</f>
        <v>1148666</v>
      </c>
      <c r="N502" s="13" t="n">
        <f aca="false">RawFinancials!X502</f>
        <v>0.443314564249097</v>
      </c>
      <c r="O502" s="13" t="n">
        <f aca="false">RawFinancials!V502</f>
        <v>12.7562003813965</v>
      </c>
      <c r="P502" s="13" t="n">
        <f aca="false">IF(AND(ISNUMBER(L502),L502&lt;&gt;0,ISNUMBER(M502)),100*M502/L502,"")</f>
        <v>85.3561590597838</v>
      </c>
      <c r="Q502" s="13" t="n">
        <f aca="false">IF(AND(ISNUMBER(F502),F502&lt;&gt;0,ISNUMBER(K502)),100*K502/F502,"")</f>
        <v>8.63037602553255</v>
      </c>
      <c r="R502" s="11" t="b">
        <f aca="false">AND(ISNUMBER(F502),F502&gt;0,ISNUMBER(G502),G502&gt;=0,ISNUMBER(H502),H502&gt;=0)</f>
        <v>1</v>
      </c>
      <c r="S502" s="13" t="n">
        <f aca="false">IF(R502,100*I502/F502,"")</f>
        <v>0.298587924104758</v>
      </c>
      <c r="T502" s="11" t="b">
        <f aca="false">NOT(AND(OR(AND(ISBLANK(RawFinancials!B502),ISBLANK(_RawBaseline!B499)),AND(ISNUMBER(RawFinancials!B502),ISNUMBER(_RawBaseline!B499),RawFinancials!B502=_RawBaseline!B499)),OR(AND(ISBLANK(RawFinancials!U502),ISBLANK(_RawBaseline!U499)),AND(ISNUMBER(RawFinancials!U502),ISNUMBER(_RawBaseline!U499),RawFinancials!U502=_RawBaseline!U499)),OR(AND(ISBLANK(RawFinancials!O502),ISBLANK(_RawBaseline!O499)),AND(ISNUMBER(RawFinancials!O502),ISNUMBER(_RawBaseline!O499),RawFinancials!O502=_RawBaseline!O499))))</f>
        <v>0</v>
      </c>
      <c r="U502" s="13" t="n">
        <f aca="false">IF(AND(D502=WF_START_PERIOD,R502,COUNTIFS($B$5:$B$750,B502,$D$5:$D$750,WF_END_PERIOD,$R$5:$R$750,TRUE())&gt;0),SUMIFS($S$5:$S$750,$B$5:$B$750,B502,$D$5:$D$750,WF_END_PERIOD,$R$5:$R$750,TRUE()),0)</f>
        <v>0.137513595416289</v>
      </c>
      <c r="V502" s="0" t="str">
        <f aca="false">IF(AND(D502=WF_START_PERIOD,COUNTIFS($B$5:$B$750,B502,$D$5:$D$750,WF_END_PERIOD)&gt;0),INDEX($E$5:$E$750,MATCH(B502&amp;"|"&amp;WF_END_PERIOD,$AC$5:$AC$750,0)),"")</f>
        <v>ME</v>
      </c>
      <c r="W502" s="11" t="b">
        <f aca="false">COUNTIFS($B$5:$B$750,B502,$D$5:$D$750,WF_START_PERIOD,$R$5:$R$750,TRUE())&gt;0</f>
        <v>1</v>
      </c>
      <c r="X502" s="11" t="b">
        <f aca="false">COUNTIFS($B$5:$B$750,B502,$D$5:$D$750,WF_END_PERIOD,$R$5:$R$750,TRUE())&gt;0</f>
        <v>1</v>
      </c>
      <c r="Y502" s="0" t="str">
        <f aca="false">IF(AND(D502=WF_END_PERIOD,COUNTIFS($B$5:$B$750,B502,$D$5:$D$750,WF_START_PERIOD)&gt;0),INDEX($E$5:$E$750,MATCH(B502&amp;"|"&amp;WF_START_PERIOD,$AC$5:$AC$750,0)),"")</f>
        <v/>
      </c>
      <c r="Z502" s="0" t="str">
        <f aca="false">IF(AND(D502=WF_END_PERIOD,R502),1+COUNTIFS($D$5:$D$750,WF_END_PERIOD,$E$5:$E$750,E502,$R$5:$R$750,TRUE(),$S$5:$S$750,"&gt;"&amp;S502)+COUNTIFS($D$5:$D$750,WF_END_PERIOD,$E$5:$E$750,E502,$R$5:$R$750,TRUE(),$S$5:$S$750,S502,$B$5:$B$750,"&lt;"&amp;B502),"")</f>
        <v/>
      </c>
      <c r="AA502" s="0" t="str">
        <f aca="false">IF(AND(D502=WF_END_PERIOD,R502,Z502&lt;&gt;1),1+COUNTIFS($D$5:$D$750,WF_END_PERIOD,$R$5:$R$750,TRUE(),$Z$5:$Z$750,"&lt;&gt;1",$S$5:$S$750,"&gt;"&amp;S502)+COUNTIFS($D$5:$D$750,WF_END_PERIOD,$R$5:$R$750,TRUE(),$Z$5:$Z$750,"&lt;&gt;1",$S$5:$S$750,S502,$B$5:$B$750,"&lt;"&amp;B502),"")</f>
        <v/>
      </c>
      <c r="AB502" s="11" t="b">
        <f aca="false">OR(D502=WF_START_PERIOD,D502=WF_END_PERIOD)</f>
        <v>1</v>
      </c>
      <c r="AC502" s="0" t="str">
        <f aca="false">B502&amp;"|"&amp;D502</f>
        <v>17751|20240630</v>
      </c>
    </row>
    <row r="503" customFormat="false" ht="15" hidden="false" customHeight="false" outlineLevel="0" collapsed="false">
      <c r="A503" s="0" t="n">
        <f aca="false">RawFinancials!A503</f>
        <v>500</v>
      </c>
      <c r="B503" s="0" t="n">
        <f aca="false">RawFinancials!C503</f>
        <v>17897</v>
      </c>
      <c r="C503" s="0" t="str">
        <f aca="false">RawFinancials!P503</f>
        <v>KENNEBEC SAVINGS BANK</v>
      </c>
      <c r="D503" s="0" t="n">
        <f aca="false">RawFinancials!W503</f>
        <v>20240630</v>
      </c>
      <c r="E503" s="0" t="str">
        <f aca="false">RawFinancials!Z503</f>
        <v>ME</v>
      </c>
      <c r="F503" s="0" t="n">
        <f aca="false">RawFinancials!B503</f>
        <v>1732333</v>
      </c>
      <c r="G503" s="0" t="n">
        <f aca="false">RawFinancials!U503</f>
        <v>0</v>
      </c>
      <c r="H503" s="0" t="n">
        <f aca="false">RawFinancials!O503</f>
        <v>4016</v>
      </c>
      <c r="I503" s="0" t="n">
        <f aca="false">IF(AND(ISNUMBER(G503),ISNUMBER(H503)),G503+H503,"")</f>
        <v>4016</v>
      </c>
      <c r="J503" s="0" t="n">
        <f aca="false">RawFinancials!D503</f>
        <v>1311255</v>
      </c>
      <c r="K503" s="0" t="n">
        <f aca="false">RawFinancials!F503</f>
        <v>211953</v>
      </c>
      <c r="L503" s="0" t="n">
        <f aca="false">RawFinancials!L503</f>
        <v>1440034</v>
      </c>
      <c r="M503" s="0" t="n">
        <f aca="false">RawFinancials!N503</f>
        <v>1352677</v>
      </c>
      <c r="N503" s="13" t="n">
        <f aca="false">RawFinancials!X503</f>
        <v>0.719533489276184</v>
      </c>
      <c r="O503" s="13" t="n">
        <f aca="false">RawFinancials!V503</f>
        <v>18.0579734151777</v>
      </c>
      <c r="P503" s="13" t="n">
        <f aca="false">IF(AND(ISNUMBER(L503),L503&lt;&gt;0,ISNUMBER(M503)),100*M503/L503,"")</f>
        <v>93.9336848991066</v>
      </c>
      <c r="Q503" s="13" t="n">
        <f aca="false">IF(AND(ISNUMBER(F503),F503&lt;&gt;0,ISNUMBER(K503)),100*K503/F503,"")</f>
        <v>12.2351187675811</v>
      </c>
      <c r="R503" s="11" t="b">
        <f aca="false">AND(ISNUMBER(F503),F503&gt;0,ISNUMBER(G503),G503&gt;=0,ISNUMBER(H503),H503&gt;=0)</f>
        <v>1</v>
      </c>
      <c r="S503" s="13" t="n">
        <f aca="false">IF(R503,100*I503/F503,"")</f>
        <v>0.231826098100077</v>
      </c>
      <c r="T503" s="11" t="b">
        <f aca="false">NOT(AND(OR(AND(ISBLANK(RawFinancials!B503),ISBLANK(_RawBaseline!B500)),AND(ISNUMBER(RawFinancials!B503),ISNUMBER(_RawBaseline!B500),RawFinancials!B503=_RawBaseline!B500)),OR(AND(ISBLANK(RawFinancials!U503),ISBLANK(_RawBaseline!U500)),AND(ISNUMBER(RawFinancials!U503),ISNUMBER(_RawBaseline!U500),RawFinancials!U503=_RawBaseline!U500)),OR(AND(ISBLANK(RawFinancials!O503),ISBLANK(_RawBaseline!O500)),AND(ISNUMBER(RawFinancials!O503),ISNUMBER(_RawBaseline!O500),RawFinancials!O503=_RawBaseline!O500))))</f>
        <v>0</v>
      </c>
      <c r="U503" s="13" t="n">
        <f aca="false">IF(AND(D503=WF_START_PERIOD,R503,COUNTIFS($B$5:$B$750,B503,$D$5:$D$750,WF_END_PERIOD,$R$5:$R$750,TRUE())&gt;0),SUMIFS($S$5:$S$750,$B$5:$B$750,B503,$D$5:$D$750,WF_END_PERIOD,$R$5:$R$750,TRUE()),0)</f>
        <v>0.301110438997907</v>
      </c>
      <c r="V503" s="0" t="str">
        <f aca="false">IF(AND(D503=WF_START_PERIOD,COUNTIFS($B$5:$B$750,B503,$D$5:$D$750,WF_END_PERIOD)&gt;0),INDEX($E$5:$E$750,MATCH(B503&amp;"|"&amp;WF_END_PERIOD,$AC$5:$AC$750,0)),"")</f>
        <v>ME</v>
      </c>
      <c r="W503" s="11" t="b">
        <f aca="false">COUNTIFS($B$5:$B$750,B503,$D$5:$D$750,WF_START_PERIOD,$R$5:$R$750,TRUE())&gt;0</f>
        <v>1</v>
      </c>
      <c r="X503" s="11" t="b">
        <f aca="false">COUNTIFS($B$5:$B$750,B503,$D$5:$D$750,WF_END_PERIOD,$R$5:$R$750,TRUE())&gt;0</f>
        <v>1</v>
      </c>
      <c r="Y503" s="0" t="str">
        <f aca="false">IF(AND(D503=WF_END_PERIOD,COUNTIFS($B$5:$B$750,B503,$D$5:$D$750,WF_START_PERIOD)&gt;0),INDEX($E$5:$E$750,MATCH(B503&amp;"|"&amp;WF_START_PERIOD,$AC$5:$AC$750,0)),"")</f>
        <v/>
      </c>
      <c r="Z503" s="0" t="str">
        <f aca="false">IF(AND(D503=WF_END_PERIOD,R503),1+COUNTIFS($D$5:$D$750,WF_END_PERIOD,$E$5:$E$750,E503,$R$5:$R$750,TRUE(),$S$5:$S$750,"&gt;"&amp;S503)+COUNTIFS($D$5:$D$750,WF_END_PERIOD,$E$5:$E$750,E503,$R$5:$R$750,TRUE(),$S$5:$S$750,S503,$B$5:$B$750,"&lt;"&amp;B503),"")</f>
        <v/>
      </c>
      <c r="AA503" s="0" t="str">
        <f aca="false">IF(AND(D503=WF_END_PERIOD,R503,Z503&lt;&gt;1),1+COUNTIFS($D$5:$D$750,WF_END_PERIOD,$R$5:$R$750,TRUE(),$Z$5:$Z$750,"&lt;&gt;1",$S$5:$S$750,"&gt;"&amp;S503)+COUNTIFS($D$5:$D$750,WF_END_PERIOD,$R$5:$R$750,TRUE(),$Z$5:$Z$750,"&lt;&gt;1",$S$5:$S$750,S503,$B$5:$B$750,"&lt;"&amp;B503),"")</f>
        <v/>
      </c>
      <c r="AB503" s="11" t="b">
        <f aca="false">OR(D503=WF_START_PERIOD,D503=WF_END_PERIOD)</f>
        <v>1</v>
      </c>
      <c r="AC503" s="0" t="str">
        <f aca="false">B503&amp;"|"&amp;D503</f>
        <v>17897|20240630</v>
      </c>
    </row>
    <row r="504" customFormat="false" ht="15" hidden="false" customHeight="false" outlineLevel="0" collapsed="false">
      <c r="A504" s="0" t="n">
        <f aca="false">RawFinancials!A504</f>
        <v>501</v>
      </c>
      <c r="B504" s="0" t="n">
        <f aca="false">RawFinancials!C504</f>
        <v>17951</v>
      </c>
      <c r="C504" s="0" t="str">
        <f aca="false">RawFinancials!P504</f>
        <v>FRANKLIN SAVINGS BANK</v>
      </c>
      <c r="D504" s="0" t="n">
        <f aca="false">RawFinancials!W504</f>
        <v>20240630</v>
      </c>
      <c r="E504" s="0" t="str">
        <f aca="false">RawFinancials!Z504</f>
        <v>NH</v>
      </c>
      <c r="F504" s="0" t="n">
        <f aca="false">RawFinancials!B504</f>
        <v>810464</v>
      </c>
      <c r="G504" s="0" t="n">
        <f aca="false">RawFinancials!U504</f>
        <v>0</v>
      </c>
      <c r="H504" s="0" t="n">
        <f aca="false">RawFinancials!O504</f>
        <v>62</v>
      </c>
      <c r="I504" s="0" t="n">
        <f aca="false">IF(AND(ISNUMBER(G504),ISNUMBER(H504)),G504+H504,"")</f>
        <v>62</v>
      </c>
      <c r="J504" s="0" t="n">
        <f aca="false">RawFinancials!D504</f>
        <v>665540</v>
      </c>
      <c r="K504" s="0" t="n">
        <f aca="false">RawFinancials!F504</f>
        <v>63303</v>
      </c>
      <c r="L504" s="0" t="n">
        <f aca="false">RawFinancials!L504</f>
        <v>596085</v>
      </c>
      <c r="M504" s="0" t="n">
        <f aca="false">RawFinancials!N504</f>
        <v>552786</v>
      </c>
      <c r="N504" s="13" t="n">
        <f aca="false">RawFinancials!X504</f>
        <v>0.501098636386068</v>
      </c>
      <c r="O504" s="13" t="n">
        <f aca="false">RawFinancials!V504</f>
        <v>14.6203235537616</v>
      </c>
      <c r="P504" s="13" t="n">
        <f aca="false">IF(AND(ISNUMBER(L504),L504&lt;&gt;0,ISNUMBER(M504)),100*M504/L504,"")</f>
        <v>92.7361030725484</v>
      </c>
      <c r="Q504" s="13" t="n">
        <f aca="false">IF(AND(ISNUMBER(F504),F504&lt;&gt;0,ISNUMBER(K504)),100*K504/F504,"")</f>
        <v>7.81071090140956</v>
      </c>
      <c r="R504" s="11" t="b">
        <f aca="false">AND(ISNUMBER(F504),F504&gt;0,ISNUMBER(G504),G504&gt;=0,ISNUMBER(H504),H504&gt;=0)</f>
        <v>1</v>
      </c>
      <c r="S504" s="13" t="n">
        <f aca="false">IF(R504,100*I504/F504,"")</f>
        <v>0.0076499388004896</v>
      </c>
      <c r="T504" s="11" t="b">
        <f aca="false">NOT(AND(OR(AND(ISBLANK(RawFinancials!B504),ISBLANK(_RawBaseline!B501)),AND(ISNUMBER(RawFinancials!B504),ISNUMBER(_RawBaseline!B501),RawFinancials!B504=_RawBaseline!B501)),OR(AND(ISBLANK(RawFinancials!U504),ISBLANK(_RawBaseline!U501)),AND(ISNUMBER(RawFinancials!U504),ISNUMBER(_RawBaseline!U501),RawFinancials!U504=_RawBaseline!U501)),OR(AND(ISBLANK(RawFinancials!O504),ISBLANK(_RawBaseline!O501)),AND(ISNUMBER(RawFinancials!O504),ISNUMBER(_RawBaseline!O501),RawFinancials!O504=_RawBaseline!O501))))</f>
        <v>0</v>
      </c>
      <c r="U504" s="13" t="n">
        <f aca="false">IF(AND(D504=WF_START_PERIOD,R504,COUNTIFS($B$5:$B$750,B504,$D$5:$D$750,WF_END_PERIOD,$R$5:$R$750,TRUE())&gt;0),SUMIFS($S$5:$S$750,$B$5:$B$750,B504,$D$5:$D$750,WF_END_PERIOD,$R$5:$R$750,TRUE()),0)</f>
        <v>0.0165692212355558</v>
      </c>
      <c r="V504" s="0" t="str">
        <f aca="false">IF(AND(D504=WF_START_PERIOD,COUNTIFS($B$5:$B$750,B504,$D$5:$D$750,WF_END_PERIOD)&gt;0),INDEX($E$5:$E$750,MATCH(B504&amp;"|"&amp;WF_END_PERIOD,$AC$5:$AC$750,0)),"")</f>
        <v>NH</v>
      </c>
      <c r="W504" s="11" t="b">
        <f aca="false">COUNTIFS($B$5:$B$750,B504,$D$5:$D$750,WF_START_PERIOD,$R$5:$R$750,TRUE())&gt;0</f>
        <v>1</v>
      </c>
      <c r="X504" s="11" t="b">
        <f aca="false">COUNTIFS($B$5:$B$750,B504,$D$5:$D$750,WF_END_PERIOD,$R$5:$R$750,TRUE())&gt;0</f>
        <v>1</v>
      </c>
      <c r="Y504" s="0" t="str">
        <f aca="false">IF(AND(D504=WF_END_PERIOD,COUNTIFS($B$5:$B$750,B504,$D$5:$D$750,WF_START_PERIOD)&gt;0),INDEX($E$5:$E$750,MATCH(B504&amp;"|"&amp;WF_START_PERIOD,$AC$5:$AC$750,0)),"")</f>
        <v/>
      </c>
      <c r="Z504" s="0" t="str">
        <f aca="false">IF(AND(D504=WF_END_PERIOD,R504),1+COUNTIFS($D$5:$D$750,WF_END_PERIOD,$E$5:$E$750,E504,$R$5:$R$750,TRUE(),$S$5:$S$750,"&gt;"&amp;S504)+COUNTIFS($D$5:$D$750,WF_END_PERIOD,$E$5:$E$750,E504,$R$5:$R$750,TRUE(),$S$5:$S$750,S504,$B$5:$B$750,"&lt;"&amp;B504),"")</f>
        <v/>
      </c>
      <c r="AA504" s="0" t="str">
        <f aca="false">IF(AND(D504=WF_END_PERIOD,R504,Z504&lt;&gt;1),1+COUNTIFS($D$5:$D$750,WF_END_PERIOD,$R$5:$R$750,TRUE(),$Z$5:$Z$750,"&lt;&gt;1",$S$5:$S$750,"&gt;"&amp;S504)+COUNTIFS($D$5:$D$750,WF_END_PERIOD,$R$5:$R$750,TRUE(),$Z$5:$Z$750,"&lt;&gt;1",$S$5:$S$750,S504,$B$5:$B$750,"&lt;"&amp;B504),"")</f>
        <v/>
      </c>
      <c r="AB504" s="11" t="b">
        <f aca="false">OR(D504=WF_START_PERIOD,D504=WF_END_PERIOD)</f>
        <v>1</v>
      </c>
      <c r="AC504" s="0" t="str">
        <f aca="false">B504&amp;"|"&amp;D504</f>
        <v>17951|20240630</v>
      </c>
    </row>
    <row r="505" customFormat="false" ht="15" hidden="false" customHeight="false" outlineLevel="0" collapsed="false">
      <c r="A505" s="0" t="n">
        <f aca="false">RawFinancials!A505</f>
        <v>502</v>
      </c>
      <c r="B505" s="0" t="n">
        <f aca="false">RawFinancials!C505</f>
        <v>17960</v>
      </c>
      <c r="C505" s="0" t="str">
        <f aca="false">RawFinancials!P505</f>
        <v>MERRIMACK COUNTY SAVINGS BANK</v>
      </c>
      <c r="D505" s="0" t="n">
        <f aca="false">RawFinancials!W505</f>
        <v>20240630</v>
      </c>
      <c r="E505" s="0" t="str">
        <f aca="false">RawFinancials!Z505</f>
        <v>NH</v>
      </c>
      <c r="F505" s="0" t="n">
        <f aca="false">RawFinancials!B505</f>
        <v>1384318</v>
      </c>
      <c r="G505" s="0" t="n">
        <f aca="false">RawFinancials!U505</f>
        <v>0</v>
      </c>
      <c r="H505" s="0" t="n">
        <f aca="false">RawFinancials!O505</f>
        <v>9254</v>
      </c>
      <c r="I505" s="0" t="n">
        <f aca="false">IF(AND(ISNUMBER(G505),ISNUMBER(H505)),G505+H505,"")</f>
        <v>9254</v>
      </c>
      <c r="J505" s="0" t="n">
        <f aca="false">RawFinancials!D505</f>
        <v>1047199</v>
      </c>
      <c r="K505" s="0" t="n">
        <f aca="false">RawFinancials!F505</f>
        <v>114741</v>
      </c>
      <c r="L505" s="0" t="n">
        <f aca="false">RawFinancials!L505</f>
        <v>1177826</v>
      </c>
      <c r="M505" s="0" t="n">
        <f aca="false">RawFinancials!N505</f>
        <v>834712</v>
      </c>
      <c r="N505" s="13" t="n">
        <f aca="false">RawFinancials!X505</f>
        <v>0.355511881408475</v>
      </c>
      <c r="O505" s="13" t="n">
        <f aca="false">RawFinancials!V505</f>
        <v>13.2905193445561</v>
      </c>
      <c r="P505" s="13" t="n">
        <f aca="false">IF(AND(ISNUMBER(L505),L505&lt;&gt;0,ISNUMBER(M505)),100*M505/L505,"")</f>
        <v>70.8688719726004</v>
      </c>
      <c r="Q505" s="13" t="n">
        <f aca="false">IF(AND(ISNUMBER(F505),F505&lt;&gt;0,ISNUMBER(K505)),100*K505/F505,"")</f>
        <v>8.28863021357809</v>
      </c>
      <c r="R505" s="11" t="b">
        <f aca="false">AND(ISNUMBER(F505),F505&gt;0,ISNUMBER(G505),G505&gt;=0,ISNUMBER(H505),H505&gt;=0)</f>
        <v>1</v>
      </c>
      <c r="S505" s="13" t="n">
        <f aca="false">IF(R505,100*I505/F505,"")</f>
        <v>0.668488020816026</v>
      </c>
      <c r="T505" s="11" t="b">
        <f aca="false">NOT(AND(OR(AND(ISBLANK(RawFinancials!B505),ISBLANK(_RawBaseline!B502)),AND(ISNUMBER(RawFinancials!B505),ISNUMBER(_RawBaseline!B502),RawFinancials!B505=_RawBaseline!B502)),OR(AND(ISBLANK(RawFinancials!U505),ISBLANK(_RawBaseline!U502)),AND(ISNUMBER(RawFinancials!U505),ISNUMBER(_RawBaseline!U502),RawFinancials!U505=_RawBaseline!U502)),OR(AND(ISBLANK(RawFinancials!O505),ISBLANK(_RawBaseline!O502)),AND(ISNUMBER(RawFinancials!O505),ISNUMBER(_RawBaseline!O502),RawFinancials!O505=_RawBaseline!O502))))</f>
        <v>0</v>
      </c>
      <c r="U505" s="13" t="n">
        <f aca="false">IF(AND(D505=WF_START_PERIOD,R505,COUNTIFS($B$5:$B$750,B505,$D$5:$D$750,WF_END_PERIOD,$R$5:$R$750,TRUE())&gt;0),SUMIFS($S$5:$S$750,$B$5:$B$750,B505,$D$5:$D$750,WF_END_PERIOD,$R$5:$R$750,TRUE()),0)</f>
        <v>0.568032153712742</v>
      </c>
      <c r="V505" s="0" t="str">
        <f aca="false">IF(AND(D505=WF_START_PERIOD,COUNTIFS($B$5:$B$750,B505,$D$5:$D$750,WF_END_PERIOD)&gt;0),INDEX($E$5:$E$750,MATCH(B505&amp;"|"&amp;WF_END_PERIOD,$AC$5:$AC$750,0)),"")</f>
        <v>NH</v>
      </c>
      <c r="W505" s="11" t="b">
        <f aca="false">COUNTIFS($B$5:$B$750,B505,$D$5:$D$750,WF_START_PERIOD,$R$5:$R$750,TRUE())&gt;0</f>
        <v>1</v>
      </c>
      <c r="X505" s="11" t="b">
        <f aca="false">COUNTIFS($B$5:$B$750,B505,$D$5:$D$750,WF_END_PERIOD,$R$5:$R$750,TRUE())&gt;0</f>
        <v>1</v>
      </c>
      <c r="Y505" s="0" t="str">
        <f aca="false">IF(AND(D505=WF_END_PERIOD,COUNTIFS($B$5:$B$750,B505,$D$5:$D$750,WF_START_PERIOD)&gt;0),INDEX($E$5:$E$750,MATCH(B505&amp;"|"&amp;WF_START_PERIOD,$AC$5:$AC$750,0)),"")</f>
        <v/>
      </c>
      <c r="Z505" s="0" t="str">
        <f aca="false">IF(AND(D505=WF_END_PERIOD,R505),1+COUNTIFS($D$5:$D$750,WF_END_PERIOD,$E$5:$E$750,E505,$R$5:$R$750,TRUE(),$S$5:$S$750,"&gt;"&amp;S505)+COUNTIFS($D$5:$D$750,WF_END_PERIOD,$E$5:$E$750,E505,$R$5:$R$750,TRUE(),$S$5:$S$750,S505,$B$5:$B$750,"&lt;"&amp;B505),"")</f>
        <v/>
      </c>
      <c r="AA505" s="0" t="str">
        <f aca="false">IF(AND(D505=WF_END_PERIOD,R505,Z505&lt;&gt;1),1+COUNTIFS($D$5:$D$750,WF_END_PERIOD,$R$5:$R$750,TRUE(),$Z$5:$Z$750,"&lt;&gt;1",$S$5:$S$750,"&gt;"&amp;S505)+COUNTIFS($D$5:$D$750,WF_END_PERIOD,$R$5:$R$750,TRUE(),$Z$5:$Z$750,"&lt;&gt;1",$S$5:$S$750,S505,$B$5:$B$750,"&lt;"&amp;B505),"")</f>
        <v/>
      </c>
      <c r="AB505" s="11" t="b">
        <f aca="false">OR(D505=WF_START_PERIOD,D505=WF_END_PERIOD)</f>
        <v>1</v>
      </c>
      <c r="AC505" s="0" t="str">
        <f aca="false">B505&amp;"|"&amp;D505</f>
        <v>17960|20240630</v>
      </c>
    </row>
    <row r="506" customFormat="false" ht="15" hidden="false" customHeight="false" outlineLevel="0" collapsed="false">
      <c r="A506" s="0" t="n">
        <f aca="false">RawFinancials!A506</f>
        <v>503</v>
      </c>
      <c r="B506" s="0" t="n">
        <f aca="false">RawFinancials!C506</f>
        <v>18012</v>
      </c>
      <c r="C506" s="0" t="str">
        <f aca="false">RawFinancials!P506</f>
        <v>BANK OF NEW HAMPSHIRE</v>
      </c>
      <c r="D506" s="0" t="n">
        <f aca="false">RawFinancials!W506</f>
        <v>20240630</v>
      </c>
      <c r="E506" s="0" t="str">
        <f aca="false">RawFinancials!Z506</f>
        <v>NH</v>
      </c>
      <c r="F506" s="0" t="n">
        <f aca="false">RawFinancials!B506</f>
        <v>2499818</v>
      </c>
      <c r="G506" s="0" t="n">
        <f aca="false">RawFinancials!U506</f>
        <v>0</v>
      </c>
      <c r="H506" s="0" t="n">
        <f aca="false">RawFinancials!O506</f>
        <v>990</v>
      </c>
      <c r="I506" s="0" t="n">
        <f aca="false">IF(AND(ISNUMBER(G506),ISNUMBER(H506)),G506+H506,"")</f>
        <v>990</v>
      </c>
      <c r="J506" s="0" t="n">
        <f aca="false">RawFinancials!D506</f>
        <v>2102355</v>
      </c>
      <c r="K506" s="0" t="n">
        <f aca="false">RawFinancials!F506</f>
        <v>274634</v>
      </c>
      <c r="L506" s="0" t="n">
        <f aca="false">RawFinancials!L506</f>
        <v>2035131</v>
      </c>
      <c r="M506" s="0" t="n">
        <f aca="false">RawFinancials!N506</f>
        <v>1928747</v>
      </c>
      <c r="N506" s="13" t="n">
        <f aca="false">RawFinancials!X506</f>
        <v>0.658441157978623</v>
      </c>
      <c r="O506" s="13" t="n">
        <f aca="false">RawFinancials!V506</f>
        <v>14.6041845930891</v>
      </c>
      <c r="P506" s="13" t="n">
        <f aca="false">IF(AND(ISNUMBER(L506),L506&lt;&gt;0,ISNUMBER(M506)),100*M506/L506,"")</f>
        <v>94.7726215167476</v>
      </c>
      <c r="Q506" s="13" t="n">
        <f aca="false">IF(AND(ISNUMBER(F506),F506&lt;&gt;0,ISNUMBER(K506)),100*K506/F506,"")</f>
        <v>10.9861597924329</v>
      </c>
      <c r="R506" s="11" t="b">
        <f aca="false">AND(ISNUMBER(F506),F506&gt;0,ISNUMBER(G506),G506&gt;=0,ISNUMBER(H506),H506&gt;=0)</f>
        <v>1</v>
      </c>
      <c r="S506" s="13" t="n">
        <f aca="false">IF(R506,100*I506/F506,"")</f>
        <v>0.0396028830898889</v>
      </c>
      <c r="T506" s="11" t="b">
        <f aca="false">NOT(AND(OR(AND(ISBLANK(RawFinancials!B506),ISBLANK(_RawBaseline!B503)),AND(ISNUMBER(RawFinancials!B506),ISNUMBER(_RawBaseline!B503),RawFinancials!B506=_RawBaseline!B503)),OR(AND(ISBLANK(RawFinancials!U506),ISBLANK(_RawBaseline!U503)),AND(ISNUMBER(RawFinancials!U506),ISNUMBER(_RawBaseline!U503),RawFinancials!U506=_RawBaseline!U503)),OR(AND(ISBLANK(RawFinancials!O506),ISBLANK(_RawBaseline!O503)),AND(ISNUMBER(RawFinancials!O506),ISNUMBER(_RawBaseline!O503),RawFinancials!O506=_RawBaseline!O503))))</f>
        <v>0</v>
      </c>
      <c r="U506" s="13" t="n">
        <f aca="false">IF(AND(D506=WF_START_PERIOD,R506,COUNTIFS($B$5:$B$750,B506,$D$5:$D$750,WF_END_PERIOD,$R$5:$R$750,TRUE())&gt;0),SUMIFS($S$5:$S$750,$B$5:$B$750,B506,$D$5:$D$750,WF_END_PERIOD,$R$5:$R$750,TRUE()),0)</f>
        <v>0.0386028931733054</v>
      </c>
      <c r="V506" s="0" t="str">
        <f aca="false">IF(AND(D506=WF_START_PERIOD,COUNTIFS($B$5:$B$750,B506,$D$5:$D$750,WF_END_PERIOD)&gt;0),INDEX($E$5:$E$750,MATCH(B506&amp;"|"&amp;WF_END_PERIOD,$AC$5:$AC$750,0)),"")</f>
        <v>NH</v>
      </c>
      <c r="W506" s="11" t="b">
        <f aca="false">COUNTIFS($B$5:$B$750,B506,$D$5:$D$750,WF_START_PERIOD,$R$5:$R$750,TRUE())&gt;0</f>
        <v>1</v>
      </c>
      <c r="X506" s="11" t="b">
        <f aca="false">COUNTIFS($B$5:$B$750,B506,$D$5:$D$750,WF_END_PERIOD,$R$5:$R$750,TRUE())&gt;0</f>
        <v>1</v>
      </c>
      <c r="Y506" s="0" t="str">
        <f aca="false">IF(AND(D506=WF_END_PERIOD,COUNTIFS($B$5:$B$750,B506,$D$5:$D$750,WF_START_PERIOD)&gt;0),INDEX($E$5:$E$750,MATCH(B506&amp;"|"&amp;WF_START_PERIOD,$AC$5:$AC$750,0)),"")</f>
        <v/>
      </c>
      <c r="Z506" s="0" t="str">
        <f aca="false">IF(AND(D506=WF_END_PERIOD,R506),1+COUNTIFS($D$5:$D$750,WF_END_PERIOD,$E$5:$E$750,E506,$R$5:$R$750,TRUE(),$S$5:$S$750,"&gt;"&amp;S506)+COUNTIFS($D$5:$D$750,WF_END_PERIOD,$E$5:$E$750,E506,$R$5:$R$750,TRUE(),$S$5:$S$750,S506,$B$5:$B$750,"&lt;"&amp;B506),"")</f>
        <v/>
      </c>
      <c r="AA506" s="0" t="str">
        <f aca="false">IF(AND(D506=WF_END_PERIOD,R506,Z506&lt;&gt;1),1+COUNTIFS($D$5:$D$750,WF_END_PERIOD,$R$5:$R$750,TRUE(),$Z$5:$Z$750,"&lt;&gt;1",$S$5:$S$750,"&gt;"&amp;S506)+COUNTIFS($D$5:$D$750,WF_END_PERIOD,$R$5:$R$750,TRUE(),$Z$5:$Z$750,"&lt;&gt;1",$S$5:$S$750,S506,$B$5:$B$750,"&lt;"&amp;B506),"")</f>
        <v/>
      </c>
      <c r="AB506" s="11" t="b">
        <f aca="false">OR(D506=WF_START_PERIOD,D506=WF_END_PERIOD)</f>
        <v>1</v>
      </c>
      <c r="AC506" s="0" t="str">
        <f aca="false">B506&amp;"|"&amp;D506</f>
        <v>18012|20240630</v>
      </c>
    </row>
    <row r="507" customFormat="false" ht="15" hidden="false" customHeight="false" outlineLevel="0" collapsed="false">
      <c r="A507" s="0" t="n">
        <f aca="false">RawFinancials!A507</f>
        <v>504</v>
      </c>
      <c r="B507" s="0" t="n">
        <f aca="false">RawFinancials!C507</f>
        <v>18013</v>
      </c>
      <c r="C507" s="0" t="str">
        <f aca="false">RawFinancials!P507</f>
        <v>MASCOMA BANK</v>
      </c>
      <c r="D507" s="0" t="n">
        <f aca="false">RawFinancials!W507</f>
        <v>20240630</v>
      </c>
      <c r="E507" s="0" t="str">
        <f aca="false">RawFinancials!Z507</f>
        <v>NH</v>
      </c>
      <c r="F507" s="0" t="n">
        <f aca="false">RawFinancials!B507</f>
        <v>2913389</v>
      </c>
      <c r="G507" s="0" t="n">
        <f aca="false">RawFinancials!U507</f>
        <v>224</v>
      </c>
      <c r="H507" s="0" t="n">
        <f aca="false">RawFinancials!O507</f>
        <v>1084</v>
      </c>
      <c r="I507" s="0" t="n">
        <f aca="false">IF(AND(ISNUMBER(G507),ISNUMBER(H507)),G507+H507,"")</f>
        <v>1308</v>
      </c>
      <c r="J507" s="0" t="n">
        <f aca="false">RawFinancials!D507</f>
        <v>2458436</v>
      </c>
      <c r="K507" s="0" t="n">
        <f aca="false">RawFinancials!F507</f>
        <v>223415</v>
      </c>
      <c r="L507" s="0" t="n">
        <f aca="false">RawFinancials!L507</f>
        <v>2408662</v>
      </c>
      <c r="M507" s="0" t="n">
        <f aca="false">RawFinancials!N507</f>
        <v>2192853</v>
      </c>
      <c r="N507" s="13" t="n">
        <f aca="false">RawFinancials!X507</f>
        <v>0.222779696164817</v>
      </c>
      <c r="O507" s="13" t="n">
        <f aca="false">RawFinancials!V507</f>
        <v>12.2970178752133</v>
      </c>
      <c r="P507" s="13" t="n">
        <f aca="false">IF(AND(ISNUMBER(L507),L507&lt;&gt;0,ISNUMBER(M507)),100*M507/L507,"")</f>
        <v>91.040295400517</v>
      </c>
      <c r="Q507" s="13" t="n">
        <f aca="false">IF(AND(ISNUMBER(F507),F507&lt;&gt;0,ISNUMBER(K507)),100*K507/F507,"")</f>
        <v>7.66856056640565</v>
      </c>
      <c r="R507" s="11" t="b">
        <f aca="false">AND(ISNUMBER(F507),F507&gt;0,ISNUMBER(G507),G507&gt;=0,ISNUMBER(H507),H507&gt;=0)</f>
        <v>1</v>
      </c>
      <c r="S507" s="13" t="n">
        <f aca="false">IF(R507,100*I507/F507,"")</f>
        <v>0.0448961673157961</v>
      </c>
      <c r="T507" s="11" t="b">
        <f aca="false">NOT(AND(OR(AND(ISBLANK(RawFinancials!B507),ISBLANK(_RawBaseline!B504)),AND(ISNUMBER(RawFinancials!B507),ISNUMBER(_RawBaseline!B504),RawFinancials!B507=_RawBaseline!B504)),OR(AND(ISBLANK(RawFinancials!U507),ISBLANK(_RawBaseline!U504)),AND(ISNUMBER(RawFinancials!U507),ISNUMBER(_RawBaseline!U504),RawFinancials!U507=_RawBaseline!U504)),OR(AND(ISBLANK(RawFinancials!O507),ISBLANK(_RawBaseline!O504)),AND(ISNUMBER(RawFinancials!O507),ISNUMBER(_RawBaseline!O504),RawFinancials!O507=_RawBaseline!O504))))</f>
        <v>0</v>
      </c>
      <c r="U507" s="13" t="n">
        <f aca="false">IF(AND(D507=WF_START_PERIOD,R507,COUNTIFS($B$5:$B$750,B507,$D$5:$D$750,WF_END_PERIOD,$R$5:$R$750,TRUE())&gt;0),SUMIFS($S$5:$S$750,$B$5:$B$750,B507,$D$5:$D$750,WF_END_PERIOD,$R$5:$R$750,TRUE()),0)</f>
        <v>0.0536545516944688</v>
      </c>
      <c r="V507" s="0" t="str">
        <f aca="false">IF(AND(D507=WF_START_PERIOD,COUNTIFS($B$5:$B$750,B507,$D$5:$D$750,WF_END_PERIOD)&gt;0),INDEX($E$5:$E$750,MATCH(B507&amp;"|"&amp;WF_END_PERIOD,$AC$5:$AC$750,0)),"")</f>
        <v>NH</v>
      </c>
      <c r="W507" s="11" t="b">
        <f aca="false">COUNTIFS($B$5:$B$750,B507,$D$5:$D$750,WF_START_PERIOD,$R$5:$R$750,TRUE())&gt;0</f>
        <v>1</v>
      </c>
      <c r="X507" s="11" t="b">
        <f aca="false">COUNTIFS($B$5:$B$750,B507,$D$5:$D$750,WF_END_PERIOD,$R$5:$R$750,TRUE())&gt;0</f>
        <v>1</v>
      </c>
      <c r="Y507" s="0" t="str">
        <f aca="false">IF(AND(D507=WF_END_PERIOD,COUNTIFS($B$5:$B$750,B507,$D$5:$D$750,WF_START_PERIOD)&gt;0),INDEX($E$5:$E$750,MATCH(B507&amp;"|"&amp;WF_START_PERIOD,$AC$5:$AC$750,0)),"")</f>
        <v/>
      </c>
      <c r="Z507" s="0" t="str">
        <f aca="false">IF(AND(D507=WF_END_PERIOD,R507),1+COUNTIFS($D$5:$D$750,WF_END_PERIOD,$E$5:$E$750,E507,$R$5:$R$750,TRUE(),$S$5:$S$750,"&gt;"&amp;S507)+COUNTIFS($D$5:$D$750,WF_END_PERIOD,$E$5:$E$750,E507,$R$5:$R$750,TRUE(),$S$5:$S$750,S507,$B$5:$B$750,"&lt;"&amp;B507),"")</f>
        <v/>
      </c>
      <c r="AA507" s="0" t="str">
        <f aca="false">IF(AND(D507=WF_END_PERIOD,R507,Z507&lt;&gt;1),1+COUNTIFS($D$5:$D$750,WF_END_PERIOD,$R$5:$R$750,TRUE(),$Z$5:$Z$750,"&lt;&gt;1",$S$5:$S$750,"&gt;"&amp;S507)+COUNTIFS($D$5:$D$750,WF_END_PERIOD,$R$5:$R$750,TRUE(),$Z$5:$Z$750,"&lt;&gt;1",$S$5:$S$750,S507,$B$5:$B$750,"&lt;"&amp;B507),"")</f>
        <v/>
      </c>
      <c r="AB507" s="11" t="b">
        <f aca="false">OR(D507=WF_START_PERIOD,D507=WF_END_PERIOD)</f>
        <v>1</v>
      </c>
      <c r="AC507" s="0" t="str">
        <f aca="false">B507&amp;"|"&amp;D507</f>
        <v>18013|20240630</v>
      </c>
    </row>
    <row r="508" customFormat="false" ht="15" hidden="false" customHeight="false" outlineLevel="0" collapsed="false">
      <c r="A508" s="0" t="n">
        <f aca="false">RawFinancials!A508</f>
        <v>505</v>
      </c>
      <c r="B508" s="0" t="n">
        <f aca="false">RawFinancials!C508</f>
        <v>18028</v>
      </c>
      <c r="C508" s="0" t="str">
        <f aca="false">RawFinancials!P508</f>
        <v>SUGAR RIVER BANK</v>
      </c>
      <c r="D508" s="0" t="n">
        <f aca="false">RawFinancials!W508</f>
        <v>20240630</v>
      </c>
      <c r="E508" s="0" t="str">
        <f aca="false">RawFinancials!Z508</f>
        <v>NH</v>
      </c>
      <c r="F508" s="0" t="n">
        <f aca="false">RawFinancials!B508</f>
        <v>393662</v>
      </c>
      <c r="G508" s="0" t="n">
        <f aca="false">RawFinancials!U508</f>
        <v>68</v>
      </c>
      <c r="H508" s="0" t="n">
        <f aca="false">RawFinancials!O508</f>
        <v>548</v>
      </c>
      <c r="I508" s="0" t="n">
        <f aca="false">IF(AND(ISNUMBER(G508),ISNUMBER(H508)),G508+H508,"")</f>
        <v>616</v>
      </c>
      <c r="J508" s="0" t="n">
        <f aca="false">RawFinancials!D508</f>
        <v>324859</v>
      </c>
      <c r="K508" s="0" t="n">
        <f aca="false">RawFinancials!F508</f>
        <v>40845</v>
      </c>
      <c r="L508" s="0" t="n">
        <f aca="false">RawFinancials!L508</f>
        <v>270218</v>
      </c>
      <c r="M508" s="0" t="n">
        <f aca="false">RawFinancials!N508</f>
        <v>243503</v>
      </c>
      <c r="N508" s="13" t="n">
        <f aca="false">RawFinancials!X508</f>
        <v>0.470352502506773</v>
      </c>
      <c r="O508" s="13" t="n">
        <f aca="false">RawFinancials!V508</f>
        <v>0</v>
      </c>
      <c r="P508" s="13" t="n">
        <f aca="false">IF(AND(ISNUMBER(L508),L508&lt;&gt;0,ISNUMBER(M508)),100*M508/L508,"")</f>
        <v>90.1135379582411</v>
      </c>
      <c r="Q508" s="13" t="n">
        <f aca="false">IF(AND(ISNUMBER(F508),F508&lt;&gt;0,ISNUMBER(K508)),100*K508/F508,"")</f>
        <v>10.3756522092557</v>
      </c>
      <c r="R508" s="11" t="b">
        <f aca="false">AND(ISNUMBER(F508),F508&gt;0,ISNUMBER(G508),G508&gt;=0,ISNUMBER(H508),H508&gt;=0)</f>
        <v>1</v>
      </c>
      <c r="S508" s="13" t="n">
        <f aca="false">IF(R508,100*I508/F508,"")</f>
        <v>0.156479416352099</v>
      </c>
      <c r="T508" s="11" t="b">
        <f aca="false">NOT(AND(OR(AND(ISBLANK(RawFinancials!B508),ISBLANK(_RawBaseline!B505)),AND(ISNUMBER(RawFinancials!B508),ISNUMBER(_RawBaseline!B505),RawFinancials!B508=_RawBaseline!B505)),OR(AND(ISBLANK(RawFinancials!U508),ISBLANK(_RawBaseline!U505)),AND(ISNUMBER(RawFinancials!U508),ISNUMBER(_RawBaseline!U505),RawFinancials!U508=_RawBaseline!U505)),OR(AND(ISBLANK(RawFinancials!O508),ISBLANK(_RawBaseline!O505)),AND(ISNUMBER(RawFinancials!O508),ISNUMBER(_RawBaseline!O505),RawFinancials!O508=_RawBaseline!O505))))</f>
        <v>0</v>
      </c>
      <c r="U508" s="13" t="n">
        <f aca="false">IF(AND(D508=WF_START_PERIOD,R508,COUNTIFS($B$5:$B$750,B508,$D$5:$D$750,WF_END_PERIOD,$R$5:$R$750,TRUE())&gt;0),SUMIFS($S$5:$S$750,$B$5:$B$750,B508,$D$5:$D$750,WF_END_PERIOD,$R$5:$R$750,TRUE()),0)</f>
        <v>0.343097268570016</v>
      </c>
      <c r="V508" s="0" t="str">
        <f aca="false">IF(AND(D508=WF_START_PERIOD,COUNTIFS($B$5:$B$750,B508,$D$5:$D$750,WF_END_PERIOD)&gt;0),INDEX($E$5:$E$750,MATCH(B508&amp;"|"&amp;WF_END_PERIOD,$AC$5:$AC$750,0)),"")</f>
        <v>NH</v>
      </c>
      <c r="W508" s="11" t="b">
        <f aca="false">COUNTIFS($B$5:$B$750,B508,$D$5:$D$750,WF_START_PERIOD,$R$5:$R$750,TRUE())&gt;0</f>
        <v>1</v>
      </c>
      <c r="X508" s="11" t="b">
        <f aca="false">COUNTIFS($B$5:$B$750,B508,$D$5:$D$750,WF_END_PERIOD,$R$5:$R$750,TRUE())&gt;0</f>
        <v>1</v>
      </c>
      <c r="Y508" s="0" t="str">
        <f aca="false">IF(AND(D508=WF_END_PERIOD,COUNTIFS($B$5:$B$750,B508,$D$5:$D$750,WF_START_PERIOD)&gt;0),INDEX($E$5:$E$750,MATCH(B508&amp;"|"&amp;WF_START_PERIOD,$AC$5:$AC$750,0)),"")</f>
        <v/>
      </c>
      <c r="Z508" s="0" t="str">
        <f aca="false">IF(AND(D508=WF_END_PERIOD,R508),1+COUNTIFS($D$5:$D$750,WF_END_PERIOD,$E$5:$E$750,E508,$R$5:$R$750,TRUE(),$S$5:$S$750,"&gt;"&amp;S508)+COUNTIFS($D$5:$D$750,WF_END_PERIOD,$E$5:$E$750,E508,$R$5:$R$750,TRUE(),$S$5:$S$750,S508,$B$5:$B$750,"&lt;"&amp;B508),"")</f>
        <v/>
      </c>
      <c r="AA508" s="0" t="str">
        <f aca="false">IF(AND(D508=WF_END_PERIOD,R508,Z508&lt;&gt;1),1+COUNTIFS($D$5:$D$750,WF_END_PERIOD,$R$5:$R$750,TRUE(),$Z$5:$Z$750,"&lt;&gt;1",$S$5:$S$750,"&gt;"&amp;S508)+COUNTIFS($D$5:$D$750,WF_END_PERIOD,$R$5:$R$750,TRUE(),$Z$5:$Z$750,"&lt;&gt;1",$S$5:$S$750,S508,$B$5:$B$750,"&lt;"&amp;B508),"")</f>
        <v/>
      </c>
      <c r="AB508" s="11" t="b">
        <f aca="false">OR(D508=WF_START_PERIOD,D508=WF_END_PERIOD)</f>
        <v>1</v>
      </c>
      <c r="AC508" s="0" t="str">
        <f aca="false">B508&amp;"|"&amp;D508</f>
        <v>18028|20240630</v>
      </c>
    </row>
    <row r="509" customFormat="false" ht="15" hidden="false" customHeight="false" outlineLevel="0" collapsed="false">
      <c r="A509" s="0" t="n">
        <f aca="false">RawFinancials!A509</f>
        <v>506</v>
      </c>
      <c r="B509" s="0" t="n">
        <f aca="false">RawFinancials!C509</f>
        <v>18030</v>
      </c>
      <c r="C509" s="0" t="str">
        <f aca="false">RawFinancials!P509</f>
        <v>SAVINGS BANK OF WALPOLE</v>
      </c>
      <c r="D509" s="0" t="n">
        <f aca="false">RawFinancials!W509</f>
        <v>20240630</v>
      </c>
      <c r="E509" s="0" t="str">
        <f aca="false">RawFinancials!Z509</f>
        <v>NH</v>
      </c>
      <c r="F509" s="0" t="n">
        <f aca="false">RawFinancials!B509</f>
        <v>764903</v>
      </c>
      <c r="G509" s="0" t="n">
        <f aca="false">RawFinancials!U509</f>
        <v>0</v>
      </c>
      <c r="H509" s="0" t="n">
        <f aca="false">RawFinancials!O509</f>
        <v>1934</v>
      </c>
      <c r="I509" s="0" t="n">
        <f aca="false">IF(AND(ISNUMBER(G509),ISNUMBER(H509)),G509+H509,"")</f>
        <v>1934</v>
      </c>
      <c r="J509" s="0" t="n">
        <f aca="false">RawFinancials!D509</f>
        <v>682796</v>
      </c>
      <c r="K509" s="0" t="n">
        <f aca="false">RawFinancials!F509</f>
        <v>50593</v>
      </c>
      <c r="L509" s="0" t="n">
        <f aca="false">RawFinancials!L509</f>
        <v>593081</v>
      </c>
      <c r="M509" s="0" t="n">
        <f aca="false">RawFinancials!N509</f>
        <v>452116</v>
      </c>
      <c r="N509" s="13" t="n">
        <f aca="false">RawFinancials!X509</f>
        <v>0.674002311473751</v>
      </c>
      <c r="O509" s="13" t="n">
        <f aca="false">RawFinancials!V509</f>
        <v>13.4436887474241</v>
      </c>
      <c r="P509" s="13" t="n">
        <f aca="false">IF(AND(ISNUMBER(L509),L509&lt;&gt;0,ISNUMBER(M509)),100*M509/L509,"")</f>
        <v>76.2317457480513</v>
      </c>
      <c r="Q509" s="13" t="n">
        <f aca="false">IF(AND(ISNUMBER(F509),F509&lt;&gt;0,ISNUMBER(K509)),100*K509/F509,"")</f>
        <v>6.61430272858127</v>
      </c>
      <c r="R509" s="11" t="b">
        <f aca="false">AND(ISNUMBER(F509),F509&gt;0,ISNUMBER(G509),G509&gt;=0,ISNUMBER(H509),H509&gt;=0)</f>
        <v>1</v>
      </c>
      <c r="S509" s="13" t="n">
        <f aca="false">IF(R509,100*I509/F509,"")</f>
        <v>0.252842517286506</v>
      </c>
      <c r="T509" s="11" t="b">
        <f aca="false">NOT(AND(OR(AND(ISBLANK(RawFinancials!B509),ISBLANK(_RawBaseline!B506)),AND(ISNUMBER(RawFinancials!B509),ISNUMBER(_RawBaseline!B506),RawFinancials!B509=_RawBaseline!B506)),OR(AND(ISBLANK(RawFinancials!U509),ISBLANK(_RawBaseline!U506)),AND(ISNUMBER(RawFinancials!U509),ISNUMBER(_RawBaseline!U506),RawFinancials!U509=_RawBaseline!U506)),OR(AND(ISBLANK(RawFinancials!O509),ISBLANK(_RawBaseline!O506)),AND(ISNUMBER(RawFinancials!O509),ISNUMBER(_RawBaseline!O506),RawFinancials!O509=_RawBaseline!O506))))</f>
        <v>0</v>
      </c>
      <c r="U509" s="13" t="n">
        <f aca="false">IF(AND(D509=WF_START_PERIOD,R509,COUNTIFS($B$5:$B$750,B509,$D$5:$D$750,WF_END_PERIOD,$R$5:$R$750,TRUE())&gt;0),SUMIFS($S$5:$S$750,$B$5:$B$750,B509,$D$5:$D$750,WF_END_PERIOD,$R$5:$R$750,TRUE()),0)</f>
        <v>0.174224242980773</v>
      </c>
      <c r="V509" s="0" t="str">
        <f aca="false">IF(AND(D509=WF_START_PERIOD,COUNTIFS($B$5:$B$750,B509,$D$5:$D$750,WF_END_PERIOD)&gt;0),INDEX($E$5:$E$750,MATCH(B509&amp;"|"&amp;WF_END_PERIOD,$AC$5:$AC$750,0)),"")</f>
        <v>NH</v>
      </c>
      <c r="W509" s="11" t="b">
        <f aca="false">COUNTIFS($B$5:$B$750,B509,$D$5:$D$750,WF_START_PERIOD,$R$5:$R$750,TRUE())&gt;0</f>
        <v>1</v>
      </c>
      <c r="X509" s="11" t="b">
        <f aca="false">COUNTIFS($B$5:$B$750,B509,$D$5:$D$750,WF_END_PERIOD,$R$5:$R$750,TRUE())&gt;0</f>
        <v>1</v>
      </c>
      <c r="Y509" s="0" t="str">
        <f aca="false">IF(AND(D509=WF_END_PERIOD,COUNTIFS($B$5:$B$750,B509,$D$5:$D$750,WF_START_PERIOD)&gt;0),INDEX($E$5:$E$750,MATCH(B509&amp;"|"&amp;WF_START_PERIOD,$AC$5:$AC$750,0)),"")</f>
        <v/>
      </c>
      <c r="Z509" s="0" t="str">
        <f aca="false">IF(AND(D509=WF_END_PERIOD,R509),1+COUNTIFS($D$5:$D$750,WF_END_PERIOD,$E$5:$E$750,E509,$R$5:$R$750,TRUE(),$S$5:$S$750,"&gt;"&amp;S509)+COUNTIFS($D$5:$D$750,WF_END_PERIOD,$E$5:$E$750,E509,$R$5:$R$750,TRUE(),$S$5:$S$750,S509,$B$5:$B$750,"&lt;"&amp;B509),"")</f>
        <v/>
      </c>
      <c r="AA509" s="0" t="str">
        <f aca="false">IF(AND(D509=WF_END_PERIOD,R509,Z509&lt;&gt;1),1+COUNTIFS($D$5:$D$750,WF_END_PERIOD,$R$5:$R$750,TRUE(),$Z$5:$Z$750,"&lt;&gt;1",$S$5:$S$750,"&gt;"&amp;S509)+COUNTIFS($D$5:$D$750,WF_END_PERIOD,$R$5:$R$750,TRUE(),$Z$5:$Z$750,"&lt;&gt;1",$S$5:$S$750,S509,$B$5:$B$750,"&lt;"&amp;B509),"")</f>
        <v/>
      </c>
      <c r="AB509" s="11" t="b">
        <f aca="false">OR(D509=WF_START_PERIOD,D509=WF_END_PERIOD)</f>
        <v>1</v>
      </c>
      <c r="AC509" s="0" t="str">
        <f aca="false">B509&amp;"|"&amp;D509</f>
        <v>18030|20240630</v>
      </c>
    </row>
    <row r="510" customFormat="false" ht="15" hidden="false" customHeight="false" outlineLevel="0" collapsed="false">
      <c r="A510" s="0" t="n">
        <f aca="false">RawFinancials!A510</f>
        <v>507</v>
      </c>
      <c r="B510" s="0" t="n">
        <f aca="false">RawFinancials!C510</f>
        <v>18031</v>
      </c>
      <c r="C510" s="0" t="str">
        <f aca="false">RawFinancials!P510</f>
        <v>WOODSVILLE GUARANTY SAVINGS BANK</v>
      </c>
      <c r="D510" s="0" t="n">
        <f aca="false">RawFinancials!W510</f>
        <v>20240630</v>
      </c>
      <c r="E510" s="0" t="str">
        <f aca="false">RawFinancials!Z510</f>
        <v>NH</v>
      </c>
      <c r="F510" s="0" t="n">
        <f aca="false">RawFinancials!B510</f>
        <v>669965</v>
      </c>
      <c r="G510" s="0" t="n">
        <f aca="false">RawFinancials!U510</f>
        <v>27</v>
      </c>
      <c r="H510" s="0" t="n">
        <f aca="false">RawFinancials!O510</f>
        <v>900</v>
      </c>
      <c r="I510" s="0" t="n">
        <f aca="false">IF(AND(ISNUMBER(G510),ISNUMBER(H510)),G510+H510,"")</f>
        <v>927</v>
      </c>
      <c r="J510" s="0" t="n">
        <f aca="false">RawFinancials!D510</f>
        <v>520982</v>
      </c>
      <c r="K510" s="0" t="n">
        <f aca="false">RawFinancials!F510</f>
        <v>36939</v>
      </c>
      <c r="L510" s="0" t="n">
        <f aca="false">RawFinancials!L510</f>
        <v>472971</v>
      </c>
      <c r="M510" s="0" t="n">
        <f aca="false">RawFinancials!N510</f>
        <v>433316</v>
      </c>
      <c r="N510" s="13" t="n">
        <f aca="false">RawFinancials!X510</f>
        <v>0.428613561597885</v>
      </c>
      <c r="O510" s="13" t="n">
        <f aca="false">RawFinancials!V510</f>
        <v>16.5316455015501</v>
      </c>
      <c r="P510" s="13" t="n">
        <f aca="false">IF(AND(ISNUMBER(L510),L510&lt;&gt;0,ISNUMBER(M510)),100*M510/L510,"")</f>
        <v>91.6157650257627</v>
      </c>
      <c r="Q510" s="13" t="n">
        <f aca="false">IF(AND(ISNUMBER(F510),F510&lt;&gt;0,ISNUMBER(K510)),100*K510/F510,"")</f>
        <v>5.5135716044868</v>
      </c>
      <c r="R510" s="11" t="b">
        <f aca="false">AND(ISNUMBER(F510),F510&gt;0,ISNUMBER(G510),G510&gt;=0,ISNUMBER(H510),H510&gt;=0)</f>
        <v>1</v>
      </c>
      <c r="S510" s="13" t="n">
        <f aca="false">IF(R510,100*I510/F510,"")</f>
        <v>0.13836543700044</v>
      </c>
      <c r="T510" s="11" t="b">
        <f aca="false">NOT(AND(OR(AND(ISBLANK(RawFinancials!B510),ISBLANK(_RawBaseline!B507)),AND(ISNUMBER(RawFinancials!B510),ISNUMBER(_RawBaseline!B507),RawFinancials!B510=_RawBaseline!B507)),OR(AND(ISBLANK(RawFinancials!U510),ISBLANK(_RawBaseline!U507)),AND(ISNUMBER(RawFinancials!U510),ISNUMBER(_RawBaseline!U507),RawFinancials!U510=_RawBaseline!U507)),OR(AND(ISBLANK(RawFinancials!O510),ISBLANK(_RawBaseline!O507)),AND(ISNUMBER(RawFinancials!O510),ISNUMBER(_RawBaseline!O507),RawFinancials!O510=_RawBaseline!O507))))</f>
        <v>0</v>
      </c>
      <c r="U510" s="13" t="n">
        <f aca="false">IF(AND(D510=WF_START_PERIOD,R510,COUNTIFS($B$5:$B$750,B510,$D$5:$D$750,WF_END_PERIOD,$R$5:$R$750,TRUE())&gt;0),SUMIFS($S$5:$S$750,$B$5:$B$750,B510,$D$5:$D$750,WF_END_PERIOD,$R$5:$R$750,TRUE()),0)</f>
        <v>0.0845724087746115</v>
      </c>
      <c r="V510" s="0" t="str">
        <f aca="false">IF(AND(D510=WF_START_PERIOD,COUNTIFS($B$5:$B$750,B510,$D$5:$D$750,WF_END_PERIOD)&gt;0),INDEX($E$5:$E$750,MATCH(B510&amp;"|"&amp;WF_END_PERIOD,$AC$5:$AC$750,0)),"")</f>
        <v>NH</v>
      </c>
      <c r="W510" s="11" t="b">
        <f aca="false">COUNTIFS($B$5:$B$750,B510,$D$5:$D$750,WF_START_PERIOD,$R$5:$R$750,TRUE())&gt;0</f>
        <v>1</v>
      </c>
      <c r="X510" s="11" t="b">
        <f aca="false">COUNTIFS($B$5:$B$750,B510,$D$5:$D$750,WF_END_PERIOD,$R$5:$R$750,TRUE())&gt;0</f>
        <v>1</v>
      </c>
      <c r="Y510" s="0" t="str">
        <f aca="false">IF(AND(D510=WF_END_PERIOD,COUNTIFS($B$5:$B$750,B510,$D$5:$D$750,WF_START_PERIOD)&gt;0),INDEX($E$5:$E$750,MATCH(B510&amp;"|"&amp;WF_START_PERIOD,$AC$5:$AC$750,0)),"")</f>
        <v/>
      </c>
      <c r="Z510" s="0" t="str">
        <f aca="false">IF(AND(D510=WF_END_PERIOD,R510),1+COUNTIFS($D$5:$D$750,WF_END_PERIOD,$E$5:$E$750,E510,$R$5:$R$750,TRUE(),$S$5:$S$750,"&gt;"&amp;S510)+COUNTIFS($D$5:$D$750,WF_END_PERIOD,$E$5:$E$750,E510,$R$5:$R$750,TRUE(),$S$5:$S$750,S510,$B$5:$B$750,"&lt;"&amp;B510),"")</f>
        <v/>
      </c>
      <c r="AA510" s="0" t="str">
        <f aca="false">IF(AND(D510=WF_END_PERIOD,R510,Z510&lt;&gt;1),1+COUNTIFS($D$5:$D$750,WF_END_PERIOD,$R$5:$R$750,TRUE(),$Z$5:$Z$750,"&lt;&gt;1",$S$5:$S$750,"&gt;"&amp;S510)+COUNTIFS($D$5:$D$750,WF_END_PERIOD,$R$5:$R$750,TRUE(),$Z$5:$Z$750,"&lt;&gt;1",$S$5:$S$750,S510,$B$5:$B$750,"&lt;"&amp;B510),"")</f>
        <v/>
      </c>
      <c r="AB510" s="11" t="b">
        <f aca="false">OR(D510=WF_START_PERIOD,D510=WF_END_PERIOD)</f>
        <v>1</v>
      </c>
      <c r="AC510" s="0" t="str">
        <f aca="false">B510&amp;"|"&amp;D510</f>
        <v>18031|20240630</v>
      </c>
    </row>
    <row r="511" customFormat="false" ht="15" hidden="false" customHeight="false" outlineLevel="0" collapsed="false">
      <c r="A511" s="0" t="n">
        <f aca="false">RawFinancials!A511</f>
        <v>508</v>
      </c>
      <c r="B511" s="0" t="n">
        <f aca="false">RawFinancials!C511</f>
        <v>18038</v>
      </c>
      <c r="C511" s="0" t="str">
        <f aca="false">RawFinancials!P511</f>
        <v>CLAREMONT SAVINGS BANK</v>
      </c>
      <c r="D511" s="0" t="n">
        <f aca="false">RawFinancials!W511</f>
        <v>20240630</v>
      </c>
      <c r="E511" s="0" t="str">
        <f aca="false">RawFinancials!Z511</f>
        <v>NH</v>
      </c>
      <c r="F511" s="0" t="n">
        <f aca="false">RawFinancials!B511</f>
        <v>528195</v>
      </c>
      <c r="G511" s="0" t="n">
        <f aca="false">RawFinancials!U511</f>
        <v>0</v>
      </c>
      <c r="H511" s="0" t="n">
        <f aca="false">RawFinancials!O511</f>
        <v>2632</v>
      </c>
      <c r="I511" s="0" t="n">
        <f aca="false">IF(AND(ISNUMBER(G511),ISNUMBER(H511)),G511+H511,"")</f>
        <v>2632</v>
      </c>
      <c r="J511" s="0" t="n">
        <f aca="false">RawFinancials!D511</f>
        <v>406919</v>
      </c>
      <c r="K511" s="0" t="n">
        <f aca="false">RawFinancials!F511</f>
        <v>66574</v>
      </c>
      <c r="L511" s="0" t="n">
        <f aca="false">RawFinancials!L511</f>
        <v>417854</v>
      </c>
      <c r="M511" s="0" t="n">
        <f aca="false">RawFinancials!N511</f>
        <v>385504</v>
      </c>
      <c r="N511" s="13" t="n">
        <f aca="false">RawFinancials!X511</f>
        <v>0.655171832852562</v>
      </c>
      <c r="O511" s="13" t="n">
        <f aca="false">RawFinancials!V511</f>
        <v>0</v>
      </c>
      <c r="P511" s="13" t="n">
        <f aca="false">IF(AND(ISNUMBER(L511),L511&lt;&gt;0,ISNUMBER(M511)),100*M511/L511,"")</f>
        <v>92.2580614281543</v>
      </c>
      <c r="Q511" s="13" t="n">
        <f aca="false">IF(AND(ISNUMBER(F511),F511&lt;&gt;0,ISNUMBER(K511)),100*K511/F511,"")</f>
        <v>12.6040572137184</v>
      </c>
      <c r="R511" s="11" t="b">
        <f aca="false">AND(ISNUMBER(F511),F511&gt;0,ISNUMBER(G511),G511&gt;=0,ISNUMBER(H511),H511&gt;=0)</f>
        <v>1</v>
      </c>
      <c r="S511" s="13" t="n">
        <f aca="false">IF(R511,100*I511/F511,"")</f>
        <v>0.49830081693314</v>
      </c>
      <c r="T511" s="11" t="b">
        <f aca="false">NOT(AND(OR(AND(ISBLANK(RawFinancials!B511),ISBLANK(_RawBaseline!B508)),AND(ISNUMBER(RawFinancials!B511),ISNUMBER(_RawBaseline!B508),RawFinancials!B511=_RawBaseline!B508)),OR(AND(ISBLANK(RawFinancials!U511),ISBLANK(_RawBaseline!U508)),AND(ISNUMBER(RawFinancials!U511),ISNUMBER(_RawBaseline!U508),RawFinancials!U511=_RawBaseline!U508)),OR(AND(ISBLANK(RawFinancials!O511),ISBLANK(_RawBaseline!O508)),AND(ISNUMBER(RawFinancials!O511),ISNUMBER(_RawBaseline!O508),RawFinancials!O511=_RawBaseline!O508))))</f>
        <v>0</v>
      </c>
      <c r="U511" s="13" t="n">
        <f aca="false">IF(AND(D511=WF_START_PERIOD,R511,COUNTIFS($B$5:$B$750,B511,$D$5:$D$750,WF_END_PERIOD,$R$5:$R$750,TRUE())&gt;0),SUMIFS($S$5:$S$750,$B$5:$B$750,B511,$D$5:$D$750,WF_END_PERIOD,$R$5:$R$750,TRUE()),0)</f>
        <v>0.366991506003339</v>
      </c>
      <c r="V511" s="0" t="str">
        <f aca="false">IF(AND(D511=WF_START_PERIOD,COUNTIFS($B$5:$B$750,B511,$D$5:$D$750,WF_END_PERIOD)&gt;0),INDEX($E$5:$E$750,MATCH(B511&amp;"|"&amp;WF_END_PERIOD,$AC$5:$AC$750,0)),"")</f>
        <v>NH</v>
      </c>
      <c r="W511" s="11" t="b">
        <f aca="false">COUNTIFS($B$5:$B$750,B511,$D$5:$D$750,WF_START_PERIOD,$R$5:$R$750,TRUE())&gt;0</f>
        <v>1</v>
      </c>
      <c r="X511" s="11" t="b">
        <f aca="false">COUNTIFS($B$5:$B$750,B511,$D$5:$D$750,WF_END_PERIOD,$R$5:$R$750,TRUE())&gt;0</f>
        <v>1</v>
      </c>
      <c r="Y511" s="0" t="str">
        <f aca="false">IF(AND(D511=WF_END_PERIOD,COUNTIFS($B$5:$B$750,B511,$D$5:$D$750,WF_START_PERIOD)&gt;0),INDEX($E$5:$E$750,MATCH(B511&amp;"|"&amp;WF_START_PERIOD,$AC$5:$AC$750,0)),"")</f>
        <v/>
      </c>
      <c r="Z511" s="0" t="str">
        <f aca="false">IF(AND(D511=WF_END_PERIOD,R511),1+COUNTIFS($D$5:$D$750,WF_END_PERIOD,$E$5:$E$750,E511,$R$5:$R$750,TRUE(),$S$5:$S$750,"&gt;"&amp;S511)+COUNTIFS($D$5:$D$750,WF_END_PERIOD,$E$5:$E$750,E511,$R$5:$R$750,TRUE(),$S$5:$S$750,S511,$B$5:$B$750,"&lt;"&amp;B511),"")</f>
        <v/>
      </c>
      <c r="AA511" s="0" t="str">
        <f aca="false">IF(AND(D511=WF_END_PERIOD,R511,Z511&lt;&gt;1),1+COUNTIFS($D$5:$D$750,WF_END_PERIOD,$R$5:$R$750,TRUE(),$Z$5:$Z$750,"&lt;&gt;1",$S$5:$S$750,"&gt;"&amp;S511)+COUNTIFS($D$5:$D$750,WF_END_PERIOD,$R$5:$R$750,TRUE(),$Z$5:$Z$750,"&lt;&gt;1",$S$5:$S$750,S511,$B$5:$B$750,"&lt;"&amp;B511),"")</f>
        <v/>
      </c>
      <c r="AB511" s="11" t="b">
        <f aca="false">OR(D511=WF_START_PERIOD,D511=WF_END_PERIOD)</f>
        <v>1</v>
      </c>
      <c r="AC511" s="0" t="str">
        <f aca="false">B511&amp;"|"&amp;D511</f>
        <v>18038|20240630</v>
      </c>
    </row>
    <row r="512" customFormat="false" ht="15" hidden="false" customHeight="false" outlineLevel="0" collapsed="false">
      <c r="A512" s="0" t="n">
        <f aca="false">RawFinancials!A512</f>
        <v>509</v>
      </c>
      <c r="B512" s="0" t="n">
        <f aca="false">RawFinancials!C512</f>
        <v>18408</v>
      </c>
      <c r="C512" s="0" t="str">
        <f aca="false">RawFinancials!P512</f>
        <v>BANGOR SAVINGS BANK</v>
      </c>
      <c r="D512" s="0" t="n">
        <f aca="false">RawFinancials!W512</f>
        <v>20240630</v>
      </c>
      <c r="E512" s="0" t="str">
        <f aca="false">RawFinancials!Z512</f>
        <v>ME</v>
      </c>
      <c r="F512" s="0" t="n">
        <f aca="false">RawFinancials!B512</f>
        <v>7222033</v>
      </c>
      <c r="G512" s="0" t="n">
        <f aca="false">RawFinancials!U512</f>
        <v>0</v>
      </c>
      <c r="H512" s="0" t="n">
        <f aca="false">RawFinancials!O512</f>
        <v>4032</v>
      </c>
      <c r="I512" s="0" t="n">
        <f aca="false">IF(AND(ISNUMBER(G512),ISNUMBER(H512)),G512+H512,"")</f>
        <v>4032</v>
      </c>
      <c r="J512" s="0" t="n">
        <f aca="false">RawFinancials!D512</f>
        <v>5353465</v>
      </c>
      <c r="K512" s="0" t="n">
        <f aca="false">RawFinancials!F512</f>
        <v>408904</v>
      </c>
      <c r="L512" s="0" t="n">
        <f aca="false">RawFinancials!L512</f>
        <v>4887305</v>
      </c>
      <c r="M512" s="0" t="n">
        <f aca="false">RawFinancials!N512</f>
        <v>4394120</v>
      </c>
      <c r="N512" s="13" t="n">
        <f aca="false">RawFinancials!X512</f>
        <v>0.0504801142925108</v>
      </c>
      <c r="O512" s="13" t="n">
        <f aca="false">RawFinancials!V512</f>
        <v>11.3956962361995</v>
      </c>
      <c r="P512" s="13" t="n">
        <f aca="false">IF(AND(ISNUMBER(L512),L512&lt;&gt;0,ISNUMBER(M512)),100*M512/L512,"")</f>
        <v>89.9088556985905</v>
      </c>
      <c r="Q512" s="13" t="n">
        <f aca="false">IF(AND(ISNUMBER(F512),F512&lt;&gt;0,ISNUMBER(K512)),100*K512/F512,"")</f>
        <v>5.66189603398378</v>
      </c>
      <c r="R512" s="11" t="b">
        <f aca="false">AND(ISNUMBER(F512),F512&gt;0,ISNUMBER(G512),G512&gt;=0,ISNUMBER(H512),H512&gt;=0)</f>
        <v>1</v>
      </c>
      <c r="S512" s="13" t="n">
        <f aca="false">IF(R512,100*I512/F512,"")</f>
        <v>0.0558291550315541</v>
      </c>
      <c r="T512" s="11" t="b">
        <f aca="false">NOT(AND(OR(AND(ISBLANK(RawFinancials!B512),ISBLANK(_RawBaseline!B509)),AND(ISNUMBER(RawFinancials!B512),ISNUMBER(_RawBaseline!B509),RawFinancials!B512=_RawBaseline!B509)),OR(AND(ISBLANK(RawFinancials!U512),ISBLANK(_RawBaseline!U509)),AND(ISNUMBER(RawFinancials!U512),ISNUMBER(_RawBaseline!U509),RawFinancials!U512=_RawBaseline!U509)),OR(AND(ISBLANK(RawFinancials!O512),ISBLANK(_RawBaseline!O509)),AND(ISNUMBER(RawFinancials!O512),ISNUMBER(_RawBaseline!O509),RawFinancials!O512=_RawBaseline!O509))))</f>
        <v>0</v>
      </c>
      <c r="U512" s="13" t="n">
        <f aca="false">IF(AND(D512=WF_START_PERIOD,R512,COUNTIFS($B$5:$B$750,B512,$D$5:$D$750,WF_END_PERIOD,$R$5:$R$750,TRUE())&gt;0),SUMIFS($S$5:$S$750,$B$5:$B$750,B512,$D$5:$D$750,WF_END_PERIOD,$R$5:$R$750,TRUE()),0)</f>
        <v>0.457134460100143</v>
      </c>
      <c r="V512" s="0" t="str">
        <f aca="false">IF(AND(D512=WF_START_PERIOD,COUNTIFS($B$5:$B$750,B512,$D$5:$D$750,WF_END_PERIOD)&gt;0),INDEX($E$5:$E$750,MATCH(B512&amp;"|"&amp;WF_END_PERIOD,$AC$5:$AC$750,0)),"")</f>
        <v>ME</v>
      </c>
      <c r="W512" s="11" t="b">
        <f aca="false">COUNTIFS($B$5:$B$750,B512,$D$5:$D$750,WF_START_PERIOD,$R$5:$R$750,TRUE())&gt;0</f>
        <v>1</v>
      </c>
      <c r="X512" s="11" t="b">
        <f aca="false">COUNTIFS($B$5:$B$750,B512,$D$5:$D$750,WF_END_PERIOD,$R$5:$R$750,TRUE())&gt;0</f>
        <v>1</v>
      </c>
      <c r="Y512" s="0" t="str">
        <f aca="false">IF(AND(D512=WF_END_PERIOD,COUNTIFS($B$5:$B$750,B512,$D$5:$D$750,WF_START_PERIOD)&gt;0),INDEX($E$5:$E$750,MATCH(B512&amp;"|"&amp;WF_START_PERIOD,$AC$5:$AC$750,0)),"")</f>
        <v/>
      </c>
      <c r="Z512" s="0" t="str">
        <f aca="false">IF(AND(D512=WF_END_PERIOD,R512),1+COUNTIFS($D$5:$D$750,WF_END_PERIOD,$E$5:$E$750,E512,$R$5:$R$750,TRUE(),$S$5:$S$750,"&gt;"&amp;S512)+COUNTIFS($D$5:$D$750,WF_END_PERIOD,$E$5:$E$750,E512,$R$5:$R$750,TRUE(),$S$5:$S$750,S512,$B$5:$B$750,"&lt;"&amp;B512),"")</f>
        <v/>
      </c>
      <c r="AA512" s="0" t="str">
        <f aca="false">IF(AND(D512=WF_END_PERIOD,R512,Z512&lt;&gt;1),1+COUNTIFS($D$5:$D$750,WF_END_PERIOD,$R$5:$R$750,TRUE(),$Z$5:$Z$750,"&lt;&gt;1",$S$5:$S$750,"&gt;"&amp;S512)+COUNTIFS($D$5:$D$750,WF_END_PERIOD,$R$5:$R$750,TRUE(),$Z$5:$Z$750,"&lt;&gt;1",$S$5:$S$750,S512,$B$5:$B$750,"&lt;"&amp;B512),"")</f>
        <v/>
      </c>
      <c r="AB512" s="11" t="b">
        <f aca="false">OR(D512=WF_START_PERIOD,D512=WF_END_PERIOD)</f>
        <v>1</v>
      </c>
      <c r="AC512" s="0" t="str">
        <f aca="false">B512&amp;"|"&amp;D512</f>
        <v>18408|20240630</v>
      </c>
    </row>
    <row r="513" customFormat="false" ht="15" hidden="false" customHeight="false" outlineLevel="0" collapsed="false">
      <c r="A513" s="0" t="n">
        <f aca="false">RawFinancials!A513</f>
        <v>510</v>
      </c>
      <c r="B513" s="0" t="n">
        <f aca="false">RawFinancials!C513</f>
        <v>19531</v>
      </c>
      <c r="C513" s="0" t="str">
        <f aca="false">RawFinancials!P513</f>
        <v>MACHIAS SAVINGS BANK</v>
      </c>
      <c r="D513" s="0" t="n">
        <f aca="false">RawFinancials!W513</f>
        <v>20240630</v>
      </c>
      <c r="E513" s="0" t="str">
        <f aca="false">RawFinancials!Z513</f>
        <v>ME</v>
      </c>
      <c r="F513" s="0" t="n">
        <f aca="false">RawFinancials!B513</f>
        <v>2602801</v>
      </c>
      <c r="G513" s="0" t="n">
        <f aca="false">RawFinancials!U513</f>
        <v>12</v>
      </c>
      <c r="H513" s="0" t="n">
        <f aca="false">RawFinancials!O513</f>
        <v>8076</v>
      </c>
      <c r="I513" s="0" t="n">
        <f aca="false">IF(AND(ISNUMBER(G513),ISNUMBER(H513)),G513+H513,"")</f>
        <v>8088</v>
      </c>
      <c r="J513" s="0" t="n">
        <f aca="false">RawFinancials!D513</f>
        <v>2007423</v>
      </c>
      <c r="K513" s="0" t="n">
        <f aca="false">RawFinancials!F513</f>
        <v>245672</v>
      </c>
      <c r="L513" s="0" t="n">
        <f aca="false">RawFinancials!L513</f>
        <v>2138891</v>
      </c>
      <c r="M513" s="0" t="n">
        <f aca="false">RawFinancials!N513</f>
        <v>1752265</v>
      </c>
      <c r="N513" s="13" t="n">
        <f aca="false">RawFinancials!X513</f>
        <v>0.363488052763752</v>
      </c>
      <c r="O513" s="13" t="n">
        <f aca="false">RawFinancials!V513</f>
        <v>13.7246237828604</v>
      </c>
      <c r="P513" s="13" t="n">
        <f aca="false">IF(AND(ISNUMBER(L513),L513&lt;&gt;0,ISNUMBER(M513)),100*M513/L513,"")</f>
        <v>81.9239970620289</v>
      </c>
      <c r="Q513" s="13" t="n">
        <f aca="false">IF(AND(ISNUMBER(F513),F513&lt;&gt;0,ISNUMBER(K513)),100*K513/F513,"")</f>
        <v>9.43875463395012</v>
      </c>
      <c r="R513" s="11" t="b">
        <f aca="false">AND(ISNUMBER(F513),F513&gt;0,ISNUMBER(G513),G513&gt;=0,ISNUMBER(H513),H513&gt;=0)</f>
        <v>1</v>
      </c>
      <c r="S513" s="13" t="n">
        <f aca="false">IF(R513,100*I513/F513,"")</f>
        <v>0.310742158159613</v>
      </c>
      <c r="T513" s="11" t="b">
        <f aca="false">NOT(AND(OR(AND(ISBLANK(RawFinancials!B513),ISBLANK(_RawBaseline!B510)),AND(ISNUMBER(RawFinancials!B513),ISNUMBER(_RawBaseline!B510),RawFinancials!B513=_RawBaseline!B510)),OR(AND(ISBLANK(RawFinancials!U513),ISBLANK(_RawBaseline!U510)),AND(ISNUMBER(RawFinancials!U513),ISNUMBER(_RawBaseline!U510),RawFinancials!U513=_RawBaseline!U510)),OR(AND(ISBLANK(RawFinancials!O513),ISBLANK(_RawBaseline!O510)),AND(ISNUMBER(RawFinancials!O513),ISNUMBER(_RawBaseline!O510),RawFinancials!O513=_RawBaseline!O510))))</f>
        <v>0</v>
      </c>
      <c r="U513" s="13" t="n">
        <f aca="false">IF(AND(D513=WF_START_PERIOD,R513,COUNTIFS($B$5:$B$750,B513,$D$5:$D$750,WF_END_PERIOD,$R$5:$R$750,TRUE())&gt;0),SUMIFS($S$5:$S$750,$B$5:$B$750,B513,$D$5:$D$750,WF_END_PERIOD,$R$5:$R$750,TRUE()),0)</f>
        <v>0.373005864310883</v>
      </c>
      <c r="V513" s="0" t="str">
        <f aca="false">IF(AND(D513=WF_START_PERIOD,COUNTIFS($B$5:$B$750,B513,$D$5:$D$750,WF_END_PERIOD)&gt;0),INDEX($E$5:$E$750,MATCH(B513&amp;"|"&amp;WF_END_PERIOD,$AC$5:$AC$750,0)),"")</f>
        <v>ME</v>
      </c>
      <c r="W513" s="11" t="b">
        <f aca="false">COUNTIFS($B$5:$B$750,B513,$D$5:$D$750,WF_START_PERIOD,$R$5:$R$750,TRUE())&gt;0</f>
        <v>1</v>
      </c>
      <c r="X513" s="11" t="b">
        <f aca="false">COUNTIFS($B$5:$B$750,B513,$D$5:$D$750,WF_END_PERIOD,$R$5:$R$750,TRUE())&gt;0</f>
        <v>1</v>
      </c>
      <c r="Y513" s="0" t="str">
        <f aca="false">IF(AND(D513=WF_END_PERIOD,COUNTIFS($B$5:$B$750,B513,$D$5:$D$750,WF_START_PERIOD)&gt;0),INDEX($E$5:$E$750,MATCH(B513&amp;"|"&amp;WF_START_PERIOD,$AC$5:$AC$750,0)),"")</f>
        <v/>
      </c>
      <c r="Z513" s="0" t="str">
        <f aca="false">IF(AND(D513=WF_END_PERIOD,R513),1+COUNTIFS($D$5:$D$750,WF_END_PERIOD,$E$5:$E$750,E513,$R$5:$R$750,TRUE(),$S$5:$S$750,"&gt;"&amp;S513)+COUNTIFS($D$5:$D$750,WF_END_PERIOD,$E$5:$E$750,E513,$R$5:$R$750,TRUE(),$S$5:$S$750,S513,$B$5:$B$750,"&lt;"&amp;B513),"")</f>
        <v/>
      </c>
      <c r="AA513" s="0" t="str">
        <f aca="false">IF(AND(D513=WF_END_PERIOD,R513,Z513&lt;&gt;1),1+COUNTIFS($D$5:$D$750,WF_END_PERIOD,$R$5:$R$750,TRUE(),$Z$5:$Z$750,"&lt;&gt;1",$S$5:$S$750,"&gt;"&amp;S513)+COUNTIFS($D$5:$D$750,WF_END_PERIOD,$R$5:$R$750,TRUE(),$Z$5:$Z$750,"&lt;&gt;1",$S$5:$S$750,S513,$B$5:$B$750,"&lt;"&amp;B513),"")</f>
        <v/>
      </c>
      <c r="AB513" s="11" t="b">
        <f aca="false">OR(D513=WF_START_PERIOD,D513=WF_END_PERIOD)</f>
        <v>1</v>
      </c>
      <c r="AC513" s="0" t="str">
        <f aca="false">B513&amp;"|"&amp;D513</f>
        <v>19531|20240630</v>
      </c>
    </row>
    <row r="514" customFormat="false" ht="15" hidden="false" customHeight="false" outlineLevel="0" collapsed="false">
      <c r="A514" s="0" t="n">
        <f aca="false">RawFinancials!A514</f>
        <v>511</v>
      </c>
      <c r="B514" s="0" t="n">
        <f aca="false">RawFinancials!C514</f>
        <v>19532</v>
      </c>
      <c r="C514" s="0" t="str">
        <f aca="false">RawFinancials!P514</f>
        <v>SKOWHEGAN SAVINGS BANK</v>
      </c>
      <c r="D514" s="0" t="n">
        <f aca="false">RawFinancials!W514</f>
        <v>20240630</v>
      </c>
      <c r="E514" s="0" t="str">
        <f aca="false">RawFinancials!Z514</f>
        <v>ME</v>
      </c>
      <c r="F514" s="0" t="n">
        <f aca="false">RawFinancials!B514</f>
        <v>880879</v>
      </c>
      <c r="G514" s="0" t="n">
        <f aca="false">RawFinancials!U514</f>
        <v>0</v>
      </c>
      <c r="H514" s="0" t="n">
        <f aca="false">RawFinancials!O514</f>
        <v>1611</v>
      </c>
      <c r="I514" s="0" t="n">
        <f aca="false">IF(AND(ISNUMBER(G514),ISNUMBER(H514)),G514+H514,"")</f>
        <v>1611</v>
      </c>
      <c r="J514" s="0" t="n">
        <f aca="false">RawFinancials!D514</f>
        <v>709469</v>
      </c>
      <c r="K514" s="0" t="n">
        <f aca="false">RawFinancials!F514</f>
        <v>98709</v>
      </c>
      <c r="L514" s="0" t="n">
        <f aca="false">RawFinancials!L514</f>
        <v>596358</v>
      </c>
      <c r="M514" s="0" t="n">
        <f aca="false">RawFinancials!N514</f>
        <v>490094</v>
      </c>
      <c r="N514" s="13" t="n">
        <f aca="false">RawFinancials!X514</f>
        <v>0.858496118129066</v>
      </c>
      <c r="O514" s="13" t="n">
        <f aca="false">RawFinancials!V514</f>
        <v>21.2603406906925</v>
      </c>
      <c r="P514" s="13" t="n">
        <f aca="false">IF(AND(ISNUMBER(L514),L514&lt;&gt;0,ISNUMBER(M514)),100*M514/L514,"")</f>
        <v>82.1811730537697</v>
      </c>
      <c r="Q514" s="13" t="n">
        <f aca="false">IF(AND(ISNUMBER(F514),F514&lt;&gt;0,ISNUMBER(K514)),100*K514/F514,"")</f>
        <v>11.2057388131628</v>
      </c>
      <c r="R514" s="11" t="b">
        <f aca="false">AND(ISNUMBER(F514),F514&gt;0,ISNUMBER(G514),G514&gt;=0,ISNUMBER(H514),H514&gt;=0)</f>
        <v>1</v>
      </c>
      <c r="S514" s="13" t="n">
        <f aca="false">IF(R514,100*I514/F514,"")</f>
        <v>0.18288550413848</v>
      </c>
      <c r="T514" s="11" t="b">
        <f aca="false">NOT(AND(OR(AND(ISBLANK(RawFinancials!B514),ISBLANK(_RawBaseline!B511)),AND(ISNUMBER(RawFinancials!B514),ISNUMBER(_RawBaseline!B511),RawFinancials!B514=_RawBaseline!B511)),OR(AND(ISBLANK(RawFinancials!U514),ISBLANK(_RawBaseline!U511)),AND(ISNUMBER(RawFinancials!U514),ISNUMBER(_RawBaseline!U511),RawFinancials!U514=_RawBaseline!U511)),OR(AND(ISBLANK(RawFinancials!O514),ISBLANK(_RawBaseline!O511)),AND(ISNUMBER(RawFinancials!O514),ISNUMBER(_RawBaseline!O511),RawFinancials!O514=_RawBaseline!O511))))</f>
        <v>0</v>
      </c>
      <c r="U514" s="13" t="n">
        <f aca="false">IF(AND(D514=WF_START_PERIOD,R514,COUNTIFS($B$5:$B$750,B514,$D$5:$D$750,WF_END_PERIOD,$R$5:$R$750,TRUE())&gt;0),SUMIFS($S$5:$S$750,$B$5:$B$750,B514,$D$5:$D$750,WF_END_PERIOD,$R$5:$R$750,TRUE()),0)</f>
        <v>0.224635145793428</v>
      </c>
      <c r="V514" s="0" t="str">
        <f aca="false">IF(AND(D514=WF_START_PERIOD,COUNTIFS($B$5:$B$750,B514,$D$5:$D$750,WF_END_PERIOD)&gt;0),INDEX($E$5:$E$750,MATCH(B514&amp;"|"&amp;WF_END_PERIOD,$AC$5:$AC$750,0)),"")</f>
        <v>ME</v>
      </c>
      <c r="W514" s="11" t="b">
        <f aca="false">COUNTIFS($B$5:$B$750,B514,$D$5:$D$750,WF_START_PERIOD,$R$5:$R$750,TRUE())&gt;0</f>
        <v>1</v>
      </c>
      <c r="X514" s="11" t="b">
        <f aca="false">COUNTIFS($B$5:$B$750,B514,$D$5:$D$750,WF_END_PERIOD,$R$5:$R$750,TRUE())&gt;0</f>
        <v>1</v>
      </c>
      <c r="Y514" s="0" t="str">
        <f aca="false">IF(AND(D514=WF_END_PERIOD,COUNTIFS($B$5:$B$750,B514,$D$5:$D$750,WF_START_PERIOD)&gt;0),INDEX($E$5:$E$750,MATCH(B514&amp;"|"&amp;WF_START_PERIOD,$AC$5:$AC$750,0)),"")</f>
        <v/>
      </c>
      <c r="Z514" s="0" t="str">
        <f aca="false">IF(AND(D514=WF_END_PERIOD,R514),1+COUNTIFS($D$5:$D$750,WF_END_PERIOD,$E$5:$E$750,E514,$R$5:$R$750,TRUE(),$S$5:$S$750,"&gt;"&amp;S514)+COUNTIFS($D$5:$D$750,WF_END_PERIOD,$E$5:$E$750,E514,$R$5:$R$750,TRUE(),$S$5:$S$750,S514,$B$5:$B$750,"&lt;"&amp;B514),"")</f>
        <v/>
      </c>
      <c r="AA514" s="0" t="str">
        <f aca="false">IF(AND(D514=WF_END_PERIOD,R514,Z514&lt;&gt;1),1+COUNTIFS($D$5:$D$750,WF_END_PERIOD,$R$5:$R$750,TRUE(),$Z$5:$Z$750,"&lt;&gt;1",$S$5:$S$750,"&gt;"&amp;S514)+COUNTIFS($D$5:$D$750,WF_END_PERIOD,$R$5:$R$750,TRUE(),$Z$5:$Z$750,"&lt;&gt;1",$S$5:$S$750,S514,$B$5:$B$750,"&lt;"&amp;B514),"")</f>
        <v/>
      </c>
      <c r="AB514" s="11" t="b">
        <f aca="false">OR(D514=WF_START_PERIOD,D514=WF_END_PERIOD)</f>
        <v>1</v>
      </c>
      <c r="AC514" s="0" t="str">
        <f aca="false">B514&amp;"|"&amp;D514</f>
        <v>19532|20240630</v>
      </c>
    </row>
    <row r="515" customFormat="false" ht="15" hidden="false" customHeight="false" outlineLevel="0" collapsed="false">
      <c r="A515" s="0" t="n">
        <f aca="false">RawFinancials!A515</f>
        <v>512</v>
      </c>
      <c r="B515" s="0" t="n">
        <f aca="false">RawFinancials!C515</f>
        <v>19690</v>
      </c>
      <c r="C515" s="0" t="str">
        <f aca="false">RawFinancials!P515</f>
        <v>NORTHEAST BANK</v>
      </c>
      <c r="D515" s="0" t="n">
        <f aca="false">RawFinancials!W515</f>
        <v>20240630</v>
      </c>
      <c r="E515" s="0" t="str">
        <f aca="false">RawFinancials!Z515</f>
        <v>ME</v>
      </c>
      <c r="F515" s="0" t="n">
        <f aca="false">RawFinancials!B515</f>
        <v>3132203</v>
      </c>
      <c r="G515" s="0" t="n">
        <f aca="false">RawFinancials!U515</f>
        <v>0</v>
      </c>
      <c r="H515" s="0" t="n">
        <f aca="false">RawFinancials!O515</f>
        <v>28260</v>
      </c>
      <c r="I515" s="0" t="n">
        <f aca="false">IF(AND(ISNUMBER(G515),ISNUMBER(H515)),G515+H515,"")</f>
        <v>28260</v>
      </c>
      <c r="J515" s="0" t="n">
        <f aca="false">RawFinancials!D515</f>
        <v>2362286</v>
      </c>
      <c r="K515" s="0" t="n">
        <f aca="false">RawFinancials!F515</f>
        <v>376634</v>
      </c>
      <c r="L515" s="0" t="n">
        <f aca="false">RawFinancials!L515</f>
        <v>2761157</v>
      </c>
      <c r="M515" s="0" t="n">
        <f aca="false">RawFinancials!N515</f>
        <v>2127514</v>
      </c>
      <c r="N515" s="13" t="n">
        <f aca="false">RawFinancials!X515</f>
        <v>1.9118906936064</v>
      </c>
      <c r="O515" s="13" t="n">
        <f aca="false">RawFinancials!V515</f>
        <v>14.822901584382</v>
      </c>
      <c r="P515" s="13" t="n">
        <f aca="false">IF(AND(ISNUMBER(L515),L515&lt;&gt;0,ISNUMBER(M515)),100*M515/L515,"")</f>
        <v>77.0515403506574</v>
      </c>
      <c r="Q515" s="13" t="n">
        <f aca="false">IF(AND(ISNUMBER(F515),F515&lt;&gt;0,ISNUMBER(K515)),100*K515/F515,"")</f>
        <v>12.024571842885</v>
      </c>
      <c r="R515" s="11" t="b">
        <f aca="false">AND(ISNUMBER(F515),F515&gt;0,ISNUMBER(G515),G515&gt;=0,ISNUMBER(H515),H515&gt;=0)</f>
        <v>1</v>
      </c>
      <c r="S515" s="13" t="n">
        <f aca="false">IF(R515,100*I515/F515,"")</f>
        <v>0.902240372032081</v>
      </c>
      <c r="T515" s="11" t="b">
        <f aca="false">NOT(AND(OR(AND(ISBLANK(RawFinancials!B515),ISBLANK(_RawBaseline!B512)),AND(ISNUMBER(RawFinancials!B515),ISNUMBER(_RawBaseline!B512),RawFinancials!B515=_RawBaseline!B512)),OR(AND(ISBLANK(RawFinancials!U515),ISBLANK(_RawBaseline!U512)),AND(ISNUMBER(RawFinancials!U515),ISNUMBER(_RawBaseline!U512),RawFinancials!U515=_RawBaseline!U512)),OR(AND(ISBLANK(RawFinancials!O515),ISBLANK(_RawBaseline!O512)),AND(ISNUMBER(RawFinancials!O515),ISNUMBER(_RawBaseline!O512),RawFinancials!O515=_RawBaseline!O512))))</f>
        <v>0</v>
      </c>
      <c r="U515" s="13" t="n">
        <f aca="false">IF(AND(D515=WF_START_PERIOD,R515,COUNTIFS($B$5:$B$750,B515,$D$5:$D$750,WF_END_PERIOD,$R$5:$R$750,TRUE())&gt;0),SUMIFS($S$5:$S$750,$B$5:$B$750,B515,$D$5:$D$750,WF_END_PERIOD,$R$5:$R$750,TRUE()),0)</f>
        <v>0.818191994567043</v>
      </c>
      <c r="V515" s="0" t="str">
        <f aca="false">IF(AND(D515=WF_START_PERIOD,COUNTIFS($B$5:$B$750,B515,$D$5:$D$750,WF_END_PERIOD)&gt;0),INDEX($E$5:$E$750,MATCH(B515&amp;"|"&amp;WF_END_PERIOD,$AC$5:$AC$750,0)),"")</f>
        <v>ME</v>
      </c>
      <c r="W515" s="11" t="b">
        <f aca="false">COUNTIFS($B$5:$B$750,B515,$D$5:$D$750,WF_START_PERIOD,$R$5:$R$750,TRUE())&gt;0</f>
        <v>1</v>
      </c>
      <c r="X515" s="11" t="b">
        <f aca="false">COUNTIFS($B$5:$B$750,B515,$D$5:$D$750,WF_END_PERIOD,$R$5:$R$750,TRUE())&gt;0</f>
        <v>1</v>
      </c>
      <c r="Y515" s="0" t="str">
        <f aca="false">IF(AND(D515=WF_END_PERIOD,COUNTIFS($B$5:$B$750,B515,$D$5:$D$750,WF_START_PERIOD)&gt;0),INDEX($E$5:$E$750,MATCH(B515&amp;"|"&amp;WF_START_PERIOD,$AC$5:$AC$750,0)),"")</f>
        <v/>
      </c>
      <c r="Z515" s="0" t="str">
        <f aca="false">IF(AND(D515=WF_END_PERIOD,R515),1+COUNTIFS($D$5:$D$750,WF_END_PERIOD,$E$5:$E$750,E515,$R$5:$R$750,TRUE(),$S$5:$S$750,"&gt;"&amp;S515)+COUNTIFS($D$5:$D$750,WF_END_PERIOD,$E$5:$E$750,E515,$R$5:$R$750,TRUE(),$S$5:$S$750,S515,$B$5:$B$750,"&lt;"&amp;B515),"")</f>
        <v/>
      </c>
      <c r="AA515" s="0" t="str">
        <f aca="false">IF(AND(D515=WF_END_PERIOD,R515,Z515&lt;&gt;1),1+COUNTIFS($D$5:$D$750,WF_END_PERIOD,$R$5:$R$750,TRUE(),$Z$5:$Z$750,"&lt;&gt;1",$S$5:$S$750,"&gt;"&amp;S515)+COUNTIFS($D$5:$D$750,WF_END_PERIOD,$R$5:$R$750,TRUE(),$Z$5:$Z$750,"&lt;&gt;1",$S$5:$S$750,S515,$B$5:$B$750,"&lt;"&amp;B515),"")</f>
        <v/>
      </c>
      <c r="AB515" s="11" t="b">
        <f aca="false">OR(D515=WF_START_PERIOD,D515=WF_END_PERIOD)</f>
        <v>1</v>
      </c>
      <c r="AC515" s="0" t="str">
        <f aca="false">B515&amp;"|"&amp;D515</f>
        <v>19690|20240630</v>
      </c>
    </row>
    <row r="516" customFormat="false" ht="15" hidden="false" customHeight="false" outlineLevel="0" collapsed="false">
      <c r="A516" s="0" t="n">
        <f aca="false">RawFinancials!A516</f>
        <v>513</v>
      </c>
      <c r="B516" s="0" t="n">
        <f aca="false">RawFinancials!C516</f>
        <v>19836</v>
      </c>
      <c r="C516" s="0" t="str">
        <f aca="false">RawFinancials!P516</f>
        <v>FRANKLIN SAVINGS BANK</v>
      </c>
      <c r="D516" s="0" t="n">
        <f aca="false">RawFinancials!W516</f>
        <v>20240630</v>
      </c>
      <c r="E516" s="0" t="str">
        <f aca="false">RawFinancials!Z516</f>
        <v>ME</v>
      </c>
      <c r="F516" s="0" t="n">
        <f aca="false">RawFinancials!B516</f>
        <v>693631</v>
      </c>
      <c r="G516" s="0" t="n">
        <f aca="false">RawFinancials!U516</f>
        <v>539</v>
      </c>
      <c r="H516" s="0" t="n">
        <f aca="false">RawFinancials!O516</f>
        <v>5114</v>
      </c>
      <c r="I516" s="0" t="n">
        <f aca="false">IF(AND(ISNUMBER(G516),ISNUMBER(H516)),G516+H516,"")</f>
        <v>5653</v>
      </c>
      <c r="J516" s="0" t="n">
        <f aca="false">RawFinancials!D516</f>
        <v>494603</v>
      </c>
      <c r="K516" s="0" t="n">
        <f aca="false">RawFinancials!F516</f>
        <v>122241</v>
      </c>
      <c r="L516" s="0" t="n">
        <f aca="false">RawFinancials!L516</f>
        <v>583028</v>
      </c>
      <c r="M516" s="0" t="n">
        <f aca="false">RawFinancials!N516</f>
        <v>520353</v>
      </c>
      <c r="N516" s="13" t="n">
        <f aca="false">RawFinancials!X516</f>
        <v>0.6592636990771</v>
      </c>
      <c r="O516" s="13" t="n">
        <f aca="false">RawFinancials!V516</f>
        <v>24.7547146632848</v>
      </c>
      <c r="P516" s="13" t="n">
        <f aca="false">IF(AND(ISNUMBER(L516),L516&lt;&gt;0,ISNUMBER(M516)),100*M516/L516,"")</f>
        <v>89.250087474358</v>
      </c>
      <c r="Q516" s="13" t="n">
        <f aca="false">IF(AND(ISNUMBER(F516),F516&lt;&gt;0,ISNUMBER(K516)),100*K516/F516,"")</f>
        <v>17.6233472840747</v>
      </c>
      <c r="R516" s="11" t="b">
        <f aca="false">AND(ISNUMBER(F516),F516&gt;0,ISNUMBER(G516),G516&gt;=0,ISNUMBER(H516),H516&gt;=0)</f>
        <v>1</v>
      </c>
      <c r="S516" s="13" t="n">
        <f aca="false">IF(R516,100*I516/F516,"")</f>
        <v>0.814986642753856</v>
      </c>
      <c r="T516" s="11" t="b">
        <f aca="false">NOT(AND(OR(AND(ISBLANK(RawFinancials!B516),ISBLANK(_RawBaseline!B513)),AND(ISNUMBER(RawFinancials!B516),ISNUMBER(_RawBaseline!B513),RawFinancials!B516=_RawBaseline!B513)),OR(AND(ISBLANK(RawFinancials!U516),ISBLANK(_RawBaseline!U513)),AND(ISNUMBER(RawFinancials!U516),ISNUMBER(_RawBaseline!U513),RawFinancials!U516=_RawBaseline!U513)),OR(AND(ISBLANK(RawFinancials!O516),ISBLANK(_RawBaseline!O513)),AND(ISNUMBER(RawFinancials!O516),ISNUMBER(_RawBaseline!O513),RawFinancials!O516=_RawBaseline!O513))))</f>
        <v>0</v>
      </c>
      <c r="U516" s="13" t="n">
        <f aca="false">IF(AND(D516=WF_START_PERIOD,R516,COUNTIFS($B$5:$B$750,B516,$D$5:$D$750,WF_END_PERIOD,$R$5:$R$750,TRUE())&gt;0),SUMIFS($S$5:$S$750,$B$5:$B$750,B516,$D$5:$D$750,WF_END_PERIOD,$R$5:$R$750,TRUE()),0)</f>
        <v>1.11522194532208</v>
      </c>
      <c r="V516" s="0" t="str">
        <f aca="false">IF(AND(D516=WF_START_PERIOD,COUNTIFS($B$5:$B$750,B516,$D$5:$D$750,WF_END_PERIOD)&gt;0),INDEX($E$5:$E$750,MATCH(B516&amp;"|"&amp;WF_END_PERIOD,$AC$5:$AC$750,0)),"")</f>
        <v>ME</v>
      </c>
      <c r="W516" s="11" t="b">
        <f aca="false">COUNTIFS($B$5:$B$750,B516,$D$5:$D$750,WF_START_PERIOD,$R$5:$R$750,TRUE())&gt;0</f>
        <v>1</v>
      </c>
      <c r="X516" s="11" t="b">
        <f aca="false">COUNTIFS($B$5:$B$750,B516,$D$5:$D$750,WF_END_PERIOD,$R$5:$R$750,TRUE())&gt;0</f>
        <v>1</v>
      </c>
      <c r="Y516" s="0" t="str">
        <f aca="false">IF(AND(D516=WF_END_PERIOD,COUNTIFS($B$5:$B$750,B516,$D$5:$D$750,WF_START_PERIOD)&gt;0),INDEX($E$5:$E$750,MATCH(B516&amp;"|"&amp;WF_START_PERIOD,$AC$5:$AC$750,0)),"")</f>
        <v/>
      </c>
      <c r="Z516" s="0" t="str">
        <f aca="false">IF(AND(D516=WF_END_PERIOD,R516),1+COUNTIFS($D$5:$D$750,WF_END_PERIOD,$E$5:$E$750,E516,$R$5:$R$750,TRUE(),$S$5:$S$750,"&gt;"&amp;S516)+COUNTIFS($D$5:$D$750,WF_END_PERIOD,$E$5:$E$750,E516,$R$5:$R$750,TRUE(),$S$5:$S$750,S516,$B$5:$B$750,"&lt;"&amp;B516),"")</f>
        <v/>
      </c>
      <c r="AA516" s="0" t="str">
        <f aca="false">IF(AND(D516=WF_END_PERIOD,R516,Z516&lt;&gt;1),1+COUNTIFS($D$5:$D$750,WF_END_PERIOD,$R$5:$R$750,TRUE(),$Z$5:$Z$750,"&lt;&gt;1",$S$5:$S$750,"&gt;"&amp;S516)+COUNTIFS($D$5:$D$750,WF_END_PERIOD,$R$5:$R$750,TRUE(),$Z$5:$Z$750,"&lt;&gt;1",$S$5:$S$750,S516,$B$5:$B$750,"&lt;"&amp;B516),"")</f>
        <v/>
      </c>
      <c r="AB516" s="11" t="b">
        <f aca="false">OR(D516=WF_START_PERIOD,D516=WF_END_PERIOD)</f>
        <v>1</v>
      </c>
      <c r="AC516" s="0" t="str">
        <f aca="false">B516&amp;"|"&amp;D516</f>
        <v>19836|20240630</v>
      </c>
    </row>
    <row r="517" customFormat="false" ht="15" hidden="false" customHeight="false" outlineLevel="0" collapsed="false">
      <c r="A517" s="0" t="n">
        <f aca="false">RawFinancials!A517</f>
        <v>514</v>
      </c>
      <c r="B517" s="0" t="n">
        <f aca="false">RawFinancials!C517</f>
        <v>24540</v>
      </c>
      <c r="C517" s="0" t="str">
        <f aca="false">RawFinancials!P517</f>
        <v>BANK OF NEW ENGLAND</v>
      </c>
      <c r="D517" s="0" t="n">
        <f aca="false">RawFinancials!W517</f>
        <v>20240630</v>
      </c>
      <c r="E517" s="0" t="str">
        <f aca="false">RawFinancials!Z517</f>
        <v>NH</v>
      </c>
      <c r="F517" s="0" t="n">
        <f aca="false">RawFinancials!B517</f>
        <v>1450962</v>
      </c>
      <c r="G517" s="0" t="n">
        <f aca="false">RawFinancials!U517</f>
        <v>0</v>
      </c>
      <c r="H517" s="0" t="n">
        <f aca="false">RawFinancials!O517</f>
        <v>30086</v>
      </c>
      <c r="I517" s="0" t="n">
        <f aca="false">IF(AND(ISNUMBER(G517),ISNUMBER(H517)),G517+H517,"")</f>
        <v>30086</v>
      </c>
      <c r="J517" s="0" t="n">
        <f aca="false">RawFinancials!D517</f>
        <v>1167579</v>
      </c>
      <c r="K517" s="0" t="n">
        <f aca="false">RawFinancials!F517</f>
        <v>259158</v>
      </c>
      <c r="L517" s="0" t="n">
        <f aca="false">RawFinancials!L517</f>
        <v>1284005</v>
      </c>
      <c r="M517" s="0" t="n">
        <f aca="false">RawFinancials!N517</f>
        <v>1244382</v>
      </c>
      <c r="N517" s="13" t="n">
        <f aca="false">RawFinancials!X517</f>
        <v>1.93262033990791</v>
      </c>
      <c r="O517" s="13" t="n">
        <f aca="false">RawFinancials!V517</f>
        <v>18.6244989044056</v>
      </c>
      <c r="P517" s="13" t="n">
        <f aca="false">IF(AND(ISNUMBER(L517),L517&lt;&gt;0,ISNUMBER(M517)),100*M517/L517,"")</f>
        <v>96.9141085899198</v>
      </c>
      <c r="Q517" s="13" t="n">
        <f aca="false">IF(AND(ISNUMBER(F517),F517&lt;&gt;0,ISNUMBER(K517)),100*K517/F517,"")</f>
        <v>17.8611155908976</v>
      </c>
      <c r="R517" s="11" t="b">
        <f aca="false">AND(ISNUMBER(F517),F517&gt;0,ISNUMBER(G517),G517&gt;=0,ISNUMBER(H517),H517&gt;=0)</f>
        <v>1</v>
      </c>
      <c r="S517" s="13" t="n">
        <f aca="false">IF(R517,100*I517/F517,"")</f>
        <v>2.07352087787275</v>
      </c>
      <c r="T517" s="11" t="b">
        <f aca="false">NOT(AND(OR(AND(ISBLANK(RawFinancials!B517),ISBLANK(_RawBaseline!B514)),AND(ISNUMBER(RawFinancials!B517),ISNUMBER(_RawBaseline!B514),RawFinancials!B517=_RawBaseline!B514)),OR(AND(ISBLANK(RawFinancials!U517),ISBLANK(_RawBaseline!U514)),AND(ISNUMBER(RawFinancials!U517),ISNUMBER(_RawBaseline!U514),RawFinancials!U517=_RawBaseline!U514)),OR(AND(ISBLANK(RawFinancials!O517),ISBLANK(_RawBaseline!O514)),AND(ISNUMBER(RawFinancials!O517),ISNUMBER(_RawBaseline!O514),RawFinancials!O517=_RawBaseline!O514))))</f>
        <v>0</v>
      </c>
      <c r="U517" s="13" t="n">
        <f aca="false">IF(AND(D517=WF_START_PERIOD,R517,COUNTIFS($B$5:$B$750,B517,$D$5:$D$750,WF_END_PERIOD,$R$5:$R$750,TRUE())&gt;0),SUMIFS($S$5:$S$750,$B$5:$B$750,B517,$D$5:$D$750,WF_END_PERIOD,$R$5:$R$750,TRUE()),0)</f>
        <v>0.653351802264999</v>
      </c>
      <c r="V517" s="0" t="str">
        <f aca="false">IF(AND(D517=WF_START_PERIOD,COUNTIFS($B$5:$B$750,B517,$D$5:$D$750,WF_END_PERIOD)&gt;0),INDEX($E$5:$E$750,MATCH(B517&amp;"|"&amp;WF_END_PERIOD,$AC$5:$AC$750,0)),"")</f>
        <v>NH</v>
      </c>
      <c r="W517" s="11" t="b">
        <f aca="false">COUNTIFS($B$5:$B$750,B517,$D$5:$D$750,WF_START_PERIOD,$R$5:$R$750,TRUE())&gt;0</f>
        <v>1</v>
      </c>
      <c r="X517" s="11" t="b">
        <f aca="false">COUNTIFS($B$5:$B$750,B517,$D$5:$D$750,WF_END_PERIOD,$R$5:$R$750,TRUE())&gt;0</f>
        <v>1</v>
      </c>
      <c r="Y517" s="0" t="str">
        <f aca="false">IF(AND(D517=WF_END_PERIOD,COUNTIFS($B$5:$B$750,B517,$D$5:$D$750,WF_START_PERIOD)&gt;0),INDEX($E$5:$E$750,MATCH(B517&amp;"|"&amp;WF_START_PERIOD,$AC$5:$AC$750,0)),"")</f>
        <v/>
      </c>
      <c r="Z517" s="0" t="str">
        <f aca="false">IF(AND(D517=WF_END_PERIOD,R517),1+COUNTIFS($D$5:$D$750,WF_END_PERIOD,$E$5:$E$750,E517,$R$5:$R$750,TRUE(),$S$5:$S$750,"&gt;"&amp;S517)+COUNTIFS($D$5:$D$750,WF_END_PERIOD,$E$5:$E$750,E517,$R$5:$R$750,TRUE(),$S$5:$S$750,S517,$B$5:$B$750,"&lt;"&amp;B517),"")</f>
        <v/>
      </c>
      <c r="AA517" s="0" t="str">
        <f aca="false">IF(AND(D517=WF_END_PERIOD,R517,Z517&lt;&gt;1),1+COUNTIFS($D$5:$D$750,WF_END_PERIOD,$R$5:$R$750,TRUE(),$Z$5:$Z$750,"&lt;&gt;1",$S$5:$S$750,"&gt;"&amp;S517)+COUNTIFS($D$5:$D$750,WF_END_PERIOD,$R$5:$R$750,TRUE(),$Z$5:$Z$750,"&lt;&gt;1",$S$5:$S$750,S517,$B$5:$B$750,"&lt;"&amp;B517),"")</f>
        <v/>
      </c>
      <c r="AB517" s="11" t="b">
        <f aca="false">OR(D517=WF_START_PERIOD,D517=WF_END_PERIOD)</f>
        <v>1</v>
      </c>
      <c r="AC517" s="0" t="str">
        <f aca="false">B517&amp;"|"&amp;D517</f>
        <v>24540|20240630</v>
      </c>
    </row>
    <row r="518" customFormat="false" ht="15" hidden="false" customHeight="false" outlineLevel="0" collapsed="false">
      <c r="A518" s="0" t="n">
        <f aca="false">RawFinancials!A518</f>
        <v>515</v>
      </c>
      <c r="B518" s="0" t="n">
        <f aca="false">RawFinancials!C518</f>
        <v>27824</v>
      </c>
      <c r="C518" s="0" t="str">
        <f aca="false">RawFinancials!P518</f>
        <v>SALEM CO-OPERATIVE BANK</v>
      </c>
      <c r="D518" s="0" t="n">
        <f aca="false">RawFinancials!W518</f>
        <v>20240630</v>
      </c>
      <c r="E518" s="0" t="str">
        <f aca="false">RawFinancials!Z518</f>
        <v>NH</v>
      </c>
      <c r="F518" s="0" t="n">
        <f aca="false">RawFinancials!B518</f>
        <v>557168</v>
      </c>
      <c r="G518" s="0" t="n">
        <f aca="false">RawFinancials!U518</f>
        <v>0</v>
      </c>
      <c r="H518" s="0" t="n">
        <f aca="false">RawFinancials!O518</f>
        <v>1077</v>
      </c>
      <c r="I518" s="0" t="n">
        <f aca="false">IF(AND(ISNUMBER(G518),ISNUMBER(H518)),G518+H518,"")</f>
        <v>1077</v>
      </c>
      <c r="J518" s="0" t="n">
        <f aca="false">RawFinancials!D518</f>
        <v>362991</v>
      </c>
      <c r="K518" s="0" t="n">
        <f aca="false">RawFinancials!F518</f>
        <v>64563</v>
      </c>
      <c r="L518" s="0" t="n">
        <f aca="false">RawFinancials!L518</f>
        <v>460555</v>
      </c>
      <c r="M518" s="0" t="n">
        <f aca="false">RawFinancials!N518</f>
        <v>398633</v>
      </c>
      <c r="N518" s="13" t="n">
        <f aca="false">RawFinancials!X518</f>
        <v>-0.374023312411938</v>
      </c>
      <c r="O518" s="13" t="n">
        <f aca="false">RawFinancials!V518</f>
        <v>20.3577838503214</v>
      </c>
      <c r="P518" s="13" t="n">
        <f aca="false">IF(AND(ISNUMBER(L518),L518&lt;&gt;0,ISNUMBER(M518)),100*M518/L518,"")</f>
        <v>86.5549174365711</v>
      </c>
      <c r="Q518" s="13" t="n">
        <f aca="false">IF(AND(ISNUMBER(F518),F518&lt;&gt;0,ISNUMBER(K518)),100*K518/F518,"")</f>
        <v>11.5877078367745</v>
      </c>
      <c r="R518" s="11" t="b">
        <f aca="false">AND(ISNUMBER(F518),F518&gt;0,ISNUMBER(G518),G518&gt;=0,ISNUMBER(H518),H518&gt;=0)</f>
        <v>1</v>
      </c>
      <c r="S518" s="13" t="n">
        <f aca="false">IF(R518,100*I518/F518,"")</f>
        <v>0.193298969072165</v>
      </c>
      <c r="T518" s="11" t="b">
        <f aca="false">NOT(AND(OR(AND(ISBLANK(RawFinancials!B518),ISBLANK(_RawBaseline!B515)),AND(ISNUMBER(RawFinancials!B518),ISNUMBER(_RawBaseline!B515),RawFinancials!B518=_RawBaseline!B515)),OR(AND(ISBLANK(RawFinancials!U518),ISBLANK(_RawBaseline!U515)),AND(ISNUMBER(RawFinancials!U518),ISNUMBER(_RawBaseline!U515),RawFinancials!U518=_RawBaseline!U515)),OR(AND(ISBLANK(RawFinancials!O518),ISBLANK(_RawBaseline!O515)),AND(ISNUMBER(RawFinancials!O518),ISNUMBER(_RawBaseline!O515),RawFinancials!O518=_RawBaseline!O515))))</f>
        <v>0</v>
      </c>
      <c r="U518" s="13" t="n">
        <f aca="false">IF(AND(D518=WF_START_PERIOD,R518,COUNTIFS($B$5:$B$750,B518,$D$5:$D$750,WF_END_PERIOD,$R$5:$R$750,TRUE())&gt;0),SUMIFS($S$5:$S$750,$B$5:$B$750,B518,$D$5:$D$750,WF_END_PERIOD,$R$5:$R$750,TRUE()),0)</f>
        <v>0.357561444940086</v>
      </c>
      <c r="V518" s="0" t="str">
        <f aca="false">IF(AND(D518=WF_START_PERIOD,COUNTIFS($B$5:$B$750,B518,$D$5:$D$750,WF_END_PERIOD)&gt;0),INDEX($E$5:$E$750,MATCH(B518&amp;"|"&amp;WF_END_PERIOD,$AC$5:$AC$750,0)),"")</f>
        <v>NH</v>
      </c>
      <c r="W518" s="11" t="b">
        <f aca="false">COUNTIFS($B$5:$B$750,B518,$D$5:$D$750,WF_START_PERIOD,$R$5:$R$750,TRUE())&gt;0</f>
        <v>1</v>
      </c>
      <c r="X518" s="11" t="b">
        <f aca="false">COUNTIFS($B$5:$B$750,B518,$D$5:$D$750,WF_END_PERIOD,$R$5:$R$750,TRUE())&gt;0</f>
        <v>1</v>
      </c>
      <c r="Y518" s="0" t="str">
        <f aca="false">IF(AND(D518=WF_END_PERIOD,COUNTIFS($B$5:$B$750,B518,$D$5:$D$750,WF_START_PERIOD)&gt;0),INDEX($E$5:$E$750,MATCH(B518&amp;"|"&amp;WF_START_PERIOD,$AC$5:$AC$750,0)),"")</f>
        <v/>
      </c>
      <c r="Z518" s="0" t="str">
        <f aca="false">IF(AND(D518=WF_END_PERIOD,R518),1+COUNTIFS($D$5:$D$750,WF_END_PERIOD,$E$5:$E$750,E518,$R$5:$R$750,TRUE(),$S$5:$S$750,"&gt;"&amp;S518)+COUNTIFS($D$5:$D$750,WF_END_PERIOD,$E$5:$E$750,E518,$R$5:$R$750,TRUE(),$S$5:$S$750,S518,$B$5:$B$750,"&lt;"&amp;B518),"")</f>
        <v/>
      </c>
      <c r="AA518" s="0" t="str">
        <f aca="false">IF(AND(D518=WF_END_PERIOD,R518,Z518&lt;&gt;1),1+COUNTIFS($D$5:$D$750,WF_END_PERIOD,$R$5:$R$750,TRUE(),$Z$5:$Z$750,"&lt;&gt;1",$S$5:$S$750,"&gt;"&amp;S518)+COUNTIFS($D$5:$D$750,WF_END_PERIOD,$R$5:$R$750,TRUE(),$Z$5:$Z$750,"&lt;&gt;1",$S$5:$S$750,S518,$B$5:$B$750,"&lt;"&amp;B518),"")</f>
        <v/>
      </c>
      <c r="AB518" s="11" t="b">
        <f aca="false">OR(D518=WF_START_PERIOD,D518=WF_END_PERIOD)</f>
        <v>1</v>
      </c>
      <c r="AC518" s="0" t="str">
        <f aca="false">B518&amp;"|"&amp;D518</f>
        <v>27824|20240630</v>
      </c>
    </row>
    <row r="519" customFormat="false" ht="15" hidden="false" customHeight="false" outlineLevel="0" collapsed="false">
      <c r="A519" s="0" t="n">
        <f aca="false">RawFinancials!A519</f>
        <v>516</v>
      </c>
      <c r="B519" s="0" t="n">
        <f aca="false">RawFinancials!C519</f>
        <v>28155</v>
      </c>
      <c r="C519" s="0" t="str">
        <f aca="false">RawFinancials!P519</f>
        <v>PROFILE BANK</v>
      </c>
      <c r="D519" s="0" t="n">
        <f aca="false">RawFinancials!W519</f>
        <v>20240630</v>
      </c>
      <c r="E519" s="0" t="str">
        <f aca="false">RawFinancials!Z519</f>
        <v>NH</v>
      </c>
      <c r="F519" s="0" t="n">
        <f aca="false">RawFinancials!B519</f>
        <v>302055</v>
      </c>
      <c r="G519" s="0" t="n">
        <f aca="false">RawFinancials!U519</f>
        <v>0</v>
      </c>
      <c r="H519" s="0" t="n">
        <f aca="false">RawFinancials!O519</f>
        <v>0</v>
      </c>
      <c r="I519" s="0" t="n">
        <f aca="false">IF(AND(ISNUMBER(G519),ISNUMBER(H519)),G519+H519,"")</f>
        <v>0</v>
      </c>
      <c r="J519" s="0" t="n">
        <f aca="false">RawFinancials!D519</f>
        <v>259692</v>
      </c>
      <c r="K519" s="0" t="n">
        <f aca="false">RawFinancials!F519</f>
        <v>27301</v>
      </c>
      <c r="L519" s="0" t="n">
        <f aca="false">RawFinancials!L519</f>
        <v>173251</v>
      </c>
      <c r="M519" s="0" t="n">
        <f aca="false">RawFinancials!N519</f>
        <v>155404</v>
      </c>
      <c r="N519" s="13" t="n">
        <f aca="false">RawFinancials!X519</f>
        <v>-0.0547019798336482</v>
      </c>
      <c r="O519" s="13" t="n">
        <f aca="false">RawFinancials!V519</f>
        <v>16.9262702346722</v>
      </c>
      <c r="P519" s="13" t="n">
        <f aca="false">IF(AND(ISNUMBER(L519),L519&lt;&gt;0,ISNUMBER(M519)),100*M519/L519,"")</f>
        <v>89.6987607575137</v>
      </c>
      <c r="Q519" s="13" t="n">
        <f aca="false">IF(AND(ISNUMBER(F519),F519&lt;&gt;0,ISNUMBER(K519)),100*K519/F519,"")</f>
        <v>9.03842015526974</v>
      </c>
      <c r="R519" s="11" t="b">
        <f aca="false">AND(ISNUMBER(F519),F519&gt;0,ISNUMBER(G519),G519&gt;=0,ISNUMBER(H519),H519&gt;=0)</f>
        <v>1</v>
      </c>
      <c r="S519" s="13" t="n">
        <f aca="false">IF(R519,100*I519/F519,"")</f>
        <v>0</v>
      </c>
      <c r="T519" s="11" t="b">
        <f aca="false">NOT(AND(OR(AND(ISBLANK(RawFinancials!B519),ISBLANK(_RawBaseline!B516)),AND(ISNUMBER(RawFinancials!B519),ISNUMBER(_RawBaseline!B516),RawFinancials!B519=_RawBaseline!B516)),OR(AND(ISBLANK(RawFinancials!U519),ISBLANK(_RawBaseline!U516)),AND(ISNUMBER(RawFinancials!U519),ISNUMBER(_RawBaseline!U516),RawFinancials!U519=_RawBaseline!U516)),OR(AND(ISBLANK(RawFinancials!O519),ISBLANK(_RawBaseline!O516)),AND(ISNUMBER(RawFinancials!O519),ISNUMBER(_RawBaseline!O516),RawFinancials!O519=_RawBaseline!O516))))</f>
        <v>0</v>
      </c>
      <c r="U519" s="13" t="n">
        <f aca="false">IF(AND(D519=WF_START_PERIOD,R519,COUNTIFS($B$5:$B$750,B519,$D$5:$D$750,WF_END_PERIOD,$R$5:$R$750,TRUE())&gt;0),SUMIFS($S$5:$S$750,$B$5:$B$750,B519,$D$5:$D$750,WF_END_PERIOD,$R$5:$R$750,TRUE()),0)</f>
        <v>0</v>
      </c>
      <c r="V519" s="0" t="str">
        <f aca="false">IF(AND(D519=WF_START_PERIOD,COUNTIFS($B$5:$B$750,B519,$D$5:$D$750,WF_END_PERIOD)&gt;0),INDEX($E$5:$E$750,MATCH(B519&amp;"|"&amp;WF_END_PERIOD,$AC$5:$AC$750,0)),"")</f>
        <v>NH</v>
      </c>
      <c r="W519" s="11" t="b">
        <f aca="false">COUNTIFS($B$5:$B$750,B519,$D$5:$D$750,WF_START_PERIOD,$R$5:$R$750,TRUE())&gt;0</f>
        <v>1</v>
      </c>
      <c r="X519" s="11" t="b">
        <f aca="false">COUNTIFS($B$5:$B$750,B519,$D$5:$D$750,WF_END_PERIOD,$R$5:$R$750,TRUE())&gt;0</f>
        <v>1</v>
      </c>
      <c r="Y519" s="0" t="str">
        <f aca="false">IF(AND(D519=WF_END_PERIOD,COUNTIFS($B$5:$B$750,B519,$D$5:$D$750,WF_START_PERIOD)&gt;0),INDEX($E$5:$E$750,MATCH(B519&amp;"|"&amp;WF_START_PERIOD,$AC$5:$AC$750,0)),"")</f>
        <v/>
      </c>
      <c r="Z519" s="0" t="str">
        <f aca="false">IF(AND(D519=WF_END_PERIOD,R519),1+COUNTIFS($D$5:$D$750,WF_END_PERIOD,$E$5:$E$750,E519,$R$5:$R$750,TRUE(),$S$5:$S$750,"&gt;"&amp;S519)+COUNTIFS($D$5:$D$750,WF_END_PERIOD,$E$5:$E$750,E519,$R$5:$R$750,TRUE(),$S$5:$S$750,S519,$B$5:$B$750,"&lt;"&amp;B519),"")</f>
        <v/>
      </c>
      <c r="AA519" s="0" t="str">
        <f aca="false">IF(AND(D519=WF_END_PERIOD,R519,Z519&lt;&gt;1),1+COUNTIFS($D$5:$D$750,WF_END_PERIOD,$R$5:$R$750,TRUE(),$Z$5:$Z$750,"&lt;&gt;1",$S$5:$S$750,"&gt;"&amp;S519)+COUNTIFS($D$5:$D$750,WF_END_PERIOD,$R$5:$R$750,TRUE(),$Z$5:$Z$750,"&lt;&gt;1",$S$5:$S$750,S519,$B$5:$B$750,"&lt;"&amp;B519),"")</f>
        <v/>
      </c>
      <c r="AB519" s="11" t="b">
        <f aca="false">OR(D519=WF_START_PERIOD,D519=WF_END_PERIOD)</f>
        <v>1</v>
      </c>
      <c r="AC519" s="0" t="str">
        <f aca="false">B519&amp;"|"&amp;D519</f>
        <v>28155|20240630</v>
      </c>
    </row>
    <row r="520" customFormat="false" ht="15" hidden="false" customHeight="false" outlineLevel="0" collapsed="false">
      <c r="A520" s="0" t="n">
        <f aca="false">RawFinancials!A520</f>
        <v>517</v>
      </c>
      <c r="B520" s="0" t="n">
        <f aca="false">RawFinancials!C520</f>
        <v>28288</v>
      </c>
      <c r="C520" s="0" t="str">
        <f aca="false">RawFinancials!P520</f>
        <v>AUBURN SAVINGS BANK, FSB</v>
      </c>
      <c r="D520" s="0" t="n">
        <f aca="false">RawFinancials!W520</f>
        <v>20240630</v>
      </c>
      <c r="E520" s="0" t="str">
        <f aca="false">RawFinancials!Z520</f>
        <v>ME</v>
      </c>
      <c r="F520" s="0" t="n">
        <f aca="false">RawFinancials!B520</f>
        <v>102466</v>
      </c>
      <c r="G520" s="0" t="n">
        <f aca="false">RawFinancials!U520</f>
        <v>0</v>
      </c>
      <c r="H520" s="0" t="n">
        <f aca="false">RawFinancials!O520</f>
        <v>251</v>
      </c>
      <c r="I520" s="0" t="n">
        <f aca="false">IF(AND(ISNUMBER(G520),ISNUMBER(H520)),G520+H520,"")</f>
        <v>251</v>
      </c>
      <c r="J520" s="0" t="n">
        <f aca="false">RawFinancials!D520</f>
        <v>74553</v>
      </c>
      <c r="K520" s="0" t="n">
        <f aca="false">RawFinancials!F520</f>
        <v>5947</v>
      </c>
      <c r="L520" s="0" t="n">
        <f aca="false">RawFinancials!L520</f>
        <v>82144</v>
      </c>
      <c r="M520" s="0" t="n">
        <f aca="false">RawFinancials!N520</f>
        <v>74830</v>
      </c>
      <c r="N520" s="13" t="n">
        <f aca="false">RawFinancials!X520</f>
        <v>0.104067296851964</v>
      </c>
      <c r="O520" s="13" t="n">
        <f aca="false">RawFinancials!V520</f>
        <v>13.1640405593165</v>
      </c>
      <c r="P520" s="13" t="n">
        <f aca="false">IF(AND(ISNUMBER(L520),L520&lt;&gt;0,ISNUMBER(M520)),100*M520/L520,"")</f>
        <v>91.0961238800156</v>
      </c>
      <c r="Q520" s="13" t="n">
        <f aca="false">IF(AND(ISNUMBER(F520),F520&lt;&gt;0,ISNUMBER(K520)),100*K520/F520,"")</f>
        <v>5.80387640778405</v>
      </c>
      <c r="R520" s="11" t="b">
        <f aca="false">AND(ISNUMBER(F520),F520&gt;0,ISNUMBER(G520),G520&gt;=0,ISNUMBER(H520),H520&gt;=0)</f>
        <v>1</v>
      </c>
      <c r="S520" s="13" t="n">
        <f aca="false">IF(R520,100*I520/F520,"")</f>
        <v>0.244959303573868</v>
      </c>
      <c r="T520" s="11" t="b">
        <f aca="false">NOT(AND(OR(AND(ISBLANK(RawFinancials!B520),ISBLANK(_RawBaseline!B517)),AND(ISNUMBER(RawFinancials!B520),ISNUMBER(_RawBaseline!B517),RawFinancials!B520=_RawBaseline!B517)),OR(AND(ISBLANK(RawFinancials!U520),ISBLANK(_RawBaseline!U517)),AND(ISNUMBER(RawFinancials!U520),ISNUMBER(_RawBaseline!U517),RawFinancials!U520=_RawBaseline!U517)),OR(AND(ISBLANK(RawFinancials!O520),ISBLANK(_RawBaseline!O517)),AND(ISNUMBER(RawFinancials!O520),ISNUMBER(_RawBaseline!O517),RawFinancials!O520=_RawBaseline!O517))))</f>
        <v>0</v>
      </c>
      <c r="U520" s="13" t="n">
        <f aca="false">IF(AND(D520=WF_START_PERIOD,R520,COUNTIFS($B$5:$B$750,B520,$D$5:$D$750,WF_END_PERIOD,$R$5:$R$750,TRUE())&gt;0),SUMIFS($S$5:$S$750,$B$5:$B$750,B520,$D$5:$D$750,WF_END_PERIOD,$R$5:$R$750,TRUE()),0)</f>
        <v>0.0963681848711684</v>
      </c>
      <c r="V520" s="0" t="str">
        <f aca="false">IF(AND(D520=WF_START_PERIOD,COUNTIFS($B$5:$B$750,B520,$D$5:$D$750,WF_END_PERIOD)&gt;0),INDEX($E$5:$E$750,MATCH(B520&amp;"|"&amp;WF_END_PERIOD,$AC$5:$AC$750,0)),"")</f>
        <v>ME</v>
      </c>
      <c r="W520" s="11" t="b">
        <f aca="false">COUNTIFS($B$5:$B$750,B520,$D$5:$D$750,WF_START_PERIOD,$R$5:$R$750,TRUE())&gt;0</f>
        <v>1</v>
      </c>
      <c r="X520" s="11" t="b">
        <f aca="false">COUNTIFS($B$5:$B$750,B520,$D$5:$D$750,WF_END_PERIOD,$R$5:$R$750,TRUE())&gt;0</f>
        <v>1</v>
      </c>
      <c r="Y520" s="0" t="str">
        <f aca="false">IF(AND(D520=WF_END_PERIOD,COUNTIFS($B$5:$B$750,B520,$D$5:$D$750,WF_START_PERIOD)&gt;0),INDEX($E$5:$E$750,MATCH(B520&amp;"|"&amp;WF_START_PERIOD,$AC$5:$AC$750,0)),"")</f>
        <v/>
      </c>
      <c r="Z520" s="0" t="str">
        <f aca="false">IF(AND(D520=WF_END_PERIOD,R520),1+COUNTIFS($D$5:$D$750,WF_END_PERIOD,$E$5:$E$750,E520,$R$5:$R$750,TRUE(),$S$5:$S$750,"&gt;"&amp;S520)+COUNTIFS($D$5:$D$750,WF_END_PERIOD,$E$5:$E$750,E520,$R$5:$R$750,TRUE(),$S$5:$S$750,S520,$B$5:$B$750,"&lt;"&amp;B520),"")</f>
        <v/>
      </c>
      <c r="AA520" s="0" t="str">
        <f aca="false">IF(AND(D520=WF_END_PERIOD,R520,Z520&lt;&gt;1),1+COUNTIFS($D$5:$D$750,WF_END_PERIOD,$R$5:$R$750,TRUE(),$Z$5:$Z$750,"&lt;&gt;1",$S$5:$S$750,"&gt;"&amp;S520)+COUNTIFS($D$5:$D$750,WF_END_PERIOD,$R$5:$R$750,TRUE(),$Z$5:$Z$750,"&lt;&gt;1",$S$5:$S$750,S520,$B$5:$B$750,"&lt;"&amp;B520),"")</f>
        <v/>
      </c>
      <c r="AB520" s="11" t="b">
        <f aca="false">OR(D520=WF_START_PERIOD,D520=WF_END_PERIOD)</f>
        <v>1</v>
      </c>
      <c r="AC520" s="0" t="str">
        <f aca="false">B520&amp;"|"&amp;D520</f>
        <v>28288|20240630</v>
      </c>
    </row>
    <row r="521" customFormat="false" ht="15" hidden="false" customHeight="false" outlineLevel="0" collapsed="false">
      <c r="A521" s="0" t="n">
        <f aca="false">RawFinancials!A521</f>
        <v>518</v>
      </c>
      <c r="B521" s="0" t="n">
        <f aca="false">RawFinancials!C521</f>
        <v>28369</v>
      </c>
      <c r="C521" s="0" t="str">
        <f aca="false">RawFinancials!P521</f>
        <v>ROCKLAND SAVINGS BANK, FSB</v>
      </c>
      <c r="D521" s="0" t="n">
        <f aca="false">RawFinancials!W521</f>
        <v>20240630</v>
      </c>
      <c r="E521" s="0" t="str">
        <f aca="false">RawFinancials!Z521</f>
        <v>ME</v>
      </c>
      <c r="F521" s="0" t="n">
        <f aca="false">RawFinancials!B521</f>
        <v>95722</v>
      </c>
      <c r="G521" s="0" t="n">
        <f aca="false">RawFinancials!U521</f>
        <v>0</v>
      </c>
      <c r="H521" s="0" t="n">
        <f aca="false">RawFinancials!O521</f>
        <v>141</v>
      </c>
      <c r="I521" s="0" t="n">
        <f aca="false">IF(AND(ISNUMBER(G521),ISNUMBER(H521)),G521+H521,"")</f>
        <v>141</v>
      </c>
      <c r="J521" s="0" t="n">
        <f aca="false">RawFinancials!D521</f>
        <v>71038</v>
      </c>
      <c r="K521" s="0" t="n">
        <f aca="false">RawFinancials!F521</f>
        <v>9198</v>
      </c>
      <c r="L521" s="0" t="n">
        <f aca="false">RawFinancials!L521</f>
        <v>81829</v>
      </c>
      <c r="M521" s="0" t="n">
        <f aca="false">RawFinancials!N521</f>
        <v>68216</v>
      </c>
      <c r="N521" s="13" t="n">
        <f aca="false">RawFinancials!X521</f>
        <v>-0.320244959302203</v>
      </c>
      <c r="O521" s="13" t="n">
        <f aca="false">RawFinancials!V521</f>
        <v>13.6709423889672</v>
      </c>
      <c r="P521" s="13" t="n">
        <f aca="false">IF(AND(ISNUMBER(L521),L521&lt;&gt;0,ISNUMBER(M521)),100*M521/L521,"")</f>
        <v>83.3640885260727</v>
      </c>
      <c r="Q521" s="13" t="n">
        <f aca="false">IF(AND(ISNUMBER(F521),F521&lt;&gt;0,ISNUMBER(K521)),100*K521/F521,"")</f>
        <v>9.60907628340402</v>
      </c>
      <c r="R521" s="11" t="b">
        <f aca="false">AND(ISNUMBER(F521),F521&gt;0,ISNUMBER(G521),G521&gt;=0,ISNUMBER(H521),H521&gt;=0)</f>
        <v>1</v>
      </c>
      <c r="S521" s="13" t="n">
        <f aca="false">IF(R521,100*I521/F521,"")</f>
        <v>0.147301560769729</v>
      </c>
      <c r="T521" s="11" t="b">
        <f aca="false">NOT(AND(OR(AND(ISBLANK(RawFinancials!B521),ISBLANK(_RawBaseline!B518)),AND(ISNUMBER(RawFinancials!B521),ISNUMBER(_RawBaseline!B518),RawFinancials!B521=_RawBaseline!B518)),OR(AND(ISBLANK(RawFinancials!U521),ISBLANK(_RawBaseline!U518)),AND(ISNUMBER(RawFinancials!U521),ISNUMBER(_RawBaseline!U518),RawFinancials!U521=_RawBaseline!U518)),OR(AND(ISBLANK(RawFinancials!O521),ISBLANK(_RawBaseline!O518)),AND(ISNUMBER(RawFinancials!O521),ISNUMBER(_RawBaseline!O518),RawFinancials!O521=_RawBaseline!O518))))</f>
        <v>0</v>
      </c>
      <c r="U521" s="13" t="n">
        <f aca="false">IF(AND(D521=WF_START_PERIOD,R521,COUNTIFS($B$5:$B$750,B521,$D$5:$D$750,WF_END_PERIOD,$R$5:$R$750,TRUE())&gt;0),SUMIFS($S$5:$S$750,$B$5:$B$750,B521,$D$5:$D$750,WF_END_PERIOD,$R$5:$R$750,TRUE()),0)</f>
        <v>0.0922974553806197</v>
      </c>
      <c r="V521" s="0" t="str">
        <f aca="false">IF(AND(D521=WF_START_PERIOD,COUNTIFS($B$5:$B$750,B521,$D$5:$D$750,WF_END_PERIOD)&gt;0),INDEX($E$5:$E$750,MATCH(B521&amp;"|"&amp;WF_END_PERIOD,$AC$5:$AC$750,0)),"")</f>
        <v>ME</v>
      </c>
      <c r="W521" s="11" t="b">
        <f aca="false">COUNTIFS($B$5:$B$750,B521,$D$5:$D$750,WF_START_PERIOD,$R$5:$R$750,TRUE())&gt;0</f>
        <v>1</v>
      </c>
      <c r="X521" s="11" t="b">
        <f aca="false">COUNTIFS($B$5:$B$750,B521,$D$5:$D$750,WF_END_PERIOD,$R$5:$R$750,TRUE())&gt;0</f>
        <v>1</v>
      </c>
      <c r="Y521" s="0" t="str">
        <f aca="false">IF(AND(D521=WF_END_PERIOD,COUNTIFS($B$5:$B$750,B521,$D$5:$D$750,WF_START_PERIOD)&gt;0),INDEX($E$5:$E$750,MATCH(B521&amp;"|"&amp;WF_START_PERIOD,$AC$5:$AC$750,0)),"")</f>
        <v/>
      </c>
      <c r="Z521" s="0" t="str">
        <f aca="false">IF(AND(D521=WF_END_PERIOD,R521),1+COUNTIFS($D$5:$D$750,WF_END_PERIOD,$E$5:$E$750,E521,$R$5:$R$750,TRUE(),$S$5:$S$750,"&gt;"&amp;S521)+COUNTIFS($D$5:$D$750,WF_END_PERIOD,$E$5:$E$750,E521,$R$5:$R$750,TRUE(),$S$5:$S$750,S521,$B$5:$B$750,"&lt;"&amp;B521),"")</f>
        <v/>
      </c>
      <c r="AA521" s="0" t="str">
        <f aca="false">IF(AND(D521=WF_END_PERIOD,R521,Z521&lt;&gt;1),1+COUNTIFS($D$5:$D$750,WF_END_PERIOD,$R$5:$R$750,TRUE(),$Z$5:$Z$750,"&lt;&gt;1",$S$5:$S$750,"&gt;"&amp;S521)+COUNTIFS($D$5:$D$750,WF_END_PERIOD,$R$5:$R$750,TRUE(),$Z$5:$Z$750,"&lt;&gt;1",$S$5:$S$750,S521,$B$5:$B$750,"&lt;"&amp;B521),"")</f>
        <v/>
      </c>
      <c r="AB521" s="11" t="b">
        <f aca="false">OR(D521=WF_START_PERIOD,D521=WF_END_PERIOD)</f>
        <v>1</v>
      </c>
      <c r="AC521" s="0" t="str">
        <f aca="false">B521&amp;"|"&amp;D521</f>
        <v>28369|20240630</v>
      </c>
    </row>
    <row r="522" customFormat="false" ht="15" hidden="false" customHeight="false" outlineLevel="0" collapsed="false">
      <c r="A522" s="0" t="n">
        <f aca="false">RawFinancials!A522</f>
        <v>519</v>
      </c>
      <c r="B522" s="0" t="n">
        <f aca="false">RawFinancials!C522</f>
        <v>28837</v>
      </c>
      <c r="C522" s="0" t="str">
        <f aca="false">RawFinancials!P522</f>
        <v>THE BRATTLEBORO SAVINGS AND LOAN ASSOCIATION</v>
      </c>
      <c r="D522" s="0" t="n">
        <f aca="false">RawFinancials!W522</f>
        <v>20240630</v>
      </c>
      <c r="E522" s="0" t="str">
        <f aca="false">RawFinancials!Z522</f>
        <v>VT</v>
      </c>
      <c r="F522" s="0" t="n">
        <f aca="false">RawFinancials!B522</f>
        <v>285118</v>
      </c>
      <c r="G522" s="0" t="n">
        <f aca="false">RawFinancials!U522</f>
        <v>0</v>
      </c>
      <c r="H522" s="0" t="n">
        <f aca="false">RawFinancials!O522</f>
        <v>155</v>
      </c>
      <c r="I522" s="0" t="n">
        <f aca="false">IF(AND(ISNUMBER(G522),ISNUMBER(H522)),G522+H522,"")</f>
        <v>155</v>
      </c>
      <c r="J522" s="0" t="n">
        <f aca="false">RawFinancials!D522</f>
        <v>254557</v>
      </c>
      <c r="K522" s="0" t="n">
        <f aca="false">RawFinancials!F522</f>
        <v>27060</v>
      </c>
      <c r="L522" s="0" t="n">
        <f aca="false">RawFinancials!L522</f>
        <v>202274</v>
      </c>
      <c r="M522" s="0" t="n">
        <f aca="false">RawFinancials!N522</f>
        <v>192922</v>
      </c>
      <c r="N522" s="13" t="n">
        <f aca="false">RawFinancials!X522</f>
        <v>0.716098111079786</v>
      </c>
      <c r="O522" s="13" t="n">
        <f aca="false">RawFinancials!V522</f>
        <v>16.7395381692405</v>
      </c>
      <c r="P522" s="13" t="n">
        <f aca="false">IF(AND(ISNUMBER(L522),L522&lt;&gt;0,ISNUMBER(M522)),100*M522/L522,"")</f>
        <v>95.3765684170976</v>
      </c>
      <c r="Q522" s="13" t="n">
        <f aca="false">IF(AND(ISNUMBER(F522),F522&lt;&gt;0,ISNUMBER(K522)),100*K522/F522,"")</f>
        <v>9.49080731486613</v>
      </c>
      <c r="R522" s="11" t="b">
        <f aca="false">AND(ISNUMBER(F522),F522&gt;0,ISNUMBER(G522),G522&gt;=0,ISNUMBER(H522),H522&gt;=0)</f>
        <v>1</v>
      </c>
      <c r="S522" s="13" t="n">
        <f aca="false">IF(R522,100*I522/F522,"")</f>
        <v>0.054363456533786</v>
      </c>
      <c r="T522" s="11" t="b">
        <f aca="false">NOT(AND(OR(AND(ISBLANK(RawFinancials!B522),ISBLANK(_RawBaseline!B519)),AND(ISNUMBER(RawFinancials!B522),ISNUMBER(_RawBaseline!B519),RawFinancials!B522=_RawBaseline!B519)),OR(AND(ISBLANK(RawFinancials!U522),ISBLANK(_RawBaseline!U519)),AND(ISNUMBER(RawFinancials!U522),ISNUMBER(_RawBaseline!U519),RawFinancials!U522=_RawBaseline!U519)),OR(AND(ISBLANK(RawFinancials!O522),ISBLANK(_RawBaseline!O519)),AND(ISNUMBER(RawFinancials!O522),ISNUMBER(_RawBaseline!O519),RawFinancials!O522=_RawBaseline!O519))))</f>
        <v>0</v>
      </c>
      <c r="U522" s="13" t="n">
        <f aca="false">IF(AND(D522=WF_START_PERIOD,R522,COUNTIFS($B$5:$B$750,B522,$D$5:$D$750,WF_END_PERIOD,$R$5:$R$750,TRUE())&gt;0),SUMIFS($S$5:$S$750,$B$5:$B$750,B522,$D$5:$D$750,WF_END_PERIOD,$R$5:$R$750,TRUE()),0)</f>
        <v>0.1160861760712</v>
      </c>
      <c r="V522" s="0" t="str">
        <f aca="false">IF(AND(D522=WF_START_PERIOD,COUNTIFS($B$5:$B$750,B522,$D$5:$D$750,WF_END_PERIOD)&gt;0),INDEX($E$5:$E$750,MATCH(B522&amp;"|"&amp;WF_END_PERIOD,$AC$5:$AC$750,0)),"")</f>
        <v>VT</v>
      </c>
      <c r="W522" s="11" t="b">
        <f aca="false">COUNTIFS($B$5:$B$750,B522,$D$5:$D$750,WF_START_PERIOD,$R$5:$R$750,TRUE())&gt;0</f>
        <v>1</v>
      </c>
      <c r="X522" s="11" t="b">
        <f aca="false">COUNTIFS($B$5:$B$750,B522,$D$5:$D$750,WF_END_PERIOD,$R$5:$R$750,TRUE())&gt;0</f>
        <v>1</v>
      </c>
      <c r="Y522" s="0" t="str">
        <f aca="false">IF(AND(D522=WF_END_PERIOD,COUNTIFS($B$5:$B$750,B522,$D$5:$D$750,WF_START_PERIOD)&gt;0),INDEX($E$5:$E$750,MATCH(B522&amp;"|"&amp;WF_START_PERIOD,$AC$5:$AC$750,0)),"")</f>
        <v/>
      </c>
      <c r="Z522" s="0" t="str">
        <f aca="false">IF(AND(D522=WF_END_PERIOD,R522),1+COUNTIFS($D$5:$D$750,WF_END_PERIOD,$E$5:$E$750,E522,$R$5:$R$750,TRUE(),$S$5:$S$750,"&gt;"&amp;S522)+COUNTIFS($D$5:$D$750,WF_END_PERIOD,$E$5:$E$750,E522,$R$5:$R$750,TRUE(),$S$5:$S$750,S522,$B$5:$B$750,"&lt;"&amp;B522),"")</f>
        <v/>
      </c>
      <c r="AA522" s="0" t="str">
        <f aca="false">IF(AND(D522=WF_END_PERIOD,R522,Z522&lt;&gt;1),1+COUNTIFS($D$5:$D$750,WF_END_PERIOD,$R$5:$R$750,TRUE(),$Z$5:$Z$750,"&lt;&gt;1",$S$5:$S$750,"&gt;"&amp;S522)+COUNTIFS($D$5:$D$750,WF_END_PERIOD,$R$5:$R$750,TRUE(),$Z$5:$Z$750,"&lt;&gt;1",$S$5:$S$750,S522,$B$5:$B$750,"&lt;"&amp;B522),"")</f>
        <v/>
      </c>
      <c r="AB522" s="11" t="b">
        <f aca="false">OR(D522=WF_START_PERIOD,D522=WF_END_PERIOD)</f>
        <v>1</v>
      </c>
      <c r="AC522" s="0" t="str">
        <f aca="false">B522&amp;"|"&amp;D522</f>
        <v>28837|20240630</v>
      </c>
    </row>
    <row r="523" customFormat="false" ht="15" hidden="false" customHeight="false" outlineLevel="0" collapsed="false">
      <c r="A523" s="0" t="n">
        <f aca="false">RawFinancials!A523</f>
        <v>520</v>
      </c>
      <c r="B523" s="0" t="n">
        <f aca="false">RawFinancials!C523</f>
        <v>29636</v>
      </c>
      <c r="C523" s="0" t="str">
        <f aca="false">RawFinancials!P523</f>
        <v>FIRST FEDERAL SAVINGS AND LOAN ASSOCIATION OF BATH</v>
      </c>
      <c r="D523" s="0" t="n">
        <f aca="false">RawFinancials!W523</f>
        <v>20240630</v>
      </c>
      <c r="E523" s="0" t="str">
        <f aca="false">RawFinancials!Z523</f>
        <v>ME</v>
      </c>
      <c r="F523" s="0" t="n">
        <f aca="false">RawFinancials!B523</f>
        <v>180255</v>
      </c>
      <c r="G523" s="0" t="n">
        <f aca="false">RawFinancials!U523</f>
        <v>0</v>
      </c>
      <c r="H523" s="0" t="n">
        <f aca="false">RawFinancials!O523</f>
        <v>2731</v>
      </c>
      <c r="I523" s="0" t="n">
        <f aca="false">IF(AND(ISNUMBER(G523),ISNUMBER(H523)),G523+H523,"")</f>
        <v>2731</v>
      </c>
      <c r="J523" s="0" t="n">
        <f aca="false">RawFinancials!D523</f>
        <v>137021</v>
      </c>
      <c r="K523" s="0" t="n">
        <f aca="false">RawFinancials!F523</f>
        <v>26121</v>
      </c>
      <c r="L523" s="0" t="n">
        <f aca="false">RawFinancials!L523</f>
        <v>138577</v>
      </c>
      <c r="M523" s="0" t="n">
        <f aca="false">RawFinancials!N523</f>
        <v>135371</v>
      </c>
      <c r="N523" s="13" t="n">
        <f aca="false">RawFinancials!X523</f>
        <v>0.247766013645732</v>
      </c>
      <c r="O523" s="13" t="n">
        <f aca="false">RawFinancials!V523</f>
        <v>26.8583867787312</v>
      </c>
      <c r="P523" s="13" t="n">
        <f aca="false">IF(AND(ISNUMBER(L523),L523&lt;&gt;0,ISNUMBER(M523)),100*M523/L523,"")</f>
        <v>97.6864847702</v>
      </c>
      <c r="Q523" s="13" t="n">
        <f aca="false">IF(AND(ISNUMBER(F523),F523&lt;&gt;0,ISNUMBER(K523)),100*K523/F523,"")</f>
        <v>14.4911375551302</v>
      </c>
      <c r="R523" s="11" t="b">
        <f aca="false">AND(ISNUMBER(F523),F523&gt;0,ISNUMBER(G523),G523&gt;=0,ISNUMBER(H523),H523&gt;=0)</f>
        <v>1</v>
      </c>
      <c r="S523" s="13" t="n">
        <f aca="false">IF(R523,100*I523/F523,"")</f>
        <v>1.51507586474716</v>
      </c>
      <c r="T523" s="11" t="b">
        <f aca="false">NOT(AND(OR(AND(ISBLANK(RawFinancials!B523),ISBLANK(_RawBaseline!B520)),AND(ISNUMBER(RawFinancials!B523),ISNUMBER(_RawBaseline!B520),RawFinancials!B523=_RawBaseline!B520)),OR(AND(ISBLANK(RawFinancials!U523),ISBLANK(_RawBaseline!U520)),AND(ISNUMBER(RawFinancials!U523),ISNUMBER(_RawBaseline!U520),RawFinancials!U523=_RawBaseline!U520)),OR(AND(ISBLANK(RawFinancials!O523),ISBLANK(_RawBaseline!O520)),AND(ISNUMBER(RawFinancials!O523),ISNUMBER(_RawBaseline!O520),RawFinancials!O523=_RawBaseline!O520))))</f>
        <v>0</v>
      </c>
      <c r="U523" s="13" t="n">
        <f aca="false">IF(AND(D523=WF_START_PERIOD,R523,COUNTIFS($B$5:$B$750,B523,$D$5:$D$750,WF_END_PERIOD,$R$5:$R$750,TRUE())&gt;0),SUMIFS($S$5:$S$750,$B$5:$B$750,B523,$D$5:$D$750,WF_END_PERIOD,$R$5:$R$750,TRUE()),0)</f>
        <v>1.67157937846562</v>
      </c>
      <c r="V523" s="0" t="str">
        <f aca="false">IF(AND(D523=WF_START_PERIOD,COUNTIFS($B$5:$B$750,B523,$D$5:$D$750,WF_END_PERIOD)&gt;0),INDEX($E$5:$E$750,MATCH(B523&amp;"|"&amp;WF_END_PERIOD,$AC$5:$AC$750,0)),"")</f>
        <v>ME</v>
      </c>
      <c r="W523" s="11" t="b">
        <f aca="false">COUNTIFS($B$5:$B$750,B523,$D$5:$D$750,WF_START_PERIOD,$R$5:$R$750,TRUE())&gt;0</f>
        <v>1</v>
      </c>
      <c r="X523" s="11" t="b">
        <f aca="false">COUNTIFS($B$5:$B$750,B523,$D$5:$D$750,WF_END_PERIOD,$R$5:$R$750,TRUE())&gt;0</f>
        <v>1</v>
      </c>
      <c r="Y523" s="0" t="str">
        <f aca="false">IF(AND(D523=WF_END_PERIOD,COUNTIFS($B$5:$B$750,B523,$D$5:$D$750,WF_START_PERIOD)&gt;0),INDEX($E$5:$E$750,MATCH(B523&amp;"|"&amp;WF_START_PERIOD,$AC$5:$AC$750,0)),"")</f>
        <v/>
      </c>
      <c r="Z523" s="0" t="str">
        <f aca="false">IF(AND(D523=WF_END_PERIOD,R523),1+COUNTIFS($D$5:$D$750,WF_END_PERIOD,$E$5:$E$750,E523,$R$5:$R$750,TRUE(),$S$5:$S$750,"&gt;"&amp;S523)+COUNTIFS($D$5:$D$750,WF_END_PERIOD,$E$5:$E$750,E523,$R$5:$R$750,TRUE(),$S$5:$S$750,S523,$B$5:$B$750,"&lt;"&amp;B523),"")</f>
        <v/>
      </c>
      <c r="AA523" s="0" t="str">
        <f aca="false">IF(AND(D523=WF_END_PERIOD,R523,Z523&lt;&gt;1),1+COUNTIFS($D$5:$D$750,WF_END_PERIOD,$R$5:$R$750,TRUE(),$Z$5:$Z$750,"&lt;&gt;1",$S$5:$S$750,"&gt;"&amp;S523)+COUNTIFS($D$5:$D$750,WF_END_PERIOD,$R$5:$R$750,TRUE(),$Z$5:$Z$750,"&lt;&gt;1",$S$5:$S$750,S523,$B$5:$B$750,"&lt;"&amp;B523),"")</f>
        <v/>
      </c>
      <c r="AB523" s="11" t="b">
        <f aca="false">OR(D523=WF_START_PERIOD,D523=WF_END_PERIOD)</f>
        <v>1</v>
      </c>
      <c r="AC523" s="0" t="str">
        <f aca="false">B523&amp;"|"&amp;D523</f>
        <v>29636|20240630</v>
      </c>
    </row>
    <row r="524" customFormat="false" ht="15" hidden="false" customHeight="false" outlineLevel="0" collapsed="false">
      <c r="A524" s="0" t="n">
        <f aca="false">RawFinancials!A524</f>
        <v>521</v>
      </c>
      <c r="B524" s="0" t="n">
        <f aca="false">RawFinancials!C524</f>
        <v>29743</v>
      </c>
      <c r="C524" s="0" t="str">
        <f aca="false">RawFinancials!P524</f>
        <v>AROOSTOOK COUNTY FEDERAL SAVINGS AND LOAN ASSOCIATION</v>
      </c>
      <c r="D524" s="0" t="n">
        <f aca="false">RawFinancials!W524</f>
        <v>20240630</v>
      </c>
      <c r="E524" s="0" t="str">
        <f aca="false">RawFinancials!Z524</f>
        <v>ME</v>
      </c>
      <c r="F524" s="0" t="n">
        <f aca="false">RawFinancials!B524</f>
        <v>189887</v>
      </c>
      <c r="G524" s="0" t="n">
        <f aca="false">RawFinancials!U524</f>
        <v>0</v>
      </c>
      <c r="H524" s="0" t="n">
        <f aca="false">RawFinancials!O524</f>
        <v>167</v>
      </c>
      <c r="I524" s="0" t="n">
        <f aca="false">IF(AND(ISNUMBER(G524),ISNUMBER(H524)),G524+H524,"")</f>
        <v>167</v>
      </c>
      <c r="J524" s="0" t="n">
        <f aca="false">RawFinancials!D524</f>
        <v>166017</v>
      </c>
      <c r="K524" s="0" t="n">
        <f aca="false">RawFinancials!F524</f>
        <v>17099</v>
      </c>
      <c r="L524" s="0" t="n">
        <f aca="false">RawFinancials!L524</f>
        <v>133832</v>
      </c>
      <c r="M524" s="0" t="n">
        <f aca="false">RawFinancials!N524</f>
        <v>86883</v>
      </c>
      <c r="N524" s="13" t="n">
        <f aca="false">RawFinancials!X524</f>
        <v>0.296387905667619</v>
      </c>
      <c r="O524" s="13" t="n">
        <f aca="false">RawFinancials!V524</f>
        <v>18.342035357699</v>
      </c>
      <c r="P524" s="13" t="n">
        <f aca="false">IF(AND(ISNUMBER(L524),L524&lt;&gt;0,ISNUMBER(M524)),100*M524/L524,"")</f>
        <v>64.9194512523163</v>
      </c>
      <c r="Q524" s="13" t="n">
        <f aca="false">IF(AND(ISNUMBER(F524),F524&lt;&gt;0,ISNUMBER(K524)),100*K524/F524,"")</f>
        <v>9.00482918788543</v>
      </c>
      <c r="R524" s="11" t="b">
        <f aca="false">AND(ISNUMBER(F524),F524&gt;0,ISNUMBER(G524),G524&gt;=0,ISNUMBER(H524),H524&gt;=0)</f>
        <v>1</v>
      </c>
      <c r="S524" s="13" t="n">
        <f aca="false">IF(R524,100*I524/F524,"")</f>
        <v>0.0879470421882488</v>
      </c>
      <c r="T524" s="11" t="b">
        <f aca="false">NOT(AND(OR(AND(ISBLANK(RawFinancials!B524),ISBLANK(_RawBaseline!B521)),AND(ISNUMBER(RawFinancials!B524),ISNUMBER(_RawBaseline!B521),RawFinancials!B524=_RawBaseline!B521)),OR(AND(ISBLANK(RawFinancials!U524),ISBLANK(_RawBaseline!U521)),AND(ISNUMBER(RawFinancials!U524),ISNUMBER(_RawBaseline!U521),RawFinancials!U524=_RawBaseline!U521)),OR(AND(ISBLANK(RawFinancials!O524),ISBLANK(_RawBaseline!O521)),AND(ISNUMBER(RawFinancials!O524),ISNUMBER(_RawBaseline!O521),RawFinancials!O524=_RawBaseline!O521))))</f>
        <v>0</v>
      </c>
      <c r="U524" s="13" t="n">
        <f aca="false">IF(AND(D524=WF_START_PERIOD,R524,COUNTIFS($B$5:$B$750,B524,$D$5:$D$750,WF_END_PERIOD,$R$5:$R$750,TRUE())&gt;0),SUMIFS($S$5:$S$750,$B$5:$B$750,B524,$D$5:$D$750,WF_END_PERIOD,$R$5:$R$750,TRUE()),0)</f>
        <v>0.329709188526917</v>
      </c>
      <c r="V524" s="0" t="str">
        <f aca="false">IF(AND(D524=WF_START_PERIOD,COUNTIFS($B$5:$B$750,B524,$D$5:$D$750,WF_END_PERIOD)&gt;0),INDEX($E$5:$E$750,MATCH(B524&amp;"|"&amp;WF_END_PERIOD,$AC$5:$AC$750,0)),"")</f>
        <v>ME</v>
      </c>
      <c r="W524" s="11" t="b">
        <f aca="false">COUNTIFS($B$5:$B$750,B524,$D$5:$D$750,WF_START_PERIOD,$R$5:$R$750,TRUE())&gt;0</f>
        <v>1</v>
      </c>
      <c r="X524" s="11" t="b">
        <f aca="false">COUNTIFS($B$5:$B$750,B524,$D$5:$D$750,WF_END_PERIOD,$R$5:$R$750,TRUE())&gt;0</f>
        <v>1</v>
      </c>
      <c r="Y524" s="0" t="str">
        <f aca="false">IF(AND(D524=WF_END_PERIOD,COUNTIFS($B$5:$B$750,B524,$D$5:$D$750,WF_START_PERIOD)&gt;0),INDEX($E$5:$E$750,MATCH(B524&amp;"|"&amp;WF_START_PERIOD,$AC$5:$AC$750,0)),"")</f>
        <v/>
      </c>
      <c r="Z524" s="0" t="str">
        <f aca="false">IF(AND(D524=WF_END_PERIOD,R524),1+COUNTIFS($D$5:$D$750,WF_END_PERIOD,$E$5:$E$750,E524,$R$5:$R$750,TRUE(),$S$5:$S$750,"&gt;"&amp;S524)+COUNTIFS($D$5:$D$750,WF_END_PERIOD,$E$5:$E$750,E524,$R$5:$R$750,TRUE(),$S$5:$S$750,S524,$B$5:$B$750,"&lt;"&amp;B524),"")</f>
        <v/>
      </c>
      <c r="AA524" s="0" t="str">
        <f aca="false">IF(AND(D524=WF_END_PERIOD,R524,Z524&lt;&gt;1),1+COUNTIFS($D$5:$D$750,WF_END_PERIOD,$R$5:$R$750,TRUE(),$Z$5:$Z$750,"&lt;&gt;1",$S$5:$S$750,"&gt;"&amp;S524)+COUNTIFS($D$5:$D$750,WF_END_PERIOD,$R$5:$R$750,TRUE(),$Z$5:$Z$750,"&lt;&gt;1",$S$5:$S$750,S524,$B$5:$B$750,"&lt;"&amp;B524),"")</f>
        <v/>
      </c>
      <c r="AB524" s="11" t="b">
        <f aca="false">OR(D524=WF_START_PERIOD,D524=WF_END_PERIOD)</f>
        <v>1</v>
      </c>
      <c r="AC524" s="0" t="str">
        <f aca="false">B524&amp;"|"&amp;D524</f>
        <v>29743|20240630</v>
      </c>
    </row>
    <row r="525" customFormat="false" ht="15" hidden="false" customHeight="false" outlineLevel="0" collapsed="false">
      <c r="A525" s="0" t="n">
        <f aca="false">RawFinancials!A525</f>
        <v>522</v>
      </c>
      <c r="B525" s="0" t="n">
        <f aca="false">RawFinancials!C525</f>
        <v>29744</v>
      </c>
      <c r="C525" s="0" t="str">
        <f aca="false">RawFinancials!P525</f>
        <v>FIRST SEACOAST BANK</v>
      </c>
      <c r="D525" s="0" t="n">
        <f aca="false">RawFinancials!W525</f>
        <v>20240630</v>
      </c>
      <c r="E525" s="0" t="str">
        <f aca="false">RawFinancials!Z525</f>
        <v>NH</v>
      </c>
      <c r="F525" s="0" t="n">
        <f aca="false">RawFinancials!B525</f>
        <v>602018</v>
      </c>
      <c r="G525" s="0" t="n">
        <f aca="false">RawFinancials!U525</f>
        <v>0</v>
      </c>
      <c r="H525" s="0" t="n">
        <f aca="false">RawFinancials!O525</f>
        <v>141</v>
      </c>
      <c r="I525" s="0" t="n">
        <f aca="false">IF(AND(ISNUMBER(G525),ISNUMBER(H525)),G525+H525,"")</f>
        <v>141</v>
      </c>
      <c r="J525" s="0" t="n">
        <f aca="false">RawFinancials!D525</f>
        <v>471240</v>
      </c>
      <c r="K525" s="0" t="n">
        <f aca="false">RawFinancials!F525</f>
        <v>46233</v>
      </c>
      <c r="L525" s="0" t="n">
        <f aca="false">RawFinancials!L525</f>
        <v>434882</v>
      </c>
      <c r="M525" s="0" t="n">
        <f aca="false">RawFinancials!N525</f>
        <v>400003</v>
      </c>
      <c r="N525" s="13" t="n">
        <f aca="false">RawFinancials!X525</f>
        <v>0.296595325680526</v>
      </c>
      <c r="O525" s="13" t="n">
        <f aca="false">RawFinancials!V525</f>
        <v>15.527357074635</v>
      </c>
      <c r="P525" s="13" t="n">
        <f aca="false">IF(AND(ISNUMBER(L525),L525&lt;&gt;0,ISNUMBER(M525)),100*M525/L525,"")</f>
        <v>91.9796634489356</v>
      </c>
      <c r="Q525" s="13" t="n">
        <f aca="false">IF(AND(ISNUMBER(F525),F525&lt;&gt;0,ISNUMBER(K525)),100*K525/F525,"")</f>
        <v>7.67967070752037</v>
      </c>
      <c r="R525" s="11" t="b">
        <f aca="false">AND(ISNUMBER(F525),F525&gt;0,ISNUMBER(G525),G525&gt;=0,ISNUMBER(H525),H525&gt;=0)</f>
        <v>1</v>
      </c>
      <c r="S525" s="13" t="n">
        <f aca="false">IF(R525,100*I525/F525,"")</f>
        <v>0.0234212266078423</v>
      </c>
      <c r="T525" s="11" t="b">
        <f aca="false">NOT(AND(OR(AND(ISBLANK(RawFinancials!B525),ISBLANK(_RawBaseline!B522)),AND(ISNUMBER(RawFinancials!B525),ISNUMBER(_RawBaseline!B522),RawFinancials!B525=_RawBaseline!B522)),OR(AND(ISBLANK(RawFinancials!U525),ISBLANK(_RawBaseline!U522)),AND(ISNUMBER(RawFinancials!U525),ISNUMBER(_RawBaseline!U522),RawFinancials!U525=_RawBaseline!U522)),OR(AND(ISBLANK(RawFinancials!O525),ISBLANK(_RawBaseline!O522)),AND(ISNUMBER(RawFinancials!O525),ISNUMBER(_RawBaseline!O522),RawFinancials!O525=_RawBaseline!O522))))</f>
        <v>0</v>
      </c>
      <c r="U525" s="13" t="n">
        <f aca="false">IF(AND(D525=WF_START_PERIOD,R525,COUNTIFS($B$5:$B$750,B525,$D$5:$D$750,WF_END_PERIOD,$R$5:$R$750,TRUE())&gt;0),SUMIFS($S$5:$S$750,$B$5:$B$750,B525,$D$5:$D$750,WF_END_PERIOD,$R$5:$R$750,TRUE()),0)</f>
        <v>0.00231363275046314</v>
      </c>
      <c r="V525" s="0" t="str">
        <f aca="false">IF(AND(D525=WF_START_PERIOD,COUNTIFS($B$5:$B$750,B525,$D$5:$D$750,WF_END_PERIOD)&gt;0),INDEX($E$5:$E$750,MATCH(B525&amp;"|"&amp;WF_END_PERIOD,$AC$5:$AC$750,0)),"")</f>
        <v>NH</v>
      </c>
      <c r="W525" s="11" t="b">
        <f aca="false">COUNTIFS($B$5:$B$750,B525,$D$5:$D$750,WF_START_PERIOD,$R$5:$R$750,TRUE())&gt;0</f>
        <v>1</v>
      </c>
      <c r="X525" s="11" t="b">
        <f aca="false">COUNTIFS($B$5:$B$750,B525,$D$5:$D$750,WF_END_PERIOD,$R$5:$R$750,TRUE())&gt;0</f>
        <v>1</v>
      </c>
      <c r="Y525" s="0" t="str">
        <f aca="false">IF(AND(D525=WF_END_PERIOD,COUNTIFS($B$5:$B$750,B525,$D$5:$D$750,WF_START_PERIOD)&gt;0),INDEX($E$5:$E$750,MATCH(B525&amp;"|"&amp;WF_START_PERIOD,$AC$5:$AC$750,0)),"")</f>
        <v/>
      </c>
      <c r="Z525" s="0" t="str">
        <f aca="false">IF(AND(D525=WF_END_PERIOD,R525),1+COUNTIFS($D$5:$D$750,WF_END_PERIOD,$E$5:$E$750,E525,$R$5:$R$750,TRUE(),$S$5:$S$750,"&gt;"&amp;S525)+COUNTIFS($D$5:$D$750,WF_END_PERIOD,$E$5:$E$750,E525,$R$5:$R$750,TRUE(),$S$5:$S$750,S525,$B$5:$B$750,"&lt;"&amp;B525),"")</f>
        <v/>
      </c>
      <c r="AA525" s="0" t="str">
        <f aca="false">IF(AND(D525=WF_END_PERIOD,R525,Z525&lt;&gt;1),1+COUNTIFS($D$5:$D$750,WF_END_PERIOD,$R$5:$R$750,TRUE(),$Z$5:$Z$750,"&lt;&gt;1",$S$5:$S$750,"&gt;"&amp;S525)+COUNTIFS($D$5:$D$750,WF_END_PERIOD,$R$5:$R$750,TRUE(),$Z$5:$Z$750,"&lt;&gt;1",$S$5:$S$750,S525,$B$5:$B$750,"&lt;"&amp;B525),"")</f>
        <v/>
      </c>
      <c r="AB525" s="11" t="b">
        <f aca="false">OR(D525=WF_START_PERIOD,D525=WF_END_PERIOD)</f>
        <v>1</v>
      </c>
      <c r="AC525" s="0" t="str">
        <f aca="false">B525&amp;"|"&amp;D525</f>
        <v>29744|20240630</v>
      </c>
    </row>
    <row r="526" customFormat="false" ht="15" hidden="false" customHeight="false" outlineLevel="0" collapsed="false">
      <c r="A526" s="0" t="n">
        <f aca="false">RawFinancials!A526</f>
        <v>523</v>
      </c>
      <c r="B526" s="0" t="n">
        <f aca="false">RawFinancials!C526</f>
        <v>30350</v>
      </c>
      <c r="C526" s="0" t="str">
        <f aca="false">RawFinancials!P526</f>
        <v>THE BANK OF BENNINGTON</v>
      </c>
      <c r="D526" s="0" t="n">
        <f aca="false">RawFinancials!W526</f>
        <v>20240630</v>
      </c>
      <c r="E526" s="0" t="str">
        <f aca="false">RawFinancials!Z526</f>
        <v>VT</v>
      </c>
      <c r="F526" s="0" t="n">
        <f aca="false">RawFinancials!B526</f>
        <v>564787</v>
      </c>
      <c r="G526" s="0" t="n">
        <f aca="false">RawFinancials!U526</f>
        <v>0</v>
      </c>
      <c r="H526" s="0" t="n">
        <f aca="false">RawFinancials!O526</f>
        <v>1683</v>
      </c>
      <c r="I526" s="0" t="n">
        <f aca="false">IF(AND(ISNUMBER(G526),ISNUMBER(H526)),G526+H526,"")</f>
        <v>1683</v>
      </c>
      <c r="J526" s="0" t="n">
        <f aca="false">RawFinancials!D526</f>
        <v>443952</v>
      </c>
      <c r="K526" s="0" t="n">
        <f aca="false">RawFinancials!F526</f>
        <v>57863</v>
      </c>
      <c r="L526" s="0" t="n">
        <f aca="false">RawFinancials!L526</f>
        <v>416045</v>
      </c>
      <c r="M526" s="0" t="n">
        <f aca="false">RawFinancials!N526</f>
        <v>396859</v>
      </c>
      <c r="N526" s="13" t="n">
        <f aca="false">RawFinancials!X526</f>
        <v>0.535675281474205</v>
      </c>
      <c r="O526" s="13" t="n">
        <f aca="false">RawFinancials!V526</f>
        <v>20.7901181982749</v>
      </c>
      <c r="P526" s="13" t="n">
        <f aca="false">IF(AND(ISNUMBER(L526),L526&lt;&gt;0,ISNUMBER(M526)),100*M526/L526,"")</f>
        <v>95.3884796115805</v>
      </c>
      <c r="Q526" s="13" t="n">
        <f aca="false">IF(AND(ISNUMBER(F526),F526&lt;&gt;0,ISNUMBER(K526)),100*K526/F526,"")</f>
        <v>10.2451012505599</v>
      </c>
      <c r="R526" s="11" t="b">
        <f aca="false">AND(ISNUMBER(F526),F526&gt;0,ISNUMBER(G526),G526&gt;=0,ISNUMBER(H526),H526&gt;=0)</f>
        <v>1</v>
      </c>
      <c r="S526" s="13" t="n">
        <f aca="false">IF(R526,100*I526/F526,"")</f>
        <v>0.297988445201465</v>
      </c>
      <c r="T526" s="11" t="b">
        <f aca="false">NOT(AND(OR(AND(ISBLANK(RawFinancials!B526),ISBLANK(_RawBaseline!B523)),AND(ISNUMBER(RawFinancials!B526),ISNUMBER(_RawBaseline!B523),RawFinancials!B526=_RawBaseline!B523)),OR(AND(ISBLANK(RawFinancials!U526),ISBLANK(_RawBaseline!U523)),AND(ISNUMBER(RawFinancials!U526),ISNUMBER(_RawBaseline!U523),RawFinancials!U526=_RawBaseline!U523)),OR(AND(ISBLANK(RawFinancials!O526),ISBLANK(_RawBaseline!O523)),AND(ISNUMBER(RawFinancials!O526),ISNUMBER(_RawBaseline!O523),RawFinancials!O526=_RawBaseline!O523))))</f>
        <v>0</v>
      </c>
      <c r="U526" s="13" t="n">
        <f aca="false">IF(AND(D526=WF_START_PERIOD,R526,COUNTIFS($B$5:$B$750,B526,$D$5:$D$750,WF_END_PERIOD,$R$5:$R$750,TRUE())&gt;0),SUMIFS($S$5:$S$750,$B$5:$B$750,B526,$D$5:$D$750,WF_END_PERIOD,$R$5:$R$750,TRUE()),0)</f>
        <v>0.287560706366243</v>
      </c>
      <c r="V526" s="0" t="str">
        <f aca="false">IF(AND(D526=WF_START_PERIOD,COUNTIFS($B$5:$B$750,B526,$D$5:$D$750,WF_END_PERIOD)&gt;0),INDEX($E$5:$E$750,MATCH(B526&amp;"|"&amp;WF_END_PERIOD,$AC$5:$AC$750,0)),"")</f>
        <v>VT</v>
      </c>
      <c r="W526" s="11" t="b">
        <f aca="false">COUNTIFS($B$5:$B$750,B526,$D$5:$D$750,WF_START_PERIOD,$R$5:$R$750,TRUE())&gt;0</f>
        <v>1</v>
      </c>
      <c r="X526" s="11" t="b">
        <f aca="false">COUNTIFS($B$5:$B$750,B526,$D$5:$D$750,WF_END_PERIOD,$R$5:$R$750,TRUE())&gt;0</f>
        <v>1</v>
      </c>
      <c r="Y526" s="0" t="str">
        <f aca="false">IF(AND(D526=WF_END_PERIOD,COUNTIFS($B$5:$B$750,B526,$D$5:$D$750,WF_START_PERIOD)&gt;0),INDEX($E$5:$E$750,MATCH(B526&amp;"|"&amp;WF_START_PERIOD,$AC$5:$AC$750,0)),"")</f>
        <v/>
      </c>
      <c r="Z526" s="0" t="str">
        <f aca="false">IF(AND(D526=WF_END_PERIOD,R526),1+COUNTIFS($D$5:$D$750,WF_END_PERIOD,$E$5:$E$750,E526,$R$5:$R$750,TRUE(),$S$5:$S$750,"&gt;"&amp;S526)+COUNTIFS($D$5:$D$750,WF_END_PERIOD,$E$5:$E$750,E526,$R$5:$R$750,TRUE(),$S$5:$S$750,S526,$B$5:$B$750,"&lt;"&amp;B526),"")</f>
        <v/>
      </c>
      <c r="AA526" s="0" t="str">
        <f aca="false">IF(AND(D526=WF_END_PERIOD,R526,Z526&lt;&gt;1),1+COUNTIFS($D$5:$D$750,WF_END_PERIOD,$R$5:$R$750,TRUE(),$Z$5:$Z$750,"&lt;&gt;1",$S$5:$S$750,"&gt;"&amp;S526)+COUNTIFS($D$5:$D$750,WF_END_PERIOD,$R$5:$R$750,TRUE(),$Z$5:$Z$750,"&lt;&gt;1",$S$5:$S$750,S526,$B$5:$B$750,"&lt;"&amp;B526),"")</f>
        <v/>
      </c>
      <c r="AB526" s="11" t="b">
        <f aca="false">OR(D526=WF_START_PERIOD,D526=WF_END_PERIOD)</f>
        <v>1</v>
      </c>
      <c r="AC526" s="0" t="str">
        <f aca="false">B526&amp;"|"&amp;D526</f>
        <v>30350|20240630</v>
      </c>
    </row>
    <row r="527" customFormat="false" ht="15" hidden="false" customHeight="false" outlineLevel="0" collapsed="false">
      <c r="A527" s="0" t="n">
        <f aca="false">RawFinancials!A527</f>
        <v>524</v>
      </c>
      <c r="B527" s="0" t="n">
        <f aca="false">RawFinancials!C527</f>
        <v>30878</v>
      </c>
      <c r="C527" s="0" t="str">
        <f aca="false">RawFinancials!P527</f>
        <v>BAR HARBOR SAVINGS AND LOAN ASSOCIATION</v>
      </c>
      <c r="D527" s="0" t="n">
        <f aca="false">RawFinancials!W527</f>
        <v>20240630</v>
      </c>
      <c r="E527" s="0" t="str">
        <f aca="false">RawFinancials!Z527</f>
        <v>ME</v>
      </c>
      <c r="F527" s="0" t="n">
        <f aca="false">RawFinancials!B527</f>
        <v>102920</v>
      </c>
      <c r="G527" s="0" t="n">
        <f aca="false">RawFinancials!U527</f>
        <v>0</v>
      </c>
      <c r="H527" s="0" t="n">
        <f aca="false">RawFinancials!O527</f>
        <v>1829</v>
      </c>
      <c r="I527" s="0" t="n">
        <f aca="false">IF(AND(ISNUMBER(G527),ISNUMBER(H527)),G527+H527,"")</f>
        <v>1829</v>
      </c>
      <c r="J527" s="0" t="n">
        <f aca="false">RawFinancials!D527</f>
        <v>76575</v>
      </c>
      <c r="K527" s="0" t="n">
        <f aca="false">RawFinancials!F527</f>
        <v>12189</v>
      </c>
      <c r="L527" s="0" t="n">
        <f aca="false">RawFinancials!L527</f>
        <v>88156</v>
      </c>
      <c r="M527" s="0" t="n">
        <f aca="false">RawFinancials!N527</f>
        <v>87984</v>
      </c>
      <c r="N527" s="13" t="n">
        <f aca="false">RawFinancials!X527</f>
        <v>-0.227714970329511</v>
      </c>
      <c r="O527" s="13" t="n">
        <f aca="false">RawFinancials!V527</f>
        <v>0</v>
      </c>
      <c r="P527" s="13" t="n">
        <f aca="false">IF(AND(ISNUMBER(L527),L527&lt;&gt;0,ISNUMBER(M527)),100*M527/L527,"")</f>
        <v>99.8048913290077</v>
      </c>
      <c r="Q527" s="13" t="n">
        <f aca="false">IF(AND(ISNUMBER(F527),F527&lt;&gt;0,ISNUMBER(K527)),100*K527/F527,"")</f>
        <v>11.843179168286</v>
      </c>
      <c r="R527" s="11" t="b">
        <f aca="false">AND(ISNUMBER(F527),F527&gt;0,ISNUMBER(G527),G527&gt;=0,ISNUMBER(H527),H527&gt;=0)</f>
        <v>1</v>
      </c>
      <c r="S527" s="13" t="n">
        <f aca="false">IF(R527,100*I527/F527,"")</f>
        <v>1.77710843373494</v>
      </c>
      <c r="T527" s="11" t="b">
        <f aca="false">NOT(AND(OR(AND(ISBLANK(RawFinancials!B527),ISBLANK(_RawBaseline!B524)),AND(ISNUMBER(RawFinancials!B527),ISNUMBER(_RawBaseline!B524),RawFinancials!B527=_RawBaseline!B524)),OR(AND(ISBLANK(RawFinancials!U527),ISBLANK(_RawBaseline!U524)),AND(ISNUMBER(RawFinancials!U527),ISNUMBER(_RawBaseline!U524),RawFinancials!U527=_RawBaseline!U524)),OR(AND(ISBLANK(RawFinancials!O527),ISBLANK(_RawBaseline!O524)),AND(ISNUMBER(RawFinancials!O527),ISNUMBER(_RawBaseline!O524),RawFinancials!O527=_RawBaseline!O524))))</f>
        <v>0</v>
      </c>
      <c r="U527" s="13" t="n">
        <f aca="false">IF(AND(D527=WF_START_PERIOD,R527,COUNTIFS($B$5:$B$750,B527,$D$5:$D$750,WF_END_PERIOD,$R$5:$R$750,TRUE())&gt;0),SUMIFS($S$5:$S$750,$B$5:$B$750,B527,$D$5:$D$750,WF_END_PERIOD,$R$5:$R$750,TRUE()),0)</f>
        <v>1.36792405140078</v>
      </c>
      <c r="V527" s="0" t="str">
        <f aca="false">IF(AND(D527=WF_START_PERIOD,COUNTIFS($B$5:$B$750,B527,$D$5:$D$750,WF_END_PERIOD)&gt;0),INDEX($E$5:$E$750,MATCH(B527&amp;"|"&amp;WF_END_PERIOD,$AC$5:$AC$750,0)),"")</f>
        <v>ME</v>
      </c>
      <c r="W527" s="11" t="b">
        <f aca="false">COUNTIFS($B$5:$B$750,B527,$D$5:$D$750,WF_START_PERIOD,$R$5:$R$750,TRUE())&gt;0</f>
        <v>1</v>
      </c>
      <c r="X527" s="11" t="b">
        <f aca="false">COUNTIFS($B$5:$B$750,B527,$D$5:$D$750,WF_END_PERIOD,$R$5:$R$750,TRUE())&gt;0</f>
        <v>1</v>
      </c>
      <c r="Y527" s="0" t="str">
        <f aca="false">IF(AND(D527=WF_END_PERIOD,COUNTIFS($B$5:$B$750,B527,$D$5:$D$750,WF_START_PERIOD)&gt;0),INDEX($E$5:$E$750,MATCH(B527&amp;"|"&amp;WF_START_PERIOD,$AC$5:$AC$750,0)),"")</f>
        <v/>
      </c>
      <c r="Z527" s="0" t="str">
        <f aca="false">IF(AND(D527=WF_END_PERIOD,R527),1+COUNTIFS($D$5:$D$750,WF_END_PERIOD,$E$5:$E$750,E527,$R$5:$R$750,TRUE(),$S$5:$S$750,"&gt;"&amp;S527)+COUNTIFS($D$5:$D$750,WF_END_PERIOD,$E$5:$E$750,E527,$R$5:$R$750,TRUE(),$S$5:$S$750,S527,$B$5:$B$750,"&lt;"&amp;B527),"")</f>
        <v/>
      </c>
      <c r="AA527" s="0" t="str">
        <f aca="false">IF(AND(D527=WF_END_PERIOD,R527,Z527&lt;&gt;1),1+COUNTIFS($D$5:$D$750,WF_END_PERIOD,$R$5:$R$750,TRUE(),$Z$5:$Z$750,"&lt;&gt;1",$S$5:$S$750,"&gt;"&amp;S527)+COUNTIFS($D$5:$D$750,WF_END_PERIOD,$R$5:$R$750,TRUE(),$Z$5:$Z$750,"&lt;&gt;1",$S$5:$S$750,S527,$B$5:$B$750,"&lt;"&amp;B527),"")</f>
        <v/>
      </c>
      <c r="AB527" s="11" t="b">
        <f aca="false">OR(D527=WF_START_PERIOD,D527=WF_END_PERIOD)</f>
        <v>1</v>
      </c>
      <c r="AC527" s="0" t="str">
        <f aca="false">B527&amp;"|"&amp;D527</f>
        <v>30878|20240630</v>
      </c>
    </row>
    <row r="528" customFormat="false" ht="15" hidden="false" customHeight="false" outlineLevel="0" collapsed="false">
      <c r="A528" s="0" t="n">
        <f aca="false">RawFinancials!A528</f>
        <v>525</v>
      </c>
      <c r="B528" s="0" t="n">
        <f aca="false">RawFinancials!C528</f>
        <v>33418</v>
      </c>
      <c r="C528" s="0" t="str">
        <f aca="false">RawFinancials!P528</f>
        <v>LEDYARD NATIONAL BANK</v>
      </c>
      <c r="D528" s="0" t="n">
        <f aca="false">RawFinancials!W528</f>
        <v>20240630</v>
      </c>
      <c r="E528" s="0" t="str">
        <f aca="false">RawFinancials!Z528</f>
        <v>VT</v>
      </c>
      <c r="F528" s="0" t="n">
        <f aca="false">RawFinancials!B528</f>
        <v>907185</v>
      </c>
      <c r="G528" s="0" t="n">
        <f aca="false">RawFinancials!U528</f>
        <v>0</v>
      </c>
      <c r="H528" s="0" t="n">
        <f aca="false">RawFinancials!O528</f>
        <v>964</v>
      </c>
      <c r="I528" s="0" t="n">
        <f aca="false">IF(AND(ISNUMBER(G528),ISNUMBER(H528)),G528+H528,"")</f>
        <v>964</v>
      </c>
      <c r="J528" s="0" t="n">
        <f aca="false">RawFinancials!D528</f>
        <v>797623</v>
      </c>
      <c r="K528" s="0" t="n">
        <f aca="false">RawFinancials!F528</f>
        <v>68495</v>
      </c>
      <c r="L528" s="0" t="n">
        <f aca="false">RawFinancials!L528</f>
        <v>496078</v>
      </c>
      <c r="M528" s="0" t="n">
        <f aca="false">RawFinancials!N528</f>
        <v>409365</v>
      </c>
      <c r="N528" s="13" t="n">
        <f aca="false">RawFinancials!X528</f>
        <v>0.374700273680357</v>
      </c>
      <c r="O528" s="13" t="n">
        <f aca="false">RawFinancials!V528</f>
        <v>14.3976303978601</v>
      </c>
      <c r="P528" s="13" t="n">
        <f aca="false">IF(AND(ISNUMBER(L528),L528&lt;&gt;0,ISNUMBER(M528)),100*M528/L528,"")</f>
        <v>82.5202891480775</v>
      </c>
      <c r="Q528" s="13" t="n">
        <f aca="false">IF(AND(ISNUMBER(F528),F528&lt;&gt;0,ISNUMBER(K528)),100*K528/F528,"")</f>
        <v>7.55027916025948</v>
      </c>
      <c r="R528" s="11" t="b">
        <f aca="false">AND(ISNUMBER(F528),F528&gt;0,ISNUMBER(G528),G528&gt;=0,ISNUMBER(H528),H528&gt;=0)</f>
        <v>1</v>
      </c>
      <c r="S528" s="13" t="n">
        <f aca="false">IF(R528,100*I528/F528,"")</f>
        <v>0.106262779918098</v>
      </c>
      <c r="T528" s="11" t="b">
        <f aca="false">NOT(AND(OR(AND(ISBLANK(RawFinancials!B528),ISBLANK(_RawBaseline!B525)),AND(ISNUMBER(RawFinancials!B528),ISNUMBER(_RawBaseline!B525),RawFinancials!B528=_RawBaseline!B525)),OR(AND(ISBLANK(RawFinancials!U528),ISBLANK(_RawBaseline!U525)),AND(ISNUMBER(RawFinancials!U528),ISNUMBER(_RawBaseline!U525),RawFinancials!U528=_RawBaseline!U525)),OR(AND(ISBLANK(RawFinancials!O528),ISBLANK(_RawBaseline!O525)),AND(ISNUMBER(RawFinancials!O528),ISNUMBER(_RawBaseline!O525),RawFinancials!O528=_RawBaseline!O525))))</f>
        <v>0</v>
      </c>
      <c r="U528" s="13" t="n">
        <f aca="false">IF(AND(D528=WF_START_PERIOD,R528,COUNTIFS($B$5:$B$750,B528,$D$5:$D$750,WF_END_PERIOD,$R$5:$R$750,TRUE())&gt;0),SUMIFS($S$5:$S$750,$B$5:$B$750,B528,$D$5:$D$750,WF_END_PERIOD,$R$5:$R$750,TRUE()),0)</f>
        <v>0.119866064015121</v>
      </c>
      <c r="V528" s="0" t="str">
        <f aca="false">IF(AND(D528=WF_START_PERIOD,COUNTIFS($B$5:$B$750,B528,$D$5:$D$750,WF_END_PERIOD)&gt;0),INDEX($E$5:$E$750,MATCH(B528&amp;"|"&amp;WF_END_PERIOD,$AC$5:$AC$750,0)),"")</f>
        <v>VT</v>
      </c>
      <c r="W528" s="11" t="b">
        <f aca="false">COUNTIFS($B$5:$B$750,B528,$D$5:$D$750,WF_START_PERIOD,$R$5:$R$750,TRUE())&gt;0</f>
        <v>1</v>
      </c>
      <c r="X528" s="11" t="b">
        <f aca="false">COUNTIFS($B$5:$B$750,B528,$D$5:$D$750,WF_END_PERIOD,$R$5:$R$750,TRUE())&gt;0</f>
        <v>1</v>
      </c>
      <c r="Y528" s="0" t="str">
        <f aca="false">IF(AND(D528=WF_END_PERIOD,COUNTIFS($B$5:$B$750,B528,$D$5:$D$750,WF_START_PERIOD)&gt;0),INDEX($E$5:$E$750,MATCH(B528&amp;"|"&amp;WF_START_PERIOD,$AC$5:$AC$750,0)),"")</f>
        <v/>
      </c>
      <c r="Z528" s="0" t="str">
        <f aca="false">IF(AND(D528=WF_END_PERIOD,R528),1+COUNTIFS($D$5:$D$750,WF_END_PERIOD,$E$5:$E$750,E528,$R$5:$R$750,TRUE(),$S$5:$S$750,"&gt;"&amp;S528)+COUNTIFS($D$5:$D$750,WF_END_PERIOD,$E$5:$E$750,E528,$R$5:$R$750,TRUE(),$S$5:$S$750,S528,$B$5:$B$750,"&lt;"&amp;B528),"")</f>
        <v/>
      </c>
      <c r="AA528" s="0" t="str">
        <f aca="false">IF(AND(D528=WF_END_PERIOD,R528,Z528&lt;&gt;1),1+COUNTIFS($D$5:$D$750,WF_END_PERIOD,$R$5:$R$750,TRUE(),$Z$5:$Z$750,"&lt;&gt;1",$S$5:$S$750,"&gt;"&amp;S528)+COUNTIFS($D$5:$D$750,WF_END_PERIOD,$R$5:$R$750,TRUE(),$Z$5:$Z$750,"&lt;&gt;1",$S$5:$S$750,S528,$B$5:$B$750,"&lt;"&amp;B528),"")</f>
        <v/>
      </c>
      <c r="AB528" s="11" t="b">
        <f aca="false">OR(D528=WF_START_PERIOD,D528=WF_END_PERIOD)</f>
        <v>1</v>
      </c>
      <c r="AC528" s="0" t="str">
        <f aca="false">B528&amp;"|"&amp;D528</f>
        <v>33418|20240630</v>
      </c>
    </row>
    <row r="529" customFormat="false" ht="15" hidden="false" customHeight="false" outlineLevel="0" collapsed="false">
      <c r="A529" s="0" t="n">
        <f aca="false">RawFinancials!A529</f>
        <v>526</v>
      </c>
      <c r="B529" s="0" t="n">
        <f aca="false">RawFinancials!C529</f>
        <v>35206</v>
      </c>
      <c r="C529" s="0" t="str">
        <f aca="false">RawFinancials!P529</f>
        <v>FIDELITY PERSONAL TRUST COMPANY, FSB</v>
      </c>
      <c r="D529" s="0" t="n">
        <f aca="false">RawFinancials!W529</f>
        <v>20240630</v>
      </c>
      <c r="E529" s="0" t="str">
        <f aca="false">RawFinancials!Z529</f>
        <v>NH</v>
      </c>
      <c r="F529" s="0" t="n">
        <f aca="false">RawFinancials!B529</f>
        <v>84424</v>
      </c>
      <c r="G529" s="0" t="n">
        <f aca="false">RawFinancials!U529</f>
        <v>0</v>
      </c>
      <c r="H529" s="0" t="n">
        <f aca="false">RawFinancials!O529</f>
        <v>0</v>
      </c>
      <c r="I529" s="0" t="n">
        <f aca="false">IF(AND(ISNUMBER(G529),ISNUMBER(H529)),G529+H529,"")</f>
        <v>0</v>
      </c>
      <c r="J529" s="0" t="n">
        <f aca="false">RawFinancials!D529</f>
        <v>500</v>
      </c>
      <c r="K529" s="0" t="n">
        <f aca="false">RawFinancials!F529</f>
        <v>82008</v>
      </c>
      <c r="L529" s="0" t="n">
        <f aca="false">RawFinancials!L529</f>
        <v>0</v>
      </c>
      <c r="M529" s="0" t="n">
        <f aca="false">RawFinancials!N529</f>
        <v>0</v>
      </c>
      <c r="N529" s="13" t="n">
        <f aca="false">RawFinancials!X529</f>
        <v>18.8338919249121</v>
      </c>
      <c r="O529" s="13" t="n">
        <f aca="false">RawFinancials!V529</f>
        <v>0</v>
      </c>
      <c r="P529" s="13" t="str">
        <f aca="false">IF(AND(ISNUMBER(L529),L529&lt;&gt;0,ISNUMBER(M529)),100*M529/L529,"")</f>
        <v/>
      </c>
      <c r="Q529" s="13" t="n">
        <f aca="false">IF(AND(ISNUMBER(F529),F529&lt;&gt;0,ISNUMBER(K529)),100*K529/F529,"")</f>
        <v>97.1382545247797</v>
      </c>
      <c r="R529" s="11" t="b">
        <f aca="false">AND(ISNUMBER(F529),F529&gt;0,ISNUMBER(G529),G529&gt;=0,ISNUMBER(H529),H529&gt;=0)</f>
        <v>1</v>
      </c>
      <c r="S529" s="13" t="n">
        <f aca="false">IF(R529,100*I529/F529,"")</f>
        <v>0</v>
      </c>
      <c r="T529" s="11" t="b">
        <f aca="false">NOT(AND(OR(AND(ISBLANK(RawFinancials!B529),ISBLANK(_RawBaseline!B526)),AND(ISNUMBER(RawFinancials!B529),ISNUMBER(_RawBaseline!B526),RawFinancials!B529=_RawBaseline!B526)),OR(AND(ISBLANK(RawFinancials!U529),ISBLANK(_RawBaseline!U526)),AND(ISNUMBER(RawFinancials!U529),ISNUMBER(_RawBaseline!U526),RawFinancials!U529=_RawBaseline!U526)),OR(AND(ISBLANK(RawFinancials!O529),ISBLANK(_RawBaseline!O526)),AND(ISNUMBER(RawFinancials!O529),ISNUMBER(_RawBaseline!O526),RawFinancials!O529=_RawBaseline!O526))))</f>
        <v>0</v>
      </c>
      <c r="U529" s="13" t="n">
        <f aca="false">IF(AND(D529=WF_START_PERIOD,R529,COUNTIFS($B$5:$B$750,B529,$D$5:$D$750,WF_END_PERIOD,$R$5:$R$750,TRUE())&gt;0),SUMIFS($S$5:$S$750,$B$5:$B$750,B529,$D$5:$D$750,WF_END_PERIOD,$R$5:$R$750,TRUE()),0)</f>
        <v>0</v>
      </c>
      <c r="V529" s="0" t="str">
        <f aca="false">IF(AND(D529=WF_START_PERIOD,COUNTIFS($B$5:$B$750,B529,$D$5:$D$750,WF_END_PERIOD)&gt;0),INDEX($E$5:$E$750,MATCH(B529&amp;"|"&amp;WF_END_PERIOD,$AC$5:$AC$750,0)),"")</f>
        <v>NH</v>
      </c>
      <c r="W529" s="11" t="b">
        <f aca="false">COUNTIFS($B$5:$B$750,B529,$D$5:$D$750,WF_START_PERIOD,$R$5:$R$750,TRUE())&gt;0</f>
        <v>1</v>
      </c>
      <c r="X529" s="11" t="b">
        <f aca="false">COUNTIFS($B$5:$B$750,B529,$D$5:$D$750,WF_END_PERIOD,$R$5:$R$750,TRUE())&gt;0</f>
        <v>1</v>
      </c>
      <c r="Y529" s="0" t="str">
        <f aca="false">IF(AND(D529=WF_END_PERIOD,COUNTIFS($B$5:$B$750,B529,$D$5:$D$750,WF_START_PERIOD)&gt;0),INDEX($E$5:$E$750,MATCH(B529&amp;"|"&amp;WF_START_PERIOD,$AC$5:$AC$750,0)),"")</f>
        <v/>
      </c>
      <c r="Z529" s="0" t="str">
        <f aca="false">IF(AND(D529=WF_END_PERIOD,R529),1+COUNTIFS($D$5:$D$750,WF_END_PERIOD,$E$5:$E$750,E529,$R$5:$R$750,TRUE(),$S$5:$S$750,"&gt;"&amp;S529)+COUNTIFS($D$5:$D$750,WF_END_PERIOD,$E$5:$E$750,E529,$R$5:$R$750,TRUE(),$S$5:$S$750,S529,$B$5:$B$750,"&lt;"&amp;B529),"")</f>
        <v/>
      </c>
      <c r="AA529" s="0" t="str">
        <f aca="false">IF(AND(D529=WF_END_PERIOD,R529,Z529&lt;&gt;1),1+COUNTIFS($D$5:$D$750,WF_END_PERIOD,$R$5:$R$750,TRUE(),$Z$5:$Z$750,"&lt;&gt;1",$S$5:$S$750,"&gt;"&amp;S529)+COUNTIFS($D$5:$D$750,WF_END_PERIOD,$R$5:$R$750,TRUE(),$Z$5:$Z$750,"&lt;&gt;1",$S$5:$S$750,S529,$B$5:$B$750,"&lt;"&amp;B529),"")</f>
        <v/>
      </c>
      <c r="AB529" s="11" t="b">
        <f aca="false">OR(D529=WF_START_PERIOD,D529=WF_END_PERIOD)</f>
        <v>1</v>
      </c>
      <c r="AC529" s="0" t="str">
        <f aca="false">B529&amp;"|"&amp;D529</f>
        <v>35206|20240630</v>
      </c>
    </row>
    <row r="530" customFormat="false" ht="15" hidden="false" customHeight="false" outlineLevel="0" collapsed="false">
      <c r="A530" s="0" t="n">
        <f aca="false">RawFinancials!A530</f>
        <v>527</v>
      </c>
      <c r="B530" s="0" t="n">
        <f aca="false">RawFinancials!C530</f>
        <v>4255</v>
      </c>
      <c r="C530" s="0" t="str">
        <f aca="false">RawFinancials!P530</f>
        <v>THE CAMDEN NATIONAL BANK</v>
      </c>
      <c r="D530" s="0" t="n">
        <f aca="false">RawFinancials!W530</f>
        <v>20240630</v>
      </c>
      <c r="E530" s="0" t="str">
        <f aca="false">RawFinancials!Z530</f>
        <v>ME</v>
      </c>
      <c r="F530" s="0" t="n">
        <f aca="false">RawFinancials!B530</f>
        <v>5709625</v>
      </c>
      <c r="G530" s="0" t="n">
        <f aca="false">RawFinancials!U530</f>
        <v>0</v>
      </c>
      <c r="H530" s="0" t="n">
        <f aca="false">RawFinancials!O530</f>
        <v>7795</v>
      </c>
      <c r="I530" s="0" t="n">
        <f aca="false">IF(AND(ISNUMBER(G530),ISNUMBER(H530)),G530+H530,"")</f>
        <v>7795</v>
      </c>
      <c r="J530" s="0" t="n">
        <f aca="false">RawFinancials!D530</f>
        <v>4547560</v>
      </c>
      <c r="K530" s="0" t="n">
        <f aca="false">RawFinancials!F530</f>
        <v>521498</v>
      </c>
      <c r="L530" s="0" t="n">
        <f aca="false">RawFinancials!L530</f>
        <v>4153682</v>
      </c>
      <c r="M530" s="0" t="n">
        <f aca="false">RawFinancials!N530</f>
        <v>3763309</v>
      </c>
      <c r="N530" s="13" t="n">
        <f aca="false">RawFinancials!X530</f>
        <v>0.924812905065092</v>
      </c>
      <c r="O530" s="13" t="n">
        <f aca="false">RawFinancials!V530</f>
        <v>13.8306326550339</v>
      </c>
      <c r="P530" s="13" t="n">
        <f aca="false">IF(AND(ISNUMBER(L530),L530&lt;&gt;0,ISNUMBER(M530)),100*M530/L530,"")</f>
        <v>90.6017600769631</v>
      </c>
      <c r="Q530" s="13" t="n">
        <f aca="false">IF(AND(ISNUMBER(F530),F530&lt;&gt;0,ISNUMBER(K530)),100*K530/F530,"")</f>
        <v>9.13366464522626</v>
      </c>
      <c r="R530" s="11" t="b">
        <f aca="false">AND(ISNUMBER(F530),F530&gt;0,ISNUMBER(G530),G530&gt;=0,ISNUMBER(H530),H530&gt;=0)</f>
        <v>1</v>
      </c>
      <c r="S530" s="13" t="n">
        <f aca="false">IF(R530,100*I530/F530,"")</f>
        <v>0.136523852267005</v>
      </c>
      <c r="T530" s="11" t="b">
        <f aca="false">NOT(AND(OR(AND(ISBLANK(RawFinancials!B530),ISBLANK(_RawBaseline!B527)),AND(ISNUMBER(RawFinancials!B530),ISNUMBER(_RawBaseline!B527),RawFinancials!B530=_RawBaseline!B527)),OR(AND(ISBLANK(RawFinancials!U530),ISBLANK(_RawBaseline!U527)),AND(ISNUMBER(RawFinancials!U530),ISNUMBER(_RawBaseline!U527),RawFinancials!U530=_RawBaseline!U527)),OR(AND(ISBLANK(RawFinancials!O530),ISBLANK(_RawBaseline!O527)),AND(ISNUMBER(RawFinancials!O530),ISNUMBER(_RawBaseline!O527),RawFinancials!O530=_RawBaseline!O527))))</f>
        <v>0</v>
      </c>
      <c r="U530" s="13" t="n">
        <f aca="false">IF(AND(D530=WF_START_PERIOD,R530,COUNTIFS($B$5:$B$750,B530,$D$5:$D$750,WF_END_PERIOD,$R$5:$R$750,TRUE())&gt;0),SUMIFS($S$5:$S$750,$B$5:$B$750,B530,$D$5:$D$750,WF_END_PERIOD,$R$5:$R$750,TRUE()),0)</f>
        <v>0.263332044947102</v>
      </c>
      <c r="V530" s="0" t="str">
        <f aca="false">IF(AND(D530=WF_START_PERIOD,COUNTIFS($B$5:$B$750,B530,$D$5:$D$750,WF_END_PERIOD)&gt;0),INDEX($E$5:$E$750,MATCH(B530&amp;"|"&amp;WF_END_PERIOD,$AC$5:$AC$750,0)),"")</f>
        <v>ME</v>
      </c>
      <c r="W530" s="11" t="b">
        <f aca="false">COUNTIFS($B$5:$B$750,B530,$D$5:$D$750,WF_START_PERIOD,$R$5:$R$750,TRUE())&gt;0</f>
        <v>1</v>
      </c>
      <c r="X530" s="11" t="b">
        <f aca="false">COUNTIFS($B$5:$B$750,B530,$D$5:$D$750,WF_END_PERIOD,$R$5:$R$750,TRUE())&gt;0</f>
        <v>1</v>
      </c>
      <c r="Y530" s="0" t="str">
        <f aca="false">IF(AND(D530=WF_END_PERIOD,COUNTIFS($B$5:$B$750,B530,$D$5:$D$750,WF_START_PERIOD)&gt;0),INDEX($E$5:$E$750,MATCH(B530&amp;"|"&amp;WF_START_PERIOD,$AC$5:$AC$750,0)),"")</f>
        <v/>
      </c>
      <c r="Z530" s="0" t="str">
        <f aca="false">IF(AND(D530=WF_END_PERIOD,R530),1+COUNTIFS($D$5:$D$750,WF_END_PERIOD,$E$5:$E$750,E530,$R$5:$R$750,TRUE(),$S$5:$S$750,"&gt;"&amp;S530)+COUNTIFS($D$5:$D$750,WF_END_PERIOD,$E$5:$E$750,E530,$R$5:$R$750,TRUE(),$S$5:$S$750,S530,$B$5:$B$750,"&lt;"&amp;B530),"")</f>
        <v/>
      </c>
      <c r="AA530" s="0" t="str">
        <f aca="false">IF(AND(D530=WF_END_PERIOD,R530,Z530&lt;&gt;1),1+COUNTIFS($D$5:$D$750,WF_END_PERIOD,$R$5:$R$750,TRUE(),$Z$5:$Z$750,"&lt;&gt;1",$S$5:$S$750,"&gt;"&amp;S530)+COUNTIFS($D$5:$D$750,WF_END_PERIOD,$R$5:$R$750,TRUE(),$Z$5:$Z$750,"&lt;&gt;1",$S$5:$S$750,S530,$B$5:$B$750,"&lt;"&amp;B530),"")</f>
        <v/>
      </c>
      <c r="AB530" s="11" t="b">
        <f aca="false">OR(D530=WF_START_PERIOD,D530=WF_END_PERIOD)</f>
        <v>1</v>
      </c>
      <c r="AC530" s="0" t="str">
        <f aca="false">B530&amp;"|"&amp;D530</f>
        <v>4255|20240630</v>
      </c>
    </row>
    <row r="531" customFormat="false" ht="15" hidden="false" customHeight="false" outlineLevel="0" collapsed="false">
      <c r="A531" s="0" t="n">
        <f aca="false">RawFinancials!A531</f>
        <v>528</v>
      </c>
      <c r="B531" s="0" t="n">
        <f aca="false">RawFinancials!C531</f>
        <v>4256</v>
      </c>
      <c r="C531" s="0" t="str">
        <f aca="false">RawFinancials!P531</f>
        <v>FIRST NATIONAL BANK</v>
      </c>
      <c r="D531" s="0" t="n">
        <f aca="false">RawFinancials!W531</f>
        <v>20240630</v>
      </c>
      <c r="E531" s="0" t="str">
        <f aca="false">RawFinancials!Z531</f>
        <v>ME</v>
      </c>
      <c r="F531" s="0" t="n">
        <f aca="false">RawFinancials!B531</f>
        <v>3049270</v>
      </c>
      <c r="G531" s="0" t="n">
        <f aca="false">RawFinancials!U531</f>
        <v>87</v>
      </c>
      <c r="H531" s="0" t="n">
        <f aca="false">RawFinancials!O531</f>
        <v>2564</v>
      </c>
      <c r="I531" s="0" t="n">
        <f aca="false">IF(AND(ISNUMBER(G531),ISNUMBER(H531)),G531+H531,"")</f>
        <v>2651</v>
      </c>
      <c r="J531" s="0" t="n">
        <f aca="false">RawFinancials!D531</f>
        <v>2578790</v>
      </c>
      <c r="K531" s="0" t="n">
        <f aca="false">RawFinancials!F531</f>
        <v>215996</v>
      </c>
      <c r="L531" s="0" t="n">
        <f aca="false">RawFinancials!L531</f>
        <v>2247670</v>
      </c>
      <c r="M531" s="0" t="n">
        <f aca="false">RawFinancials!N531</f>
        <v>1791622</v>
      </c>
      <c r="N531" s="13" t="n">
        <f aca="false">RawFinancials!X531</f>
        <v>0.857312303576122</v>
      </c>
      <c r="O531" s="13" t="n">
        <f aca="false">RawFinancials!V531</f>
        <v>13.1885325111592</v>
      </c>
      <c r="P531" s="13" t="n">
        <f aca="false">IF(AND(ISNUMBER(L531),L531&lt;&gt;0,ISNUMBER(M531)),100*M531/L531,"")</f>
        <v>79.710188773263</v>
      </c>
      <c r="Q531" s="13" t="n">
        <f aca="false">IF(AND(ISNUMBER(F531),F531&lt;&gt;0,ISNUMBER(K531)),100*K531/F531,"")</f>
        <v>7.08353146818747</v>
      </c>
      <c r="R531" s="11" t="b">
        <f aca="false">AND(ISNUMBER(F531),F531&gt;0,ISNUMBER(G531),G531&gt;=0,ISNUMBER(H531),H531&gt;=0)</f>
        <v>1</v>
      </c>
      <c r="S531" s="13" t="n">
        <f aca="false">IF(R531,100*I531/F531,"")</f>
        <v>0.086938841099673</v>
      </c>
      <c r="T531" s="11" t="b">
        <f aca="false">NOT(AND(OR(AND(ISBLANK(RawFinancials!B531),ISBLANK(_RawBaseline!B528)),AND(ISNUMBER(RawFinancials!B531),ISNUMBER(_RawBaseline!B528),RawFinancials!B531=_RawBaseline!B528)),OR(AND(ISBLANK(RawFinancials!U531),ISBLANK(_RawBaseline!U528)),AND(ISNUMBER(RawFinancials!U531),ISNUMBER(_RawBaseline!U528),RawFinancials!U531=_RawBaseline!U528)),OR(AND(ISBLANK(RawFinancials!O531),ISBLANK(_RawBaseline!O528)),AND(ISNUMBER(RawFinancials!O531),ISNUMBER(_RawBaseline!O528),RawFinancials!O531=_RawBaseline!O528))))</f>
        <v>0</v>
      </c>
      <c r="U531" s="13" t="n">
        <f aca="false">IF(AND(D531=WF_START_PERIOD,R531,COUNTIFS($B$5:$B$750,B531,$D$5:$D$750,WF_END_PERIOD,$R$5:$R$750,TRUE())&gt;0),SUMIFS($S$5:$S$750,$B$5:$B$750,B531,$D$5:$D$750,WF_END_PERIOD,$R$5:$R$750,TRUE()),0)</f>
        <v>0.205306100776977</v>
      </c>
      <c r="V531" s="0" t="str">
        <f aca="false">IF(AND(D531=WF_START_PERIOD,COUNTIFS($B$5:$B$750,B531,$D$5:$D$750,WF_END_PERIOD)&gt;0),INDEX($E$5:$E$750,MATCH(B531&amp;"|"&amp;WF_END_PERIOD,$AC$5:$AC$750,0)),"")</f>
        <v>ME</v>
      </c>
      <c r="W531" s="11" t="b">
        <f aca="false">COUNTIFS($B$5:$B$750,B531,$D$5:$D$750,WF_START_PERIOD,$R$5:$R$750,TRUE())&gt;0</f>
        <v>1</v>
      </c>
      <c r="X531" s="11" t="b">
        <f aca="false">COUNTIFS($B$5:$B$750,B531,$D$5:$D$750,WF_END_PERIOD,$R$5:$R$750,TRUE())&gt;0</f>
        <v>1</v>
      </c>
      <c r="Y531" s="0" t="str">
        <f aca="false">IF(AND(D531=WF_END_PERIOD,COUNTIFS($B$5:$B$750,B531,$D$5:$D$750,WF_START_PERIOD)&gt;0),INDEX($E$5:$E$750,MATCH(B531&amp;"|"&amp;WF_START_PERIOD,$AC$5:$AC$750,0)),"")</f>
        <v/>
      </c>
      <c r="Z531" s="0" t="str">
        <f aca="false">IF(AND(D531=WF_END_PERIOD,R531),1+COUNTIFS($D$5:$D$750,WF_END_PERIOD,$E$5:$E$750,E531,$R$5:$R$750,TRUE(),$S$5:$S$750,"&gt;"&amp;S531)+COUNTIFS($D$5:$D$750,WF_END_PERIOD,$E$5:$E$750,E531,$R$5:$R$750,TRUE(),$S$5:$S$750,S531,$B$5:$B$750,"&lt;"&amp;B531),"")</f>
        <v/>
      </c>
      <c r="AA531" s="0" t="str">
        <f aca="false">IF(AND(D531=WF_END_PERIOD,R531,Z531&lt;&gt;1),1+COUNTIFS($D$5:$D$750,WF_END_PERIOD,$R$5:$R$750,TRUE(),$Z$5:$Z$750,"&lt;&gt;1",$S$5:$S$750,"&gt;"&amp;S531)+COUNTIFS($D$5:$D$750,WF_END_PERIOD,$R$5:$R$750,TRUE(),$Z$5:$Z$750,"&lt;&gt;1",$S$5:$S$750,S531,$B$5:$B$750,"&lt;"&amp;B531),"")</f>
        <v/>
      </c>
      <c r="AB531" s="11" t="b">
        <f aca="false">OR(D531=WF_START_PERIOD,D531=WF_END_PERIOD)</f>
        <v>1</v>
      </c>
      <c r="AC531" s="0" t="str">
        <f aca="false">B531&amp;"|"&amp;D531</f>
        <v>4256|20240630</v>
      </c>
    </row>
    <row r="532" customFormat="false" ht="15" hidden="false" customHeight="false" outlineLevel="0" collapsed="false">
      <c r="A532" s="0" t="n">
        <f aca="false">RawFinancials!A532</f>
        <v>529</v>
      </c>
      <c r="B532" s="0" t="n">
        <f aca="false">RawFinancials!C532</f>
        <v>59086</v>
      </c>
      <c r="C532" s="0" t="str">
        <f aca="false">RawFinancials!P532</f>
        <v>PRIMARY BANK</v>
      </c>
      <c r="D532" s="0" t="n">
        <f aca="false">RawFinancials!W532</f>
        <v>20240630</v>
      </c>
      <c r="E532" s="0" t="str">
        <f aca="false">RawFinancials!Z532</f>
        <v>NH</v>
      </c>
      <c r="F532" s="0" t="n">
        <f aca="false">RawFinancials!B532</f>
        <v>706680</v>
      </c>
      <c r="G532" s="0" t="n">
        <f aca="false">RawFinancials!U532</f>
        <v>0</v>
      </c>
      <c r="H532" s="0" t="n">
        <f aca="false">RawFinancials!O532</f>
        <v>4045</v>
      </c>
      <c r="I532" s="0" t="n">
        <f aca="false">IF(AND(ISNUMBER(G532),ISNUMBER(H532)),G532+H532,"")</f>
        <v>4045</v>
      </c>
      <c r="J532" s="0" t="n">
        <f aca="false">RawFinancials!D532</f>
        <v>602024</v>
      </c>
      <c r="K532" s="0" t="n">
        <f aca="false">RawFinancials!F532</f>
        <v>93282</v>
      </c>
      <c r="L532" s="0" t="n">
        <f aca="false">RawFinancials!L532</f>
        <v>594567</v>
      </c>
      <c r="M532" s="0" t="n">
        <f aca="false">RawFinancials!N532</f>
        <v>475386</v>
      </c>
      <c r="N532" s="13" t="n">
        <f aca="false">RawFinancials!X532</f>
        <v>1.41567060766831</v>
      </c>
      <c r="O532" s="13" t="n">
        <f aca="false">RawFinancials!V532</f>
        <v>15.7258590273076</v>
      </c>
      <c r="P532" s="13" t="n">
        <f aca="false">IF(AND(ISNUMBER(L532),L532&lt;&gt;0,ISNUMBER(M532)),100*M532/L532,"")</f>
        <v>79.9549924566954</v>
      </c>
      <c r="Q532" s="13" t="n">
        <f aca="false">IF(AND(ISNUMBER(F532),F532&lt;&gt;0,ISNUMBER(K532)),100*K532/F532,"")</f>
        <v>13.2000339616234</v>
      </c>
      <c r="R532" s="11" t="b">
        <f aca="false">AND(ISNUMBER(F532),F532&gt;0,ISNUMBER(G532),G532&gt;=0,ISNUMBER(H532),H532&gt;=0)</f>
        <v>1</v>
      </c>
      <c r="S532" s="13" t="n">
        <f aca="false">IF(R532,100*I532/F532,"")</f>
        <v>0.572394860474331</v>
      </c>
      <c r="T532" s="11" t="b">
        <f aca="false">NOT(AND(OR(AND(ISBLANK(RawFinancials!B532),ISBLANK(_RawBaseline!B529)),AND(ISNUMBER(RawFinancials!B532),ISNUMBER(_RawBaseline!B529),RawFinancials!B532=_RawBaseline!B529)),OR(AND(ISBLANK(RawFinancials!U532),ISBLANK(_RawBaseline!U529)),AND(ISNUMBER(RawFinancials!U532),ISNUMBER(_RawBaseline!U529),RawFinancials!U532=_RawBaseline!U529)),OR(AND(ISBLANK(RawFinancials!O532),ISBLANK(_RawBaseline!O529)),AND(ISNUMBER(RawFinancials!O532),ISNUMBER(_RawBaseline!O529),RawFinancials!O532=_RawBaseline!O529))))</f>
        <v>0</v>
      </c>
      <c r="U532" s="13" t="n">
        <f aca="false">IF(AND(D532=WF_START_PERIOD,R532,COUNTIFS($B$5:$B$750,B532,$D$5:$D$750,WF_END_PERIOD,$R$5:$R$750,TRUE())&gt;0),SUMIFS($S$5:$S$750,$B$5:$B$750,B532,$D$5:$D$750,WF_END_PERIOD,$R$5:$R$750,TRUE()),0)</f>
        <v>1.90796036718717</v>
      </c>
      <c r="V532" s="0" t="str">
        <f aca="false">IF(AND(D532=WF_START_PERIOD,COUNTIFS($B$5:$B$750,B532,$D$5:$D$750,WF_END_PERIOD)&gt;0),INDEX($E$5:$E$750,MATCH(B532&amp;"|"&amp;WF_END_PERIOD,$AC$5:$AC$750,0)),"")</f>
        <v>NH</v>
      </c>
      <c r="W532" s="11" t="b">
        <f aca="false">COUNTIFS($B$5:$B$750,B532,$D$5:$D$750,WF_START_PERIOD,$R$5:$R$750,TRUE())&gt;0</f>
        <v>1</v>
      </c>
      <c r="X532" s="11" t="b">
        <f aca="false">COUNTIFS($B$5:$B$750,B532,$D$5:$D$750,WF_END_PERIOD,$R$5:$R$750,TRUE())&gt;0</f>
        <v>1</v>
      </c>
      <c r="Y532" s="0" t="str">
        <f aca="false">IF(AND(D532=WF_END_PERIOD,COUNTIFS($B$5:$B$750,B532,$D$5:$D$750,WF_START_PERIOD)&gt;0),INDEX($E$5:$E$750,MATCH(B532&amp;"|"&amp;WF_START_PERIOD,$AC$5:$AC$750,0)),"")</f>
        <v/>
      </c>
      <c r="Z532" s="0" t="str">
        <f aca="false">IF(AND(D532=WF_END_PERIOD,R532),1+COUNTIFS($D$5:$D$750,WF_END_PERIOD,$E$5:$E$750,E532,$R$5:$R$750,TRUE(),$S$5:$S$750,"&gt;"&amp;S532)+COUNTIFS($D$5:$D$750,WF_END_PERIOD,$E$5:$E$750,E532,$R$5:$R$750,TRUE(),$S$5:$S$750,S532,$B$5:$B$750,"&lt;"&amp;B532),"")</f>
        <v/>
      </c>
      <c r="AA532" s="0" t="str">
        <f aca="false">IF(AND(D532=WF_END_PERIOD,R532,Z532&lt;&gt;1),1+COUNTIFS($D$5:$D$750,WF_END_PERIOD,$R$5:$R$750,TRUE(),$Z$5:$Z$750,"&lt;&gt;1",$S$5:$S$750,"&gt;"&amp;S532)+COUNTIFS($D$5:$D$750,WF_END_PERIOD,$R$5:$R$750,TRUE(),$Z$5:$Z$750,"&lt;&gt;1",$S$5:$S$750,S532,$B$5:$B$750,"&lt;"&amp;B532),"")</f>
        <v/>
      </c>
      <c r="AB532" s="11" t="b">
        <f aca="false">OR(D532=WF_START_PERIOD,D532=WF_END_PERIOD)</f>
        <v>1</v>
      </c>
      <c r="AC532" s="0" t="str">
        <f aca="false">B532&amp;"|"&amp;D532</f>
        <v>59086|20240630</v>
      </c>
    </row>
    <row r="533" customFormat="false" ht="15" hidden="false" customHeight="false" outlineLevel="0" collapsed="false">
      <c r="A533" s="0" t="n">
        <f aca="false">RawFinancials!A533</f>
        <v>530</v>
      </c>
      <c r="B533" s="0" t="n">
        <f aca="false">RawFinancials!C533</f>
        <v>59176</v>
      </c>
      <c r="C533" s="0" t="str">
        <f aca="false">RawFinancials!P533</f>
        <v>THE MILLYARD BANK</v>
      </c>
      <c r="D533" s="0" t="n">
        <f aca="false">RawFinancials!W533</f>
        <v>20240630</v>
      </c>
      <c r="E533" s="0" t="str">
        <f aca="false">RawFinancials!Z533</f>
        <v>NH</v>
      </c>
      <c r="F533" s="0" t="n">
        <f aca="false">RawFinancials!B533</f>
        <v>229589</v>
      </c>
      <c r="G533" s="0" t="n">
        <f aca="false">RawFinancials!U533</f>
        <v>0</v>
      </c>
      <c r="H533" s="0" t="n">
        <f aca="false">RawFinancials!O533</f>
        <v>0</v>
      </c>
      <c r="I533" s="0" t="n">
        <f aca="false">IF(AND(ISNUMBER(G533),ISNUMBER(H533)),G533+H533,"")</f>
        <v>0</v>
      </c>
      <c r="J533" s="0" t="n">
        <f aca="false">RawFinancials!D533</f>
        <v>190049</v>
      </c>
      <c r="K533" s="0" t="n">
        <f aca="false">RawFinancials!F533</f>
        <v>26811</v>
      </c>
      <c r="L533" s="0" t="n">
        <f aca="false">RawFinancials!L533</f>
        <v>167384</v>
      </c>
      <c r="M533" s="0" t="n">
        <f aca="false">RawFinancials!N533</f>
        <v>145359</v>
      </c>
      <c r="N533" s="13" t="n">
        <f aca="false">RawFinancials!X533</f>
        <v>-0.0574175999443223</v>
      </c>
      <c r="O533" s="13" t="n">
        <f aca="false">RawFinancials!V533</f>
        <v>0</v>
      </c>
      <c r="P533" s="13" t="n">
        <f aca="false">IF(AND(ISNUMBER(L533),L533&lt;&gt;0,ISNUMBER(M533)),100*M533/L533,"")</f>
        <v>86.8416336089471</v>
      </c>
      <c r="Q533" s="13" t="n">
        <f aca="false">IF(AND(ISNUMBER(F533),F533&lt;&gt;0,ISNUMBER(K533)),100*K533/F533,"")</f>
        <v>11.6778242860067</v>
      </c>
      <c r="R533" s="11" t="b">
        <f aca="false">AND(ISNUMBER(F533),F533&gt;0,ISNUMBER(G533),G533&gt;=0,ISNUMBER(H533),H533&gt;=0)</f>
        <v>1</v>
      </c>
      <c r="S533" s="13" t="n">
        <f aca="false">IF(R533,100*I533/F533,"")</f>
        <v>0</v>
      </c>
      <c r="T533" s="11" t="b">
        <f aca="false">NOT(AND(OR(AND(ISBLANK(RawFinancials!B533),ISBLANK(_RawBaseline!B530)),AND(ISNUMBER(RawFinancials!B533),ISNUMBER(_RawBaseline!B530),RawFinancials!B533=_RawBaseline!B530)),OR(AND(ISBLANK(RawFinancials!U533),ISBLANK(_RawBaseline!U530)),AND(ISNUMBER(RawFinancials!U533),ISNUMBER(_RawBaseline!U530),RawFinancials!U533=_RawBaseline!U530)),OR(AND(ISBLANK(RawFinancials!O533),ISBLANK(_RawBaseline!O530)),AND(ISNUMBER(RawFinancials!O533),ISNUMBER(_RawBaseline!O530),RawFinancials!O533=_RawBaseline!O530))))</f>
        <v>0</v>
      </c>
      <c r="U533" s="13" t="n">
        <f aca="false">IF(AND(D533=WF_START_PERIOD,R533,COUNTIFS($B$5:$B$750,B533,$D$5:$D$750,WF_END_PERIOD,$R$5:$R$750,TRUE())&gt;0),SUMIFS($S$5:$S$750,$B$5:$B$750,B533,$D$5:$D$750,WF_END_PERIOD,$R$5:$R$750,TRUE()),0)</f>
        <v>0</v>
      </c>
      <c r="V533" s="0" t="str">
        <f aca="false">IF(AND(D533=WF_START_PERIOD,COUNTIFS($B$5:$B$750,B533,$D$5:$D$750,WF_END_PERIOD)&gt;0),INDEX($E$5:$E$750,MATCH(B533&amp;"|"&amp;WF_END_PERIOD,$AC$5:$AC$750,0)),"")</f>
        <v>NH</v>
      </c>
      <c r="W533" s="11" t="b">
        <f aca="false">COUNTIFS($B$5:$B$750,B533,$D$5:$D$750,WF_START_PERIOD,$R$5:$R$750,TRUE())&gt;0</f>
        <v>1</v>
      </c>
      <c r="X533" s="11" t="b">
        <f aca="false">COUNTIFS($B$5:$B$750,B533,$D$5:$D$750,WF_END_PERIOD,$R$5:$R$750,TRUE())&gt;0</f>
        <v>1</v>
      </c>
      <c r="Y533" s="0" t="str">
        <f aca="false">IF(AND(D533=WF_END_PERIOD,COUNTIFS($B$5:$B$750,B533,$D$5:$D$750,WF_START_PERIOD)&gt;0),INDEX($E$5:$E$750,MATCH(B533&amp;"|"&amp;WF_START_PERIOD,$AC$5:$AC$750,0)),"")</f>
        <v/>
      </c>
      <c r="Z533" s="0" t="str">
        <f aca="false">IF(AND(D533=WF_END_PERIOD,R533),1+COUNTIFS($D$5:$D$750,WF_END_PERIOD,$E$5:$E$750,E533,$R$5:$R$750,TRUE(),$S$5:$S$750,"&gt;"&amp;S533)+COUNTIFS($D$5:$D$750,WF_END_PERIOD,$E$5:$E$750,E533,$R$5:$R$750,TRUE(),$S$5:$S$750,S533,$B$5:$B$750,"&lt;"&amp;B533),"")</f>
        <v/>
      </c>
      <c r="AA533" s="0" t="str">
        <f aca="false">IF(AND(D533=WF_END_PERIOD,R533,Z533&lt;&gt;1),1+COUNTIFS($D$5:$D$750,WF_END_PERIOD,$R$5:$R$750,TRUE(),$Z$5:$Z$750,"&lt;&gt;1",$S$5:$S$750,"&gt;"&amp;S533)+COUNTIFS($D$5:$D$750,WF_END_PERIOD,$R$5:$R$750,TRUE(),$Z$5:$Z$750,"&lt;&gt;1",$S$5:$S$750,S533,$B$5:$B$750,"&lt;"&amp;B533),"")</f>
        <v/>
      </c>
      <c r="AB533" s="11" t="b">
        <f aca="false">OR(D533=WF_START_PERIOD,D533=WF_END_PERIOD)</f>
        <v>1</v>
      </c>
      <c r="AC533" s="0" t="str">
        <f aca="false">B533&amp;"|"&amp;D533</f>
        <v>59176|20240630</v>
      </c>
    </row>
    <row r="534" customFormat="false" ht="15" hidden="false" customHeight="false" outlineLevel="0" collapsed="false">
      <c r="A534" s="0" t="n">
        <f aca="false">RawFinancials!A534</f>
        <v>531</v>
      </c>
      <c r="B534" s="0" t="n">
        <f aca="false">RawFinancials!C534</f>
        <v>59289</v>
      </c>
      <c r="C534" s="0" t="str">
        <f aca="false">RawFinancials!P534</f>
        <v>WALDEN MUTUAL BANK</v>
      </c>
      <c r="D534" s="0" t="n">
        <f aca="false">RawFinancials!W534</f>
        <v>20240630</v>
      </c>
      <c r="E534" s="0" t="str">
        <f aca="false">RawFinancials!Z534</f>
        <v>NH</v>
      </c>
      <c r="F534" s="0" t="n">
        <f aca="false">RawFinancials!B534</f>
        <v>105919</v>
      </c>
      <c r="G534" s="0" t="n">
        <f aca="false">RawFinancials!U534</f>
        <v>0</v>
      </c>
      <c r="H534" s="0" t="n">
        <f aca="false">RawFinancials!O534</f>
        <v>326</v>
      </c>
      <c r="I534" s="0" t="n">
        <f aca="false">IF(AND(ISNUMBER(G534),ISNUMBER(H534)),G534+H534,"")</f>
        <v>326</v>
      </c>
      <c r="J534" s="0" t="n">
        <f aca="false">RawFinancials!D534</f>
        <v>86145</v>
      </c>
      <c r="K534" s="0" t="n">
        <f aca="false">RawFinancials!F534</f>
        <v>18695</v>
      </c>
      <c r="L534" s="0" t="n">
        <f aca="false">RawFinancials!L534</f>
        <v>51371</v>
      </c>
      <c r="M534" s="0" t="n">
        <f aca="false">RawFinancials!N534</f>
        <v>20661</v>
      </c>
      <c r="N534" s="13" t="n">
        <f aca="false">RawFinancials!X534</f>
        <v>-1.13039059096849</v>
      </c>
      <c r="O534" s="13" t="n">
        <f aca="false">RawFinancials!V534</f>
        <v>0</v>
      </c>
      <c r="P534" s="13" t="n">
        <f aca="false">IF(AND(ISNUMBER(L534),L534&lt;&gt;0,ISNUMBER(M534)),100*M534/L534,"")</f>
        <v>40.2191898152654</v>
      </c>
      <c r="Q534" s="13" t="n">
        <f aca="false">IF(AND(ISNUMBER(F534),F534&lt;&gt;0,ISNUMBER(K534)),100*K534/F534,"")</f>
        <v>17.6502799308906</v>
      </c>
      <c r="R534" s="11" t="b">
        <f aca="false">AND(ISNUMBER(F534),F534&gt;0,ISNUMBER(G534),G534&gt;=0,ISNUMBER(H534),H534&gt;=0)</f>
        <v>1</v>
      </c>
      <c r="S534" s="13" t="n">
        <f aca="false">IF(R534,100*I534/F534,"")</f>
        <v>0.307782361993599</v>
      </c>
      <c r="T534" s="11" t="b">
        <f aca="false">NOT(AND(OR(AND(ISBLANK(RawFinancials!B534),ISBLANK(_RawBaseline!B531)),AND(ISNUMBER(RawFinancials!B534),ISNUMBER(_RawBaseline!B531),RawFinancials!B534=_RawBaseline!B531)),OR(AND(ISBLANK(RawFinancials!U534),ISBLANK(_RawBaseline!U531)),AND(ISNUMBER(RawFinancials!U534),ISNUMBER(_RawBaseline!U531),RawFinancials!U534=_RawBaseline!U531)),OR(AND(ISBLANK(RawFinancials!O534),ISBLANK(_RawBaseline!O531)),AND(ISNUMBER(RawFinancials!O534),ISNUMBER(_RawBaseline!O531),RawFinancials!O534=_RawBaseline!O531))))</f>
        <v>0</v>
      </c>
      <c r="U534" s="13" t="n">
        <f aca="false">IF(AND(D534=WF_START_PERIOD,R534,COUNTIFS($B$5:$B$750,B534,$D$5:$D$750,WF_END_PERIOD,$R$5:$R$750,TRUE())&gt;0),SUMIFS($S$5:$S$750,$B$5:$B$750,B534,$D$5:$D$750,WF_END_PERIOD,$R$5:$R$750,TRUE()),0)</f>
        <v>1.94190052811475</v>
      </c>
      <c r="V534" s="0" t="str">
        <f aca="false">IF(AND(D534=WF_START_PERIOD,COUNTIFS($B$5:$B$750,B534,$D$5:$D$750,WF_END_PERIOD)&gt;0),INDEX($E$5:$E$750,MATCH(B534&amp;"|"&amp;WF_END_PERIOD,$AC$5:$AC$750,0)),"")</f>
        <v>NH</v>
      </c>
      <c r="W534" s="11" t="b">
        <f aca="false">COUNTIFS($B$5:$B$750,B534,$D$5:$D$750,WF_START_PERIOD,$R$5:$R$750,TRUE())&gt;0</f>
        <v>1</v>
      </c>
      <c r="X534" s="11" t="b">
        <f aca="false">COUNTIFS($B$5:$B$750,B534,$D$5:$D$750,WF_END_PERIOD,$R$5:$R$750,TRUE())&gt;0</f>
        <v>1</v>
      </c>
      <c r="Y534" s="0" t="str">
        <f aca="false">IF(AND(D534=WF_END_PERIOD,COUNTIFS($B$5:$B$750,B534,$D$5:$D$750,WF_START_PERIOD)&gt;0),INDEX($E$5:$E$750,MATCH(B534&amp;"|"&amp;WF_START_PERIOD,$AC$5:$AC$750,0)),"")</f>
        <v/>
      </c>
      <c r="Z534" s="0" t="str">
        <f aca="false">IF(AND(D534=WF_END_PERIOD,R534),1+COUNTIFS($D$5:$D$750,WF_END_PERIOD,$E$5:$E$750,E534,$R$5:$R$750,TRUE(),$S$5:$S$750,"&gt;"&amp;S534)+COUNTIFS($D$5:$D$750,WF_END_PERIOD,$E$5:$E$750,E534,$R$5:$R$750,TRUE(),$S$5:$S$750,S534,$B$5:$B$750,"&lt;"&amp;B534),"")</f>
        <v/>
      </c>
      <c r="AA534" s="0" t="str">
        <f aca="false">IF(AND(D534=WF_END_PERIOD,R534,Z534&lt;&gt;1),1+COUNTIFS($D$5:$D$750,WF_END_PERIOD,$R$5:$R$750,TRUE(),$Z$5:$Z$750,"&lt;&gt;1",$S$5:$S$750,"&gt;"&amp;S534)+COUNTIFS($D$5:$D$750,WF_END_PERIOD,$R$5:$R$750,TRUE(),$Z$5:$Z$750,"&lt;&gt;1",$S$5:$S$750,S534,$B$5:$B$750,"&lt;"&amp;B534),"")</f>
        <v/>
      </c>
      <c r="AB534" s="11" t="b">
        <f aca="false">OR(D534=WF_START_PERIOD,D534=WF_END_PERIOD)</f>
        <v>1</v>
      </c>
      <c r="AC534" s="0" t="str">
        <f aca="false">B534&amp;"|"&amp;D534</f>
        <v>59289|20240630</v>
      </c>
    </row>
    <row r="535" customFormat="false" ht="15" hidden="false" customHeight="false" outlineLevel="0" collapsed="false">
      <c r="A535" s="0" t="n">
        <f aca="false">RawFinancials!A535</f>
        <v>532</v>
      </c>
      <c r="B535" s="0" t="n">
        <f aca="false">RawFinancials!C535</f>
        <v>59298</v>
      </c>
      <c r="C535" s="0" t="str">
        <f aca="false">RawFinancials!P535</f>
        <v>BANK OF BURLINGTON</v>
      </c>
      <c r="D535" s="0" t="n">
        <f aca="false">RawFinancials!W535</f>
        <v>20240630</v>
      </c>
      <c r="E535" s="0" t="str">
        <f aca="false">RawFinancials!Z535</f>
        <v>VT</v>
      </c>
      <c r="F535" s="0" t="n">
        <f aca="false">RawFinancials!B535</f>
        <v>218470</v>
      </c>
      <c r="G535" s="0" t="n">
        <f aca="false">RawFinancials!U535</f>
        <v>0</v>
      </c>
      <c r="H535" s="0" t="n">
        <f aca="false">RawFinancials!O535</f>
        <v>0</v>
      </c>
      <c r="I535" s="0" t="n">
        <f aca="false">IF(AND(ISNUMBER(G535),ISNUMBER(H535)),G535+H535,"")</f>
        <v>0</v>
      </c>
      <c r="J535" s="0" t="n">
        <f aca="false">RawFinancials!D535</f>
        <v>191471</v>
      </c>
      <c r="K535" s="0" t="n">
        <f aca="false">RawFinancials!F535</f>
        <v>25754</v>
      </c>
      <c r="L535" s="0" t="n">
        <f aca="false">RawFinancials!L535</f>
        <v>98920</v>
      </c>
      <c r="M535" s="0" t="n">
        <f aca="false">RawFinancials!N535</f>
        <v>79488</v>
      </c>
      <c r="N535" s="13" t="n">
        <f aca="false">RawFinancials!X535</f>
        <v>-1.24942004259719</v>
      </c>
      <c r="O535" s="13" t="n">
        <f aca="false">RawFinancials!V535</f>
        <v>0</v>
      </c>
      <c r="P535" s="13" t="n">
        <f aca="false">IF(AND(ISNUMBER(L535),L535&lt;&gt;0,ISNUMBER(M535)),100*M535/L535,"")</f>
        <v>80.3558431055398</v>
      </c>
      <c r="Q535" s="13" t="n">
        <f aca="false">IF(AND(ISNUMBER(F535),F535&lt;&gt;0,ISNUMBER(K535)),100*K535/F535,"")</f>
        <v>11.7883462260265</v>
      </c>
      <c r="R535" s="11" t="b">
        <f aca="false">AND(ISNUMBER(F535),F535&gt;0,ISNUMBER(G535),G535&gt;=0,ISNUMBER(H535),H535&gt;=0)</f>
        <v>1</v>
      </c>
      <c r="S535" s="13" t="n">
        <f aca="false">IF(R535,100*I535/F535,"")</f>
        <v>0</v>
      </c>
      <c r="T535" s="11" t="b">
        <f aca="false">NOT(AND(OR(AND(ISBLANK(RawFinancials!B535),ISBLANK(_RawBaseline!B532)),AND(ISNUMBER(RawFinancials!B535),ISNUMBER(_RawBaseline!B532),RawFinancials!B535=_RawBaseline!B532)),OR(AND(ISBLANK(RawFinancials!U535),ISBLANK(_RawBaseline!U532)),AND(ISNUMBER(RawFinancials!U535),ISNUMBER(_RawBaseline!U532),RawFinancials!U535=_RawBaseline!U532)),OR(AND(ISBLANK(RawFinancials!O535),ISBLANK(_RawBaseline!O532)),AND(ISNUMBER(RawFinancials!O535),ISNUMBER(_RawBaseline!O532),RawFinancials!O535=_RawBaseline!O532))))</f>
        <v>0</v>
      </c>
      <c r="U535" s="13" t="n">
        <f aca="false">IF(AND(D535=WF_START_PERIOD,R535,COUNTIFS($B$5:$B$750,B535,$D$5:$D$750,WF_END_PERIOD,$R$5:$R$750,TRUE())&gt;0),SUMIFS($S$5:$S$750,$B$5:$B$750,B535,$D$5:$D$750,WF_END_PERIOD,$R$5:$R$750,TRUE()),0)</f>
        <v>0</v>
      </c>
      <c r="V535" s="0" t="str">
        <f aca="false">IF(AND(D535=WF_START_PERIOD,COUNTIFS($B$5:$B$750,B535,$D$5:$D$750,WF_END_PERIOD)&gt;0),INDEX($E$5:$E$750,MATCH(B535&amp;"|"&amp;WF_END_PERIOD,$AC$5:$AC$750,0)),"")</f>
        <v>VT</v>
      </c>
      <c r="W535" s="11" t="b">
        <f aca="false">COUNTIFS($B$5:$B$750,B535,$D$5:$D$750,WF_START_PERIOD,$R$5:$R$750,TRUE())&gt;0</f>
        <v>1</v>
      </c>
      <c r="X535" s="11" t="b">
        <f aca="false">COUNTIFS($B$5:$B$750,B535,$D$5:$D$750,WF_END_PERIOD,$R$5:$R$750,TRUE())&gt;0</f>
        <v>1</v>
      </c>
      <c r="Y535" s="0" t="str">
        <f aca="false">IF(AND(D535=WF_END_PERIOD,COUNTIFS($B$5:$B$750,B535,$D$5:$D$750,WF_START_PERIOD)&gt;0),INDEX($E$5:$E$750,MATCH(B535&amp;"|"&amp;WF_START_PERIOD,$AC$5:$AC$750,0)),"")</f>
        <v/>
      </c>
      <c r="Z535" s="0" t="str">
        <f aca="false">IF(AND(D535=WF_END_PERIOD,R535),1+COUNTIFS($D$5:$D$750,WF_END_PERIOD,$E$5:$E$750,E535,$R$5:$R$750,TRUE(),$S$5:$S$750,"&gt;"&amp;S535)+COUNTIFS($D$5:$D$750,WF_END_PERIOD,$E$5:$E$750,E535,$R$5:$R$750,TRUE(),$S$5:$S$750,S535,$B$5:$B$750,"&lt;"&amp;B535),"")</f>
        <v/>
      </c>
      <c r="AA535" s="0" t="str">
        <f aca="false">IF(AND(D535=WF_END_PERIOD,R535,Z535&lt;&gt;1),1+COUNTIFS($D$5:$D$750,WF_END_PERIOD,$R$5:$R$750,TRUE(),$Z$5:$Z$750,"&lt;&gt;1",$S$5:$S$750,"&gt;"&amp;S535)+COUNTIFS($D$5:$D$750,WF_END_PERIOD,$R$5:$R$750,TRUE(),$Z$5:$Z$750,"&lt;&gt;1",$S$5:$S$750,S535,$B$5:$B$750,"&lt;"&amp;B535),"")</f>
        <v/>
      </c>
      <c r="AB535" s="11" t="b">
        <f aca="false">OR(D535=WF_START_PERIOD,D535=WF_END_PERIOD)</f>
        <v>1</v>
      </c>
      <c r="AC535" s="0" t="str">
        <f aca="false">B535&amp;"|"&amp;D535</f>
        <v>59298|20240630</v>
      </c>
    </row>
    <row r="536" customFormat="false" ht="15" hidden="false" customHeight="false" outlineLevel="0" collapsed="false">
      <c r="A536" s="0" t="n">
        <f aca="false">RawFinancials!A536</f>
        <v>533</v>
      </c>
      <c r="B536" s="0" t="n">
        <f aca="false">RawFinancials!C536</f>
        <v>6271</v>
      </c>
      <c r="C536" s="0" t="str">
        <f aca="false">RawFinancials!P536</f>
        <v>COMMUNITY NATIONAL BANK</v>
      </c>
      <c r="D536" s="0" t="n">
        <f aca="false">RawFinancials!W536</f>
        <v>20240630</v>
      </c>
      <c r="E536" s="0" t="str">
        <f aca="false">RawFinancials!Z536</f>
        <v>VT</v>
      </c>
      <c r="F536" s="0" t="n">
        <f aca="false">RawFinancials!B536</f>
        <v>1099892</v>
      </c>
      <c r="G536" s="0" t="n">
        <f aca="false">RawFinancials!U536</f>
        <v>670</v>
      </c>
      <c r="H536" s="0" t="n">
        <f aca="false">RawFinancials!O536</f>
        <v>5816</v>
      </c>
      <c r="I536" s="0" t="n">
        <f aca="false">IF(AND(ISNUMBER(G536),ISNUMBER(H536)),G536+H536,"")</f>
        <v>6486</v>
      </c>
      <c r="J536" s="0" t="n">
        <f aca="false">RawFinancials!D536</f>
        <v>850097</v>
      </c>
      <c r="K536" s="0" t="n">
        <f aca="false">RawFinancials!F536</f>
        <v>103229</v>
      </c>
      <c r="L536" s="0" t="n">
        <f aca="false">RawFinancials!L536</f>
        <v>862977</v>
      </c>
      <c r="M536" s="0" t="n">
        <f aca="false">RawFinancials!N536</f>
        <v>686602</v>
      </c>
      <c r="N536" s="13" t="n">
        <f aca="false">RawFinancials!X536</f>
        <v>1.11624647825961</v>
      </c>
      <c r="O536" s="13" t="n">
        <f aca="false">RawFinancials!V536</f>
        <v>14.8842709917216</v>
      </c>
      <c r="P536" s="13" t="n">
        <f aca="false">IF(AND(ISNUMBER(L536),L536&lt;&gt;0,ISNUMBER(M536)),100*M536/L536,"")</f>
        <v>79.5620277249568</v>
      </c>
      <c r="Q536" s="13" t="n">
        <f aca="false">IF(AND(ISNUMBER(F536),F536&lt;&gt;0,ISNUMBER(K536)),100*K536/F536,"")</f>
        <v>9.38537601873639</v>
      </c>
      <c r="R536" s="11" t="b">
        <f aca="false">AND(ISNUMBER(F536),F536&gt;0,ISNUMBER(G536),G536&gt;=0,ISNUMBER(H536),H536&gt;=0)</f>
        <v>1</v>
      </c>
      <c r="S536" s="13" t="n">
        <f aca="false">IF(R536,100*I536/F536,"")</f>
        <v>0.589694260891069</v>
      </c>
      <c r="T536" s="11" t="b">
        <f aca="false">NOT(AND(OR(AND(ISBLANK(RawFinancials!B536),ISBLANK(_RawBaseline!B533)),AND(ISNUMBER(RawFinancials!B536),ISNUMBER(_RawBaseline!B533),RawFinancials!B536=_RawBaseline!B533)),OR(AND(ISBLANK(RawFinancials!U536),ISBLANK(_RawBaseline!U533)),AND(ISNUMBER(RawFinancials!U536),ISNUMBER(_RawBaseline!U533),RawFinancials!U536=_RawBaseline!U533)),OR(AND(ISBLANK(RawFinancials!O536),ISBLANK(_RawBaseline!O533)),AND(ISNUMBER(RawFinancials!O536),ISNUMBER(_RawBaseline!O533),RawFinancials!O536=_RawBaseline!O533))))</f>
        <v>0</v>
      </c>
      <c r="U536" s="13" t="n">
        <f aca="false">IF(AND(D536=WF_START_PERIOD,R536,COUNTIFS($B$5:$B$750,B536,$D$5:$D$750,WF_END_PERIOD,$R$5:$R$750,TRUE())&gt;0),SUMIFS($S$5:$S$750,$B$5:$B$750,B536,$D$5:$D$750,WF_END_PERIOD,$R$5:$R$750,TRUE()),0)</f>
        <v>0.791651086922964</v>
      </c>
      <c r="V536" s="0" t="str">
        <f aca="false">IF(AND(D536=WF_START_PERIOD,COUNTIFS($B$5:$B$750,B536,$D$5:$D$750,WF_END_PERIOD)&gt;0),INDEX($E$5:$E$750,MATCH(B536&amp;"|"&amp;WF_END_PERIOD,$AC$5:$AC$750,0)),"")</f>
        <v>VT</v>
      </c>
      <c r="W536" s="11" t="b">
        <f aca="false">COUNTIFS($B$5:$B$750,B536,$D$5:$D$750,WF_START_PERIOD,$R$5:$R$750,TRUE())&gt;0</f>
        <v>1</v>
      </c>
      <c r="X536" s="11" t="b">
        <f aca="false">COUNTIFS($B$5:$B$750,B536,$D$5:$D$750,WF_END_PERIOD,$R$5:$R$750,TRUE())&gt;0</f>
        <v>1</v>
      </c>
      <c r="Y536" s="0" t="str">
        <f aca="false">IF(AND(D536=WF_END_PERIOD,COUNTIFS($B$5:$B$750,B536,$D$5:$D$750,WF_START_PERIOD)&gt;0),INDEX($E$5:$E$750,MATCH(B536&amp;"|"&amp;WF_START_PERIOD,$AC$5:$AC$750,0)),"")</f>
        <v/>
      </c>
      <c r="Z536" s="0" t="str">
        <f aca="false">IF(AND(D536=WF_END_PERIOD,R536),1+COUNTIFS($D$5:$D$750,WF_END_PERIOD,$E$5:$E$750,E536,$R$5:$R$750,TRUE(),$S$5:$S$750,"&gt;"&amp;S536)+COUNTIFS($D$5:$D$750,WF_END_PERIOD,$E$5:$E$750,E536,$R$5:$R$750,TRUE(),$S$5:$S$750,S536,$B$5:$B$750,"&lt;"&amp;B536),"")</f>
        <v/>
      </c>
      <c r="AA536" s="0" t="str">
        <f aca="false">IF(AND(D536=WF_END_PERIOD,R536,Z536&lt;&gt;1),1+COUNTIFS($D$5:$D$750,WF_END_PERIOD,$R$5:$R$750,TRUE(),$Z$5:$Z$750,"&lt;&gt;1",$S$5:$S$750,"&gt;"&amp;S536)+COUNTIFS($D$5:$D$750,WF_END_PERIOD,$R$5:$R$750,TRUE(),$Z$5:$Z$750,"&lt;&gt;1",$S$5:$S$750,S536,$B$5:$B$750,"&lt;"&amp;B536),"")</f>
        <v/>
      </c>
      <c r="AB536" s="11" t="b">
        <f aca="false">OR(D536=WF_START_PERIOD,D536=WF_END_PERIOD)</f>
        <v>1</v>
      </c>
      <c r="AC536" s="0" t="str">
        <f aca="false">B536&amp;"|"&amp;D536</f>
        <v>6271|20240630</v>
      </c>
    </row>
    <row r="537" customFormat="false" ht="15" hidden="false" customHeight="false" outlineLevel="0" collapsed="false">
      <c r="A537" s="0" t="n">
        <f aca="false">RawFinancials!A537</f>
        <v>534</v>
      </c>
      <c r="B537" s="0" t="n">
        <f aca="false">RawFinancials!C537</f>
        <v>6275</v>
      </c>
      <c r="C537" s="0" t="str">
        <f aca="false">RawFinancials!P537</f>
        <v>THE NATIONAL BANK OF MIDDLEBURY</v>
      </c>
      <c r="D537" s="0" t="n">
        <f aca="false">RawFinancials!W537</f>
        <v>20240630</v>
      </c>
      <c r="E537" s="0" t="str">
        <f aca="false">RawFinancials!Z537</f>
        <v>VT</v>
      </c>
      <c r="F537" s="0" t="n">
        <f aca="false">RawFinancials!B537</f>
        <v>555322</v>
      </c>
      <c r="G537" s="0" t="n">
        <f aca="false">RawFinancials!U537</f>
        <v>0</v>
      </c>
      <c r="H537" s="0" t="n">
        <f aca="false">RawFinancials!O537</f>
        <v>1132</v>
      </c>
      <c r="I537" s="0" t="n">
        <f aca="false">IF(AND(ISNUMBER(G537),ISNUMBER(H537)),G537+H537,"")</f>
        <v>1132</v>
      </c>
      <c r="J537" s="0" t="n">
        <f aca="false">RawFinancials!D537</f>
        <v>475950</v>
      </c>
      <c r="K537" s="0" t="n">
        <f aca="false">RawFinancials!F537</f>
        <v>30528</v>
      </c>
      <c r="L537" s="0" t="n">
        <f aca="false">RawFinancials!L537</f>
        <v>346288</v>
      </c>
      <c r="M537" s="0" t="n">
        <f aca="false">RawFinancials!N537</f>
        <v>286833</v>
      </c>
      <c r="N537" s="13" t="n">
        <f aca="false">RawFinancials!X537</f>
        <v>0.484528661086993</v>
      </c>
      <c r="O537" s="13" t="n">
        <f aca="false">RawFinancials!V537</f>
        <v>14.8227959202203</v>
      </c>
      <c r="P537" s="13" t="n">
        <f aca="false">IF(AND(ISNUMBER(L537),L537&lt;&gt;0,ISNUMBER(M537)),100*M537/L537,"")</f>
        <v>82.8307651434644</v>
      </c>
      <c r="Q537" s="13" t="n">
        <f aca="false">IF(AND(ISNUMBER(F537),F537&lt;&gt;0,ISNUMBER(K537)),100*K537/F537,"")</f>
        <v>5.49735108639672</v>
      </c>
      <c r="R537" s="11" t="b">
        <f aca="false">AND(ISNUMBER(F537),F537&gt;0,ISNUMBER(G537),G537&gt;=0,ISNUMBER(H537),H537&gt;=0)</f>
        <v>1</v>
      </c>
      <c r="S537" s="13" t="n">
        <f aca="false">IF(R537,100*I537/F537,"")</f>
        <v>0.203845696730906</v>
      </c>
      <c r="T537" s="11" t="b">
        <f aca="false">NOT(AND(OR(AND(ISBLANK(RawFinancials!B537),ISBLANK(_RawBaseline!B534)),AND(ISNUMBER(RawFinancials!B537),ISNUMBER(_RawBaseline!B534),RawFinancials!B537=_RawBaseline!B534)),OR(AND(ISBLANK(RawFinancials!U537),ISBLANK(_RawBaseline!U534)),AND(ISNUMBER(RawFinancials!U537),ISNUMBER(_RawBaseline!U534),RawFinancials!U537=_RawBaseline!U534)),OR(AND(ISBLANK(RawFinancials!O537),ISBLANK(_RawBaseline!O534)),AND(ISNUMBER(RawFinancials!O537),ISNUMBER(_RawBaseline!O534),RawFinancials!O537=_RawBaseline!O534))))</f>
        <v>0</v>
      </c>
      <c r="U537" s="13" t="n">
        <f aca="false">IF(AND(D537=WF_START_PERIOD,R537,COUNTIFS($B$5:$B$750,B537,$D$5:$D$750,WF_END_PERIOD,$R$5:$R$750,TRUE())&gt;0),SUMIFS($S$5:$S$750,$B$5:$B$750,B537,$D$5:$D$750,WF_END_PERIOD,$R$5:$R$750,TRUE()),0)</f>
        <v>0.117986626975869</v>
      </c>
      <c r="V537" s="0" t="str">
        <f aca="false">IF(AND(D537=WF_START_PERIOD,COUNTIFS($B$5:$B$750,B537,$D$5:$D$750,WF_END_PERIOD)&gt;0),INDEX($E$5:$E$750,MATCH(B537&amp;"|"&amp;WF_END_PERIOD,$AC$5:$AC$750,0)),"")</f>
        <v>VT</v>
      </c>
      <c r="W537" s="11" t="b">
        <f aca="false">COUNTIFS($B$5:$B$750,B537,$D$5:$D$750,WF_START_PERIOD,$R$5:$R$750,TRUE())&gt;0</f>
        <v>1</v>
      </c>
      <c r="X537" s="11" t="b">
        <f aca="false">COUNTIFS($B$5:$B$750,B537,$D$5:$D$750,WF_END_PERIOD,$R$5:$R$750,TRUE())&gt;0</f>
        <v>1</v>
      </c>
      <c r="Y537" s="0" t="str">
        <f aca="false">IF(AND(D537=WF_END_PERIOD,COUNTIFS($B$5:$B$750,B537,$D$5:$D$750,WF_START_PERIOD)&gt;0),INDEX($E$5:$E$750,MATCH(B537&amp;"|"&amp;WF_START_PERIOD,$AC$5:$AC$750,0)),"")</f>
        <v/>
      </c>
      <c r="Z537" s="0" t="str">
        <f aca="false">IF(AND(D537=WF_END_PERIOD,R537),1+COUNTIFS($D$5:$D$750,WF_END_PERIOD,$E$5:$E$750,E537,$R$5:$R$750,TRUE(),$S$5:$S$750,"&gt;"&amp;S537)+COUNTIFS($D$5:$D$750,WF_END_PERIOD,$E$5:$E$750,E537,$R$5:$R$750,TRUE(),$S$5:$S$750,S537,$B$5:$B$750,"&lt;"&amp;B537),"")</f>
        <v/>
      </c>
      <c r="AA537" s="0" t="str">
        <f aca="false">IF(AND(D537=WF_END_PERIOD,R537,Z537&lt;&gt;1),1+COUNTIFS($D$5:$D$750,WF_END_PERIOD,$R$5:$R$750,TRUE(),$Z$5:$Z$750,"&lt;&gt;1",$S$5:$S$750,"&gt;"&amp;S537)+COUNTIFS($D$5:$D$750,WF_END_PERIOD,$R$5:$R$750,TRUE(),$Z$5:$Z$750,"&lt;&gt;1",$S$5:$S$750,S537,$B$5:$B$750,"&lt;"&amp;B537),"")</f>
        <v/>
      </c>
      <c r="AB537" s="11" t="b">
        <f aca="false">OR(D537=WF_START_PERIOD,D537=WF_END_PERIOD)</f>
        <v>1</v>
      </c>
      <c r="AC537" s="0" t="str">
        <f aca="false">B537&amp;"|"&amp;D537</f>
        <v>6275|20240630</v>
      </c>
    </row>
    <row r="538" customFormat="false" ht="15" hidden="false" customHeight="false" outlineLevel="0" collapsed="false">
      <c r="A538" s="0" t="n">
        <f aca="false">RawFinancials!A538</f>
        <v>535</v>
      </c>
      <c r="B538" s="0" t="n">
        <f aca="false">RawFinancials!C538</f>
        <v>6280</v>
      </c>
      <c r="C538" s="0" t="str">
        <f aca="false">RawFinancials!P538</f>
        <v>THE FIRST NATIONAL BANK OF ORWELL</v>
      </c>
      <c r="D538" s="0" t="n">
        <f aca="false">RawFinancials!W538</f>
        <v>20240630</v>
      </c>
      <c r="E538" s="0" t="str">
        <f aca="false">RawFinancials!Z538</f>
        <v>VT</v>
      </c>
      <c r="F538" s="0" t="n">
        <f aca="false">RawFinancials!B538</f>
        <v>81265</v>
      </c>
      <c r="G538" s="0" t="n">
        <f aca="false">RawFinancials!U538</f>
        <v>0</v>
      </c>
      <c r="H538" s="0" t="n">
        <f aca="false">RawFinancials!O538</f>
        <v>1206</v>
      </c>
      <c r="I538" s="0" t="n">
        <f aca="false">IF(AND(ISNUMBER(G538),ISNUMBER(H538)),G538+H538,"")</f>
        <v>1206</v>
      </c>
      <c r="J538" s="0" t="n">
        <f aca="false">RawFinancials!D538</f>
        <v>71124</v>
      </c>
      <c r="K538" s="0" t="n">
        <f aca="false">RawFinancials!F538</f>
        <v>9570</v>
      </c>
      <c r="L538" s="0" t="n">
        <f aca="false">RawFinancials!L538</f>
        <v>68641</v>
      </c>
      <c r="M538" s="0" t="n">
        <f aca="false">RawFinancials!N538</f>
        <v>59949</v>
      </c>
      <c r="N538" s="13" t="n">
        <f aca="false">RawFinancials!X538</f>
        <v>1.4362928525532</v>
      </c>
      <c r="O538" s="13" t="n">
        <f aca="false">RawFinancials!V538</f>
        <v>0</v>
      </c>
      <c r="P538" s="13" t="n">
        <f aca="false">IF(AND(ISNUMBER(L538),L538&lt;&gt;0,ISNUMBER(M538)),100*M538/L538,"")</f>
        <v>87.3370143208869</v>
      </c>
      <c r="Q538" s="13" t="n">
        <f aca="false">IF(AND(ISNUMBER(F538),F538&lt;&gt;0,ISNUMBER(K538)),100*K538/F538,"")</f>
        <v>11.7762874546238</v>
      </c>
      <c r="R538" s="11" t="b">
        <f aca="false">AND(ISNUMBER(F538),F538&gt;0,ISNUMBER(G538),G538&gt;=0,ISNUMBER(H538),H538&gt;=0)</f>
        <v>1</v>
      </c>
      <c r="S538" s="13" t="n">
        <f aca="false">IF(R538,100*I538/F538,"")</f>
        <v>1.48403371685227</v>
      </c>
      <c r="T538" s="11" t="b">
        <f aca="false">NOT(AND(OR(AND(ISBLANK(RawFinancials!B538),ISBLANK(_RawBaseline!B535)),AND(ISNUMBER(RawFinancials!B538),ISNUMBER(_RawBaseline!B535),RawFinancials!B538=_RawBaseline!B535)),OR(AND(ISBLANK(RawFinancials!U538),ISBLANK(_RawBaseline!U535)),AND(ISNUMBER(RawFinancials!U538),ISNUMBER(_RawBaseline!U535),RawFinancials!U538=_RawBaseline!U535)),OR(AND(ISBLANK(RawFinancials!O538),ISBLANK(_RawBaseline!O535)),AND(ISNUMBER(RawFinancials!O538),ISNUMBER(_RawBaseline!O535),RawFinancials!O538=_RawBaseline!O535))))</f>
        <v>0</v>
      </c>
      <c r="U538" s="13" t="n">
        <f aca="false">IF(AND(D538=WF_START_PERIOD,R538,COUNTIFS($B$5:$B$750,B538,$D$5:$D$750,WF_END_PERIOD,$R$5:$R$750,TRUE())&gt;0),SUMIFS($S$5:$S$750,$B$5:$B$750,B538,$D$5:$D$750,WF_END_PERIOD,$R$5:$R$750,TRUE()),0)</f>
        <v>1.65774182522502</v>
      </c>
      <c r="V538" s="0" t="str">
        <f aca="false">IF(AND(D538=WF_START_PERIOD,COUNTIFS($B$5:$B$750,B538,$D$5:$D$750,WF_END_PERIOD)&gt;0),INDEX($E$5:$E$750,MATCH(B538&amp;"|"&amp;WF_END_PERIOD,$AC$5:$AC$750,0)),"")</f>
        <v>VT</v>
      </c>
      <c r="W538" s="11" t="b">
        <f aca="false">COUNTIFS($B$5:$B$750,B538,$D$5:$D$750,WF_START_PERIOD,$R$5:$R$750,TRUE())&gt;0</f>
        <v>1</v>
      </c>
      <c r="X538" s="11" t="b">
        <f aca="false">COUNTIFS($B$5:$B$750,B538,$D$5:$D$750,WF_END_PERIOD,$R$5:$R$750,TRUE())&gt;0</f>
        <v>1</v>
      </c>
      <c r="Y538" s="0" t="str">
        <f aca="false">IF(AND(D538=WF_END_PERIOD,COUNTIFS($B$5:$B$750,B538,$D$5:$D$750,WF_START_PERIOD)&gt;0),INDEX($E$5:$E$750,MATCH(B538&amp;"|"&amp;WF_START_PERIOD,$AC$5:$AC$750,0)),"")</f>
        <v/>
      </c>
      <c r="Z538" s="0" t="str">
        <f aca="false">IF(AND(D538=WF_END_PERIOD,R538),1+COUNTIFS($D$5:$D$750,WF_END_PERIOD,$E$5:$E$750,E538,$R$5:$R$750,TRUE(),$S$5:$S$750,"&gt;"&amp;S538)+COUNTIFS($D$5:$D$750,WF_END_PERIOD,$E$5:$E$750,E538,$R$5:$R$750,TRUE(),$S$5:$S$750,S538,$B$5:$B$750,"&lt;"&amp;B538),"")</f>
        <v/>
      </c>
      <c r="AA538" s="0" t="str">
        <f aca="false">IF(AND(D538=WF_END_PERIOD,R538,Z538&lt;&gt;1),1+COUNTIFS($D$5:$D$750,WF_END_PERIOD,$R$5:$R$750,TRUE(),$Z$5:$Z$750,"&lt;&gt;1",$S$5:$S$750,"&gt;"&amp;S538)+COUNTIFS($D$5:$D$750,WF_END_PERIOD,$R$5:$R$750,TRUE(),$Z$5:$Z$750,"&lt;&gt;1",$S$5:$S$750,S538,$B$5:$B$750,"&lt;"&amp;B538),"")</f>
        <v/>
      </c>
      <c r="AB538" s="11" t="b">
        <f aca="false">OR(D538=WF_START_PERIOD,D538=WF_END_PERIOD)</f>
        <v>1</v>
      </c>
      <c r="AC538" s="0" t="str">
        <f aca="false">B538&amp;"|"&amp;D538</f>
        <v>6280|20240630</v>
      </c>
    </row>
    <row r="539" customFormat="false" ht="15" hidden="false" customHeight="false" outlineLevel="0" collapsed="false">
      <c r="A539" s="0" t="n">
        <f aca="false">RawFinancials!A539</f>
        <v>536</v>
      </c>
      <c r="B539" s="0" t="n">
        <f aca="false">RawFinancials!C539</f>
        <v>11971</v>
      </c>
      <c r="C539" s="0" t="str">
        <f aca="false">RawFinancials!P539</f>
        <v>BAR HARBOR BANK &amp; TRUST</v>
      </c>
      <c r="D539" s="0" t="n">
        <f aca="false">RawFinancials!W539</f>
        <v>20240930</v>
      </c>
      <c r="E539" s="0" t="str">
        <f aca="false">RawFinancials!Z539</f>
        <v>ME</v>
      </c>
      <c r="F539" s="0" t="n">
        <f aca="false">RawFinancials!B539</f>
        <v>4025992</v>
      </c>
      <c r="G539" s="0" t="n">
        <f aca="false">RawFinancials!U539</f>
        <v>0</v>
      </c>
      <c r="H539" s="0" t="n">
        <f aca="false">RawFinancials!O539</f>
        <v>7100</v>
      </c>
      <c r="I539" s="0" t="n">
        <f aca="false">IF(AND(ISNUMBER(G539),ISNUMBER(H539)),G539+H539,"")</f>
        <v>7100</v>
      </c>
      <c r="J539" s="0" t="n">
        <f aca="false">RawFinancials!D539</f>
        <v>3269616</v>
      </c>
      <c r="K539" s="0" t="n">
        <f aca="false">RawFinancials!F539</f>
        <v>513464</v>
      </c>
      <c r="L539" s="0" t="n">
        <f aca="false">RawFinancials!L539</f>
        <v>3083007</v>
      </c>
      <c r="M539" s="0" t="n">
        <f aca="false">RawFinancials!N539</f>
        <v>2726474</v>
      </c>
      <c r="N539" s="13" t="n">
        <f aca="false">RawFinancials!X539</f>
        <v>1.25603124970666</v>
      </c>
      <c r="O539" s="13" t="n">
        <f aca="false">RawFinancials!V539</f>
        <v>14.1709737676617</v>
      </c>
      <c r="P539" s="13" t="n">
        <f aca="false">IF(AND(ISNUMBER(L539),L539&lt;&gt;0,ISNUMBER(M539)),100*M539/L539,"")</f>
        <v>88.4355436105075</v>
      </c>
      <c r="Q539" s="13" t="n">
        <f aca="false">IF(AND(ISNUMBER(F539),F539&lt;&gt;0,ISNUMBER(K539)),100*K539/F539,"")</f>
        <v>12.7537262865897</v>
      </c>
      <c r="R539" s="11" t="b">
        <f aca="false">AND(ISNUMBER(F539),F539&gt;0,ISNUMBER(G539),G539&gt;=0,ISNUMBER(H539),H539&gt;=0)</f>
        <v>1</v>
      </c>
      <c r="S539" s="13" t="n">
        <f aca="false">IF(R539,100*I539/F539,"")</f>
        <v>0.176354051374171</v>
      </c>
      <c r="T539" s="11" t="b">
        <f aca="false">NOT(AND(OR(AND(ISBLANK(RawFinancials!B539),ISBLANK(_RawBaseline!B536)),AND(ISNUMBER(RawFinancials!B539),ISNUMBER(_RawBaseline!B536),RawFinancials!B539=_RawBaseline!B536)),OR(AND(ISBLANK(RawFinancials!U539),ISBLANK(_RawBaseline!U536)),AND(ISNUMBER(RawFinancials!U539),ISNUMBER(_RawBaseline!U536),RawFinancials!U539=_RawBaseline!U536)),OR(AND(ISBLANK(RawFinancials!O539),ISBLANK(_RawBaseline!O536)),AND(ISNUMBER(RawFinancials!O539),ISNUMBER(_RawBaseline!O536),RawFinancials!O539=_RawBaseline!O536))))</f>
        <v>0</v>
      </c>
      <c r="U539" s="13" t="n">
        <f aca="false">IF(AND(D539=WF_START_PERIOD,R539,COUNTIFS($B$5:$B$750,B539,$D$5:$D$750,WF_END_PERIOD,$R$5:$R$750,TRUE())&gt;0),SUMIFS($S$5:$S$750,$B$5:$B$750,B539,$D$5:$D$750,WF_END_PERIOD,$R$5:$R$750,TRUE()),0)</f>
        <v>0</v>
      </c>
      <c r="V539" s="0" t="str">
        <f aca="false">IF(AND(D539=WF_START_PERIOD,COUNTIFS($B$5:$B$750,B539,$D$5:$D$750,WF_END_PERIOD)&gt;0),INDEX($E$5:$E$750,MATCH(B539&amp;"|"&amp;WF_END_PERIOD,$AC$5:$AC$750,0)),"")</f>
        <v/>
      </c>
      <c r="W539" s="11" t="b">
        <f aca="false">COUNTIFS($B$5:$B$750,B539,$D$5:$D$750,WF_START_PERIOD,$R$5:$R$750,TRUE())&gt;0</f>
        <v>1</v>
      </c>
      <c r="X539" s="11" t="b">
        <f aca="false">COUNTIFS($B$5:$B$750,B539,$D$5:$D$750,WF_END_PERIOD,$R$5:$R$750,TRUE())&gt;0</f>
        <v>1</v>
      </c>
      <c r="Y539" s="0" t="str">
        <f aca="false">IF(AND(D539=WF_END_PERIOD,COUNTIFS($B$5:$B$750,B539,$D$5:$D$750,WF_START_PERIOD)&gt;0),INDEX($E$5:$E$750,MATCH(B539&amp;"|"&amp;WF_START_PERIOD,$AC$5:$AC$750,0)),"")</f>
        <v/>
      </c>
      <c r="Z539" s="0" t="str">
        <f aca="false">IF(AND(D539=WF_END_PERIOD,R539),1+COUNTIFS($D$5:$D$750,WF_END_PERIOD,$E$5:$E$750,E539,$R$5:$R$750,TRUE(),$S$5:$S$750,"&gt;"&amp;S539)+COUNTIFS($D$5:$D$750,WF_END_PERIOD,$E$5:$E$750,E539,$R$5:$R$750,TRUE(),$S$5:$S$750,S539,$B$5:$B$750,"&lt;"&amp;B539),"")</f>
        <v/>
      </c>
      <c r="AA539" s="0" t="str">
        <f aca="false">IF(AND(D539=WF_END_PERIOD,R539,Z539&lt;&gt;1),1+COUNTIFS($D$5:$D$750,WF_END_PERIOD,$R$5:$R$750,TRUE(),$Z$5:$Z$750,"&lt;&gt;1",$S$5:$S$750,"&gt;"&amp;S539)+COUNTIFS($D$5:$D$750,WF_END_PERIOD,$R$5:$R$750,TRUE(),$Z$5:$Z$750,"&lt;&gt;1",$S$5:$S$750,S539,$B$5:$B$750,"&lt;"&amp;B539),"")</f>
        <v/>
      </c>
      <c r="AB539" s="11" t="b">
        <f aca="false">OR(D539=WF_START_PERIOD,D539=WF_END_PERIOD)</f>
        <v>0</v>
      </c>
      <c r="AC539" s="0" t="str">
        <f aca="false">B539&amp;"|"&amp;D539</f>
        <v>11971|20240930</v>
      </c>
    </row>
    <row r="540" customFormat="false" ht="15" hidden="false" customHeight="false" outlineLevel="0" collapsed="false">
      <c r="A540" s="0" t="n">
        <f aca="false">RawFinancials!A540</f>
        <v>537</v>
      </c>
      <c r="B540" s="0" t="n">
        <f aca="false">RawFinancials!C540</f>
        <v>12874</v>
      </c>
      <c r="C540" s="0" t="str">
        <f aca="false">RawFinancials!P540</f>
        <v>KATAHDIN TRUST COMPANY</v>
      </c>
      <c r="D540" s="0" t="n">
        <f aca="false">RawFinancials!W540</f>
        <v>20240930</v>
      </c>
      <c r="E540" s="0" t="str">
        <f aca="false">RawFinancials!Z540</f>
        <v>ME</v>
      </c>
      <c r="F540" s="0" t="n">
        <f aca="false">RawFinancials!B540</f>
        <v>1048081</v>
      </c>
      <c r="G540" s="0" t="n">
        <f aca="false">RawFinancials!U540</f>
        <v>27</v>
      </c>
      <c r="H540" s="0" t="n">
        <f aca="false">RawFinancials!O540</f>
        <v>1535</v>
      </c>
      <c r="I540" s="0" t="n">
        <f aca="false">IF(AND(ISNUMBER(G540),ISNUMBER(H540)),G540+H540,"")</f>
        <v>1562</v>
      </c>
      <c r="J540" s="0" t="n">
        <f aca="false">RawFinancials!D540</f>
        <v>886959</v>
      </c>
      <c r="K540" s="0" t="n">
        <f aca="false">RawFinancials!F540</f>
        <v>113573</v>
      </c>
      <c r="L540" s="0" t="n">
        <f aca="false">RawFinancials!L540</f>
        <v>818183</v>
      </c>
      <c r="M540" s="0" t="n">
        <f aca="false">RawFinancials!N540</f>
        <v>635002</v>
      </c>
      <c r="N540" s="13" t="n">
        <f aca="false">RawFinancials!X540</f>
        <v>0.901173084941212</v>
      </c>
      <c r="O540" s="13" t="n">
        <f aca="false">RawFinancials!V540</f>
        <v>16.2659086030794</v>
      </c>
      <c r="P540" s="13" t="n">
        <f aca="false">IF(AND(ISNUMBER(L540),L540&lt;&gt;0,ISNUMBER(M540)),100*M540/L540,"")</f>
        <v>77.6112434504261</v>
      </c>
      <c r="Q540" s="13" t="n">
        <f aca="false">IF(AND(ISNUMBER(F540),F540&lt;&gt;0,ISNUMBER(K540)),100*K540/F540,"")</f>
        <v>10.8362807836417</v>
      </c>
      <c r="R540" s="11" t="b">
        <f aca="false">AND(ISNUMBER(F540),F540&gt;0,ISNUMBER(G540),G540&gt;=0,ISNUMBER(H540),H540&gt;=0)</f>
        <v>1</v>
      </c>
      <c r="S540" s="13" t="n">
        <f aca="false">IF(R540,100*I540/F540,"")</f>
        <v>0.149034282655634</v>
      </c>
      <c r="T540" s="11" t="b">
        <f aca="false">NOT(AND(OR(AND(ISBLANK(RawFinancials!B540),ISBLANK(_RawBaseline!B537)),AND(ISNUMBER(RawFinancials!B540),ISNUMBER(_RawBaseline!B537),RawFinancials!B540=_RawBaseline!B537)),OR(AND(ISBLANK(RawFinancials!U540),ISBLANK(_RawBaseline!U537)),AND(ISNUMBER(RawFinancials!U540),ISNUMBER(_RawBaseline!U537),RawFinancials!U540=_RawBaseline!U537)),OR(AND(ISBLANK(RawFinancials!O540),ISBLANK(_RawBaseline!O537)),AND(ISNUMBER(RawFinancials!O540),ISNUMBER(_RawBaseline!O537),RawFinancials!O540=_RawBaseline!O537))))</f>
        <v>0</v>
      </c>
      <c r="U540" s="13" t="n">
        <f aca="false">IF(AND(D540=WF_START_PERIOD,R540,COUNTIFS($B$5:$B$750,B540,$D$5:$D$750,WF_END_PERIOD,$R$5:$R$750,TRUE())&gt;0),SUMIFS($S$5:$S$750,$B$5:$B$750,B540,$D$5:$D$750,WF_END_PERIOD,$R$5:$R$750,TRUE()),0)</f>
        <v>0</v>
      </c>
      <c r="V540" s="0" t="str">
        <f aca="false">IF(AND(D540=WF_START_PERIOD,COUNTIFS($B$5:$B$750,B540,$D$5:$D$750,WF_END_PERIOD)&gt;0),INDEX($E$5:$E$750,MATCH(B540&amp;"|"&amp;WF_END_PERIOD,$AC$5:$AC$750,0)),"")</f>
        <v/>
      </c>
      <c r="W540" s="11" t="b">
        <f aca="false">COUNTIFS($B$5:$B$750,B540,$D$5:$D$750,WF_START_PERIOD,$R$5:$R$750,TRUE())&gt;0</f>
        <v>1</v>
      </c>
      <c r="X540" s="11" t="b">
        <f aca="false">COUNTIFS($B$5:$B$750,B540,$D$5:$D$750,WF_END_PERIOD,$R$5:$R$750,TRUE())&gt;0</f>
        <v>1</v>
      </c>
      <c r="Y540" s="0" t="str">
        <f aca="false">IF(AND(D540=WF_END_PERIOD,COUNTIFS($B$5:$B$750,B540,$D$5:$D$750,WF_START_PERIOD)&gt;0),INDEX($E$5:$E$750,MATCH(B540&amp;"|"&amp;WF_START_PERIOD,$AC$5:$AC$750,0)),"")</f>
        <v/>
      </c>
      <c r="Z540" s="0" t="str">
        <f aca="false">IF(AND(D540=WF_END_PERIOD,R540),1+COUNTIFS($D$5:$D$750,WF_END_PERIOD,$E$5:$E$750,E540,$R$5:$R$750,TRUE(),$S$5:$S$750,"&gt;"&amp;S540)+COUNTIFS($D$5:$D$750,WF_END_PERIOD,$E$5:$E$750,E540,$R$5:$R$750,TRUE(),$S$5:$S$750,S540,$B$5:$B$750,"&lt;"&amp;B540),"")</f>
        <v/>
      </c>
      <c r="AA540" s="0" t="str">
        <f aca="false">IF(AND(D540=WF_END_PERIOD,R540,Z540&lt;&gt;1),1+COUNTIFS($D$5:$D$750,WF_END_PERIOD,$R$5:$R$750,TRUE(),$Z$5:$Z$750,"&lt;&gt;1",$S$5:$S$750,"&gt;"&amp;S540)+COUNTIFS($D$5:$D$750,WF_END_PERIOD,$R$5:$R$750,TRUE(),$Z$5:$Z$750,"&lt;&gt;1",$S$5:$S$750,S540,$B$5:$B$750,"&lt;"&amp;B540),"")</f>
        <v/>
      </c>
      <c r="AB540" s="11" t="b">
        <f aca="false">OR(D540=WF_START_PERIOD,D540=WF_END_PERIOD)</f>
        <v>0</v>
      </c>
      <c r="AC540" s="0" t="str">
        <f aca="false">B540&amp;"|"&amp;D540</f>
        <v>12874|20240930</v>
      </c>
    </row>
    <row r="541" customFormat="false" ht="15" hidden="false" customHeight="false" outlineLevel="0" collapsed="false">
      <c r="A541" s="0" t="n">
        <f aca="false">RawFinancials!A541</f>
        <v>538</v>
      </c>
      <c r="B541" s="0" t="n">
        <f aca="false">RawFinancials!C541</f>
        <v>13063</v>
      </c>
      <c r="C541" s="0" t="str">
        <f aca="false">RawFinancials!P541</f>
        <v>KENNEBUNK SAVINGS BANK</v>
      </c>
      <c r="D541" s="0" t="n">
        <f aca="false">RawFinancials!W541</f>
        <v>20240930</v>
      </c>
      <c r="E541" s="0" t="str">
        <f aca="false">RawFinancials!Z541</f>
        <v>ME</v>
      </c>
      <c r="F541" s="0" t="n">
        <f aca="false">RawFinancials!B541</f>
        <v>1856523</v>
      </c>
      <c r="G541" s="0" t="n">
        <f aca="false">RawFinancials!U541</f>
        <v>0</v>
      </c>
      <c r="H541" s="0" t="n">
        <f aca="false">RawFinancials!O541</f>
        <v>503</v>
      </c>
      <c r="I541" s="0" t="n">
        <f aca="false">IF(AND(ISNUMBER(G541),ISNUMBER(H541)),G541+H541,"")</f>
        <v>503</v>
      </c>
      <c r="J541" s="0" t="n">
        <f aca="false">RawFinancials!D541</f>
        <v>1649721</v>
      </c>
      <c r="K541" s="0" t="n">
        <f aca="false">RawFinancials!F541</f>
        <v>158562</v>
      </c>
      <c r="L541" s="0" t="n">
        <f aca="false">RawFinancials!L541</f>
        <v>1476973</v>
      </c>
      <c r="M541" s="0" t="n">
        <f aca="false">RawFinancials!N541</f>
        <v>1407554</v>
      </c>
      <c r="N541" s="13" t="n">
        <f aca="false">RawFinancials!X541</f>
        <v>0.459638695982449</v>
      </c>
      <c r="O541" s="13" t="n">
        <f aca="false">RawFinancials!V541</f>
        <v>0</v>
      </c>
      <c r="P541" s="13" t="n">
        <f aca="false">IF(AND(ISNUMBER(L541),L541&lt;&gt;0,ISNUMBER(M541)),100*M541/L541,"")</f>
        <v>95.2999140810292</v>
      </c>
      <c r="Q541" s="13" t="n">
        <f aca="false">IF(AND(ISNUMBER(F541),F541&lt;&gt;0,ISNUMBER(K541)),100*K541/F541,"")</f>
        <v>8.54080450390326</v>
      </c>
      <c r="R541" s="11" t="b">
        <f aca="false">AND(ISNUMBER(F541),F541&gt;0,ISNUMBER(G541),G541&gt;=0,ISNUMBER(H541),H541&gt;=0)</f>
        <v>1</v>
      </c>
      <c r="S541" s="13" t="n">
        <f aca="false">IF(R541,100*I541/F541,"")</f>
        <v>0.027093658414143</v>
      </c>
      <c r="T541" s="11" t="b">
        <f aca="false">NOT(AND(OR(AND(ISBLANK(RawFinancials!B541),ISBLANK(_RawBaseline!B538)),AND(ISNUMBER(RawFinancials!B541),ISNUMBER(_RawBaseline!B538),RawFinancials!B541=_RawBaseline!B538)),OR(AND(ISBLANK(RawFinancials!U541),ISBLANK(_RawBaseline!U538)),AND(ISNUMBER(RawFinancials!U541),ISNUMBER(_RawBaseline!U538),RawFinancials!U541=_RawBaseline!U538)),OR(AND(ISBLANK(RawFinancials!O541),ISBLANK(_RawBaseline!O538)),AND(ISNUMBER(RawFinancials!O541),ISNUMBER(_RawBaseline!O538),RawFinancials!O541=_RawBaseline!O538))))</f>
        <v>0</v>
      </c>
      <c r="U541" s="13" t="n">
        <f aca="false">IF(AND(D541=WF_START_PERIOD,R541,COUNTIFS($B$5:$B$750,B541,$D$5:$D$750,WF_END_PERIOD,$R$5:$R$750,TRUE())&gt;0),SUMIFS($S$5:$S$750,$B$5:$B$750,B541,$D$5:$D$750,WF_END_PERIOD,$R$5:$R$750,TRUE()),0)</f>
        <v>0</v>
      </c>
      <c r="V541" s="0" t="str">
        <f aca="false">IF(AND(D541=WF_START_PERIOD,COUNTIFS($B$5:$B$750,B541,$D$5:$D$750,WF_END_PERIOD)&gt;0),INDEX($E$5:$E$750,MATCH(B541&amp;"|"&amp;WF_END_PERIOD,$AC$5:$AC$750,0)),"")</f>
        <v/>
      </c>
      <c r="W541" s="11" t="b">
        <f aca="false">COUNTIFS($B$5:$B$750,B541,$D$5:$D$750,WF_START_PERIOD,$R$5:$R$750,TRUE())&gt;0</f>
        <v>1</v>
      </c>
      <c r="X541" s="11" t="b">
        <f aca="false">COUNTIFS($B$5:$B$750,B541,$D$5:$D$750,WF_END_PERIOD,$R$5:$R$750,TRUE())&gt;0</f>
        <v>1</v>
      </c>
      <c r="Y541" s="0" t="str">
        <f aca="false">IF(AND(D541=WF_END_PERIOD,COUNTIFS($B$5:$B$750,B541,$D$5:$D$750,WF_START_PERIOD)&gt;0),INDEX($E$5:$E$750,MATCH(B541&amp;"|"&amp;WF_START_PERIOD,$AC$5:$AC$750,0)),"")</f>
        <v/>
      </c>
      <c r="Z541" s="0" t="str">
        <f aca="false">IF(AND(D541=WF_END_PERIOD,R541),1+COUNTIFS($D$5:$D$750,WF_END_PERIOD,$E$5:$E$750,E541,$R$5:$R$750,TRUE(),$S$5:$S$750,"&gt;"&amp;S541)+COUNTIFS($D$5:$D$750,WF_END_PERIOD,$E$5:$E$750,E541,$R$5:$R$750,TRUE(),$S$5:$S$750,S541,$B$5:$B$750,"&lt;"&amp;B541),"")</f>
        <v/>
      </c>
      <c r="AA541" s="0" t="str">
        <f aca="false">IF(AND(D541=WF_END_PERIOD,R541,Z541&lt;&gt;1),1+COUNTIFS($D$5:$D$750,WF_END_PERIOD,$R$5:$R$750,TRUE(),$Z$5:$Z$750,"&lt;&gt;1",$S$5:$S$750,"&gt;"&amp;S541)+COUNTIFS($D$5:$D$750,WF_END_PERIOD,$R$5:$R$750,TRUE(),$Z$5:$Z$750,"&lt;&gt;1",$S$5:$S$750,S541,$B$5:$B$750,"&lt;"&amp;B541),"")</f>
        <v/>
      </c>
      <c r="AB541" s="11" t="b">
        <f aca="false">OR(D541=WF_START_PERIOD,D541=WF_END_PERIOD)</f>
        <v>0</v>
      </c>
      <c r="AC541" s="0" t="str">
        <f aca="false">B541&amp;"|"&amp;D541</f>
        <v>13063|20240930</v>
      </c>
    </row>
    <row r="542" customFormat="false" ht="15" hidden="false" customHeight="false" outlineLevel="0" collapsed="false">
      <c r="A542" s="0" t="n">
        <f aca="false">RawFinancials!A542</f>
        <v>539</v>
      </c>
      <c r="B542" s="0" t="n">
        <f aca="false">RawFinancials!C542</f>
        <v>14134</v>
      </c>
      <c r="C542" s="0" t="str">
        <f aca="false">RawFinancials!P542</f>
        <v>PASSUMPSIC SAVINGS BANK</v>
      </c>
      <c r="D542" s="0" t="n">
        <f aca="false">RawFinancials!W542</f>
        <v>20240930</v>
      </c>
      <c r="E542" s="0" t="str">
        <f aca="false">RawFinancials!Z542</f>
        <v>VT</v>
      </c>
      <c r="F542" s="0" t="n">
        <f aca="false">RawFinancials!B542</f>
        <v>881237</v>
      </c>
      <c r="G542" s="0" t="n">
        <f aca="false">RawFinancials!U542</f>
        <v>0</v>
      </c>
      <c r="H542" s="0" t="n">
        <f aca="false">RawFinancials!O542</f>
        <v>8606</v>
      </c>
      <c r="I542" s="0" t="n">
        <f aca="false">IF(AND(ISNUMBER(G542),ISNUMBER(H542)),G542+H542,"")</f>
        <v>8606</v>
      </c>
      <c r="J542" s="0" t="n">
        <f aca="false">RawFinancials!D542</f>
        <v>697247</v>
      </c>
      <c r="K542" s="0" t="n">
        <f aca="false">RawFinancials!F542</f>
        <v>113479</v>
      </c>
      <c r="L542" s="0" t="n">
        <f aca="false">RawFinancials!L542</f>
        <v>626162</v>
      </c>
      <c r="M542" s="0" t="n">
        <f aca="false">RawFinancials!N542</f>
        <v>553522</v>
      </c>
      <c r="N542" s="13" t="n">
        <f aca="false">RawFinancials!X542</f>
        <v>0.952621592945186</v>
      </c>
      <c r="O542" s="13" t="n">
        <f aca="false">RawFinancials!V542</f>
        <v>19.944591622946</v>
      </c>
      <c r="P542" s="13" t="n">
        <f aca="false">IF(AND(ISNUMBER(L542),L542&lt;&gt;0,ISNUMBER(M542)),100*M542/L542,"")</f>
        <v>88.3991682663592</v>
      </c>
      <c r="Q542" s="13" t="n">
        <f aca="false">IF(AND(ISNUMBER(F542),F542&lt;&gt;0,ISNUMBER(K542)),100*K542/F542,"")</f>
        <v>12.8772396075063</v>
      </c>
      <c r="R542" s="11" t="b">
        <f aca="false">AND(ISNUMBER(F542),F542&gt;0,ISNUMBER(G542),G542&gt;=0,ISNUMBER(H542),H542&gt;=0)</f>
        <v>1</v>
      </c>
      <c r="S542" s="13" t="n">
        <f aca="false">IF(R542,100*I542/F542,"")</f>
        <v>0.97658178219934</v>
      </c>
      <c r="T542" s="11" t="b">
        <f aca="false">NOT(AND(OR(AND(ISBLANK(RawFinancials!B542),ISBLANK(_RawBaseline!B539)),AND(ISNUMBER(RawFinancials!B542),ISNUMBER(_RawBaseline!B539),RawFinancials!B542=_RawBaseline!B539)),OR(AND(ISBLANK(RawFinancials!U542),ISBLANK(_RawBaseline!U539)),AND(ISNUMBER(RawFinancials!U542),ISNUMBER(_RawBaseline!U539),RawFinancials!U542=_RawBaseline!U539)),OR(AND(ISBLANK(RawFinancials!O542),ISBLANK(_RawBaseline!O539)),AND(ISNUMBER(RawFinancials!O542),ISNUMBER(_RawBaseline!O539),RawFinancials!O542=_RawBaseline!O539))))</f>
        <v>0</v>
      </c>
      <c r="U542" s="13" t="n">
        <f aca="false">IF(AND(D542=WF_START_PERIOD,R542,COUNTIFS($B$5:$B$750,B542,$D$5:$D$750,WF_END_PERIOD,$R$5:$R$750,TRUE())&gt;0),SUMIFS($S$5:$S$750,$B$5:$B$750,B542,$D$5:$D$750,WF_END_PERIOD,$R$5:$R$750,TRUE()),0)</f>
        <v>0</v>
      </c>
      <c r="V542" s="0" t="str">
        <f aca="false">IF(AND(D542=WF_START_PERIOD,COUNTIFS($B$5:$B$750,B542,$D$5:$D$750,WF_END_PERIOD)&gt;0),INDEX($E$5:$E$750,MATCH(B542&amp;"|"&amp;WF_END_PERIOD,$AC$5:$AC$750,0)),"")</f>
        <v/>
      </c>
      <c r="W542" s="11" t="b">
        <f aca="false">COUNTIFS($B$5:$B$750,B542,$D$5:$D$750,WF_START_PERIOD,$R$5:$R$750,TRUE())&gt;0</f>
        <v>1</v>
      </c>
      <c r="X542" s="11" t="b">
        <f aca="false">COUNTIFS($B$5:$B$750,B542,$D$5:$D$750,WF_END_PERIOD,$R$5:$R$750,TRUE())&gt;0</f>
        <v>1</v>
      </c>
      <c r="Y542" s="0" t="str">
        <f aca="false">IF(AND(D542=WF_END_PERIOD,COUNTIFS($B$5:$B$750,B542,$D$5:$D$750,WF_START_PERIOD)&gt;0),INDEX($E$5:$E$750,MATCH(B542&amp;"|"&amp;WF_START_PERIOD,$AC$5:$AC$750,0)),"")</f>
        <v/>
      </c>
      <c r="Z542" s="0" t="str">
        <f aca="false">IF(AND(D542=WF_END_PERIOD,R542),1+COUNTIFS($D$5:$D$750,WF_END_PERIOD,$E$5:$E$750,E542,$R$5:$R$750,TRUE(),$S$5:$S$750,"&gt;"&amp;S542)+COUNTIFS($D$5:$D$750,WF_END_PERIOD,$E$5:$E$750,E542,$R$5:$R$750,TRUE(),$S$5:$S$750,S542,$B$5:$B$750,"&lt;"&amp;B542),"")</f>
        <v/>
      </c>
      <c r="AA542" s="0" t="str">
        <f aca="false">IF(AND(D542=WF_END_PERIOD,R542,Z542&lt;&gt;1),1+COUNTIFS($D$5:$D$750,WF_END_PERIOD,$R$5:$R$750,TRUE(),$Z$5:$Z$750,"&lt;&gt;1",$S$5:$S$750,"&gt;"&amp;S542)+COUNTIFS($D$5:$D$750,WF_END_PERIOD,$R$5:$R$750,TRUE(),$Z$5:$Z$750,"&lt;&gt;1",$S$5:$S$750,S542,$B$5:$B$750,"&lt;"&amp;B542),"")</f>
        <v/>
      </c>
      <c r="AB542" s="11" t="b">
        <f aca="false">OR(D542=WF_START_PERIOD,D542=WF_END_PERIOD)</f>
        <v>0</v>
      </c>
      <c r="AC542" s="0" t="str">
        <f aca="false">B542&amp;"|"&amp;D542</f>
        <v>14134|20240930</v>
      </c>
    </row>
    <row r="543" customFormat="false" ht="15" hidden="false" customHeight="false" outlineLevel="0" collapsed="false">
      <c r="A543" s="0" t="n">
        <f aca="false">RawFinancials!A543</f>
        <v>540</v>
      </c>
      <c r="B543" s="0" t="n">
        <f aca="false">RawFinancials!C543</f>
        <v>14136</v>
      </c>
      <c r="C543" s="0" t="str">
        <f aca="false">RawFinancials!P543</f>
        <v>WELLS RIVER SAVINGS BANK</v>
      </c>
      <c r="D543" s="0" t="n">
        <f aca="false">RawFinancials!W543</f>
        <v>20240930</v>
      </c>
      <c r="E543" s="0" t="str">
        <f aca="false">RawFinancials!Z543</f>
        <v>VT</v>
      </c>
      <c r="F543" s="0" t="n">
        <f aca="false">RawFinancials!B543</f>
        <v>238286</v>
      </c>
      <c r="G543" s="0" t="n">
        <f aca="false">RawFinancials!U543</f>
        <v>633</v>
      </c>
      <c r="H543" s="0" t="n">
        <f aca="false">RawFinancials!O543</f>
        <v>517</v>
      </c>
      <c r="I543" s="0" t="n">
        <f aca="false">IF(AND(ISNUMBER(G543),ISNUMBER(H543)),G543+H543,"")</f>
        <v>1150</v>
      </c>
      <c r="J543" s="0" t="n">
        <f aca="false">RawFinancials!D543</f>
        <v>200050</v>
      </c>
      <c r="K543" s="0" t="n">
        <f aca="false">RawFinancials!F543</f>
        <v>19934</v>
      </c>
      <c r="L543" s="0" t="n">
        <f aca="false">RawFinancials!L543</f>
        <v>158640</v>
      </c>
      <c r="M543" s="0" t="n">
        <f aca="false">RawFinancials!N543</f>
        <v>128174</v>
      </c>
      <c r="N543" s="13" t="n">
        <f aca="false">RawFinancials!X543</f>
        <v>0.549679011145021</v>
      </c>
      <c r="O543" s="13" t="n">
        <f aca="false">RawFinancials!V543</f>
        <v>18.0331440644395</v>
      </c>
      <c r="P543" s="13" t="n">
        <f aca="false">IF(AND(ISNUMBER(L543),L543&lt;&gt;0,ISNUMBER(M543)),100*M543/L543,"")</f>
        <v>80.7955118507312</v>
      </c>
      <c r="Q543" s="13" t="n">
        <f aca="false">IF(AND(ISNUMBER(F543),F543&lt;&gt;0,ISNUMBER(K543)),100*K543/F543,"")</f>
        <v>8.36557749930756</v>
      </c>
      <c r="R543" s="11" t="b">
        <f aca="false">AND(ISNUMBER(F543),F543&gt;0,ISNUMBER(G543),G543&gt;=0,ISNUMBER(H543),H543&gt;=0)</f>
        <v>1</v>
      </c>
      <c r="S543" s="13" t="n">
        <f aca="false">IF(R543,100*I543/F543,"")</f>
        <v>0.482613330199844</v>
      </c>
      <c r="T543" s="11" t="b">
        <f aca="false">NOT(AND(OR(AND(ISBLANK(RawFinancials!B543),ISBLANK(_RawBaseline!B540)),AND(ISNUMBER(RawFinancials!B543),ISNUMBER(_RawBaseline!B540),RawFinancials!B543=_RawBaseline!B540)),OR(AND(ISBLANK(RawFinancials!U543),ISBLANK(_RawBaseline!U540)),AND(ISNUMBER(RawFinancials!U543),ISNUMBER(_RawBaseline!U540),RawFinancials!U543=_RawBaseline!U540)),OR(AND(ISBLANK(RawFinancials!O543),ISBLANK(_RawBaseline!O540)),AND(ISNUMBER(RawFinancials!O543),ISNUMBER(_RawBaseline!O540),RawFinancials!O543=_RawBaseline!O540))))</f>
        <v>0</v>
      </c>
      <c r="U543" s="13" t="n">
        <f aca="false">IF(AND(D543=WF_START_PERIOD,R543,COUNTIFS($B$5:$B$750,B543,$D$5:$D$750,WF_END_PERIOD,$R$5:$R$750,TRUE())&gt;0),SUMIFS($S$5:$S$750,$B$5:$B$750,B543,$D$5:$D$750,WF_END_PERIOD,$R$5:$R$750,TRUE()),0)</f>
        <v>0</v>
      </c>
      <c r="V543" s="0" t="str">
        <f aca="false">IF(AND(D543=WF_START_PERIOD,COUNTIFS($B$5:$B$750,B543,$D$5:$D$750,WF_END_PERIOD)&gt;0),INDEX($E$5:$E$750,MATCH(B543&amp;"|"&amp;WF_END_PERIOD,$AC$5:$AC$750,0)),"")</f>
        <v/>
      </c>
      <c r="W543" s="11" t="b">
        <f aca="false">COUNTIFS($B$5:$B$750,B543,$D$5:$D$750,WF_START_PERIOD,$R$5:$R$750,TRUE())&gt;0</f>
        <v>1</v>
      </c>
      <c r="X543" s="11" t="b">
        <f aca="false">COUNTIFS($B$5:$B$750,B543,$D$5:$D$750,WF_END_PERIOD,$R$5:$R$750,TRUE())&gt;0</f>
        <v>1</v>
      </c>
      <c r="Y543" s="0" t="str">
        <f aca="false">IF(AND(D543=WF_END_PERIOD,COUNTIFS($B$5:$B$750,B543,$D$5:$D$750,WF_START_PERIOD)&gt;0),INDEX($E$5:$E$750,MATCH(B543&amp;"|"&amp;WF_START_PERIOD,$AC$5:$AC$750,0)),"")</f>
        <v/>
      </c>
      <c r="Z543" s="0" t="str">
        <f aca="false">IF(AND(D543=WF_END_PERIOD,R543),1+COUNTIFS($D$5:$D$750,WF_END_PERIOD,$E$5:$E$750,E543,$R$5:$R$750,TRUE(),$S$5:$S$750,"&gt;"&amp;S543)+COUNTIFS($D$5:$D$750,WF_END_PERIOD,$E$5:$E$750,E543,$R$5:$R$750,TRUE(),$S$5:$S$750,S543,$B$5:$B$750,"&lt;"&amp;B543),"")</f>
        <v/>
      </c>
      <c r="AA543" s="0" t="str">
        <f aca="false">IF(AND(D543=WF_END_PERIOD,R543,Z543&lt;&gt;1),1+COUNTIFS($D$5:$D$750,WF_END_PERIOD,$R$5:$R$750,TRUE(),$Z$5:$Z$750,"&lt;&gt;1",$S$5:$S$750,"&gt;"&amp;S543)+COUNTIFS($D$5:$D$750,WF_END_PERIOD,$R$5:$R$750,TRUE(),$Z$5:$Z$750,"&lt;&gt;1",$S$5:$S$750,S543,$B$5:$B$750,"&lt;"&amp;B543),"")</f>
        <v/>
      </c>
      <c r="AB543" s="11" t="b">
        <f aca="false">OR(D543=WF_START_PERIOD,D543=WF_END_PERIOD)</f>
        <v>0</v>
      </c>
      <c r="AC543" s="0" t="str">
        <f aca="false">B543&amp;"|"&amp;D543</f>
        <v>14136|20240930</v>
      </c>
    </row>
    <row r="544" customFormat="false" ht="15" hidden="false" customHeight="false" outlineLevel="0" collapsed="false">
      <c r="A544" s="0" t="n">
        <f aca="false">RawFinancials!A544</f>
        <v>541</v>
      </c>
      <c r="B544" s="0" t="n">
        <f aca="false">RawFinancials!C544</f>
        <v>14140</v>
      </c>
      <c r="C544" s="0" t="str">
        <f aca="false">RawFinancials!P544</f>
        <v>NORTHFIELD SAVINGS BANK</v>
      </c>
      <c r="D544" s="0" t="n">
        <f aca="false">RawFinancials!W544</f>
        <v>20240930</v>
      </c>
      <c r="E544" s="0" t="str">
        <f aca="false">RawFinancials!Z544</f>
        <v>VT</v>
      </c>
      <c r="F544" s="0" t="n">
        <f aca="false">RawFinancials!B544</f>
        <v>1527182</v>
      </c>
      <c r="G544" s="0" t="n">
        <f aca="false">RawFinancials!U544</f>
        <v>0</v>
      </c>
      <c r="H544" s="0" t="n">
        <f aca="false">RawFinancials!O544</f>
        <v>2124</v>
      </c>
      <c r="I544" s="0" t="n">
        <f aca="false">IF(AND(ISNUMBER(G544),ISNUMBER(H544)),G544+H544,"")</f>
        <v>2124</v>
      </c>
      <c r="J544" s="0" t="n">
        <f aca="false">RawFinancials!D544</f>
        <v>1238363</v>
      </c>
      <c r="K544" s="0" t="n">
        <f aca="false">RawFinancials!F544</f>
        <v>137226</v>
      </c>
      <c r="L544" s="0" t="n">
        <f aca="false">RawFinancials!L544</f>
        <v>1092353</v>
      </c>
      <c r="M544" s="0" t="n">
        <f aca="false">RawFinancials!N544</f>
        <v>974171</v>
      </c>
      <c r="N544" s="13" t="n">
        <f aca="false">RawFinancials!X544</f>
        <v>0.289026150270389</v>
      </c>
      <c r="O544" s="13" t="n">
        <f aca="false">RawFinancials!V544</f>
        <v>0</v>
      </c>
      <c r="P544" s="13" t="n">
        <f aca="false">IF(AND(ISNUMBER(L544),L544&lt;&gt;0,ISNUMBER(M544)),100*M544/L544,"")</f>
        <v>89.1809698879392</v>
      </c>
      <c r="Q544" s="13" t="n">
        <f aca="false">IF(AND(ISNUMBER(F544),F544&lt;&gt;0,ISNUMBER(K544)),100*K544/F544,"")</f>
        <v>8.98556949990243</v>
      </c>
      <c r="R544" s="11" t="b">
        <f aca="false">AND(ISNUMBER(F544),F544&gt;0,ISNUMBER(G544),G544&gt;=0,ISNUMBER(H544),H544&gt;=0)</f>
        <v>1</v>
      </c>
      <c r="S544" s="13" t="n">
        <f aca="false">IF(R544,100*I544/F544,"")</f>
        <v>0.139079690567333</v>
      </c>
      <c r="T544" s="11" t="b">
        <f aca="false">NOT(AND(OR(AND(ISBLANK(RawFinancials!B544),ISBLANK(_RawBaseline!B541)),AND(ISNUMBER(RawFinancials!B544),ISNUMBER(_RawBaseline!B541),RawFinancials!B544=_RawBaseline!B541)),OR(AND(ISBLANK(RawFinancials!U544),ISBLANK(_RawBaseline!U541)),AND(ISNUMBER(RawFinancials!U544),ISNUMBER(_RawBaseline!U541),RawFinancials!U544=_RawBaseline!U541)),OR(AND(ISBLANK(RawFinancials!O544),ISBLANK(_RawBaseline!O541)),AND(ISNUMBER(RawFinancials!O544),ISNUMBER(_RawBaseline!O541),RawFinancials!O544=_RawBaseline!O541))))</f>
        <v>0</v>
      </c>
      <c r="U544" s="13" t="n">
        <f aca="false">IF(AND(D544=WF_START_PERIOD,R544,COUNTIFS($B$5:$B$750,B544,$D$5:$D$750,WF_END_PERIOD,$R$5:$R$750,TRUE())&gt;0),SUMIFS($S$5:$S$750,$B$5:$B$750,B544,$D$5:$D$750,WF_END_PERIOD,$R$5:$R$750,TRUE()),0)</f>
        <v>0</v>
      </c>
      <c r="V544" s="0" t="str">
        <f aca="false">IF(AND(D544=WF_START_PERIOD,COUNTIFS($B$5:$B$750,B544,$D$5:$D$750,WF_END_PERIOD)&gt;0),INDEX($E$5:$E$750,MATCH(B544&amp;"|"&amp;WF_END_PERIOD,$AC$5:$AC$750,0)),"")</f>
        <v/>
      </c>
      <c r="W544" s="11" t="b">
        <f aca="false">COUNTIFS($B$5:$B$750,B544,$D$5:$D$750,WF_START_PERIOD,$R$5:$R$750,TRUE())&gt;0</f>
        <v>1</v>
      </c>
      <c r="X544" s="11" t="b">
        <f aca="false">COUNTIFS($B$5:$B$750,B544,$D$5:$D$750,WF_END_PERIOD,$R$5:$R$750,TRUE())&gt;0</f>
        <v>1</v>
      </c>
      <c r="Y544" s="0" t="str">
        <f aca="false">IF(AND(D544=WF_END_PERIOD,COUNTIFS($B$5:$B$750,B544,$D$5:$D$750,WF_START_PERIOD)&gt;0),INDEX($E$5:$E$750,MATCH(B544&amp;"|"&amp;WF_START_PERIOD,$AC$5:$AC$750,0)),"")</f>
        <v/>
      </c>
      <c r="Z544" s="0" t="str">
        <f aca="false">IF(AND(D544=WF_END_PERIOD,R544),1+COUNTIFS($D$5:$D$750,WF_END_PERIOD,$E$5:$E$750,E544,$R$5:$R$750,TRUE(),$S$5:$S$750,"&gt;"&amp;S544)+COUNTIFS($D$5:$D$750,WF_END_PERIOD,$E$5:$E$750,E544,$R$5:$R$750,TRUE(),$S$5:$S$750,S544,$B$5:$B$750,"&lt;"&amp;B544),"")</f>
        <v/>
      </c>
      <c r="AA544" s="0" t="str">
        <f aca="false">IF(AND(D544=WF_END_PERIOD,R544,Z544&lt;&gt;1),1+COUNTIFS($D$5:$D$750,WF_END_PERIOD,$R$5:$R$750,TRUE(),$Z$5:$Z$750,"&lt;&gt;1",$S$5:$S$750,"&gt;"&amp;S544)+COUNTIFS($D$5:$D$750,WF_END_PERIOD,$R$5:$R$750,TRUE(),$Z$5:$Z$750,"&lt;&gt;1",$S$5:$S$750,S544,$B$5:$B$750,"&lt;"&amp;B544),"")</f>
        <v/>
      </c>
      <c r="AB544" s="11" t="b">
        <f aca="false">OR(D544=WF_START_PERIOD,D544=WF_END_PERIOD)</f>
        <v>0</v>
      </c>
      <c r="AC544" s="0" t="str">
        <f aca="false">B544&amp;"|"&amp;D544</f>
        <v>14140|20240930</v>
      </c>
    </row>
    <row r="545" customFormat="false" ht="15" hidden="false" customHeight="false" outlineLevel="0" collapsed="false">
      <c r="A545" s="0" t="n">
        <f aca="false">RawFinancials!A545</f>
        <v>542</v>
      </c>
      <c r="B545" s="0" t="n">
        <f aca="false">RawFinancials!C545</f>
        <v>14158</v>
      </c>
      <c r="C545" s="0" t="str">
        <f aca="false">RawFinancials!P545</f>
        <v>UNION BANK</v>
      </c>
      <c r="D545" s="0" t="n">
        <f aca="false">RawFinancials!W545</f>
        <v>20240930</v>
      </c>
      <c r="E545" s="0" t="str">
        <f aca="false">RawFinancials!Z545</f>
        <v>VT</v>
      </c>
      <c r="F545" s="0" t="n">
        <f aca="false">RawFinancials!B545</f>
        <v>1518788</v>
      </c>
      <c r="G545" s="0" t="n">
        <f aca="false">RawFinancials!U545</f>
        <v>255</v>
      </c>
      <c r="H545" s="0" t="n">
        <f aca="false">RawFinancials!O545</f>
        <v>1709</v>
      </c>
      <c r="I545" s="0" t="n">
        <f aca="false">IF(AND(ISNUMBER(G545),ISNUMBER(H545)),G545+H545,"")</f>
        <v>1964</v>
      </c>
      <c r="J545" s="0" t="n">
        <f aca="false">RawFinancials!D545</f>
        <v>1176600</v>
      </c>
      <c r="K545" s="0" t="n">
        <f aca="false">RawFinancials!F545</f>
        <v>88128</v>
      </c>
      <c r="L545" s="0" t="n">
        <f aca="false">RawFinancials!L545</f>
        <v>1127929</v>
      </c>
      <c r="M545" s="0" t="n">
        <f aca="false">RawFinancials!N545</f>
        <v>979666</v>
      </c>
      <c r="N545" s="13" t="n">
        <f aca="false">RawFinancials!X545</f>
        <v>0.591958039788572</v>
      </c>
      <c r="O545" s="13" t="n">
        <f aca="false">RawFinancials!V545</f>
        <v>12.7326927079282</v>
      </c>
      <c r="P545" s="13" t="n">
        <f aca="false">IF(AND(ISNUMBER(L545),L545&lt;&gt;0,ISNUMBER(M545)),100*M545/L545,"")</f>
        <v>86.8552896503237</v>
      </c>
      <c r="Q545" s="13" t="n">
        <f aca="false">IF(AND(ISNUMBER(F545),F545&lt;&gt;0,ISNUMBER(K545)),100*K545/F545,"")</f>
        <v>5.80252148423612</v>
      </c>
      <c r="R545" s="11" t="b">
        <f aca="false">AND(ISNUMBER(F545),F545&gt;0,ISNUMBER(G545),G545&gt;=0,ISNUMBER(H545),H545&gt;=0)</f>
        <v>1</v>
      </c>
      <c r="S545" s="13" t="n">
        <f aca="false">IF(R545,100*I545/F545,"")</f>
        <v>0.129313636926286</v>
      </c>
      <c r="T545" s="11" t="b">
        <f aca="false">NOT(AND(OR(AND(ISBLANK(RawFinancials!B545),ISBLANK(_RawBaseline!B542)),AND(ISNUMBER(RawFinancials!B545),ISNUMBER(_RawBaseline!B542),RawFinancials!B545=_RawBaseline!B542)),OR(AND(ISBLANK(RawFinancials!U545),ISBLANK(_RawBaseline!U542)),AND(ISNUMBER(RawFinancials!U545),ISNUMBER(_RawBaseline!U542),RawFinancials!U545=_RawBaseline!U542)),OR(AND(ISBLANK(RawFinancials!O545),ISBLANK(_RawBaseline!O542)),AND(ISNUMBER(RawFinancials!O545),ISNUMBER(_RawBaseline!O542),RawFinancials!O545=_RawBaseline!O542))))</f>
        <v>0</v>
      </c>
      <c r="U545" s="13" t="n">
        <f aca="false">IF(AND(D545=WF_START_PERIOD,R545,COUNTIFS($B$5:$B$750,B545,$D$5:$D$750,WF_END_PERIOD,$R$5:$R$750,TRUE())&gt;0),SUMIFS($S$5:$S$750,$B$5:$B$750,B545,$D$5:$D$750,WF_END_PERIOD,$R$5:$R$750,TRUE()),0)</f>
        <v>0</v>
      </c>
      <c r="V545" s="0" t="str">
        <f aca="false">IF(AND(D545=WF_START_PERIOD,COUNTIFS($B$5:$B$750,B545,$D$5:$D$750,WF_END_PERIOD)&gt;0),INDEX($E$5:$E$750,MATCH(B545&amp;"|"&amp;WF_END_PERIOD,$AC$5:$AC$750,0)),"")</f>
        <v/>
      </c>
      <c r="W545" s="11" t="b">
        <f aca="false">COUNTIFS($B$5:$B$750,B545,$D$5:$D$750,WF_START_PERIOD,$R$5:$R$750,TRUE())&gt;0</f>
        <v>1</v>
      </c>
      <c r="X545" s="11" t="b">
        <f aca="false">COUNTIFS($B$5:$B$750,B545,$D$5:$D$750,WF_END_PERIOD,$R$5:$R$750,TRUE())&gt;0</f>
        <v>1</v>
      </c>
      <c r="Y545" s="0" t="str">
        <f aca="false">IF(AND(D545=WF_END_PERIOD,COUNTIFS($B$5:$B$750,B545,$D$5:$D$750,WF_START_PERIOD)&gt;0),INDEX($E$5:$E$750,MATCH(B545&amp;"|"&amp;WF_START_PERIOD,$AC$5:$AC$750,0)),"")</f>
        <v/>
      </c>
      <c r="Z545" s="0" t="str">
        <f aca="false">IF(AND(D545=WF_END_PERIOD,R545),1+COUNTIFS($D$5:$D$750,WF_END_PERIOD,$E$5:$E$750,E545,$R$5:$R$750,TRUE(),$S$5:$S$750,"&gt;"&amp;S545)+COUNTIFS($D$5:$D$750,WF_END_PERIOD,$E$5:$E$750,E545,$R$5:$R$750,TRUE(),$S$5:$S$750,S545,$B$5:$B$750,"&lt;"&amp;B545),"")</f>
        <v/>
      </c>
      <c r="AA545" s="0" t="str">
        <f aca="false">IF(AND(D545=WF_END_PERIOD,R545,Z545&lt;&gt;1),1+COUNTIFS($D$5:$D$750,WF_END_PERIOD,$R$5:$R$750,TRUE(),$Z$5:$Z$750,"&lt;&gt;1",$S$5:$S$750,"&gt;"&amp;S545)+COUNTIFS($D$5:$D$750,WF_END_PERIOD,$R$5:$R$750,TRUE(),$Z$5:$Z$750,"&lt;&gt;1",$S$5:$S$750,S545,$B$5:$B$750,"&lt;"&amp;B545),"")</f>
        <v/>
      </c>
      <c r="AB545" s="11" t="b">
        <f aca="false">OR(D545=WF_START_PERIOD,D545=WF_END_PERIOD)</f>
        <v>0</v>
      </c>
      <c r="AC545" s="0" t="str">
        <f aca="false">B545&amp;"|"&amp;D545</f>
        <v>14158|20240930</v>
      </c>
    </row>
    <row r="546" customFormat="false" ht="15" hidden="false" customHeight="false" outlineLevel="0" collapsed="false">
      <c r="A546" s="0" t="n">
        <f aca="false">RawFinancials!A546</f>
        <v>543</v>
      </c>
      <c r="B546" s="0" t="n">
        <f aca="false">RawFinancials!C546</f>
        <v>14168</v>
      </c>
      <c r="C546" s="0" t="str">
        <f aca="false">RawFinancials!P546</f>
        <v>PEOPLES TRUST COMPANY OF ST. ALBANS</v>
      </c>
      <c r="D546" s="0" t="n">
        <f aca="false">RawFinancials!W546</f>
        <v>20240930</v>
      </c>
      <c r="E546" s="0" t="str">
        <f aca="false">RawFinancials!Z546</f>
        <v>VT</v>
      </c>
      <c r="F546" s="0" t="n">
        <f aca="false">RawFinancials!B546</f>
        <v>371732</v>
      </c>
      <c r="G546" s="0" t="n">
        <f aca="false">RawFinancials!U546</f>
        <v>2</v>
      </c>
      <c r="H546" s="0" t="n">
        <f aca="false">RawFinancials!O546</f>
        <v>865</v>
      </c>
      <c r="I546" s="0" t="n">
        <f aca="false">IF(AND(ISNUMBER(G546),ISNUMBER(H546)),G546+H546,"")</f>
        <v>867</v>
      </c>
      <c r="J546" s="0" t="n">
        <f aca="false">RawFinancials!D546</f>
        <v>328030</v>
      </c>
      <c r="K546" s="0" t="n">
        <f aca="false">RawFinancials!F546</f>
        <v>38425</v>
      </c>
      <c r="L546" s="0" t="n">
        <f aca="false">RawFinancials!L546</f>
        <v>268497</v>
      </c>
      <c r="M546" s="0" t="n">
        <f aca="false">RawFinancials!N546</f>
        <v>228801</v>
      </c>
      <c r="N546" s="13" t="n">
        <f aca="false">RawFinancials!X546</f>
        <v>1.07473840142319</v>
      </c>
      <c r="O546" s="13" t="n">
        <f aca="false">RawFinancials!V546</f>
        <v>16.4355401593798</v>
      </c>
      <c r="P546" s="13" t="n">
        <f aca="false">IF(AND(ISNUMBER(L546),L546&lt;&gt;0,ISNUMBER(M546)),100*M546/L546,"")</f>
        <v>85.2154772679024</v>
      </c>
      <c r="Q546" s="13" t="n">
        <f aca="false">IF(AND(ISNUMBER(F546),F546&lt;&gt;0,ISNUMBER(K546)),100*K546/F546,"")</f>
        <v>10.3367479797273</v>
      </c>
      <c r="R546" s="11" t="b">
        <f aca="false">AND(ISNUMBER(F546),F546&gt;0,ISNUMBER(G546),G546&gt;=0,ISNUMBER(H546),H546&gt;=0)</f>
        <v>1</v>
      </c>
      <c r="S546" s="13" t="n">
        <f aca="false">IF(R546,100*I546/F546,"")</f>
        <v>0.233232543875695</v>
      </c>
      <c r="T546" s="11" t="b">
        <f aca="false">NOT(AND(OR(AND(ISBLANK(RawFinancials!B546),ISBLANK(_RawBaseline!B543)),AND(ISNUMBER(RawFinancials!B546),ISNUMBER(_RawBaseline!B543),RawFinancials!B546=_RawBaseline!B543)),OR(AND(ISBLANK(RawFinancials!U546),ISBLANK(_RawBaseline!U543)),AND(ISNUMBER(RawFinancials!U546),ISNUMBER(_RawBaseline!U543),RawFinancials!U546=_RawBaseline!U543)),OR(AND(ISBLANK(RawFinancials!O546),ISBLANK(_RawBaseline!O543)),AND(ISNUMBER(RawFinancials!O546),ISNUMBER(_RawBaseline!O543),RawFinancials!O546=_RawBaseline!O543))))</f>
        <v>0</v>
      </c>
      <c r="U546" s="13" t="n">
        <f aca="false">IF(AND(D546=WF_START_PERIOD,R546,COUNTIFS($B$5:$B$750,B546,$D$5:$D$750,WF_END_PERIOD,$R$5:$R$750,TRUE())&gt;0),SUMIFS($S$5:$S$750,$B$5:$B$750,B546,$D$5:$D$750,WF_END_PERIOD,$R$5:$R$750,TRUE()),0)</f>
        <v>0</v>
      </c>
      <c r="V546" s="0" t="str">
        <f aca="false">IF(AND(D546=WF_START_PERIOD,COUNTIFS($B$5:$B$750,B546,$D$5:$D$750,WF_END_PERIOD)&gt;0),INDEX($E$5:$E$750,MATCH(B546&amp;"|"&amp;WF_END_PERIOD,$AC$5:$AC$750,0)),"")</f>
        <v/>
      </c>
      <c r="W546" s="11" t="b">
        <f aca="false">COUNTIFS($B$5:$B$750,B546,$D$5:$D$750,WF_START_PERIOD,$R$5:$R$750,TRUE())&gt;0</f>
        <v>1</v>
      </c>
      <c r="X546" s="11" t="b">
        <f aca="false">COUNTIFS($B$5:$B$750,B546,$D$5:$D$750,WF_END_PERIOD,$R$5:$R$750,TRUE())&gt;0</f>
        <v>1</v>
      </c>
      <c r="Y546" s="0" t="str">
        <f aca="false">IF(AND(D546=WF_END_PERIOD,COUNTIFS($B$5:$B$750,B546,$D$5:$D$750,WF_START_PERIOD)&gt;0),INDEX($E$5:$E$750,MATCH(B546&amp;"|"&amp;WF_START_PERIOD,$AC$5:$AC$750,0)),"")</f>
        <v/>
      </c>
      <c r="Z546" s="0" t="str">
        <f aca="false">IF(AND(D546=WF_END_PERIOD,R546),1+COUNTIFS($D$5:$D$750,WF_END_PERIOD,$E$5:$E$750,E546,$R$5:$R$750,TRUE(),$S$5:$S$750,"&gt;"&amp;S546)+COUNTIFS($D$5:$D$750,WF_END_PERIOD,$E$5:$E$750,E546,$R$5:$R$750,TRUE(),$S$5:$S$750,S546,$B$5:$B$750,"&lt;"&amp;B546),"")</f>
        <v/>
      </c>
      <c r="AA546" s="0" t="str">
        <f aca="false">IF(AND(D546=WF_END_PERIOD,R546,Z546&lt;&gt;1),1+COUNTIFS($D$5:$D$750,WF_END_PERIOD,$R$5:$R$750,TRUE(),$Z$5:$Z$750,"&lt;&gt;1",$S$5:$S$750,"&gt;"&amp;S546)+COUNTIFS($D$5:$D$750,WF_END_PERIOD,$R$5:$R$750,TRUE(),$Z$5:$Z$750,"&lt;&gt;1",$S$5:$S$750,S546,$B$5:$B$750,"&lt;"&amp;B546),"")</f>
        <v/>
      </c>
      <c r="AB546" s="11" t="b">
        <f aca="false">OR(D546=WF_START_PERIOD,D546=WF_END_PERIOD)</f>
        <v>0</v>
      </c>
      <c r="AC546" s="0" t="str">
        <f aca="false">B546&amp;"|"&amp;D546</f>
        <v>14168|20240930</v>
      </c>
    </row>
    <row r="547" customFormat="false" ht="15" hidden="false" customHeight="false" outlineLevel="0" collapsed="false">
      <c r="A547" s="0" t="n">
        <f aca="false">RawFinancials!A547</f>
        <v>544</v>
      </c>
      <c r="B547" s="0" t="n">
        <f aca="false">RawFinancials!C547</f>
        <v>14240</v>
      </c>
      <c r="C547" s="0" t="str">
        <f aca="false">RawFinancials!P547</f>
        <v>NORTHWAY BANK</v>
      </c>
      <c r="D547" s="0" t="n">
        <f aca="false">RawFinancials!W547</f>
        <v>20240930</v>
      </c>
      <c r="E547" s="0" t="str">
        <f aca="false">RawFinancials!Z547</f>
        <v>NH</v>
      </c>
      <c r="F547" s="0" t="n">
        <f aca="false">RawFinancials!B547</f>
        <v>1215556</v>
      </c>
      <c r="G547" s="0" t="n">
        <f aca="false">RawFinancials!U547</f>
        <v>0</v>
      </c>
      <c r="H547" s="0" t="n">
        <f aca="false">RawFinancials!O547</f>
        <v>3698</v>
      </c>
      <c r="I547" s="0" t="n">
        <f aca="false">IF(AND(ISNUMBER(G547),ISNUMBER(H547)),G547+H547,"")</f>
        <v>3698</v>
      </c>
      <c r="J547" s="0" t="n">
        <f aca="false">RawFinancials!D547</f>
        <v>1013911</v>
      </c>
      <c r="K547" s="0" t="n">
        <f aca="false">RawFinancials!F547</f>
        <v>96896</v>
      </c>
      <c r="L547" s="0" t="n">
        <f aca="false">RawFinancials!L547</f>
        <v>912838</v>
      </c>
      <c r="M547" s="0" t="n">
        <f aca="false">RawFinancials!N547</f>
        <v>772079</v>
      </c>
      <c r="N547" s="13" t="n">
        <f aca="false">RawFinancials!X547</f>
        <v>0.459382516970762</v>
      </c>
      <c r="O547" s="13" t="n">
        <f aca="false">RawFinancials!V547</f>
        <v>16.518911598904</v>
      </c>
      <c r="P547" s="13" t="n">
        <f aca="false">IF(AND(ISNUMBER(L547),L547&lt;&gt;0,ISNUMBER(M547)),100*M547/L547,"")</f>
        <v>84.5800678762278</v>
      </c>
      <c r="Q547" s="13" t="n">
        <f aca="false">IF(AND(ISNUMBER(F547),F547&lt;&gt;0,ISNUMBER(K547)),100*K547/F547,"")</f>
        <v>7.97133163753871</v>
      </c>
      <c r="R547" s="11" t="b">
        <f aca="false">AND(ISNUMBER(F547),F547&gt;0,ISNUMBER(G547),G547&gt;=0,ISNUMBER(H547),H547&gt;=0)</f>
        <v>1</v>
      </c>
      <c r="S547" s="13" t="n">
        <f aca="false">IF(R547,100*I547/F547,"")</f>
        <v>0.304222923501673</v>
      </c>
      <c r="T547" s="11" t="b">
        <f aca="false">NOT(AND(OR(AND(ISBLANK(RawFinancials!B547),ISBLANK(_RawBaseline!B544)),AND(ISNUMBER(RawFinancials!B547),ISNUMBER(_RawBaseline!B544),RawFinancials!B547=_RawBaseline!B544)),OR(AND(ISBLANK(RawFinancials!U547),ISBLANK(_RawBaseline!U544)),AND(ISNUMBER(RawFinancials!U547),ISNUMBER(_RawBaseline!U544),RawFinancials!U547=_RawBaseline!U544)),OR(AND(ISBLANK(RawFinancials!O547),ISBLANK(_RawBaseline!O544)),AND(ISNUMBER(RawFinancials!O547),ISNUMBER(_RawBaseline!O544),RawFinancials!O547=_RawBaseline!O544))))</f>
        <v>0</v>
      </c>
      <c r="U547" s="13" t="n">
        <f aca="false">IF(AND(D547=WF_START_PERIOD,R547,COUNTIFS($B$5:$B$750,B547,$D$5:$D$750,WF_END_PERIOD,$R$5:$R$750,TRUE())&gt;0),SUMIFS($S$5:$S$750,$B$5:$B$750,B547,$D$5:$D$750,WF_END_PERIOD,$R$5:$R$750,TRUE()),0)</f>
        <v>0</v>
      </c>
      <c r="V547" s="0" t="str">
        <f aca="false">IF(AND(D547=WF_START_PERIOD,COUNTIFS($B$5:$B$750,B547,$D$5:$D$750,WF_END_PERIOD)&gt;0),INDEX($E$5:$E$750,MATCH(B547&amp;"|"&amp;WF_END_PERIOD,$AC$5:$AC$750,0)),"")</f>
        <v/>
      </c>
      <c r="W547" s="11" t="b">
        <f aca="false">COUNTIFS($B$5:$B$750,B547,$D$5:$D$750,WF_START_PERIOD,$R$5:$R$750,TRUE())&gt;0</f>
        <v>1</v>
      </c>
      <c r="X547" s="11" t="b">
        <f aca="false">COUNTIFS($B$5:$B$750,B547,$D$5:$D$750,WF_END_PERIOD,$R$5:$R$750,TRUE())&gt;0</f>
        <v>0</v>
      </c>
      <c r="Y547" s="0" t="str">
        <f aca="false">IF(AND(D547=WF_END_PERIOD,COUNTIFS($B$5:$B$750,B547,$D$5:$D$750,WF_START_PERIOD)&gt;0),INDEX($E$5:$E$750,MATCH(B547&amp;"|"&amp;WF_START_PERIOD,$AC$5:$AC$750,0)),"")</f>
        <v/>
      </c>
      <c r="Z547" s="0" t="str">
        <f aca="false">IF(AND(D547=WF_END_PERIOD,R547),1+COUNTIFS($D$5:$D$750,WF_END_PERIOD,$E$5:$E$750,E547,$R$5:$R$750,TRUE(),$S$5:$S$750,"&gt;"&amp;S547)+COUNTIFS($D$5:$D$750,WF_END_PERIOD,$E$5:$E$750,E547,$R$5:$R$750,TRUE(),$S$5:$S$750,S547,$B$5:$B$750,"&lt;"&amp;B547),"")</f>
        <v/>
      </c>
      <c r="AA547" s="0" t="str">
        <f aca="false">IF(AND(D547=WF_END_PERIOD,R547,Z547&lt;&gt;1),1+COUNTIFS($D$5:$D$750,WF_END_PERIOD,$R$5:$R$750,TRUE(),$Z$5:$Z$750,"&lt;&gt;1",$S$5:$S$750,"&gt;"&amp;S547)+COUNTIFS($D$5:$D$750,WF_END_PERIOD,$R$5:$R$750,TRUE(),$Z$5:$Z$750,"&lt;&gt;1",$S$5:$S$750,S547,$B$5:$B$750,"&lt;"&amp;B547),"")</f>
        <v/>
      </c>
      <c r="AB547" s="11" t="b">
        <f aca="false">OR(D547=WF_START_PERIOD,D547=WF_END_PERIOD)</f>
        <v>0</v>
      </c>
      <c r="AC547" s="0" t="str">
        <f aca="false">B547&amp;"|"&amp;D547</f>
        <v>14240|20240930</v>
      </c>
    </row>
    <row r="548" customFormat="false" ht="15" hidden="false" customHeight="false" outlineLevel="0" collapsed="false">
      <c r="A548" s="0" t="n">
        <f aca="false">RawFinancials!A548</f>
        <v>545</v>
      </c>
      <c r="B548" s="0" t="n">
        <f aca="false">RawFinancials!C548</f>
        <v>17115</v>
      </c>
      <c r="C548" s="0" t="str">
        <f aca="false">RawFinancials!P548</f>
        <v>PARTNERS BANK OF NEW ENGLAND</v>
      </c>
      <c r="D548" s="0" t="n">
        <f aca="false">RawFinancials!W548</f>
        <v>20240930</v>
      </c>
      <c r="E548" s="0" t="str">
        <f aca="false">RawFinancials!Z548</f>
        <v>ME</v>
      </c>
      <c r="F548" s="0" t="n">
        <f aca="false">RawFinancials!B548</f>
        <v>1064825</v>
      </c>
      <c r="G548" s="0" t="n">
        <f aca="false">RawFinancials!U548</f>
        <v>0</v>
      </c>
      <c r="H548" s="0" t="n">
        <f aca="false">RawFinancials!O548</f>
        <v>2417</v>
      </c>
      <c r="I548" s="0" t="n">
        <f aca="false">IF(AND(ISNUMBER(G548),ISNUMBER(H548)),G548+H548,"")</f>
        <v>2417</v>
      </c>
      <c r="J548" s="0" t="n">
        <f aca="false">RawFinancials!D548</f>
        <v>811295</v>
      </c>
      <c r="K548" s="0" t="n">
        <f aca="false">RawFinancials!F548</f>
        <v>93281</v>
      </c>
      <c r="L548" s="0" t="n">
        <f aca="false">RawFinancials!L548</f>
        <v>883708</v>
      </c>
      <c r="M548" s="0" t="n">
        <f aca="false">RawFinancials!N548</f>
        <v>834346</v>
      </c>
      <c r="N548" s="13" t="n">
        <f aca="false">RawFinancials!X548</f>
        <v>0.320784489973106</v>
      </c>
      <c r="O548" s="13" t="n">
        <f aca="false">RawFinancials!V548</f>
        <v>14.1631497814056</v>
      </c>
      <c r="P548" s="13" t="n">
        <f aca="false">IF(AND(ISNUMBER(L548),L548&lt;&gt;0,ISNUMBER(M548)),100*M548/L548,"")</f>
        <v>94.4142182711937</v>
      </c>
      <c r="Q548" s="13" t="n">
        <f aca="false">IF(AND(ISNUMBER(F548),F548&lt;&gt;0,ISNUMBER(K548)),100*K548/F548,"")</f>
        <v>8.76021881529829</v>
      </c>
      <c r="R548" s="11" t="b">
        <f aca="false">AND(ISNUMBER(F548),F548&gt;0,ISNUMBER(G548),G548&gt;=0,ISNUMBER(H548),H548&gt;=0)</f>
        <v>1</v>
      </c>
      <c r="S548" s="13" t="n">
        <f aca="false">IF(R548,100*I548/F548,"")</f>
        <v>0.226985654919823</v>
      </c>
      <c r="T548" s="11" t="b">
        <f aca="false">NOT(AND(OR(AND(ISBLANK(RawFinancials!B548),ISBLANK(_RawBaseline!B545)),AND(ISNUMBER(RawFinancials!B548),ISNUMBER(_RawBaseline!B545),RawFinancials!B548=_RawBaseline!B545)),OR(AND(ISBLANK(RawFinancials!U548),ISBLANK(_RawBaseline!U545)),AND(ISNUMBER(RawFinancials!U548),ISNUMBER(_RawBaseline!U545),RawFinancials!U548=_RawBaseline!U545)),OR(AND(ISBLANK(RawFinancials!O548),ISBLANK(_RawBaseline!O545)),AND(ISNUMBER(RawFinancials!O548),ISNUMBER(_RawBaseline!O545),RawFinancials!O548=_RawBaseline!O545))))</f>
        <v>0</v>
      </c>
      <c r="U548" s="13" t="n">
        <f aca="false">IF(AND(D548=WF_START_PERIOD,R548,COUNTIFS($B$5:$B$750,B548,$D$5:$D$750,WF_END_PERIOD,$R$5:$R$750,TRUE())&gt;0),SUMIFS($S$5:$S$750,$B$5:$B$750,B548,$D$5:$D$750,WF_END_PERIOD,$R$5:$R$750,TRUE()),0)</f>
        <v>0</v>
      </c>
      <c r="V548" s="0" t="str">
        <f aca="false">IF(AND(D548=WF_START_PERIOD,COUNTIFS($B$5:$B$750,B548,$D$5:$D$750,WF_END_PERIOD)&gt;0),INDEX($E$5:$E$750,MATCH(B548&amp;"|"&amp;WF_END_PERIOD,$AC$5:$AC$750,0)),"")</f>
        <v/>
      </c>
      <c r="W548" s="11" t="b">
        <f aca="false">COUNTIFS($B$5:$B$750,B548,$D$5:$D$750,WF_START_PERIOD,$R$5:$R$750,TRUE())&gt;0</f>
        <v>1</v>
      </c>
      <c r="X548" s="11" t="b">
        <f aca="false">COUNTIFS($B$5:$B$750,B548,$D$5:$D$750,WF_END_PERIOD,$R$5:$R$750,TRUE())&gt;0</f>
        <v>1</v>
      </c>
      <c r="Y548" s="0" t="str">
        <f aca="false">IF(AND(D548=WF_END_PERIOD,COUNTIFS($B$5:$B$750,B548,$D$5:$D$750,WF_START_PERIOD)&gt;0),INDEX($E$5:$E$750,MATCH(B548&amp;"|"&amp;WF_START_PERIOD,$AC$5:$AC$750,0)),"")</f>
        <v/>
      </c>
      <c r="Z548" s="0" t="str">
        <f aca="false">IF(AND(D548=WF_END_PERIOD,R548),1+COUNTIFS($D$5:$D$750,WF_END_PERIOD,$E$5:$E$750,E548,$R$5:$R$750,TRUE(),$S$5:$S$750,"&gt;"&amp;S548)+COUNTIFS($D$5:$D$750,WF_END_PERIOD,$E$5:$E$750,E548,$R$5:$R$750,TRUE(),$S$5:$S$750,S548,$B$5:$B$750,"&lt;"&amp;B548),"")</f>
        <v/>
      </c>
      <c r="AA548" s="0" t="str">
        <f aca="false">IF(AND(D548=WF_END_PERIOD,R548,Z548&lt;&gt;1),1+COUNTIFS($D$5:$D$750,WF_END_PERIOD,$R$5:$R$750,TRUE(),$Z$5:$Z$750,"&lt;&gt;1",$S$5:$S$750,"&gt;"&amp;S548)+COUNTIFS($D$5:$D$750,WF_END_PERIOD,$R$5:$R$750,TRUE(),$Z$5:$Z$750,"&lt;&gt;1",$S$5:$S$750,S548,$B$5:$B$750,"&lt;"&amp;B548),"")</f>
        <v/>
      </c>
      <c r="AB548" s="11" t="b">
        <f aca="false">OR(D548=WF_START_PERIOD,D548=WF_END_PERIOD)</f>
        <v>0</v>
      </c>
      <c r="AC548" s="0" t="str">
        <f aca="false">B548&amp;"|"&amp;D548</f>
        <v>17115|20240930</v>
      </c>
    </row>
    <row r="549" customFormat="false" ht="15" hidden="false" customHeight="false" outlineLevel="0" collapsed="false">
      <c r="A549" s="0" t="n">
        <f aca="false">RawFinancials!A549</f>
        <v>546</v>
      </c>
      <c r="B549" s="0" t="n">
        <f aca="false">RawFinancials!C549</f>
        <v>17180</v>
      </c>
      <c r="C549" s="0" t="str">
        <f aca="false">RawFinancials!P549</f>
        <v>MEREDITH VILLAGE SAVINGS BANK</v>
      </c>
      <c r="D549" s="0" t="n">
        <f aca="false">RawFinancials!W549</f>
        <v>20240930</v>
      </c>
      <c r="E549" s="0" t="str">
        <f aca="false">RawFinancials!Z549</f>
        <v>NH</v>
      </c>
      <c r="F549" s="0" t="n">
        <f aca="false">RawFinancials!B549</f>
        <v>1621350</v>
      </c>
      <c r="G549" s="0" t="n">
        <f aca="false">RawFinancials!U549</f>
        <v>0</v>
      </c>
      <c r="H549" s="0" t="n">
        <f aca="false">RawFinancials!O549</f>
        <v>5975</v>
      </c>
      <c r="I549" s="0" t="n">
        <f aca="false">IF(AND(ISNUMBER(G549),ISNUMBER(H549)),G549+H549,"")</f>
        <v>5975</v>
      </c>
      <c r="J549" s="0" t="n">
        <f aca="false">RawFinancials!D549</f>
        <v>1203070</v>
      </c>
      <c r="K549" s="0" t="n">
        <f aca="false">RawFinancials!F549</f>
        <v>143061</v>
      </c>
      <c r="L549" s="0" t="n">
        <f aca="false">RawFinancials!L549</f>
        <v>1443161</v>
      </c>
      <c r="M549" s="0" t="n">
        <f aca="false">RawFinancials!N549</f>
        <v>1205697</v>
      </c>
      <c r="N549" s="13" t="n">
        <f aca="false">RawFinancials!X549</f>
        <v>0.397392188864424</v>
      </c>
      <c r="O549" s="13" t="n">
        <f aca="false">RawFinancials!V549</f>
        <v>15.09738503074</v>
      </c>
      <c r="P549" s="13" t="n">
        <f aca="false">IF(AND(ISNUMBER(L549),L549&lt;&gt;0,ISNUMBER(M549)),100*M549/L549,"")</f>
        <v>83.5455642163279</v>
      </c>
      <c r="Q549" s="13" t="n">
        <f aca="false">IF(AND(ISNUMBER(F549),F549&lt;&gt;0,ISNUMBER(K549)),100*K549/F549,"")</f>
        <v>8.82357294846887</v>
      </c>
      <c r="R549" s="11" t="b">
        <f aca="false">AND(ISNUMBER(F549),F549&gt;0,ISNUMBER(G549),G549&gt;=0,ISNUMBER(H549),H549&gt;=0)</f>
        <v>1</v>
      </c>
      <c r="S549" s="13" t="n">
        <f aca="false">IF(R549,100*I549/F549,"")</f>
        <v>0.368520060443458</v>
      </c>
      <c r="T549" s="11" t="b">
        <f aca="false">NOT(AND(OR(AND(ISBLANK(RawFinancials!B549),ISBLANK(_RawBaseline!B546)),AND(ISNUMBER(RawFinancials!B549),ISNUMBER(_RawBaseline!B546),RawFinancials!B549=_RawBaseline!B546)),OR(AND(ISBLANK(RawFinancials!U549),ISBLANK(_RawBaseline!U546)),AND(ISNUMBER(RawFinancials!U549),ISNUMBER(_RawBaseline!U546),RawFinancials!U549=_RawBaseline!U546)),OR(AND(ISBLANK(RawFinancials!O549),ISBLANK(_RawBaseline!O546)),AND(ISNUMBER(RawFinancials!O549),ISNUMBER(_RawBaseline!O546),RawFinancials!O549=_RawBaseline!O546))))</f>
        <v>0</v>
      </c>
      <c r="U549" s="13" t="n">
        <f aca="false">IF(AND(D549=WF_START_PERIOD,R549,COUNTIFS($B$5:$B$750,B549,$D$5:$D$750,WF_END_PERIOD,$R$5:$R$750,TRUE())&gt;0),SUMIFS($S$5:$S$750,$B$5:$B$750,B549,$D$5:$D$750,WF_END_PERIOD,$R$5:$R$750,TRUE()),0)</f>
        <v>0</v>
      </c>
      <c r="V549" s="0" t="str">
        <f aca="false">IF(AND(D549=WF_START_PERIOD,COUNTIFS($B$5:$B$750,B549,$D$5:$D$750,WF_END_PERIOD)&gt;0),INDEX($E$5:$E$750,MATCH(B549&amp;"|"&amp;WF_END_PERIOD,$AC$5:$AC$750,0)),"")</f>
        <v/>
      </c>
      <c r="W549" s="11" t="b">
        <f aca="false">COUNTIFS($B$5:$B$750,B549,$D$5:$D$750,WF_START_PERIOD,$R$5:$R$750,TRUE())&gt;0</f>
        <v>1</v>
      </c>
      <c r="X549" s="11" t="b">
        <f aca="false">COUNTIFS($B$5:$B$750,B549,$D$5:$D$750,WF_END_PERIOD,$R$5:$R$750,TRUE())&gt;0</f>
        <v>1</v>
      </c>
      <c r="Y549" s="0" t="str">
        <f aca="false">IF(AND(D549=WF_END_PERIOD,COUNTIFS($B$5:$B$750,B549,$D$5:$D$750,WF_START_PERIOD)&gt;0),INDEX($E$5:$E$750,MATCH(B549&amp;"|"&amp;WF_START_PERIOD,$AC$5:$AC$750,0)),"")</f>
        <v/>
      </c>
      <c r="Z549" s="0" t="str">
        <f aca="false">IF(AND(D549=WF_END_PERIOD,R549),1+COUNTIFS($D$5:$D$750,WF_END_PERIOD,$E$5:$E$750,E549,$R$5:$R$750,TRUE(),$S$5:$S$750,"&gt;"&amp;S549)+COUNTIFS($D$5:$D$750,WF_END_PERIOD,$E$5:$E$750,E549,$R$5:$R$750,TRUE(),$S$5:$S$750,S549,$B$5:$B$750,"&lt;"&amp;B549),"")</f>
        <v/>
      </c>
      <c r="AA549" s="0" t="str">
        <f aca="false">IF(AND(D549=WF_END_PERIOD,R549,Z549&lt;&gt;1),1+COUNTIFS($D$5:$D$750,WF_END_PERIOD,$R$5:$R$750,TRUE(),$Z$5:$Z$750,"&lt;&gt;1",$S$5:$S$750,"&gt;"&amp;S549)+COUNTIFS($D$5:$D$750,WF_END_PERIOD,$R$5:$R$750,TRUE(),$Z$5:$Z$750,"&lt;&gt;1",$S$5:$S$750,S549,$B$5:$B$750,"&lt;"&amp;B549),"")</f>
        <v/>
      </c>
      <c r="AB549" s="11" t="b">
        <f aca="false">OR(D549=WF_START_PERIOD,D549=WF_END_PERIOD)</f>
        <v>0</v>
      </c>
      <c r="AC549" s="0" t="str">
        <f aca="false">B549&amp;"|"&amp;D549</f>
        <v>17180|20240930</v>
      </c>
    </row>
    <row r="550" customFormat="false" ht="15" hidden="false" customHeight="false" outlineLevel="0" collapsed="false">
      <c r="A550" s="0" t="n">
        <f aca="false">RawFinancials!A550</f>
        <v>547</v>
      </c>
      <c r="B550" s="0" t="n">
        <f aca="false">RawFinancials!C550</f>
        <v>17443</v>
      </c>
      <c r="C550" s="0" t="str">
        <f aca="false">RawFinancials!P550</f>
        <v>PISCATAQUA SAVINGS BANK</v>
      </c>
      <c r="D550" s="0" t="n">
        <f aca="false">RawFinancials!W550</f>
        <v>20240930</v>
      </c>
      <c r="E550" s="0" t="str">
        <f aca="false">RawFinancials!Z550</f>
        <v>NH</v>
      </c>
      <c r="F550" s="0" t="n">
        <f aca="false">RawFinancials!B550</f>
        <v>366752</v>
      </c>
      <c r="G550" s="0" t="n">
        <f aca="false">RawFinancials!U550</f>
        <v>0</v>
      </c>
      <c r="H550" s="0" t="n">
        <f aca="false">RawFinancials!O550</f>
        <v>1019</v>
      </c>
      <c r="I550" s="0" t="n">
        <f aca="false">IF(AND(ISNUMBER(G550),ISNUMBER(H550)),G550+H550,"")</f>
        <v>1019</v>
      </c>
      <c r="J550" s="0" t="n">
        <f aca="false">RawFinancials!D550</f>
        <v>299271</v>
      </c>
      <c r="K550" s="0" t="n">
        <f aca="false">RawFinancials!F550</f>
        <v>41324</v>
      </c>
      <c r="L550" s="0" t="n">
        <f aca="false">RawFinancials!L550</f>
        <v>197179</v>
      </c>
      <c r="M550" s="0" t="n">
        <f aca="false">RawFinancials!N550</f>
        <v>195221</v>
      </c>
      <c r="N550" s="13" t="n">
        <f aca="false">RawFinancials!X550</f>
        <v>-0.182427732699306</v>
      </c>
      <c r="O550" s="13" t="n">
        <f aca="false">RawFinancials!V550</f>
        <v>0</v>
      </c>
      <c r="P550" s="13" t="n">
        <f aca="false">IF(AND(ISNUMBER(L550),L550&lt;&gt;0,ISNUMBER(M550)),100*M550/L550,"")</f>
        <v>99.0069936453679</v>
      </c>
      <c r="Q550" s="13" t="n">
        <f aca="false">IF(AND(ISNUMBER(F550),F550&lt;&gt;0,ISNUMBER(K550)),100*K550/F550,"")</f>
        <v>11.2675595497775</v>
      </c>
      <c r="R550" s="11" t="b">
        <f aca="false">AND(ISNUMBER(F550),F550&gt;0,ISNUMBER(G550),G550&gt;=0,ISNUMBER(H550),H550&gt;=0)</f>
        <v>1</v>
      </c>
      <c r="S550" s="13" t="n">
        <f aca="false">IF(R550,100*I550/F550,"")</f>
        <v>0.277844428932903</v>
      </c>
      <c r="T550" s="11" t="b">
        <f aca="false">NOT(AND(OR(AND(ISBLANK(RawFinancials!B550),ISBLANK(_RawBaseline!B547)),AND(ISNUMBER(RawFinancials!B550),ISNUMBER(_RawBaseline!B547),RawFinancials!B550=_RawBaseline!B547)),OR(AND(ISBLANK(RawFinancials!U550),ISBLANK(_RawBaseline!U547)),AND(ISNUMBER(RawFinancials!U550),ISNUMBER(_RawBaseline!U547),RawFinancials!U550=_RawBaseline!U547)),OR(AND(ISBLANK(RawFinancials!O550),ISBLANK(_RawBaseline!O547)),AND(ISNUMBER(RawFinancials!O550),ISNUMBER(_RawBaseline!O547),RawFinancials!O550=_RawBaseline!O547))))</f>
        <v>0</v>
      </c>
      <c r="U550" s="13" t="n">
        <f aca="false">IF(AND(D550=WF_START_PERIOD,R550,COUNTIFS($B$5:$B$750,B550,$D$5:$D$750,WF_END_PERIOD,$R$5:$R$750,TRUE())&gt;0),SUMIFS($S$5:$S$750,$B$5:$B$750,B550,$D$5:$D$750,WF_END_PERIOD,$R$5:$R$750,TRUE()),0)</f>
        <v>0</v>
      </c>
      <c r="V550" s="0" t="str">
        <f aca="false">IF(AND(D550=WF_START_PERIOD,COUNTIFS($B$5:$B$750,B550,$D$5:$D$750,WF_END_PERIOD)&gt;0),INDEX($E$5:$E$750,MATCH(B550&amp;"|"&amp;WF_END_PERIOD,$AC$5:$AC$750,0)),"")</f>
        <v/>
      </c>
      <c r="W550" s="11" t="b">
        <f aca="false">COUNTIFS($B$5:$B$750,B550,$D$5:$D$750,WF_START_PERIOD,$R$5:$R$750,TRUE())&gt;0</f>
        <v>1</v>
      </c>
      <c r="X550" s="11" t="b">
        <f aca="false">COUNTIFS($B$5:$B$750,B550,$D$5:$D$750,WF_END_PERIOD,$R$5:$R$750,TRUE())&gt;0</f>
        <v>1</v>
      </c>
      <c r="Y550" s="0" t="str">
        <f aca="false">IF(AND(D550=WF_END_PERIOD,COUNTIFS($B$5:$B$750,B550,$D$5:$D$750,WF_START_PERIOD)&gt;0),INDEX($E$5:$E$750,MATCH(B550&amp;"|"&amp;WF_START_PERIOD,$AC$5:$AC$750,0)),"")</f>
        <v/>
      </c>
      <c r="Z550" s="0" t="str">
        <f aca="false">IF(AND(D550=WF_END_PERIOD,R550),1+COUNTIFS($D$5:$D$750,WF_END_PERIOD,$E$5:$E$750,E550,$R$5:$R$750,TRUE(),$S$5:$S$750,"&gt;"&amp;S550)+COUNTIFS($D$5:$D$750,WF_END_PERIOD,$E$5:$E$750,E550,$R$5:$R$750,TRUE(),$S$5:$S$750,S550,$B$5:$B$750,"&lt;"&amp;B550),"")</f>
        <v/>
      </c>
      <c r="AA550" s="0" t="str">
        <f aca="false">IF(AND(D550=WF_END_PERIOD,R550,Z550&lt;&gt;1),1+COUNTIFS($D$5:$D$750,WF_END_PERIOD,$R$5:$R$750,TRUE(),$Z$5:$Z$750,"&lt;&gt;1",$S$5:$S$750,"&gt;"&amp;S550)+COUNTIFS($D$5:$D$750,WF_END_PERIOD,$R$5:$R$750,TRUE(),$Z$5:$Z$750,"&lt;&gt;1",$S$5:$S$750,S550,$B$5:$B$750,"&lt;"&amp;B550),"")</f>
        <v/>
      </c>
      <c r="AB550" s="11" t="b">
        <f aca="false">OR(D550=WF_START_PERIOD,D550=WF_END_PERIOD)</f>
        <v>0</v>
      </c>
      <c r="AC550" s="0" t="str">
        <f aca="false">B550&amp;"|"&amp;D550</f>
        <v>17443|20240930</v>
      </c>
    </row>
    <row r="551" customFormat="false" ht="15" hidden="false" customHeight="false" outlineLevel="0" collapsed="false">
      <c r="A551" s="0" t="n">
        <f aca="false">RawFinancials!A551</f>
        <v>548</v>
      </c>
      <c r="B551" s="0" t="n">
        <f aca="false">RawFinancials!C551</f>
        <v>17658</v>
      </c>
      <c r="C551" s="0" t="str">
        <f aca="false">RawFinancials!P551</f>
        <v>NORWAY SAVINGS BANK</v>
      </c>
      <c r="D551" s="0" t="n">
        <f aca="false">RawFinancials!W551</f>
        <v>20240930</v>
      </c>
      <c r="E551" s="0" t="str">
        <f aca="false">RawFinancials!Z551</f>
        <v>ME</v>
      </c>
      <c r="F551" s="0" t="n">
        <f aca="false">RawFinancials!B551</f>
        <v>1980951</v>
      </c>
      <c r="G551" s="0" t="n">
        <f aca="false">RawFinancials!U551</f>
        <v>0</v>
      </c>
      <c r="H551" s="0" t="n">
        <f aca="false">RawFinancials!O551</f>
        <v>9425</v>
      </c>
      <c r="I551" s="0" t="n">
        <f aca="false">IF(AND(ISNUMBER(G551),ISNUMBER(H551)),G551+H551,"")</f>
        <v>9425</v>
      </c>
      <c r="J551" s="0" t="n">
        <f aca="false">RawFinancials!D551</f>
        <v>1559068</v>
      </c>
      <c r="K551" s="0" t="n">
        <f aca="false">RawFinancials!F551</f>
        <v>230579</v>
      </c>
      <c r="L551" s="0" t="n">
        <f aca="false">RawFinancials!L551</f>
        <v>1397203</v>
      </c>
      <c r="M551" s="0" t="n">
        <f aca="false">RawFinancials!N551</f>
        <v>1195334</v>
      </c>
      <c r="N551" s="13" t="n">
        <f aca="false">RawFinancials!X551</f>
        <v>0.960411822183859</v>
      </c>
      <c r="O551" s="13" t="n">
        <f aca="false">RawFinancials!V551</f>
        <v>0</v>
      </c>
      <c r="P551" s="13" t="n">
        <f aca="false">IF(AND(ISNUMBER(L551),L551&lt;&gt;0,ISNUMBER(M551)),100*M551/L551,"")</f>
        <v>85.551920515487</v>
      </c>
      <c r="Q551" s="13" t="n">
        <f aca="false">IF(AND(ISNUMBER(F551),F551&lt;&gt;0,ISNUMBER(K551)),100*K551/F551,"")</f>
        <v>11.6398134027545</v>
      </c>
      <c r="R551" s="11" t="b">
        <f aca="false">AND(ISNUMBER(F551),F551&gt;0,ISNUMBER(G551),G551&gt;=0,ISNUMBER(H551),H551&gt;=0)</f>
        <v>1</v>
      </c>
      <c r="S551" s="13" t="n">
        <f aca="false">IF(R551,100*I551/F551,"")</f>
        <v>0.47578158167466</v>
      </c>
      <c r="T551" s="11" t="b">
        <f aca="false">NOT(AND(OR(AND(ISBLANK(RawFinancials!B551),ISBLANK(_RawBaseline!B548)),AND(ISNUMBER(RawFinancials!B551),ISNUMBER(_RawBaseline!B548),RawFinancials!B551=_RawBaseline!B548)),OR(AND(ISBLANK(RawFinancials!U551),ISBLANK(_RawBaseline!U548)),AND(ISNUMBER(RawFinancials!U551),ISNUMBER(_RawBaseline!U548),RawFinancials!U551=_RawBaseline!U548)),OR(AND(ISBLANK(RawFinancials!O551),ISBLANK(_RawBaseline!O548)),AND(ISNUMBER(RawFinancials!O551),ISNUMBER(_RawBaseline!O548),RawFinancials!O551=_RawBaseline!O548))))</f>
        <v>0</v>
      </c>
      <c r="U551" s="13" t="n">
        <f aca="false">IF(AND(D551=WF_START_PERIOD,R551,COUNTIFS($B$5:$B$750,B551,$D$5:$D$750,WF_END_PERIOD,$R$5:$R$750,TRUE())&gt;0),SUMIFS($S$5:$S$750,$B$5:$B$750,B551,$D$5:$D$750,WF_END_PERIOD,$R$5:$R$750,TRUE()),0)</f>
        <v>0</v>
      </c>
      <c r="V551" s="0" t="str">
        <f aca="false">IF(AND(D551=WF_START_PERIOD,COUNTIFS($B$5:$B$750,B551,$D$5:$D$750,WF_END_PERIOD)&gt;0),INDEX($E$5:$E$750,MATCH(B551&amp;"|"&amp;WF_END_PERIOD,$AC$5:$AC$750,0)),"")</f>
        <v/>
      </c>
      <c r="W551" s="11" t="b">
        <f aca="false">COUNTIFS($B$5:$B$750,B551,$D$5:$D$750,WF_START_PERIOD,$R$5:$R$750,TRUE())&gt;0</f>
        <v>1</v>
      </c>
      <c r="X551" s="11" t="b">
        <f aca="false">COUNTIFS($B$5:$B$750,B551,$D$5:$D$750,WF_END_PERIOD,$R$5:$R$750,TRUE())&gt;0</f>
        <v>1</v>
      </c>
      <c r="Y551" s="0" t="str">
        <f aca="false">IF(AND(D551=WF_END_PERIOD,COUNTIFS($B$5:$B$750,B551,$D$5:$D$750,WF_START_PERIOD)&gt;0),INDEX($E$5:$E$750,MATCH(B551&amp;"|"&amp;WF_START_PERIOD,$AC$5:$AC$750,0)),"")</f>
        <v/>
      </c>
      <c r="Z551" s="0" t="str">
        <f aca="false">IF(AND(D551=WF_END_PERIOD,R551),1+COUNTIFS($D$5:$D$750,WF_END_PERIOD,$E$5:$E$750,E551,$R$5:$R$750,TRUE(),$S$5:$S$750,"&gt;"&amp;S551)+COUNTIFS($D$5:$D$750,WF_END_PERIOD,$E$5:$E$750,E551,$R$5:$R$750,TRUE(),$S$5:$S$750,S551,$B$5:$B$750,"&lt;"&amp;B551),"")</f>
        <v/>
      </c>
      <c r="AA551" s="0" t="str">
        <f aca="false">IF(AND(D551=WF_END_PERIOD,R551,Z551&lt;&gt;1),1+COUNTIFS($D$5:$D$750,WF_END_PERIOD,$R$5:$R$750,TRUE(),$Z$5:$Z$750,"&lt;&gt;1",$S$5:$S$750,"&gt;"&amp;S551)+COUNTIFS($D$5:$D$750,WF_END_PERIOD,$R$5:$R$750,TRUE(),$Z$5:$Z$750,"&lt;&gt;1",$S$5:$S$750,S551,$B$5:$B$750,"&lt;"&amp;B551),"")</f>
        <v/>
      </c>
      <c r="AB551" s="11" t="b">
        <f aca="false">OR(D551=WF_START_PERIOD,D551=WF_END_PERIOD)</f>
        <v>0</v>
      </c>
      <c r="AC551" s="0" t="str">
        <f aca="false">B551&amp;"|"&amp;D551</f>
        <v>17658|20240930</v>
      </c>
    </row>
    <row r="552" customFormat="false" ht="15" hidden="false" customHeight="false" outlineLevel="0" collapsed="false">
      <c r="A552" s="0" t="n">
        <f aca="false">RawFinancials!A552</f>
        <v>549</v>
      </c>
      <c r="B552" s="0" t="n">
        <f aca="false">RawFinancials!C552</f>
        <v>17741</v>
      </c>
      <c r="C552" s="0" t="str">
        <f aca="false">RawFinancials!P552</f>
        <v>MAINE COMMUNITY BANK</v>
      </c>
      <c r="D552" s="0" t="n">
        <f aca="false">RawFinancials!W552</f>
        <v>20240930</v>
      </c>
      <c r="E552" s="0" t="str">
        <f aca="false">RawFinancials!Z552</f>
        <v>ME</v>
      </c>
      <c r="F552" s="0" t="n">
        <f aca="false">RawFinancials!B552</f>
        <v>1162261</v>
      </c>
      <c r="G552" s="0" t="n">
        <f aca="false">RawFinancials!U552</f>
        <v>0</v>
      </c>
      <c r="H552" s="0" t="n">
        <f aca="false">RawFinancials!O552</f>
        <v>2723</v>
      </c>
      <c r="I552" s="0" t="n">
        <f aca="false">IF(AND(ISNUMBER(G552),ISNUMBER(H552)),G552+H552,"")</f>
        <v>2723</v>
      </c>
      <c r="J552" s="0" t="n">
        <f aca="false">RawFinancials!D552</f>
        <v>905592</v>
      </c>
      <c r="K552" s="0" t="n">
        <f aca="false">RawFinancials!F552</f>
        <v>146197</v>
      </c>
      <c r="L552" s="0" t="n">
        <f aca="false">RawFinancials!L552</f>
        <v>984780</v>
      </c>
      <c r="M552" s="0" t="n">
        <f aca="false">RawFinancials!N552</f>
        <v>925810</v>
      </c>
      <c r="N552" s="13" t="n">
        <f aca="false">RawFinancials!X552</f>
        <v>0.623215257165778</v>
      </c>
      <c r="O552" s="13" t="n">
        <f aca="false">RawFinancials!V552</f>
        <v>0</v>
      </c>
      <c r="P552" s="13" t="n">
        <f aca="false">IF(AND(ISNUMBER(L552),L552&lt;&gt;0,ISNUMBER(M552)),100*M552/L552,"")</f>
        <v>94.0118605170698</v>
      </c>
      <c r="Q552" s="13" t="n">
        <f aca="false">IF(AND(ISNUMBER(F552),F552&lt;&gt;0,ISNUMBER(K552)),100*K552/F552,"")</f>
        <v>12.5786720882831</v>
      </c>
      <c r="R552" s="11" t="b">
        <f aca="false">AND(ISNUMBER(F552),F552&gt;0,ISNUMBER(G552),G552&gt;=0,ISNUMBER(H552),H552&gt;=0)</f>
        <v>1</v>
      </c>
      <c r="S552" s="13" t="n">
        <f aca="false">IF(R552,100*I552/F552,"")</f>
        <v>0.234284726064111</v>
      </c>
      <c r="T552" s="11" t="b">
        <f aca="false">NOT(AND(OR(AND(ISBLANK(RawFinancials!B552),ISBLANK(_RawBaseline!B549)),AND(ISNUMBER(RawFinancials!B552),ISNUMBER(_RawBaseline!B549),RawFinancials!B552=_RawBaseline!B549)),OR(AND(ISBLANK(RawFinancials!U552),ISBLANK(_RawBaseline!U549)),AND(ISNUMBER(RawFinancials!U552),ISNUMBER(_RawBaseline!U549),RawFinancials!U552=_RawBaseline!U549)),OR(AND(ISBLANK(RawFinancials!O552),ISBLANK(_RawBaseline!O549)),AND(ISNUMBER(RawFinancials!O552),ISNUMBER(_RawBaseline!O549),RawFinancials!O552=_RawBaseline!O549))))</f>
        <v>0</v>
      </c>
      <c r="U552" s="13" t="n">
        <f aca="false">IF(AND(D552=WF_START_PERIOD,R552,COUNTIFS($B$5:$B$750,B552,$D$5:$D$750,WF_END_PERIOD,$R$5:$R$750,TRUE())&gt;0),SUMIFS($S$5:$S$750,$B$5:$B$750,B552,$D$5:$D$750,WF_END_PERIOD,$R$5:$R$750,TRUE()),0)</f>
        <v>0</v>
      </c>
      <c r="V552" s="0" t="str">
        <f aca="false">IF(AND(D552=WF_START_PERIOD,COUNTIFS($B$5:$B$750,B552,$D$5:$D$750,WF_END_PERIOD)&gt;0),INDEX($E$5:$E$750,MATCH(B552&amp;"|"&amp;WF_END_PERIOD,$AC$5:$AC$750,0)),"")</f>
        <v/>
      </c>
      <c r="W552" s="11" t="b">
        <f aca="false">COUNTIFS($B$5:$B$750,B552,$D$5:$D$750,WF_START_PERIOD,$R$5:$R$750,TRUE())&gt;0</f>
        <v>1</v>
      </c>
      <c r="X552" s="11" t="b">
        <f aca="false">COUNTIFS($B$5:$B$750,B552,$D$5:$D$750,WF_END_PERIOD,$R$5:$R$750,TRUE())&gt;0</f>
        <v>1</v>
      </c>
      <c r="Y552" s="0" t="str">
        <f aca="false">IF(AND(D552=WF_END_PERIOD,COUNTIFS($B$5:$B$750,B552,$D$5:$D$750,WF_START_PERIOD)&gt;0),INDEX($E$5:$E$750,MATCH(B552&amp;"|"&amp;WF_START_PERIOD,$AC$5:$AC$750,0)),"")</f>
        <v/>
      </c>
      <c r="Z552" s="0" t="str">
        <f aca="false">IF(AND(D552=WF_END_PERIOD,R552),1+COUNTIFS($D$5:$D$750,WF_END_PERIOD,$E$5:$E$750,E552,$R$5:$R$750,TRUE(),$S$5:$S$750,"&gt;"&amp;S552)+COUNTIFS($D$5:$D$750,WF_END_PERIOD,$E$5:$E$750,E552,$R$5:$R$750,TRUE(),$S$5:$S$750,S552,$B$5:$B$750,"&lt;"&amp;B552),"")</f>
        <v/>
      </c>
      <c r="AA552" s="0" t="str">
        <f aca="false">IF(AND(D552=WF_END_PERIOD,R552,Z552&lt;&gt;1),1+COUNTIFS($D$5:$D$750,WF_END_PERIOD,$R$5:$R$750,TRUE(),$Z$5:$Z$750,"&lt;&gt;1",$S$5:$S$750,"&gt;"&amp;S552)+COUNTIFS($D$5:$D$750,WF_END_PERIOD,$R$5:$R$750,TRUE(),$Z$5:$Z$750,"&lt;&gt;1",$S$5:$S$750,S552,$B$5:$B$750,"&lt;"&amp;B552),"")</f>
        <v/>
      </c>
      <c r="AB552" s="11" t="b">
        <f aca="false">OR(D552=WF_START_PERIOD,D552=WF_END_PERIOD)</f>
        <v>0</v>
      </c>
      <c r="AC552" s="0" t="str">
        <f aca="false">B552&amp;"|"&amp;D552</f>
        <v>17741|20240930</v>
      </c>
    </row>
    <row r="553" customFormat="false" ht="15" hidden="false" customHeight="false" outlineLevel="0" collapsed="false">
      <c r="A553" s="0" t="n">
        <f aca="false">RawFinancials!A553</f>
        <v>550</v>
      </c>
      <c r="B553" s="0" t="n">
        <f aca="false">RawFinancials!C553</f>
        <v>17743</v>
      </c>
      <c r="C553" s="0" t="str">
        <f aca="false">RawFinancials!P553</f>
        <v>SACO &amp; BIDDEFORD SAVINGS INSTITUTION</v>
      </c>
      <c r="D553" s="0" t="n">
        <f aca="false">RawFinancials!W553</f>
        <v>20240930</v>
      </c>
      <c r="E553" s="0" t="str">
        <f aca="false">RawFinancials!Z553</f>
        <v>ME</v>
      </c>
      <c r="F553" s="0" t="n">
        <f aca="false">RawFinancials!B553</f>
        <v>1427194</v>
      </c>
      <c r="G553" s="0" t="n">
        <f aca="false">RawFinancials!U553</f>
        <v>0</v>
      </c>
      <c r="H553" s="0" t="n">
        <f aca="false">RawFinancials!O553</f>
        <v>1621</v>
      </c>
      <c r="I553" s="0" t="n">
        <f aca="false">IF(AND(ISNUMBER(G553),ISNUMBER(H553)),G553+H553,"")</f>
        <v>1621</v>
      </c>
      <c r="J553" s="0" t="n">
        <f aca="false">RawFinancials!D553</f>
        <v>1006052</v>
      </c>
      <c r="K553" s="0" t="n">
        <f aca="false">RawFinancials!F553</f>
        <v>126250</v>
      </c>
      <c r="L553" s="0" t="n">
        <f aca="false">RawFinancials!L553</f>
        <v>1138419</v>
      </c>
      <c r="M553" s="0" t="n">
        <f aca="false">RawFinancials!N553</f>
        <v>1102493</v>
      </c>
      <c r="N553" s="13" t="n">
        <f aca="false">RawFinancials!X553</f>
        <v>0.0586009796050293</v>
      </c>
      <c r="O553" s="13" t="n">
        <f aca="false">RawFinancials!V553</f>
        <v>0</v>
      </c>
      <c r="P553" s="13" t="n">
        <f aca="false">IF(AND(ISNUMBER(L553),L553&lt;&gt;0,ISNUMBER(M553)),100*M553/L553,"")</f>
        <v>96.8442199225417</v>
      </c>
      <c r="Q553" s="13" t="n">
        <f aca="false">IF(AND(ISNUMBER(F553),F553&lt;&gt;0,ISNUMBER(K553)),100*K553/F553,"")</f>
        <v>8.84602934149107</v>
      </c>
      <c r="R553" s="11" t="b">
        <f aca="false">AND(ISNUMBER(F553),F553&gt;0,ISNUMBER(G553),G553&gt;=0,ISNUMBER(H553),H553&gt;=0)</f>
        <v>1</v>
      </c>
      <c r="S553" s="13" t="n">
        <f aca="false">IF(R553,100*I553/F553,"")</f>
        <v>0.113579513366788</v>
      </c>
      <c r="T553" s="11" t="b">
        <f aca="false">NOT(AND(OR(AND(ISBLANK(RawFinancials!B553),ISBLANK(_RawBaseline!B550)),AND(ISNUMBER(RawFinancials!B553),ISNUMBER(_RawBaseline!B550),RawFinancials!B553=_RawBaseline!B550)),OR(AND(ISBLANK(RawFinancials!U553),ISBLANK(_RawBaseline!U550)),AND(ISNUMBER(RawFinancials!U553),ISNUMBER(_RawBaseline!U550),RawFinancials!U553=_RawBaseline!U550)),OR(AND(ISBLANK(RawFinancials!O553),ISBLANK(_RawBaseline!O550)),AND(ISNUMBER(RawFinancials!O553),ISNUMBER(_RawBaseline!O550),RawFinancials!O553=_RawBaseline!O550))))</f>
        <v>0</v>
      </c>
      <c r="U553" s="13" t="n">
        <f aca="false">IF(AND(D553=WF_START_PERIOD,R553,COUNTIFS($B$5:$B$750,B553,$D$5:$D$750,WF_END_PERIOD,$R$5:$R$750,TRUE())&gt;0),SUMIFS($S$5:$S$750,$B$5:$B$750,B553,$D$5:$D$750,WF_END_PERIOD,$R$5:$R$750,TRUE()),0)</f>
        <v>0</v>
      </c>
      <c r="V553" s="0" t="str">
        <f aca="false">IF(AND(D553=WF_START_PERIOD,COUNTIFS($B$5:$B$750,B553,$D$5:$D$750,WF_END_PERIOD)&gt;0),INDEX($E$5:$E$750,MATCH(B553&amp;"|"&amp;WF_END_PERIOD,$AC$5:$AC$750,0)),"")</f>
        <v/>
      </c>
      <c r="W553" s="11" t="b">
        <f aca="false">COUNTIFS($B$5:$B$750,B553,$D$5:$D$750,WF_START_PERIOD,$R$5:$R$750,TRUE())&gt;0</f>
        <v>1</v>
      </c>
      <c r="X553" s="11" t="b">
        <f aca="false">COUNTIFS($B$5:$B$750,B553,$D$5:$D$750,WF_END_PERIOD,$R$5:$R$750,TRUE())&gt;0</f>
        <v>1</v>
      </c>
      <c r="Y553" s="0" t="str">
        <f aca="false">IF(AND(D553=WF_END_PERIOD,COUNTIFS($B$5:$B$750,B553,$D$5:$D$750,WF_START_PERIOD)&gt;0),INDEX($E$5:$E$750,MATCH(B553&amp;"|"&amp;WF_START_PERIOD,$AC$5:$AC$750,0)),"")</f>
        <v/>
      </c>
      <c r="Z553" s="0" t="str">
        <f aca="false">IF(AND(D553=WF_END_PERIOD,R553),1+COUNTIFS($D$5:$D$750,WF_END_PERIOD,$E$5:$E$750,E553,$R$5:$R$750,TRUE(),$S$5:$S$750,"&gt;"&amp;S553)+COUNTIFS($D$5:$D$750,WF_END_PERIOD,$E$5:$E$750,E553,$R$5:$R$750,TRUE(),$S$5:$S$750,S553,$B$5:$B$750,"&lt;"&amp;B553),"")</f>
        <v/>
      </c>
      <c r="AA553" s="0" t="str">
        <f aca="false">IF(AND(D553=WF_END_PERIOD,R553,Z553&lt;&gt;1),1+COUNTIFS($D$5:$D$750,WF_END_PERIOD,$R$5:$R$750,TRUE(),$Z$5:$Z$750,"&lt;&gt;1",$S$5:$S$750,"&gt;"&amp;S553)+COUNTIFS($D$5:$D$750,WF_END_PERIOD,$R$5:$R$750,TRUE(),$Z$5:$Z$750,"&lt;&gt;1",$S$5:$S$750,S553,$B$5:$B$750,"&lt;"&amp;B553),"")</f>
        <v/>
      </c>
      <c r="AB553" s="11" t="b">
        <f aca="false">OR(D553=WF_START_PERIOD,D553=WF_END_PERIOD)</f>
        <v>0</v>
      </c>
      <c r="AC553" s="0" t="str">
        <f aca="false">B553&amp;"|"&amp;D553</f>
        <v>17743|20240930</v>
      </c>
    </row>
    <row r="554" customFormat="false" ht="15" hidden="false" customHeight="false" outlineLevel="0" collapsed="false">
      <c r="A554" s="0" t="n">
        <f aca="false">RawFinancials!A554</f>
        <v>551</v>
      </c>
      <c r="B554" s="0" t="n">
        <f aca="false">RawFinancials!C554</f>
        <v>17748</v>
      </c>
      <c r="C554" s="0" t="str">
        <f aca="false">RawFinancials!P554</f>
        <v>GORHAM SAVINGS BANK</v>
      </c>
      <c r="D554" s="0" t="n">
        <f aca="false">RawFinancials!W554</f>
        <v>20240930</v>
      </c>
      <c r="E554" s="0" t="str">
        <f aca="false">RawFinancials!Z554</f>
        <v>ME</v>
      </c>
      <c r="F554" s="0" t="n">
        <f aca="false">RawFinancials!B554</f>
        <v>1623796</v>
      </c>
      <c r="G554" s="0" t="n">
        <f aca="false">RawFinancials!U554</f>
        <v>0</v>
      </c>
      <c r="H554" s="0" t="n">
        <f aca="false">RawFinancials!O554</f>
        <v>5501</v>
      </c>
      <c r="I554" s="0" t="n">
        <f aca="false">IF(AND(ISNUMBER(G554),ISNUMBER(H554)),G554+H554,"")</f>
        <v>5501</v>
      </c>
      <c r="J554" s="0" t="n">
        <f aca="false">RawFinancials!D554</f>
        <v>1375485</v>
      </c>
      <c r="K554" s="0" t="n">
        <f aca="false">RawFinancials!F554</f>
        <v>122957</v>
      </c>
      <c r="L554" s="0" t="n">
        <f aca="false">RawFinancials!L554</f>
        <v>1252737</v>
      </c>
      <c r="M554" s="0" t="n">
        <f aca="false">RawFinancials!N554</f>
        <v>1057786</v>
      </c>
      <c r="N554" s="13" t="n">
        <f aca="false">RawFinancials!X554</f>
        <v>0.356747638834355</v>
      </c>
      <c r="O554" s="13" t="n">
        <f aca="false">RawFinancials!V554</f>
        <v>0</v>
      </c>
      <c r="P554" s="13" t="n">
        <f aca="false">IF(AND(ISNUMBER(L554),L554&lt;&gt;0,ISNUMBER(M554)),100*M554/L554,"")</f>
        <v>84.4379945670959</v>
      </c>
      <c r="Q554" s="13" t="n">
        <f aca="false">IF(AND(ISNUMBER(F554),F554&lt;&gt;0,ISNUMBER(K554)),100*K554/F554,"")</f>
        <v>7.57219502942488</v>
      </c>
      <c r="R554" s="11" t="b">
        <f aca="false">AND(ISNUMBER(F554),F554&gt;0,ISNUMBER(G554),G554&gt;=0,ISNUMBER(H554),H554&gt;=0)</f>
        <v>1</v>
      </c>
      <c r="S554" s="13" t="n">
        <f aca="false">IF(R554,100*I554/F554,"")</f>
        <v>0.338774082458634</v>
      </c>
      <c r="T554" s="11" t="b">
        <f aca="false">NOT(AND(OR(AND(ISBLANK(RawFinancials!B554),ISBLANK(_RawBaseline!B551)),AND(ISNUMBER(RawFinancials!B554),ISNUMBER(_RawBaseline!B551),RawFinancials!B554=_RawBaseline!B551)),OR(AND(ISBLANK(RawFinancials!U554),ISBLANK(_RawBaseline!U551)),AND(ISNUMBER(RawFinancials!U554),ISNUMBER(_RawBaseline!U551),RawFinancials!U554=_RawBaseline!U551)),OR(AND(ISBLANK(RawFinancials!O554),ISBLANK(_RawBaseline!O551)),AND(ISNUMBER(RawFinancials!O554),ISNUMBER(_RawBaseline!O551),RawFinancials!O554=_RawBaseline!O551))))</f>
        <v>0</v>
      </c>
      <c r="U554" s="13" t="n">
        <f aca="false">IF(AND(D554=WF_START_PERIOD,R554,COUNTIFS($B$5:$B$750,B554,$D$5:$D$750,WF_END_PERIOD,$R$5:$R$750,TRUE())&gt;0),SUMIFS($S$5:$S$750,$B$5:$B$750,B554,$D$5:$D$750,WF_END_PERIOD,$R$5:$R$750,TRUE()),0)</f>
        <v>0</v>
      </c>
      <c r="V554" s="0" t="str">
        <f aca="false">IF(AND(D554=WF_START_PERIOD,COUNTIFS($B$5:$B$750,B554,$D$5:$D$750,WF_END_PERIOD)&gt;0),INDEX($E$5:$E$750,MATCH(B554&amp;"|"&amp;WF_END_PERIOD,$AC$5:$AC$750,0)),"")</f>
        <v/>
      </c>
      <c r="W554" s="11" t="b">
        <f aca="false">COUNTIFS($B$5:$B$750,B554,$D$5:$D$750,WF_START_PERIOD,$R$5:$R$750,TRUE())&gt;0</f>
        <v>1</v>
      </c>
      <c r="X554" s="11" t="b">
        <f aca="false">COUNTIFS($B$5:$B$750,B554,$D$5:$D$750,WF_END_PERIOD,$R$5:$R$750,TRUE())&gt;0</f>
        <v>0</v>
      </c>
      <c r="Y554" s="0" t="str">
        <f aca="false">IF(AND(D554=WF_END_PERIOD,COUNTIFS($B$5:$B$750,B554,$D$5:$D$750,WF_START_PERIOD)&gt;0),INDEX($E$5:$E$750,MATCH(B554&amp;"|"&amp;WF_START_PERIOD,$AC$5:$AC$750,0)),"")</f>
        <v/>
      </c>
      <c r="Z554" s="0" t="str">
        <f aca="false">IF(AND(D554=WF_END_PERIOD,R554),1+COUNTIFS($D$5:$D$750,WF_END_PERIOD,$E$5:$E$750,E554,$R$5:$R$750,TRUE(),$S$5:$S$750,"&gt;"&amp;S554)+COUNTIFS($D$5:$D$750,WF_END_PERIOD,$E$5:$E$750,E554,$R$5:$R$750,TRUE(),$S$5:$S$750,S554,$B$5:$B$750,"&lt;"&amp;B554),"")</f>
        <v/>
      </c>
      <c r="AA554" s="0" t="str">
        <f aca="false">IF(AND(D554=WF_END_PERIOD,R554,Z554&lt;&gt;1),1+COUNTIFS($D$5:$D$750,WF_END_PERIOD,$R$5:$R$750,TRUE(),$Z$5:$Z$750,"&lt;&gt;1",$S$5:$S$750,"&gt;"&amp;S554)+COUNTIFS($D$5:$D$750,WF_END_PERIOD,$R$5:$R$750,TRUE(),$Z$5:$Z$750,"&lt;&gt;1",$S$5:$S$750,S554,$B$5:$B$750,"&lt;"&amp;B554),"")</f>
        <v/>
      </c>
      <c r="AB554" s="11" t="b">
        <f aca="false">OR(D554=WF_START_PERIOD,D554=WF_END_PERIOD)</f>
        <v>0</v>
      </c>
      <c r="AC554" s="0" t="str">
        <f aca="false">B554&amp;"|"&amp;D554</f>
        <v>17748|20240930</v>
      </c>
    </row>
    <row r="555" customFormat="false" ht="15" hidden="false" customHeight="false" outlineLevel="0" collapsed="false">
      <c r="A555" s="0" t="n">
        <f aca="false">RawFinancials!A555</f>
        <v>552</v>
      </c>
      <c r="B555" s="0" t="n">
        <f aca="false">RawFinancials!C555</f>
        <v>17749</v>
      </c>
      <c r="C555" s="0" t="str">
        <f aca="false">RawFinancials!P555</f>
        <v>BATH SAVINGS INSTITUTION</v>
      </c>
      <c r="D555" s="0" t="n">
        <f aca="false">RawFinancials!W555</f>
        <v>20240930</v>
      </c>
      <c r="E555" s="0" t="str">
        <f aca="false">RawFinancials!Z555</f>
        <v>ME</v>
      </c>
      <c r="F555" s="0" t="n">
        <f aca="false">RawFinancials!B555</f>
        <v>1372601</v>
      </c>
      <c r="G555" s="0" t="n">
        <f aca="false">RawFinancials!U555</f>
        <v>4</v>
      </c>
      <c r="H555" s="0" t="n">
        <f aca="false">RawFinancials!O555</f>
        <v>617</v>
      </c>
      <c r="I555" s="0" t="n">
        <f aca="false">IF(AND(ISNUMBER(G555),ISNUMBER(H555)),G555+H555,"")</f>
        <v>621</v>
      </c>
      <c r="J555" s="0" t="n">
        <f aca="false">RawFinancials!D555</f>
        <v>1059435</v>
      </c>
      <c r="K555" s="0" t="n">
        <f aca="false">RawFinancials!F555</f>
        <v>190135</v>
      </c>
      <c r="L555" s="0" t="n">
        <f aca="false">RawFinancials!L555</f>
        <v>820744</v>
      </c>
      <c r="M555" s="0" t="n">
        <f aca="false">RawFinancials!N555</f>
        <v>748076</v>
      </c>
      <c r="N555" s="13" t="n">
        <f aca="false">RawFinancials!X555</f>
        <v>1.09049365962965</v>
      </c>
      <c r="O555" s="13" t="n">
        <f aca="false">RawFinancials!V555</f>
        <v>0</v>
      </c>
      <c r="P555" s="13" t="n">
        <f aca="false">IF(AND(ISNUMBER(L555),L555&lt;&gt;0,ISNUMBER(M555)),100*M555/L555,"")</f>
        <v>91.1460820913708</v>
      </c>
      <c r="Q555" s="13" t="n">
        <f aca="false">IF(AND(ISNUMBER(F555),F555&lt;&gt;0,ISNUMBER(K555)),100*K555/F555,"")</f>
        <v>13.8521682557422</v>
      </c>
      <c r="R555" s="11" t="b">
        <f aca="false">AND(ISNUMBER(F555),F555&gt;0,ISNUMBER(G555),G555&gt;=0,ISNUMBER(H555),H555&gt;=0)</f>
        <v>1</v>
      </c>
      <c r="S555" s="13" t="n">
        <f aca="false">IF(R555,100*I555/F555,"")</f>
        <v>0.04524257231344</v>
      </c>
      <c r="T555" s="11" t="b">
        <f aca="false">NOT(AND(OR(AND(ISBLANK(RawFinancials!B555),ISBLANK(_RawBaseline!B552)),AND(ISNUMBER(RawFinancials!B555),ISNUMBER(_RawBaseline!B552),RawFinancials!B555=_RawBaseline!B552)),OR(AND(ISBLANK(RawFinancials!U555),ISBLANK(_RawBaseline!U552)),AND(ISNUMBER(RawFinancials!U555),ISNUMBER(_RawBaseline!U552),RawFinancials!U555=_RawBaseline!U552)),OR(AND(ISBLANK(RawFinancials!O555),ISBLANK(_RawBaseline!O552)),AND(ISNUMBER(RawFinancials!O555),ISNUMBER(_RawBaseline!O552),RawFinancials!O555=_RawBaseline!O552))))</f>
        <v>0</v>
      </c>
      <c r="U555" s="13" t="n">
        <f aca="false">IF(AND(D555=WF_START_PERIOD,R555,COUNTIFS($B$5:$B$750,B555,$D$5:$D$750,WF_END_PERIOD,$R$5:$R$750,TRUE())&gt;0),SUMIFS($S$5:$S$750,$B$5:$B$750,B555,$D$5:$D$750,WF_END_PERIOD,$R$5:$R$750,TRUE()),0)</f>
        <v>0</v>
      </c>
      <c r="V555" s="0" t="str">
        <f aca="false">IF(AND(D555=WF_START_PERIOD,COUNTIFS($B$5:$B$750,B555,$D$5:$D$750,WF_END_PERIOD)&gt;0),INDEX($E$5:$E$750,MATCH(B555&amp;"|"&amp;WF_END_PERIOD,$AC$5:$AC$750,0)),"")</f>
        <v/>
      </c>
      <c r="W555" s="11" t="b">
        <f aca="false">COUNTIFS($B$5:$B$750,B555,$D$5:$D$750,WF_START_PERIOD,$R$5:$R$750,TRUE())&gt;0</f>
        <v>1</v>
      </c>
      <c r="X555" s="11" t="b">
        <f aca="false">COUNTIFS($B$5:$B$750,B555,$D$5:$D$750,WF_END_PERIOD,$R$5:$R$750,TRUE())&gt;0</f>
        <v>1</v>
      </c>
      <c r="Y555" s="0" t="str">
        <f aca="false">IF(AND(D555=WF_END_PERIOD,COUNTIFS($B$5:$B$750,B555,$D$5:$D$750,WF_START_PERIOD)&gt;0),INDEX($E$5:$E$750,MATCH(B555&amp;"|"&amp;WF_START_PERIOD,$AC$5:$AC$750,0)),"")</f>
        <v/>
      </c>
      <c r="Z555" s="0" t="str">
        <f aca="false">IF(AND(D555=WF_END_PERIOD,R555),1+COUNTIFS($D$5:$D$750,WF_END_PERIOD,$E$5:$E$750,E555,$R$5:$R$750,TRUE(),$S$5:$S$750,"&gt;"&amp;S555)+COUNTIFS($D$5:$D$750,WF_END_PERIOD,$E$5:$E$750,E555,$R$5:$R$750,TRUE(),$S$5:$S$750,S555,$B$5:$B$750,"&lt;"&amp;B555),"")</f>
        <v/>
      </c>
      <c r="AA555" s="0" t="str">
        <f aca="false">IF(AND(D555=WF_END_PERIOD,R555,Z555&lt;&gt;1),1+COUNTIFS($D$5:$D$750,WF_END_PERIOD,$R$5:$R$750,TRUE(),$Z$5:$Z$750,"&lt;&gt;1",$S$5:$S$750,"&gt;"&amp;S555)+COUNTIFS($D$5:$D$750,WF_END_PERIOD,$R$5:$R$750,TRUE(),$Z$5:$Z$750,"&lt;&gt;1",$S$5:$S$750,S555,$B$5:$B$750,"&lt;"&amp;B555),"")</f>
        <v/>
      </c>
      <c r="AB555" s="11" t="b">
        <f aca="false">OR(D555=WF_START_PERIOD,D555=WF_END_PERIOD)</f>
        <v>0</v>
      </c>
      <c r="AC555" s="0" t="str">
        <f aca="false">B555&amp;"|"&amp;D555</f>
        <v>17749|20240930</v>
      </c>
    </row>
    <row r="556" customFormat="false" ht="15" hidden="false" customHeight="false" outlineLevel="0" collapsed="false">
      <c r="A556" s="0" t="n">
        <f aca="false">RawFinancials!A556</f>
        <v>553</v>
      </c>
      <c r="B556" s="0" t="n">
        <f aca="false">RawFinancials!C556</f>
        <v>17751</v>
      </c>
      <c r="C556" s="0" t="str">
        <f aca="false">RawFinancials!P556</f>
        <v>ANDROSCOGGIN SAVINGS BANK</v>
      </c>
      <c r="D556" s="0" t="n">
        <f aca="false">RawFinancials!W556</f>
        <v>20240930</v>
      </c>
      <c r="E556" s="0" t="str">
        <f aca="false">RawFinancials!Z556</f>
        <v>ME</v>
      </c>
      <c r="F556" s="0" t="n">
        <f aca="false">RawFinancials!B556</f>
        <v>1665363</v>
      </c>
      <c r="G556" s="0" t="n">
        <f aca="false">RawFinancials!U556</f>
        <v>0</v>
      </c>
      <c r="H556" s="0" t="n">
        <f aca="false">RawFinancials!O556</f>
        <v>5637</v>
      </c>
      <c r="I556" s="0" t="n">
        <f aca="false">IF(AND(ISNUMBER(G556),ISNUMBER(H556)),G556+H556,"")</f>
        <v>5637</v>
      </c>
      <c r="J556" s="0" t="n">
        <f aca="false">RawFinancials!D556</f>
        <v>1312346</v>
      </c>
      <c r="K556" s="0" t="n">
        <f aca="false">RawFinancials!F556</f>
        <v>146041</v>
      </c>
      <c r="L556" s="0" t="n">
        <f aca="false">RawFinancials!L556</f>
        <v>1372411</v>
      </c>
      <c r="M556" s="0" t="n">
        <f aca="false">RawFinancials!N556</f>
        <v>1170198</v>
      </c>
      <c r="N556" s="13" t="n">
        <f aca="false">RawFinancials!X556</f>
        <v>0.432944118659756</v>
      </c>
      <c r="O556" s="13" t="n">
        <f aca="false">RawFinancials!V556</f>
        <v>12.6616730688762</v>
      </c>
      <c r="P556" s="13" t="n">
        <f aca="false">IF(AND(ISNUMBER(L556),L556&lt;&gt;0,ISNUMBER(M556)),100*M556/L556,"")</f>
        <v>85.2658569481008</v>
      </c>
      <c r="Q556" s="13" t="n">
        <f aca="false">IF(AND(ISNUMBER(F556),F556&lt;&gt;0,ISNUMBER(K556)),100*K556/F556,"")</f>
        <v>8.76931936160465</v>
      </c>
      <c r="R556" s="11" t="b">
        <f aca="false">AND(ISNUMBER(F556),F556&gt;0,ISNUMBER(G556),G556&gt;=0,ISNUMBER(H556),H556&gt;=0)</f>
        <v>1</v>
      </c>
      <c r="S556" s="13" t="n">
        <f aca="false">IF(R556,100*I556/F556,"")</f>
        <v>0.338484762781448</v>
      </c>
      <c r="T556" s="11" t="b">
        <f aca="false">NOT(AND(OR(AND(ISBLANK(RawFinancials!B556),ISBLANK(_RawBaseline!B553)),AND(ISNUMBER(RawFinancials!B556),ISNUMBER(_RawBaseline!B553),RawFinancials!B556=_RawBaseline!B553)),OR(AND(ISBLANK(RawFinancials!U556),ISBLANK(_RawBaseline!U553)),AND(ISNUMBER(RawFinancials!U556),ISNUMBER(_RawBaseline!U553),RawFinancials!U556=_RawBaseline!U553)),OR(AND(ISBLANK(RawFinancials!O556),ISBLANK(_RawBaseline!O553)),AND(ISNUMBER(RawFinancials!O556),ISNUMBER(_RawBaseline!O553),RawFinancials!O556=_RawBaseline!O553))))</f>
        <v>0</v>
      </c>
      <c r="U556" s="13" t="n">
        <f aca="false">IF(AND(D556=WF_START_PERIOD,R556,COUNTIFS($B$5:$B$750,B556,$D$5:$D$750,WF_END_PERIOD,$R$5:$R$750,TRUE())&gt;0),SUMIFS($S$5:$S$750,$B$5:$B$750,B556,$D$5:$D$750,WF_END_PERIOD,$R$5:$R$750,TRUE()),0)</f>
        <v>0</v>
      </c>
      <c r="V556" s="0" t="str">
        <f aca="false">IF(AND(D556=WF_START_PERIOD,COUNTIFS($B$5:$B$750,B556,$D$5:$D$750,WF_END_PERIOD)&gt;0),INDEX($E$5:$E$750,MATCH(B556&amp;"|"&amp;WF_END_PERIOD,$AC$5:$AC$750,0)),"")</f>
        <v/>
      </c>
      <c r="W556" s="11" t="b">
        <f aca="false">COUNTIFS($B$5:$B$750,B556,$D$5:$D$750,WF_START_PERIOD,$R$5:$R$750,TRUE())&gt;0</f>
        <v>1</v>
      </c>
      <c r="X556" s="11" t="b">
        <f aca="false">COUNTIFS($B$5:$B$750,B556,$D$5:$D$750,WF_END_PERIOD,$R$5:$R$750,TRUE())&gt;0</f>
        <v>1</v>
      </c>
      <c r="Y556" s="0" t="str">
        <f aca="false">IF(AND(D556=WF_END_PERIOD,COUNTIFS($B$5:$B$750,B556,$D$5:$D$750,WF_START_PERIOD)&gt;0),INDEX($E$5:$E$750,MATCH(B556&amp;"|"&amp;WF_START_PERIOD,$AC$5:$AC$750,0)),"")</f>
        <v/>
      </c>
      <c r="Z556" s="0" t="str">
        <f aca="false">IF(AND(D556=WF_END_PERIOD,R556),1+COUNTIFS($D$5:$D$750,WF_END_PERIOD,$E$5:$E$750,E556,$R$5:$R$750,TRUE(),$S$5:$S$750,"&gt;"&amp;S556)+COUNTIFS($D$5:$D$750,WF_END_PERIOD,$E$5:$E$750,E556,$R$5:$R$750,TRUE(),$S$5:$S$750,S556,$B$5:$B$750,"&lt;"&amp;B556),"")</f>
        <v/>
      </c>
      <c r="AA556" s="0" t="str">
        <f aca="false">IF(AND(D556=WF_END_PERIOD,R556,Z556&lt;&gt;1),1+COUNTIFS($D$5:$D$750,WF_END_PERIOD,$R$5:$R$750,TRUE(),$Z$5:$Z$750,"&lt;&gt;1",$S$5:$S$750,"&gt;"&amp;S556)+COUNTIFS($D$5:$D$750,WF_END_PERIOD,$R$5:$R$750,TRUE(),$Z$5:$Z$750,"&lt;&gt;1",$S$5:$S$750,S556,$B$5:$B$750,"&lt;"&amp;B556),"")</f>
        <v/>
      </c>
      <c r="AB556" s="11" t="b">
        <f aca="false">OR(D556=WF_START_PERIOD,D556=WF_END_PERIOD)</f>
        <v>0</v>
      </c>
      <c r="AC556" s="0" t="str">
        <f aca="false">B556&amp;"|"&amp;D556</f>
        <v>17751|20240930</v>
      </c>
    </row>
    <row r="557" customFormat="false" ht="15" hidden="false" customHeight="false" outlineLevel="0" collapsed="false">
      <c r="A557" s="0" t="n">
        <f aca="false">RawFinancials!A557</f>
        <v>554</v>
      </c>
      <c r="B557" s="0" t="n">
        <f aca="false">RawFinancials!C557</f>
        <v>17897</v>
      </c>
      <c r="C557" s="0" t="str">
        <f aca="false">RawFinancials!P557</f>
        <v>KENNEBEC SAVINGS BANK</v>
      </c>
      <c r="D557" s="0" t="n">
        <f aca="false">RawFinancials!W557</f>
        <v>20240930</v>
      </c>
      <c r="E557" s="0" t="str">
        <f aca="false">RawFinancials!Z557</f>
        <v>ME</v>
      </c>
      <c r="F557" s="0" t="n">
        <f aca="false">RawFinancials!B557</f>
        <v>1743721</v>
      </c>
      <c r="G557" s="0" t="n">
        <f aca="false">RawFinancials!U557</f>
        <v>0</v>
      </c>
      <c r="H557" s="0" t="n">
        <f aca="false">RawFinancials!O557</f>
        <v>4826</v>
      </c>
      <c r="I557" s="0" t="n">
        <f aca="false">IF(AND(ISNUMBER(G557),ISNUMBER(H557)),G557+H557,"")</f>
        <v>4826</v>
      </c>
      <c r="J557" s="0" t="n">
        <f aca="false">RawFinancials!D557</f>
        <v>1323557</v>
      </c>
      <c r="K557" s="0" t="n">
        <f aca="false">RawFinancials!F557</f>
        <v>219695</v>
      </c>
      <c r="L557" s="0" t="n">
        <f aca="false">RawFinancials!L557</f>
        <v>1443445</v>
      </c>
      <c r="M557" s="0" t="n">
        <f aca="false">RawFinancials!N557</f>
        <v>1355336</v>
      </c>
      <c r="N557" s="13" t="n">
        <f aca="false">RawFinancials!X557</f>
        <v>0.828207779242847</v>
      </c>
      <c r="O557" s="13" t="n">
        <f aca="false">RawFinancials!V557</f>
        <v>18.0101447735768</v>
      </c>
      <c r="P557" s="13" t="n">
        <f aca="false">IF(AND(ISNUMBER(L557),L557&lt;&gt;0,ISNUMBER(M557)),100*M557/L557,"")</f>
        <v>93.895922601831</v>
      </c>
      <c r="Q557" s="13" t="n">
        <f aca="false">IF(AND(ISNUMBER(F557),F557&lt;&gt;0,ISNUMBER(K557)),100*K557/F557,"")</f>
        <v>12.599205950952</v>
      </c>
      <c r="R557" s="11" t="b">
        <f aca="false">AND(ISNUMBER(F557),F557&gt;0,ISNUMBER(G557),G557&gt;=0,ISNUMBER(H557),H557&gt;=0)</f>
        <v>1</v>
      </c>
      <c r="S557" s="13" t="n">
        <f aca="false">IF(R557,100*I557/F557,"")</f>
        <v>0.276764459451942</v>
      </c>
      <c r="T557" s="11" t="b">
        <f aca="false">NOT(AND(OR(AND(ISBLANK(RawFinancials!B557),ISBLANK(_RawBaseline!B554)),AND(ISNUMBER(RawFinancials!B557),ISNUMBER(_RawBaseline!B554),RawFinancials!B557=_RawBaseline!B554)),OR(AND(ISBLANK(RawFinancials!U557),ISBLANK(_RawBaseline!U554)),AND(ISNUMBER(RawFinancials!U557),ISNUMBER(_RawBaseline!U554),RawFinancials!U557=_RawBaseline!U554)),OR(AND(ISBLANK(RawFinancials!O557),ISBLANK(_RawBaseline!O554)),AND(ISNUMBER(RawFinancials!O557),ISNUMBER(_RawBaseline!O554),RawFinancials!O557=_RawBaseline!O554))))</f>
        <v>0</v>
      </c>
      <c r="U557" s="13" t="n">
        <f aca="false">IF(AND(D557=WF_START_PERIOD,R557,COUNTIFS($B$5:$B$750,B557,$D$5:$D$750,WF_END_PERIOD,$R$5:$R$750,TRUE())&gt;0),SUMIFS($S$5:$S$750,$B$5:$B$750,B557,$D$5:$D$750,WF_END_PERIOD,$R$5:$R$750,TRUE()),0)</f>
        <v>0</v>
      </c>
      <c r="V557" s="0" t="str">
        <f aca="false">IF(AND(D557=WF_START_PERIOD,COUNTIFS($B$5:$B$750,B557,$D$5:$D$750,WF_END_PERIOD)&gt;0),INDEX($E$5:$E$750,MATCH(B557&amp;"|"&amp;WF_END_PERIOD,$AC$5:$AC$750,0)),"")</f>
        <v/>
      </c>
      <c r="W557" s="11" t="b">
        <f aca="false">COUNTIFS($B$5:$B$750,B557,$D$5:$D$750,WF_START_PERIOD,$R$5:$R$750,TRUE())&gt;0</f>
        <v>1</v>
      </c>
      <c r="X557" s="11" t="b">
        <f aca="false">COUNTIFS($B$5:$B$750,B557,$D$5:$D$750,WF_END_PERIOD,$R$5:$R$750,TRUE())&gt;0</f>
        <v>1</v>
      </c>
      <c r="Y557" s="0" t="str">
        <f aca="false">IF(AND(D557=WF_END_PERIOD,COUNTIFS($B$5:$B$750,B557,$D$5:$D$750,WF_START_PERIOD)&gt;0),INDEX($E$5:$E$750,MATCH(B557&amp;"|"&amp;WF_START_PERIOD,$AC$5:$AC$750,0)),"")</f>
        <v/>
      </c>
      <c r="Z557" s="0" t="str">
        <f aca="false">IF(AND(D557=WF_END_PERIOD,R557),1+COUNTIFS($D$5:$D$750,WF_END_PERIOD,$E$5:$E$750,E557,$R$5:$R$750,TRUE(),$S$5:$S$750,"&gt;"&amp;S557)+COUNTIFS($D$5:$D$750,WF_END_PERIOD,$E$5:$E$750,E557,$R$5:$R$750,TRUE(),$S$5:$S$750,S557,$B$5:$B$750,"&lt;"&amp;B557),"")</f>
        <v/>
      </c>
      <c r="AA557" s="0" t="str">
        <f aca="false">IF(AND(D557=WF_END_PERIOD,R557,Z557&lt;&gt;1),1+COUNTIFS($D$5:$D$750,WF_END_PERIOD,$R$5:$R$750,TRUE(),$Z$5:$Z$750,"&lt;&gt;1",$S$5:$S$750,"&gt;"&amp;S557)+COUNTIFS($D$5:$D$750,WF_END_PERIOD,$R$5:$R$750,TRUE(),$Z$5:$Z$750,"&lt;&gt;1",$S$5:$S$750,S557,$B$5:$B$750,"&lt;"&amp;B557),"")</f>
        <v/>
      </c>
      <c r="AB557" s="11" t="b">
        <f aca="false">OR(D557=WF_START_PERIOD,D557=WF_END_PERIOD)</f>
        <v>0</v>
      </c>
      <c r="AC557" s="0" t="str">
        <f aca="false">B557&amp;"|"&amp;D557</f>
        <v>17897|20240930</v>
      </c>
    </row>
    <row r="558" customFormat="false" ht="15" hidden="false" customHeight="false" outlineLevel="0" collapsed="false">
      <c r="A558" s="0" t="n">
        <f aca="false">RawFinancials!A558</f>
        <v>555</v>
      </c>
      <c r="B558" s="0" t="n">
        <f aca="false">RawFinancials!C558</f>
        <v>17951</v>
      </c>
      <c r="C558" s="0" t="str">
        <f aca="false">RawFinancials!P558</f>
        <v>FRANKLIN SAVINGS BANK</v>
      </c>
      <c r="D558" s="0" t="n">
        <f aca="false">RawFinancials!W558</f>
        <v>20240930</v>
      </c>
      <c r="E558" s="0" t="str">
        <f aca="false">RawFinancials!Z558</f>
        <v>NH</v>
      </c>
      <c r="F558" s="0" t="n">
        <f aca="false">RawFinancials!B558</f>
        <v>819978</v>
      </c>
      <c r="G558" s="0" t="n">
        <f aca="false">RawFinancials!U558</f>
        <v>0</v>
      </c>
      <c r="H558" s="0" t="n">
        <f aca="false">RawFinancials!O558</f>
        <v>61</v>
      </c>
      <c r="I558" s="0" t="n">
        <f aca="false">IF(AND(ISNUMBER(G558),ISNUMBER(H558)),G558+H558,"")</f>
        <v>61</v>
      </c>
      <c r="J558" s="0" t="n">
        <f aca="false">RawFinancials!D558</f>
        <v>688357</v>
      </c>
      <c r="K558" s="0" t="n">
        <f aca="false">RawFinancials!F558</f>
        <v>67870</v>
      </c>
      <c r="L558" s="0" t="n">
        <f aca="false">RawFinancials!L558</f>
        <v>599913</v>
      </c>
      <c r="M558" s="0" t="n">
        <f aca="false">RawFinancials!N558</f>
        <v>550875</v>
      </c>
      <c r="N558" s="13" t="n">
        <f aca="false">RawFinancials!X558</f>
        <v>0.511043995809567</v>
      </c>
      <c r="O558" s="13" t="n">
        <f aca="false">RawFinancials!V558</f>
        <v>14.5460942258817</v>
      </c>
      <c r="P558" s="13" t="n">
        <f aca="false">IF(AND(ISNUMBER(L558),L558&lt;&gt;0,ISNUMBER(M558)),100*M558/L558,"")</f>
        <v>91.8258147431378</v>
      </c>
      <c r="Q558" s="13" t="n">
        <f aca="false">IF(AND(ISNUMBER(F558),F558&lt;&gt;0,ISNUMBER(K558)),100*K558/F558,"")</f>
        <v>8.27705133552364</v>
      </c>
      <c r="R558" s="11" t="b">
        <f aca="false">AND(ISNUMBER(F558),F558&gt;0,ISNUMBER(G558),G558&gt;=0,ISNUMBER(H558),H558&gt;=0)</f>
        <v>1</v>
      </c>
      <c r="S558" s="13" t="n">
        <f aca="false">IF(R558,100*I558/F558,"")</f>
        <v>0.00743922397917993</v>
      </c>
      <c r="T558" s="11" t="b">
        <f aca="false">NOT(AND(OR(AND(ISBLANK(RawFinancials!B558),ISBLANK(_RawBaseline!B555)),AND(ISNUMBER(RawFinancials!B558),ISNUMBER(_RawBaseline!B555),RawFinancials!B558=_RawBaseline!B555)),OR(AND(ISBLANK(RawFinancials!U558),ISBLANK(_RawBaseline!U555)),AND(ISNUMBER(RawFinancials!U558),ISNUMBER(_RawBaseline!U555),RawFinancials!U558=_RawBaseline!U555)),OR(AND(ISBLANK(RawFinancials!O558),ISBLANK(_RawBaseline!O555)),AND(ISNUMBER(RawFinancials!O558),ISNUMBER(_RawBaseline!O555),RawFinancials!O558=_RawBaseline!O555))))</f>
        <v>0</v>
      </c>
      <c r="U558" s="13" t="n">
        <f aca="false">IF(AND(D558=WF_START_PERIOD,R558,COUNTIFS($B$5:$B$750,B558,$D$5:$D$750,WF_END_PERIOD,$R$5:$R$750,TRUE())&gt;0),SUMIFS($S$5:$S$750,$B$5:$B$750,B558,$D$5:$D$750,WF_END_PERIOD,$R$5:$R$750,TRUE()),0)</f>
        <v>0</v>
      </c>
      <c r="V558" s="0" t="str">
        <f aca="false">IF(AND(D558=WF_START_PERIOD,COUNTIFS($B$5:$B$750,B558,$D$5:$D$750,WF_END_PERIOD)&gt;0),INDEX($E$5:$E$750,MATCH(B558&amp;"|"&amp;WF_END_PERIOD,$AC$5:$AC$750,0)),"")</f>
        <v/>
      </c>
      <c r="W558" s="11" t="b">
        <f aca="false">COUNTIFS($B$5:$B$750,B558,$D$5:$D$750,WF_START_PERIOD,$R$5:$R$750,TRUE())&gt;0</f>
        <v>1</v>
      </c>
      <c r="X558" s="11" t="b">
        <f aca="false">COUNTIFS($B$5:$B$750,B558,$D$5:$D$750,WF_END_PERIOD,$R$5:$R$750,TRUE())&gt;0</f>
        <v>1</v>
      </c>
      <c r="Y558" s="0" t="str">
        <f aca="false">IF(AND(D558=WF_END_PERIOD,COUNTIFS($B$5:$B$750,B558,$D$5:$D$750,WF_START_PERIOD)&gt;0),INDEX($E$5:$E$750,MATCH(B558&amp;"|"&amp;WF_START_PERIOD,$AC$5:$AC$750,0)),"")</f>
        <v/>
      </c>
      <c r="Z558" s="0" t="str">
        <f aca="false">IF(AND(D558=WF_END_PERIOD,R558),1+COUNTIFS($D$5:$D$750,WF_END_PERIOD,$E$5:$E$750,E558,$R$5:$R$750,TRUE(),$S$5:$S$750,"&gt;"&amp;S558)+COUNTIFS($D$5:$D$750,WF_END_PERIOD,$E$5:$E$750,E558,$R$5:$R$750,TRUE(),$S$5:$S$750,S558,$B$5:$B$750,"&lt;"&amp;B558),"")</f>
        <v/>
      </c>
      <c r="AA558" s="0" t="str">
        <f aca="false">IF(AND(D558=WF_END_PERIOD,R558,Z558&lt;&gt;1),1+COUNTIFS($D$5:$D$750,WF_END_PERIOD,$R$5:$R$750,TRUE(),$Z$5:$Z$750,"&lt;&gt;1",$S$5:$S$750,"&gt;"&amp;S558)+COUNTIFS($D$5:$D$750,WF_END_PERIOD,$R$5:$R$750,TRUE(),$Z$5:$Z$750,"&lt;&gt;1",$S$5:$S$750,S558,$B$5:$B$750,"&lt;"&amp;B558),"")</f>
        <v/>
      </c>
      <c r="AB558" s="11" t="b">
        <f aca="false">OR(D558=WF_START_PERIOD,D558=WF_END_PERIOD)</f>
        <v>0</v>
      </c>
      <c r="AC558" s="0" t="str">
        <f aca="false">B558&amp;"|"&amp;D558</f>
        <v>17951|20240930</v>
      </c>
    </row>
    <row r="559" customFormat="false" ht="15" hidden="false" customHeight="false" outlineLevel="0" collapsed="false">
      <c r="A559" s="0" t="n">
        <f aca="false">RawFinancials!A559</f>
        <v>556</v>
      </c>
      <c r="B559" s="0" t="n">
        <f aca="false">RawFinancials!C559</f>
        <v>17960</v>
      </c>
      <c r="C559" s="0" t="str">
        <f aca="false">RawFinancials!P559</f>
        <v>MERRIMACK COUNTY SAVINGS BANK</v>
      </c>
      <c r="D559" s="0" t="n">
        <f aca="false">RawFinancials!W559</f>
        <v>20240930</v>
      </c>
      <c r="E559" s="0" t="str">
        <f aca="false">RawFinancials!Z559</f>
        <v>NH</v>
      </c>
      <c r="F559" s="0" t="n">
        <f aca="false">RawFinancials!B559</f>
        <v>1380640</v>
      </c>
      <c r="G559" s="0" t="n">
        <f aca="false">RawFinancials!U559</f>
        <v>44</v>
      </c>
      <c r="H559" s="0" t="n">
        <f aca="false">RawFinancials!O559</f>
        <v>6798</v>
      </c>
      <c r="I559" s="0" t="n">
        <f aca="false">IF(AND(ISNUMBER(G559),ISNUMBER(H559)),G559+H559,"")</f>
        <v>6842</v>
      </c>
      <c r="J559" s="0" t="n">
        <f aca="false">RawFinancials!D559</f>
        <v>1050589</v>
      </c>
      <c r="K559" s="0" t="n">
        <f aca="false">RawFinancials!F559</f>
        <v>117711</v>
      </c>
      <c r="L559" s="0" t="n">
        <f aca="false">RawFinancials!L559</f>
        <v>1167764</v>
      </c>
      <c r="M559" s="0" t="n">
        <f aca="false">RawFinancials!N559</f>
        <v>827763</v>
      </c>
      <c r="N559" s="13" t="n">
        <f aca="false">RawFinancials!X559</f>
        <v>0.211894845039827</v>
      </c>
      <c r="O559" s="13" t="n">
        <f aca="false">RawFinancials!V559</f>
        <v>13.4452092505768</v>
      </c>
      <c r="P559" s="13" t="n">
        <f aca="false">IF(AND(ISNUMBER(L559),L559&lt;&gt;0,ISNUMBER(M559)),100*M559/L559,"")</f>
        <v>70.8844424044584</v>
      </c>
      <c r="Q559" s="13" t="n">
        <f aca="false">IF(AND(ISNUMBER(F559),F559&lt;&gt;0,ISNUMBER(K559)),100*K559/F559,"")</f>
        <v>8.52582860122842</v>
      </c>
      <c r="R559" s="11" t="b">
        <f aca="false">AND(ISNUMBER(F559),F559&gt;0,ISNUMBER(G559),G559&gt;=0,ISNUMBER(H559),H559&gt;=0)</f>
        <v>1</v>
      </c>
      <c r="S559" s="13" t="n">
        <f aca="false">IF(R559,100*I559/F559,"")</f>
        <v>0.495567273148685</v>
      </c>
      <c r="T559" s="11" t="b">
        <f aca="false">NOT(AND(OR(AND(ISBLANK(RawFinancials!B559),ISBLANK(_RawBaseline!B556)),AND(ISNUMBER(RawFinancials!B559),ISNUMBER(_RawBaseline!B556),RawFinancials!B559=_RawBaseline!B556)),OR(AND(ISBLANK(RawFinancials!U559),ISBLANK(_RawBaseline!U556)),AND(ISNUMBER(RawFinancials!U559),ISNUMBER(_RawBaseline!U556),RawFinancials!U559=_RawBaseline!U556)),OR(AND(ISBLANK(RawFinancials!O559),ISBLANK(_RawBaseline!O556)),AND(ISNUMBER(RawFinancials!O559),ISNUMBER(_RawBaseline!O556),RawFinancials!O559=_RawBaseline!O556))))</f>
        <v>0</v>
      </c>
      <c r="U559" s="13" t="n">
        <f aca="false">IF(AND(D559=WF_START_PERIOD,R559,COUNTIFS($B$5:$B$750,B559,$D$5:$D$750,WF_END_PERIOD,$R$5:$R$750,TRUE())&gt;0),SUMIFS($S$5:$S$750,$B$5:$B$750,B559,$D$5:$D$750,WF_END_PERIOD,$R$5:$R$750,TRUE()),0)</f>
        <v>0</v>
      </c>
      <c r="V559" s="0" t="str">
        <f aca="false">IF(AND(D559=WF_START_PERIOD,COUNTIFS($B$5:$B$750,B559,$D$5:$D$750,WF_END_PERIOD)&gt;0),INDEX($E$5:$E$750,MATCH(B559&amp;"|"&amp;WF_END_PERIOD,$AC$5:$AC$750,0)),"")</f>
        <v/>
      </c>
      <c r="W559" s="11" t="b">
        <f aca="false">COUNTIFS($B$5:$B$750,B559,$D$5:$D$750,WF_START_PERIOD,$R$5:$R$750,TRUE())&gt;0</f>
        <v>1</v>
      </c>
      <c r="X559" s="11" t="b">
        <f aca="false">COUNTIFS($B$5:$B$750,B559,$D$5:$D$750,WF_END_PERIOD,$R$5:$R$750,TRUE())&gt;0</f>
        <v>1</v>
      </c>
      <c r="Y559" s="0" t="str">
        <f aca="false">IF(AND(D559=WF_END_PERIOD,COUNTIFS($B$5:$B$750,B559,$D$5:$D$750,WF_START_PERIOD)&gt;0),INDEX($E$5:$E$750,MATCH(B559&amp;"|"&amp;WF_START_PERIOD,$AC$5:$AC$750,0)),"")</f>
        <v/>
      </c>
      <c r="Z559" s="0" t="str">
        <f aca="false">IF(AND(D559=WF_END_PERIOD,R559),1+COUNTIFS($D$5:$D$750,WF_END_PERIOD,$E$5:$E$750,E559,$R$5:$R$750,TRUE(),$S$5:$S$750,"&gt;"&amp;S559)+COUNTIFS($D$5:$D$750,WF_END_PERIOD,$E$5:$E$750,E559,$R$5:$R$750,TRUE(),$S$5:$S$750,S559,$B$5:$B$750,"&lt;"&amp;B559),"")</f>
        <v/>
      </c>
      <c r="AA559" s="0" t="str">
        <f aca="false">IF(AND(D559=WF_END_PERIOD,R559,Z559&lt;&gt;1),1+COUNTIFS($D$5:$D$750,WF_END_PERIOD,$R$5:$R$750,TRUE(),$Z$5:$Z$750,"&lt;&gt;1",$S$5:$S$750,"&gt;"&amp;S559)+COUNTIFS($D$5:$D$750,WF_END_PERIOD,$R$5:$R$750,TRUE(),$Z$5:$Z$750,"&lt;&gt;1",$S$5:$S$750,S559,$B$5:$B$750,"&lt;"&amp;B559),"")</f>
        <v/>
      </c>
      <c r="AB559" s="11" t="b">
        <f aca="false">OR(D559=WF_START_PERIOD,D559=WF_END_PERIOD)</f>
        <v>0</v>
      </c>
      <c r="AC559" s="0" t="str">
        <f aca="false">B559&amp;"|"&amp;D559</f>
        <v>17960|20240930</v>
      </c>
    </row>
    <row r="560" customFormat="false" ht="15" hidden="false" customHeight="false" outlineLevel="0" collapsed="false">
      <c r="A560" s="0" t="n">
        <f aca="false">RawFinancials!A560</f>
        <v>557</v>
      </c>
      <c r="B560" s="0" t="n">
        <f aca="false">RawFinancials!C560</f>
        <v>18012</v>
      </c>
      <c r="C560" s="0" t="str">
        <f aca="false">RawFinancials!P560</f>
        <v>BANK OF NEW HAMPSHIRE</v>
      </c>
      <c r="D560" s="0" t="n">
        <f aca="false">RawFinancials!W560</f>
        <v>20240930</v>
      </c>
      <c r="E560" s="0" t="str">
        <f aca="false">RawFinancials!Z560</f>
        <v>NH</v>
      </c>
      <c r="F560" s="0" t="n">
        <f aca="false">RawFinancials!B560</f>
        <v>2583718</v>
      </c>
      <c r="G560" s="0" t="n">
        <f aca="false">RawFinancials!U560</f>
        <v>0</v>
      </c>
      <c r="H560" s="0" t="n">
        <f aca="false">RawFinancials!O560</f>
        <v>551</v>
      </c>
      <c r="I560" s="0" t="n">
        <f aca="false">IF(AND(ISNUMBER(G560),ISNUMBER(H560)),G560+H560,"")</f>
        <v>551</v>
      </c>
      <c r="J560" s="0" t="n">
        <f aca="false">RawFinancials!D560</f>
        <v>2179694</v>
      </c>
      <c r="K560" s="0" t="n">
        <f aca="false">RawFinancials!F560</f>
        <v>287158</v>
      </c>
      <c r="L560" s="0" t="n">
        <f aca="false">RawFinancials!L560</f>
        <v>2078109</v>
      </c>
      <c r="M560" s="0" t="n">
        <f aca="false">RawFinancials!N560</f>
        <v>1973661</v>
      </c>
      <c r="N560" s="13" t="n">
        <f aca="false">RawFinancials!X560</f>
        <v>0.708107955416192</v>
      </c>
      <c r="O560" s="13" t="n">
        <f aca="false">RawFinancials!V560</f>
        <v>14.420969624268</v>
      </c>
      <c r="P560" s="13" t="n">
        <f aca="false">IF(AND(ISNUMBER(L560),L560&lt;&gt;0,ISNUMBER(M560)),100*M560/L560,"")</f>
        <v>94.9738921298161</v>
      </c>
      <c r="Q560" s="13" t="n">
        <f aca="false">IF(AND(ISNUMBER(F560),F560&lt;&gt;0,ISNUMBER(K560)),100*K560/F560,"")</f>
        <v>11.1141386172949</v>
      </c>
      <c r="R560" s="11" t="b">
        <f aca="false">AND(ISNUMBER(F560),F560&gt;0,ISNUMBER(G560),G560&gt;=0,ISNUMBER(H560),H560&gt;=0)</f>
        <v>1</v>
      </c>
      <c r="S560" s="13" t="n">
        <f aca="false">IF(R560,100*I560/F560,"")</f>
        <v>0.0213258567691985</v>
      </c>
      <c r="T560" s="11" t="b">
        <f aca="false">NOT(AND(OR(AND(ISBLANK(RawFinancials!B560),ISBLANK(_RawBaseline!B557)),AND(ISNUMBER(RawFinancials!B560),ISNUMBER(_RawBaseline!B557),RawFinancials!B560=_RawBaseline!B557)),OR(AND(ISBLANK(RawFinancials!U560),ISBLANK(_RawBaseline!U557)),AND(ISNUMBER(RawFinancials!U560),ISNUMBER(_RawBaseline!U557),RawFinancials!U560=_RawBaseline!U557)),OR(AND(ISBLANK(RawFinancials!O560),ISBLANK(_RawBaseline!O557)),AND(ISNUMBER(RawFinancials!O560),ISNUMBER(_RawBaseline!O557),RawFinancials!O560=_RawBaseline!O557))))</f>
        <v>0</v>
      </c>
      <c r="U560" s="13" t="n">
        <f aca="false">IF(AND(D560=WF_START_PERIOD,R560,COUNTIFS($B$5:$B$750,B560,$D$5:$D$750,WF_END_PERIOD,$R$5:$R$750,TRUE())&gt;0),SUMIFS($S$5:$S$750,$B$5:$B$750,B560,$D$5:$D$750,WF_END_PERIOD,$R$5:$R$750,TRUE()),0)</f>
        <v>0</v>
      </c>
      <c r="V560" s="0" t="str">
        <f aca="false">IF(AND(D560=WF_START_PERIOD,COUNTIFS($B$5:$B$750,B560,$D$5:$D$750,WF_END_PERIOD)&gt;0),INDEX($E$5:$E$750,MATCH(B560&amp;"|"&amp;WF_END_PERIOD,$AC$5:$AC$750,0)),"")</f>
        <v/>
      </c>
      <c r="W560" s="11" t="b">
        <f aca="false">COUNTIFS($B$5:$B$750,B560,$D$5:$D$750,WF_START_PERIOD,$R$5:$R$750,TRUE())&gt;0</f>
        <v>1</v>
      </c>
      <c r="X560" s="11" t="b">
        <f aca="false">COUNTIFS($B$5:$B$750,B560,$D$5:$D$750,WF_END_PERIOD,$R$5:$R$750,TRUE())&gt;0</f>
        <v>1</v>
      </c>
      <c r="Y560" s="0" t="str">
        <f aca="false">IF(AND(D560=WF_END_PERIOD,COUNTIFS($B$5:$B$750,B560,$D$5:$D$750,WF_START_PERIOD)&gt;0),INDEX($E$5:$E$750,MATCH(B560&amp;"|"&amp;WF_START_PERIOD,$AC$5:$AC$750,0)),"")</f>
        <v/>
      </c>
      <c r="Z560" s="0" t="str">
        <f aca="false">IF(AND(D560=WF_END_PERIOD,R560),1+COUNTIFS($D$5:$D$750,WF_END_PERIOD,$E$5:$E$750,E560,$R$5:$R$750,TRUE(),$S$5:$S$750,"&gt;"&amp;S560)+COUNTIFS($D$5:$D$750,WF_END_PERIOD,$E$5:$E$750,E560,$R$5:$R$750,TRUE(),$S$5:$S$750,S560,$B$5:$B$750,"&lt;"&amp;B560),"")</f>
        <v/>
      </c>
      <c r="AA560" s="0" t="str">
        <f aca="false">IF(AND(D560=WF_END_PERIOD,R560,Z560&lt;&gt;1),1+COUNTIFS($D$5:$D$750,WF_END_PERIOD,$R$5:$R$750,TRUE(),$Z$5:$Z$750,"&lt;&gt;1",$S$5:$S$750,"&gt;"&amp;S560)+COUNTIFS($D$5:$D$750,WF_END_PERIOD,$R$5:$R$750,TRUE(),$Z$5:$Z$750,"&lt;&gt;1",$S$5:$S$750,S560,$B$5:$B$750,"&lt;"&amp;B560),"")</f>
        <v/>
      </c>
      <c r="AB560" s="11" t="b">
        <f aca="false">OR(D560=WF_START_PERIOD,D560=WF_END_PERIOD)</f>
        <v>0</v>
      </c>
      <c r="AC560" s="0" t="str">
        <f aca="false">B560&amp;"|"&amp;D560</f>
        <v>18012|20240930</v>
      </c>
    </row>
    <row r="561" customFormat="false" ht="15" hidden="false" customHeight="false" outlineLevel="0" collapsed="false">
      <c r="A561" s="0" t="n">
        <f aca="false">RawFinancials!A561</f>
        <v>558</v>
      </c>
      <c r="B561" s="0" t="n">
        <f aca="false">RawFinancials!C561</f>
        <v>18013</v>
      </c>
      <c r="C561" s="0" t="str">
        <f aca="false">RawFinancials!P561</f>
        <v>MASCOMA BANK</v>
      </c>
      <c r="D561" s="0" t="n">
        <f aca="false">RawFinancials!W561</f>
        <v>20240930</v>
      </c>
      <c r="E561" s="0" t="str">
        <f aca="false">RawFinancials!Z561</f>
        <v>NH</v>
      </c>
      <c r="F561" s="0" t="n">
        <f aca="false">RawFinancials!B561</f>
        <v>2889853</v>
      </c>
      <c r="G561" s="0" t="n">
        <f aca="false">RawFinancials!U561</f>
        <v>74</v>
      </c>
      <c r="H561" s="0" t="n">
        <f aca="false">RawFinancials!O561</f>
        <v>1627</v>
      </c>
      <c r="I561" s="0" t="n">
        <f aca="false">IF(AND(ISNUMBER(G561),ISNUMBER(H561)),G561+H561,"")</f>
        <v>1701</v>
      </c>
      <c r="J561" s="0" t="n">
        <f aca="false">RawFinancials!D561</f>
        <v>2534229</v>
      </c>
      <c r="K561" s="0" t="n">
        <f aca="false">RawFinancials!F561</f>
        <v>234630</v>
      </c>
      <c r="L561" s="0" t="n">
        <f aca="false">RawFinancials!L561</f>
        <v>2393581</v>
      </c>
      <c r="M561" s="0" t="n">
        <f aca="false">RawFinancials!N561</f>
        <v>2183396</v>
      </c>
      <c r="N561" s="13" t="n">
        <f aca="false">RawFinancials!X561</f>
        <v>0.25337240311984</v>
      </c>
      <c r="O561" s="13" t="n">
        <f aca="false">RawFinancials!V561</f>
        <v>12.6133265662941</v>
      </c>
      <c r="P561" s="13" t="n">
        <f aca="false">IF(AND(ISNUMBER(L561),L561&lt;&gt;0,ISNUMBER(M561)),100*M561/L561,"")</f>
        <v>91.2188056305594</v>
      </c>
      <c r="Q561" s="13" t="n">
        <f aca="false">IF(AND(ISNUMBER(F561),F561&lt;&gt;0,ISNUMBER(K561)),100*K561/F561,"")</f>
        <v>8.1190980994535</v>
      </c>
      <c r="R561" s="11" t="b">
        <f aca="false">AND(ISNUMBER(F561),F561&gt;0,ISNUMBER(G561),G561&gt;=0,ISNUMBER(H561),H561&gt;=0)</f>
        <v>1</v>
      </c>
      <c r="S561" s="13" t="n">
        <f aca="false">IF(R561,100*I561/F561,"")</f>
        <v>0.058861125462091</v>
      </c>
      <c r="T561" s="11" t="b">
        <f aca="false">NOT(AND(OR(AND(ISBLANK(RawFinancials!B561),ISBLANK(_RawBaseline!B558)),AND(ISNUMBER(RawFinancials!B561),ISNUMBER(_RawBaseline!B558),RawFinancials!B561=_RawBaseline!B558)),OR(AND(ISBLANK(RawFinancials!U561),ISBLANK(_RawBaseline!U558)),AND(ISNUMBER(RawFinancials!U561),ISNUMBER(_RawBaseline!U558),RawFinancials!U561=_RawBaseline!U558)),OR(AND(ISBLANK(RawFinancials!O561),ISBLANK(_RawBaseline!O558)),AND(ISNUMBER(RawFinancials!O561),ISNUMBER(_RawBaseline!O558),RawFinancials!O561=_RawBaseline!O558))))</f>
        <v>0</v>
      </c>
      <c r="U561" s="13" t="n">
        <f aca="false">IF(AND(D561=WF_START_PERIOD,R561,COUNTIFS($B$5:$B$750,B561,$D$5:$D$750,WF_END_PERIOD,$R$5:$R$750,TRUE())&gt;0),SUMIFS($S$5:$S$750,$B$5:$B$750,B561,$D$5:$D$750,WF_END_PERIOD,$R$5:$R$750,TRUE()),0)</f>
        <v>0</v>
      </c>
      <c r="V561" s="0" t="str">
        <f aca="false">IF(AND(D561=WF_START_PERIOD,COUNTIFS($B$5:$B$750,B561,$D$5:$D$750,WF_END_PERIOD)&gt;0),INDEX($E$5:$E$750,MATCH(B561&amp;"|"&amp;WF_END_PERIOD,$AC$5:$AC$750,0)),"")</f>
        <v/>
      </c>
      <c r="W561" s="11" t="b">
        <f aca="false">COUNTIFS($B$5:$B$750,B561,$D$5:$D$750,WF_START_PERIOD,$R$5:$R$750,TRUE())&gt;0</f>
        <v>1</v>
      </c>
      <c r="X561" s="11" t="b">
        <f aca="false">COUNTIFS($B$5:$B$750,B561,$D$5:$D$750,WF_END_PERIOD,$R$5:$R$750,TRUE())&gt;0</f>
        <v>1</v>
      </c>
      <c r="Y561" s="0" t="str">
        <f aca="false">IF(AND(D561=WF_END_PERIOD,COUNTIFS($B$5:$B$750,B561,$D$5:$D$750,WF_START_PERIOD)&gt;0),INDEX($E$5:$E$750,MATCH(B561&amp;"|"&amp;WF_START_PERIOD,$AC$5:$AC$750,0)),"")</f>
        <v/>
      </c>
      <c r="Z561" s="0" t="str">
        <f aca="false">IF(AND(D561=WF_END_PERIOD,R561),1+COUNTIFS($D$5:$D$750,WF_END_PERIOD,$E$5:$E$750,E561,$R$5:$R$750,TRUE(),$S$5:$S$750,"&gt;"&amp;S561)+COUNTIFS($D$5:$D$750,WF_END_PERIOD,$E$5:$E$750,E561,$R$5:$R$750,TRUE(),$S$5:$S$750,S561,$B$5:$B$750,"&lt;"&amp;B561),"")</f>
        <v/>
      </c>
      <c r="AA561" s="0" t="str">
        <f aca="false">IF(AND(D561=WF_END_PERIOD,R561,Z561&lt;&gt;1),1+COUNTIFS($D$5:$D$750,WF_END_PERIOD,$R$5:$R$750,TRUE(),$Z$5:$Z$750,"&lt;&gt;1",$S$5:$S$750,"&gt;"&amp;S561)+COUNTIFS($D$5:$D$750,WF_END_PERIOD,$R$5:$R$750,TRUE(),$Z$5:$Z$750,"&lt;&gt;1",$S$5:$S$750,S561,$B$5:$B$750,"&lt;"&amp;B561),"")</f>
        <v/>
      </c>
      <c r="AB561" s="11" t="b">
        <f aca="false">OR(D561=WF_START_PERIOD,D561=WF_END_PERIOD)</f>
        <v>0</v>
      </c>
      <c r="AC561" s="0" t="str">
        <f aca="false">B561&amp;"|"&amp;D561</f>
        <v>18013|20240930</v>
      </c>
    </row>
    <row r="562" customFormat="false" ht="15" hidden="false" customHeight="false" outlineLevel="0" collapsed="false">
      <c r="A562" s="0" t="n">
        <f aca="false">RawFinancials!A562</f>
        <v>559</v>
      </c>
      <c r="B562" s="0" t="n">
        <f aca="false">RawFinancials!C562</f>
        <v>18028</v>
      </c>
      <c r="C562" s="0" t="str">
        <f aca="false">RawFinancials!P562</f>
        <v>SUGAR RIVER BANK</v>
      </c>
      <c r="D562" s="0" t="n">
        <f aca="false">RawFinancials!W562</f>
        <v>20240930</v>
      </c>
      <c r="E562" s="0" t="str">
        <f aca="false">RawFinancials!Z562</f>
        <v>NH</v>
      </c>
      <c r="F562" s="0" t="n">
        <f aca="false">RawFinancials!B562</f>
        <v>407460</v>
      </c>
      <c r="G562" s="0" t="n">
        <f aca="false">RawFinancials!U562</f>
        <v>358</v>
      </c>
      <c r="H562" s="0" t="n">
        <f aca="false">RawFinancials!O562</f>
        <v>908</v>
      </c>
      <c r="I562" s="0" t="n">
        <f aca="false">IF(AND(ISNUMBER(G562),ISNUMBER(H562)),G562+H562,"")</f>
        <v>1266</v>
      </c>
      <c r="J562" s="0" t="n">
        <f aca="false">RawFinancials!D562</f>
        <v>337570</v>
      </c>
      <c r="K562" s="0" t="n">
        <f aca="false">RawFinancials!F562</f>
        <v>43831</v>
      </c>
      <c r="L562" s="0" t="n">
        <f aca="false">RawFinancials!L562</f>
        <v>273990</v>
      </c>
      <c r="M562" s="0" t="n">
        <f aca="false">RawFinancials!N562</f>
        <v>249806</v>
      </c>
      <c r="N562" s="13" t="n">
        <f aca="false">RawFinancials!X562</f>
        <v>0.449445889497145</v>
      </c>
      <c r="O562" s="13" t="n">
        <f aca="false">RawFinancials!V562</f>
        <v>0</v>
      </c>
      <c r="P562" s="13" t="n">
        <f aca="false">IF(AND(ISNUMBER(L562),L562&lt;&gt;0,ISNUMBER(M562)),100*M562/L562,"")</f>
        <v>91.1734004890689</v>
      </c>
      <c r="Q562" s="13" t="n">
        <f aca="false">IF(AND(ISNUMBER(F562),F562&lt;&gt;0,ISNUMBER(K562)),100*K562/F562,"")</f>
        <v>10.7571295341874</v>
      </c>
      <c r="R562" s="11" t="b">
        <f aca="false">AND(ISNUMBER(F562),F562&gt;0,ISNUMBER(G562),G562&gt;=0,ISNUMBER(H562),H562&gt;=0)</f>
        <v>1</v>
      </c>
      <c r="S562" s="13" t="n">
        <f aca="false">IF(R562,100*I562/F562,"")</f>
        <v>0.310705345309969</v>
      </c>
      <c r="T562" s="11" t="b">
        <f aca="false">NOT(AND(OR(AND(ISBLANK(RawFinancials!B562),ISBLANK(_RawBaseline!B559)),AND(ISNUMBER(RawFinancials!B562),ISNUMBER(_RawBaseline!B559),RawFinancials!B562=_RawBaseline!B559)),OR(AND(ISBLANK(RawFinancials!U562),ISBLANK(_RawBaseline!U559)),AND(ISNUMBER(RawFinancials!U562),ISNUMBER(_RawBaseline!U559),RawFinancials!U562=_RawBaseline!U559)),OR(AND(ISBLANK(RawFinancials!O562),ISBLANK(_RawBaseline!O559)),AND(ISNUMBER(RawFinancials!O562),ISNUMBER(_RawBaseline!O559),RawFinancials!O562=_RawBaseline!O559))))</f>
        <v>0</v>
      </c>
      <c r="U562" s="13" t="n">
        <f aca="false">IF(AND(D562=WF_START_PERIOD,R562,COUNTIFS($B$5:$B$750,B562,$D$5:$D$750,WF_END_PERIOD,$R$5:$R$750,TRUE())&gt;0),SUMIFS($S$5:$S$750,$B$5:$B$750,B562,$D$5:$D$750,WF_END_PERIOD,$R$5:$R$750,TRUE()),0)</f>
        <v>0</v>
      </c>
      <c r="V562" s="0" t="str">
        <f aca="false">IF(AND(D562=WF_START_PERIOD,COUNTIFS($B$5:$B$750,B562,$D$5:$D$750,WF_END_PERIOD)&gt;0),INDEX($E$5:$E$750,MATCH(B562&amp;"|"&amp;WF_END_PERIOD,$AC$5:$AC$750,0)),"")</f>
        <v/>
      </c>
      <c r="W562" s="11" t="b">
        <f aca="false">COUNTIFS($B$5:$B$750,B562,$D$5:$D$750,WF_START_PERIOD,$R$5:$R$750,TRUE())&gt;0</f>
        <v>1</v>
      </c>
      <c r="X562" s="11" t="b">
        <f aca="false">COUNTIFS($B$5:$B$750,B562,$D$5:$D$750,WF_END_PERIOD,$R$5:$R$750,TRUE())&gt;0</f>
        <v>1</v>
      </c>
      <c r="Y562" s="0" t="str">
        <f aca="false">IF(AND(D562=WF_END_PERIOD,COUNTIFS($B$5:$B$750,B562,$D$5:$D$750,WF_START_PERIOD)&gt;0),INDEX($E$5:$E$750,MATCH(B562&amp;"|"&amp;WF_START_PERIOD,$AC$5:$AC$750,0)),"")</f>
        <v/>
      </c>
      <c r="Z562" s="0" t="str">
        <f aca="false">IF(AND(D562=WF_END_PERIOD,R562),1+COUNTIFS($D$5:$D$750,WF_END_PERIOD,$E$5:$E$750,E562,$R$5:$R$750,TRUE(),$S$5:$S$750,"&gt;"&amp;S562)+COUNTIFS($D$5:$D$750,WF_END_PERIOD,$E$5:$E$750,E562,$R$5:$R$750,TRUE(),$S$5:$S$750,S562,$B$5:$B$750,"&lt;"&amp;B562),"")</f>
        <v/>
      </c>
      <c r="AA562" s="0" t="str">
        <f aca="false">IF(AND(D562=WF_END_PERIOD,R562,Z562&lt;&gt;1),1+COUNTIFS($D$5:$D$750,WF_END_PERIOD,$R$5:$R$750,TRUE(),$Z$5:$Z$750,"&lt;&gt;1",$S$5:$S$750,"&gt;"&amp;S562)+COUNTIFS($D$5:$D$750,WF_END_PERIOD,$R$5:$R$750,TRUE(),$Z$5:$Z$750,"&lt;&gt;1",$S$5:$S$750,S562,$B$5:$B$750,"&lt;"&amp;B562),"")</f>
        <v/>
      </c>
      <c r="AB562" s="11" t="b">
        <f aca="false">OR(D562=WF_START_PERIOD,D562=WF_END_PERIOD)</f>
        <v>0</v>
      </c>
      <c r="AC562" s="0" t="str">
        <f aca="false">B562&amp;"|"&amp;D562</f>
        <v>18028|20240930</v>
      </c>
    </row>
    <row r="563" customFormat="false" ht="15" hidden="false" customHeight="false" outlineLevel="0" collapsed="false">
      <c r="A563" s="0" t="n">
        <f aca="false">RawFinancials!A563</f>
        <v>560</v>
      </c>
      <c r="B563" s="0" t="n">
        <f aca="false">RawFinancials!C563</f>
        <v>18030</v>
      </c>
      <c r="C563" s="0" t="str">
        <f aca="false">RawFinancials!P563</f>
        <v>SAVINGS BANK OF WALPOLE</v>
      </c>
      <c r="D563" s="0" t="n">
        <f aca="false">RawFinancials!W563</f>
        <v>20240930</v>
      </c>
      <c r="E563" s="0" t="str">
        <f aca="false">RawFinancials!Z563</f>
        <v>NH</v>
      </c>
      <c r="F563" s="0" t="n">
        <f aca="false">RawFinancials!B563</f>
        <v>794567</v>
      </c>
      <c r="G563" s="0" t="n">
        <f aca="false">RawFinancials!U563</f>
        <v>0</v>
      </c>
      <c r="H563" s="0" t="n">
        <f aca="false">RawFinancials!O563</f>
        <v>1967</v>
      </c>
      <c r="I563" s="0" t="n">
        <f aca="false">IF(AND(ISNUMBER(G563),ISNUMBER(H563)),G563+H563,"")</f>
        <v>1967</v>
      </c>
      <c r="J563" s="0" t="n">
        <f aca="false">RawFinancials!D563</f>
        <v>707506</v>
      </c>
      <c r="K563" s="0" t="n">
        <f aca="false">RawFinancials!F563</f>
        <v>54737</v>
      </c>
      <c r="L563" s="0" t="n">
        <f aca="false">RawFinancials!L563</f>
        <v>588776</v>
      </c>
      <c r="M563" s="0" t="n">
        <f aca="false">RawFinancials!N563</f>
        <v>447654</v>
      </c>
      <c r="N563" s="13" t="n">
        <f aca="false">RawFinancials!X563</f>
        <v>0.697344762810995</v>
      </c>
      <c r="O563" s="13" t="n">
        <f aca="false">RawFinancials!V563</f>
        <v>13.6705393261032</v>
      </c>
      <c r="P563" s="13" t="n">
        <f aca="false">IF(AND(ISNUMBER(L563),L563&lt;&gt;0,ISNUMBER(M563)),100*M563/L563,"")</f>
        <v>76.0312920363602</v>
      </c>
      <c r="Q563" s="13" t="n">
        <f aca="false">IF(AND(ISNUMBER(F563),F563&lt;&gt;0,ISNUMBER(K563)),100*K563/F563,"")</f>
        <v>6.88890930531975</v>
      </c>
      <c r="R563" s="11" t="b">
        <f aca="false">AND(ISNUMBER(F563),F563&gt;0,ISNUMBER(G563),G563&gt;=0,ISNUMBER(H563),H563&gt;=0)</f>
        <v>1</v>
      </c>
      <c r="S563" s="13" t="n">
        <f aca="false">IF(R563,100*I563/F563,"")</f>
        <v>0.247556216152949</v>
      </c>
      <c r="T563" s="11" t="b">
        <f aca="false">NOT(AND(OR(AND(ISBLANK(RawFinancials!B563),ISBLANK(_RawBaseline!B560)),AND(ISNUMBER(RawFinancials!B563),ISNUMBER(_RawBaseline!B560),RawFinancials!B563=_RawBaseline!B560)),OR(AND(ISBLANK(RawFinancials!U563),ISBLANK(_RawBaseline!U560)),AND(ISNUMBER(RawFinancials!U563),ISNUMBER(_RawBaseline!U560),RawFinancials!U563=_RawBaseline!U560)),OR(AND(ISBLANK(RawFinancials!O563),ISBLANK(_RawBaseline!O560)),AND(ISNUMBER(RawFinancials!O563),ISNUMBER(_RawBaseline!O560),RawFinancials!O563=_RawBaseline!O560))))</f>
        <v>0</v>
      </c>
      <c r="U563" s="13" t="n">
        <f aca="false">IF(AND(D563=WF_START_PERIOD,R563,COUNTIFS($B$5:$B$750,B563,$D$5:$D$750,WF_END_PERIOD,$R$5:$R$750,TRUE())&gt;0),SUMIFS($S$5:$S$750,$B$5:$B$750,B563,$D$5:$D$750,WF_END_PERIOD,$R$5:$R$750,TRUE()),0)</f>
        <v>0</v>
      </c>
      <c r="V563" s="0" t="str">
        <f aca="false">IF(AND(D563=WF_START_PERIOD,COUNTIFS($B$5:$B$750,B563,$D$5:$D$750,WF_END_PERIOD)&gt;0),INDEX($E$5:$E$750,MATCH(B563&amp;"|"&amp;WF_END_PERIOD,$AC$5:$AC$750,0)),"")</f>
        <v/>
      </c>
      <c r="W563" s="11" t="b">
        <f aca="false">COUNTIFS($B$5:$B$750,B563,$D$5:$D$750,WF_START_PERIOD,$R$5:$R$750,TRUE())&gt;0</f>
        <v>1</v>
      </c>
      <c r="X563" s="11" t="b">
        <f aca="false">COUNTIFS($B$5:$B$750,B563,$D$5:$D$750,WF_END_PERIOD,$R$5:$R$750,TRUE())&gt;0</f>
        <v>1</v>
      </c>
      <c r="Y563" s="0" t="str">
        <f aca="false">IF(AND(D563=WF_END_PERIOD,COUNTIFS($B$5:$B$750,B563,$D$5:$D$750,WF_START_PERIOD)&gt;0),INDEX($E$5:$E$750,MATCH(B563&amp;"|"&amp;WF_START_PERIOD,$AC$5:$AC$750,0)),"")</f>
        <v/>
      </c>
      <c r="Z563" s="0" t="str">
        <f aca="false">IF(AND(D563=WF_END_PERIOD,R563),1+COUNTIFS($D$5:$D$750,WF_END_PERIOD,$E$5:$E$750,E563,$R$5:$R$750,TRUE(),$S$5:$S$750,"&gt;"&amp;S563)+COUNTIFS($D$5:$D$750,WF_END_PERIOD,$E$5:$E$750,E563,$R$5:$R$750,TRUE(),$S$5:$S$750,S563,$B$5:$B$750,"&lt;"&amp;B563),"")</f>
        <v/>
      </c>
      <c r="AA563" s="0" t="str">
        <f aca="false">IF(AND(D563=WF_END_PERIOD,R563,Z563&lt;&gt;1),1+COUNTIFS($D$5:$D$750,WF_END_PERIOD,$R$5:$R$750,TRUE(),$Z$5:$Z$750,"&lt;&gt;1",$S$5:$S$750,"&gt;"&amp;S563)+COUNTIFS($D$5:$D$750,WF_END_PERIOD,$R$5:$R$750,TRUE(),$Z$5:$Z$750,"&lt;&gt;1",$S$5:$S$750,S563,$B$5:$B$750,"&lt;"&amp;B563),"")</f>
        <v/>
      </c>
      <c r="AB563" s="11" t="b">
        <f aca="false">OR(D563=WF_START_PERIOD,D563=WF_END_PERIOD)</f>
        <v>0</v>
      </c>
      <c r="AC563" s="0" t="str">
        <f aca="false">B563&amp;"|"&amp;D563</f>
        <v>18030|20240930</v>
      </c>
    </row>
    <row r="564" customFormat="false" ht="15" hidden="false" customHeight="false" outlineLevel="0" collapsed="false">
      <c r="A564" s="0" t="n">
        <f aca="false">RawFinancials!A564</f>
        <v>561</v>
      </c>
      <c r="B564" s="0" t="n">
        <f aca="false">RawFinancials!C564</f>
        <v>18031</v>
      </c>
      <c r="C564" s="0" t="str">
        <f aca="false">RawFinancials!P564</f>
        <v>WOODSVILLE GUARANTY SAVINGS BANK</v>
      </c>
      <c r="D564" s="0" t="n">
        <f aca="false">RawFinancials!W564</f>
        <v>20240930</v>
      </c>
      <c r="E564" s="0" t="str">
        <f aca="false">RawFinancials!Z564</f>
        <v>NH</v>
      </c>
      <c r="F564" s="0" t="n">
        <f aca="false">RawFinancials!B564</f>
        <v>677501</v>
      </c>
      <c r="G564" s="0" t="n">
        <f aca="false">RawFinancials!U564</f>
        <v>0</v>
      </c>
      <c r="H564" s="0" t="n">
        <f aca="false">RawFinancials!O564</f>
        <v>973</v>
      </c>
      <c r="I564" s="0" t="n">
        <f aca="false">IF(AND(ISNUMBER(G564),ISNUMBER(H564)),G564+H564,"")</f>
        <v>973</v>
      </c>
      <c r="J564" s="0" t="n">
        <f aca="false">RawFinancials!D564</f>
        <v>528633</v>
      </c>
      <c r="K564" s="0" t="n">
        <f aca="false">RawFinancials!F564</f>
        <v>41575</v>
      </c>
      <c r="L564" s="0" t="n">
        <f aca="false">RawFinancials!L564</f>
        <v>468218</v>
      </c>
      <c r="M564" s="0" t="n">
        <f aca="false">RawFinancials!N564</f>
        <v>431155</v>
      </c>
      <c r="N564" s="13" t="n">
        <f aca="false">RawFinancials!X564</f>
        <v>0.42618981664151</v>
      </c>
      <c r="O564" s="13" t="n">
        <f aca="false">RawFinancials!V564</f>
        <v>16.7487150865234</v>
      </c>
      <c r="P564" s="13" t="n">
        <f aca="false">IF(AND(ISNUMBER(L564),L564&lt;&gt;0,ISNUMBER(M564)),100*M564/L564,"")</f>
        <v>92.0842428099731</v>
      </c>
      <c r="Q564" s="13" t="n">
        <f aca="false">IF(AND(ISNUMBER(F564),F564&lt;&gt;0,ISNUMBER(K564)),100*K564/F564,"")</f>
        <v>6.13652230771615</v>
      </c>
      <c r="R564" s="11" t="b">
        <f aca="false">AND(ISNUMBER(F564),F564&gt;0,ISNUMBER(G564),G564&gt;=0,ISNUMBER(H564),H564&gt;=0)</f>
        <v>1</v>
      </c>
      <c r="S564" s="13" t="n">
        <f aca="false">IF(R564,100*I564/F564,"")</f>
        <v>0.14361602418299</v>
      </c>
      <c r="T564" s="11" t="b">
        <f aca="false">NOT(AND(OR(AND(ISBLANK(RawFinancials!B564),ISBLANK(_RawBaseline!B561)),AND(ISNUMBER(RawFinancials!B564),ISNUMBER(_RawBaseline!B561),RawFinancials!B564=_RawBaseline!B561)),OR(AND(ISBLANK(RawFinancials!U564),ISBLANK(_RawBaseline!U561)),AND(ISNUMBER(RawFinancials!U564),ISNUMBER(_RawBaseline!U561),RawFinancials!U564=_RawBaseline!U561)),OR(AND(ISBLANK(RawFinancials!O564),ISBLANK(_RawBaseline!O561)),AND(ISNUMBER(RawFinancials!O564),ISNUMBER(_RawBaseline!O561),RawFinancials!O564=_RawBaseline!O561))))</f>
        <v>0</v>
      </c>
      <c r="U564" s="13" t="n">
        <f aca="false">IF(AND(D564=WF_START_PERIOD,R564,COUNTIFS($B$5:$B$750,B564,$D$5:$D$750,WF_END_PERIOD,$R$5:$R$750,TRUE())&gt;0),SUMIFS($S$5:$S$750,$B$5:$B$750,B564,$D$5:$D$750,WF_END_PERIOD,$R$5:$R$750,TRUE()),0)</f>
        <v>0</v>
      </c>
      <c r="V564" s="0" t="str">
        <f aca="false">IF(AND(D564=WF_START_PERIOD,COUNTIFS($B$5:$B$750,B564,$D$5:$D$750,WF_END_PERIOD)&gt;0),INDEX($E$5:$E$750,MATCH(B564&amp;"|"&amp;WF_END_PERIOD,$AC$5:$AC$750,0)),"")</f>
        <v/>
      </c>
      <c r="W564" s="11" t="b">
        <f aca="false">COUNTIFS($B$5:$B$750,B564,$D$5:$D$750,WF_START_PERIOD,$R$5:$R$750,TRUE())&gt;0</f>
        <v>1</v>
      </c>
      <c r="X564" s="11" t="b">
        <f aca="false">COUNTIFS($B$5:$B$750,B564,$D$5:$D$750,WF_END_PERIOD,$R$5:$R$750,TRUE())&gt;0</f>
        <v>1</v>
      </c>
      <c r="Y564" s="0" t="str">
        <f aca="false">IF(AND(D564=WF_END_PERIOD,COUNTIFS($B$5:$B$750,B564,$D$5:$D$750,WF_START_PERIOD)&gt;0),INDEX($E$5:$E$750,MATCH(B564&amp;"|"&amp;WF_START_PERIOD,$AC$5:$AC$750,0)),"")</f>
        <v/>
      </c>
      <c r="Z564" s="0" t="str">
        <f aca="false">IF(AND(D564=WF_END_PERIOD,R564),1+COUNTIFS($D$5:$D$750,WF_END_PERIOD,$E$5:$E$750,E564,$R$5:$R$750,TRUE(),$S$5:$S$750,"&gt;"&amp;S564)+COUNTIFS($D$5:$D$750,WF_END_PERIOD,$E$5:$E$750,E564,$R$5:$R$750,TRUE(),$S$5:$S$750,S564,$B$5:$B$750,"&lt;"&amp;B564),"")</f>
        <v/>
      </c>
      <c r="AA564" s="0" t="str">
        <f aca="false">IF(AND(D564=WF_END_PERIOD,R564,Z564&lt;&gt;1),1+COUNTIFS($D$5:$D$750,WF_END_PERIOD,$R$5:$R$750,TRUE(),$Z$5:$Z$750,"&lt;&gt;1",$S$5:$S$750,"&gt;"&amp;S564)+COUNTIFS($D$5:$D$750,WF_END_PERIOD,$R$5:$R$750,TRUE(),$Z$5:$Z$750,"&lt;&gt;1",$S$5:$S$750,S564,$B$5:$B$750,"&lt;"&amp;B564),"")</f>
        <v/>
      </c>
      <c r="AB564" s="11" t="b">
        <f aca="false">OR(D564=WF_START_PERIOD,D564=WF_END_PERIOD)</f>
        <v>0</v>
      </c>
      <c r="AC564" s="0" t="str">
        <f aca="false">B564&amp;"|"&amp;D564</f>
        <v>18031|20240930</v>
      </c>
    </row>
    <row r="565" customFormat="false" ht="15" hidden="false" customHeight="false" outlineLevel="0" collapsed="false">
      <c r="A565" s="0" t="n">
        <f aca="false">RawFinancials!A565</f>
        <v>562</v>
      </c>
      <c r="B565" s="0" t="n">
        <f aca="false">RawFinancials!C565</f>
        <v>18038</v>
      </c>
      <c r="C565" s="0" t="str">
        <f aca="false">RawFinancials!P565</f>
        <v>CLAREMONT SAVINGS BANK</v>
      </c>
      <c r="D565" s="0" t="n">
        <f aca="false">RawFinancials!W565</f>
        <v>20240930</v>
      </c>
      <c r="E565" s="0" t="str">
        <f aca="false">RawFinancials!Z565</f>
        <v>NH</v>
      </c>
      <c r="F565" s="0" t="n">
        <f aca="false">RawFinancials!B565</f>
        <v>578941</v>
      </c>
      <c r="G565" s="0" t="n">
        <f aca="false">RawFinancials!U565</f>
        <v>0</v>
      </c>
      <c r="H565" s="0" t="n">
        <f aca="false">RawFinancials!O565</f>
        <v>2472</v>
      </c>
      <c r="I565" s="0" t="n">
        <f aca="false">IF(AND(ISNUMBER(G565),ISNUMBER(H565)),G565+H565,"")</f>
        <v>2472</v>
      </c>
      <c r="J565" s="0" t="n">
        <f aca="false">RawFinancials!D565</f>
        <v>436224</v>
      </c>
      <c r="K565" s="0" t="n">
        <f aca="false">RawFinancials!F565</f>
        <v>68568</v>
      </c>
      <c r="L565" s="0" t="n">
        <f aca="false">RawFinancials!L565</f>
        <v>419953</v>
      </c>
      <c r="M565" s="0" t="n">
        <f aca="false">RawFinancials!N565</f>
        <v>385462</v>
      </c>
      <c r="N565" s="13" t="n">
        <f aca="false">RawFinancials!X565</f>
        <v>0.480130621285366</v>
      </c>
      <c r="O565" s="13" t="n">
        <f aca="false">RawFinancials!V565</f>
        <v>0</v>
      </c>
      <c r="P565" s="13" t="n">
        <f aca="false">IF(AND(ISNUMBER(L565),L565&lt;&gt;0,ISNUMBER(M565)),100*M565/L565,"")</f>
        <v>91.7869380621165</v>
      </c>
      <c r="Q565" s="13" t="n">
        <f aca="false">IF(AND(ISNUMBER(F565),F565&lt;&gt;0,ISNUMBER(K565)),100*K565/F565,"")</f>
        <v>11.8436939169967</v>
      </c>
      <c r="R565" s="11" t="b">
        <f aca="false">AND(ISNUMBER(F565),F565&gt;0,ISNUMBER(G565),G565&gt;=0,ISNUMBER(H565),H565&gt;=0)</f>
        <v>1</v>
      </c>
      <c r="S565" s="13" t="n">
        <f aca="false">IF(R565,100*I565/F565,"")</f>
        <v>0.426986515033484</v>
      </c>
      <c r="T565" s="11" t="b">
        <f aca="false">NOT(AND(OR(AND(ISBLANK(RawFinancials!B565),ISBLANK(_RawBaseline!B562)),AND(ISNUMBER(RawFinancials!B565),ISNUMBER(_RawBaseline!B562),RawFinancials!B565=_RawBaseline!B562)),OR(AND(ISBLANK(RawFinancials!U565),ISBLANK(_RawBaseline!U562)),AND(ISNUMBER(RawFinancials!U565),ISNUMBER(_RawBaseline!U562),RawFinancials!U565=_RawBaseline!U562)),OR(AND(ISBLANK(RawFinancials!O565),ISBLANK(_RawBaseline!O562)),AND(ISNUMBER(RawFinancials!O565),ISNUMBER(_RawBaseline!O562),RawFinancials!O565=_RawBaseline!O562))))</f>
        <v>0</v>
      </c>
      <c r="U565" s="13" t="n">
        <f aca="false">IF(AND(D565=WF_START_PERIOD,R565,COUNTIFS($B$5:$B$750,B565,$D$5:$D$750,WF_END_PERIOD,$R$5:$R$750,TRUE())&gt;0),SUMIFS($S$5:$S$750,$B$5:$B$750,B565,$D$5:$D$750,WF_END_PERIOD,$R$5:$R$750,TRUE()),0)</f>
        <v>0</v>
      </c>
      <c r="V565" s="0" t="str">
        <f aca="false">IF(AND(D565=WF_START_PERIOD,COUNTIFS($B$5:$B$750,B565,$D$5:$D$750,WF_END_PERIOD)&gt;0),INDEX($E$5:$E$750,MATCH(B565&amp;"|"&amp;WF_END_PERIOD,$AC$5:$AC$750,0)),"")</f>
        <v/>
      </c>
      <c r="W565" s="11" t="b">
        <f aca="false">COUNTIFS($B$5:$B$750,B565,$D$5:$D$750,WF_START_PERIOD,$R$5:$R$750,TRUE())&gt;0</f>
        <v>1</v>
      </c>
      <c r="X565" s="11" t="b">
        <f aca="false">COUNTIFS($B$5:$B$750,B565,$D$5:$D$750,WF_END_PERIOD,$R$5:$R$750,TRUE())&gt;0</f>
        <v>1</v>
      </c>
      <c r="Y565" s="0" t="str">
        <f aca="false">IF(AND(D565=WF_END_PERIOD,COUNTIFS($B$5:$B$750,B565,$D$5:$D$750,WF_START_PERIOD)&gt;0),INDEX($E$5:$E$750,MATCH(B565&amp;"|"&amp;WF_START_PERIOD,$AC$5:$AC$750,0)),"")</f>
        <v/>
      </c>
      <c r="Z565" s="0" t="str">
        <f aca="false">IF(AND(D565=WF_END_PERIOD,R565),1+COUNTIFS($D$5:$D$750,WF_END_PERIOD,$E$5:$E$750,E565,$R$5:$R$750,TRUE(),$S$5:$S$750,"&gt;"&amp;S565)+COUNTIFS($D$5:$D$750,WF_END_PERIOD,$E$5:$E$750,E565,$R$5:$R$750,TRUE(),$S$5:$S$750,S565,$B$5:$B$750,"&lt;"&amp;B565),"")</f>
        <v/>
      </c>
      <c r="AA565" s="0" t="str">
        <f aca="false">IF(AND(D565=WF_END_PERIOD,R565,Z565&lt;&gt;1),1+COUNTIFS($D$5:$D$750,WF_END_PERIOD,$R$5:$R$750,TRUE(),$Z$5:$Z$750,"&lt;&gt;1",$S$5:$S$750,"&gt;"&amp;S565)+COUNTIFS($D$5:$D$750,WF_END_PERIOD,$R$5:$R$750,TRUE(),$Z$5:$Z$750,"&lt;&gt;1",$S$5:$S$750,S565,$B$5:$B$750,"&lt;"&amp;B565),"")</f>
        <v/>
      </c>
      <c r="AB565" s="11" t="b">
        <f aca="false">OR(D565=WF_START_PERIOD,D565=WF_END_PERIOD)</f>
        <v>0</v>
      </c>
      <c r="AC565" s="0" t="str">
        <f aca="false">B565&amp;"|"&amp;D565</f>
        <v>18038|20240930</v>
      </c>
    </row>
    <row r="566" customFormat="false" ht="15" hidden="false" customHeight="false" outlineLevel="0" collapsed="false">
      <c r="A566" s="0" t="n">
        <f aca="false">RawFinancials!A566</f>
        <v>563</v>
      </c>
      <c r="B566" s="0" t="n">
        <f aca="false">RawFinancials!C566</f>
        <v>18408</v>
      </c>
      <c r="C566" s="0" t="str">
        <f aca="false">RawFinancials!P566</f>
        <v>BANGOR SAVINGS BANK</v>
      </c>
      <c r="D566" s="0" t="n">
        <f aca="false">RawFinancials!W566</f>
        <v>20240930</v>
      </c>
      <c r="E566" s="0" t="str">
        <f aca="false">RawFinancials!Z566</f>
        <v>ME</v>
      </c>
      <c r="F566" s="0" t="n">
        <f aca="false">RawFinancials!B566</f>
        <v>7218777</v>
      </c>
      <c r="G566" s="0" t="n">
        <f aca="false">RawFinancials!U566</f>
        <v>0</v>
      </c>
      <c r="H566" s="0" t="n">
        <f aca="false">RawFinancials!O566</f>
        <v>3776</v>
      </c>
      <c r="I566" s="0" t="n">
        <f aca="false">IF(AND(ISNUMBER(G566),ISNUMBER(H566)),G566+H566,"")</f>
        <v>3776</v>
      </c>
      <c r="J566" s="0" t="n">
        <f aca="false">RawFinancials!D566</f>
        <v>5440947</v>
      </c>
      <c r="K566" s="0" t="n">
        <f aca="false">RawFinancials!F566</f>
        <v>451617</v>
      </c>
      <c r="L566" s="0" t="n">
        <f aca="false">RawFinancials!L566</f>
        <v>4864322</v>
      </c>
      <c r="M566" s="0" t="n">
        <f aca="false">RawFinancials!N566</f>
        <v>4390169</v>
      </c>
      <c r="N566" s="13" t="n">
        <f aca="false">RawFinancials!X566</f>
        <v>0.155178563405037</v>
      </c>
      <c r="O566" s="13" t="n">
        <f aca="false">RawFinancials!V566</f>
        <v>11.5300926753721</v>
      </c>
      <c r="P566" s="13" t="n">
        <f aca="false">IF(AND(ISNUMBER(L566),L566&lt;&gt;0,ISNUMBER(M566)),100*M566/L566,"")</f>
        <v>90.2524339466014</v>
      </c>
      <c r="Q566" s="13" t="n">
        <f aca="false">IF(AND(ISNUMBER(F566),F566&lt;&gt;0,ISNUMBER(K566)),100*K566/F566,"")</f>
        <v>6.25614283416706</v>
      </c>
      <c r="R566" s="11" t="b">
        <f aca="false">AND(ISNUMBER(F566),F566&gt;0,ISNUMBER(G566),G566&gt;=0,ISNUMBER(H566),H566&gt;=0)</f>
        <v>1</v>
      </c>
      <c r="S566" s="13" t="n">
        <f aca="false">IF(R566,100*I566/F566,"")</f>
        <v>0.0523080294626084</v>
      </c>
      <c r="T566" s="11" t="b">
        <f aca="false">NOT(AND(OR(AND(ISBLANK(RawFinancials!B566),ISBLANK(_RawBaseline!B563)),AND(ISNUMBER(RawFinancials!B566),ISNUMBER(_RawBaseline!B563),RawFinancials!B566=_RawBaseline!B563)),OR(AND(ISBLANK(RawFinancials!U566),ISBLANK(_RawBaseline!U563)),AND(ISNUMBER(RawFinancials!U566),ISNUMBER(_RawBaseline!U563),RawFinancials!U566=_RawBaseline!U563)),OR(AND(ISBLANK(RawFinancials!O566),ISBLANK(_RawBaseline!O563)),AND(ISNUMBER(RawFinancials!O566),ISNUMBER(_RawBaseline!O563),RawFinancials!O566=_RawBaseline!O563))))</f>
        <v>0</v>
      </c>
      <c r="U566" s="13" t="n">
        <f aca="false">IF(AND(D566=WF_START_PERIOD,R566,COUNTIFS($B$5:$B$750,B566,$D$5:$D$750,WF_END_PERIOD,$R$5:$R$750,TRUE())&gt;0),SUMIFS($S$5:$S$750,$B$5:$B$750,B566,$D$5:$D$750,WF_END_PERIOD,$R$5:$R$750,TRUE()),0)</f>
        <v>0</v>
      </c>
      <c r="V566" s="0" t="str">
        <f aca="false">IF(AND(D566=WF_START_PERIOD,COUNTIFS($B$5:$B$750,B566,$D$5:$D$750,WF_END_PERIOD)&gt;0),INDEX($E$5:$E$750,MATCH(B566&amp;"|"&amp;WF_END_PERIOD,$AC$5:$AC$750,0)),"")</f>
        <v/>
      </c>
      <c r="W566" s="11" t="b">
        <f aca="false">COUNTIFS($B$5:$B$750,B566,$D$5:$D$750,WF_START_PERIOD,$R$5:$R$750,TRUE())&gt;0</f>
        <v>1</v>
      </c>
      <c r="X566" s="11" t="b">
        <f aca="false">COUNTIFS($B$5:$B$750,B566,$D$5:$D$750,WF_END_PERIOD,$R$5:$R$750,TRUE())&gt;0</f>
        <v>1</v>
      </c>
      <c r="Y566" s="0" t="str">
        <f aca="false">IF(AND(D566=WF_END_PERIOD,COUNTIFS($B$5:$B$750,B566,$D$5:$D$750,WF_START_PERIOD)&gt;0),INDEX($E$5:$E$750,MATCH(B566&amp;"|"&amp;WF_START_PERIOD,$AC$5:$AC$750,0)),"")</f>
        <v/>
      </c>
      <c r="Z566" s="0" t="str">
        <f aca="false">IF(AND(D566=WF_END_PERIOD,R566),1+COUNTIFS($D$5:$D$750,WF_END_PERIOD,$E$5:$E$750,E566,$R$5:$R$750,TRUE(),$S$5:$S$750,"&gt;"&amp;S566)+COUNTIFS($D$5:$D$750,WF_END_PERIOD,$E$5:$E$750,E566,$R$5:$R$750,TRUE(),$S$5:$S$750,S566,$B$5:$B$750,"&lt;"&amp;B566),"")</f>
        <v/>
      </c>
      <c r="AA566" s="0" t="str">
        <f aca="false">IF(AND(D566=WF_END_PERIOD,R566,Z566&lt;&gt;1),1+COUNTIFS($D$5:$D$750,WF_END_PERIOD,$R$5:$R$750,TRUE(),$Z$5:$Z$750,"&lt;&gt;1",$S$5:$S$750,"&gt;"&amp;S566)+COUNTIFS($D$5:$D$750,WF_END_PERIOD,$R$5:$R$750,TRUE(),$Z$5:$Z$750,"&lt;&gt;1",$S$5:$S$750,S566,$B$5:$B$750,"&lt;"&amp;B566),"")</f>
        <v/>
      </c>
      <c r="AB566" s="11" t="b">
        <f aca="false">OR(D566=WF_START_PERIOD,D566=WF_END_PERIOD)</f>
        <v>0</v>
      </c>
      <c r="AC566" s="0" t="str">
        <f aca="false">B566&amp;"|"&amp;D566</f>
        <v>18408|20240930</v>
      </c>
    </row>
    <row r="567" customFormat="false" ht="15" hidden="false" customHeight="false" outlineLevel="0" collapsed="false">
      <c r="A567" s="0" t="n">
        <f aca="false">RawFinancials!A567</f>
        <v>564</v>
      </c>
      <c r="B567" s="0" t="n">
        <f aca="false">RawFinancials!C567</f>
        <v>19531</v>
      </c>
      <c r="C567" s="0" t="str">
        <f aca="false">RawFinancials!P567</f>
        <v>MACHIAS SAVINGS BANK</v>
      </c>
      <c r="D567" s="0" t="n">
        <f aca="false">RawFinancials!W567</f>
        <v>20240930</v>
      </c>
      <c r="E567" s="0" t="str">
        <f aca="false">RawFinancials!Z567</f>
        <v>ME</v>
      </c>
      <c r="F567" s="0" t="n">
        <f aca="false">RawFinancials!B567</f>
        <v>2632240</v>
      </c>
      <c r="G567" s="0" t="n">
        <f aca="false">RawFinancials!U567</f>
        <v>8</v>
      </c>
      <c r="H567" s="0" t="n">
        <f aca="false">RawFinancials!O567</f>
        <v>6917</v>
      </c>
      <c r="I567" s="0" t="n">
        <f aca="false">IF(AND(ISNUMBER(G567),ISNUMBER(H567)),G567+H567,"")</f>
        <v>6925</v>
      </c>
      <c r="J567" s="0" t="n">
        <f aca="false">RawFinancials!D567</f>
        <v>2115575</v>
      </c>
      <c r="K567" s="0" t="n">
        <f aca="false">RawFinancials!F567</f>
        <v>257463</v>
      </c>
      <c r="L567" s="0" t="n">
        <f aca="false">RawFinancials!L567</f>
        <v>2161349</v>
      </c>
      <c r="M567" s="0" t="n">
        <f aca="false">RawFinancials!N567</f>
        <v>1773165</v>
      </c>
      <c r="N567" s="13" t="n">
        <f aca="false">RawFinancials!X567</f>
        <v>0.454164925004259</v>
      </c>
      <c r="O567" s="13" t="n">
        <f aca="false">RawFinancials!V567</f>
        <v>13.8153054969781</v>
      </c>
      <c r="P567" s="13" t="n">
        <f aca="false">IF(AND(ISNUMBER(L567),L567&lt;&gt;0,ISNUMBER(M567)),100*M567/L567,"")</f>
        <v>82.0397353689756</v>
      </c>
      <c r="Q567" s="13" t="n">
        <f aca="false">IF(AND(ISNUMBER(F567),F567&lt;&gt;0,ISNUMBER(K567)),100*K567/F567,"")</f>
        <v>9.78113697839103</v>
      </c>
      <c r="R567" s="11" t="b">
        <f aca="false">AND(ISNUMBER(F567),F567&gt;0,ISNUMBER(G567),G567&gt;=0,ISNUMBER(H567),H567&gt;=0)</f>
        <v>1</v>
      </c>
      <c r="S567" s="13" t="n">
        <f aca="false">IF(R567,100*I567/F567,"")</f>
        <v>0.263083913320974</v>
      </c>
      <c r="T567" s="11" t="b">
        <f aca="false">NOT(AND(OR(AND(ISBLANK(RawFinancials!B567),ISBLANK(_RawBaseline!B564)),AND(ISNUMBER(RawFinancials!B567),ISNUMBER(_RawBaseline!B564),RawFinancials!B567=_RawBaseline!B564)),OR(AND(ISBLANK(RawFinancials!U567),ISBLANK(_RawBaseline!U564)),AND(ISNUMBER(RawFinancials!U567),ISNUMBER(_RawBaseline!U564),RawFinancials!U567=_RawBaseline!U564)),OR(AND(ISBLANK(RawFinancials!O567),ISBLANK(_RawBaseline!O564)),AND(ISNUMBER(RawFinancials!O567),ISNUMBER(_RawBaseline!O564),RawFinancials!O567=_RawBaseline!O564))))</f>
        <v>0</v>
      </c>
      <c r="U567" s="13" t="n">
        <f aca="false">IF(AND(D567=WF_START_PERIOD,R567,COUNTIFS($B$5:$B$750,B567,$D$5:$D$750,WF_END_PERIOD,$R$5:$R$750,TRUE())&gt;0),SUMIFS($S$5:$S$750,$B$5:$B$750,B567,$D$5:$D$750,WF_END_PERIOD,$R$5:$R$750,TRUE()),0)</f>
        <v>0</v>
      </c>
      <c r="V567" s="0" t="str">
        <f aca="false">IF(AND(D567=WF_START_PERIOD,COUNTIFS($B$5:$B$750,B567,$D$5:$D$750,WF_END_PERIOD)&gt;0),INDEX($E$5:$E$750,MATCH(B567&amp;"|"&amp;WF_END_PERIOD,$AC$5:$AC$750,0)),"")</f>
        <v/>
      </c>
      <c r="W567" s="11" t="b">
        <f aca="false">COUNTIFS($B$5:$B$750,B567,$D$5:$D$750,WF_START_PERIOD,$R$5:$R$750,TRUE())&gt;0</f>
        <v>1</v>
      </c>
      <c r="X567" s="11" t="b">
        <f aca="false">COUNTIFS($B$5:$B$750,B567,$D$5:$D$750,WF_END_PERIOD,$R$5:$R$750,TRUE())&gt;0</f>
        <v>1</v>
      </c>
      <c r="Y567" s="0" t="str">
        <f aca="false">IF(AND(D567=WF_END_PERIOD,COUNTIFS($B$5:$B$750,B567,$D$5:$D$750,WF_START_PERIOD)&gt;0),INDEX($E$5:$E$750,MATCH(B567&amp;"|"&amp;WF_START_PERIOD,$AC$5:$AC$750,0)),"")</f>
        <v/>
      </c>
      <c r="Z567" s="0" t="str">
        <f aca="false">IF(AND(D567=WF_END_PERIOD,R567),1+COUNTIFS($D$5:$D$750,WF_END_PERIOD,$E$5:$E$750,E567,$R$5:$R$750,TRUE(),$S$5:$S$750,"&gt;"&amp;S567)+COUNTIFS($D$5:$D$750,WF_END_PERIOD,$E$5:$E$750,E567,$R$5:$R$750,TRUE(),$S$5:$S$750,S567,$B$5:$B$750,"&lt;"&amp;B567),"")</f>
        <v/>
      </c>
      <c r="AA567" s="0" t="str">
        <f aca="false">IF(AND(D567=WF_END_PERIOD,R567,Z567&lt;&gt;1),1+COUNTIFS($D$5:$D$750,WF_END_PERIOD,$R$5:$R$750,TRUE(),$Z$5:$Z$750,"&lt;&gt;1",$S$5:$S$750,"&gt;"&amp;S567)+COUNTIFS($D$5:$D$750,WF_END_PERIOD,$R$5:$R$750,TRUE(),$Z$5:$Z$750,"&lt;&gt;1",$S$5:$S$750,S567,$B$5:$B$750,"&lt;"&amp;B567),"")</f>
        <v/>
      </c>
      <c r="AB567" s="11" t="b">
        <f aca="false">OR(D567=WF_START_PERIOD,D567=WF_END_PERIOD)</f>
        <v>0</v>
      </c>
      <c r="AC567" s="0" t="str">
        <f aca="false">B567&amp;"|"&amp;D567</f>
        <v>19531|20240930</v>
      </c>
    </row>
    <row r="568" customFormat="false" ht="15" hidden="false" customHeight="false" outlineLevel="0" collapsed="false">
      <c r="A568" s="0" t="n">
        <f aca="false">RawFinancials!A568</f>
        <v>565</v>
      </c>
      <c r="B568" s="0" t="n">
        <f aca="false">RawFinancials!C568</f>
        <v>19532</v>
      </c>
      <c r="C568" s="0" t="str">
        <f aca="false">RawFinancials!P568</f>
        <v>SKOWHEGAN SAVINGS BANK</v>
      </c>
      <c r="D568" s="0" t="n">
        <f aca="false">RawFinancials!W568</f>
        <v>20240930</v>
      </c>
      <c r="E568" s="0" t="str">
        <f aca="false">RawFinancials!Z568</f>
        <v>ME</v>
      </c>
      <c r="F568" s="0" t="n">
        <f aca="false">RawFinancials!B568</f>
        <v>870742</v>
      </c>
      <c r="G568" s="0" t="n">
        <f aca="false">RawFinancials!U568</f>
        <v>0</v>
      </c>
      <c r="H568" s="0" t="n">
        <f aca="false">RawFinancials!O568</f>
        <v>1698</v>
      </c>
      <c r="I568" s="0" t="n">
        <f aca="false">IF(AND(ISNUMBER(G568),ISNUMBER(H568)),G568+H568,"")</f>
        <v>1698</v>
      </c>
      <c r="J568" s="0" t="n">
        <f aca="false">RawFinancials!D568</f>
        <v>721893</v>
      </c>
      <c r="K568" s="0" t="n">
        <f aca="false">RawFinancials!F568</f>
        <v>105663</v>
      </c>
      <c r="L568" s="0" t="n">
        <f aca="false">RawFinancials!L568</f>
        <v>605503</v>
      </c>
      <c r="M568" s="0" t="n">
        <f aca="false">RawFinancials!N568</f>
        <v>500065</v>
      </c>
      <c r="N568" s="13" t="n">
        <f aca="false">RawFinancials!X568</f>
        <v>0.89346683117121</v>
      </c>
      <c r="O568" s="13" t="n">
        <f aca="false">RawFinancials!V568</f>
        <v>21.3137628374641</v>
      </c>
      <c r="P568" s="13" t="n">
        <f aca="false">IF(AND(ISNUMBER(L568),L568&lt;&gt;0,ISNUMBER(M568)),100*M568/L568,"")</f>
        <v>82.5867089015248</v>
      </c>
      <c r="Q568" s="13" t="n">
        <f aca="false">IF(AND(ISNUMBER(F568),F568&lt;&gt;0,ISNUMBER(K568)),100*K568/F568,"")</f>
        <v>12.1348229441097</v>
      </c>
      <c r="R568" s="11" t="b">
        <f aca="false">AND(ISNUMBER(F568),F568&gt;0,ISNUMBER(G568),G568&gt;=0,ISNUMBER(H568),H568&gt;=0)</f>
        <v>1</v>
      </c>
      <c r="S568" s="13" t="n">
        <f aca="false">IF(R568,100*I568/F568,"")</f>
        <v>0.195006098247242</v>
      </c>
      <c r="T568" s="11" t="b">
        <f aca="false">NOT(AND(OR(AND(ISBLANK(RawFinancials!B568),ISBLANK(_RawBaseline!B565)),AND(ISNUMBER(RawFinancials!B568),ISNUMBER(_RawBaseline!B565),RawFinancials!B568=_RawBaseline!B565)),OR(AND(ISBLANK(RawFinancials!U568),ISBLANK(_RawBaseline!U565)),AND(ISNUMBER(RawFinancials!U568),ISNUMBER(_RawBaseline!U565),RawFinancials!U568=_RawBaseline!U565)),OR(AND(ISBLANK(RawFinancials!O568),ISBLANK(_RawBaseline!O565)),AND(ISNUMBER(RawFinancials!O568),ISNUMBER(_RawBaseline!O565),RawFinancials!O568=_RawBaseline!O565))))</f>
        <v>0</v>
      </c>
      <c r="U568" s="13" t="n">
        <f aca="false">IF(AND(D568=WF_START_PERIOD,R568,COUNTIFS($B$5:$B$750,B568,$D$5:$D$750,WF_END_PERIOD,$R$5:$R$750,TRUE())&gt;0),SUMIFS($S$5:$S$750,$B$5:$B$750,B568,$D$5:$D$750,WF_END_PERIOD,$R$5:$R$750,TRUE()),0)</f>
        <v>0</v>
      </c>
      <c r="V568" s="0" t="str">
        <f aca="false">IF(AND(D568=WF_START_PERIOD,COUNTIFS($B$5:$B$750,B568,$D$5:$D$750,WF_END_PERIOD)&gt;0),INDEX($E$5:$E$750,MATCH(B568&amp;"|"&amp;WF_END_PERIOD,$AC$5:$AC$750,0)),"")</f>
        <v/>
      </c>
      <c r="W568" s="11" t="b">
        <f aca="false">COUNTIFS($B$5:$B$750,B568,$D$5:$D$750,WF_START_PERIOD,$R$5:$R$750,TRUE())&gt;0</f>
        <v>1</v>
      </c>
      <c r="X568" s="11" t="b">
        <f aca="false">COUNTIFS($B$5:$B$750,B568,$D$5:$D$750,WF_END_PERIOD,$R$5:$R$750,TRUE())&gt;0</f>
        <v>1</v>
      </c>
      <c r="Y568" s="0" t="str">
        <f aca="false">IF(AND(D568=WF_END_PERIOD,COUNTIFS($B$5:$B$750,B568,$D$5:$D$750,WF_START_PERIOD)&gt;0),INDEX($E$5:$E$750,MATCH(B568&amp;"|"&amp;WF_START_PERIOD,$AC$5:$AC$750,0)),"")</f>
        <v/>
      </c>
      <c r="Z568" s="0" t="str">
        <f aca="false">IF(AND(D568=WF_END_PERIOD,R568),1+COUNTIFS($D$5:$D$750,WF_END_PERIOD,$E$5:$E$750,E568,$R$5:$R$750,TRUE(),$S$5:$S$750,"&gt;"&amp;S568)+COUNTIFS($D$5:$D$750,WF_END_PERIOD,$E$5:$E$750,E568,$R$5:$R$750,TRUE(),$S$5:$S$750,S568,$B$5:$B$750,"&lt;"&amp;B568),"")</f>
        <v/>
      </c>
      <c r="AA568" s="0" t="str">
        <f aca="false">IF(AND(D568=WF_END_PERIOD,R568,Z568&lt;&gt;1),1+COUNTIFS($D$5:$D$750,WF_END_PERIOD,$R$5:$R$750,TRUE(),$Z$5:$Z$750,"&lt;&gt;1",$S$5:$S$750,"&gt;"&amp;S568)+COUNTIFS($D$5:$D$750,WF_END_PERIOD,$R$5:$R$750,TRUE(),$Z$5:$Z$750,"&lt;&gt;1",$S$5:$S$750,S568,$B$5:$B$750,"&lt;"&amp;B568),"")</f>
        <v/>
      </c>
      <c r="AB568" s="11" t="b">
        <f aca="false">OR(D568=WF_START_PERIOD,D568=WF_END_PERIOD)</f>
        <v>0</v>
      </c>
      <c r="AC568" s="0" t="str">
        <f aca="false">B568&amp;"|"&amp;D568</f>
        <v>19532|20240930</v>
      </c>
    </row>
    <row r="569" customFormat="false" ht="15" hidden="false" customHeight="false" outlineLevel="0" collapsed="false">
      <c r="A569" s="0" t="n">
        <f aca="false">RawFinancials!A569</f>
        <v>566</v>
      </c>
      <c r="B569" s="0" t="n">
        <f aca="false">RawFinancials!C569</f>
        <v>19690</v>
      </c>
      <c r="C569" s="0" t="str">
        <f aca="false">RawFinancials!P569</f>
        <v>NORTHEAST BANK</v>
      </c>
      <c r="D569" s="0" t="n">
        <f aca="false">RawFinancials!W569</f>
        <v>20240930</v>
      </c>
      <c r="E569" s="0" t="str">
        <f aca="false">RawFinancials!Z569</f>
        <v>ME</v>
      </c>
      <c r="F569" s="0" t="n">
        <f aca="false">RawFinancials!B569</f>
        <v>3939898</v>
      </c>
      <c r="G569" s="0" t="n">
        <f aca="false">RawFinancials!U569</f>
        <v>0</v>
      </c>
      <c r="H569" s="0" t="n">
        <f aca="false">RawFinancials!O569</f>
        <v>37172</v>
      </c>
      <c r="I569" s="0" t="n">
        <f aca="false">IF(AND(ISNUMBER(G569),ISNUMBER(H569)),G569+H569,"")</f>
        <v>37172</v>
      </c>
      <c r="J569" s="0" t="n">
        <f aca="false">RawFinancials!D569</f>
        <v>3161567</v>
      </c>
      <c r="K569" s="0" t="n">
        <f aca="false">RawFinancials!F569</f>
        <v>392557</v>
      </c>
      <c r="L569" s="0" t="n">
        <f aca="false">RawFinancials!L569</f>
        <v>3520602</v>
      </c>
      <c r="M569" s="0" t="n">
        <f aca="false">RawFinancials!N569</f>
        <v>2821610</v>
      </c>
      <c r="N569" s="13" t="n">
        <f aca="false">RawFinancials!X569</f>
        <v>1.88570349603423</v>
      </c>
      <c r="O569" s="13" t="n">
        <f aca="false">RawFinancials!V569</f>
        <v>12.6993196381174</v>
      </c>
      <c r="P569" s="13" t="n">
        <f aca="false">IF(AND(ISNUMBER(L569),L569&lt;&gt;0,ISNUMBER(M569)),100*M569/L569,"")</f>
        <v>80.1456682692335</v>
      </c>
      <c r="Q569" s="13" t="n">
        <f aca="false">IF(AND(ISNUMBER(F569),F569&lt;&gt;0,ISNUMBER(K569)),100*K569/F569,"")</f>
        <v>9.96363357630071</v>
      </c>
      <c r="R569" s="11" t="b">
        <f aca="false">AND(ISNUMBER(F569),F569&gt;0,ISNUMBER(G569),G569&gt;=0,ISNUMBER(H569),H569&gt;=0)</f>
        <v>1</v>
      </c>
      <c r="S569" s="13" t="n">
        <f aca="false">IF(R569,100*I569/F569,"")</f>
        <v>0.943476201668165</v>
      </c>
      <c r="T569" s="11" t="b">
        <f aca="false">NOT(AND(OR(AND(ISBLANK(RawFinancials!B569),ISBLANK(_RawBaseline!B566)),AND(ISNUMBER(RawFinancials!B569),ISNUMBER(_RawBaseline!B566),RawFinancials!B569=_RawBaseline!B566)),OR(AND(ISBLANK(RawFinancials!U569),ISBLANK(_RawBaseline!U566)),AND(ISNUMBER(RawFinancials!U569),ISNUMBER(_RawBaseline!U566),RawFinancials!U569=_RawBaseline!U566)),OR(AND(ISBLANK(RawFinancials!O569),ISBLANK(_RawBaseline!O566)),AND(ISNUMBER(RawFinancials!O569),ISNUMBER(_RawBaseline!O566),RawFinancials!O569=_RawBaseline!O566))))</f>
        <v>0</v>
      </c>
      <c r="U569" s="13" t="n">
        <f aca="false">IF(AND(D569=WF_START_PERIOD,R569,COUNTIFS($B$5:$B$750,B569,$D$5:$D$750,WF_END_PERIOD,$R$5:$R$750,TRUE())&gt;0),SUMIFS($S$5:$S$750,$B$5:$B$750,B569,$D$5:$D$750,WF_END_PERIOD,$R$5:$R$750,TRUE()),0)</f>
        <v>0</v>
      </c>
      <c r="V569" s="0" t="str">
        <f aca="false">IF(AND(D569=WF_START_PERIOD,COUNTIFS($B$5:$B$750,B569,$D$5:$D$750,WF_END_PERIOD)&gt;0),INDEX($E$5:$E$750,MATCH(B569&amp;"|"&amp;WF_END_PERIOD,$AC$5:$AC$750,0)),"")</f>
        <v/>
      </c>
      <c r="W569" s="11" t="b">
        <f aca="false">COUNTIFS($B$5:$B$750,B569,$D$5:$D$750,WF_START_PERIOD,$R$5:$R$750,TRUE())&gt;0</f>
        <v>1</v>
      </c>
      <c r="X569" s="11" t="b">
        <f aca="false">COUNTIFS($B$5:$B$750,B569,$D$5:$D$750,WF_END_PERIOD,$R$5:$R$750,TRUE())&gt;0</f>
        <v>1</v>
      </c>
      <c r="Y569" s="0" t="str">
        <f aca="false">IF(AND(D569=WF_END_PERIOD,COUNTIFS($B$5:$B$750,B569,$D$5:$D$750,WF_START_PERIOD)&gt;0),INDEX($E$5:$E$750,MATCH(B569&amp;"|"&amp;WF_START_PERIOD,$AC$5:$AC$750,0)),"")</f>
        <v/>
      </c>
      <c r="Z569" s="0" t="str">
        <f aca="false">IF(AND(D569=WF_END_PERIOD,R569),1+COUNTIFS($D$5:$D$750,WF_END_PERIOD,$E$5:$E$750,E569,$R$5:$R$750,TRUE(),$S$5:$S$750,"&gt;"&amp;S569)+COUNTIFS($D$5:$D$750,WF_END_PERIOD,$E$5:$E$750,E569,$R$5:$R$750,TRUE(),$S$5:$S$750,S569,$B$5:$B$750,"&lt;"&amp;B569),"")</f>
        <v/>
      </c>
      <c r="AA569" s="0" t="str">
        <f aca="false">IF(AND(D569=WF_END_PERIOD,R569,Z569&lt;&gt;1),1+COUNTIFS($D$5:$D$750,WF_END_PERIOD,$R$5:$R$750,TRUE(),$Z$5:$Z$750,"&lt;&gt;1",$S$5:$S$750,"&gt;"&amp;S569)+COUNTIFS($D$5:$D$750,WF_END_PERIOD,$R$5:$R$750,TRUE(),$Z$5:$Z$750,"&lt;&gt;1",$S$5:$S$750,S569,$B$5:$B$750,"&lt;"&amp;B569),"")</f>
        <v/>
      </c>
      <c r="AB569" s="11" t="b">
        <f aca="false">OR(D569=WF_START_PERIOD,D569=WF_END_PERIOD)</f>
        <v>0</v>
      </c>
      <c r="AC569" s="0" t="str">
        <f aca="false">B569&amp;"|"&amp;D569</f>
        <v>19690|20240930</v>
      </c>
    </row>
    <row r="570" customFormat="false" ht="15" hidden="false" customHeight="false" outlineLevel="0" collapsed="false">
      <c r="A570" s="0" t="n">
        <f aca="false">RawFinancials!A570</f>
        <v>567</v>
      </c>
      <c r="B570" s="0" t="n">
        <f aca="false">RawFinancials!C570</f>
        <v>19836</v>
      </c>
      <c r="C570" s="0" t="str">
        <f aca="false">RawFinancials!P570</f>
        <v>FRANKLIN SAVINGS BANK</v>
      </c>
      <c r="D570" s="0" t="n">
        <f aca="false">RawFinancials!W570</f>
        <v>20240930</v>
      </c>
      <c r="E570" s="0" t="str">
        <f aca="false">RawFinancials!Z570</f>
        <v>ME</v>
      </c>
      <c r="F570" s="0" t="n">
        <f aca="false">RawFinancials!B570</f>
        <v>712547</v>
      </c>
      <c r="G570" s="0" t="n">
        <f aca="false">RawFinancials!U570</f>
        <v>354</v>
      </c>
      <c r="H570" s="0" t="n">
        <f aca="false">RawFinancials!O570</f>
        <v>5741</v>
      </c>
      <c r="I570" s="0" t="n">
        <f aca="false">IF(AND(ISNUMBER(G570),ISNUMBER(H570)),G570+H570,"")</f>
        <v>6095</v>
      </c>
      <c r="J570" s="0" t="n">
        <f aca="false">RawFinancials!D570</f>
        <v>529260</v>
      </c>
      <c r="K570" s="0" t="n">
        <f aca="false">RawFinancials!F570</f>
        <v>125592</v>
      </c>
      <c r="L570" s="0" t="n">
        <f aca="false">RawFinancials!L570</f>
        <v>608881</v>
      </c>
      <c r="M570" s="0" t="n">
        <f aca="false">RawFinancials!N570</f>
        <v>548608</v>
      </c>
      <c r="N570" s="13" t="n">
        <f aca="false">RawFinancials!X570</f>
        <v>0.72911205784628</v>
      </c>
      <c r="O570" s="13" t="n">
        <f aca="false">RawFinancials!V570</f>
        <v>23.9355177549039</v>
      </c>
      <c r="P570" s="13" t="n">
        <f aca="false">IF(AND(ISNUMBER(L570),L570&lt;&gt;0,ISNUMBER(M570)),100*M570/L570,"")</f>
        <v>90.1010213818464</v>
      </c>
      <c r="Q570" s="13" t="n">
        <f aca="false">IF(AND(ISNUMBER(F570),F570&lt;&gt;0,ISNUMBER(K570)),100*K570/F570,"")</f>
        <v>17.6257846850804</v>
      </c>
      <c r="R570" s="11" t="b">
        <f aca="false">AND(ISNUMBER(F570),F570&gt;0,ISNUMBER(G570),G570&gt;=0,ISNUMBER(H570),H570&gt;=0)</f>
        <v>1</v>
      </c>
      <c r="S570" s="13" t="n">
        <f aca="false">IF(R570,100*I570/F570,"")</f>
        <v>0.855382171281333</v>
      </c>
      <c r="T570" s="11" t="b">
        <f aca="false">NOT(AND(OR(AND(ISBLANK(RawFinancials!B570),ISBLANK(_RawBaseline!B567)),AND(ISNUMBER(RawFinancials!B570),ISNUMBER(_RawBaseline!B567),RawFinancials!B570=_RawBaseline!B567)),OR(AND(ISBLANK(RawFinancials!U570),ISBLANK(_RawBaseline!U567)),AND(ISNUMBER(RawFinancials!U570),ISNUMBER(_RawBaseline!U567),RawFinancials!U570=_RawBaseline!U567)),OR(AND(ISBLANK(RawFinancials!O570),ISBLANK(_RawBaseline!O567)),AND(ISNUMBER(RawFinancials!O570),ISNUMBER(_RawBaseline!O567),RawFinancials!O570=_RawBaseline!O567))))</f>
        <v>0</v>
      </c>
      <c r="U570" s="13" t="n">
        <f aca="false">IF(AND(D570=WF_START_PERIOD,R570,COUNTIFS($B$5:$B$750,B570,$D$5:$D$750,WF_END_PERIOD,$R$5:$R$750,TRUE())&gt;0),SUMIFS($S$5:$S$750,$B$5:$B$750,B570,$D$5:$D$750,WF_END_PERIOD,$R$5:$R$750,TRUE()),0)</f>
        <v>0</v>
      </c>
      <c r="V570" s="0" t="str">
        <f aca="false">IF(AND(D570=WF_START_PERIOD,COUNTIFS($B$5:$B$750,B570,$D$5:$D$750,WF_END_PERIOD)&gt;0),INDEX($E$5:$E$750,MATCH(B570&amp;"|"&amp;WF_END_PERIOD,$AC$5:$AC$750,0)),"")</f>
        <v/>
      </c>
      <c r="W570" s="11" t="b">
        <f aca="false">COUNTIFS($B$5:$B$750,B570,$D$5:$D$750,WF_START_PERIOD,$R$5:$R$750,TRUE())&gt;0</f>
        <v>1</v>
      </c>
      <c r="X570" s="11" t="b">
        <f aca="false">COUNTIFS($B$5:$B$750,B570,$D$5:$D$750,WF_END_PERIOD,$R$5:$R$750,TRUE())&gt;0</f>
        <v>1</v>
      </c>
      <c r="Y570" s="0" t="str">
        <f aca="false">IF(AND(D570=WF_END_PERIOD,COUNTIFS($B$5:$B$750,B570,$D$5:$D$750,WF_START_PERIOD)&gt;0),INDEX($E$5:$E$750,MATCH(B570&amp;"|"&amp;WF_START_PERIOD,$AC$5:$AC$750,0)),"")</f>
        <v/>
      </c>
      <c r="Z570" s="0" t="str">
        <f aca="false">IF(AND(D570=WF_END_PERIOD,R570),1+COUNTIFS($D$5:$D$750,WF_END_PERIOD,$E$5:$E$750,E570,$R$5:$R$750,TRUE(),$S$5:$S$750,"&gt;"&amp;S570)+COUNTIFS($D$5:$D$750,WF_END_PERIOD,$E$5:$E$750,E570,$R$5:$R$750,TRUE(),$S$5:$S$750,S570,$B$5:$B$750,"&lt;"&amp;B570),"")</f>
        <v/>
      </c>
      <c r="AA570" s="0" t="str">
        <f aca="false">IF(AND(D570=WF_END_PERIOD,R570,Z570&lt;&gt;1),1+COUNTIFS($D$5:$D$750,WF_END_PERIOD,$R$5:$R$750,TRUE(),$Z$5:$Z$750,"&lt;&gt;1",$S$5:$S$750,"&gt;"&amp;S570)+COUNTIFS($D$5:$D$750,WF_END_PERIOD,$R$5:$R$750,TRUE(),$Z$5:$Z$750,"&lt;&gt;1",$S$5:$S$750,S570,$B$5:$B$750,"&lt;"&amp;B570),"")</f>
        <v/>
      </c>
      <c r="AB570" s="11" t="b">
        <f aca="false">OR(D570=WF_START_PERIOD,D570=WF_END_PERIOD)</f>
        <v>0</v>
      </c>
      <c r="AC570" s="0" t="str">
        <f aca="false">B570&amp;"|"&amp;D570</f>
        <v>19836|20240930</v>
      </c>
    </row>
    <row r="571" customFormat="false" ht="15" hidden="false" customHeight="false" outlineLevel="0" collapsed="false">
      <c r="A571" s="0" t="n">
        <f aca="false">RawFinancials!A571</f>
        <v>568</v>
      </c>
      <c r="B571" s="0" t="n">
        <f aca="false">RawFinancials!C571</f>
        <v>24540</v>
      </c>
      <c r="C571" s="0" t="str">
        <f aca="false">RawFinancials!P571</f>
        <v>BANK OF NEW ENGLAND</v>
      </c>
      <c r="D571" s="0" t="n">
        <f aca="false">RawFinancials!W571</f>
        <v>20240930</v>
      </c>
      <c r="E571" s="0" t="str">
        <f aca="false">RawFinancials!Z571</f>
        <v>NH</v>
      </c>
      <c r="F571" s="0" t="n">
        <f aca="false">RawFinancials!B571</f>
        <v>1490469</v>
      </c>
      <c r="G571" s="0" t="n">
        <f aca="false">RawFinancials!U571</f>
        <v>0</v>
      </c>
      <c r="H571" s="0" t="n">
        <f aca="false">RawFinancials!O571</f>
        <v>22568</v>
      </c>
      <c r="I571" s="0" t="n">
        <f aca="false">IF(AND(ISNUMBER(G571),ISNUMBER(H571)),G571+H571,"")</f>
        <v>22568</v>
      </c>
      <c r="J571" s="0" t="n">
        <f aca="false">RawFinancials!D571</f>
        <v>1197002</v>
      </c>
      <c r="K571" s="0" t="n">
        <f aca="false">RawFinancials!F571</f>
        <v>267573</v>
      </c>
      <c r="L571" s="0" t="n">
        <f aca="false">RawFinancials!L571</f>
        <v>1298136</v>
      </c>
      <c r="M571" s="0" t="n">
        <f aca="false">RawFinancials!N571</f>
        <v>1257005</v>
      </c>
      <c r="N571" s="13" t="n">
        <f aca="false">RawFinancials!X571</f>
        <v>2.09759403529842</v>
      </c>
      <c r="O571" s="13" t="n">
        <f aca="false">RawFinancials!V571</f>
        <v>19.0478995737024</v>
      </c>
      <c r="P571" s="13" t="n">
        <f aca="false">IF(AND(ISNUMBER(L571),L571&lt;&gt;0,ISNUMBER(M571)),100*M571/L571,"")</f>
        <v>96.8315338300455</v>
      </c>
      <c r="Q571" s="13" t="n">
        <f aca="false">IF(AND(ISNUMBER(F571),F571&lt;&gt;0,ISNUMBER(K571)),100*K571/F571,"")</f>
        <v>17.9522687154178</v>
      </c>
      <c r="R571" s="11" t="b">
        <f aca="false">AND(ISNUMBER(F571),F571&gt;0,ISNUMBER(G571),G571&gt;=0,ISNUMBER(H571),H571&gt;=0)</f>
        <v>1</v>
      </c>
      <c r="S571" s="13" t="n">
        <f aca="false">IF(R571,100*I571/F571,"")</f>
        <v>1.51415426956213</v>
      </c>
      <c r="T571" s="11" t="b">
        <f aca="false">NOT(AND(OR(AND(ISBLANK(RawFinancials!B571),ISBLANK(_RawBaseline!B568)),AND(ISNUMBER(RawFinancials!B571),ISNUMBER(_RawBaseline!B568),RawFinancials!B571=_RawBaseline!B568)),OR(AND(ISBLANK(RawFinancials!U571),ISBLANK(_RawBaseline!U568)),AND(ISNUMBER(RawFinancials!U571),ISNUMBER(_RawBaseline!U568),RawFinancials!U571=_RawBaseline!U568)),OR(AND(ISBLANK(RawFinancials!O571),ISBLANK(_RawBaseline!O568)),AND(ISNUMBER(RawFinancials!O571),ISNUMBER(_RawBaseline!O568),RawFinancials!O571=_RawBaseline!O568))))</f>
        <v>0</v>
      </c>
      <c r="U571" s="13" t="n">
        <f aca="false">IF(AND(D571=WF_START_PERIOD,R571,COUNTIFS($B$5:$B$750,B571,$D$5:$D$750,WF_END_PERIOD,$R$5:$R$750,TRUE())&gt;0),SUMIFS($S$5:$S$750,$B$5:$B$750,B571,$D$5:$D$750,WF_END_PERIOD,$R$5:$R$750,TRUE()),0)</f>
        <v>0</v>
      </c>
      <c r="V571" s="0" t="str">
        <f aca="false">IF(AND(D571=WF_START_PERIOD,COUNTIFS($B$5:$B$750,B571,$D$5:$D$750,WF_END_PERIOD)&gt;0),INDEX($E$5:$E$750,MATCH(B571&amp;"|"&amp;WF_END_PERIOD,$AC$5:$AC$750,0)),"")</f>
        <v/>
      </c>
      <c r="W571" s="11" t="b">
        <f aca="false">COUNTIFS($B$5:$B$750,B571,$D$5:$D$750,WF_START_PERIOD,$R$5:$R$750,TRUE())&gt;0</f>
        <v>1</v>
      </c>
      <c r="X571" s="11" t="b">
        <f aca="false">COUNTIFS($B$5:$B$750,B571,$D$5:$D$750,WF_END_PERIOD,$R$5:$R$750,TRUE())&gt;0</f>
        <v>1</v>
      </c>
      <c r="Y571" s="0" t="str">
        <f aca="false">IF(AND(D571=WF_END_PERIOD,COUNTIFS($B$5:$B$750,B571,$D$5:$D$750,WF_START_PERIOD)&gt;0),INDEX($E$5:$E$750,MATCH(B571&amp;"|"&amp;WF_START_PERIOD,$AC$5:$AC$750,0)),"")</f>
        <v/>
      </c>
      <c r="Z571" s="0" t="str">
        <f aca="false">IF(AND(D571=WF_END_PERIOD,R571),1+COUNTIFS($D$5:$D$750,WF_END_PERIOD,$E$5:$E$750,E571,$R$5:$R$750,TRUE(),$S$5:$S$750,"&gt;"&amp;S571)+COUNTIFS($D$5:$D$750,WF_END_PERIOD,$E$5:$E$750,E571,$R$5:$R$750,TRUE(),$S$5:$S$750,S571,$B$5:$B$750,"&lt;"&amp;B571),"")</f>
        <v/>
      </c>
      <c r="AA571" s="0" t="str">
        <f aca="false">IF(AND(D571=WF_END_PERIOD,R571,Z571&lt;&gt;1),1+COUNTIFS($D$5:$D$750,WF_END_PERIOD,$R$5:$R$750,TRUE(),$Z$5:$Z$750,"&lt;&gt;1",$S$5:$S$750,"&gt;"&amp;S571)+COUNTIFS($D$5:$D$750,WF_END_PERIOD,$R$5:$R$750,TRUE(),$Z$5:$Z$750,"&lt;&gt;1",$S$5:$S$750,S571,$B$5:$B$750,"&lt;"&amp;B571),"")</f>
        <v/>
      </c>
      <c r="AB571" s="11" t="b">
        <f aca="false">OR(D571=WF_START_PERIOD,D571=WF_END_PERIOD)</f>
        <v>0</v>
      </c>
      <c r="AC571" s="0" t="str">
        <f aca="false">B571&amp;"|"&amp;D571</f>
        <v>24540|20240930</v>
      </c>
    </row>
    <row r="572" customFormat="false" ht="15" hidden="false" customHeight="false" outlineLevel="0" collapsed="false">
      <c r="A572" s="0" t="n">
        <f aca="false">RawFinancials!A572</f>
        <v>569</v>
      </c>
      <c r="B572" s="0" t="n">
        <f aca="false">RawFinancials!C572</f>
        <v>27824</v>
      </c>
      <c r="C572" s="0" t="str">
        <f aca="false">RawFinancials!P572</f>
        <v>SALEM CO-OPERATIVE BANK</v>
      </c>
      <c r="D572" s="0" t="n">
        <f aca="false">RawFinancials!W572</f>
        <v>20240930</v>
      </c>
      <c r="E572" s="0" t="str">
        <f aca="false">RawFinancials!Z572</f>
        <v>NH</v>
      </c>
      <c r="F572" s="0" t="n">
        <f aca="false">RawFinancials!B572</f>
        <v>565595</v>
      </c>
      <c r="G572" s="0" t="n">
        <f aca="false">RawFinancials!U572</f>
        <v>0</v>
      </c>
      <c r="H572" s="0" t="n">
        <f aca="false">RawFinancials!O572</f>
        <v>2900</v>
      </c>
      <c r="I572" s="0" t="n">
        <f aca="false">IF(AND(ISNUMBER(G572),ISNUMBER(H572)),G572+H572,"")</f>
        <v>2900</v>
      </c>
      <c r="J572" s="0" t="n">
        <f aca="false">RawFinancials!D572</f>
        <v>371884</v>
      </c>
      <c r="K572" s="0" t="n">
        <f aca="false">RawFinancials!F572</f>
        <v>63535</v>
      </c>
      <c r="L572" s="0" t="n">
        <f aca="false">RawFinancials!L572</f>
        <v>468047</v>
      </c>
      <c r="M572" s="0" t="n">
        <f aca="false">RawFinancials!N572</f>
        <v>407195</v>
      </c>
      <c r="N572" s="13" t="n">
        <f aca="false">RawFinancials!X572</f>
        <v>-0.656895429386435</v>
      </c>
      <c r="O572" s="13" t="n">
        <f aca="false">RawFinancials!V572</f>
        <v>19.3955916631453</v>
      </c>
      <c r="P572" s="13" t="n">
        <f aca="false">IF(AND(ISNUMBER(L572),L572&lt;&gt;0,ISNUMBER(M572)),100*M572/L572,"")</f>
        <v>86.9987415793713</v>
      </c>
      <c r="Q572" s="13" t="n">
        <f aca="false">IF(AND(ISNUMBER(F572),F572&lt;&gt;0,ISNUMBER(K572)),100*K572/F572,"")</f>
        <v>11.2333029818156</v>
      </c>
      <c r="R572" s="11" t="b">
        <f aca="false">AND(ISNUMBER(F572),F572&gt;0,ISNUMBER(G572),G572&gt;=0,ISNUMBER(H572),H572&gt;=0)</f>
        <v>1</v>
      </c>
      <c r="S572" s="13" t="n">
        <f aca="false">IF(R572,100*I572/F572,"")</f>
        <v>0.512734377071933</v>
      </c>
      <c r="T572" s="11" t="b">
        <f aca="false">NOT(AND(OR(AND(ISBLANK(RawFinancials!B572),ISBLANK(_RawBaseline!B569)),AND(ISNUMBER(RawFinancials!B572),ISNUMBER(_RawBaseline!B569),RawFinancials!B572=_RawBaseline!B569)),OR(AND(ISBLANK(RawFinancials!U572),ISBLANK(_RawBaseline!U569)),AND(ISNUMBER(RawFinancials!U572),ISNUMBER(_RawBaseline!U569),RawFinancials!U572=_RawBaseline!U569)),OR(AND(ISBLANK(RawFinancials!O572),ISBLANK(_RawBaseline!O569)),AND(ISNUMBER(RawFinancials!O572),ISNUMBER(_RawBaseline!O569),RawFinancials!O572=_RawBaseline!O569))))</f>
        <v>0</v>
      </c>
      <c r="U572" s="13" t="n">
        <f aca="false">IF(AND(D572=WF_START_PERIOD,R572,COUNTIFS($B$5:$B$750,B572,$D$5:$D$750,WF_END_PERIOD,$R$5:$R$750,TRUE())&gt;0),SUMIFS($S$5:$S$750,$B$5:$B$750,B572,$D$5:$D$750,WF_END_PERIOD,$R$5:$R$750,TRUE()),0)</f>
        <v>0</v>
      </c>
      <c r="V572" s="0" t="str">
        <f aca="false">IF(AND(D572=WF_START_PERIOD,COUNTIFS($B$5:$B$750,B572,$D$5:$D$750,WF_END_PERIOD)&gt;0),INDEX($E$5:$E$750,MATCH(B572&amp;"|"&amp;WF_END_PERIOD,$AC$5:$AC$750,0)),"")</f>
        <v/>
      </c>
      <c r="W572" s="11" t="b">
        <f aca="false">COUNTIFS($B$5:$B$750,B572,$D$5:$D$750,WF_START_PERIOD,$R$5:$R$750,TRUE())&gt;0</f>
        <v>1</v>
      </c>
      <c r="X572" s="11" t="b">
        <f aca="false">COUNTIFS($B$5:$B$750,B572,$D$5:$D$750,WF_END_PERIOD,$R$5:$R$750,TRUE())&gt;0</f>
        <v>1</v>
      </c>
      <c r="Y572" s="0" t="str">
        <f aca="false">IF(AND(D572=WF_END_PERIOD,COUNTIFS($B$5:$B$750,B572,$D$5:$D$750,WF_START_PERIOD)&gt;0),INDEX($E$5:$E$750,MATCH(B572&amp;"|"&amp;WF_START_PERIOD,$AC$5:$AC$750,0)),"")</f>
        <v/>
      </c>
      <c r="Z572" s="0" t="str">
        <f aca="false">IF(AND(D572=WF_END_PERIOD,R572),1+COUNTIFS($D$5:$D$750,WF_END_PERIOD,$E$5:$E$750,E572,$R$5:$R$750,TRUE(),$S$5:$S$750,"&gt;"&amp;S572)+COUNTIFS($D$5:$D$750,WF_END_PERIOD,$E$5:$E$750,E572,$R$5:$R$750,TRUE(),$S$5:$S$750,S572,$B$5:$B$750,"&lt;"&amp;B572),"")</f>
        <v/>
      </c>
      <c r="AA572" s="0" t="str">
        <f aca="false">IF(AND(D572=WF_END_PERIOD,R572,Z572&lt;&gt;1),1+COUNTIFS($D$5:$D$750,WF_END_PERIOD,$R$5:$R$750,TRUE(),$Z$5:$Z$750,"&lt;&gt;1",$S$5:$S$750,"&gt;"&amp;S572)+COUNTIFS($D$5:$D$750,WF_END_PERIOD,$R$5:$R$750,TRUE(),$Z$5:$Z$750,"&lt;&gt;1",$S$5:$S$750,S572,$B$5:$B$750,"&lt;"&amp;B572),"")</f>
        <v/>
      </c>
      <c r="AB572" s="11" t="b">
        <f aca="false">OR(D572=WF_START_PERIOD,D572=WF_END_PERIOD)</f>
        <v>0</v>
      </c>
      <c r="AC572" s="0" t="str">
        <f aca="false">B572&amp;"|"&amp;D572</f>
        <v>27824|20240930</v>
      </c>
    </row>
    <row r="573" customFormat="false" ht="15" hidden="false" customHeight="false" outlineLevel="0" collapsed="false">
      <c r="A573" s="0" t="n">
        <f aca="false">RawFinancials!A573</f>
        <v>570</v>
      </c>
      <c r="B573" s="0" t="n">
        <f aca="false">RawFinancials!C573</f>
        <v>28155</v>
      </c>
      <c r="C573" s="0" t="str">
        <f aca="false">RawFinancials!P573</f>
        <v>PROFILE BANK</v>
      </c>
      <c r="D573" s="0" t="n">
        <f aca="false">RawFinancials!W573</f>
        <v>20240930</v>
      </c>
      <c r="E573" s="0" t="str">
        <f aca="false">RawFinancials!Z573</f>
        <v>NH</v>
      </c>
      <c r="F573" s="0" t="n">
        <f aca="false">RawFinancials!B573</f>
        <v>298193</v>
      </c>
      <c r="G573" s="0" t="n">
        <f aca="false">RawFinancials!U573</f>
        <v>0</v>
      </c>
      <c r="H573" s="0" t="n">
        <f aca="false">RawFinancials!O573</f>
        <v>46</v>
      </c>
      <c r="I573" s="0" t="n">
        <f aca="false">IF(AND(ISNUMBER(G573),ISNUMBER(H573)),G573+H573,"")</f>
        <v>46</v>
      </c>
      <c r="J573" s="0" t="n">
        <f aca="false">RawFinancials!D573</f>
        <v>259984</v>
      </c>
      <c r="K573" s="0" t="n">
        <f aca="false">RawFinancials!F573</f>
        <v>27490</v>
      </c>
      <c r="L573" s="0" t="n">
        <f aca="false">RawFinancials!L573</f>
        <v>173650</v>
      </c>
      <c r="M573" s="0" t="n">
        <f aca="false">RawFinancials!N573</f>
        <v>156786</v>
      </c>
      <c r="N573" s="13" t="n">
        <f aca="false">RawFinancials!X573</f>
        <v>0</v>
      </c>
      <c r="O573" s="13" t="n">
        <f aca="false">RawFinancials!V573</f>
        <v>17.5684475088697</v>
      </c>
      <c r="P573" s="13" t="n">
        <f aca="false">IF(AND(ISNUMBER(L573),L573&lt;&gt;0,ISNUMBER(M573)),100*M573/L573,"")</f>
        <v>90.2885113734524</v>
      </c>
      <c r="Q573" s="13" t="n">
        <f aca="false">IF(AND(ISNUMBER(F573),F573&lt;&gt;0,ISNUMBER(K573)),100*K573/F573,"")</f>
        <v>9.2188616097628</v>
      </c>
      <c r="R573" s="11" t="b">
        <f aca="false">AND(ISNUMBER(F573),F573&gt;0,ISNUMBER(G573),G573&gt;=0,ISNUMBER(H573),H573&gt;=0)</f>
        <v>1</v>
      </c>
      <c r="S573" s="13" t="n">
        <f aca="false">IF(R573,100*I573/F573,"")</f>
        <v>0.0154262507838883</v>
      </c>
      <c r="T573" s="11" t="b">
        <f aca="false">NOT(AND(OR(AND(ISBLANK(RawFinancials!B573),ISBLANK(_RawBaseline!B570)),AND(ISNUMBER(RawFinancials!B573),ISNUMBER(_RawBaseline!B570),RawFinancials!B573=_RawBaseline!B570)),OR(AND(ISBLANK(RawFinancials!U573),ISBLANK(_RawBaseline!U570)),AND(ISNUMBER(RawFinancials!U573),ISNUMBER(_RawBaseline!U570),RawFinancials!U573=_RawBaseline!U570)),OR(AND(ISBLANK(RawFinancials!O573),ISBLANK(_RawBaseline!O570)),AND(ISNUMBER(RawFinancials!O573),ISNUMBER(_RawBaseline!O570),RawFinancials!O573=_RawBaseline!O570))))</f>
        <v>0</v>
      </c>
      <c r="U573" s="13" t="n">
        <f aca="false">IF(AND(D573=WF_START_PERIOD,R573,COUNTIFS($B$5:$B$750,B573,$D$5:$D$750,WF_END_PERIOD,$R$5:$R$750,TRUE())&gt;0),SUMIFS($S$5:$S$750,$B$5:$B$750,B573,$D$5:$D$750,WF_END_PERIOD,$R$5:$R$750,TRUE()),0)</f>
        <v>0</v>
      </c>
      <c r="V573" s="0" t="str">
        <f aca="false">IF(AND(D573=WF_START_PERIOD,COUNTIFS($B$5:$B$750,B573,$D$5:$D$750,WF_END_PERIOD)&gt;0),INDEX($E$5:$E$750,MATCH(B573&amp;"|"&amp;WF_END_PERIOD,$AC$5:$AC$750,0)),"")</f>
        <v/>
      </c>
      <c r="W573" s="11" t="b">
        <f aca="false">COUNTIFS($B$5:$B$750,B573,$D$5:$D$750,WF_START_PERIOD,$R$5:$R$750,TRUE())&gt;0</f>
        <v>1</v>
      </c>
      <c r="X573" s="11" t="b">
        <f aca="false">COUNTIFS($B$5:$B$750,B573,$D$5:$D$750,WF_END_PERIOD,$R$5:$R$750,TRUE())&gt;0</f>
        <v>1</v>
      </c>
      <c r="Y573" s="0" t="str">
        <f aca="false">IF(AND(D573=WF_END_PERIOD,COUNTIFS($B$5:$B$750,B573,$D$5:$D$750,WF_START_PERIOD)&gt;0),INDEX($E$5:$E$750,MATCH(B573&amp;"|"&amp;WF_START_PERIOD,$AC$5:$AC$750,0)),"")</f>
        <v/>
      </c>
      <c r="Z573" s="0" t="str">
        <f aca="false">IF(AND(D573=WF_END_PERIOD,R573),1+COUNTIFS($D$5:$D$750,WF_END_PERIOD,$E$5:$E$750,E573,$R$5:$R$750,TRUE(),$S$5:$S$750,"&gt;"&amp;S573)+COUNTIFS($D$5:$D$750,WF_END_PERIOD,$E$5:$E$750,E573,$R$5:$R$750,TRUE(),$S$5:$S$750,S573,$B$5:$B$750,"&lt;"&amp;B573),"")</f>
        <v/>
      </c>
      <c r="AA573" s="0" t="str">
        <f aca="false">IF(AND(D573=WF_END_PERIOD,R573,Z573&lt;&gt;1),1+COUNTIFS($D$5:$D$750,WF_END_PERIOD,$R$5:$R$750,TRUE(),$Z$5:$Z$750,"&lt;&gt;1",$S$5:$S$750,"&gt;"&amp;S573)+COUNTIFS($D$5:$D$750,WF_END_PERIOD,$R$5:$R$750,TRUE(),$Z$5:$Z$750,"&lt;&gt;1",$S$5:$S$750,S573,$B$5:$B$750,"&lt;"&amp;B573),"")</f>
        <v/>
      </c>
      <c r="AB573" s="11" t="b">
        <f aca="false">OR(D573=WF_START_PERIOD,D573=WF_END_PERIOD)</f>
        <v>0</v>
      </c>
      <c r="AC573" s="0" t="str">
        <f aca="false">B573&amp;"|"&amp;D573</f>
        <v>28155|20240930</v>
      </c>
    </row>
    <row r="574" customFormat="false" ht="15" hidden="false" customHeight="false" outlineLevel="0" collapsed="false">
      <c r="A574" s="0" t="n">
        <f aca="false">RawFinancials!A574</f>
        <v>571</v>
      </c>
      <c r="B574" s="0" t="n">
        <f aca="false">RawFinancials!C574</f>
        <v>28288</v>
      </c>
      <c r="C574" s="0" t="str">
        <f aca="false">RawFinancials!P574</f>
        <v>AUBURN SAVINGS BANK, FSB</v>
      </c>
      <c r="D574" s="0" t="n">
        <f aca="false">RawFinancials!W574</f>
        <v>20240930</v>
      </c>
      <c r="E574" s="0" t="str">
        <f aca="false">RawFinancials!Z574</f>
        <v>ME</v>
      </c>
      <c r="F574" s="0" t="n">
        <f aca="false">RawFinancials!B574</f>
        <v>102402</v>
      </c>
      <c r="G574" s="0" t="n">
        <f aca="false">RawFinancials!U574</f>
        <v>0</v>
      </c>
      <c r="H574" s="0" t="n">
        <f aca="false">RawFinancials!O574</f>
        <v>140</v>
      </c>
      <c r="I574" s="0" t="n">
        <f aca="false">IF(AND(ISNUMBER(G574),ISNUMBER(H574)),G574+H574,"")</f>
        <v>140</v>
      </c>
      <c r="J574" s="0" t="n">
        <f aca="false">RawFinancials!D574</f>
        <v>74874</v>
      </c>
      <c r="K574" s="0" t="n">
        <f aca="false">RawFinancials!F574</f>
        <v>6447</v>
      </c>
      <c r="L574" s="0" t="n">
        <f aca="false">RawFinancials!L574</f>
        <v>81030</v>
      </c>
      <c r="M574" s="0" t="n">
        <f aca="false">RawFinancials!N574</f>
        <v>74225</v>
      </c>
      <c r="N574" s="13" t="n">
        <f aca="false">RawFinancials!X574</f>
        <v>0.0863646888497338</v>
      </c>
      <c r="O574" s="13" t="n">
        <f aca="false">RawFinancials!V574</f>
        <v>13.3806203414282</v>
      </c>
      <c r="P574" s="13" t="n">
        <f aca="false">IF(AND(ISNUMBER(L574),L574&lt;&gt;0,ISNUMBER(M574)),100*M574/L574,"")</f>
        <v>91.6018758484512</v>
      </c>
      <c r="Q574" s="13" t="n">
        <f aca="false">IF(AND(ISNUMBER(F574),F574&lt;&gt;0,ISNUMBER(K574)),100*K574/F574,"")</f>
        <v>6.29577547313529</v>
      </c>
      <c r="R574" s="11" t="b">
        <f aca="false">AND(ISNUMBER(F574),F574&gt;0,ISNUMBER(G574),G574&gt;=0,ISNUMBER(H574),H574&gt;=0)</f>
        <v>1</v>
      </c>
      <c r="S574" s="13" t="n">
        <f aca="false">IF(R574,100*I574/F574,"")</f>
        <v>0.136716079764067</v>
      </c>
      <c r="T574" s="11" t="b">
        <f aca="false">NOT(AND(OR(AND(ISBLANK(RawFinancials!B574),ISBLANK(_RawBaseline!B571)),AND(ISNUMBER(RawFinancials!B574),ISNUMBER(_RawBaseline!B571),RawFinancials!B574=_RawBaseline!B571)),OR(AND(ISBLANK(RawFinancials!U574),ISBLANK(_RawBaseline!U571)),AND(ISNUMBER(RawFinancials!U574),ISNUMBER(_RawBaseline!U571),RawFinancials!U574=_RawBaseline!U571)),OR(AND(ISBLANK(RawFinancials!O574),ISBLANK(_RawBaseline!O571)),AND(ISNUMBER(RawFinancials!O574),ISNUMBER(_RawBaseline!O571),RawFinancials!O574=_RawBaseline!O571))))</f>
        <v>0</v>
      </c>
      <c r="U574" s="13" t="n">
        <f aca="false">IF(AND(D574=WF_START_PERIOD,R574,COUNTIFS($B$5:$B$750,B574,$D$5:$D$750,WF_END_PERIOD,$R$5:$R$750,TRUE())&gt;0),SUMIFS($S$5:$S$750,$B$5:$B$750,B574,$D$5:$D$750,WF_END_PERIOD,$R$5:$R$750,TRUE()),0)</f>
        <v>0</v>
      </c>
      <c r="V574" s="0" t="str">
        <f aca="false">IF(AND(D574=WF_START_PERIOD,COUNTIFS($B$5:$B$750,B574,$D$5:$D$750,WF_END_PERIOD)&gt;0),INDEX($E$5:$E$750,MATCH(B574&amp;"|"&amp;WF_END_PERIOD,$AC$5:$AC$750,0)),"")</f>
        <v/>
      </c>
      <c r="W574" s="11" t="b">
        <f aca="false">COUNTIFS($B$5:$B$750,B574,$D$5:$D$750,WF_START_PERIOD,$R$5:$R$750,TRUE())&gt;0</f>
        <v>1</v>
      </c>
      <c r="X574" s="11" t="b">
        <f aca="false">COUNTIFS($B$5:$B$750,B574,$D$5:$D$750,WF_END_PERIOD,$R$5:$R$750,TRUE())&gt;0</f>
        <v>1</v>
      </c>
      <c r="Y574" s="0" t="str">
        <f aca="false">IF(AND(D574=WF_END_PERIOD,COUNTIFS($B$5:$B$750,B574,$D$5:$D$750,WF_START_PERIOD)&gt;0),INDEX($E$5:$E$750,MATCH(B574&amp;"|"&amp;WF_START_PERIOD,$AC$5:$AC$750,0)),"")</f>
        <v/>
      </c>
      <c r="Z574" s="0" t="str">
        <f aca="false">IF(AND(D574=WF_END_PERIOD,R574),1+COUNTIFS($D$5:$D$750,WF_END_PERIOD,$E$5:$E$750,E574,$R$5:$R$750,TRUE(),$S$5:$S$750,"&gt;"&amp;S574)+COUNTIFS($D$5:$D$750,WF_END_PERIOD,$E$5:$E$750,E574,$R$5:$R$750,TRUE(),$S$5:$S$750,S574,$B$5:$B$750,"&lt;"&amp;B574),"")</f>
        <v/>
      </c>
      <c r="AA574" s="0" t="str">
        <f aca="false">IF(AND(D574=WF_END_PERIOD,R574,Z574&lt;&gt;1),1+COUNTIFS($D$5:$D$750,WF_END_PERIOD,$R$5:$R$750,TRUE(),$Z$5:$Z$750,"&lt;&gt;1",$S$5:$S$750,"&gt;"&amp;S574)+COUNTIFS($D$5:$D$750,WF_END_PERIOD,$R$5:$R$750,TRUE(),$Z$5:$Z$750,"&lt;&gt;1",$S$5:$S$750,S574,$B$5:$B$750,"&lt;"&amp;B574),"")</f>
        <v/>
      </c>
      <c r="AB574" s="11" t="b">
        <f aca="false">OR(D574=WF_START_PERIOD,D574=WF_END_PERIOD)</f>
        <v>0</v>
      </c>
      <c r="AC574" s="0" t="str">
        <f aca="false">B574&amp;"|"&amp;D574</f>
        <v>28288|20240930</v>
      </c>
    </row>
    <row r="575" customFormat="false" ht="15" hidden="false" customHeight="false" outlineLevel="0" collapsed="false">
      <c r="A575" s="0" t="n">
        <f aca="false">RawFinancials!A575</f>
        <v>572</v>
      </c>
      <c r="B575" s="0" t="n">
        <f aca="false">RawFinancials!C575</f>
        <v>28369</v>
      </c>
      <c r="C575" s="0" t="str">
        <f aca="false">RawFinancials!P575</f>
        <v>ROCKLAND SAVINGS BANK, FSB</v>
      </c>
      <c r="D575" s="0" t="n">
        <f aca="false">RawFinancials!W575</f>
        <v>20240930</v>
      </c>
      <c r="E575" s="0" t="str">
        <f aca="false">RawFinancials!Z575</f>
        <v>ME</v>
      </c>
      <c r="F575" s="0" t="n">
        <f aca="false">RawFinancials!B575</f>
        <v>94545</v>
      </c>
      <c r="G575" s="0" t="n">
        <f aca="false">RawFinancials!U575</f>
        <v>0</v>
      </c>
      <c r="H575" s="0" t="n">
        <f aca="false">RawFinancials!O575</f>
        <v>135</v>
      </c>
      <c r="I575" s="0" t="n">
        <f aca="false">IF(AND(ISNUMBER(G575),ISNUMBER(H575)),G575+H575,"")</f>
        <v>135</v>
      </c>
      <c r="J575" s="0" t="n">
        <f aca="false">RawFinancials!D575</f>
        <v>75881</v>
      </c>
      <c r="K575" s="0" t="n">
        <f aca="false">RawFinancials!F575</f>
        <v>9202</v>
      </c>
      <c r="L575" s="0" t="n">
        <f aca="false">RawFinancials!L575</f>
        <v>81722</v>
      </c>
      <c r="M575" s="0" t="n">
        <f aca="false">RawFinancials!N575</f>
        <v>68636</v>
      </c>
      <c r="N575" s="13" t="n">
        <f aca="false">RawFinancials!X575</f>
        <v>-0.208082630553586</v>
      </c>
      <c r="O575" s="13" t="n">
        <f aca="false">RawFinancials!V575</f>
        <v>13.8902686836758</v>
      </c>
      <c r="P575" s="13" t="n">
        <f aca="false">IF(AND(ISNUMBER(L575),L575&lt;&gt;0,ISNUMBER(M575)),100*M575/L575,"")</f>
        <v>83.9871760358288</v>
      </c>
      <c r="Q575" s="13" t="n">
        <f aca="false">IF(AND(ISNUMBER(F575),F575&lt;&gt;0,ISNUMBER(K575)),100*K575/F575,"")</f>
        <v>9.73293140832408</v>
      </c>
      <c r="R575" s="11" t="b">
        <f aca="false">AND(ISNUMBER(F575),F575&gt;0,ISNUMBER(G575),G575&gt;=0,ISNUMBER(H575),H575&gt;=0)</f>
        <v>1</v>
      </c>
      <c r="S575" s="13" t="n">
        <f aca="false">IF(R575,100*I575/F575,"")</f>
        <v>0.14278914802475</v>
      </c>
      <c r="T575" s="11" t="b">
        <f aca="false">NOT(AND(OR(AND(ISBLANK(RawFinancials!B575),ISBLANK(_RawBaseline!B572)),AND(ISNUMBER(RawFinancials!B575),ISNUMBER(_RawBaseline!B572),RawFinancials!B575=_RawBaseline!B572)),OR(AND(ISBLANK(RawFinancials!U575),ISBLANK(_RawBaseline!U572)),AND(ISNUMBER(RawFinancials!U575),ISNUMBER(_RawBaseline!U572),RawFinancials!U575=_RawBaseline!U572)),OR(AND(ISBLANK(RawFinancials!O575),ISBLANK(_RawBaseline!O572)),AND(ISNUMBER(RawFinancials!O575),ISNUMBER(_RawBaseline!O572),RawFinancials!O575=_RawBaseline!O572))))</f>
        <v>0</v>
      </c>
      <c r="U575" s="13" t="n">
        <f aca="false">IF(AND(D575=WF_START_PERIOD,R575,COUNTIFS($B$5:$B$750,B575,$D$5:$D$750,WF_END_PERIOD,$R$5:$R$750,TRUE())&gt;0),SUMIFS($S$5:$S$750,$B$5:$B$750,B575,$D$5:$D$750,WF_END_PERIOD,$R$5:$R$750,TRUE()),0)</f>
        <v>0</v>
      </c>
      <c r="V575" s="0" t="str">
        <f aca="false">IF(AND(D575=WF_START_PERIOD,COUNTIFS($B$5:$B$750,B575,$D$5:$D$750,WF_END_PERIOD)&gt;0),INDEX($E$5:$E$750,MATCH(B575&amp;"|"&amp;WF_END_PERIOD,$AC$5:$AC$750,0)),"")</f>
        <v/>
      </c>
      <c r="W575" s="11" t="b">
        <f aca="false">COUNTIFS($B$5:$B$750,B575,$D$5:$D$750,WF_START_PERIOD,$R$5:$R$750,TRUE())&gt;0</f>
        <v>1</v>
      </c>
      <c r="X575" s="11" t="b">
        <f aca="false">COUNTIFS($B$5:$B$750,B575,$D$5:$D$750,WF_END_PERIOD,$R$5:$R$750,TRUE())&gt;0</f>
        <v>1</v>
      </c>
      <c r="Y575" s="0" t="str">
        <f aca="false">IF(AND(D575=WF_END_PERIOD,COUNTIFS($B$5:$B$750,B575,$D$5:$D$750,WF_START_PERIOD)&gt;0),INDEX($E$5:$E$750,MATCH(B575&amp;"|"&amp;WF_START_PERIOD,$AC$5:$AC$750,0)),"")</f>
        <v/>
      </c>
      <c r="Z575" s="0" t="str">
        <f aca="false">IF(AND(D575=WF_END_PERIOD,R575),1+COUNTIFS($D$5:$D$750,WF_END_PERIOD,$E$5:$E$750,E575,$R$5:$R$750,TRUE(),$S$5:$S$750,"&gt;"&amp;S575)+COUNTIFS($D$5:$D$750,WF_END_PERIOD,$E$5:$E$750,E575,$R$5:$R$750,TRUE(),$S$5:$S$750,S575,$B$5:$B$750,"&lt;"&amp;B575),"")</f>
        <v/>
      </c>
      <c r="AA575" s="0" t="str">
        <f aca="false">IF(AND(D575=WF_END_PERIOD,R575,Z575&lt;&gt;1),1+COUNTIFS($D$5:$D$750,WF_END_PERIOD,$R$5:$R$750,TRUE(),$Z$5:$Z$750,"&lt;&gt;1",$S$5:$S$750,"&gt;"&amp;S575)+COUNTIFS($D$5:$D$750,WF_END_PERIOD,$R$5:$R$750,TRUE(),$Z$5:$Z$750,"&lt;&gt;1",$S$5:$S$750,S575,$B$5:$B$750,"&lt;"&amp;B575),"")</f>
        <v/>
      </c>
      <c r="AB575" s="11" t="b">
        <f aca="false">OR(D575=WF_START_PERIOD,D575=WF_END_PERIOD)</f>
        <v>0</v>
      </c>
      <c r="AC575" s="0" t="str">
        <f aca="false">B575&amp;"|"&amp;D575</f>
        <v>28369|20240930</v>
      </c>
    </row>
    <row r="576" customFormat="false" ht="15" hidden="false" customHeight="false" outlineLevel="0" collapsed="false">
      <c r="A576" s="0" t="n">
        <f aca="false">RawFinancials!A576</f>
        <v>573</v>
      </c>
      <c r="B576" s="0" t="n">
        <f aca="false">RawFinancials!C576</f>
        <v>28837</v>
      </c>
      <c r="C576" s="0" t="str">
        <f aca="false">RawFinancials!P576</f>
        <v>THE BRATTLEBORO SAVINGS AND LOAN ASSOCIATION</v>
      </c>
      <c r="D576" s="0" t="n">
        <f aca="false">RawFinancials!W576</f>
        <v>20240930</v>
      </c>
      <c r="E576" s="0" t="str">
        <f aca="false">RawFinancials!Z576</f>
        <v>VT</v>
      </c>
      <c r="F576" s="0" t="n">
        <f aca="false">RawFinancials!B576</f>
        <v>283014</v>
      </c>
      <c r="G576" s="0" t="n">
        <f aca="false">RawFinancials!U576</f>
        <v>0</v>
      </c>
      <c r="H576" s="0" t="n">
        <f aca="false">RawFinancials!O576</f>
        <v>30</v>
      </c>
      <c r="I576" s="0" t="n">
        <f aca="false">IF(AND(ISNUMBER(G576),ISNUMBER(H576)),G576+H576,"")</f>
        <v>30</v>
      </c>
      <c r="J576" s="0" t="n">
        <f aca="false">RawFinancials!D576</f>
        <v>251476</v>
      </c>
      <c r="K576" s="0" t="n">
        <f aca="false">RawFinancials!F576</f>
        <v>28217</v>
      </c>
      <c r="L576" s="0" t="n">
        <f aca="false">RawFinancials!L576</f>
        <v>203765</v>
      </c>
      <c r="M576" s="0" t="n">
        <f aca="false">RawFinancials!N576</f>
        <v>194609</v>
      </c>
      <c r="N576" s="13" t="n">
        <f aca="false">RawFinancials!X576</f>
        <v>0.88534503400353</v>
      </c>
      <c r="O576" s="13" t="n">
        <f aca="false">RawFinancials!V576</f>
        <v>17.7307318906392</v>
      </c>
      <c r="P576" s="13" t="n">
        <f aca="false">IF(AND(ISNUMBER(L576),L576&lt;&gt;0,ISNUMBER(M576)),100*M576/L576,"")</f>
        <v>95.5065884720143</v>
      </c>
      <c r="Q576" s="13" t="n">
        <f aca="false">IF(AND(ISNUMBER(F576),F576&lt;&gt;0,ISNUMBER(K576)),100*K576/F576,"")</f>
        <v>9.97017815373091</v>
      </c>
      <c r="R576" s="11" t="b">
        <f aca="false">AND(ISNUMBER(F576),F576&gt;0,ISNUMBER(G576),G576&gt;=0,ISNUMBER(H576),H576&gt;=0)</f>
        <v>1</v>
      </c>
      <c r="S576" s="13" t="n">
        <f aca="false">IF(R576,100*I576/F576,"")</f>
        <v>0.010600182323136</v>
      </c>
      <c r="T576" s="11" t="b">
        <f aca="false">NOT(AND(OR(AND(ISBLANK(RawFinancials!B576),ISBLANK(_RawBaseline!B573)),AND(ISNUMBER(RawFinancials!B576),ISNUMBER(_RawBaseline!B573),RawFinancials!B576=_RawBaseline!B573)),OR(AND(ISBLANK(RawFinancials!U576),ISBLANK(_RawBaseline!U573)),AND(ISNUMBER(RawFinancials!U576),ISNUMBER(_RawBaseline!U573),RawFinancials!U576=_RawBaseline!U573)),OR(AND(ISBLANK(RawFinancials!O576),ISBLANK(_RawBaseline!O573)),AND(ISNUMBER(RawFinancials!O576),ISNUMBER(_RawBaseline!O573),RawFinancials!O576=_RawBaseline!O573))))</f>
        <v>0</v>
      </c>
      <c r="U576" s="13" t="n">
        <f aca="false">IF(AND(D576=WF_START_PERIOD,R576,COUNTIFS($B$5:$B$750,B576,$D$5:$D$750,WF_END_PERIOD,$R$5:$R$750,TRUE())&gt;0),SUMIFS($S$5:$S$750,$B$5:$B$750,B576,$D$5:$D$750,WF_END_PERIOD,$R$5:$R$750,TRUE()),0)</f>
        <v>0</v>
      </c>
      <c r="V576" s="0" t="str">
        <f aca="false">IF(AND(D576=WF_START_PERIOD,COUNTIFS($B$5:$B$750,B576,$D$5:$D$750,WF_END_PERIOD)&gt;0),INDEX($E$5:$E$750,MATCH(B576&amp;"|"&amp;WF_END_PERIOD,$AC$5:$AC$750,0)),"")</f>
        <v/>
      </c>
      <c r="W576" s="11" t="b">
        <f aca="false">COUNTIFS($B$5:$B$750,B576,$D$5:$D$750,WF_START_PERIOD,$R$5:$R$750,TRUE())&gt;0</f>
        <v>1</v>
      </c>
      <c r="X576" s="11" t="b">
        <f aca="false">COUNTIFS($B$5:$B$750,B576,$D$5:$D$750,WF_END_PERIOD,$R$5:$R$750,TRUE())&gt;0</f>
        <v>1</v>
      </c>
      <c r="Y576" s="0" t="str">
        <f aca="false">IF(AND(D576=WF_END_PERIOD,COUNTIFS($B$5:$B$750,B576,$D$5:$D$750,WF_START_PERIOD)&gt;0),INDEX($E$5:$E$750,MATCH(B576&amp;"|"&amp;WF_START_PERIOD,$AC$5:$AC$750,0)),"")</f>
        <v/>
      </c>
      <c r="Z576" s="0" t="str">
        <f aca="false">IF(AND(D576=WF_END_PERIOD,R576),1+COUNTIFS($D$5:$D$750,WF_END_PERIOD,$E$5:$E$750,E576,$R$5:$R$750,TRUE(),$S$5:$S$750,"&gt;"&amp;S576)+COUNTIFS($D$5:$D$750,WF_END_PERIOD,$E$5:$E$750,E576,$R$5:$R$750,TRUE(),$S$5:$S$750,S576,$B$5:$B$750,"&lt;"&amp;B576),"")</f>
        <v/>
      </c>
      <c r="AA576" s="0" t="str">
        <f aca="false">IF(AND(D576=WF_END_PERIOD,R576,Z576&lt;&gt;1),1+COUNTIFS($D$5:$D$750,WF_END_PERIOD,$R$5:$R$750,TRUE(),$Z$5:$Z$750,"&lt;&gt;1",$S$5:$S$750,"&gt;"&amp;S576)+COUNTIFS($D$5:$D$750,WF_END_PERIOD,$R$5:$R$750,TRUE(),$Z$5:$Z$750,"&lt;&gt;1",$S$5:$S$750,S576,$B$5:$B$750,"&lt;"&amp;B576),"")</f>
        <v/>
      </c>
      <c r="AB576" s="11" t="b">
        <f aca="false">OR(D576=WF_START_PERIOD,D576=WF_END_PERIOD)</f>
        <v>0</v>
      </c>
      <c r="AC576" s="0" t="str">
        <f aca="false">B576&amp;"|"&amp;D576</f>
        <v>28837|20240930</v>
      </c>
    </row>
    <row r="577" customFormat="false" ht="15" hidden="false" customHeight="false" outlineLevel="0" collapsed="false">
      <c r="A577" s="0" t="n">
        <f aca="false">RawFinancials!A577</f>
        <v>574</v>
      </c>
      <c r="B577" s="0" t="n">
        <f aca="false">RawFinancials!C577</f>
        <v>29636</v>
      </c>
      <c r="C577" s="0" t="str">
        <f aca="false">RawFinancials!P577</f>
        <v>FIRST FEDERAL SAVINGS AND LOAN ASSOCIATION OF BATH</v>
      </c>
      <c r="D577" s="0" t="n">
        <f aca="false">RawFinancials!W577</f>
        <v>20240930</v>
      </c>
      <c r="E577" s="0" t="str">
        <f aca="false">RawFinancials!Z577</f>
        <v>ME</v>
      </c>
      <c r="F577" s="0" t="n">
        <f aca="false">RawFinancials!B577</f>
        <v>181616</v>
      </c>
      <c r="G577" s="0" t="n">
        <f aca="false">RawFinancials!U577</f>
        <v>0</v>
      </c>
      <c r="H577" s="0" t="n">
        <f aca="false">RawFinancials!O577</f>
        <v>2870</v>
      </c>
      <c r="I577" s="0" t="n">
        <f aca="false">IF(AND(ISNUMBER(G577),ISNUMBER(H577)),G577+H577,"")</f>
        <v>2870</v>
      </c>
      <c r="J577" s="0" t="n">
        <f aca="false">RawFinancials!D577</f>
        <v>140789</v>
      </c>
      <c r="K577" s="0" t="n">
        <f aca="false">RawFinancials!F577</f>
        <v>26607</v>
      </c>
      <c r="L577" s="0" t="n">
        <f aca="false">RawFinancials!L577</f>
        <v>139743</v>
      </c>
      <c r="M577" s="0" t="n">
        <f aca="false">RawFinancials!N577</f>
        <v>136319</v>
      </c>
      <c r="N577" s="13" t="n">
        <f aca="false">RawFinancials!X577</f>
        <v>0.335911070326187</v>
      </c>
      <c r="O577" s="13" t="n">
        <f aca="false">RawFinancials!V577</f>
        <v>27.01771126452</v>
      </c>
      <c r="P577" s="13" t="n">
        <f aca="false">IF(AND(ISNUMBER(L577),L577&lt;&gt;0,ISNUMBER(M577)),100*M577/L577,"")</f>
        <v>97.5497878247927</v>
      </c>
      <c r="Q577" s="13" t="n">
        <f aca="false">IF(AND(ISNUMBER(F577),F577&lt;&gt;0,ISNUMBER(K577)),100*K577/F577,"")</f>
        <v>14.6501409567439</v>
      </c>
      <c r="R577" s="11" t="b">
        <f aca="false">AND(ISNUMBER(F577),F577&gt;0,ISNUMBER(G577),G577&gt;=0,ISNUMBER(H577),H577&gt;=0)</f>
        <v>1</v>
      </c>
      <c r="S577" s="13" t="n">
        <f aca="false">IF(R577,100*I577/F577,"")</f>
        <v>1.58025724605762</v>
      </c>
      <c r="T577" s="11" t="b">
        <f aca="false">NOT(AND(OR(AND(ISBLANK(RawFinancials!B577),ISBLANK(_RawBaseline!B574)),AND(ISNUMBER(RawFinancials!B577),ISNUMBER(_RawBaseline!B574),RawFinancials!B577=_RawBaseline!B574)),OR(AND(ISBLANK(RawFinancials!U577),ISBLANK(_RawBaseline!U574)),AND(ISNUMBER(RawFinancials!U577),ISNUMBER(_RawBaseline!U574),RawFinancials!U577=_RawBaseline!U574)),OR(AND(ISBLANK(RawFinancials!O577),ISBLANK(_RawBaseline!O574)),AND(ISNUMBER(RawFinancials!O577),ISNUMBER(_RawBaseline!O574),RawFinancials!O577=_RawBaseline!O574))))</f>
        <v>0</v>
      </c>
      <c r="U577" s="13" t="n">
        <f aca="false">IF(AND(D577=WF_START_PERIOD,R577,COUNTIFS($B$5:$B$750,B577,$D$5:$D$750,WF_END_PERIOD,$R$5:$R$750,TRUE())&gt;0),SUMIFS($S$5:$S$750,$B$5:$B$750,B577,$D$5:$D$750,WF_END_PERIOD,$R$5:$R$750,TRUE()),0)</f>
        <v>0</v>
      </c>
      <c r="V577" s="0" t="str">
        <f aca="false">IF(AND(D577=WF_START_PERIOD,COUNTIFS($B$5:$B$750,B577,$D$5:$D$750,WF_END_PERIOD)&gt;0),INDEX($E$5:$E$750,MATCH(B577&amp;"|"&amp;WF_END_PERIOD,$AC$5:$AC$750,0)),"")</f>
        <v/>
      </c>
      <c r="W577" s="11" t="b">
        <f aca="false">COUNTIFS($B$5:$B$750,B577,$D$5:$D$750,WF_START_PERIOD,$R$5:$R$750,TRUE())&gt;0</f>
        <v>1</v>
      </c>
      <c r="X577" s="11" t="b">
        <f aca="false">COUNTIFS($B$5:$B$750,B577,$D$5:$D$750,WF_END_PERIOD,$R$5:$R$750,TRUE())&gt;0</f>
        <v>1</v>
      </c>
      <c r="Y577" s="0" t="str">
        <f aca="false">IF(AND(D577=WF_END_PERIOD,COUNTIFS($B$5:$B$750,B577,$D$5:$D$750,WF_START_PERIOD)&gt;0),INDEX($E$5:$E$750,MATCH(B577&amp;"|"&amp;WF_START_PERIOD,$AC$5:$AC$750,0)),"")</f>
        <v/>
      </c>
      <c r="Z577" s="0" t="str">
        <f aca="false">IF(AND(D577=WF_END_PERIOD,R577),1+COUNTIFS($D$5:$D$750,WF_END_PERIOD,$E$5:$E$750,E577,$R$5:$R$750,TRUE(),$S$5:$S$750,"&gt;"&amp;S577)+COUNTIFS($D$5:$D$750,WF_END_PERIOD,$E$5:$E$750,E577,$R$5:$R$750,TRUE(),$S$5:$S$750,S577,$B$5:$B$750,"&lt;"&amp;B577),"")</f>
        <v/>
      </c>
      <c r="AA577" s="0" t="str">
        <f aca="false">IF(AND(D577=WF_END_PERIOD,R577,Z577&lt;&gt;1),1+COUNTIFS($D$5:$D$750,WF_END_PERIOD,$R$5:$R$750,TRUE(),$Z$5:$Z$750,"&lt;&gt;1",$S$5:$S$750,"&gt;"&amp;S577)+COUNTIFS($D$5:$D$750,WF_END_PERIOD,$R$5:$R$750,TRUE(),$Z$5:$Z$750,"&lt;&gt;1",$S$5:$S$750,S577,$B$5:$B$750,"&lt;"&amp;B577),"")</f>
        <v/>
      </c>
      <c r="AB577" s="11" t="b">
        <f aca="false">OR(D577=WF_START_PERIOD,D577=WF_END_PERIOD)</f>
        <v>0</v>
      </c>
      <c r="AC577" s="0" t="str">
        <f aca="false">B577&amp;"|"&amp;D577</f>
        <v>29636|20240930</v>
      </c>
    </row>
    <row r="578" customFormat="false" ht="15" hidden="false" customHeight="false" outlineLevel="0" collapsed="false">
      <c r="A578" s="0" t="n">
        <f aca="false">RawFinancials!A578</f>
        <v>575</v>
      </c>
      <c r="B578" s="0" t="n">
        <f aca="false">RawFinancials!C578</f>
        <v>29743</v>
      </c>
      <c r="C578" s="0" t="str">
        <f aca="false">RawFinancials!P578</f>
        <v>AROOSTOOK COUNTY FEDERAL SAVINGS AND LOAN ASSOCIATION</v>
      </c>
      <c r="D578" s="0" t="n">
        <f aca="false">RawFinancials!W578</f>
        <v>20240930</v>
      </c>
      <c r="E578" s="0" t="str">
        <f aca="false">RawFinancials!Z578</f>
        <v>ME</v>
      </c>
      <c r="F578" s="0" t="n">
        <f aca="false">RawFinancials!B578</f>
        <v>194865</v>
      </c>
      <c r="G578" s="0" t="n">
        <f aca="false">RawFinancials!U578</f>
        <v>0</v>
      </c>
      <c r="H578" s="0" t="n">
        <f aca="false">RawFinancials!O578</f>
        <v>713</v>
      </c>
      <c r="I578" s="0" t="n">
        <f aca="false">IF(AND(ISNUMBER(G578),ISNUMBER(H578)),G578+H578,"")</f>
        <v>713</v>
      </c>
      <c r="J578" s="0" t="n">
        <f aca="false">RawFinancials!D578</f>
        <v>169632</v>
      </c>
      <c r="K578" s="0" t="n">
        <f aca="false">RawFinancials!F578</f>
        <v>18304</v>
      </c>
      <c r="L578" s="0" t="n">
        <f aca="false">RawFinancials!L578</f>
        <v>135474</v>
      </c>
      <c r="M578" s="0" t="n">
        <f aca="false">RawFinancials!N578</f>
        <v>88755</v>
      </c>
      <c r="N578" s="13" t="n">
        <f aca="false">RawFinancials!X578</f>
        <v>0.307613817098072</v>
      </c>
      <c r="O578" s="13" t="n">
        <f aca="false">RawFinancials!V578</f>
        <v>18.2276559407954</v>
      </c>
      <c r="P578" s="13" t="n">
        <f aca="false">IF(AND(ISNUMBER(L578),L578&lt;&gt;0,ISNUMBER(M578)),100*M578/L578,"")</f>
        <v>65.5144160503122</v>
      </c>
      <c r="Q578" s="13" t="n">
        <f aca="false">IF(AND(ISNUMBER(F578),F578&lt;&gt;0,ISNUMBER(K578)),100*K578/F578,"")</f>
        <v>9.39316963025684</v>
      </c>
      <c r="R578" s="11" t="b">
        <f aca="false">AND(ISNUMBER(F578),F578&gt;0,ISNUMBER(G578),G578&gt;=0,ISNUMBER(H578),H578&gt;=0)</f>
        <v>1</v>
      </c>
      <c r="S578" s="13" t="n">
        <f aca="false">IF(R578,100*I578/F578,"")</f>
        <v>0.365894337105175</v>
      </c>
      <c r="T578" s="11" t="b">
        <f aca="false">NOT(AND(OR(AND(ISBLANK(RawFinancials!B578),ISBLANK(_RawBaseline!B575)),AND(ISNUMBER(RawFinancials!B578),ISNUMBER(_RawBaseline!B575),RawFinancials!B578=_RawBaseline!B575)),OR(AND(ISBLANK(RawFinancials!U578),ISBLANK(_RawBaseline!U575)),AND(ISNUMBER(RawFinancials!U578),ISNUMBER(_RawBaseline!U575),RawFinancials!U578=_RawBaseline!U575)),OR(AND(ISBLANK(RawFinancials!O578),ISBLANK(_RawBaseline!O575)),AND(ISNUMBER(RawFinancials!O578),ISNUMBER(_RawBaseline!O575),RawFinancials!O578=_RawBaseline!O575))))</f>
        <v>0</v>
      </c>
      <c r="U578" s="13" t="n">
        <f aca="false">IF(AND(D578=WF_START_PERIOD,R578,COUNTIFS($B$5:$B$750,B578,$D$5:$D$750,WF_END_PERIOD,$R$5:$R$750,TRUE())&gt;0),SUMIFS($S$5:$S$750,$B$5:$B$750,B578,$D$5:$D$750,WF_END_PERIOD,$R$5:$R$750,TRUE()),0)</f>
        <v>0</v>
      </c>
      <c r="V578" s="0" t="str">
        <f aca="false">IF(AND(D578=WF_START_PERIOD,COUNTIFS($B$5:$B$750,B578,$D$5:$D$750,WF_END_PERIOD)&gt;0),INDEX($E$5:$E$750,MATCH(B578&amp;"|"&amp;WF_END_PERIOD,$AC$5:$AC$750,0)),"")</f>
        <v/>
      </c>
      <c r="W578" s="11" t="b">
        <f aca="false">COUNTIFS($B$5:$B$750,B578,$D$5:$D$750,WF_START_PERIOD,$R$5:$R$750,TRUE())&gt;0</f>
        <v>1</v>
      </c>
      <c r="X578" s="11" t="b">
        <f aca="false">COUNTIFS($B$5:$B$750,B578,$D$5:$D$750,WF_END_PERIOD,$R$5:$R$750,TRUE())&gt;0</f>
        <v>1</v>
      </c>
      <c r="Y578" s="0" t="str">
        <f aca="false">IF(AND(D578=WF_END_PERIOD,COUNTIFS($B$5:$B$750,B578,$D$5:$D$750,WF_START_PERIOD)&gt;0),INDEX($E$5:$E$750,MATCH(B578&amp;"|"&amp;WF_START_PERIOD,$AC$5:$AC$750,0)),"")</f>
        <v/>
      </c>
      <c r="Z578" s="0" t="str">
        <f aca="false">IF(AND(D578=WF_END_PERIOD,R578),1+COUNTIFS($D$5:$D$750,WF_END_PERIOD,$E$5:$E$750,E578,$R$5:$R$750,TRUE(),$S$5:$S$750,"&gt;"&amp;S578)+COUNTIFS($D$5:$D$750,WF_END_PERIOD,$E$5:$E$750,E578,$R$5:$R$750,TRUE(),$S$5:$S$750,S578,$B$5:$B$750,"&lt;"&amp;B578),"")</f>
        <v/>
      </c>
      <c r="AA578" s="0" t="str">
        <f aca="false">IF(AND(D578=WF_END_PERIOD,R578,Z578&lt;&gt;1),1+COUNTIFS($D$5:$D$750,WF_END_PERIOD,$R$5:$R$750,TRUE(),$Z$5:$Z$750,"&lt;&gt;1",$S$5:$S$750,"&gt;"&amp;S578)+COUNTIFS($D$5:$D$750,WF_END_PERIOD,$R$5:$R$750,TRUE(),$Z$5:$Z$750,"&lt;&gt;1",$S$5:$S$750,S578,$B$5:$B$750,"&lt;"&amp;B578),"")</f>
        <v/>
      </c>
      <c r="AB578" s="11" t="b">
        <f aca="false">OR(D578=WF_START_PERIOD,D578=WF_END_PERIOD)</f>
        <v>0</v>
      </c>
      <c r="AC578" s="0" t="str">
        <f aca="false">B578&amp;"|"&amp;D578</f>
        <v>29743|20240930</v>
      </c>
    </row>
    <row r="579" customFormat="false" ht="15" hidden="false" customHeight="false" outlineLevel="0" collapsed="false">
      <c r="A579" s="0" t="n">
        <f aca="false">RawFinancials!A579</f>
        <v>576</v>
      </c>
      <c r="B579" s="0" t="n">
        <f aca="false">RawFinancials!C579</f>
        <v>29744</v>
      </c>
      <c r="C579" s="0" t="str">
        <f aca="false">RawFinancials!P579</f>
        <v>FIRST SEACOAST BANK</v>
      </c>
      <c r="D579" s="0" t="n">
        <f aca="false">RawFinancials!W579</f>
        <v>20240930</v>
      </c>
      <c r="E579" s="0" t="str">
        <f aca="false">RawFinancials!Z579</f>
        <v>NH</v>
      </c>
      <c r="F579" s="0" t="n">
        <f aca="false">RawFinancials!B579</f>
        <v>602075</v>
      </c>
      <c r="G579" s="0" t="n">
        <f aca="false">RawFinancials!U579</f>
        <v>0</v>
      </c>
      <c r="H579" s="0" t="n">
        <f aca="false">RawFinancials!O579</f>
        <v>0</v>
      </c>
      <c r="I579" s="0" t="n">
        <f aca="false">IF(AND(ISNUMBER(G579),ISNUMBER(H579)),G579+H579,"")</f>
        <v>0</v>
      </c>
      <c r="J579" s="0" t="n">
        <f aca="false">RawFinancials!D579</f>
        <v>467670</v>
      </c>
      <c r="K579" s="0" t="n">
        <f aca="false">RawFinancials!F579</f>
        <v>48662</v>
      </c>
      <c r="L579" s="0" t="n">
        <f aca="false">RawFinancials!L579</f>
        <v>436785</v>
      </c>
      <c r="M579" s="0" t="n">
        <f aca="false">RawFinancials!N579</f>
        <v>400419</v>
      </c>
      <c r="N579" s="13" t="n">
        <f aca="false">RawFinancials!X579</f>
        <v>0.207937144494701</v>
      </c>
      <c r="O579" s="13" t="n">
        <f aca="false">RawFinancials!V579</f>
        <v>15.6619539212435</v>
      </c>
      <c r="P579" s="13" t="n">
        <f aca="false">IF(AND(ISNUMBER(L579),L579&lt;&gt;0,ISNUMBER(M579)),100*M579/L579,"")</f>
        <v>91.6741646347745</v>
      </c>
      <c r="Q579" s="13" t="n">
        <f aca="false">IF(AND(ISNUMBER(F579),F579&lt;&gt;0,ISNUMBER(K579)),100*K579/F579,"")</f>
        <v>8.08238176306939</v>
      </c>
      <c r="R579" s="11" t="b">
        <f aca="false">AND(ISNUMBER(F579),F579&gt;0,ISNUMBER(G579),G579&gt;=0,ISNUMBER(H579),H579&gt;=0)</f>
        <v>1</v>
      </c>
      <c r="S579" s="13" t="n">
        <f aca="false">IF(R579,100*I579/F579,"")</f>
        <v>0</v>
      </c>
      <c r="T579" s="11" t="b">
        <f aca="false">NOT(AND(OR(AND(ISBLANK(RawFinancials!B579),ISBLANK(_RawBaseline!B576)),AND(ISNUMBER(RawFinancials!B579),ISNUMBER(_RawBaseline!B576),RawFinancials!B579=_RawBaseline!B576)),OR(AND(ISBLANK(RawFinancials!U579),ISBLANK(_RawBaseline!U576)),AND(ISNUMBER(RawFinancials!U579),ISNUMBER(_RawBaseline!U576),RawFinancials!U579=_RawBaseline!U576)),OR(AND(ISBLANK(RawFinancials!O579),ISBLANK(_RawBaseline!O576)),AND(ISNUMBER(RawFinancials!O579),ISNUMBER(_RawBaseline!O576),RawFinancials!O579=_RawBaseline!O576))))</f>
        <v>0</v>
      </c>
      <c r="U579" s="13" t="n">
        <f aca="false">IF(AND(D579=WF_START_PERIOD,R579,COUNTIFS($B$5:$B$750,B579,$D$5:$D$750,WF_END_PERIOD,$R$5:$R$750,TRUE())&gt;0),SUMIFS($S$5:$S$750,$B$5:$B$750,B579,$D$5:$D$750,WF_END_PERIOD,$R$5:$R$750,TRUE()),0)</f>
        <v>0</v>
      </c>
      <c r="V579" s="0" t="str">
        <f aca="false">IF(AND(D579=WF_START_PERIOD,COUNTIFS($B$5:$B$750,B579,$D$5:$D$750,WF_END_PERIOD)&gt;0),INDEX($E$5:$E$750,MATCH(B579&amp;"|"&amp;WF_END_PERIOD,$AC$5:$AC$750,0)),"")</f>
        <v/>
      </c>
      <c r="W579" s="11" t="b">
        <f aca="false">COUNTIFS($B$5:$B$750,B579,$D$5:$D$750,WF_START_PERIOD,$R$5:$R$750,TRUE())&gt;0</f>
        <v>1</v>
      </c>
      <c r="X579" s="11" t="b">
        <f aca="false">COUNTIFS($B$5:$B$750,B579,$D$5:$D$750,WF_END_PERIOD,$R$5:$R$750,TRUE())&gt;0</f>
        <v>1</v>
      </c>
      <c r="Y579" s="0" t="str">
        <f aca="false">IF(AND(D579=WF_END_PERIOD,COUNTIFS($B$5:$B$750,B579,$D$5:$D$750,WF_START_PERIOD)&gt;0),INDEX($E$5:$E$750,MATCH(B579&amp;"|"&amp;WF_START_PERIOD,$AC$5:$AC$750,0)),"")</f>
        <v/>
      </c>
      <c r="Z579" s="0" t="str">
        <f aca="false">IF(AND(D579=WF_END_PERIOD,R579),1+COUNTIFS($D$5:$D$750,WF_END_PERIOD,$E$5:$E$750,E579,$R$5:$R$750,TRUE(),$S$5:$S$750,"&gt;"&amp;S579)+COUNTIFS($D$5:$D$750,WF_END_PERIOD,$E$5:$E$750,E579,$R$5:$R$750,TRUE(),$S$5:$S$750,S579,$B$5:$B$750,"&lt;"&amp;B579),"")</f>
        <v/>
      </c>
      <c r="AA579" s="0" t="str">
        <f aca="false">IF(AND(D579=WF_END_PERIOD,R579,Z579&lt;&gt;1),1+COUNTIFS($D$5:$D$750,WF_END_PERIOD,$R$5:$R$750,TRUE(),$Z$5:$Z$750,"&lt;&gt;1",$S$5:$S$750,"&gt;"&amp;S579)+COUNTIFS($D$5:$D$750,WF_END_PERIOD,$R$5:$R$750,TRUE(),$Z$5:$Z$750,"&lt;&gt;1",$S$5:$S$750,S579,$B$5:$B$750,"&lt;"&amp;B579),"")</f>
        <v/>
      </c>
      <c r="AB579" s="11" t="b">
        <f aca="false">OR(D579=WF_START_PERIOD,D579=WF_END_PERIOD)</f>
        <v>0</v>
      </c>
      <c r="AC579" s="0" t="str">
        <f aca="false">B579&amp;"|"&amp;D579</f>
        <v>29744|20240930</v>
      </c>
    </row>
    <row r="580" customFormat="false" ht="15" hidden="false" customHeight="false" outlineLevel="0" collapsed="false">
      <c r="A580" s="0" t="n">
        <f aca="false">RawFinancials!A580</f>
        <v>577</v>
      </c>
      <c r="B580" s="0" t="n">
        <f aca="false">RawFinancials!C580</f>
        <v>30350</v>
      </c>
      <c r="C580" s="0" t="str">
        <f aca="false">RawFinancials!P580</f>
        <v>THE BANK OF BENNINGTON</v>
      </c>
      <c r="D580" s="0" t="n">
        <f aca="false">RawFinancials!W580</f>
        <v>20240930</v>
      </c>
      <c r="E580" s="0" t="str">
        <f aca="false">RawFinancials!Z580</f>
        <v>VT</v>
      </c>
      <c r="F580" s="0" t="n">
        <f aca="false">RawFinancials!B580</f>
        <v>583685</v>
      </c>
      <c r="G580" s="0" t="n">
        <f aca="false">RawFinancials!U580</f>
        <v>0</v>
      </c>
      <c r="H580" s="0" t="n">
        <f aca="false">RawFinancials!O580</f>
        <v>1774</v>
      </c>
      <c r="I580" s="0" t="n">
        <f aca="false">IF(AND(ISNUMBER(G580),ISNUMBER(H580)),G580+H580,"")</f>
        <v>1774</v>
      </c>
      <c r="J580" s="0" t="n">
        <f aca="false">RawFinancials!D580</f>
        <v>462099</v>
      </c>
      <c r="K580" s="0" t="n">
        <f aca="false">RawFinancials!F580</f>
        <v>60586</v>
      </c>
      <c r="L580" s="0" t="n">
        <f aca="false">RawFinancials!L580</f>
        <v>434699</v>
      </c>
      <c r="M580" s="0" t="n">
        <f aca="false">RawFinancials!N580</f>
        <v>415141</v>
      </c>
      <c r="N580" s="13" t="n">
        <f aca="false">RawFinancials!X580</f>
        <v>0.62176253371026</v>
      </c>
      <c r="O580" s="13" t="n">
        <f aca="false">RawFinancials!V580</f>
        <v>20.6833500325561</v>
      </c>
      <c r="P580" s="13" t="n">
        <f aca="false">IF(AND(ISNUMBER(L580),L580&lt;&gt;0,ISNUMBER(M580)),100*M580/L580,"")</f>
        <v>95.5007948028406</v>
      </c>
      <c r="Q580" s="13" t="n">
        <f aca="false">IF(AND(ISNUMBER(F580),F580&lt;&gt;0,ISNUMBER(K580)),100*K580/F580,"")</f>
        <v>10.3799138233808</v>
      </c>
      <c r="R580" s="11" t="b">
        <f aca="false">AND(ISNUMBER(F580),F580&gt;0,ISNUMBER(G580),G580&gt;=0,ISNUMBER(H580),H580&gt;=0)</f>
        <v>1</v>
      </c>
      <c r="S580" s="13" t="n">
        <f aca="false">IF(R580,100*I580/F580,"")</f>
        <v>0.30393105870461</v>
      </c>
      <c r="T580" s="11" t="b">
        <f aca="false">NOT(AND(OR(AND(ISBLANK(RawFinancials!B580),ISBLANK(_RawBaseline!B577)),AND(ISNUMBER(RawFinancials!B580),ISNUMBER(_RawBaseline!B577),RawFinancials!B580=_RawBaseline!B577)),OR(AND(ISBLANK(RawFinancials!U580),ISBLANK(_RawBaseline!U577)),AND(ISNUMBER(RawFinancials!U580),ISNUMBER(_RawBaseline!U577),RawFinancials!U580=_RawBaseline!U577)),OR(AND(ISBLANK(RawFinancials!O580),ISBLANK(_RawBaseline!O577)),AND(ISNUMBER(RawFinancials!O580),ISNUMBER(_RawBaseline!O577),RawFinancials!O580=_RawBaseline!O577))))</f>
        <v>0</v>
      </c>
      <c r="U580" s="13" t="n">
        <f aca="false">IF(AND(D580=WF_START_PERIOD,R580,COUNTIFS($B$5:$B$750,B580,$D$5:$D$750,WF_END_PERIOD,$R$5:$R$750,TRUE())&gt;0),SUMIFS($S$5:$S$750,$B$5:$B$750,B580,$D$5:$D$750,WF_END_PERIOD,$R$5:$R$750,TRUE()),0)</f>
        <v>0</v>
      </c>
      <c r="V580" s="0" t="str">
        <f aca="false">IF(AND(D580=WF_START_PERIOD,COUNTIFS($B$5:$B$750,B580,$D$5:$D$750,WF_END_PERIOD)&gt;0),INDEX($E$5:$E$750,MATCH(B580&amp;"|"&amp;WF_END_PERIOD,$AC$5:$AC$750,0)),"")</f>
        <v/>
      </c>
      <c r="W580" s="11" t="b">
        <f aca="false">COUNTIFS($B$5:$B$750,B580,$D$5:$D$750,WF_START_PERIOD,$R$5:$R$750,TRUE())&gt;0</f>
        <v>1</v>
      </c>
      <c r="X580" s="11" t="b">
        <f aca="false">COUNTIFS($B$5:$B$750,B580,$D$5:$D$750,WF_END_PERIOD,$R$5:$R$750,TRUE())&gt;0</f>
        <v>1</v>
      </c>
      <c r="Y580" s="0" t="str">
        <f aca="false">IF(AND(D580=WF_END_PERIOD,COUNTIFS($B$5:$B$750,B580,$D$5:$D$750,WF_START_PERIOD)&gt;0),INDEX($E$5:$E$750,MATCH(B580&amp;"|"&amp;WF_START_PERIOD,$AC$5:$AC$750,0)),"")</f>
        <v/>
      </c>
      <c r="Z580" s="0" t="str">
        <f aca="false">IF(AND(D580=WF_END_PERIOD,R580),1+COUNTIFS($D$5:$D$750,WF_END_PERIOD,$E$5:$E$750,E580,$R$5:$R$750,TRUE(),$S$5:$S$750,"&gt;"&amp;S580)+COUNTIFS($D$5:$D$750,WF_END_PERIOD,$E$5:$E$750,E580,$R$5:$R$750,TRUE(),$S$5:$S$750,S580,$B$5:$B$750,"&lt;"&amp;B580),"")</f>
        <v/>
      </c>
      <c r="AA580" s="0" t="str">
        <f aca="false">IF(AND(D580=WF_END_PERIOD,R580,Z580&lt;&gt;1),1+COUNTIFS($D$5:$D$750,WF_END_PERIOD,$R$5:$R$750,TRUE(),$Z$5:$Z$750,"&lt;&gt;1",$S$5:$S$750,"&gt;"&amp;S580)+COUNTIFS($D$5:$D$750,WF_END_PERIOD,$R$5:$R$750,TRUE(),$Z$5:$Z$750,"&lt;&gt;1",$S$5:$S$750,S580,$B$5:$B$750,"&lt;"&amp;B580),"")</f>
        <v/>
      </c>
      <c r="AB580" s="11" t="b">
        <f aca="false">OR(D580=WF_START_PERIOD,D580=WF_END_PERIOD)</f>
        <v>0</v>
      </c>
      <c r="AC580" s="0" t="str">
        <f aca="false">B580&amp;"|"&amp;D580</f>
        <v>30350|20240930</v>
      </c>
    </row>
    <row r="581" customFormat="false" ht="15" hidden="false" customHeight="false" outlineLevel="0" collapsed="false">
      <c r="A581" s="0" t="n">
        <f aca="false">RawFinancials!A581</f>
        <v>578</v>
      </c>
      <c r="B581" s="0" t="n">
        <f aca="false">RawFinancials!C581</f>
        <v>30878</v>
      </c>
      <c r="C581" s="0" t="str">
        <f aca="false">RawFinancials!P581</f>
        <v>BAR HARBOR SAVINGS AND LOAN ASSOCIATION</v>
      </c>
      <c r="D581" s="0" t="n">
        <f aca="false">RawFinancials!W581</f>
        <v>20240930</v>
      </c>
      <c r="E581" s="0" t="str">
        <f aca="false">RawFinancials!Z581</f>
        <v>ME</v>
      </c>
      <c r="F581" s="0" t="n">
        <f aca="false">RawFinancials!B581</f>
        <v>101059</v>
      </c>
      <c r="G581" s="0" t="n">
        <f aca="false">RawFinancials!U581</f>
        <v>0</v>
      </c>
      <c r="H581" s="0" t="n">
        <f aca="false">RawFinancials!O581</f>
        <v>1674</v>
      </c>
      <c r="I581" s="0" t="n">
        <f aca="false">IF(AND(ISNUMBER(G581),ISNUMBER(H581)),G581+H581,"")</f>
        <v>1674</v>
      </c>
      <c r="J581" s="0" t="n">
        <f aca="false">RawFinancials!D581</f>
        <v>76246</v>
      </c>
      <c r="K581" s="0" t="n">
        <f aca="false">RawFinancials!F581</f>
        <v>11989</v>
      </c>
      <c r="L581" s="0" t="n">
        <f aca="false">RawFinancials!L581</f>
        <v>87769</v>
      </c>
      <c r="M581" s="0" t="n">
        <f aca="false">RawFinancials!N581</f>
        <v>87603</v>
      </c>
      <c r="N581" s="13" t="n">
        <f aca="false">RawFinancials!X581</f>
        <v>-0.533353658240569</v>
      </c>
      <c r="O581" s="13" t="n">
        <f aca="false">RawFinancials!V581</f>
        <v>0</v>
      </c>
      <c r="P581" s="13" t="n">
        <f aca="false">IF(AND(ISNUMBER(L581),L581&lt;&gt;0,ISNUMBER(M581)),100*M581/L581,"")</f>
        <v>99.8108671626656</v>
      </c>
      <c r="Q581" s="13" t="n">
        <f aca="false">IF(AND(ISNUMBER(F581),F581&lt;&gt;0,ISNUMBER(K581)),100*K581/F581,"")</f>
        <v>11.8633669440624</v>
      </c>
      <c r="R581" s="11" t="b">
        <f aca="false">AND(ISNUMBER(F581),F581&gt;0,ISNUMBER(G581),G581&gt;=0,ISNUMBER(H581),H581&gt;=0)</f>
        <v>1</v>
      </c>
      <c r="S581" s="13" t="n">
        <f aca="false">IF(R581,100*I581/F581,"")</f>
        <v>1.65645810862961</v>
      </c>
      <c r="T581" s="11" t="b">
        <f aca="false">NOT(AND(OR(AND(ISBLANK(RawFinancials!B581),ISBLANK(_RawBaseline!B578)),AND(ISNUMBER(RawFinancials!B581),ISNUMBER(_RawBaseline!B578),RawFinancials!B581=_RawBaseline!B578)),OR(AND(ISBLANK(RawFinancials!U581),ISBLANK(_RawBaseline!U578)),AND(ISNUMBER(RawFinancials!U581),ISNUMBER(_RawBaseline!U578),RawFinancials!U581=_RawBaseline!U578)),OR(AND(ISBLANK(RawFinancials!O581),ISBLANK(_RawBaseline!O578)),AND(ISNUMBER(RawFinancials!O581),ISNUMBER(_RawBaseline!O578),RawFinancials!O581=_RawBaseline!O578))))</f>
        <v>0</v>
      </c>
      <c r="U581" s="13" t="n">
        <f aca="false">IF(AND(D581=WF_START_PERIOD,R581,COUNTIFS($B$5:$B$750,B581,$D$5:$D$750,WF_END_PERIOD,$R$5:$R$750,TRUE())&gt;0),SUMIFS($S$5:$S$750,$B$5:$B$750,B581,$D$5:$D$750,WF_END_PERIOD,$R$5:$R$750,TRUE()),0)</f>
        <v>0</v>
      </c>
      <c r="V581" s="0" t="str">
        <f aca="false">IF(AND(D581=WF_START_PERIOD,COUNTIFS($B$5:$B$750,B581,$D$5:$D$750,WF_END_PERIOD)&gt;0),INDEX($E$5:$E$750,MATCH(B581&amp;"|"&amp;WF_END_PERIOD,$AC$5:$AC$750,0)),"")</f>
        <v/>
      </c>
      <c r="W581" s="11" t="b">
        <f aca="false">COUNTIFS($B$5:$B$750,B581,$D$5:$D$750,WF_START_PERIOD,$R$5:$R$750,TRUE())&gt;0</f>
        <v>1</v>
      </c>
      <c r="X581" s="11" t="b">
        <f aca="false">COUNTIFS($B$5:$B$750,B581,$D$5:$D$750,WF_END_PERIOD,$R$5:$R$750,TRUE())&gt;0</f>
        <v>1</v>
      </c>
      <c r="Y581" s="0" t="str">
        <f aca="false">IF(AND(D581=WF_END_PERIOD,COUNTIFS($B$5:$B$750,B581,$D$5:$D$750,WF_START_PERIOD)&gt;0),INDEX($E$5:$E$750,MATCH(B581&amp;"|"&amp;WF_START_PERIOD,$AC$5:$AC$750,0)),"")</f>
        <v/>
      </c>
      <c r="Z581" s="0" t="str">
        <f aca="false">IF(AND(D581=WF_END_PERIOD,R581),1+COUNTIFS($D$5:$D$750,WF_END_PERIOD,$E$5:$E$750,E581,$R$5:$R$750,TRUE(),$S$5:$S$750,"&gt;"&amp;S581)+COUNTIFS($D$5:$D$750,WF_END_PERIOD,$E$5:$E$750,E581,$R$5:$R$750,TRUE(),$S$5:$S$750,S581,$B$5:$B$750,"&lt;"&amp;B581),"")</f>
        <v/>
      </c>
      <c r="AA581" s="0" t="str">
        <f aca="false">IF(AND(D581=WF_END_PERIOD,R581,Z581&lt;&gt;1),1+COUNTIFS($D$5:$D$750,WF_END_PERIOD,$R$5:$R$750,TRUE(),$Z$5:$Z$750,"&lt;&gt;1",$S$5:$S$750,"&gt;"&amp;S581)+COUNTIFS($D$5:$D$750,WF_END_PERIOD,$R$5:$R$750,TRUE(),$Z$5:$Z$750,"&lt;&gt;1",$S$5:$S$750,S581,$B$5:$B$750,"&lt;"&amp;B581),"")</f>
        <v/>
      </c>
      <c r="AB581" s="11" t="b">
        <f aca="false">OR(D581=WF_START_PERIOD,D581=WF_END_PERIOD)</f>
        <v>0</v>
      </c>
      <c r="AC581" s="0" t="str">
        <f aca="false">B581&amp;"|"&amp;D581</f>
        <v>30878|20240930</v>
      </c>
    </row>
    <row r="582" customFormat="false" ht="15" hidden="false" customHeight="false" outlineLevel="0" collapsed="false">
      <c r="A582" s="0" t="n">
        <f aca="false">RawFinancials!A582</f>
        <v>579</v>
      </c>
      <c r="B582" s="0" t="n">
        <f aca="false">RawFinancials!C582</f>
        <v>33418</v>
      </c>
      <c r="C582" s="0" t="str">
        <f aca="false">RawFinancials!P582</f>
        <v>LEDYARD NATIONAL BANK</v>
      </c>
      <c r="D582" s="0" t="n">
        <f aca="false">RawFinancials!W582</f>
        <v>20240930</v>
      </c>
      <c r="E582" s="0" t="str">
        <f aca="false">RawFinancials!Z582</f>
        <v>VT</v>
      </c>
      <c r="F582" s="0" t="n">
        <f aca="false">RawFinancials!B582</f>
        <v>938865</v>
      </c>
      <c r="G582" s="0" t="n">
        <f aca="false">RawFinancials!U582</f>
        <v>0</v>
      </c>
      <c r="H582" s="0" t="n">
        <f aca="false">RawFinancials!O582</f>
        <v>1024</v>
      </c>
      <c r="I582" s="0" t="n">
        <f aca="false">IF(AND(ISNUMBER(G582),ISNUMBER(H582)),G582+H582,"")</f>
        <v>1024</v>
      </c>
      <c r="J582" s="0" t="n">
        <f aca="false">RawFinancials!D582</f>
        <v>826469</v>
      </c>
      <c r="K582" s="0" t="n">
        <f aca="false">RawFinancials!F582</f>
        <v>69813</v>
      </c>
      <c r="L582" s="0" t="n">
        <f aca="false">RawFinancials!L582</f>
        <v>532153</v>
      </c>
      <c r="M582" s="0" t="n">
        <f aca="false">RawFinancials!N582</f>
        <v>442986</v>
      </c>
      <c r="N582" s="13" t="n">
        <f aca="false">RawFinancials!X582</f>
        <v>0.395784291055647</v>
      </c>
      <c r="O582" s="13" t="n">
        <f aca="false">RawFinancials!V582</f>
        <v>13.9529252381118</v>
      </c>
      <c r="P582" s="13" t="n">
        <f aca="false">IF(AND(ISNUMBER(L582),L582&lt;&gt;0,ISNUMBER(M582)),100*M582/L582,"")</f>
        <v>83.2441046090128</v>
      </c>
      <c r="Q582" s="13" t="n">
        <f aca="false">IF(AND(ISNUMBER(F582),F582&lt;&gt;0,ISNUMBER(K582)),100*K582/F582,"")</f>
        <v>7.43589333929798</v>
      </c>
      <c r="R582" s="11" t="b">
        <f aca="false">AND(ISNUMBER(F582),F582&gt;0,ISNUMBER(G582),G582&gt;=0,ISNUMBER(H582),H582&gt;=0)</f>
        <v>1</v>
      </c>
      <c r="S582" s="13" t="n">
        <f aca="false">IF(R582,100*I582/F582,"")</f>
        <v>0.109067863856891</v>
      </c>
      <c r="T582" s="11" t="b">
        <f aca="false">NOT(AND(OR(AND(ISBLANK(RawFinancials!B582),ISBLANK(_RawBaseline!B579)),AND(ISNUMBER(RawFinancials!B582),ISNUMBER(_RawBaseline!B579),RawFinancials!B582=_RawBaseline!B579)),OR(AND(ISBLANK(RawFinancials!U582),ISBLANK(_RawBaseline!U579)),AND(ISNUMBER(RawFinancials!U582),ISNUMBER(_RawBaseline!U579),RawFinancials!U582=_RawBaseline!U579)),OR(AND(ISBLANK(RawFinancials!O582),ISBLANK(_RawBaseline!O579)),AND(ISNUMBER(RawFinancials!O582),ISNUMBER(_RawBaseline!O579),RawFinancials!O582=_RawBaseline!O579))))</f>
        <v>0</v>
      </c>
      <c r="U582" s="13" t="n">
        <f aca="false">IF(AND(D582=WF_START_PERIOD,R582,COUNTIFS($B$5:$B$750,B582,$D$5:$D$750,WF_END_PERIOD,$R$5:$R$750,TRUE())&gt;0),SUMIFS($S$5:$S$750,$B$5:$B$750,B582,$D$5:$D$750,WF_END_PERIOD,$R$5:$R$750,TRUE()),0)</f>
        <v>0</v>
      </c>
      <c r="V582" s="0" t="str">
        <f aca="false">IF(AND(D582=WF_START_PERIOD,COUNTIFS($B$5:$B$750,B582,$D$5:$D$750,WF_END_PERIOD)&gt;0),INDEX($E$5:$E$750,MATCH(B582&amp;"|"&amp;WF_END_PERIOD,$AC$5:$AC$750,0)),"")</f>
        <v/>
      </c>
      <c r="W582" s="11" t="b">
        <f aca="false">COUNTIFS($B$5:$B$750,B582,$D$5:$D$750,WF_START_PERIOD,$R$5:$R$750,TRUE())&gt;0</f>
        <v>1</v>
      </c>
      <c r="X582" s="11" t="b">
        <f aca="false">COUNTIFS($B$5:$B$750,B582,$D$5:$D$750,WF_END_PERIOD,$R$5:$R$750,TRUE())&gt;0</f>
        <v>1</v>
      </c>
      <c r="Y582" s="0" t="str">
        <f aca="false">IF(AND(D582=WF_END_PERIOD,COUNTIFS($B$5:$B$750,B582,$D$5:$D$750,WF_START_PERIOD)&gt;0),INDEX($E$5:$E$750,MATCH(B582&amp;"|"&amp;WF_START_PERIOD,$AC$5:$AC$750,0)),"")</f>
        <v/>
      </c>
      <c r="Z582" s="0" t="str">
        <f aca="false">IF(AND(D582=WF_END_PERIOD,R582),1+COUNTIFS($D$5:$D$750,WF_END_PERIOD,$E$5:$E$750,E582,$R$5:$R$750,TRUE(),$S$5:$S$750,"&gt;"&amp;S582)+COUNTIFS($D$5:$D$750,WF_END_PERIOD,$E$5:$E$750,E582,$R$5:$R$750,TRUE(),$S$5:$S$750,S582,$B$5:$B$750,"&lt;"&amp;B582),"")</f>
        <v/>
      </c>
      <c r="AA582" s="0" t="str">
        <f aca="false">IF(AND(D582=WF_END_PERIOD,R582,Z582&lt;&gt;1),1+COUNTIFS($D$5:$D$750,WF_END_PERIOD,$R$5:$R$750,TRUE(),$Z$5:$Z$750,"&lt;&gt;1",$S$5:$S$750,"&gt;"&amp;S582)+COUNTIFS($D$5:$D$750,WF_END_PERIOD,$R$5:$R$750,TRUE(),$Z$5:$Z$750,"&lt;&gt;1",$S$5:$S$750,S582,$B$5:$B$750,"&lt;"&amp;B582),"")</f>
        <v/>
      </c>
      <c r="AB582" s="11" t="b">
        <f aca="false">OR(D582=WF_START_PERIOD,D582=WF_END_PERIOD)</f>
        <v>0</v>
      </c>
      <c r="AC582" s="0" t="str">
        <f aca="false">B582&amp;"|"&amp;D582</f>
        <v>33418|20240930</v>
      </c>
    </row>
    <row r="583" customFormat="false" ht="15" hidden="false" customHeight="false" outlineLevel="0" collapsed="false">
      <c r="A583" s="0" t="n">
        <f aca="false">RawFinancials!A583</f>
        <v>580</v>
      </c>
      <c r="B583" s="0" t="n">
        <f aca="false">RawFinancials!C583</f>
        <v>35206</v>
      </c>
      <c r="C583" s="0" t="str">
        <f aca="false">RawFinancials!P583</f>
        <v>FIDELITY PERSONAL TRUST COMPANY, FSB</v>
      </c>
      <c r="D583" s="0" t="n">
        <f aca="false">RawFinancials!W583</f>
        <v>20240930</v>
      </c>
      <c r="E583" s="0" t="str">
        <f aca="false">RawFinancials!Z583</f>
        <v>NH</v>
      </c>
      <c r="F583" s="0" t="n">
        <f aca="false">RawFinancials!B583</f>
        <v>90470</v>
      </c>
      <c r="G583" s="0" t="n">
        <f aca="false">RawFinancials!U583</f>
        <v>0</v>
      </c>
      <c r="H583" s="0" t="n">
        <f aca="false">RawFinancials!O583</f>
        <v>0</v>
      </c>
      <c r="I583" s="0" t="n">
        <f aca="false">IF(AND(ISNUMBER(G583),ISNUMBER(H583)),G583+H583,"")</f>
        <v>0</v>
      </c>
      <c r="J583" s="0" t="n">
        <f aca="false">RawFinancials!D583</f>
        <v>500</v>
      </c>
      <c r="K583" s="0" t="n">
        <f aca="false">RawFinancials!F583</f>
        <v>87835</v>
      </c>
      <c r="L583" s="0" t="n">
        <f aca="false">RawFinancials!L583</f>
        <v>0</v>
      </c>
      <c r="M583" s="0" t="n">
        <f aca="false">RawFinancials!N583</f>
        <v>0</v>
      </c>
      <c r="N583" s="13" t="n">
        <f aca="false">RawFinancials!X583</f>
        <v>21.5285961063394</v>
      </c>
      <c r="O583" s="13" t="n">
        <f aca="false">RawFinancials!V583</f>
        <v>0</v>
      </c>
      <c r="P583" s="13" t="str">
        <f aca="false">IF(AND(ISNUMBER(L583),L583&lt;&gt;0,ISNUMBER(M583)),100*M583/L583,"")</f>
        <v/>
      </c>
      <c r="Q583" s="13" t="n">
        <f aca="false">IF(AND(ISNUMBER(F583),F583&lt;&gt;0,ISNUMBER(K583)),100*K583/F583,"")</f>
        <v>97.0874322979993</v>
      </c>
      <c r="R583" s="11" t="b">
        <f aca="false">AND(ISNUMBER(F583),F583&gt;0,ISNUMBER(G583),G583&gt;=0,ISNUMBER(H583),H583&gt;=0)</f>
        <v>1</v>
      </c>
      <c r="S583" s="13" t="n">
        <f aca="false">IF(R583,100*I583/F583,"")</f>
        <v>0</v>
      </c>
      <c r="T583" s="11" t="b">
        <f aca="false">NOT(AND(OR(AND(ISBLANK(RawFinancials!B583),ISBLANK(_RawBaseline!B580)),AND(ISNUMBER(RawFinancials!B583),ISNUMBER(_RawBaseline!B580),RawFinancials!B583=_RawBaseline!B580)),OR(AND(ISBLANK(RawFinancials!U583),ISBLANK(_RawBaseline!U580)),AND(ISNUMBER(RawFinancials!U583),ISNUMBER(_RawBaseline!U580),RawFinancials!U583=_RawBaseline!U580)),OR(AND(ISBLANK(RawFinancials!O583),ISBLANK(_RawBaseline!O580)),AND(ISNUMBER(RawFinancials!O583),ISNUMBER(_RawBaseline!O580),RawFinancials!O583=_RawBaseline!O580))))</f>
        <v>0</v>
      </c>
      <c r="U583" s="13" t="n">
        <f aca="false">IF(AND(D583=WF_START_PERIOD,R583,COUNTIFS($B$5:$B$750,B583,$D$5:$D$750,WF_END_PERIOD,$R$5:$R$750,TRUE())&gt;0),SUMIFS($S$5:$S$750,$B$5:$B$750,B583,$D$5:$D$750,WF_END_PERIOD,$R$5:$R$750,TRUE()),0)</f>
        <v>0</v>
      </c>
      <c r="V583" s="0" t="str">
        <f aca="false">IF(AND(D583=WF_START_PERIOD,COUNTIFS($B$5:$B$750,B583,$D$5:$D$750,WF_END_PERIOD)&gt;0),INDEX($E$5:$E$750,MATCH(B583&amp;"|"&amp;WF_END_PERIOD,$AC$5:$AC$750,0)),"")</f>
        <v/>
      </c>
      <c r="W583" s="11" t="b">
        <f aca="false">COUNTIFS($B$5:$B$750,B583,$D$5:$D$750,WF_START_PERIOD,$R$5:$R$750,TRUE())&gt;0</f>
        <v>1</v>
      </c>
      <c r="X583" s="11" t="b">
        <f aca="false">COUNTIFS($B$5:$B$750,B583,$D$5:$D$750,WF_END_PERIOD,$R$5:$R$750,TRUE())&gt;0</f>
        <v>1</v>
      </c>
      <c r="Y583" s="0" t="str">
        <f aca="false">IF(AND(D583=WF_END_PERIOD,COUNTIFS($B$5:$B$750,B583,$D$5:$D$750,WF_START_PERIOD)&gt;0),INDEX($E$5:$E$750,MATCH(B583&amp;"|"&amp;WF_START_PERIOD,$AC$5:$AC$750,0)),"")</f>
        <v/>
      </c>
      <c r="Z583" s="0" t="str">
        <f aca="false">IF(AND(D583=WF_END_PERIOD,R583),1+COUNTIFS($D$5:$D$750,WF_END_PERIOD,$E$5:$E$750,E583,$R$5:$R$750,TRUE(),$S$5:$S$750,"&gt;"&amp;S583)+COUNTIFS($D$5:$D$750,WF_END_PERIOD,$E$5:$E$750,E583,$R$5:$R$750,TRUE(),$S$5:$S$750,S583,$B$5:$B$750,"&lt;"&amp;B583),"")</f>
        <v/>
      </c>
      <c r="AA583" s="0" t="str">
        <f aca="false">IF(AND(D583=WF_END_PERIOD,R583,Z583&lt;&gt;1),1+COUNTIFS($D$5:$D$750,WF_END_PERIOD,$R$5:$R$750,TRUE(),$Z$5:$Z$750,"&lt;&gt;1",$S$5:$S$750,"&gt;"&amp;S583)+COUNTIFS($D$5:$D$750,WF_END_PERIOD,$R$5:$R$750,TRUE(),$Z$5:$Z$750,"&lt;&gt;1",$S$5:$S$750,S583,$B$5:$B$750,"&lt;"&amp;B583),"")</f>
        <v/>
      </c>
      <c r="AB583" s="11" t="b">
        <f aca="false">OR(D583=WF_START_PERIOD,D583=WF_END_PERIOD)</f>
        <v>0</v>
      </c>
      <c r="AC583" s="0" t="str">
        <f aca="false">B583&amp;"|"&amp;D583</f>
        <v>35206|20240930</v>
      </c>
    </row>
    <row r="584" customFormat="false" ht="15" hidden="false" customHeight="false" outlineLevel="0" collapsed="false">
      <c r="A584" s="0" t="n">
        <f aca="false">RawFinancials!A584</f>
        <v>581</v>
      </c>
      <c r="B584" s="0" t="n">
        <f aca="false">RawFinancials!C584</f>
        <v>4255</v>
      </c>
      <c r="C584" s="0" t="str">
        <f aca="false">RawFinancials!P584</f>
        <v>THE CAMDEN NATIONAL BANK</v>
      </c>
      <c r="D584" s="0" t="n">
        <f aca="false">RawFinancials!W584</f>
        <v>20240930</v>
      </c>
      <c r="E584" s="0" t="str">
        <f aca="false">RawFinancials!Z584</f>
        <v>ME</v>
      </c>
      <c r="F584" s="0" t="n">
        <f aca="false">RawFinancials!B584</f>
        <v>5730254</v>
      </c>
      <c r="G584" s="0" t="n">
        <f aca="false">RawFinancials!U584</f>
        <v>0</v>
      </c>
      <c r="H584" s="0" t="n">
        <f aca="false">RawFinancials!O584</f>
        <v>5350</v>
      </c>
      <c r="I584" s="0" t="n">
        <f aca="false">IF(AND(ISNUMBER(G584),ISNUMBER(H584)),G584+H584,"")</f>
        <v>5350</v>
      </c>
      <c r="J584" s="0" t="n">
        <f aca="false">RawFinancials!D584</f>
        <v>4609875</v>
      </c>
      <c r="K584" s="0" t="n">
        <f aca="false">RawFinancials!F584</f>
        <v>543598</v>
      </c>
      <c r="L584" s="0" t="n">
        <f aca="false">RawFinancials!L584</f>
        <v>4128435</v>
      </c>
      <c r="M584" s="0" t="n">
        <f aca="false">RawFinancials!N584</f>
        <v>3753732</v>
      </c>
      <c r="N584" s="13" t="n">
        <f aca="false">RawFinancials!X584</f>
        <v>0.9337865070275</v>
      </c>
      <c r="O584" s="13" t="n">
        <f aca="false">RawFinancials!V584</f>
        <v>14.1867246818839</v>
      </c>
      <c r="P584" s="13" t="n">
        <f aca="false">IF(AND(ISNUMBER(L584),L584&lt;&gt;0,ISNUMBER(M584)),100*M584/L584,"")</f>
        <v>90.9238488676702</v>
      </c>
      <c r="Q584" s="13" t="n">
        <f aca="false">IF(AND(ISNUMBER(F584),F584&lt;&gt;0,ISNUMBER(K584)),100*K584/F584,"")</f>
        <v>9.48645557422062</v>
      </c>
      <c r="R584" s="11" t="b">
        <f aca="false">AND(ISNUMBER(F584),F584&gt;0,ISNUMBER(G584),G584&gt;=0,ISNUMBER(H584),H584&gt;=0)</f>
        <v>1</v>
      </c>
      <c r="S584" s="13" t="n">
        <f aca="false">IF(R584,100*I584/F584,"")</f>
        <v>0.0933640986944034</v>
      </c>
      <c r="T584" s="11" t="b">
        <f aca="false">NOT(AND(OR(AND(ISBLANK(RawFinancials!B584),ISBLANK(_RawBaseline!B581)),AND(ISNUMBER(RawFinancials!B584),ISNUMBER(_RawBaseline!B581),RawFinancials!B584=_RawBaseline!B581)),OR(AND(ISBLANK(RawFinancials!U584),ISBLANK(_RawBaseline!U581)),AND(ISNUMBER(RawFinancials!U584),ISNUMBER(_RawBaseline!U581),RawFinancials!U584=_RawBaseline!U581)),OR(AND(ISBLANK(RawFinancials!O584),ISBLANK(_RawBaseline!O581)),AND(ISNUMBER(RawFinancials!O584),ISNUMBER(_RawBaseline!O581),RawFinancials!O584=_RawBaseline!O581))))</f>
        <v>0</v>
      </c>
      <c r="U584" s="13" t="n">
        <f aca="false">IF(AND(D584=WF_START_PERIOD,R584,COUNTIFS($B$5:$B$750,B584,$D$5:$D$750,WF_END_PERIOD,$R$5:$R$750,TRUE())&gt;0),SUMIFS($S$5:$S$750,$B$5:$B$750,B584,$D$5:$D$750,WF_END_PERIOD,$R$5:$R$750,TRUE()),0)</f>
        <v>0</v>
      </c>
      <c r="V584" s="0" t="str">
        <f aca="false">IF(AND(D584=WF_START_PERIOD,COUNTIFS($B$5:$B$750,B584,$D$5:$D$750,WF_END_PERIOD)&gt;0),INDEX($E$5:$E$750,MATCH(B584&amp;"|"&amp;WF_END_PERIOD,$AC$5:$AC$750,0)),"")</f>
        <v/>
      </c>
      <c r="W584" s="11" t="b">
        <f aca="false">COUNTIFS($B$5:$B$750,B584,$D$5:$D$750,WF_START_PERIOD,$R$5:$R$750,TRUE())&gt;0</f>
        <v>1</v>
      </c>
      <c r="X584" s="11" t="b">
        <f aca="false">COUNTIFS($B$5:$B$750,B584,$D$5:$D$750,WF_END_PERIOD,$R$5:$R$750,TRUE())&gt;0</f>
        <v>1</v>
      </c>
      <c r="Y584" s="0" t="str">
        <f aca="false">IF(AND(D584=WF_END_PERIOD,COUNTIFS($B$5:$B$750,B584,$D$5:$D$750,WF_START_PERIOD)&gt;0),INDEX($E$5:$E$750,MATCH(B584&amp;"|"&amp;WF_START_PERIOD,$AC$5:$AC$750,0)),"")</f>
        <v/>
      </c>
      <c r="Z584" s="0" t="str">
        <f aca="false">IF(AND(D584=WF_END_PERIOD,R584),1+COUNTIFS($D$5:$D$750,WF_END_PERIOD,$E$5:$E$750,E584,$R$5:$R$750,TRUE(),$S$5:$S$750,"&gt;"&amp;S584)+COUNTIFS($D$5:$D$750,WF_END_PERIOD,$E$5:$E$750,E584,$R$5:$R$750,TRUE(),$S$5:$S$750,S584,$B$5:$B$750,"&lt;"&amp;B584),"")</f>
        <v/>
      </c>
      <c r="AA584" s="0" t="str">
        <f aca="false">IF(AND(D584=WF_END_PERIOD,R584,Z584&lt;&gt;1),1+COUNTIFS($D$5:$D$750,WF_END_PERIOD,$R$5:$R$750,TRUE(),$Z$5:$Z$750,"&lt;&gt;1",$S$5:$S$750,"&gt;"&amp;S584)+COUNTIFS($D$5:$D$750,WF_END_PERIOD,$R$5:$R$750,TRUE(),$Z$5:$Z$750,"&lt;&gt;1",$S$5:$S$750,S584,$B$5:$B$750,"&lt;"&amp;B584),"")</f>
        <v/>
      </c>
      <c r="AB584" s="11" t="b">
        <f aca="false">OR(D584=WF_START_PERIOD,D584=WF_END_PERIOD)</f>
        <v>0</v>
      </c>
      <c r="AC584" s="0" t="str">
        <f aca="false">B584&amp;"|"&amp;D584</f>
        <v>4255|20240930</v>
      </c>
    </row>
    <row r="585" customFormat="false" ht="15" hidden="false" customHeight="false" outlineLevel="0" collapsed="false">
      <c r="A585" s="0" t="n">
        <f aca="false">RawFinancials!A585</f>
        <v>582</v>
      </c>
      <c r="B585" s="0" t="n">
        <f aca="false">RawFinancials!C585</f>
        <v>4256</v>
      </c>
      <c r="C585" s="0" t="str">
        <f aca="false">RawFinancials!P585</f>
        <v>FIRST NATIONAL BANK</v>
      </c>
      <c r="D585" s="0" t="n">
        <f aca="false">RawFinancials!W585</f>
        <v>20240930</v>
      </c>
      <c r="E585" s="0" t="str">
        <f aca="false">RawFinancials!Z585</f>
        <v>ME</v>
      </c>
      <c r="F585" s="0" t="n">
        <f aca="false">RawFinancials!B585</f>
        <v>3107311</v>
      </c>
      <c r="G585" s="0" t="n">
        <f aca="false">RawFinancials!U585</f>
        <v>405</v>
      </c>
      <c r="H585" s="0" t="n">
        <f aca="false">RawFinancials!O585</f>
        <v>2497</v>
      </c>
      <c r="I585" s="0" t="n">
        <f aca="false">IF(AND(ISNUMBER(G585),ISNUMBER(H585)),G585+H585,"")</f>
        <v>2902</v>
      </c>
      <c r="J585" s="0" t="n">
        <f aca="false">RawFinancials!D585</f>
        <v>2703552</v>
      </c>
      <c r="K585" s="0" t="n">
        <f aca="false">RawFinancials!F585</f>
        <v>227931</v>
      </c>
      <c r="L585" s="0" t="n">
        <f aca="false">RawFinancials!L585</f>
        <v>2307253</v>
      </c>
      <c r="M585" s="0" t="n">
        <f aca="false">RawFinancials!N585</f>
        <v>1810714</v>
      </c>
      <c r="N585" s="13" t="n">
        <f aca="false">RawFinancials!X585</f>
        <v>0.912442159618479</v>
      </c>
      <c r="O585" s="13" t="n">
        <f aca="false">RawFinancials!V585</f>
        <v>13.0554366502324</v>
      </c>
      <c r="P585" s="13" t="n">
        <f aca="false">IF(AND(ISNUMBER(L585),L585&lt;&gt;0,ISNUMBER(M585)),100*M585/L585,"")</f>
        <v>78.4792131595451</v>
      </c>
      <c r="Q585" s="13" t="n">
        <f aca="false">IF(AND(ISNUMBER(F585),F585&lt;&gt;0,ISNUMBER(K585)),100*K585/F585,"")</f>
        <v>7.3353133947648</v>
      </c>
      <c r="R585" s="11" t="b">
        <f aca="false">AND(ISNUMBER(F585),F585&gt;0,ISNUMBER(G585),G585&gt;=0,ISNUMBER(H585),H585&gt;=0)</f>
        <v>1</v>
      </c>
      <c r="S585" s="13" t="n">
        <f aca="false">IF(R585,100*I585/F585,"")</f>
        <v>0.0933926472116888</v>
      </c>
      <c r="T585" s="11" t="b">
        <f aca="false">NOT(AND(OR(AND(ISBLANK(RawFinancials!B585),ISBLANK(_RawBaseline!B582)),AND(ISNUMBER(RawFinancials!B585),ISNUMBER(_RawBaseline!B582),RawFinancials!B585=_RawBaseline!B582)),OR(AND(ISBLANK(RawFinancials!U585),ISBLANK(_RawBaseline!U582)),AND(ISNUMBER(RawFinancials!U585),ISNUMBER(_RawBaseline!U582),RawFinancials!U585=_RawBaseline!U582)),OR(AND(ISBLANK(RawFinancials!O585),ISBLANK(_RawBaseline!O582)),AND(ISNUMBER(RawFinancials!O585),ISNUMBER(_RawBaseline!O582),RawFinancials!O585=_RawBaseline!O582))))</f>
        <v>0</v>
      </c>
      <c r="U585" s="13" t="n">
        <f aca="false">IF(AND(D585=WF_START_PERIOD,R585,COUNTIFS($B$5:$B$750,B585,$D$5:$D$750,WF_END_PERIOD,$R$5:$R$750,TRUE())&gt;0),SUMIFS($S$5:$S$750,$B$5:$B$750,B585,$D$5:$D$750,WF_END_PERIOD,$R$5:$R$750,TRUE()),0)</f>
        <v>0</v>
      </c>
      <c r="V585" s="0" t="str">
        <f aca="false">IF(AND(D585=WF_START_PERIOD,COUNTIFS($B$5:$B$750,B585,$D$5:$D$750,WF_END_PERIOD)&gt;0),INDEX($E$5:$E$750,MATCH(B585&amp;"|"&amp;WF_END_PERIOD,$AC$5:$AC$750,0)),"")</f>
        <v/>
      </c>
      <c r="W585" s="11" t="b">
        <f aca="false">COUNTIFS($B$5:$B$750,B585,$D$5:$D$750,WF_START_PERIOD,$R$5:$R$750,TRUE())&gt;0</f>
        <v>1</v>
      </c>
      <c r="X585" s="11" t="b">
        <f aca="false">COUNTIFS($B$5:$B$750,B585,$D$5:$D$750,WF_END_PERIOD,$R$5:$R$750,TRUE())&gt;0</f>
        <v>1</v>
      </c>
      <c r="Y585" s="0" t="str">
        <f aca="false">IF(AND(D585=WF_END_PERIOD,COUNTIFS($B$5:$B$750,B585,$D$5:$D$750,WF_START_PERIOD)&gt;0),INDEX($E$5:$E$750,MATCH(B585&amp;"|"&amp;WF_START_PERIOD,$AC$5:$AC$750,0)),"")</f>
        <v/>
      </c>
      <c r="Z585" s="0" t="str">
        <f aca="false">IF(AND(D585=WF_END_PERIOD,R585),1+COUNTIFS($D$5:$D$750,WF_END_PERIOD,$E$5:$E$750,E585,$R$5:$R$750,TRUE(),$S$5:$S$750,"&gt;"&amp;S585)+COUNTIFS($D$5:$D$750,WF_END_PERIOD,$E$5:$E$750,E585,$R$5:$R$750,TRUE(),$S$5:$S$750,S585,$B$5:$B$750,"&lt;"&amp;B585),"")</f>
        <v/>
      </c>
      <c r="AA585" s="0" t="str">
        <f aca="false">IF(AND(D585=WF_END_PERIOD,R585,Z585&lt;&gt;1),1+COUNTIFS($D$5:$D$750,WF_END_PERIOD,$R$5:$R$750,TRUE(),$Z$5:$Z$750,"&lt;&gt;1",$S$5:$S$750,"&gt;"&amp;S585)+COUNTIFS($D$5:$D$750,WF_END_PERIOD,$R$5:$R$750,TRUE(),$Z$5:$Z$750,"&lt;&gt;1",$S$5:$S$750,S585,$B$5:$B$750,"&lt;"&amp;B585),"")</f>
        <v/>
      </c>
      <c r="AB585" s="11" t="b">
        <f aca="false">OR(D585=WF_START_PERIOD,D585=WF_END_PERIOD)</f>
        <v>0</v>
      </c>
      <c r="AC585" s="0" t="str">
        <f aca="false">B585&amp;"|"&amp;D585</f>
        <v>4256|20240930</v>
      </c>
    </row>
    <row r="586" customFormat="false" ht="15" hidden="false" customHeight="false" outlineLevel="0" collapsed="false">
      <c r="A586" s="0" t="n">
        <f aca="false">RawFinancials!A586</f>
        <v>583</v>
      </c>
      <c r="B586" s="0" t="n">
        <f aca="false">RawFinancials!C586</f>
        <v>59086</v>
      </c>
      <c r="C586" s="0" t="str">
        <f aca="false">RawFinancials!P586</f>
        <v>PRIMARY BANK</v>
      </c>
      <c r="D586" s="0" t="n">
        <f aca="false">RawFinancials!W586</f>
        <v>20240930</v>
      </c>
      <c r="E586" s="0" t="str">
        <f aca="false">RawFinancials!Z586</f>
        <v>NH</v>
      </c>
      <c r="F586" s="0" t="n">
        <f aca="false">RawFinancials!B586</f>
        <v>716744</v>
      </c>
      <c r="G586" s="0" t="n">
        <f aca="false">RawFinancials!U586</f>
        <v>6307</v>
      </c>
      <c r="H586" s="0" t="n">
        <f aca="false">RawFinancials!O586</f>
        <v>3521</v>
      </c>
      <c r="I586" s="0" t="n">
        <f aca="false">IF(AND(ISNUMBER(G586),ISNUMBER(H586)),G586+H586,"")</f>
        <v>9828</v>
      </c>
      <c r="J586" s="0" t="n">
        <f aca="false">RawFinancials!D586</f>
        <v>614764</v>
      </c>
      <c r="K586" s="0" t="n">
        <f aca="false">RawFinancials!F586</f>
        <v>96571</v>
      </c>
      <c r="L586" s="0" t="n">
        <f aca="false">RawFinancials!L586</f>
        <v>599117</v>
      </c>
      <c r="M586" s="0" t="n">
        <f aca="false">RawFinancials!N586</f>
        <v>474334</v>
      </c>
      <c r="N586" s="13" t="n">
        <f aca="false">RawFinancials!X586</f>
        <v>1.44425252021969</v>
      </c>
      <c r="O586" s="13" t="n">
        <f aca="false">RawFinancials!V586</f>
        <v>16.0439870513234</v>
      </c>
      <c r="P586" s="13" t="n">
        <f aca="false">IF(AND(ISNUMBER(L586),L586&lt;&gt;0,ISNUMBER(M586)),100*M586/L586,"")</f>
        <v>79.1721817274422</v>
      </c>
      <c r="Q586" s="13" t="n">
        <f aca="false">IF(AND(ISNUMBER(F586),F586&lt;&gt;0,ISNUMBER(K586)),100*K586/F586,"")</f>
        <v>13.473569363678</v>
      </c>
      <c r="R586" s="11" t="b">
        <f aca="false">AND(ISNUMBER(F586),F586&gt;0,ISNUMBER(G586),G586&gt;=0,ISNUMBER(H586),H586&gt;=0)</f>
        <v>1</v>
      </c>
      <c r="S586" s="13" t="n">
        <f aca="false">IF(R586,100*I586/F586,"")</f>
        <v>1.37120087506836</v>
      </c>
      <c r="T586" s="11" t="b">
        <f aca="false">NOT(AND(OR(AND(ISBLANK(RawFinancials!B586),ISBLANK(_RawBaseline!B583)),AND(ISNUMBER(RawFinancials!B586),ISNUMBER(_RawBaseline!B583),RawFinancials!B586=_RawBaseline!B583)),OR(AND(ISBLANK(RawFinancials!U586),ISBLANK(_RawBaseline!U583)),AND(ISNUMBER(RawFinancials!U586),ISNUMBER(_RawBaseline!U583),RawFinancials!U586=_RawBaseline!U583)),OR(AND(ISBLANK(RawFinancials!O586),ISBLANK(_RawBaseline!O583)),AND(ISNUMBER(RawFinancials!O586),ISNUMBER(_RawBaseline!O583),RawFinancials!O586=_RawBaseline!O583))))</f>
        <v>0</v>
      </c>
      <c r="U586" s="13" t="n">
        <f aca="false">IF(AND(D586=WF_START_PERIOD,R586,COUNTIFS($B$5:$B$750,B586,$D$5:$D$750,WF_END_PERIOD,$R$5:$R$750,TRUE())&gt;0),SUMIFS($S$5:$S$750,$B$5:$B$750,B586,$D$5:$D$750,WF_END_PERIOD,$R$5:$R$750,TRUE()),0)</f>
        <v>0</v>
      </c>
      <c r="V586" s="0" t="str">
        <f aca="false">IF(AND(D586=WF_START_PERIOD,COUNTIFS($B$5:$B$750,B586,$D$5:$D$750,WF_END_PERIOD)&gt;0),INDEX($E$5:$E$750,MATCH(B586&amp;"|"&amp;WF_END_PERIOD,$AC$5:$AC$750,0)),"")</f>
        <v/>
      </c>
      <c r="W586" s="11" t="b">
        <f aca="false">COUNTIFS($B$5:$B$750,B586,$D$5:$D$750,WF_START_PERIOD,$R$5:$R$750,TRUE())&gt;0</f>
        <v>1</v>
      </c>
      <c r="X586" s="11" t="b">
        <f aca="false">COUNTIFS($B$5:$B$750,B586,$D$5:$D$750,WF_END_PERIOD,$R$5:$R$750,TRUE())&gt;0</f>
        <v>1</v>
      </c>
      <c r="Y586" s="0" t="str">
        <f aca="false">IF(AND(D586=WF_END_PERIOD,COUNTIFS($B$5:$B$750,B586,$D$5:$D$750,WF_START_PERIOD)&gt;0),INDEX($E$5:$E$750,MATCH(B586&amp;"|"&amp;WF_START_PERIOD,$AC$5:$AC$750,0)),"")</f>
        <v/>
      </c>
      <c r="Z586" s="0" t="str">
        <f aca="false">IF(AND(D586=WF_END_PERIOD,R586),1+COUNTIFS($D$5:$D$750,WF_END_PERIOD,$E$5:$E$750,E586,$R$5:$R$750,TRUE(),$S$5:$S$750,"&gt;"&amp;S586)+COUNTIFS($D$5:$D$750,WF_END_PERIOD,$E$5:$E$750,E586,$R$5:$R$750,TRUE(),$S$5:$S$750,S586,$B$5:$B$750,"&lt;"&amp;B586),"")</f>
        <v/>
      </c>
      <c r="AA586" s="0" t="str">
        <f aca="false">IF(AND(D586=WF_END_PERIOD,R586,Z586&lt;&gt;1),1+COUNTIFS($D$5:$D$750,WF_END_PERIOD,$R$5:$R$750,TRUE(),$Z$5:$Z$750,"&lt;&gt;1",$S$5:$S$750,"&gt;"&amp;S586)+COUNTIFS($D$5:$D$750,WF_END_PERIOD,$R$5:$R$750,TRUE(),$Z$5:$Z$750,"&lt;&gt;1",$S$5:$S$750,S586,$B$5:$B$750,"&lt;"&amp;B586),"")</f>
        <v/>
      </c>
      <c r="AB586" s="11" t="b">
        <f aca="false">OR(D586=WF_START_PERIOD,D586=WF_END_PERIOD)</f>
        <v>0</v>
      </c>
      <c r="AC586" s="0" t="str">
        <f aca="false">B586&amp;"|"&amp;D586</f>
        <v>59086|20240930</v>
      </c>
    </row>
    <row r="587" customFormat="false" ht="15" hidden="false" customHeight="false" outlineLevel="0" collapsed="false">
      <c r="A587" s="0" t="n">
        <f aca="false">RawFinancials!A587</f>
        <v>584</v>
      </c>
      <c r="B587" s="0" t="n">
        <f aca="false">RawFinancials!C587</f>
        <v>59176</v>
      </c>
      <c r="C587" s="0" t="str">
        <f aca="false">RawFinancials!P587</f>
        <v>THE MILLYARD BANK</v>
      </c>
      <c r="D587" s="0" t="n">
        <f aca="false">RawFinancials!W587</f>
        <v>20240930</v>
      </c>
      <c r="E587" s="0" t="str">
        <f aca="false">RawFinancials!Z587</f>
        <v>NH</v>
      </c>
      <c r="F587" s="0" t="n">
        <f aca="false">RawFinancials!B587</f>
        <v>228046</v>
      </c>
      <c r="G587" s="0" t="n">
        <f aca="false">RawFinancials!U587</f>
        <v>0</v>
      </c>
      <c r="H587" s="0" t="n">
        <f aca="false">RawFinancials!O587</f>
        <v>0</v>
      </c>
      <c r="I587" s="0" t="n">
        <f aca="false">IF(AND(ISNUMBER(G587),ISNUMBER(H587)),G587+H587,"")</f>
        <v>0</v>
      </c>
      <c r="J587" s="0" t="n">
        <f aca="false">RawFinancials!D587</f>
        <v>192544</v>
      </c>
      <c r="K587" s="0" t="n">
        <f aca="false">RawFinancials!F587</f>
        <v>27016</v>
      </c>
      <c r="L587" s="0" t="n">
        <f aca="false">RawFinancials!L587</f>
        <v>169029</v>
      </c>
      <c r="M587" s="0" t="n">
        <f aca="false">RawFinancials!N587</f>
        <v>146756</v>
      </c>
      <c r="N587" s="13" t="n">
        <f aca="false">RawFinancials!X587</f>
        <v>0.0476526211412943</v>
      </c>
      <c r="O587" s="13" t="n">
        <f aca="false">RawFinancials!V587</f>
        <v>0</v>
      </c>
      <c r="P587" s="13" t="n">
        <f aca="false">IF(AND(ISNUMBER(L587),L587&lt;&gt;0,ISNUMBER(M587)),100*M587/L587,"")</f>
        <v>86.8229712061244</v>
      </c>
      <c r="Q587" s="13" t="n">
        <f aca="false">IF(AND(ISNUMBER(F587),F587&lt;&gt;0,ISNUMBER(K587)),100*K587/F587,"")</f>
        <v>11.8467326767407</v>
      </c>
      <c r="R587" s="11" t="b">
        <f aca="false">AND(ISNUMBER(F587),F587&gt;0,ISNUMBER(G587),G587&gt;=0,ISNUMBER(H587),H587&gt;=0)</f>
        <v>1</v>
      </c>
      <c r="S587" s="13" t="n">
        <f aca="false">IF(R587,100*I587/F587,"")</f>
        <v>0</v>
      </c>
      <c r="T587" s="11" t="b">
        <f aca="false">NOT(AND(OR(AND(ISBLANK(RawFinancials!B587),ISBLANK(_RawBaseline!B584)),AND(ISNUMBER(RawFinancials!B587),ISNUMBER(_RawBaseline!B584),RawFinancials!B587=_RawBaseline!B584)),OR(AND(ISBLANK(RawFinancials!U587),ISBLANK(_RawBaseline!U584)),AND(ISNUMBER(RawFinancials!U587),ISNUMBER(_RawBaseline!U584),RawFinancials!U587=_RawBaseline!U584)),OR(AND(ISBLANK(RawFinancials!O587),ISBLANK(_RawBaseline!O584)),AND(ISNUMBER(RawFinancials!O587),ISNUMBER(_RawBaseline!O584),RawFinancials!O587=_RawBaseline!O584))))</f>
        <v>0</v>
      </c>
      <c r="U587" s="13" t="n">
        <f aca="false">IF(AND(D587=WF_START_PERIOD,R587,COUNTIFS($B$5:$B$750,B587,$D$5:$D$750,WF_END_PERIOD,$R$5:$R$750,TRUE())&gt;0),SUMIFS($S$5:$S$750,$B$5:$B$750,B587,$D$5:$D$750,WF_END_PERIOD,$R$5:$R$750,TRUE()),0)</f>
        <v>0</v>
      </c>
      <c r="V587" s="0" t="str">
        <f aca="false">IF(AND(D587=WF_START_PERIOD,COUNTIFS($B$5:$B$750,B587,$D$5:$D$750,WF_END_PERIOD)&gt;0),INDEX($E$5:$E$750,MATCH(B587&amp;"|"&amp;WF_END_PERIOD,$AC$5:$AC$750,0)),"")</f>
        <v/>
      </c>
      <c r="W587" s="11" t="b">
        <f aca="false">COUNTIFS($B$5:$B$750,B587,$D$5:$D$750,WF_START_PERIOD,$R$5:$R$750,TRUE())&gt;0</f>
        <v>1</v>
      </c>
      <c r="X587" s="11" t="b">
        <f aca="false">COUNTIFS($B$5:$B$750,B587,$D$5:$D$750,WF_END_PERIOD,$R$5:$R$750,TRUE())&gt;0</f>
        <v>1</v>
      </c>
      <c r="Y587" s="0" t="str">
        <f aca="false">IF(AND(D587=WF_END_PERIOD,COUNTIFS($B$5:$B$750,B587,$D$5:$D$750,WF_START_PERIOD)&gt;0),INDEX($E$5:$E$750,MATCH(B587&amp;"|"&amp;WF_START_PERIOD,$AC$5:$AC$750,0)),"")</f>
        <v/>
      </c>
      <c r="Z587" s="0" t="str">
        <f aca="false">IF(AND(D587=WF_END_PERIOD,R587),1+COUNTIFS($D$5:$D$750,WF_END_PERIOD,$E$5:$E$750,E587,$R$5:$R$750,TRUE(),$S$5:$S$750,"&gt;"&amp;S587)+COUNTIFS($D$5:$D$750,WF_END_PERIOD,$E$5:$E$750,E587,$R$5:$R$750,TRUE(),$S$5:$S$750,S587,$B$5:$B$750,"&lt;"&amp;B587),"")</f>
        <v/>
      </c>
      <c r="AA587" s="0" t="str">
        <f aca="false">IF(AND(D587=WF_END_PERIOD,R587,Z587&lt;&gt;1),1+COUNTIFS($D$5:$D$750,WF_END_PERIOD,$R$5:$R$750,TRUE(),$Z$5:$Z$750,"&lt;&gt;1",$S$5:$S$750,"&gt;"&amp;S587)+COUNTIFS($D$5:$D$750,WF_END_PERIOD,$R$5:$R$750,TRUE(),$Z$5:$Z$750,"&lt;&gt;1",$S$5:$S$750,S587,$B$5:$B$750,"&lt;"&amp;B587),"")</f>
        <v/>
      </c>
      <c r="AB587" s="11" t="b">
        <f aca="false">OR(D587=WF_START_PERIOD,D587=WF_END_PERIOD)</f>
        <v>0</v>
      </c>
      <c r="AC587" s="0" t="str">
        <f aca="false">B587&amp;"|"&amp;D587</f>
        <v>59176|20240930</v>
      </c>
    </row>
    <row r="588" customFormat="false" ht="15" hidden="false" customHeight="false" outlineLevel="0" collapsed="false">
      <c r="A588" s="0" t="n">
        <f aca="false">RawFinancials!A588</f>
        <v>585</v>
      </c>
      <c r="B588" s="0" t="n">
        <f aca="false">RawFinancials!C588</f>
        <v>59289</v>
      </c>
      <c r="C588" s="0" t="str">
        <f aca="false">RawFinancials!P588</f>
        <v>WALDEN MUTUAL BANK</v>
      </c>
      <c r="D588" s="0" t="n">
        <f aca="false">RawFinancials!W588</f>
        <v>20240930</v>
      </c>
      <c r="E588" s="0" t="str">
        <f aca="false">RawFinancials!Z588</f>
        <v>NH</v>
      </c>
      <c r="F588" s="0" t="n">
        <f aca="false">RawFinancials!B588</f>
        <v>120497</v>
      </c>
      <c r="G588" s="0" t="n">
        <f aca="false">RawFinancials!U588</f>
        <v>0</v>
      </c>
      <c r="H588" s="0" t="n">
        <f aca="false">RawFinancials!O588</f>
        <v>4832</v>
      </c>
      <c r="I588" s="0" t="n">
        <f aca="false">IF(AND(ISNUMBER(G588),ISNUMBER(H588)),G588+H588,"")</f>
        <v>4832</v>
      </c>
      <c r="J588" s="0" t="n">
        <f aca="false">RawFinancials!D588</f>
        <v>102833</v>
      </c>
      <c r="K588" s="0" t="n">
        <f aca="false">RawFinancials!F588</f>
        <v>16578</v>
      </c>
      <c r="L588" s="0" t="n">
        <f aca="false">RawFinancials!L588</f>
        <v>73232</v>
      </c>
      <c r="M588" s="0" t="n">
        <f aca="false">RawFinancials!N588</f>
        <v>31000</v>
      </c>
      <c r="N588" s="13" t="n">
        <f aca="false">RawFinancials!X588</f>
        <v>-3.55028579942775</v>
      </c>
      <c r="O588" s="13" t="n">
        <f aca="false">RawFinancials!V588</f>
        <v>0</v>
      </c>
      <c r="P588" s="13" t="n">
        <f aca="false">IF(AND(ISNUMBER(L588),L588&lt;&gt;0,ISNUMBER(M588)),100*M588/L588,"")</f>
        <v>42.3312213240114</v>
      </c>
      <c r="Q588" s="13" t="n">
        <f aca="false">IF(AND(ISNUMBER(F588),F588&lt;&gt;0,ISNUMBER(K588)),100*K588/F588,"")</f>
        <v>13.7580188718391</v>
      </c>
      <c r="R588" s="11" t="b">
        <f aca="false">AND(ISNUMBER(F588),F588&gt;0,ISNUMBER(G588),G588&gt;=0,ISNUMBER(H588),H588&gt;=0)</f>
        <v>1</v>
      </c>
      <c r="S588" s="13" t="n">
        <f aca="false">IF(R588,100*I588/F588,"")</f>
        <v>4.01005834170145</v>
      </c>
      <c r="T588" s="11" t="b">
        <f aca="false">NOT(AND(OR(AND(ISBLANK(RawFinancials!B588),ISBLANK(_RawBaseline!B585)),AND(ISNUMBER(RawFinancials!B588),ISNUMBER(_RawBaseline!B585),RawFinancials!B588=_RawBaseline!B585)),OR(AND(ISBLANK(RawFinancials!U588),ISBLANK(_RawBaseline!U585)),AND(ISNUMBER(RawFinancials!U588),ISNUMBER(_RawBaseline!U585),RawFinancials!U588=_RawBaseline!U585)),OR(AND(ISBLANK(RawFinancials!O588),ISBLANK(_RawBaseline!O585)),AND(ISNUMBER(RawFinancials!O588),ISNUMBER(_RawBaseline!O585),RawFinancials!O588=_RawBaseline!O585))))</f>
        <v>0</v>
      </c>
      <c r="U588" s="13" t="n">
        <f aca="false">IF(AND(D588=WF_START_PERIOD,R588,COUNTIFS($B$5:$B$750,B588,$D$5:$D$750,WF_END_PERIOD,$R$5:$R$750,TRUE())&gt;0),SUMIFS($S$5:$S$750,$B$5:$B$750,B588,$D$5:$D$750,WF_END_PERIOD,$R$5:$R$750,TRUE()),0)</f>
        <v>0</v>
      </c>
      <c r="V588" s="0" t="str">
        <f aca="false">IF(AND(D588=WF_START_PERIOD,COUNTIFS($B$5:$B$750,B588,$D$5:$D$750,WF_END_PERIOD)&gt;0),INDEX($E$5:$E$750,MATCH(B588&amp;"|"&amp;WF_END_PERIOD,$AC$5:$AC$750,0)),"")</f>
        <v/>
      </c>
      <c r="W588" s="11" t="b">
        <f aca="false">COUNTIFS($B$5:$B$750,B588,$D$5:$D$750,WF_START_PERIOD,$R$5:$R$750,TRUE())&gt;0</f>
        <v>1</v>
      </c>
      <c r="X588" s="11" t="b">
        <f aca="false">COUNTIFS($B$5:$B$750,B588,$D$5:$D$750,WF_END_PERIOD,$R$5:$R$750,TRUE())&gt;0</f>
        <v>1</v>
      </c>
      <c r="Y588" s="0" t="str">
        <f aca="false">IF(AND(D588=WF_END_PERIOD,COUNTIFS($B$5:$B$750,B588,$D$5:$D$750,WF_START_PERIOD)&gt;0),INDEX($E$5:$E$750,MATCH(B588&amp;"|"&amp;WF_START_PERIOD,$AC$5:$AC$750,0)),"")</f>
        <v/>
      </c>
      <c r="Z588" s="0" t="str">
        <f aca="false">IF(AND(D588=WF_END_PERIOD,R588),1+COUNTIFS($D$5:$D$750,WF_END_PERIOD,$E$5:$E$750,E588,$R$5:$R$750,TRUE(),$S$5:$S$750,"&gt;"&amp;S588)+COUNTIFS($D$5:$D$750,WF_END_PERIOD,$E$5:$E$750,E588,$R$5:$R$750,TRUE(),$S$5:$S$750,S588,$B$5:$B$750,"&lt;"&amp;B588),"")</f>
        <v/>
      </c>
      <c r="AA588" s="0" t="str">
        <f aca="false">IF(AND(D588=WF_END_PERIOD,R588,Z588&lt;&gt;1),1+COUNTIFS($D$5:$D$750,WF_END_PERIOD,$R$5:$R$750,TRUE(),$Z$5:$Z$750,"&lt;&gt;1",$S$5:$S$750,"&gt;"&amp;S588)+COUNTIFS($D$5:$D$750,WF_END_PERIOD,$R$5:$R$750,TRUE(),$Z$5:$Z$750,"&lt;&gt;1",$S$5:$S$750,S588,$B$5:$B$750,"&lt;"&amp;B588),"")</f>
        <v/>
      </c>
      <c r="AB588" s="11" t="b">
        <f aca="false">OR(D588=WF_START_PERIOD,D588=WF_END_PERIOD)</f>
        <v>0</v>
      </c>
      <c r="AC588" s="0" t="str">
        <f aca="false">B588&amp;"|"&amp;D588</f>
        <v>59289|20240930</v>
      </c>
    </row>
    <row r="589" customFormat="false" ht="15" hidden="false" customHeight="false" outlineLevel="0" collapsed="false">
      <c r="A589" s="0" t="n">
        <f aca="false">RawFinancials!A589</f>
        <v>586</v>
      </c>
      <c r="B589" s="0" t="n">
        <f aca="false">RawFinancials!C589</f>
        <v>59298</v>
      </c>
      <c r="C589" s="0" t="str">
        <f aca="false">RawFinancials!P589</f>
        <v>BANK OF BURLINGTON</v>
      </c>
      <c r="D589" s="0" t="n">
        <f aca="false">RawFinancials!W589</f>
        <v>20240930</v>
      </c>
      <c r="E589" s="0" t="str">
        <f aca="false">RawFinancials!Z589</f>
        <v>VT</v>
      </c>
      <c r="F589" s="0" t="n">
        <f aca="false">RawFinancials!B589</f>
        <v>257839</v>
      </c>
      <c r="G589" s="0" t="n">
        <f aca="false">RawFinancials!U589</f>
        <v>0</v>
      </c>
      <c r="H589" s="0" t="n">
        <f aca="false">RawFinancials!O589</f>
        <v>0</v>
      </c>
      <c r="I589" s="0" t="n">
        <f aca="false">IF(AND(ISNUMBER(G589),ISNUMBER(H589)),G589+H589,"")</f>
        <v>0</v>
      </c>
      <c r="J589" s="0" t="n">
        <f aca="false">RawFinancials!D589</f>
        <v>230108</v>
      </c>
      <c r="K589" s="0" t="n">
        <f aca="false">RawFinancials!F589</f>
        <v>26808</v>
      </c>
      <c r="L589" s="0" t="n">
        <f aca="false">RawFinancials!L589</f>
        <v>111891</v>
      </c>
      <c r="M589" s="0" t="n">
        <f aca="false">RawFinancials!N589</f>
        <v>88153</v>
      </c>
      <c r="N589" s="13" t="n">
        <f aca="false">RawFinancials!X589</f>
        <v>-1.04704613103554</v>
      </c>
      <c r="O589" s="13" t="n">
        <f aca="false">RawFinancials!V589</f>
        <v>0</v>
      </c>
      <c r="P589" s="13" t="n">
        <f aca="false">IF(AND(ISNUMBER(L589),L589&lt;&gt;0,ISNUMBER(M589)),100*M589/L589,"")</f>
        <v>78.78471011967</v>
      </c>
      <c r="Q589" s="13" t="n">
        <f aca="false">IF(AND(ISNUMBER(F589),F589&lt;&gt;0,ISNUMBER(K589)),100*K589/F589,"")</f>
        <v>10.3971858407766</v>
      </c>
      <c r="R589" s="11" t="b">
        <f aca="false">AND(ISNUMBER(F589),F589&gt;0,ISNUMBER(G589),G589&gt;=0,ISNUMBER(H589),H589&gt;=0)</f>
        <v>1</v>
      </c>
      <c r="S589" s="13" t="n">
        <f aca="false">IF(R589,100*I589/F589,"")</f>
        <v>0</v>
      </c>
      <c r="T589" s="11" t="b">
        <f aca="false">NOT(AND(OR(AND(ISBLANK(RawFinancials!B589),ISBLANK(_RawBaseline!B586)),AND(ISNUMBER(RawFinancials!B589),ISNUMBER(_RawBaseline!B586),RawFinancials!B589=_RawBaseline!B586)),OR(AND(ISBLANK(RawFinancials!U589),ISBLANK(_RawBaseline!U586)),AND(ISNUMBER(RawFinancials!U589),ISNUMBER(_RawBaseline!U586),RawFinancials!U589=_RawBaseline!U586)),OR(AND(ISBLANK(RawFinancials!O589),ISBLANK(_RawBaseline!O586)),AND(ISNUMBER(RawFinancials!O589),ISNUMBER(_RawBaseline!O586),RawFinancials!O589=_RawBaseline!O586))))</f>
        <v>0</v>
      </c>
      <c r="U589" s="13" t="n">
        <f aca="false">IF(AND(D589=WF_START_PERIOD,R589,COUNTIFS($B$5:$B$750,B589,$D$5:$D$750,WF_END_PERIOD,$R$5:$R$750,TRUE())&gt;0),SUMIFS($S$5:$S$750,$B$5:$B$750,B589,$D$5:$D$750,WF_END_PERIOD,$R$5:$R$750,TRUE()),0)</f>
        <v>0</v>
      </c>
      <c r="V589" s="0" t="str">
        <f aca="false">IF(AND(D589=WF_START_PERIOD,COUNTIFS($B$5:$B$750,B589,$D$5:$D$750,WF_END_PERIOD)&gt;0),INDEX($E$5:$E$750,MATCH(B589&amp;"|"&amp;WF_END_PERIOD,$AC$5:$AC$750,0)),"")</f>
        <v/>
      </c>
      <c r="W589" s="11" t="b">
        <f aca="false">COUNTIFS($B$5:$B$750,B589,$D$5:$D$750,WF_START_PERIOD,$R$5:$R$750,TRUE())&gt;0</f>
        <v>1</v>
      </c>
      <c r="X589" s="11" t="b">
        <f aca="false">COUNTIFS($B$5:$B$750,B589,$D$5:$D$750,WF_END_PERIOD,$R$5:$R$750,TRUE())&gt;0</f>
        <v>1</v>
      </c>
      <c r="Y589" s="0" t="str">
        <f aca="false">IF(AND(D589=WF_END_PERIOD,COUNTIFS($B$5:$B$750,B589,$D$5:$D$750,WF_START_PERIOD)&gt;0),INDEX($E$5:$E$750,MATCH(B589&amp;"|"&amp;WF_START_PERIOD,$AC$5:$AC$750,0)),"")</f>
        <v/>
      </c>
      <c r="Z589" s="0" t="str">
        <f aca="false">IF(AND(D589=WF_END_PERIOD,R589),1+COUNTIFS($D$5:$D$750,WF_END_PERIOD,$E$5:$E$750,E589,$R$5:$R$750,TRUE(),$S$5:$S$750,"&gt;"&amp;S589)+COUNTIFS($D$5:$D$750,WF_END_PERIOD,$E$5:$E$750,E589,$R$5:$R$750,TRUE(),$S$5:$S$750,S589,$B$5:$B$750,"&lt;"&amp;B589),"")</f>
        <v/>
      </c>
      <c r="AA589" s="0" t="str">
        <f aca="false">IF(AND(D589=WF_END_PERIOD,R589,Z589&lt;&gt;1),1+COUNTIFS($D$5:$D$750,WF_END_PERIOD,$R$5:$R$750,TRUE(),$Z$5:$Z$750,"&lt;&gt;1",$S$5:$S$750,"&gt;"&amp;S589)+COUNTIFS($D$5:$D$750,WF_END_PERIOD,$R$5:$R$750,TRUE(),$Z$5:$Z$750,"&lt;&gt;1",$S$5:$S$750,S589,$B$5:$B$750,"&lt;"&amp;B589),"")</f>
        <v/>
      </c>
      <c r="AB589" s="11" t="b">
        <f aca="false">OR(D589=WF_START_PERIOD,D589=WF_END_PERIOD)</f>
        <v>0</v>
      </c>
      <c r="AC589" s="0" t="str">
        <f aca="false">B589&amp;"|"&amp;D589</f>
        <v>59298|20240930</v>
      </c>
    </row>
    <row r="590" customFormat="false" ht="15" hidden="false" customHeight="false" outlineLevel="0" collapsed="false">
      <c r="A590" s="0" t="n">
        <f aca="false">RawFinancials!A590</f>
        <v>587</v>
      </c>
      <c r="B590" s="0" t="n">
        <f aca="false">RawFinancials!C590</f>
        <v>6271</v>
      </c>
      <c r="C590" s="0" t="str">
        <f aca="false">RawFinancials!P590</f>
        <v>COMMUNITY NATIONAL BANK</v>
      </c>
      <c r="D590" s="0" t="n">
        <f aca="false">RawFinancials!W590</f>
        <v>20240930</v>
      </c>
      <c r="E590" s="0" t="str">
        <f aca="false">RawFinancials!Z590</f>
        <v>VT</v>
      </c>
      <c r="F590" s="0" t="n">
        <f aca="false">RawFinancials!B590</f>
        <v>1176660</v>
      </c>
      <c r="G590" s="0" t="n">
        <f aca="false">RawFinancials!U590</f>
        <v>873</v>
      </c>
      <c r="H590" s="0" t="n">
        <f aca="false">RawFinancials!O590</f>
        <v>4487</v>
      </c>
      <c r="I590" s="0" t="n">
        <f aca="false">IF(AND(ISNUMBER(G590),ISNUMBER(H590)),G590+H590,"")</f>
        <v>5360</v>
      </c>
      <c r="J590" s="0" t="n">
        <f aca="false">RawFinancials!D590</f>
        <v>930724</v>
      </c>
      <c r="K590" s="0" t="n">
        <f aca="false">RawFinancials!F590</f>
        <v>110390</v>
      </c>
      <c r="L590" s="0" t="n">
        <f aca="false">RawFinancials!L590</f>
        <v>913349</v>
      </c>
      <c r="M590" s="0" t="n">
        <f aca="false">RawFinancials!N590</f>
        <v>709642</v>
      </c>
      <c r="N590" s="13" t="n">
        <f aca="false">RawFinancials!X590</f>
        <v>1.13807452468225</v>
      </c>
      <c r="O590" s="13" t="n">
        <f aca="false">RawFinancials!V590</f>
        <v>14.7664225949049</v>
      </c>
      <c r="P590" s="13" t="n">
        <f aca="false">IF(AND(ISNUMBER(L590),L590&lt;&gt;0,ISNUMBER(M590)),100*M590/L590,"")</f>
        <v>77.6966964435282</v>
      </c>
      <c r="Q590" s="13" t="n">
        <f aca="false">IF(AND(ISNUMBER(F590),F590&lt;&gt;0,ISNUMBER(K590)),100*K590/F590,"")</f>
        <v>9.38163955603148</v>
      </c>
      <c r="R590" s="11" t="b">
        <f aca="false">AND(ISNUMBER(F590),F590&gt;0,ISNUMBER(G590),G590&gt;=0,ISNUMBER(H590),H590&gt;=0)</f>
        <v>1</v>
      </c>
      <c r="S590" s="13" t="n">
        <f aca="false">IF(R590,100*I590/F590,"")</f>
        <v>0.455526660207707</v>
      </c>
      <c r="T590" s="11" t="b">
        <f aca="false">NOT(AND(OR(AND(ISBLANK(RawFinancials!B590),ISBLANK(_RawBaseline!B587)),AND(ISNUMBER(RawFinancials!B590),ISNUMBER(_RawBaseline!B587),RawFinancials!B590=_RawBaseline!B587)),OR(AND(ISBLANK(RawFinancials!U590),ISBLANK(_RawBaseline!U587)),AND(ISNUMBER(RawFinancials!U590),ISNUMBER(_RawBaseline!U587),RawFinancials!U590=_RawBaseline!U587)),OR(AND(ISBLANK(RawFinancials!O590),ISBLANK(_RawBaseline!O587)),AND(ISNUMBER(RawFinancials!O590),ISNUMBER(_RawBaseline!O587),RawFinancials!O590=_RawBaseline!O587))))</f>
        <v>0</v>
      </c>
      <c r="U590" s="13" t="n">
        <f aca="false">IF(AND(D590=WF_START_PERIOD,R590,COUNTIFS($B$5:$B$750,B590,$D$5:$D$750,WF_END_PERIOD,$R$5:$R$750,TRUE())&gt;0),SUMIFS($S$5:$S$750,$B$5:$B$750,B590,$D$5:$D$750,WF_END_PERIOD,$R$5:$R$750,TRUE()),0)</f>
        <v>0</v>
      </c>
      <c r="V590" s="0" t="str">
        <f aca="false">IF(AND(D590=WF_START_PERIOD,COUNTIFS($B$5:$B$750,B590,$D$5:$D$750,WF_END_PERIOD)&gt;0),INDEX($E$5:$E$750,MATCH(B590&amp;"|"&amp;WF_END_PERIOD,$AC$5:$AC$750,0)),"")</f>
        <v/>
      </c>
      <c r="W590" s="11" t="b">
        <f aca="false">COUNTIFS($B$5:$B$750,B590,$D$5:$D$750,WF_START_PERIOD,$R$5:$R$750,TRUE())&gt;0</f>
        <v>1</v>
      </c>
      <c r="X590" s="11" t="b">
        <f aca="false">COUNTIFS($B$5:$B$750,B590,$D$5:$D$750,WF_END_PERIOD,$R$5:$R$750,TRUE())&gt;0</f>
        <v>1</v>
      </c>
      <c r="Y590" s="0" t="str">
        <f aca="false">IF(AND(D590=WF_END_PERIOD,COUNTIFS($B$5:$B$750,B590,$D$5:$D$750,WF_START_PERIOD)&gt;0),INDEX($E$5:$E$750,MATCH(B590&amp;"|"&amp;WF_START_PERIOD,$AC$5:$AC$750,0)),"")</f>
        <v/>
      </c>
      <c r="Z590" s="0" t="str">
        <f aca="false">IF(AND(D590=WF_END_PERIOD,R590),1+COUNTIFS($D$5:$D$750,WF_END_PERIOD,$E$5:$E$750,E590,$R$5:$R$750,TRUE(),$S$5:$S$750,"&gt;"&amp;S590)+COUNTIFS($D$5:$D$750,WF_END_PERIOD,$E$5:$E$750,E590,$R$5:$R$750,TRUE(),$S$5:$S$750,S590,$B$5:$B$750,"&lt;"&amp;B590),"")</f>
        <v/>
      </c>
      <c r="AA590" s="0" t="str">
        <f aca="false">IF(AND(D590=WF_END_PERIOD,R590,Z590&lt;&gt;1),1+COUNTIFS($D$5:$D$750,WF_END_PERIOD,$R$5:$R$750,TRUE(),$Z$5:$Z$750,"&lt;&gt;1",$S$5:$S$750,"&gt;"&amp;S590)+COUNTIFS($D$5:$D$750,WF_END_PERIOD,$R$5:$R$750,TRUE(),$Z$5:$Z$750,"&lt;&gt;1",$S$5:$S$750,S590,$B$5:$B$750,"&lt;"&amp;B590),"")</f>
        <v/>
      </c>
      <c r="AB590" s="11" t="b">
        <f aca="false">OR(D590=WF_START_PERIOD,D590=WF_END_PERIOD)</f>
        <v>0</v>
      </c>
      <c r="AC590" s="0" t="str">
        <f aca="false">B590&amp;"|"&amp;D590</f>
        <v>6271|20240930</v>
      </c>
    </row>
    <row r="591" customFormat="false" ht="15" hidden="false" customHeight="false" outlineLevel="0" collapsed="false">
      <c r="A591" s="0" t="n">
        <f aca="false">RawFinancials!A591</f>
        <v>588</v>
      </c>
      <c r="B591" s="0" t="n">
        <f aca="false">RawFinancials!C591</f>
        <v>6275</v>
      </c>
      <c r="C591" s="0" t="str">
        <f aca="false">RawFinancials!P591</f>
        <v>THE NATIONAL BANK OF MIDDLEBURY</v>
      </c>
      <c r="D591" s="0" t="n">
        <f aca="false">RawFinancials!W591</f>
        <v>20240930</v>
      </c>
      <c r="E591" s="0" t="str">
        <f aca="false">RawFinancials!Z591</f>
        <v>VT</v>
      </c>
      <c r="F591" s="0" t="n">
        <f aca="false">RawFinancials!B591</f>
        <v>558754</v>
      </c>
      <c r="G591" s="0" t="n">
        <f aca="false">RawFinancials!U591</f>
        <v>68</v>
      </c>
      <c r="H591" s="0" t="n">
        <f aca="false">RawFinancials!O591</f>
        <v>745</v>
      </c>
      <c r="I591" s="0" t="n">
        <f aca="false">IF(AND(ISNUMBER(G591),ISNUMBER(H591)),G591+H591,"")</f>
        <v>813</v>
      </c>
      <c r="J591" s="0" t="n">
        <f aca="false">RawFinancials!D591</f>
        <v>473501</v>
      </c>
      <c r="K591" s="0" t="n">
        <f aca="false">RawFinancials!F591</f>
        <v>36242</v>
      </c>
      <c r="L591" s="0" t="n">
        <f aca="false">RawFinancials!L591</f>
        <v>346673</v>
      </c>
      <c r="M591" s="0" t="n">
        <f aca="false">RawFinancials!N591</f>
        <v>288795</v>
      </c>
      <c r="N591" s="13" t="n">
        <f aca="false">RawFinancials!X591</f>
        <v>0.610514678351193</v>
      </c>
      <c r="O591" s="13" t="n">
        <f aca="false">RawFinancials!V591</f>
        <v>15.2047103929892</v>
      </c>
      <c r="P591" s="13" t="n">
        <f aca="false">IF(AND(ISNUMBER(L591),L591&lt;&gt;0,ISNUMBER(M591)),100*M591/L591,"")</f>
        <v>83.3047280866984</v>
      </c>
      <c r="Q591" s="13" t="n">
        <f aca="false">IF(AND(ISNUMBER(F591),F591&lt;&gt;0,ISNUMBER(K591)),100*K591/F591,"")</f>
        <v>6.48621754833075</v>
      </c>
      <c r="R591" s="11" t="b">
        <f aca="false">AND(ISNUMBER(F591),F591&gt;0,ISNUMBER(G591),G591&gt;=0,ISNUMBER(H591),H591&gt;=0)</f>
        <v>1</v>
      </c>
      <c r="S591" s="13" t="n">
        <f aca="false">IF(R591,100*I591/F591,"")</f>
        <v>0.145502314077394</v>
      </c>
      <c r="T591" s="11" t="b">
        <f aca="false">NOT(AND(OR(AND(ISBLANK(RawFinancials!B591),ISBLANK(_RawBaseline!B588)),AND(ISNUMBER(RawFinancials!B591),ISNUMBER(_RawBaseline!B588),RawFinancials!B591=_RawBaseline!B588)),OR(AND(ISBLANK(RawFinancials!U591),ISBLANK(_RawBaseline!U588)),AND(ISNUMBER(RawFinancials!U591),ISNUMBER(_RawBaseline!U588),RawFinancials!U591=_RawBaseline!U588)),OR(AND(ISBLANK(RawFinancials!O591),ISBLANK(_RawBaseline!O588)),AND(ISNUMBER(RawFinancials!O591),ISNUMBER(_RawBaseline!O588),RawFinancials!O591=_RawBaseline!O588))))</f>
        <v>0</v>
      </c>
      <c r="U591" s="13" t="n">
        <f aca="false">IF(AND(D591=WF_START_PERIOD,R591,COUNTIFS($B$5:$B$750,B591,$D$5:$D$750,WF_END_PERIOD,$R$5:$R$750,TRUE())&gt;0),SUMIFS($S$5:$S$750,$B$5:$B$750,B591,$D$5:$D$750,WF_END_PERIOD,$R$5:$R$750,TRUE()),0)</f>
        <v>0</v>
      </c>
      <c r="V591" s="0" t="str">
        <f aca="false">IF(AND(D591=WF_START_PERIOD,COUNTIFS($B$5:$B$750,B591,$D$5:$D$750,WF_END_PERIOD)&gt;0),INDEX($E$5:$E$750,MATCH(B591&amp;"|"&amp;WF_END_PERIOD,$AC$5:$AC$750,0)),"")</f>
        <v/>
      </c>
      <c r="W591" s="11" t="b">
        <f aca="false">COUNTIFS($B$5:$B$750,B591,$D$5:$D$750,WF_START_PERIOD,$R$5:$R$750,TRUE())&gt;0</f>
        <v>1</v>
      </c>
      <c r="X591" s="11" t="b">
        <f aca="false">COUNTIFS($B$5:$B$750,B591,$D$5:$D$750,WF_END_PERIOD,$R$5:$R$750,TRUE())&gt;0</f>
        <v>1</v>
      </c>
      <c r="Y591" s="0" t="str">
        <f aca="false">IF(AND(D591=WF_END_PERIOD,COUNTIFS($B$5:$B$750,B591,$D$5:$D$750,WF_START_PERIOD)&gt;0),INDEX($E$5:$E$750,MATCH(B591&amp;"|"&amp;WF_START_PERIOD,$AC$5:$AC$750,0)),"")</f>
        <v/>
      </c>
      <c r="Z591" s="0" t="str">
        <f aca="false">IF(AND(D591=WF_END_PERIOD,R591),1+COUNTIFS($D$5:$D$750,WF_END_PERIOD,$E$5:$E$750,E591,$R$5:$R$750,TRUE(),$S$5:$S$750,"&gt;"&amp;S591)+COUNTIFS($D$5:$D$750,WF_END_PERIOD,$E$5:$E$750,E591,$R$5:$R$750,TRUE(),$S$5:$S$750,S591,$B$5:$B$750,"&lt;"&amp;B591),"")</f>
        <v/>
      </c>
      <c r="AA591" s="0" t="str">
        <f aca="false">IF(AND(D591=WF_END_PERIOD,R591,Z591&lt;&gt;1),1+COUNTIFS($D$5:$D$750,WF_END_PERIOD,$R$5:$R$750,TRUE(),$Z$5:$Z$750,"&lt;&gt;1",$S$5:$S$750,"&gt;"&amp;S591)+COUNTIFS($D$5:$D$750,WF_END_PERIOD,$R$5:$R$750,TRUE(),$Z$5:$Z$750,"&lt;&gt;1",$S$5:$S$750,S591,$B$5:$B$750,"&lt;"&amp;B591),"")</f>
        <v/>
      </c>
      <c r="AB591" s="11" t="b">
        <f aca="false">OR(D591=WF_START_PERIOD,D591=WF_END_PERIOD)</f>
        <v>0</v>
      </c>
      <c r="AC591" s="0" t="str">
        <f aca="false">B591&amp;"|"&amp;D591</f>
        <v>6275|20240930</v>
      </c>
    </row>
    <row r="592" customFormat="false" ht="15" hidden="false" customHeight="false" outlineLevel="0" collapsed="false">
      <c r="A592" s="0" t="n">
        <f aca="false">RawFinancials!A592</f>
        <v>589</v>
      </c>
      <c r="B592" s="0" t="n">
        <f aca="false">RawFinancials!C592</f>
        <v>6280</v>
      </c>
      <c r="C592" s="0" t="str">
        <f aca="false">RawFinancials!P592</f>
        <v>THE FIRST NATIONAL BANK OF ORWELL</v>
      </c>
      <c r="D592" s="0" t="n">
        <f aca="false">RawFinancials!W592</f>
        <v>20240930</v>
      </c>
      <c r="E592" s="0" t="str">
        <f aca="false">RawFinancials!Z592</f>
        <v>VT</v>
      </c>
      <c r="F592" s="0" t="n">
        <f aca="false">RawFinancials!B592</f>
        <v>85714</v>
      </c>
      <c r="G592" s="0" t="n">
        <f aca="false">RawFinancials!U592</f>
        <v>0</v>
      </c>
      <c r="H592" s="0" t="n">
        <f aca="false">RawFinancials!O592</f>
        <v>1121</v>
      </c>
      <c r="I592" s="0" t="n">
        <f aca="false">IF(AND(ISNUMBER(G592),ISNUMBER(H592)),G592+H592,"")</f>
        <v>1121</v>
      </c>
      <c r="J592" s="0" t="n">
        <f aca="false">RawFinancials!D592</f>
        <v>75614</v>
      </c>
      <c r="K592" s="0" t="n">
        <f aca="false">RawFinancials!F592</f>
        <v>9836</v>
      </c>
      <c r="L592" s="0" t="n">
        <f aca="false">RawFinancials!L592</f>
        <v>70650</v>
      </c>
      <c r="M592" s="0" t="n">
        <f aca="false">RawFinancials!N592</f>
        <v>62411</v>
      </c>
      <c r="N592" s="13" t="n">
        <f aca="false">RawFinancials!X592</f>
        <v>1.37847937324559</v>
      </c>
      <c r="O592" s="13" t="n">
        <f aca="false">RawFinancials!V592</f>
        <v>0</v>
      </c>
      <c r="P592" s="13" t="n">
        <f aca="false">IF(AND(ISNUMBER(L592),L592&lt;&gt;0,ISNUMBER(M592)),100*M592/L592,"")</f>
        <v>88.3382873319179</v>
      </c>
      <c r="Q592" s="13" t="n">
        <f aca="false">IF(AND(ISNUMBER(F592),F592&lt;&gt;0,ISNUMBER(K592)),100*K592/F592,"")</f>
        <v>11.4753715845719</v>
      </c>
      <c r="R592" s="11" t="b">
        <f aca="false">AND(ISNUMBER(F592),F592&gt;0,ISNUMBER(G592),G592&gt;=0,ISNUMBER(H592),H592&gt;=0)</f>
        <v>1</v>
      </c>
      <c r="S592" s="13" t="n">
        <f aca="false">IF(R592,100*I592/F592,"")</f>
        <v>1.30783769279231</v>
      </c>
      <c r="T592" s="11" t="b">
        <f aca="false">NOT(AND(OR(AND(ISBLANK(RawFinancials!B592),ISBLANK(_RawBaseline!B589)),AND(ISNUMBER(RawFinancials!B592),ISNUMBER(_RawBaseline!B589),RawFinancials!B592=_RawBaseline!B589)),OR(AND(ISBLANK(RawFinancials!U592),ISBLANK(_RawBaseline!U589)),AND(ISNUMBER(RawFinancials!U592),ISNUMBER(_RawBaseline!U589),RawFinancials!U592=_RawBaseline!U589)),OR(AND(ISBLANK(RawFinancials!O592),ISBLANK(_RawBaseline!O589)),AND(ISNUMBER(RawFinancials!O592),ISNUMBER(_RawBaseline!O589),RawFinancials!O592=_RawBaseline!O589))))</f>
        <v>0</v>
      </c>
      <c r="U592" s="13" t="n">
        <f aca="false">IF(AND(D592=WF_START_PERIOD,R592,COUNTIFS($B$5:$B$750,B592,$D$5:$D$750,WF_END_PERIOD,$R$5:$R$750,TRUE())&gt;0),SUMIFS($S$5:$S$750,$B$5:$B$750,B592,$D$5:$D$750,WF_END_PERIOD,$R$5:$R$750,TRUE()),0)</f>
        <v>0</v>
      </c>
      <c r="V592" s="0" t="str">
        <f aca="false">IF(AND(D592=WF_START_PERIOD,COUNTIFS($B$5:$B$750,B592,$D$5:$D$750,WF_END_PERIOD)&gt;0),INDEX($E$5:$E$750,MATCH(B592&amp;"|"&amp;WF_END_PERIOD,$AC$5:$AC$750,0)),"")</f>
        <v/>
      </c>
      <c r="W592" s="11" t="b">
        <f aca="false">COUNTIFS($B$5:$B$750,B592,$D$5:$D$750,WF_START_PERIOD,$R$5:$R$750,TRUE())&gt;0</f>
        <v>1</v>
      </c>
      <c r="X592" s="11" t="b">
        <f aca="false">COUNTIFS($B$5:$B$750,B592,$D$5:$D$750,WF_END_PERIOD,$R$5:$R$750,TRUE())&gt;0</f>
        <v>1</v>
      </c>
      <c r="Y592" s="0" t="str">
        <f aca="false">IF(AND(D592=WF_END_PERIOD,COUNTIFS($B$5:$B$750,B592,$D$5:$D$750,WF_START_PERIOD)&gt;0),INDEX($E$5:$E$750,MATCH(B592&amp;"|"&amp;WF_START_PERIOD,$AC$5:$AC$750,0)),"")</f>
        <v/>
      </c>
      <c r="Z592" s="0" t="str">
        <f aca="false">IF(AND(D592=WF_END_PERIOD,R592),1+COUNTIFS($D$5:$D$750,WF_END_PERIOD,$E$5:$E$750,E592,$R$5:$R$750,TRUE(),$S$5:$S$750,"&gt;"&amp;S592)+COUNTIFS($D$5:$D$750,WF_END_PERIOD,$E$5:$E$750,E592,$R$5:$R$750,TRUE(),$S$5:$S$750,S592,$B$5:$B$750,"&lt;"&amp;B592),"")</f>
        <v/>
      </c>
      <c r="AA592" s="0" t="str">
        <f aca="false">IF(AND(D592=WF_END_PERIOD,R592,Z592&lt;&gt;1),1+COUNTIFS($D$5:$D$750,WF_END_PERIOD,$R$5:$R$750,TRUE(),$Z$5:$Z$750,"&lt;&gt;1",$S$5:$S$750,"&gt;"&amp;S592)+COUNTIFS($D$5:$D$750,WF_END_PERIOD,$R$5:$R$750,TRUE(),$Z$5:$Z$750,"&lt;&gt;1",$S$5:$S$750,S592,$B$5:$B$750,"&lt;"&amp;B592),"")</f>
        <v/>
      </c>
      <c r="AB592" s="11" t="b">
        <f aca="false">OR(D592=WF_START_PERIOD,D592=WF_END_PERIOD)</f>
        <v>0</v>
      </c>
      <c r="AC592" s="0" t="str">
        <f aca="false">B592&amp;"|"&amp;D592</f>
        <v>6280|20240930</v>
      </c>
    </row>
    <row r="593" customFormat="false" ht="15" hidden="false" customHeight="false" outlineLevel="0" collapsed="false">
      <c r="A593" s="0" t="n">
        <f aca="false">RawFinancials!A593</f>
        <v>590</v>
      </c>
      <c r="B593" s="0" t="n">
        <f aca="false">RawFinancials!C593</f>
        <v>11971</v>
      </c>
      <c r="C593" s="0" t="str">
        <f aca="false">RawFinancials!P593</f>
        <v>BAR HARBOR BANK &amp; TRUST</v>
      </c>
      <c r="D593" s="0" t="n">
        <f aca="false">RawFinancials!W593</f>
        <v>20241231</v>
      </c>
      <c r="E593" s="0" t="str">
        <f aca="false">RawFinancials!Z593</f>
        <v>ME</v>
      </c>
      <c r="F593" s="0" t="n">
        <f aca="false">RawFinancials!B593</f>
        <v>4077997</v>
      </c>
      <c r="G593" s="0" t="n">
        <f aca="false">RawFinancials!U593</f>
        <v>3</v>
      </c>
      <c r="H593" s="0" t="n">
        <f aca="false">RawFinancials!O593</f>
        <v>6995</v>
      </c>
      <c r="I593" s="0" t="n">
        <f aca="false">IF(AND(ISNUMBER(G593),ISNUMBER(H593)),G593+H593,"")</f>
        <v>6998</v>
      </c>
      <c r="J593" s="0" t="n">
        <f aca="false">RawFinancials!D593</f>
        <v>3274818</v>
      </c>
      <c r="K593" s="0" t="n">
        <f aca="false">RawFinancials!F593</f>
        <v>493072</v>
      </c>
      <c r="L593" s="0" t="n">
        <f aca="false">RawFinancials!L593</f>
        <v>3148332</v>
      </c>
      <c r="M593" s="0" t="n">
        <f aca="false">RawFinancials!N593</f>
        <v>2776221</v>
      </c>
      <c r="N593" s="13" t="n">
        <f aca="false">RawFinancials!X593</f>
        <v>1.26447906428998</v>
      </c>
      <c r="O593" s="13" t="n">
        <f aca="false">RawFinancials!V593</f>
        <v>13.4411479487113</v>
      </c>
      <c r="P593" s="13" t="n">
        <f aca="false">IF(AND(ISNUMBER(L593),L593&lt;&gt;0,ISNUMBER(M593)),100*M593/L593,"")</f>
        <v>88.1806937768952</v>
      </c>
      <c r="Q593" s="13" t="n">
        <f aca="false">IF(AND(ISNUMBER(F593),F593&lt;&gt;0,ISNUMBER(K593)),100*K593/F593,"")</f>
        <v>12.0910339070872</v>
      </c>
      <c r="R593" s="11" t="b">
        <f aca="false">AND(ISNUMBER(F593),F593&gt;0,ISNUMBER(G593),G593&gt;=0,ISNUMBER(H593),H593&gt;=0)</f>
        <v>1</v>
      </c>
      <c r="S593" s="13" t="n">
        <f aca="false">IF(R593,100*I593/F593,"")</f>
        <v>0.171603853558499</v>
      </c>
      <c r="T593" s="11" t="b">
        <f aca="false">NOT(AND(OR(AND(ISBLANK(RawFinancials!B593),ISBLANK(_RawBaseline!B590)),AND(ISNUMBER(RawFinancials!B593),ISNUMBER(_RawBaseline!B590),RawFinancials!B593=_RawBaseline!B590)),OR(AND(ISBLANK(RawFinancials!U593),ISBLANK(_RawBaseline!U590)),AND(ISNUMBER(RawFinancials!U593),ISNUMBER(_RawBaseline!U590),RawFinancials!U593=_RawBaseline!U590)),OR(AND(ISBLANK(RawFinancials!O593),ISBLANK(_RawBaseline!O590)),AND(ISNUMBER(RawFinancials!O593),ISNUMBER(_RawBaseline!O590),RawFinancials!O593=_RawBaseline!O590))))</f>
        <v>0</v>
      </c>
      <c r="U593" s="13" t="n">
        <f aca="false">IF(AND(D593=WF_START_PERIOD,R593,COUNTIFS($B$5:$B$750,B593,$D$5:$D$750,WF_END_PERIOD,$R$5:$R$750,TRUE())&gt;0),SUMIFS($S$5:$S$750,$B$5:$B$750,B593,$D$5:$D$750,WF_END_PERIOD,$R$5:$R$750,TRUE()),0)</f>
        <v>0</v>
      </c>
      <c r="V593" s="0" t="str">
        <f aca="false">IF(AND(D593=WF_START_PERIOD,COUNTIFS($B$5:$B$750,B593,$D$5:$D$750,WF_END_PERIOD)&gt;0),INDEX($E$5:$E$750,MATCH(B593&amp;"|"&amp;WF_END_PERIOD,$AC$5:$AC$750,0)),"")</f>
        <v/>
      </c>
      <c r="W593" s="11" t="b">
        <f aca="false">COUNTIFS($B$5:$B$750,B593,$D$5:$D$750,WF_START_PERIOD,$R$5:$R$750,TRUE())&gt;0</f>
        <v>1</v>
      </c>
      <c r="X593" s="11" t="b">
        <f aca="false">COUNTIFS($B$5:$B$750,B593,$D$5:$D$750,WF_END_PERIOD,$R$5:$R$750,TRUE())&gt;0</f>
        <v>1</v>
      </c>
      <c r="Y593" s="0" t="str">
        <f aca="false">IF(AND(D593=WF_END_PERIOD,COUNTIFS($B$5:$B$750,B593,$D$5:$D$750,WF_START_PERIOD)&gt;0),INDEX($E$5:$E$750,MATCH(B593&amp;"|"&amp;WF_START_PERIOD,$AC$5:$AC$750,0)),"")</f>
        <v/>
      </c>
      <c r="Z593" s="0" t="str">
        <f aca="false">IF(AND(D593=WF_END_PERIOD,R593),1+COUNTIFS($D$5:$D$750,WF_END_PERIOD,$E$5:$E$750,E593,$R$5:$R$750,TRUE(),$S$5:$S$750,"&gt;"&amp;S593)+COUNTIFS($D$5:$D$750,WF_END_PERIOD,$E$5:$E$750,E593,$R$5:$R$750,TRUE(),$S$5:$S$750,S593,$B$5:$B$750,"&lt;"&amp;B593),"")</f>
        <v/>
      </c>
      <c r="AA593" s="0" t="str">
        <f aca="false">IF(AND(D593=WF_END_PERIOD,R593,Z593&lt;&gt;1),1+COUNTIFS($D$5:$D$750,WF_END_PERIOD,$R$5:$R$750,TRUE(),$Z$5:$Z$750,"&lt;&gt;1",$S$5:$S$750,"&gt;"&amp;S593)+COUNTIFS($D$5:$D$750,WF_END_PERIOD,$R$5:$R$750,TRUE(),$Z$5:$Z$750,"&lt;&gt;1",$S$5:$S$750,S593,$B$5:$B$750,"&lt;"&amp;B593),"")</f>
        <v/>
      </c>
      <c r="AB593" s="11" t="b">
        <f aca="false">OR(D593=WF_START_PERIOD,D593=WF_END_PERIOD)</f>
        <v>0</v>
      </c>
      <c r="AC593" s="0" t="str">
        <f aca="false">B593&amp;"|"&amp;D593</f>
        <v>11971|20241231</v>
      </c>
    </row>
    <row r="594" customFormat="false" ht="15" hidden="false" customHeight="false" outlineLevel="0" collapsed="false">
      <c r="A594" s="0" t="n">
        <f aca="false">RawFinancials!A594</f>
        <v>591</v>
      </c>
      <c r="B594" s="0" t="n">
        <f aca="false">RawFinancials!C594</f>
        <v>12874</v>
      </c>
      <c r="C594" s="0" t="str">
        <f aca="false">RawFinancials!P594</f>
        <v>KATAHDIN TRUST COMPANY</v>
      </c>
      <c r="D594" s="0" t="n">
        <f aca="false">RawFinancials!W594</f>
        <v>20241231</v>
      </c>
      <c r="E594" s="0" t="str">
        <f aca="false">RawFinancials!Z594</f>
        <v>ME</v>
      </c>
      <c r="F594" s="0" t="n">
        <f aca="false">RawFinancials!B594</f>
        <v>1078599</v>
      </c>
      <c r="G594" s="0" t="n">
        <f aca="false">RawFinancials!U594</f>
        <v>0</v>
      </c>
      <c r="H594" s="0" t="n">
        <f aca="false">RawFinancials!O594</f>
        <v>1392</v>
      </c>
      <c r="I594" s="0" t="n">
        <f aca="false">IF(AND(ISNUMBER(G594),ISNUMBER(H594)),G594+H594,"")</f>
        <v>1392</v>
      </c>
      <c r="J594" s="0" t="n">
        <f aca="false">RawFinancials!D594</f>
        <v>931493</v>
      </c>
      <c r="K594" s="0" t="n">
        <f aca="false">RawFinancials!F594</f>
        <v>96293</v>
      </c>
      <c r="L594" s="0" t="n">
        <f aca="false">RawFinancials!L594</f>
        <v>824752</v>
      </c>
      <c r="M594" s="0" t="n">
        <f aca="false">RawFinancials!N594</f>
        <v>640478</v>
      </c>
      <c r="N594" s="13" t="n">
        <f aca="false">RawFinancials!X594</f>
        <v>0.860333153789986</v>
      </c>
      <c r="O594" s="13" t="n">
        <f aca="false">RawFinancials!V594</f>
        <v>14.0068083332392</v>
      </c>
      <c r="P594" s="13" t="n">
        <f aca="false">IF(AND(ISNUMBER(L594),L594&lt;&gt;0,ISNUMBER(M594)),100*M594/L594,"")</f>
        <v>77.6570411469145</v>
      </c>
      <c r="Q594" s="13" t="n">
        <f aca="false">IF(AND(ISNUMBER(F594),F594&lt;&gt;0,ISNUMBER(K594)),100*K594/F594,"")</f>
        <v>8.92759959910959</v>
      </c>
      <c r="R594" s="11" t="b">
        <f aca="false">AND(ISNUMBER(F594),F594&gt;0,ISNUMBER(G594),G594&gt;=0,ISNUMBER(H594),H594&gt;=0)</f>
        <v>1</v>
      </c>
      <c r="S594" s="13" t="n">
        <f aca="false">IF(R594,100*I594/F594,"")</f>
        <v>0.129056303593829</v>
      </c>
      <c r="T594" s="11" t="b">
        <f aca="false">NOT(AND(OR(AND(ISBLANK(RawFinancials!B594),ISBLANK(_RawBaseline!B591)),AND(ISNUMBER(RawFinancials!B594),ISNUMBER(_RawBaseline!B591),RawFinancials!B594=_RawBaseline!B591)),OR(AND(ISBLANK(RawFinancials!U594),ISBLANK(_RawBaseline!U591)),AND(ISNUMBER(RawFinancials!U594),ISNUMBER(_RawBaseline!U591),RawFinancials!U594=_RawBaseline!U591)),OR(AND(ISBLANK(RawFinancials!O594),ISBLANK(_RawBaseline!O591)),AND(ISNUMBER(RawFinancials!O594),ISNUMBER(_RawBaseline!O591),RawFinancials!O594=_RawBaseline!O591))))</f>
        <v>0</v>
      </c>
      <c r="U594" s="13" t="n">
        <f aca="false">IF(AND(D594=WF_START_PERIOD,R594,COUNTIFS($B$5:$B$750,B594,$D$5:$D$750,WF_END_PERIOD,$R$5:$R$750,TRUE())&gt;0),SUMIFS($S$5:$S$750,$B$5:$B$750,B594,$D$5:$D$750,WF_END_PERIOD,$R$5:$R$750,TRUE()),0)</f>
        <v>0</v>
      </c>
      <c r="V594" s="0" t="str">
        <f aca="false">IF(AND(D594=WF_START_PERIOD,COUNTIFS($B$5:$B$750,B594,$D$5:$D$750,WF_END_PERIOD)&gt;0),INDEX($E$5:$E$750,MATCH(B594&amp;"|"&amp;WF_END_PERIOD,$AC$5:$AC$750,0)),"")</f>
        <v/>
      </c>
      <c r="W594" s="11" t="b">
        <f aca="false">COUNTIFS($B$5:$B$750,B594,$D$5:$D$750,WF_START_PERIOD,$R$5:$R$750,TRUE())&gt;0</f>
        <v>1</v>
      </c>
      <c r="X594" s="11" t="b">
        <f aca="false">COUNTIFS($B$5:$B$750,B594,$D$5:$D$750,WF_END_PERIOD,$R$5:$R$750,TRUE())&gt;0</f>
        <v>1</v>
      </c>
      <c r="Y594" s="0" t="str">
        <f aca="false">IF(AND(D594=WF_END_PERIOD,COUNTIFS($B$5:$B$750,B594,$D$5:$D$750,WF_START_PERIOD)&gt;0),INDEX($E$5:$E$750,MATCH(B594&amp;"|"&amp;WF_START_PERIOD,$AC$5:$AC$750,0)),"")</f>
        <v/>
      </c>
      <c r="Z594" s="0" t="str">
        <f aca="false">IF(AND(D594=WF_END_PERIOD,R594),1+COUNTIFS($D$5:$D$750,WF_END_PERIOD,$E$5:$E$750,E594,$R$5:$R$750,TRUE(),$S$5:$S$750,"&gt;"&amp;S594)+COUNTIFS($D$5:$D$750,WF_END_PERIOD,$E$5:$E$750,E594,$R$5:$R$750,TRUE(),$S$5:$S$750,S594,$B$5:$B$750,"&lt;"&amp;B594),"")</f>
        <v/>
      </c>
      <c r="AA594" s="0" t="str">
        <f aca="false">IF(AND(D594=WF_END_PERIOD,R594,Z594&lt;&gt;1),1+COUNTIFS($D$5:$D$750,WF_END_PERIOD,$R$5:$R$750,TRUE(),$Z$5:$Z$750,"&lt;&gt;1",$S$5:$S$750,"&gt;"&amp;S594)+COUNTIFS($D$5:$D$750,WF_END_PERIOD,$R$5:$R$750,TRUE(),$Z$5:$Z$750,"&lt;&gt;1",$S$5:$S$750,S594,$B$5:$B$750,"&lt;"&amp;B594),"")</f>
        <v/>
      </c>
      <c r="AB594" s="11" t="b">
        <f aca="false">OR(D594=WF_START_PERIOD,D594=WF_END_PERIOD)</f>
        <v>0</v>
      </c>
      <c r="AC594" s="0" t="str">
        <f aca="false">B594&amp;"|"&amp;D594</f>
        <v>12874|20241231</v>
      </c>
    </row>
    <row r="595" customFormat="false" ht="15" hidden="false" customHeight="false" outlineLevel="0" collapsed="false">
      <c r="A595" s="0" t="n">
        <f aca="false">RawFinancials!A595</f>
        <v>592</v>
      </c>
      <c r="B595" s="0" t="n">
        <f aca="false">RawFinancials!C595</f>
        <v>13063</v>
      </c>
      <c r="C595" s="0" t="str">
        <f aca="false">RawFinancials!P595</f>
        <v>KENNEBUNK SAVINGS BANK</v>
      </c>
      <c r="D595" s="0" t="n">
        <f aca="false">RawFinancials!W595</f>
        <v>20241231</v>
      </c>
      <c r="E595" s="0" t="str">
        <f aca="false">RawFinancials!Z595</f>
        <v>ME</v>
      </c>
      <c r="F595" s="0" t="n">
        <f aca="false">RawFinancials!B595</f>
        <v>1867411</v>
      </c>
      <c r="G595" s="0" t="n">
        <f aca="false">RawFinancials!U595</f>
        <v>0</v>
      </c>
      <c r="H595" s="0" t="n">
        <f aca="false">RawFinancials!O595</f>
        <v>471</v>
      </c>
      <c r="I595" s="0" t="n">
        <f aca="false">IF(AND(ISNUMBER(G595),ISNUMBER(H595)),G595+H595,"")</f>
        <v>471</v>
      </c>
      <c r="J595" s="0" t="n">
        <f aca="false">RawFinancials!D595</f>
        <v>1626222</v>
      </c>
      <c r="K595" s="0" t="n">
        <f aca="false">RawFinancials!F595</f>
        <v>153090</v>
      </c>
      <c r="L595" s="0" t="n">
        <f aca="false">RawFinancials!L595</f>
        <v>1503020</v>
      </c>
      <c r="M595" s="0" t="n">
        <f aca="false">RawFinancials!N595</f>
        <v>1427918</v>
      </c>
      <c r="N595" s="13" t="n">
        <f aca="false">RawFinancials!X595</f>
        <v>0.520034133011195</v>
      </c>
      <c r="O595" s="13" t="n">
        <f aca="false">RawFinancials!V595</f>
        <v>0</v>
      </c>
      <c r="P595" s="13" t="n">
        <f aca="false">IF(AND(ISNUMBER(L595),L595&lt;&gt;0,ISNUMBER(M595)),100*M595/L595,"")</f>
        <v>95.0032601029926</v>
      </c>
      <c r="Q595" s="13" t="n">
        <f aca="false">IF(AND(ISNUMBER(F595),F595&lt;&gt;0,ISNUMBER(K595)),100*K595/F595,"")</f>
        <v>8.1979810550543</v>
      </c>
      <c r="R595" s="11" t="b">
        <f aca="false">AND(ISNUMBER(F595),F595&gt;0,ISNUMBER(G595),G595&gt;=0,ISNUMBER(H595),H595&gt;=0)</f>
        <v>1</v>
      </c>
      <c r="S595" s="13" t="n">
        <f aca="false">IF(R595,100*I595/F595,"")</f>
        <v>0.0252220855505296</v>
      </c>
      <c r="T595" s="11" t="b">
        <f aca="false">NOT(AND(OR(AND(ISBLANK(RawFinancials!B595),ISBLANK(_RawBaseline!B592)),AND(ISNUMBER(RawFinancials!B595),ISNUMBER(_RawBaseline!B592),RawFinancials!B595=_RawBaseline!B592)),OR(AND(ISBLANK(RawFinancials!U595),ISBLANK(_RawBaseline!U592)),AND(ISNUMBER(RawFinancials!U595),ISNUMBER(_RawBaseline!U592),RawFinancials!U595=_RawBaseline!U592)),OR(AND(ISBLANK(RawFinancials!O595),ISBLANK(_RawBaseline!O592)),AND(ISNUMBER(RawFinancials!O595),ISNUMBER(_RawBaseline!O592),RawFinancials!O595=_RawBaseline!O592))))</f>
        <v>0</v>
      </c>
      <c r="U595" s="13" t="n">
        <f aca="false">IF(AND(D595=WF_START_PERIOD,R595,COUNTIFS($B$5:$B$750,B595,$D$5:$D$750,WF_END_PERIOD,$R$5:$R$750,TRUE())&gt;0),SUMIFS($S$5:$S$750,$B$5:$B$750,B595,$D$5:$D$750,WF_END_PERIOD,$R$5:$R$750,TRUE()),0)</f>
        <v>0</v>
      </c>
      <c r="V595" s="0" t="str">
        <f aca="false">IF(AND(D595=WF_START_PERIOD,COUNTIFS($B$5:$B$750,B595,$D$5:$D$750,WF_END_PERIOD)&gt;0),INDEX($E$5:$E$750,MATCH(B595&amp;"|"&amp;WF_END_PERIOD,$AC$5:$AC$750,0)),"")</f>
        <v/>
      </c>
      <c r="W595" s="11" t="b">
        <f aca="false">COUNTIFS($B$5:$B$750,B595,$D$5:$D$750,WF_START_PERIOD,$R$5:$R$750,TRUE())&gt;0</f>
        <v>1</v>
      </c>
      <c r="X595" s="11" t="b">
        <f aca="false">COUNTIFS($B$5:$B$750,B595,$D$5:$D$750,WF_END_PERIOD,$R$5:$R$750,TRUE())&gt;0</f>
        <v>1</v>
      </c>
      <c r="Y595" s="0" t="str">
        <f aca="false">IF(AND(D595=WF_END_PERIOD,COUNTIFS($B$5:$B$750,B595,$D$5:$D$750,WF_START_PERIOD)&gt;0),INDEX($E$5:$E$750,MATCH(B595&amp;"|"&amp;WF_START_PERIOD,$AC$5:$AC$750,0)),"")</f>
        <v/>
      </c>
      <c r="Z595" s="0" t="str">
        <f aca="false">IF(AND(D595=WF_END_PERIOD,R595),1+COUNTIFS($D$5:$D$750,WF_END_PERIOD,$E$5:$E$750,E595,$R$5:$R$750,TRUE(),$S$5:$S$750,"&gt;"&amp;S595)+COUNTIFS($D$5:$D$750,WF_END_PERIOD,$E$5:$E$750,E595,$R$5:$R$750,TRUE(),$S$5:$S$750,S595,$B$5:$B$750,"&lt;"&amp;B595),"")</f>
        <v/>
      </c>
      <c r="AA595" s="0" t="str">
        <f aca="false">IF(AND(D595=WF_END_PERIOD,R595,Z595&lt;&gt;1),1+COUNTIFS($D$5:$D$750,WF_END_PERIOD,$R$5:$R$750,TRUE(),$Z$5:$Z$750,"&lt;&gt;1",$S$5:$S$750,"&gt;"&amp;S595)+COUNTIFS($D$5:$D$750,WF_END_PERIOD,$R$5:$R$750,TRUE(),$Z$5:$Z$750,"&lt;&gt;1",$S$5:$S$750,S595,$B$5:$B$750,"&lt;"&amp;B595),"")</f>
        <v/>
      </c>
      <c r="AB595" s="11" t="b">
        <f aca="false">OR(D595=WF_START_PERIOD,D595=WF_END_PERIOD)</f>
        <v>0</v>
      </c>
      <c r="AC595" s="0" t="str">
        <f aca="false">B595&amp;"|"&amp;D595</f>
        <v>13063|20241231</v>
      </c>
    </row>
    <row r="596" customFormat="false" ht="15" hidden="false" customHeight="false" outlineLevel="0" collapsed="false">
      <c r="A596" s="0" t="n">
        <f aca="false">RawFinancials!A596</f>
        <v>593</v>
      </c>
      <c r="B596" s="0" t="n">
        <f aca="false">RawFinancials!C596</f>
        <v>14134</v>
      </c>
      <c r="C596" s="0" t="str">
        <f aca="false">RawFinancials!P596</f>
        <v>PASSUMPSIC SAVINGS BANK</v>
      </c>
      <c r="D596" s="0" t="n">
        <f aca="false">RawFinancials!W596</f>
        <v>20241231</v>
      </c>
      <c r="E596" s="0" t="str">
        <f aca="false">RawFinancials!Z596</f>
        <v>VT</v>
      </c>
      <c r="F596" s="0" t="n">
        <f aca="false">RawFinancials!B596</f>
        <v>894082</v>
      </c>
      <c r="G596" s="0" t="n">
        <f aca="false">RawFinancials!U596</f>
        <v>0</v>
      </c>
      <c r="H596" s="0" t="n">
        <f aca="false">RawFinancials!O596</f>
        <v>3603</v>
      </c>
      <c r="I596" s="0" t="n">
        <f aca="false">IF(AND(ISNUMBER(G596),ISNUMBER(H596)),G596+H596,"")</f>
        <v>3603</v>
      </c>
      <c r="J596" s="0" t="n">
        <f aca="false">RawFinancials!D596</f>
        <v>716959</v>
      </c>
      <c r="K596" s="0" t="n">
        <f aca="false">RawFinancials!F596</f>
        <v>111729</v>
      </c>
      <c r="L596" s="0" t="n">
        <f aca="false">RawFinancials!L596</f>
        <v>643373</v>
      </c>
      <c r="M596" s="0" t="n">
        <f aca="false">RawFinancials!N596</f>
        <v>570625</v>
      </c>
      <c r="N596" s="13" t="n">
        <f aca="false">RawFinancials!X596</f>
        <v>0.807708956890982</v>
      </c>
      <c r="O596" s="13" t="n">
        <f aca="false">RawFinancials!V596</f>
        <v>20.2931917327933</v>
      </c>
      <c r="P596" s="13" t="n">
        <f aca="false">IF(AND(ISNUMBER(L596),L596&lt;&gt;0,ISNUMBER(M596)),100*M596/L596,"")</f>
        <v>88.6927179101392</v>
      </c>
      <c r="Q596" s="13" t="n">
        <f aca="false">IF(AND(ISNUMBER(F596),F596&lt;&gt;0,ISNUMBER(K596)),100*K596/F596,"")</f>
        <v>12.4965047948622</v>
      </c>
      <c r="R596" s="11" t="b">
        <f aca="false">AND(ISNUMBER(F596),F596&gt;0,ISNUMBER(G596),G596&gt;=0,ISNUMBER(H596),H596&gt;=0)</f>
        <v>1</v>
      </c>
      <c r="S596" s="13" t="n">
        <f aca="false">IF(R596,100*I596/F596,"")</f>
        <v>0.402983171565919</v>
      </c>
      <c r="T596" s="11" t="b">
        <f aca="false">NOT(AND(OR(AND(ISBLANK(RawFinancials!B596),ISBLANK(_RawBaseline!B593)),AND(ISNUMBER(RawFinancials!B596),ISNUMBER(_RawBaseline!B593),RawFinancials!B596=_RawBaseline!B593)),OR(AND(ISBLANK(RawFinancials!U596),ISBLANK(_RawBaseline!U593)),AND(ISNUMBER(RawFinancials!U596),ISNUMBER(_RawBaseline!U593),RawFinancials!U596=_RawBaseline!U593)),OR(AND(ISBLANK(RawFinancials!O596),ISBLANK(_RawBaseline!O593)),AND(ISNUMBER(RawFinancials!O596),ISNUMBER(_RawBaseline!O593),RawFinancials!O596=_RawBaseline!O593))))</f>
        <v>0</v>
      </c>
      <c r="U596" s="13" t="n">
        <f aca="false">IF(AND(D596=WF_START_PERIOD,R596,COUNTIFS($B$5:$B$750,B596,$D$5:$D$750,WF_END_PERIOD,$R$5:$R$750,TRUE())&gt;0),SUMIFS($S$5:$S$750,$B$5:$B$750,B596,$D$5:$D$750,WF_END_PERIOD,$R$5:$R$750,TRUE()),0)</f>
        <v>0</v>
      </c>
      <c r="V596" s="0" t="str">
        <f aca="false">IF(AND(D596=WF_START_PERIOD,COUNTIFS($B$5:$B$750,B596,$D$5:$D$750,WF_END_PERIOD)&gt;0),INDEX($E$5:$E$750,MATCH(B596&amp;"|"&amp;WF_END_PERIOD,$AC$5:$AC$750,0)),"")</f>
        <v/>
      </c>
      <c r="W596" s="11" t="b">
        <f aca="false">COUNTIFS($B$5:$B$750,B596,$D$5:$D$750,WF_START_PERIOD,$R$5:$R$750,TRUE())&gt;0</f>
        <v>1</v>
      </c>
      <c r="X596" s="11" t="b">
        <f aca="false">COUNTIFS($B$5:$B$750,B596,$D$5:$D$750,WF_END_PERIOD,$R$5:$R$750,TRUE())&gt;0</f>
        <v>1</v>
      </c>
      <c r="Y596" s="0" t="str">
        <f aca="false">IF(AND(D596=WF_END_PERIOD,COUNTIFS($B$5:$B$750,B596,$D$5:$D$750,WF_START_PERIOD)&gt;0),INDEX($E$5:$E$750,MATCH(B596&amp;"|"&amp;WF_START_PERIOD,$AC$5:$AC$750,0)),"")</f>
        <v/>
      </c>
      <c r="Z596" s="0" t="str">
        <f aca="false">IF(AND(D596=WF_END_PERIOD,R596),1+COUNTIFS($D$5:$D$750,WF_END_PERIOD,$E$5:$E$750,E596,$R$5:$R$750,TRUE(),$S$5:$S$750,"&gt;"&amp;S596)+COUNTIFS($D$5:$D$750,WF_END_PERIOD,$E$5:$E$750,E596,$R$5:$R$750,TRUE(),$S$5:$S$750,S596,$B$5:$B$750,"&lt;"&amp;B596),"")</f>
        <v/>
      </c>
      <c r="AA596" s="0" t="str">
        <f aca="false">IF(AND(D596=WF_END_PERIOD,R596,Z596&lt;&gt;1),1+COUNTIFS($D$5:$D$750,WF_END_PERIOD,$R$5:$R$750,TRUE(),$Z$5:$Z$750,"&lt;&gt;1",$S$5:$S$750,"&gt;"&amp;S596)+COUNTIFS($D$5:$D$750,WF_END_PERIOD,$R$5:$R$750,TRUE(),$Z$5:$Z$750,"&lt;&gt;1",$S$5:$S$750,S596,$B$5:$B$750,"&lt;"&amp;B596),"")</f>
        <v/>
      </c>
      <c r="AB596" s="11" t="b">
        <f aca="false">OR(D596=WF_START_PERIOD,D596=WF_END_PERIOD)</f>
        <v>0</v>
      </c>
      <c r="AC596" s="0" t="str">
        <f aca="false">B596&amp;"|"&amp;D596</f>
        <v>14134|20241231</v>
      </c>
    </row>
    <row r="597" customFormat="false" ht="15" hidden="false" customHeight="false" outlineLevel="0" collapsed="false">
      <c r="A597" s="0" t="n">
        <f aca="false">RawFinancials!A597</f>
        <v>594</v>
      </c>
      <c r="B597" s="0" t="n">
        <f aca="false">RawFinancials!C597</f>
        <v>14136</v>
      </c>
      <c r="C597" s="0" t="str">
        <f aca="false">RawFinancials!P597</f>
        <v>WELLS RIVER SAVINGS BANK</v>
      </c>
      <c r="D597" s="0" t="n">
        <f aca="false">RawFinancials!W597</f>
        <v>20241231</v>
      </c>
      <c r="E597" s="0" t="str">
        <f aca="false">RawFinancials!Z597</f>
        <v>VT</v>
      </c>
      <c r="F597" s="0" t="n">
        <f aca="false">RawFinancials!B597</f>
        <v>237708</v>
      </c>
      <c r="G597" s="0" t="n">
        <f aca="false">RawFinancials!U597</f>
        <v>714</v>
      </c>
      <c r="H597" s="0" t="n">
        <f aca="false">RawFinancials!O597</f>
        <v>510</v>
      </c>
      <c r="I597" s="0" t="n">
        <f aca="false">IF(AND(ISNUMBER(G597),ISNUMBER(H597)),G597+H597,"")</f>
        <v>1224</v>
      </c>
      <c r="J597" s="0" t="n">
        <f aca="false">RawFinancials!D597</f>
        <v>204666</v>
      </c>
      <c r="K597" s="0" t="n">
        <f aca="false">RawFinancials!F597</f>
        <v>18926</v>
      </c>
      <c r="L597" s="0" t="n">
        <f aca="false">RawFinancials!L597</f>
        <v>157799</v>
      </c>
      <c r="M597" s="0" t="n">
        <f aca="false">RawFinancials!N597</f>
        <v>125909</v>
      </c>
      <c r="N597" s="13" t="n">
        <f aca="false">RawFinancials!X597</f>
        <v>0.592215367017237</v>
      </c>
      <c r="O597" s="13" t="n">
        <f aca="false">RawFinancials!V597</f>
        <v>18.3832074375363</v>
      </c>
      <c r="P597" s="13" t="n">
        <f aca="false">IF(AND(ISNUMBER(L597),L597&lt;&gt;0,ISNUMBER(M597)),100*M597/L597,"")</f>
        <v>79.7907464559345</v>
      </c>
      <c r="Q597" s="13" t="n">
        <f aca="false">IF(AND(ISNUMBER(F597),F597&lt;&gt;0,ISNUMBER(K597)),100*K597/F597,"")</f>
        <v>7.96186918404092</v>
      </c>
      <c r="R597" s="11" t="b">
        <f aca="false">AND(ISNUMBER(F597),F597&gt;0,ISNUMBER(G597),G597&gt;=0,ISNUMBER(H597),H597&gt;=0)</f>
        <v>1</v>
      </c>
      <c r="S597" s="13" t="n">
        <f aca="false">IF(R597,100*I597/F597,"")</f>
        <v>0.514917461759806</v>
      </c>
      <c r="T597" s="11" t="b">
        <f aca="false">NOT(AND(OR(AND(ISBLANK(RawFinancials!B597),ISBLANK(_RawBaseline!B594)),AND(ISNUMBER(RawFinancials!B597),ISNUMBER(_RawBaseline!B594),RawFinancials!B597=_RawBaseline!B594)),OR(AND(ISBLANK(RawFinancials!U597),ISBLANK(_RawBaseline!U594)),AND(ISNUMBER(RawFinancials!U597),ISNUMBER(_RawBaseline!U594),RawFinancials!U597=_RawBaseline!U594)),OR(AND(ISBLANK(RawFinancials!O597),ISBLANK(_RawBaseline!O594)),AND(ISNUMBER(RawFinancials!O597),ISNUMBER(_RawBaseline!O594),RawFinancials!O597=_RawBaseline!O594))))</f>
        <v>0</v>
      </c>
      <c r="U597" s="13" t="n">
        <f aca="false">IF(AND(D597=WF_START_PERIOD,R597,COUNTIFS($B$5:$B$750,B597,$D$5:$D$750,WF_END_PERIOD,$R$5:$R$750,TRUE())&gt;0),SUMIFS($S$5:$S$750,$B$5:$B$750,B597,$D$5:$D$750,WF_END_PERIOD,$R$5:$R$750,TRUE()),0)</f>
        <v>0</v>
      </c>
      <c r="V597" s="0" t="str">
        <f aca="false">IF(AND(D597=WF_START_PERIOD,COUNTIFS($B$5:$B$750,B597,$D$5:$D$750,WF_END_PERIOD)&gt;0),INDEX($E$5:$E$750,MATCH(B597&amp;"|"&amp;WF_END_PERIOD,$AC$5:$AC$750,0)),"")</f>
        <v/>
      </c>
      <c r="W597" s="11" t="b">
        <f aca="false">COUNTIFS($B$5:$B$750,B597,$D$5:$D$750,WF_START_PERIOD,$R$5:$R$750,TRUE())&gt;0</f>
        <v>1</v>
      </c>
      <c r="X597" s="11" t="b">
        <f aca="false">COUNTIFS($B$5:$B$750,B597,$D$5:$D$750,WF_END_PERIOD,$R$5:$R$750,TRUE())&gt;0</f>
        <v>1</v>
      </c>
      <c r="Y597" s="0" t="str">
        <f aca="false">IF(AND(D597=WF_END_PERIOD,COUNTIFS($B$5:$B$750,B597,$D$5:$D$750,WF_START_PERIOD)&gt;0),INDEX($E$5:$E$750,MATCH(B597&amp;"|"&amp;WF_START_PERIOD,$AC$5:$AC$750,0)),"")</f>
        <v/>
      </c>
      <c r="Z597" s="0" t="str">
        <f aca="false">IF(AND(D597=WF_END_PERIOD,R597),1+COUNTIFS($D$5:$D$750,WF_END_PERIOD,$E$5:$E$750,E597,$R$5:$R$750,TRUE(),$S$5:$S$750,"&gt;"&amp;S597)+COUNTIFS($D$5:$D$750,WF_END_PERIOD,$E$5:$E$750,E597,$R$5:$R$750,TRUE(),$S$5:$S$750,S597,$B$5:$B$750,"&lt;"&amp;B597),"")</f>
        <v/>
      </c>
      <c r="AA597" s="0" t="str">
        <f aca="false">IF(AND(D597=WF_END_PERIOD,R597,Z597&lt;&gt;1),1+COUNTIFS($D$5:$D$750,WF_END_PERIOD,$R$5:$R$750,TRUE(),$Z$5:$Z$750,"&lt;&gt;1",$S$5:$S$750,"&gt;"&amp;S597)+COUNTIFS($D$5:$D$750,WF_END_PERIOD,$R$5:$R$750,TRUE(),$Z$5:$Z$750,"&lt;&gt;1",$S$5:$S$750,S597,$B$5:$B$750,"&lt;"&amp;B597),"")</f>
        <v/>
      </c>
      <c r="AB597" s="11" t="b">
        <f aca="false">OR(D597=WF_START_PERIOD,D597=WF_END_PERIOD)</f>
        <v>0</v>
      </c>
      <c r="AC597" s="0" t="str">
        <f aca="false">B597&amp;"|"&amp;D597</f>
        <v>14136|20241231</v>
      </c>
    </row>
    <row r="598" customFormat="false" ht="15" hidden="false" customHeight="false" outlineLevel="0" collapsed="false">
      <c r="A598" s="0" t="n">
        <f aca="false">RawFinancials!A598</f>
        <v>595</v>
      </c>
      <c r="B598" s="0" t="n">
        <f aca="false">RawFinancials!C598</f>
        <v>14140</v>
      </c>
      <c r="C598" s="0" t="str">
        <f aca="false">RawFinancials!P598</f>
        <v>NORTHFIELD SAVINGS BANK</v>
      </c>
      <c r="D598" s="0" t="n">
        <f aca="false">RawFinancials!W598</f>
        <v>20241231</v>
      </c>
      <c r="E598" s="0" t="str">
        <f aca="false">RawFinancials!Z598</f>
        <v>VT</v>
      </c>
      <c r="F598" s="0" t="n">
        <f aca="false">RawFinancials!B598</f>
        <v>1558316</v>
      </c>
      <c r="G598" s="0" t="n">
        <f aca="false">RawFinancials!U598</f>
        <v>0</v>
      </c>
      <c r="H598" s="0" t="n">
        <f aca="false">RawFinancials!O598</f>
        <v>5344</v>
      </c>
      <c r="I598" s="0" t="n">
        <f aca="false">IF(AND(ISNUMBER(G598),ISNUMBER(H598)),G598+H598,"")</f>
        <v>5344</v>
      </c>
      <c r="J598" s="0" t="n">
        <f aca="false">RawFinancials!D598</f>
        <v>1234041</v>
      </c>
      <c r="K598" s="0" t="n">
        <f aca="false">RawFinancials!F598</f>
        <v>133315</v>
      </c>
      <c r="L598" s="0" t="n">
        <f aca="false">RawFinancials!L598</f>
        <v>1100572</v>
      </c>
      <c r="M598" s="0" t="n">
        <f aca="false">RawFinancials!N598</f>
        <v>975721</v>
      </c>
      <c r="N598" s="13" t="n">
        <f aca="false">RawFinancials!X598</f>
        <v>0.30821925027166</v>
      </c>
      <c r="O598" s="13" t="n">
        <f aca="false">RawFinancials!V598</f>
        <v>0</v>
      </c>
      <c r="P598" s="13" t="n">
        <f aca="false">IF(AND(ISNUMBER(L598),L598&lt;&gt;0,ISNUMBER(M598)),100*M598/L598,"")</f>
        <v>88.6558080707123</v>
      </c>
      <c r="Q598" s="13" t="n">
        <f aca="false">IF(AND(ISNUMBER(F598),F598&lt;&gt;0,ISNUMBER(K598)),100*K598/F598,"")</f>
        <v>8.55506842001237</v>
      </c>
      <c r="R598" s="11" t="b">
        <f aca="false">AND(ISNUMBER(F598),F598&gt;0,ISNUMBER(G598),G598&gt;=0,ISNUMBER(H598),H598&gt;=0)</f>
        <v>1</v>
      </c>
      <c r="S598" s="13" t="n">
        <f aca="false">IF(R598,100*I598/F598,"")</f>
        <v>0.34293429573976</v>
      </c>
      <c r="T598" s="11" t="b">
        <f aca="false">NOT(AND(OR(AND(ISBLANK(RawFinancials!B598),ISBLANK(_RawBaseline!B595)),AND(ISNUMBER(RawFinancials!B598),ISNUMBER(_RawBaseline!B595),RawFinancials!B598=_RawBaseline!B595)),OR(AND(ISBLANK(RawFinancials!U598),ISBLANK(_RawBaseline!U595)),AND(ISNUMBER(RawFinancials!U598),ISNUMBER(_RawBaseline!U595),RawFinancials!U598=_RawBaseline!U595)),OR(AND(ISBLANK(RawFinancials!O598),ISBLANK(_RawBaseline!O595)),AND(ISNUMBER(RawFinancials!O598),ISNUMBER(_RawBaseline!O595),RawFinancials!O598=_RawBaseline!O595))))</f>
        <v>0</v>
      </c>
      <c r="U598" s="13" t="n">
        <f aca="false">IF(AND(D598=WF_START_PERIOD,R598,COUNTIFS($B$5:$B$750,B598,$D$5:$D$750,WF_END_PERIOD,$R$5:$R$750,TRUE())&gt;0),SUMIFS($S$5:$S$750,$B$5:$B$750,B598,$D$5:$D$750,WF_END_PERIOD,$R$5:$R$750,TRUE()),0)</f>
        <v>0</v>
      </c>
      <c r="V598" s="0" t="str">
        <f aca="false">IF(AND(D598=WF_START_PERIOD,COUNTIFS($B$5:$B$750,B598,$D$5:$D$750,WF_END_PERIOD)&gt;0),INDEX($E$5:$E$750,MATCH(B598&amp;"|"&amp;WF_END_PERIOD,$AC$5:$AC$750,0)),"")</f>
        <v/>
      </c>
      <c r="W598" s="11" t="b">
        <f aca="false">COUNTIFS($B$5:$B$750,B598,$D$5:$D$750,WF_START_PERIOD,$R$5:$R$750,TRUE())&gt;0</f>
        <v>1</v>
      </c>
      <c r="X598" s="11" t="b">
        <f aca="false">COUNTIFS($B$5:$B$750,B598,$D$5:$D$750,WF_END_PERIOD,$R$5:$R$750,TRUE())&gt;0</f>
        <v>1</v>
      </c>
      <c r="Y598" s="0" t="str">
        <f aca="false">IF(AND(D598=WF_END_PERIOD,COUNTIFS($B$5:$B$750,B598,$D$5:$D$750,WF_START_PERIOD)&gt;0),INDEX($E$5:$E$750,MATCH(B598&amp;"|"&amp;WF_START_PERIOD,$AC$5:$AC$750,0)),"")</f>
        <v/>
      </c>
      <c r="Z598" s="0" t="str">
        <f aca="false">IF(AND(D598=WF_END_PERIOD,R598),1+COUNTIFS($D$5:$D$750,WF_END_PERIOD,$E$5:$E$750,E598,$R$5:$R$750,TRUE(),$S$5:$S$750,"&gt;"&amp;S598)+COUNTIFS($D$5:$D$750,WF_END_PERIOD,$E$5:$E$750,E598,$R$5:$R$750,TRUE(),$S$5:$S$750,S598,$B$5:$B$750,"&lt;"&amp;B598),"")</f>
        <v/>
      </c>
      <c r="AA598" s="0" t="str">
        <f aca="false">IF(AND(D598=WF_END_PERIOD,R598,Z598&lt;&gt;1),1+COUNTIFS($D$5:$D$750,WF_END_PERIOD,$R$5:$R$750,TRUE(),$Z$5:$Z$750,"&lt;&gt;1",$S$5:$S$750,"&gt;"&amp;S598)+COUNTIFS($D$5:$D$750,WF_END_PERIOD,$R$5:$R$750,TRUE(),$Z$5:$Z$750,"&lt;&gt;1",$S$5:$S$750,S598,$B$5:$B$750,"&lt;"&amp;B598),"")</f>
        <v/>
      </c>
      <c r="AB598" s="11" t="b">
        <f aca="false">OR(D598=WF_START_PERIOD,D598=WF_END_PERIOD)</f>
        <v>0</v>
      </c>
      <c r="AC598" s="0" t="str">
        <f aca="false">B598&amp;"|"&amp;D598</f>
        <v>14140|20241231</v>
      </c>
    </row>
    <row r="599" customFormat="false" ht="15" hidden="false" customHeight="false" outlineLevel="0" collapsed="false">
      <c r="A599" s="0" t="n">
        <f aca="false">RawFinancials!A599</f>
        <v>596</v>
      </c>
      <c r="B599" s="0" t="n">
        <f aca="false">RawFinancials!C599</f>
        <v>14158</v>
      </c>
      <c r="C599" s="0" t="str">
        <f aca="false">RawFinancials!P599</f>
        <v>UNION BANK</v>
      </c>
      <c r="D599" s="0" t="n">
        <f aca="false">RawFinancials!W599</f>
        <v>20241231</v>
      </c>
      <c r="E599" s="0" t="str">
        <f aca="false">RawFinancials!Z599</f>
        <v>VT</v>
      </c>
      <c r="F599" s="0" t="n">
        <f aca="false">RawFinancials!B599</f>
        <v>1527590</v>
      </c>
      <c r="G599" s="0" t="n">
        <f aca="false">RawFinancials!U599</f>
        <v>241</v>
      </c>
      <c r="H599" s="0" t="n">
        <f aca="false">RawFinancials!O599</f>
        <v>1652</v>
      </c>
      <c r="I599" s="0" t="n">
        <f aca="false">IF(AND(ISNUMBER(G599),ISNUMBER(H599)),G599+H599,"")</f>
        <v>1893</v>
      </c>
      <c r="J599" s="0" t="n">
        <f aca="false">RawFinancials!D599</f>
        <v>1171399</v>
      </c>
      <c r="K599" s="0" t="n">
        <f aca="false">RawFinancials!F599</f>
        <v>82437</v>
      </c>
      <c r="L599" s="0" t="n">
        <f aca="false">RawFinancials!L599</f>
        <v>1163102</v>
      </c>
      <c r="M599" s="0" t="n">
        <f aca="false">RawFinancials!N599</f>
        <v>1010360</v>
      </c>
      <c r="N599" s="13" t="n">
        <f aca="false">RawFinancials!X599</f>
        <v>0.659307705761988</v>
      </c>
      <c r="O599" s="13" t="n">
        <f aca="false">RawFinancials!V599</f>
        <v>12.508099717311</v>
      </c>
      <c r="P599" s="13" t="n">
        <f aca="false">IF(AND(ISNUMBER(L599),L599&lt;&gt;0,ISNUMBER(M599)),100*M599/L599,"")</f>
        <v>86.8677037783445</v>
      </c>
      <c r="Q599" s="13" t="n">
        <f aca="false">IF(AND(ISNUMBER(F599),F599&lt;&gt;0,ISNUMBER(K599)),100*K599/F599,"")</f>
        <v>5.39653964741848</v>
      </c>
      <c r="R599" s="11" t="b">
        <f aca="false">AND(ISNUMBER(F599),F599&gt;0,ISNUMBER(G599),G599&gt;=0,ISNUMBER(H599),H599&gt;=0)</f>
        <v>1</v>
      </c>
      <c r="S599" s="13" t="n">
        <f aca="false">IF(R599,100*I599/F599,"")</f>
        <v>0.123920685524257</v>
      </c>
      <c r="T599" s="11" t="b">
        <f aca="false">NOT(AND(OR(AND(ISBLANK(RawFinancials!B599),ISBLANK(_RawBaseline!B596)),AND(ISNUMBER(RawFinancials!B599),ISNUMBER(_RawBaseline!B596),RawFinancials!B599=_RawBaseline!B596)),OR(AND(ISBLANK(RawFinancials!U599),ISBLANK(_RawBaseline!U596)),AND(ISNUMBER(RawFinancials!U599),ISNUMBER(_RawBaseline!U596),RawFinancials!U599=_RawBaseline!U596)),OR(AND(ISBLANK(RawFinancials!O599),ISBLANK(_RawBaseline!O596)),AND(ISNUMBER(RawFinancials!O599),ISNUMBER(_RawBaseline!O596),RawFinancials!O599=_RawBaseline!O596))))</f>
        <v>0</v>
      </c>
      <c r="U599" s="13" t="n">
        <f aca="false">IF(AND(D599=WF_START_PERIOD,R599,COUNTIFS($B$5:$B$750,B599,$D$5:$D$750,WF_END_PERIOD,$R$5:$R$750,TRUE())&gt;0),SUMIFS($S$5:$S$750,$B$5:$B$750,B599,$D$5:$D$750,WF_END_PERIOD,$R$5:$R$750,TRUE()),0)</f>
        <v>0</v>
      </c>
      <c r="V599" s="0" t="str">
        <f aca="false">IF(AND(D599=WF_START_PERIOD,COUNTIFS($B$5:$B$750,B599,$D$5:$D$750,WF_END_PERIOD)&gt;0),INDEX($E$5:$E$750,MATCH(B599&amp;"|"&amp;WF_END_PERIOD,$AC$5:$AC$750,0)),"")</f>
        <v/>
      </c>
      <c r="W599" s="11" t="b">
        <f aca="false">COUNTIFS($B$5:$B$750,B599,$D$5:$D$750,WF_START_PERIOD,$R$5:$R$750,TRUE())&gt;0</f>
        <v>1</v>
      </c>
      <c r="X599" s="11" t="b">
        <f aca="false">COUNTIFS($B$5:$B$750,B599,$D$5:$D$750,WF_END_PERIOD,$R$5:$R$750,TRUE())&gt;0</f>
        <v>1</v>
      </c>
      <c r="Y599" s="0" t="str">
        <f aca="false">IF(AND(D599=WF_END_PERIOD,COUNTIFS($B$5:$B$750,B599,$D$5:$D$750,WF_START_PERIOD)&gt;0),INDEX($E$5:$E$750,MATCH(B599&amp;"|"&amp;WF_START_PERIOD,$AC$5:$AC$750,0)),"")</f>
        <v/>
      </c>
      <c r="Z599" s="0" t="str">
        <f aca="false">IF(AND(D599=WF_END_PERIOD,R599),1+COUNTIFS($D$5:$D$750,WF_END_PERIOD,$E$5:$E$750,E599,$R$5:$R$750,TRUE(),$S$5:$S$750,"&gt;"&amp;S599)+COUNTIFS($D$5:$D$750,WF_END_PERIOD,$E$5:$E$750,E599,$R$5:$R$750,TRUE(),$S$5:$S$750,S599,$B$5:$B$750,"&lt;"&amp;B599),"")</f>
        <v/>
      </c>
      <c r="AA599" s="0" t="str">
        <f aca="false">IF(AND(D599=WF_END_PERIOD,R599,Z599&lt;&gt;1),1+COUNTIFS($D$5:$D$750,WF_END_PERIOD,$R$5:$R$750,TRUE(),$Z$5:$Z$750,"&lt;&gt;1",$S$5:$S$750,"&gt;"&amp;S599)+COUNTIFS($D$5:$D$750,WF_END_PERIOD,$R$5:$R$750,TRUE(),$Z$5:$Z$750,"&lt;&gt;1",$S$5:$S$750,S599,$B$5:$B$750,"&lt;"&amp;B599),"")</f>
        <v/>
      </c>
      <c r="AB599" s="11" t="b">
        <f aca="false">OR(D599=WF_START_PERIOD,D599=WF_END_PERIOD)</f>
        <v>0</v>
      </c>
      <c r="AC599" s="0" t="str">
        <f aca="false">B599&amp;"|"&amp;D599</f>
        <v>14158|20241231</v>
      </c>
    </row>
    <row r="600" customFormat="false" ht="15" hidden="false" customHeight="false" outlineLevel="0" collapsed="false">
      <c r="A600" s="0" t="n">
        <f aca="false">RawFinancials!A600</f>
        <v>597</v>
      </c>
      <c r="B600" s="0" t="n">
        <f aca="false">RawFinancials!C600</f>
        <v>14168</v>
      </c>
      <c r="C600" s="0" t="str">
        <f aca="false">RawFinancials!P600</f>
        <v>PEOPLES TRUST COMPANY OF ST. ALBANS</v>
      </c>
      <c r="D600" s="0" t="n">
        <f aca="false">RawFinancials!W600</f>
        <v>20241231</v>
      </c>
      <c r="E600" s="0" t="str">
        <f aca="false">RawFinancials!Z600</f>
        <v>VT</v>
      </c>
      <c r="F600" s="0" t="n">
        <f aca="false">RawFinancials!B600</f>
        <v>369405</v>
      </c>
      <c r="G600" s="0" t="n">
        <f aca="false">RawFinancials!U600</f>
        <v>0</v>
      </c>
      <c r="H600" s="0" t="n">
        <f aca="false">RawFinancials!O600</f>
        <v>910</v>
      </c>
      <c r="I600" s="0" t="n">
        <f aca="false">IF(AND(ISNUMBER(G600),ISNUMBER(H600)),G600+H600,"")</f>
        <v>910</v>
      </c>
      <c r="J600" s="0" t="n">
        <f aca="false">RawFinancials!D600</f>
        <v>325925</v>
      </c>
      <c r="K600" s="0" t="n">
        <f aca="false">RawFinancials!F600</f>
        <v>37830</v>
      </c>
      <c r="L600" s="0" t="n">
        <f aca="false">RawFinancials!L600</f>
        <v>276382</v>
      </c>
      <c r="M600" s="0" t="n">
        <f aca="false">RawFinancials!N600</f>
        <v>234027</v>
      </c>
      <c r="N600" s="13" t="n">
        <f aca="false">RawFinancials!X600</f>
        <v>0.985943826552391</v>
      </c>
      <c r="O600" s="13" t="n">
        <f aca="false">RawFinancials!V600</f>
        <v>16.4194761448442</v>
      </c>
      <c r="P600" s="13" t="n">
        <f aca="false">IF(AND(ISNUMBER(L600),L600&lt;&gt;0,ISNUMBER(M600)),100*M600/L600,"")</f>
        <v>84.6751959244813</v>
      </c>
      <c r="Q600" s="13" t="n">
        <f aca="false">IF(AND(ISNUMBER(F600),F600&lt;&gt;0,ISNUMBER(K600)),100*K600/F600,"")</f>
        <v>10.2407926259796</v>
      </c>
      <c r="R600" s="11" t="b">
        <f aca="false">AND(ISNUMBER(F600),F600&gt;0,ISNUMBER(G600),G600&gt;=0,ISNUMBER(H600),H600&gt;=0)</f>
        <v>1</v>
      </c>
      <c r="S600" s="13" t="n">
        <f aca="false">IF(R600,100*I600/F600,"")</f>
        <v>0.246342090659304</v>
      </c>
      <c r="T600" s="11" t="b">
        <f aca="false">NOT(AND(OR(AND(ISBLANK(RawFinancials!B600),ISBLANK(_RawBaseline!B597)),AND(ISNUMBER(RawFinancials!B600),ISNUMBER(_RawBaseline!B597),RawFinancials!B600=_RawBaseline!B597)),OR(AND(ISBLANK(RawFinancials!U600),ISBLANK(_RawBaseline!U597)),AND(ISNUMBER(RawFinancials!U600),ISNUMBER(_RawBaseline!U597),RawFinancials!U600=_RawBaseline!U597)),OR(AND(ISBLANK(RawFinancials!O600),ISBLANK(_RawBaseline!O597)),AND(ISNUMBER(RawFinancials!O600),ISNUMBER(_RawBaseline!O597),RawFinancials!O600=_RawBaseline!O597))))</f>
        <v>0</v>
      </c>
      <c r="U600" s="13" t="n">
        <f aca="false">IF(AND(D600=WF_START_PERIOD,R600,COUNTIFS($B$5:$B$750,B600,$D$5:$D$750,WF_END_PERIOD,$R$5:$R$750,TRUE())&gt;0),SUMIFS($S$5:$S$750,$B$5:$B$750,B600,$D$5:$D$750,WF_END_PERIOD,$R$5:$R$750,TRUE()),0)</f>
        <v>0</v>
      </c>
      <c r="V600" s="0" t="str">
        <f aca="false">IF(AND(D600=WF_START_PERIOD,COUNTIFS($B$5:$B$750,B600,$D$5:$D$750,WF_END_PERIOD)&gt;0),INDEX($E$5:$E$750,MATCH(B600&amp;"|"&amp;WF_END_PERIOD,$AC$5:$AC$750,0)),"")</f>
        <v/>
      </c>
      <c r="W600" s="11" t="b">
        <f aca="false">COUNTIFS($B$5:$B$750,B600,$D$5:$D$750,WF_START_PERIOD,$R$5:$R$750,TRUE())&gt;0</f>
        <v>1</v>
      </c>
      <c r="X600" s="11" t="b">
        <f aca="false">COUNTIFS($B$5:$B$750,B600,$D$5:$D$750,WF_END_PERIOD,$R$5:$R$750,TRUE())&gt;0</f>
        <v>1</v>
      </c>
      <c r="Y600" s="0" t="str">
        <f aca="false">IF(AND(D600=WF_END_PERIOD,COUNTIFS($B$5:$B$750,B600,$D$5:$D$750,WF_START_PERIOD)&gt;0),INDEX($E$5:$E$750,MATCH(B600&amp;"|"&amp;WF_START_PERIOD,$AC$5:$AC$750,0)),"")</f>
        <v/>
      </c>
      <c r="Z600" s="0" t="str">
        <f aca="false">IF(AND(D600=WF_END_PERIOD,R600),1+COUNTIFS($D$5:$D$750,WF_END_PERIOD,$E$5:$E$750,E600,$R$5:$R$750,TRUE(),$S$5:$S$750,"&gt;"&amp;S600)+COUNTIFS($D$5:$D$750,WF_END_PERIOD,$E$5:$E$750,E600,$R$5:$R$750,TRUE(),$S$5:$S$750,S600,$B$5:$B$750,"&lt;"&amp;B600),"")</f>
        <v/>
      </c>
      <c r="AA600" s="0" t="str">
        <f aca="false">IF(AND(D600=WF_END_PERIOD,R600,Z600&lt;&gt;1),1+COUNTIFS($D$5:$D$750,WF_END_PERIOD,$R$5:$R$750,TRUE(),$Z$5:$Z$750,"&lt;&gt;1",$S$5:$S$750,"&gt;"&amp;S600)+COUNTIFS($D$5:$D$750,WF_END_PERIOD,$R$5:$R$750,TRUE(),$Z$5:$Z$750,"&lt;&gt;1",$S$5:$S$750,S600,$B$5:$B$750,"&lt;"&amp;B600),"")</f>
        <v/>
      </c>
      <c r="AB600" s="11" t="b">
        <f aca="false">OR(D600=WF_START_PERIOD,D600=WF_END_PERIOD)</f>
        <v>0</v>
      </c>
      <c r="AC600" s="0" t="str">
        <f aca="false">B600&amp;"|"&amp;D600</f>
        <v>14168|20241231</v>
      </c>
    </row>
    <row r="601" customFormat="false" ht="15" hidden="false" customHeight="false" outlineLevel="0" collapsed="false">
      <c r="A601" s="0" t="n">
        <f aca="false">RawFinancials!A601</f>
        <v>598</v>
      </c>
      <c r="B601" s="0" t="n">
        <f aca="false">RawFinancials!C601</f>
        <v>14240</v>
      </c>
      <c r="C601" s="0" t="str">
        <f aca="false">RawFinancials!P601</f>
        <v>NORTHWAY BANK</v>
      </c>
      <c r="D601" s="0" t="n">
        <f aca="false">RawFinancials!W601</f>
        <v>20241231</v>
      </c>
      <c r="E601" s="0" t="str">
        <f aca="false">RawFinancials!Z601</f>
        <v>NH</v>
      </c>
      <c r="F601" s="0" t="n">
        <f aca="false">RawFinancials!B601</f>
        <v>1188010</v>
      </c>
      <c r="G601" s="0" t="n">
        <f aca="false">RawFinancials!U601</f>
        <v>0</v>
      </c>
      <c r="H601" s="0" t="n">
        <f aca="false">RawFinancials!O601</f>
        <v>2934</v>
      </c>
      <c r="I601" s="0" t="n">
        <f aca="false">IF(AND(ISNUMBER(G601),ISNUMBER(H601)),G601+H601,"")</f>
        <v>2934</v>
      </c>
      <c r="J601" s="0" t="n">
        <f aca="false">RawFinancials!D601</f>
        <v>977466</v>
      </c>
      <c r="K601" s="0" t="n">
        <f aca="false">RawFinancials!F601</f>
        <v>89624</v>
      </c>
      <c r="L601" s="0" t="n">
        <f aca="false">RawFinancials!L601</f>
        <v>874800</v>
      </c>
      <c r="M601" s="0" t="n">
        <f aca="false">RawFinancials!N601</f>
        <v>760710</v>
      </c>
      <c r="N601" s="13" t="n">
        <f aca="false">RawFinancials!X601</f>
        <v>0.504315605562752</v>
      </c>
      <c r="O601" s="13" t="n">
        <f aca="false">RawFinancials!V601</f>
        <v>17.1493147404287</v>
      </c>
      <c r="P601" s="13" t="n">
        <f aca="false">IF(AND(ISNUMBER(L601),L601&lt;&gt;0,ISNUMBER(M601)),100*M601/L601,"")</f>
        <v>86.9581618655693</v>
      </c>
      <c r="Q601" s="13" t="n">
        <f aca="false">IF(AND(ISNUMBER(F601),F601&lt;&gt;0,ISNUMBER(K601)),100*K601/F601,"")</f>
        <v>7.54404424205184</v>
      </c>
      <c r="R601" s="11" t="b">
        <f aca="false">AND(ISNUMBER(F601),F601&gt;0,ISNUMBER(G601),G601&gt;=0,ISNUMBER(H601),H601&gt;=0)</f>
        <v>1</v>
      </c>
      <c r="S601" s="13" t="n">
        <f aca="false">IF(R601,100*I601/F601,"")</f>
        <v>0.246967618117693</v>
      </c>
      <c r="T601" s="11" t="b">
        <f aca="false">NOT(AND(OR(AND(ISBLANK(RawFinancials!B601),ISBLANK(_RawBaseline!B598)),AND(ISNUMBER(RawFinancials!B601),ISNUMBER(_RawBaseline!B598),RawFinancials!B601=_RawBaseline!B598)),OR(AND(ISBLANK(RawFinancials!U601),ISBLANK(_RawBaseline!U598)),AND(ISNUMBER(RawFinancials!U601),ISNUMBER(_RawBaseline!U598),RawFinancials!U601=_RawBaseline!U598)),OR(AND(ISBLANK(RawFinancials!O601),ISBLANK(_RawBaseline!O598)),AND(ISNUMBER(RawFinancials!O601),ISNUMBER(_RawBaseline!O598),RawFinancials!O601=_RawBaseline!O598))))</f>
        <v>0</v>
      </c>
      <c r="U601" s="13" t="n">
        <f aca="false">IF(AND(D601=WF_START_PERIOD,R601,COUNTIFS($B$5:$B$750,B601,$D$5:$D$750,WF_END_PERIOD,$R$5:$R$750,TRUE())&gt;0),SUMIFS($S$5:$S$750,$B$5:$B$750,B601,$D$5:$D$750,WF_END_PERIOD,$R$5:$R$750,TRUE()),0)</f>
        <v>0</v>
      </c>
      <c r="V601" s="0" t="str">
        <f aca="false">IF(AND(D601=WF_START_PERIOD,COUNTIFS($B$5:$B$750,B601,$D$5:$D$750,WF_END_PERIOD)&gt;0),INDEX($E$5:$E$750,MATCH(B601&amp;"|"&amp;WF_END_PERIOD,$AC$5:$AC$750,0)),"")</f>
        <v/>
      </c>
      <c r="W601" s="11" t="b">
        <f aca="false">COUNTIFS($B$5:$B$750,B601,$D$5:$D$750,WF_START_PERIOD,$R$5:$R$750,TRUE())&gt;0</f>
        <v>1</v>
      </c>
      <c r="X601" s="11" t="b">
        <f aca="false">COUNTIFS($B$5:$B$750,B601,$D$5:$D$750,WF_END_PERIOD,$R$5:$R$750,TRUE())&gt;0</f>
        <v>0</v>
      </c>
      <c r="Y601" s="0" t="str">
        <f aca="false">IF(AND(D601=WF_END_PERIOD,COUNTIFS($B$5:$B$750,B601,$D$5:$D$750,WF_START_PERIOD)&gt;0),INDEX($E$5:$E$750,MATCH(B601&amp;"|"&amp;WF_START_PERIOD,$AC$5:$AC$750,0)),"")</f>
        <v/>
      </c>
      <c r="Z601" s="0" t="str">
        <f aca="false">IF(AND(D601=WF_END_PERIOD,R601),1+COUNTIFS($D$5:$D$750,WF_END_PERIOD,$E$5:$E$750,E601,$R$5:$R$750,TRUE(),$S$5:$S$750,"&gt;"&amp;S601)+COUNTIFS($D$5:$D$750,WF_END_PERIOD,$E$5:$E$750,E601,$R$5:$R$750,TRUE(),$S$5:$S$750,S601,$B$5:$B$750,"&lt;"&amp;B601),"")</f>
        <v/>
      </c>
      <c r="AA601" s="0" t="str">
        <f aca="false">IF(AND(D601=WF_END_PERIOD,R601,Z601&lt;&gt;1),1+COUNTIFS($D$5:$D$750,WF_END_PERIOD,$R$5:$R$750,TRUE(),$Z$5:$Z$750,"&lt;&gt;1",$S$5:$S$750,"&gt;"&amp;S601)+COUNTIFS($D$5:$D$750,WF_END_PERIOD,$R$5:$R$750,TRUE(),$Z$5:$Z$750,"&lt;&gt;1",$S$5:$S$750,S601,$B$5:$B$750,"&lt;"&amp;B601),"")</f>
        <v/>
      </c>
      <c r="AB601" s="11" t="b">
        <f aca="false">OR(D601=WF_START_PERIOD,D601=WF_END_PERIOD)</f>
        <v>0</v>
      </c>
      <c r="AC601" s="0" t="str">
        <f aca="false">B601&amp;"|"&amp;D601</f>
        <v>14240|20241231</v>
      </c>
    </row>
    <row r="602" customFormat="false" ht="15" hidden="false" customHeight="false" outlineLevel="0" collapsed="false">
      <c r="A602" s="0" t="n">
        <f aca="false">RawFinancials!A602</f>
        <v>599</v>
      </c>
      <c r="B602" s="0" t="n">
        <f aca="false">RawFinancials!C602</f>
        <v>17115</v>
      </c>
      <c r="C602" s="0" t="str">
        <f aca="false">RawFinancials!P602</f>
        <v>PARTNERS BANK OF NEW ENGLAND</v>
      </c>
      <c r="D602" s="0" t="n">
        <f aca="false">RawFinancials!W602</f>
        <v>20241231</v>
      </c>
      <c r="E602" s="0" t="str">
        <f aca="false">RawFinancials!Z602</f>
        <v>ME</v>
      </c>
      <c r="F602" s="0" t="n">
        <f aca="false">RawFinancials!B602</f>
        <v>1041970</v>
      </c>
      <c r="G602" s="0" t="n">
        <f aca="false">RawFinancials!U602</f>
        <v>0</v>
      </c>
      <c r="H602" s="0" t="n">
        <f aca="false">RawFinancials!O602</f>
        <v>2571</v>
      </c>
      <c r="I602" s="0" t="n">
        <f aca="false">IF(AND(ISNUMBER(G602),ISNUMBER(H602)),G602+H602,"")</f>
        <v>2571</v>
      </c>
      <c r="J602" s="0" t="n">
        <f aca="false">RawFinancials!D602</f>
        <v>827656</v>
      </c>
      <c r="K602" s="0" t="n">
        <f aca="false">RawFinancials!F602</f>
        <v>91891</v>
      </c>
      <c r="L602" s="0" t="n">
        <f aca="false">RawFinancials!L602</f>
        <v>872561</v>
      </c>
      <c r="M602" s="0" t="n">
        <f aca="false">RawFinancials!N602</f>
        <v>826165</v>
      </c>
      <c r="N602" s="13" t="n">
        <f aca="false">RawFinancials!X602</f>
        <v>0.297310003392755</v>
      </c>
      <c r="O602" s="13" t="n">
        <f aca="false">RawFinancials!V602</f>
        <v>14.8981926999983</v>
      </c>
      <c r="P602" s="13" t="n">
        <f aca="false">IF(AND(ISNUMBER(L602),L602&lt;&gt;0,ISNUMBER(M602)),100*M602/L602,"")</f>
        <v>94.6827786252193</v>
      </c>
      <c r="Q602" s="13" t="n">
        <f aca="false">IF(AND(ISNUMBER(F602),F602&lt;&gt;0,ISNUMBER(K602)),100*K602/F602,"")</f>
        <v>8.8189679165427</v>
      </c>
      <c r="R602" s="11" t="b">
        <f aca="false">AND(ISNUMBER(F602),F602&gt;0,ISNUMBER(G602),G602&gt;=0,ISNUMBER(H602),H602&gt;=0)</f>
        <v>1</v>
      </c>
      <c r="S602" s="13" t="n">
        <f aca="false">IF(R602,100*I602/F602,"")</f>
        <v>0.246744148104072</v>
      </c>
      <c r="T602" s="11" t="b">
        <f aca="false">NOT(AND(OR(AND(ISBLANK(RawFinancials!B602),ISBLANK(_RawBaseline!B599)),AND(ISNUMBER(RawFinancials!B602),ISNUMBER(_RawBaseline!B599),RawFinancials!B602=_RawBaseline!B599)),OR(AND(ISBLANK(RawFinancials!U602),ISBLANK(_RawBaseline!U599)),AND(ISNUMBER(RawFinancials!U602),ISNUMBER(_RawBaseline!U599),RawFinancials!U602=_RawBaseline!U599)),OR(AND(ISBLANK(RawFinancials!O602),ISBLANK(_RawBaseline!O599)),AND(ISNUMBER(RawFinancials!O602),ISNUMBER(_RawBaseline!O599),RawFinancials!O602=_RawBaseline!O599))))</f>
        <v>0</v>
      </c>
      <c r="U602" s="13" t="n">
        <f aca="false">IF(AND(D602=WF_START_PERIOD,R602,COUNTIFS($B$5:$B$750,B602,$D$5:$D$750,WF_END_PERIOD,$R$5:$R$750,TRUE())&gt;0),SUMIFS($S$5:$S$750,$B$5:$B$750,B602,$D$5:$D$750,WF_END_PERIOD,$R$5:$R$750,TRUE()),0)</f>
        <v>0</v>
      </c>
      <c r="V602" s="0" t="str">
        <f aca="false">IF(AND(D602=WF_START_PERIOD,COUNTIFS($B$5:$B$750,B602,$D$5:$D$750,WF_END_PERIOD)&gt;0),INDEX($E$5:$E$750,MATCH(B602&amp;"|"&amp;WF_END_PERIOD,$AC$5:$AC$750,0)),"")</f>
        <v/>
      </c>
      <c r="W602" s="11" t="b">
        <f aca="false">COUNTIFS($B$5:$B$750,B602,$D$5:$D$750,WF_START_PERIOD,$R$5:$R$750,TRUE())&gt;0</f>
        <v>1</v>
      </c>
      <c r="X602" s="11" t="b">
        <f aca="false">COUNTIFS($B$5:$B$750,B602,$D$5:$D$750,WF_END_PERIOD,$R$5:$R$750,TRUE())&gt;0</f>
        <v>1</v>
      </c>
      <c r="Y602" s="0" t="str">
        <f aca="false">IF(AND(D602=WF_END_PERIOD,COUNTIFS($B$5:$B$750,B602,$D$5:$D$750,WF_START_PERIOD)&gt;0),INDEX($E$5:$E$750,MATCH(B602&amp;"|"&amp;WF_START_PERIOD,$AC$5:$AC$750,0)),"")</f>
        <v/>
      </c>
      <c r="Z602" s="0" t="str">
        <f aca="false">IF(AND(D602=WF_END_PERIOD,R602),1+COUNTIFS($D$5:$D$750,WF_END_PERIOD,$E$5:$E$750,E602,$R$5:$R$750,TRUE(),$S$5:$S$750,"&gt;"&amp;S602)+COUNTIFS($D$5:$D$750,WF_END_PERIOD,$E$5:$E$750,E602,$R$5:$R$750,TRUE(),$S$5:$S$750,S602,$B$5:$B$750,"&lt;"&amp;B602),"")</f>
        <v/>
      </c>
      <c r="AA602" s="0" t="str">
        <f aca="false">IF(AND(D602=WF_END_PERIOD,R602,Z602&lt;&gt;1),1+COUNTIFS($D$5:$D$750,WF_END_PERIOD,$R$5:$R$750,TRUE(),$Z$5:$Z$750,"&lt;&gt;1",$S$5:$S$750,"&gt;"&amp;S602)+COUNTIFS($D$5:$D$750,WF_END_PERIOD,$R$5:$R$750,TRUE(),$Z$5:$Z$750,"&lt;&gt;1",$S$5:$S$750,S602,$B$5:$B$750,"&lt;"&amp;B602),"")</f>
        <v/>
      </c>
      <c r="AB602" s="11" t="b">
        <f aca="false">OR(D602=WF_START_PERIOD,D602=WF_END_PERIOD)</f>
        <v>0</v>
      </c>
      <c r="AC602" s="0" t="str">
        <f aca="false">B602&amp;"|"&amp;D602</f>
        <v>17115|20241231</v>
      </c>
    </row>
    <row r="603" customFormat="false" ht="15" hidden="false" customHeight="false" outlineLevel="0" collapsed="false">
      <c r="A603" s="0" t="n">
        <f aca="false">RawFinancials!A603</f>
        <v>600</v>
      </c>
      <c r="B603" s="0" t="n">
        <f aca="false">RawFinancials!C603</f>
        <v>17180</v>
      </c>
      <c r="C603" s="0" t="str">
        <f aca="false">RawFinancials!P603</f>
        <v>MEREDITH VILLAGE SAVINGS BANK</v>
      </c>
      <c r="D603" s="0" t="n">
        <f aca="false">RawFinancials!W603</f>
        <v>20241231</v>
      </c>
      <c r="E603" s="0" t="str">
        <f aca="false">RawFinancials!Z603</f>
        <v>NH</v>
      </c>
      <c r="F603" s="0" t="n">
        <f aca="false">RawFinancials!B603</f>
        <v>1600157</v>
      </c>
      <c r="G603" s="0" t="n">
        <f aca="false">RawFinancials!U603</f>
        <v>0</v>
      </c>
      <c r="H603" s="0" t="n">
        <f aca="false">RawFinancials!O603</f>
        <v>6126</v>
      </c>
      <c r="I603" s="0" t="n">
        <f aca="false">IF(AND(ISNUMBER(G603),ISNUMBER(H603)),G603+H603,"")</f>
        <v>6126</v>
      </c>
      <c r="J603" s="0" t="n">
        <f aca="false">RawFinancials!D603</f>
        <v>1219406</v>
      </c>
      <c r="K603" s="0" t="n">
        <f aca="false">RawFinancials!F603</f>
        <v>143344</v>
      </c>
      <c r="L603" s="0" t="n">
        <f aca="false">RawFinancials!L603</f>
        <v>1419052</v>
      </c>
      <c r="M603" s="0" t="n">
        <f aca="false">RawFinancials!N603</f>
        <v>1189538</v>
      </c>
      <c r="N603" s="13" t="n">
        <f aca="false">RawFinancials!X603</f>
        <v>0.464179137228712</v>
      </c>
      <c r="O603" s="13" t="n">
        <f aca="false">RawFinancials!V603</f>
        <v>15.5888053222663</v>
      </c>
      <c r="P603" s="13" t="n">
        <f aca="false">IF(AND(ISNUMBER(L603),L603&lt;&gt;0,ISNUMBER(M603)),100*M603/L603,"")</f>
        <v>83.8262445632718</v>
      </c>
      <c r="Q603" s="13" t="n">
        <f aca="false">IF(AND(ISNUMBER(F603),F603&lt;&gt;0,ISNUMBER(K603)),100*K603/F603,"")</f>
        <v>8.95812098437841</v>
      </c>
      <c r="R603" s="11" t="b">
        <f aca="false">AND(ISNUMBER(F603),F603&gt;0,ISNUMBER(G603),G603&gt;=0,ISNUMBER(H603),H603&gt;=0)</f>
        <v>1</v>
      </c>
      <c r="S603" s="13" t="n">
        <f aca="false">IF(R603,100*I603/F603,"")</f>
        <v>0.382837434076781</v>
      </c>
      <c r="T603" s="11" t="b">
        <f aca="false">NOT(AND(OR(AND(ISBLANK(RawFinancials!B603),ISBLANK(_RawBaseline!B600)),AND(ISNUMBER(RawFinancials!B603),ISNUMBER(_RawBaseline!B600),RawFinancials!B603=_RawBaseline!B600)),OR(AND(ISBLANK(RawFinancials!U603),ISBLANK(_RawBaseline!U600)),AND(ISNUMBER(RawFinancials!U603),ISNUMBER(_RawBaseline!U600),RawFinancials!U603=_RawBaseline!U600)),OR(AND(ISBLANK(RawFinancials!O603),ISBLANK(_RawBaseline!O600)),AND(ISNUMBER(RawFinancials!O603),ISNUMBER(_RawBaseline!O600),RawFinancials!O603=_RawBaseline!O600))))</f>
        <v>0</v>
      </c>
      <c r="U603" s="13" t="n">
        <f aca="false">IF(AND(D603=WF_START_PERIOD,R603,COUNTIFS($B$5:$B$750,B603,$D$5:$D$750,WF_END_PERIOD,$R$5:$R$750,TRUE())&gt;0),SUMIFS($S$5:$S$750,$B$5:$B$750,B603,$D$5:$D$750,WF_END_PERIOD,$R$5:$R$750,TRUE()),0)</f>
        <v>0</v>
      </c>
      <c r="V603" s="0" t="str">
        <f aca="false">IF(AND(D603=WF_START_PERIOD,COUNTIFS($B$5:$B$750,B603,$D$5:$D$750,WF_END_PERIOD)&gt;0),INDEX($E$5:$E$750,MATCH(B603&amp;"|"&amp;WF_END_PERIOD,$AC$5:$AC$750,0)),"")</f>
        <v/>
      </c>
      <c r="W603" s="11" t="b">
        <f aca="false">COUNTIFS($B$5:$B$750,B603,$D$5:$D$750,WF_START_PERIOD,$R$5:$R$750,TRUE())&gt;0</f>
        <v>1</v>
      </c>
      <c r="X603" s="11" t="b">
        <f aca="false">COUNTIFS($B$5:$B$750,B603,$D$5:$D$750,WF_END_PERIOD,$R$5:$R$750,TRUE())&gt;0</f>
        <v>1</v>
      </c>
      <c r="Y603" s="0" t="str">
        <f aca="false">IF(AND(D603=WF_END_PERIOD,COUNTIFS($B$5:$B$750,B603,$D$5:$D$750,WF_START_PERIOD)&gt;0),INDEX($E$5:$E$750,MATCH(B603&amp;"|"&amp;WF_START_PERIOD,$AC$5:$AC$750,0)),"")</f>
        <v/>
      </c>
      <c r="Z603" s="0" t="str">
        <f aca="false">IF(AND(D603=WF_END_PERIOD,R603),1+COUNTIFS($D$5:$D$750,WF_END_PERIOD,$E$5:$E$750,E603,$R$5:$R$750,TRUE(),$S$5:$S$750,"&gt;"&amp;S603)+COUNTIFS($D$5:$D$750,WF_END_PERIOD,$E$5:$E$750,E603,$R$5:$R$750,TRUE(),$S$5:$S$750,S603,$B$5:$B$750,"&lt;"&amp;B603),"")</f>
        <v/>
      </c>
      <c r="AA603" s="0" t="str">
        <f aca="false">IF(AND(D603=WF_END_PERIOD,R603,Z603&lt;&gt;1),1+COUNTIFS($D$5:$D$750,WF_END_PERIOD,$R$5:$R$750,TRUE(),$Z$5:$Z$750,"&lt;&gt;1",$S$5:$S$750,"&gt;"&amp;S603)+COUNTIFS($D$5:$D$750,WF_END_PERIOD,$R$5:$R$750,TRUE(),$Z$5:$Z$750,"&lt;&gt;1",$S$5:$S$750,S603,$B$5:$B$750,"&lt;"&amp;B603),"")</f>
        <v/>
      </c>
      <c r="AB603" s="11" t="b">
        <f aca="false">OR(D603=WF_START_PERIOD,D603=WF_END_PERIOD)</f>
        <v>0</v>
      </c>
      <c r="AC603" s="0" t="str">
        <f aca="false">B603&amp;"|"&amp;D603</f>
        <v>17180|20241231</v>
      </c>
    </row>
    <row r="604" customFormat="false" ht="15" hidden="false" customHeight="false" outlineLevel="0" collapsed="false">
      <c r="A604" s="0" t="n">
        <f aca="false">RawFinancials!A604</f>
        <v>601</v>
      </c>
      <c r="B604" s="0" t="n">
        <f aca="false">RawFinancials!C604</f>
        <v>17443</v>
      </c>
      <c r="C604" s="0" t="str">
        <f aca="false">RawFinancials!P604</f>
        <v>PISCATAQUA SAVINGS BANK</v>
      </c>
      <c r="D604" s="0" t="n">
        <f aca="false">RawFinancials!W604</f>
        <v>20241231</v>
      </c>
      <c r="E604" s="0" t="str">
        <f aca="false">RawFinancials!Z604</f>
        <v>NH</v>
      </c>
      <c r="F604" s="0" t="n">
        <f aca="false">RawFinancials!B604</f>
        <v>362004</v>
      </c>
      <c r="G604" s="0" t="n">
        <f aca="false">RawFinancials!U604</f>
        <v>0</v>
      </c>
      <c r="H604" s="0" t="n">
        <f aca="false">RawFinancials!O604</f>
        <v>1097</v>
      </c>
      <c r="I604" s="0" t="n">
        <f aca="false">IF(AND(ISNUMBER(G604),ISNUMBER(H604)),G604+H604,"")</f>
        <v>1097</v>
      </c>
      <c r="J604" s="0" t="n">
        <f aca="false">RawFinancials!D604</f>
        <v>296951</v>
      </c>
      <c r="K604" s="0" t="n">
        <f aca="false">RawFinancials!F604</f>
        <v>38929</v>
      </c>
      <c r="L604" s="0" t="n">
        <f aca="false">RawFinancials!L604</f>
        <v>198189</v>
      </c>
      <c r="M604" s="0" t="n">
        <f aca="false">RawFinancials!N604</f>
        <v>196227</v>
      </c>
      <c r="N604" s="13" t="n">
        <f aca="false">RawFinancials!X604</f>
        <v>-0.226147959468919</v>
      </c>
      <c r="O604" s="13" t="n">
        <f aca="false">RawFinancials!V604</f>
        <v>0</v>
      </c>
      <c r="P604" s="13" t="n">
        <f aca="false">IF(AND(ISNUMBER(L604),L604&lt;&gt;0,ISNUMBER(M604)),100*M604/L604,"")</f>
        <v>99.0100358748467</v>
      </c>
      <c r="Q604" s="13" t="n">
        <f aca="false">IF(AND(ISNUMBER(F604),F604&lt;&gt;0,ISNUMBER(K604)),100*K604/F604,"")</f>
        <v>10.7537485773638</v>
      </c>
      <c r="R604" s="11" t="b">
        <f aca="false">AND(ISNUMBER(F604),F604&gt;0,ISNUMBER(G604),G604&gt;=0,ISNUMBER(H604),H604&gt;=0)</f>
        <v>1</v>
      </c>
      <c r="S604" s="13" t="n">
        <f aca="false">IF(R604,100*I604/F604,"")</f>
        <v>0.303035325576513</v>
      </c>
      <c r="T604" s="11" t="b">
        <f aca="false">NOT(AND(OR(AND(ISBLANK(RawFinancials!B604),ISBLANK(_RawBaseline!B601)),AND(ISNUMBER(RawFinancials!B604),ISNUMBER(_RawBaseline!B601),RawFinancials!B604=_RawBaseline!B601)),OR(AND(ISBLANK(RawFinancials!U604),ISBLANK(_RawBaseline!U601)),AND(ISNUMBER(RawFinancials!U604),ISNUMBER(_RawBaseline!U601),RawFinancials!U604=_RawBaseline!U601)),OR(AND(ISBLANK(RawFinancials!O604),ISBLANK(_RawBaseline!O601)),AND(ISNUMBER(RawFinancials!O604),ISNUMBER(_RawBaseline!O601),RawFinancials!O604=_RawBaseline!O601))))</f>
        <v>0</v>
      </c>
      <c r="U604" s="13" t="n">
        <f aca="false">IF(AND(D604=WF_START_PERIOD,R604,COUNTIFS($B$5:$B$750,B604,$D$5:$D$750,WF_END_PERIOD,$R$5:$R$750,TRUE())&gt;0),SUMIFS($S$5:$S$750,$B$5:$B$750,B604,$D$5:$D$750,WF_END_PERIOD,$R$5:$R$750,TRUE()),0)</f>
        <v>0</v>
      </c>
      <c r="V604" s="0" t="str">
        <f aca="false">IF(AND(D604=WF_START_PERIOD,COUNTIFS($B$5:$B$750,B604,$D$5:$D$750,WF_END_PERIOD)&gt;0),INDEX($E$5:$E$750,MATCH(B604&amp;"|"&amp;WF_END_PERIOD,$AC$5:$AC$750,0)),"")</f>
        <v/>
      </c>
      <c r="W604" s="11" t="b">
        <f aca="false">COUNTIFS($B$5:$B$750,B604,$D$5:$D$750,WF_START_PERIOD,$R$5:$R$750,TRUE())&gt;0</f>
        <v>1</v>
      </c>
      <c r="X604" s="11" t="b">
        <f aca="false">COUNTIFS($B$5:$B$750,B604,$D$5:$D$750,WF_END_PERIOD,$R$5:$R$750,TRUE())&gt;0</f>
        <v>1</v>
      </c>
      <c r="Y604" s="0" t="str">
        <f aca="false">IF(AND(D604=WF_END_PERIOD,COUNTIFS($B$5:$B$750,B604,$D$5:$D$750,WF_START_PERIOD)&gt;0),INDEX($E$5:$E$750,MATCH(B604&amp;"|"&amp;WF_START_PERIOD,$AC$5:$AC$750,0)),"")</f>
        <v/>
      </c>
      <c r="Z604" s="0" t="str">
        <f aca="false">IF(AND(D604=WF_END_PERIOD,R604),1+COUNTIFS($D$5:$D$750,WF_END_PERIOD,$E$5:$E$750,E604,$R$5:$R$750,TRUE(),$S$5:$S$750,"&gt;"&amp;S604)+COUNTIFS($D$5:$D$750,WF_END_PERIOD,$E$5:$E$750,E604,$R$5:$R$750,TRUE(),$S$5:$S$750,S604,$B$5:$B$750,"&lt;"&amp;B604),"")</f>
        <v/>
      </c>
      <c r="AA604" s="0" t="str">
        <f aca="false">IF(AND(D604=WF_END_PERIOD,R604,Z604&lt;&gt;1),1+COUNTIFS($D$5:$D$750,WF_END_PERIOD,$R$5:$R$750,TRUE(),$Z$5:$Z$750,"&lt;&gt;1",$S$5:$S$750,"&gt;"&amp;S604)+COUNTIFS($D$5:$D$750,WF_END_PERIOD,$R$5:$R$750,TRUE(),$Z$5:$Z$750,"&lt;&gt;1",$S$5:$S$750,S604,$B$5:$B$750,"&lt;"&amp;B604),"")</f>
        <v/>
      </c>
      <c r="AB604" s="11" t="b">
        <f aca="false">OR(D604=WF_START_PERIOD,D604=WF_END_PERIOD)</f>
        <v>0</v>
      </c>
      <c r="AC604" s="0" t="str">
        <f aca="false">B604&amp;"|"&amp;D604</f>
        <v>17443|20241231</v>
      </c>
    </row>
    <row r="605" customFormat="false" ht="15" hidden="false" customHeight="false" outlineLevel="0" collapsed="false">
      <c r="A605" s="0" t="n">
        <f aca="false">RawFinancials!A605</f>
        <v>602</v>
      </c>
      <c r="B605" s="0" t="n">
        <f aca="false">RawFinancials!C605</f>
        <v>17658</v>
      </c>
      <c r="C605" s="0" t="str">
        <f aca="false">RawFinancials!P605</f>
        <v>NORWAY SAVINGS BANK</v>
      </c>
      <c r="D605" s="0" t="n">
        <f aca="false">RawFinancials!W605</f>
        <v>20241231</v>
      </c>
      <c r="E605" s="0" t="str">
        <f aca="false">RawFinancials!Z605</f>
        <v>ME</v>
      </c>
      <c r="F605" s="0" t="n">
        <f aca="false">RawFinancials!B605</f>
        <v>1989287</v>
      </c>
      <c r="G605" s="0" t="n">
        <f aca="false">RawFinancials!U605</f>
        <v>0</v>
      </c>
      <c r="H605" s="0" t="n">
        <f aca="false">RawFinancials!O605</f>
        <v>9730</v>
      </c>
      <c r="I605" s="0" t="n">
        <f aca="false">IF(AND(ISNUMBER(G605),ISNUMBER(H605)),G605+H605,"")</f>
        <v>9730</v>
      </c>
      <c r="J605" s="0" t="n">
        <f aca="false">RawFinancials!D605</f>
        <v>1532228</v>
      </c>
      <c r="K605" s="0" t="n">
        <f aca="false">RawFinancials!F605</f>
        <v>221439</v>
      </c>
      <c r="L605" s="0" t="n">
        <f aca="false">RawFinancials!L605</f>
        <v>1433227</v>
      </c>
      <c r="M605" s="0" t="n">
        <f aca="false">RawFinancials!N605</f>
        <v>1227698</v>
      </c>
      <c r="N605" s="13" t="n">
        <f aca="false">RawFinancials!X605</f>
        <v>0.895346445042463</v>
      </c>
      <c r="O605" s="13" t="n">
        <f aca="false">RawFinancials!V605</f>
        <v>0</v>
      </c>
      <c r="P605" s="13" t="n">
        <f aca="false">IF(AND(ISNUMBER(L605),L605&lt;&gt;0,ISNUMBER(M605)),100*M605/L605,"")</f>
        <v>85.6597035919642</v>
      </c>
      <c r="Q605" s="13" t="n">
        <f aca="false">IF(AND(ISNUMBER(F605),F605&lt;&gt;0,ISNUMBER(K605)),100*K605/F605,"")</f>
        <v>11.1315762883888</v>
      </c>
      <c r="R605" s="11" t="b">
        <f aca="false">AND(ISNUMBER(F605),F605&gt;0,ISNUMBER(G605),G605&gt;=0,ISNUMBER(H605),H605&gt;=0)</f>
        <v>1</v>
      </c>
      <c r="S605" s="13" t="n">
        <f aca="false">IF(R605,100*I605/F605,"")</f>
        <v>0.489119971125333</v>
      </c>
      <c r="T605" s="11" t="b">
        <f aca="false">NOT(AND(OR(AND(ISBLANK(RawFinancials!B605),ISBLANK(_RawBaseline!B602)),AND(ISNUMBER(RawFinancials!B605),ISNUMBER(_RawBaseline!B602),RawFinancials!B605=_RawBaseline!B602)),OR(AND(ISBLANK(RawFinancials!U605),ISBLANK(_RawBaseline!U602)),AND(ISNUMBER(RawFinancials!U605),ISNUMBER(_RawBaseline!U602),RawFinancials!U605=_RawBaseline!U602)),OR(AND(ISBLANK(RawFinancials!O605),ISBLANK(_RawBaseline!O602)),AND(ISNUMBER(RawFinancials!O605),ISNUMBER(_RawBaseline!O602),RawFinancials!O605=_RawBaseline!O602))))</f>
        <v>0</v>
      </c>
      <c r="U605" s="13" t="n">
        <f aca="false">IF(AND(D605=WF_START_PERIOD,R605,COUNTIFS($B$5:$B$750,B605,$D$5:$D$750,WF_END_PERIOD,$R$5:$R$750,TRUE())&gt;0),SUMIFS($S$5:$S$750,$B$5:$B$750,B605,$D$5:$D$750,WF_END_PERIOD,$R$5:$R$750,TRUE()),0)</f>
        <v>0</v>
      </c>
      <c r="V605" s="0" t="str">
        <f aca="false">IF(AND(D605=WF_START_PERIOD,COUNTIFS($B$5:$B$750,B605,$D$5:$D$750,WF_END_PERIOD)&gt;0),INDEX($E$5:$E$750,MATCH(B605&amp;"|"&amp;WF_END_PERIOD,$AC$5:$AC$750,0)),"")</f>
        <v/>
      </c>
      <c r="W605" s="11" t="b">
        <f aca="false">COUNTIFS($B$5:$B$750,B605,$D$5:$D$750,WF_START_PERIOD,$R$5:$R$750,TRUE())&gt;0</f>
        <v>1</v>
      </c>
      <c r="X605" s="11" t="b">
        <f aca="false">COUNTIFS($B$5:$B$750,B605,$D$5:$D$750,WF_END_PERIOD,$R$5:$R$750,TRUE())&gt;0</f>
        <v>1</v>
      </c>
      <c r="Y605" s="0" t="str">
        <f aca="false">IF(AND(D605=WF_END_PERIOD,COUNTIFS($B$5:$B$750,B605,$D$5:$D$750,WF_START_PERIOD)&gt;0),INDEX($E$5:$E$750,MATCH(B605&amp;"|"&amp;WF_START_PERIOD,$AC$5:$AC$750,0)),"")</f>
        <v/>
      </c>
      <c r="Z605" s="0" t="str">
        <f aca="false">IF(AND(D605=WF_END_PERIOD,R605),1+COUNTIFS($D$5:$D$750,WF_END_PERIOD,$E$5:$E$750,E605,$R$5:$R$750,TRUE(),$S$5:$S$750,"&gt;"&amp;S605)+COUNTIFS($D$5:$D$750,WF_END_PERIOD,$E$5:$E$750,E605,$R$5:$R$750,TRUE(),$S$5:$S$750,S605,$B$5:$B$750,"&lt;"&amp;B605),"")</f>
        <v/>
      </c>
      <c r="AA605" s="0" t="str">
        <f aca="false">IF(AND(D605=WF_END_PERIOD,R605,Z605&lt;&gt;1),1+COUNTIFS($D$5:$D$750,WF_END_PERIOD,$R$5:$R$750,TRUE(),$Z$5:$Z$750,"&lt;&gt;1",$S$5:$S$750,"&gt;"&amp;S605)+COUNTIFS($D$5:$D$750,WF_END_PERIOD,$R$5:$R$750,TRUE(),$Z$5:$Z$750,"&lt;&gt;1",$S$5:$S$750,S605,$B$5:$B$750,"&lt;"&amp;B605),"")</f>
        <v/>
      </c>
      <c r="AB605" s="11" t="b">
        <f aca="false">OR(D605=WF_START_PERIOD,D605=WF_END_PERIOD)</f>
        <v>0</v>
      </c>
      <c r="AC605" s="0" t="str">
        <f aca="false">B605&amp;"|"&amp;D605</f>
        <v>17658|20241231</v>
      </c>
    </row>
    <row r="606" customFormat="false" ht="15" hidden="false" customHeight="false" outlineLevel="0" collapsed="false">
      <c r="A606" s="0" t="n">
        <f aca="false">RawFinancials!A606</f>
        <v>603</v>
      </c>
      <c r="B606" s="0" t="n">
        <f aca="false">RawFinancials!C606</f>
        <v>17741</v>
      </c>
      <c r="C606" s="0" t="str">
        <f aca="false">RawFinancials!P606</f>
        <v>MAINE COMMUNITY BANK</v>
      </c>
      <c r="D606" s="0" t="n">
        <f aca="false">RawFinancials!W606</f>
        <v>20241231</v>
      </c>
      <c r="E606" s="0" t="str">
        <f aca="false">RawFinancials!Z606</f>
        <v>ME</v>
      </c>
      <c r="F606" s="0" t="n">
        <f aca="false">RawFinancials!B606</f>
        <v>1167995</v>
      </c>
      <c r="G606" s="0" t="n">
        <f aca="false">RawFinancials!U606</f>
        <v>0</v>
      </c>
      <c r="H606" s="0" t="n">
        <f aca="false">RawFinancials!O606</f>
        <v>3480</v>
      </c>
      <c r="I606" s="0" t="n">
        <f aca="false">IF(AND(ISNUMBER(G606),ISNUMBER(H606)),G606+H606,"")</f>
        <v>3480</v>
      </c>
      <c r="J606" s="0" t="n">
        <f aca="false">RawFinancials!D606</f>
        <v>895674</v>
      </c>
      <c r="K606" s="0" t="n">
        <f aca="false">RawFinancials!F606</f>
        <v>147350</v>
      </c>
      <c r="L606" s="0" t="n">
        <f aca="false">RawFinancials!L606</f>
        <v>992991</v>
      </c>
      <c r="M606" s="0" t="n">
        <f aca="false">RawFinancials!N606</f>
        <v>934014</v>
      </c>
      <c r="N606" s="13" t="n">
        <f aca="false">RawFinancials!X606</f>
        <v>0.645702012436472</v>
      </c>
      <c r="O606" s="13" t="n">
        <f aca="false">RawFinancials!V606</f>
        <v>0</v>
      </c>
      <c r="P606" s="13" t="n">
        <f aca="false">IF(AND(ISNUMBER(L606),L606&lt;&gt;0,ISNUMBER(M606)),100*M606/L606,"")</f>
        <v>94.0606712447545</v>
      </c>
      <c r="Q606" s="13" t="n">
        <f aca="false">IF(AND(ISNUMBER(F606),F606&lt;&gt;0,ISNUMBER(K606)),100*K606/F606,"")</f>
        <v>12.6156361970728</v>
      </c>
      <c r="R606" s="11" t="b">
        <f aca="false">AND(ISNUMBER(F606),F606&gt;0,ISNUMBER(G606),G606&gt;=0,ISNUMBER(H606),H606&gt;=0)</f>
        <v>1</v>
      </c>
      <c r="S606" s="13" t="n">
        <f aca="false">IF(R606,100*I606/F606,"")</f>
        <v>0.297946480935278</v>
      </c>
      <c r="T606" s="11" t="b">
        <f aca="false">NOT(AND(OR(AND(ISBLANK(RawFinancials!B606),ISBLANK(_RawBaseline!B603)),AND(ISNUMBER(RawFinancials!B606),ISNUMBER(_RawBaseline!B603),RawFinancials!B606=_RawBaseline!B603)),OR(AND(ISBLANK(RawFinancials!U606),ISBLANK(_RawBaseline!U603)),AND(ISNUMBER(RawFinancials!U606),ISNUMBER(_RawBaseline!U603),RawFinancials!U606=_RawBaseline!U603)),OR(AND(ISBLANK(RawFinancials!O606),ISBLANK(_RawBaseline!O603)),AND(ISNUMBER(RawFinancials!O606),ISNUMBER(_RawBaseline!O603),RawFinancials!O606=_RawBaseline!O603))))</f>
        <v>0</v>
      </c>
      <c r="U606" s="13" t="n">
        <f aca="false">IF(AND(D606=WF_START_PERIOD,R606,COUNTIFS($B$5:$B$750,B606,$D$5:$D$750,WF_END_PERIOD,$R$5:$R$750,TRUE())&gt;0),SUMIFS($S$5:$S$750,$B$5:$B$750,B606,$D$5:$D$750,WF_END_PERIOD,$R$5:$R$750,TRUE()),0)</f>
        <v>0</v>
      </c>
      <c r="V606" s="0" t="str">
        <f aca="false">IF(AND(D606=WF_START_PERIOD,COUNTIFS($B$5:$B$750,B606,$D$5:$D$750,WF_END_PERIOD)&gt;0),INDEX($E$5:$E$750,MATCH(B606&amp;"|"&amp;WF_END_PERIOD,$AC$5:$AC$750,0)),"")</f>
        <v/>
      </c>
      <c r="W606" s="11" t="b">
        <f aca="false">COUNTIFS($B$5:$B$750,B606,$D$5:$D$750,WF_START_PERIOD,$R$5:$R$750,TRUE())&gt;0</f>
        <v>1</v>
      </c>
      <c r="X606" s="11" t="b">
        <f aca="false">COUNTIFS($B$5:$B$750,B606,$D$5:$D$750,WF_END_PERIOD,$R$5:$R$750,TRUE())&gt;0</f>
        <v>1</v>
      </c>
      <c r="Y606" s="0" t="str">
        <f aca="false">IF(AND(D606=WF_END_PERIOD,COUNTIFS($B$5:$B$750,B606,$D$5:$D$750,WF_START_PERIOD)&gt;0),INDEX($E$5:$E$750,MATCH(B606&amp;"|"&amp;WF_START_PERIOD,$AC$5:$AC$750,0)),"")</f>
        <v/>
      </c>
      <c r="Z606" s="0" t="str">
        <f aca="false">IF(AND(D606=WF_END_PERIOD,R606),1+COUNTIFS($D$5:$D$750,WF_END_PERIOD,$E$5:$E$750,E606,$R$5:$R$750,TRUE(),$S$5:$S$750,"&gt;"&amp;S606)+COUNTIFS($D$5:$D$750,WF_END_PERIOD,$E$5:$E$750,E606,$R$5:$R$750,TRUE(),$S$5:$S$750,S606,$B$5:$B$750,"&lt;"&amp;B606),"")</f>
        <v/>
      </c>
      <c r="AA606" s="0" t="str">
        <f aca="false">IF(AND(D606=WF_END_PERIOD,R606,Z606&lt;&gt;1),1+COUNTIFS($D$5:$D$750,WF_END_PERIOD,$R$5:$R$750,TRUE(),$Z$5:$Z$750,"&lt;&gt;1",$S$5:$S$750,"&gt;"&amp;S606)+COUNTIFS($D$5:$D$750,WF_END_PERIOD,$R$5:$R$750,TRUE(),$Z$5:$Z$750,"&lt;&gt;1",$S$5:$S$750,S606,$B$5:$B$750,"&lt;"&amp;B606),"")</f>
        <v/>
      </c>
      <c r="AB606" s="11" t="b">
        <f aca="false">OR(D606=WF_START_PERIOD,D606=WF_END_PERIOD)</f>
        <v>0</v>
      </c>
      <c r="AC606" s="0" t="str">
        <f aca="false">B606&amp;"|"&amp;D606</f>
        <v>17741|20241231</v>
      </c>
    </row>
    <row r="607" customFormat="false" ht="15" hidden="false" customHeight="false" outlineLevel="0" collapsed="false">
      <c r="A607" s="0" t="n">
        <f aca="false">RawFinancials!A607</f>
        <v>604</v>
      </c>
      <c r="B607" s="0" t="n">
        <f aca="false">RawFinancials!C607</f>
        <v>17743</v>
      </c>
      <c r="C607" s="0" t="str">
        <f aca="false">RawFinancials!P607</f>
        <v>SACO &amp; BIDDEFORD SAVINGS INSTITUTION</v>
      </c>
      <c r="D607" s="0" t="n">
        <f aca="false">RawFinancials!W607</f>
        <v>20241231</v>
      </c>
      <c r="E607" s="0" t="str">
        <f aca="false">RawFinancials!Z607</f>
        <v>ME</v>
      </c>
      <c r="F607" s="0" t="n">
        <f aca="false">RawFinancials!B607</f>
        <v>1411602</v>
      </c>
      <c r="G607" s="0" t="n">
        <f aca="false">RawFinancials!U607</f>
        <v>0</v>
      </c>
      <c r="H607" s="0" t="n">
        <f aca="false">RawFinancials!O607</f>
        <v>632</v>
      </c>
      <c r="I607" s="0" t="n">
        <f aca="false">IF(AND(ISNUMBER(G607),ISNUMBER(H607)),G607+H607,"")</f>
        <v>632</v>
      </c>
      <c r="J607" s="0" t="n">
        <f aca="false">RawFinancials!D607</f>
        <v>1011066</v>
      </c>
      <c r="K607" s="0" t="n">
        <f aca="false">RawFinancials!F607</f>
        <v>125438</v>
      </c>
      <c r="L607" s="0" t="n">
        <f aca="false">RawFinancials!L607</f>
        <v>1136109</v>
      </c>
      <c r="M607" s="0" t="n">
        <f aca="false">RawFinancials!N607</f>
        <v>1098486</v>
      </c>
      <c r="N607" s="13" t="n">
        <f aca="false">RawFinancials!X607</f>
        <v>0.107798252400096</v>
      </c>
      <c r="O607" s="13" t="n">
        <f aca="false">RawFinancials!V607</f>
        <v>0</v>
      </c>
      <c r="P607" s="13" t="n">
        <f aca="false">IF(AND(ISNUMBER(L607),L607&lt;&gt;0,ISNUMBER(M607)),100*M607/L607,"")</f>
        <v>96.6884339442782</v>
      </c>
      <c r="Q607" s="13" t="n">
        <f aca="false">IF(AND(ISNUMBER(F607),F607&lt;&gt;0,ISNUMBER(K607)),100*K607/F607,"")</f>
        <v>8.88621580303797</v>
      </c>
      <c r="R607" s="11" t="b">
        <f aca="false">AND(ISNUMBER(F607),F607&gt;0,ISNUMBER(G607),G607&gt;=0,ISNUMBER(H607),H607&gt;=0)</f>
        <v>1</v>
      </c>
      <c r="S607" s="13" t="n">
        <f aca="false">IF(R607,100*I607/F607,"")</f>
        <v>0.0447718266196846</v>
      </c>
      <c r="T607" s="11" t="b">
        <f aca="false">NOT(AND(OR(AND(ISBLANK(RawFinancials!B607),ISBLANK(_RawBaseline!B604)),AND(ISNUMBER(RawFinancials!B607),ISNUMBER(_RawBaseline!B604),RawFinancials!B607=_RawBaseline!B604)),OR(AND(ISBLANK(RawFinancials!U607),ISBLANK(_RawBaseline!U604)),AND(ISNUMBER(RawFinancials!U607),ISNUMBER(_RawBaseline!U604),RawFinancials!U607=_RawBaseline!U604)),OR(AND(ISBLANK(RawFinancials!O607),ISBLANK(_RawBaseline!O604)),AND(ISNUMBER(RawFinancials!O607),ISNUMBER(_RawBaseline!O604),RawFinancials!O607=_RawBaseline!O604))))</f>
        <v>0</v>
      </c>
      <c r="U607" s="13" t="n">
        <f aca="false">IF(AND(D607=WF_START_PERIOD,R607,COUNTIFS($B$5:$B$750,B607,$D$5:$D$750,WF_END_PERIOD,$R$5:$R$750,TRUE())&gt;0),SUMIFS($S$5:$S$750,$B$5:$B$750,B607,$D$5:$D$750,WF_END_PERIOD,$R$5:$R$750,TRUE()),0)</f>
        <v>0</v>
      </c>
      <c r="V607" s="0" t="str">
        <f aca="false">IF(AND(D607=WF_START_PERIOD,COUNTIFS($B$5:$B$750,B607,$D$5:$D$750,WF_END_PERIOD)&gt;0),INDEX($E$5:$E$750,MATCH(B607&amp;"|"&amp;WF_END_PERIOD,$AC$5:$AC$750,0)),"")</f>
        <v/>
      </c>
      <c r="W607" s="11" t="b">
        <f aca="false">COUNTIFS($B$5:$B$750,B607,$D$5:$D$750,WF_START_PERIOD,$R$5:$R$750,TRUE())&gt;0</f>
        <v>1</v>
      </c>
      <c r="X607" s="11" t="b">
        <f aca="false">COUNTIFS($B$5:$B$750,B607,$D$5:$D$750,WF_END_PERIOD,$R$5:$R$750,TRUE())&gt;0</f>
        <v>1</v>
      </c>
      <c r="Y607" s="0" t="str">
        <f aca="false">IF(AND(D607=WF_END_PERIOD,COUNTIFS($B$5:$B$750,B607,$D$5:$D$750,WF_START_PERIOD)&gt;0),INDEX($E$5:$E$750,MATCH(B607&amp;"|"&amp;WF_START_PERIOD,$AC$5:$AC$750,0)),"")</f>
        <v/>
      </c>
      <c r="Z607" s="0" t="str">
        <f aca="false">IF(AND(D607=WF_END_PERIOD,R607),1+COUNTIFS($D$5:$D$750,WF_END_PERIOD,$E$5:$E$750,E607,$R$5:$R$750,TRUE(),$S$5:$S$750,"&gt;"&amp;S607)+COUNTIFS($D$5:$D$750,WF_END_PERIOD,$E$5:$E$750,E607,$R$5:$R$750,TRUE(),$S$5:$S$750,S607,$B$5:$B$750,"&lt;"&amp;B607),"")</f>
        <v/>
      </c>
      <c r="AA607" s="0" t="str">
        <f aca="false">IF(AND(D607=WF_END_PERIOD,R607,Z607&lt;&gt;1),1+COUNTIFS($D$5:$D$750,WF_END_PERIOD,$R$5:$R$750,TRUE(),$Z$5:$Z$750,"&lt;&gt;1",$S$5:$S$750,"&gt;"&amp;S607)+COUNTIFS($D$5:$D$750,WF_END_PERIOD,$R$5:$R$750,TRUE(),$Z$5:$Z$750,"&lt;&gt;1",$S$5:$S$750,S607,$B$5:$B$750,"&lt;"&amp;B607),"")</f>
        <v/>
      </c>
      <c r="AB607" s="11" t="b">
        <f aca="false">OR(D607=WF_START_PERIOD,D607=WF_END_PERIOD)</f>
        <v>0</v>
      </c>
      <c r="AC607" s="0" t="str">
        <f aca="false">B607&amp;"|"&amp;D607</f>
        <v>17743|20241231</v>
      </c>
    </row>
    <row r="608" customFormat="false" ht="15" hidden="false" customHeight="false" outlineLevel="0" collapsed="false">
      <c r="A608" s="0" t="n">
        <f aca="false">RawFinancials!A608</f>
        <v>605</v>
      </c>
      <c r="B608" s="0" t="n">
        <f aca="false">RawFinancials!C608</f>
        <v>17748</v>
      </c>
      <c r="C608" s="0" t="str">
        <f aca="false">RawFinancials!P608</f>
        <v>GORHAM SAVINGS BANK</v>
      </c>
      <c r="D608" s="0" t="n">
        <f aca="false">RawFinancials!W608</f>
        <v>20241231</v>
      </c>
      <c r="E608" s="0" t="str">
        <f aca="false">RawFinancials!Z608</f>
        <v>ME</v>
      </c>
      <c r="F608" s="0" t="n">
        <f aca="false">RawFinancials!B608</f>
        <v>1608101</v>
      </c>
      <c r="G608" s="0" t="n">
        <f aca="false">RawFinancials!U608</f>
        <v>0</v>
      </c>
      <c r="H608" s="0" t="n">
        <f aca="false">RawFinancials!O608</f>
        <v>6153</v>
      </c>
      <c r="I608" s="0" t="n">
        <f aca="false">IF(AND(ISNUMBER(G608),ISNUMBER(H608)),G608+H608,"")</f>
        <v>6153</v>
      </c>
      <c r="J608" s="0" t="n">
        <f aca="false">RawFinancials!D608</f>
        <v>1393920</v>
      </c>
      <c r="K608" s="0" t="n">
        <f aca="false">RawFinancials!F608</f>
        <v>116220</v>
      </c>
      <c r="L608" s="0" t="n">
        <f aca="false">RawFinancials!L608</f>
        <v>1278094</v>
      </c>
      <c r="M608" s="0" t="n">
        <f aca="false">RawFinancials!N608</f>
        <v>1056120</v>
      </c>
      <c r="N608" s="13" t="n">
        <f aca="false">RawFinancials!X608</f>
        <v>0.329721781163526</v>
      </c>
      <c r="O608" s="13" t="n">
        <f aca="false">RawFinancials!V608</f>
        <v>0</v>
      </c>
      <c r="P608" s="13" t="n">
        <f aca="false">IF(AND(ISNUMBER(L608),L608&lt;&gt;0,ISNUMBER(M608)),100*M608/L608,"")</f>
        <v>82.6324198376645</v>
      </c>
      <c r="Q608" s="13" t="n">
        <f aca="false">IF(AND(ISNUMBER(F608),F608&lt;&gt;0,ISNUMBER(K608)),100*K608/F608,"")</f>
        <v>7.22715799567316</v>
      </c>
      <c r="R608" s="11" t="b">
        <f aca="false">AND(ISNUMBER(F608),F608&gt;0,ISNUMBER(G608),G608&gt;=0,ISNUMBER(H608),H608&gt;=0)</f>
        <v>1</v>
      </c>
      <c r="S608" s="13" t="n">
        <f aca="false">IF(R608,100*I608/F608,"")</f>
        <v>0.382625220679547</v>
      </c>
      <c r="T608" s="11" t="b">
        <f aca="false">NOT(AND(OR(AND(ISBLANK(RawFinancials!B608),ISBLANK(_RawBaseline!B605)),AND(ISNUMBER(RawFinancials!B608),ISNUMBER(_RawBaseline!B605),RawFinancials!B608=_RawBaseline!B605)),OR(AND(ISBLANK(RawFinancials!U608),ISBLANK(_RawBaseline!U605)),AND(ISNUMBER(RawFinancials!U608),ISNUMBER(_RawBaseline!U605),RawFinancials!U608=_RawBaseline!U605)),OR(AND(ISBLANK(RawFinancials!O608),ISBLANK(_RawBaseline!O605)),AND(ISNUMBER(RawFinancials!O608),ISNUMBER(_RawBaseline!O605),RawFinancials!O608=_RawBaseline!O605))))</f>
        <v>0</v>
      </c>
      <c r="U608" s="13" t="n">
        <f aca="false">IF(AND(D608=WF_START_PERIOD,R608,COUNTIFS($B$5:$B$750,B608,$D$5:$D$750,WF_END_PERIOD,$R$5:$R$750,TRUE())&gt;0),SUMIFS($S$5:$S$750,$B$5:$B$750,B608,$D$5:$D$750,WF_END_PERIOD,$R$5:$R$750,TRUE()),0)</f>
        <v>0</v>
      </c>
      <c r="V608" s="0" t="str">
        <f aca="false">IF(AND(D608=WF_START_PERIOD,COUNTIFS($B$5:$B$750,B608,$D$5:$D$750,WF_END_PERIOD)&gt;0),INDEX($E$5:$E$750,MATCH(B608&amp;"|"&amp;WF_END_PERIOD,$AC$5:$AC$750,0)),"")</f>
        <v/>
      </c>
      <c r="W608" s="11" t="b">
        <f aca="false">COUNTIFS($B$5:$B$750,B608,$D$5:$D$750,WF_START_PERIOD,$R$5:$R$750,TRUE())&gt;0</f>
        <v>1</v>
      </c>
      <c r="X608" s="11" t="b">
        <f aca="false">COUNTIFS($B$5:$B$750,B608,$D$5:$D$750,WF_END_PERIOD,$R$5:$R$750,TRUE())&gt;0</f>
        <v>0</v>
      </c>
      <c r="Y608" s="0" t="str">
        <f aca="false">IF(AND(D608=WF_END_PERIOD,COUNTIFS($B$5:$B$750,B608,$D$5:$D$750,WF_START_PERIOD)&gt;0),INDEX($E$5:$E$750,MATCH(B608&amp;"|"&amp;WF_START_PERIOD,$AC$5:$AC$750,0)),"")</f>
        <v/>
      </c>
      <c r="Z608" s="0" t="str">
        <f aca="false">IF(AND(D608=WF_END_PERIOD,R608),1+COUNTIFS($D$5:$D$750,WF_END_PERIOD,$E$5:$E$750,E608,$R$5:$R$750,TRUE(),$S$5:$S$750,"&gt;"&amp;S608)+COUNTIFS($D$5:$D$750,WF_END_PERIOD,$E$5:$E$750,E608,$R$5:$R$750,TRUE(),$S$5:$S$750,S608,$B$5:$B$750,"&lt;"&amp;B608),"")</f>
        <v/>
      </c>
      <c r="AA608" s="0" t="str">
        <f aca="false">IF(AND(D608=WF_END_PERIOD,R608,Z608&lt;&gt;1),1+COUNTIFS($D$5:$D$750,WF_END_PERIOD,$R$5:$R$750,TRUE(),$Z$5:$Z$750,"&lt;&gt;1",$S$5:$S$750,"&gt;"&amp;S608)+COUNTIFS($D$5:$D$750,WF_END_PERIOD,$R$5:$R$750,TRUE(),$Z$5:$Z$750,"&lt;&gt;1",$S$5:$S$750,S608,$B$5:$B$750,"&lt;"&amp;B608),"")</f>
        <v/>
      </c>
      <c r="AB608" s="11" t="b">
        <f aca="false">OR(D608=WF_START_PERIOD,D608=WF_END_PERIOD)</f>
        <v>0</v>
      </c>
      <c r="AC608" s="0" t="str">
        <f aca="false">B608&amp;"|"&amp;D608</f>
        <v>17748|20241231</v>
      </c>
    </row>
    <row r="609" customFormat="false" ht="15" hidden="false" customHeight="false" outlineLevel="0" collapsed="false">
      <c r="A609" s="0" t="n">
        <f aca="false">RawFinancials!A609</f>
        <v>606</v>
      </c>
      <c r="B609" s="0" t="n">
        <f aca="false">RawFinancials!C609</f>
        <v>17749</v>
      </c>
      <c r="C609" s="0" t="str">
        <f aca="false">RawFinancials!P609</f>
        <v>BATH SAVINGS INSTITUTION</v>
      </c>
      <c r="D609" s="0" t="n">
        <f aca="false">RawFinancials!W609</f>
        <v>20241231</v>
      </c>
      <c r="E609" s="0" t="str">
        <f aca="false">RawFinancials!Z609</f>
        <v>ME</v>
      </c>
      <c r="F609" s="0" t="n">
        <f aca="false">RawFinancials!B609</f>
        <v>1400586</v>
      </c>
      <c r="G609" s="0" t="n">
        <f aca="false">RawFinancials!U609</f>
        <v>0</v>
      </c>
      <c r="H609" s="0" t="n">
        <f aca="false">RawFinancials!O609</f>
        <v>610</v>
      </c>
      <c r="I609" s="0" t="n">
        <f aca="false">IF(AND(ISNUMBER(G609),ISNUMBER(H609)),G609+H609,"")</f>
        <v>610</v>
      </c>
      <c r="J609" s="0" t="n">
        <f aca="false">RawFinancials!D609</f>
        <v>1098984</v>
      </c>
      <c r="K609" s="0" t="n">
        <f aca="false">RawFinancials!F609</f>
        <v>189574</v>
      </c>
      <c r="L609" s="0" t="n">
        <f aca="false">RawFinancials!L609</f>
        <v>826652</v>
      </c>
      <c r="M609" s="0" t="n">
        <f aca="false">RawFinancials!N609</f>
        <v>755022</v>
      </c>
      <c r="N609" s="13" t="n">
        <f aca="false">RawFinancials!X609</f>
        <v>1.14589123831468</v>
      </c>
      <c r="O609" s="13" t="n">
        <f aca="false">RawFinancials!V609</f>
        <v>0</v>
      </c>
      <c r="P609" s="13" t="n">
        <f aca="false">IF(AND(ISNUMBER(L609),L609&lt;&gt;0,ISNUMBER(M609)),100*M609/L609,"")</f>
        <v>91.3349269099936</v>
      </c>
      <c r="Q609" s="13" t="n">
        <f aca="false">IF(AND(ISNUMBER(F609),F609&lt;&gt;0,ISNUMBER(K609)),100*K609/F609,"")</f>
        <v>13.5353344957039</v>
      </c>
      <c r="R609" s="11" t="b">
        <f aca="false">AND(ISNUMBER(F609),F609&gt;0,ISNUMBER(G609),G609&gt;=0,ISNUMBER(H609),H609&gt;=0)</f>
        <v>1</v>
      </c>
      <c r="S609" s="13" t="n">
        <f aca="false">IF(R609,100*I609/F609,"")</f>
        <v>0.0435531984469358</v>
      </c>
      <c r="T609" s="11" t="b">
        <f aca="false">NOT(AND(OR(AND(ISBLANK(RawFinancials!B609),ISBLANK(_RawBaseline!B606)),AND(ISNUMBER(RawFinancials!B609),ISNUMBER(_RawBaseline!B606),RawFinancials!B609=_RawBaseline!B606)),OR(AND(ISBLANK(RawFinancials!U609),ISBLANK(_RawBaseline!U606)),AND(ISNUMBER(RawFinancials!U609),ISNUMBER(_RawBaseline!U606),RawFinancials!U609=_RawBaseline!U606)),OR(AND(ISBLANK(RawFinancials!O609),ISBLANK(_RawBaseline!O606)),AND(ISNUMBER(RawFinancials!O609),ISNUMBER(_RawBaseline!O606),RawFinancials!O609=_RawBaseline!O606))))</f>
        <v>0</v>
      </c>
      <c r="U609" s="13" t="n">
        <f aca="false">IF(AND(D609=WF_START_PERIOD,R609,COUNTIFS($B$5:$B$750,B609,$D$5:$D$750,WF_END_PERIOD,$R$5:$R$750,TRUE())&gt;0),SUMIFS($S$5:$S$750,$B$5:$B$750,B609,$D$5:$D$750,WF_END_PERIOD,$R$5:$R$750,TRUE()),0)</f>
        <v>0</v>
      </c>
      <c r="V609" s="0" t="str">
        <f aca="false">IF(AND(D609=WF_START_PERIOD,COUNTIFS($B$5:$B$750,B609,$D$5:$D$750,WF_END_PERIOD)&gt;0),INDEX($E$5:$E$750,MATCH(B609&amp;"|"&amp;WF_END_PERIOD,$AC$5:$AC$750,0)),"")</f>
        <v/>
      </c>
      <c r="W609" s="11" t="b">
        <f aca="false">COUNTIFS($B$5:$B$750,B609,$D$5:$D$750,WF_START_PERIOD,$R$5:$R$750,TRUE())&gt;0</f>
        <v>1</v>
      </c>
      <c r="X609" s="11" t="b">
        <f aca="false">COUNTIFS($B$5:$B$750,B609,$D$5:$D$750,WF_END_PERIOD,$R$5:$R$750,TRUE())&gt;0</f>
        <v>1</v>
      </c>
      <c r="Y609" s="0" t="str">
        <f aca="false">IF(AND(D609=WF_END_PERIOD,COUNTIFS($B$5:$B$750,B609,$D$5:$D$750,WF_START_PERIOD)&gt;0),INDEX($E$5:$E$750,MATCH(B609&amp;"|"&amp;WF_START_PERIOD,$AC$5:$AC$750,0)),"")</f>
        <v/>
      </c>
      <c r="Z609" s="0" t="str">
        <f aca="false">IF(AND(D609=WF_END_PERIOD,R609),1+COUNTIFS($D$5:$D$750,WF_END_PERIOD,$E$5:$E$750,E609,$R$5:$R$750,TRUE(),$S$5:$S$750,"&gt;"&amp;S609)+COUNTIFS($D$5:$D$750,WF_END_PERIOD,$E$5:$E$750,E609,$R$5:$R$750,TRUE(),$S$5:$S$750,S609,$B$5:$B$750,"&lt;"&amp;B609),"")</f>
        <v/>
      </c>
      <c r="AA609" s="0" t="str">
        <f aca="false">IF(AND(D609=WF_END_PERIOD,R609,Z609&lt;&gt;1),1+COUNTIFS($D$5:$D$750,WF_END_PERIOD,$R$5:$R$750,TRUE(),$Z$5:$Z$750,"&lt;&gt;1",$S$5:$S$750,"&gt;"&amp;S609)+COUNTIFS($D$5:$D$750,WF_END_PERIOD,$R$5:$R$750,TRUE(),$Z$5:$Z$750,"&lt;&gt;1",$S$5:$S$750,S609,$B$5:$B$750,"&lt;"&amp;B609),"")</f>
        <v/>
      </c>
      <c r="AB609" s="11" t="b">
        <f aca="false">OR(D609=WF_START_PERIOD,D609=WF_END_PERIOD)</f>
        <v>0</v>
      </c>
      <c r="AC609" s="0" t="str">
        <f aca="false">B609&amp;"|"&amp;D609</f>
        <v>17749|20241231</v>
      </c>
    </row>
    <row r="610" customFormat="false" ht="15" hidden="false" customHeight="false" outlineLevel="0" collapsed="false">
      <c r="A610" s="0" t="n">
        <f aca="false">RawFinancials!A610</f>
        <v>607</v>
      </c>
      <c r="B610" s="0" t="n">
        <f aca="false">RawFinancials!C610</f>
        <v>17751</v>
      </c>
      <c r="C610" s="0" t="str">
        <f aca="false">RawFinancials!P610</f>
        <v>ANDROSCOGGIN SAVINGS BANK</v>
      </c>
      <c r="D610" s="0" t="n">
        <f aca="false">RawFinancials!W610</f>
        <v>20241231</v>
      </c>
      <c r="E610" s="0" t="str">
        <f aca="false">RawFinancials!Z610</f>
        <v>ME</v>
      </c>
      <c r="F610" s="0" t="n">
        <f aca="false">RawFinancials!B610</f>
        <v>1661812</v>
      </c>
      <c r="G610" s="0" t="n">
        <f aca="false">RawFinancials!U610</f>
        <v>0</v>
      </c>
      <c r="H610" s="0" t="n">
        <f aca="false">RawFinancials!O610</f>
        <v>2670</v>
      </c>
      <c r="I610" s="0" t="n">
        <f aca="false">IF(AND(ISNUMBER(G610),ISNUMBER(H610)),G610+H610,"")</f>
        <v>2670</v>
      </c>
      <c r="J610" s="0" t="n">
        <f aca="false">RawFinancials!D610</f>
        <v>1317297</v>
      </c>
      <c r="K610" s="0" t="n">
        <f aca="false">RawFinancials!F610</f>
        <v>146032</v>
      </c>
      <c r="L610" s="0" t="n">
        <f aca="false">RawFinancials!L610</f>
        <v>1375193</v>
      </c>
      <c r="M610" s="0" t="n">
        <f aca="false">RawFinancials!N610</f>
        <v>1175847</v>
      </c>
      <c r="N610" s="13" t="n">
        <f aca="false">RawFinancials!X610</f>
        <v>0.422514537152252</v>
      </c>
      <c r="O610" s="13" t="n">
        <f aca="false">RawFinancials!V610</f>
        <v>12.6009441821716</v>
      </c>
      <c r="P610" s="13" t="n">
        <f aca="false">IF(AND(ISNUMBER(L610),L610&lt;&gt;0,ISNUMBER(M610)),100*M610/L610,"")</f>
        <v>85.5041437820001</v>
      </c>
      <c r="Q610" s="13" t="n">
        <f aca="false">IF(AND(ISNUMBER(F610),F610&lt;&gt;0,ISNUMBER(K610)),100*K610/F610,"")</f>
        <v>8.78751627741285</v>
      </c>
      <c r="R610" s="11" t="b">
        <f aca="false">AND(ISNUMBER(F610),F610&gt;0,ISNUMBER(G610),G610&gt;=0,ISNUMBER(H610),H610&gt;=0)</f>
        <v>1</v>
      </c>
      <c r="S610" s="13" t="n">
        <f aca="false">IF(R610,100*I610/F610,"")</f>
        <v>0.160667993732143</v>
      </c>
      <c r="T610" s="11" t="b">
        <f aca="false">NOT(AND(OR(AND(ISBLANK(RawFinancials!B610),ISBLANK(_RawBaseline!B607)),AND(ISNUMBER(RawFinancials!B610),ISNUMBER(_RawBaseline!B607),RawFinancials!B610=_RawBaseline!B607)),OR(AND(ISBLANK(RawFinancials!U610),ISBLANK(_RawBaseline!U607)),AND(ISNUMBER(RawFinancials!U610),ISNUMBER(_RawBaseline!U607),RawFinancials!U610=_RawBaseline!U607)),OR(AND(ISBLANK(RawFinancials!O610),ISBLANK(_RawBaseline!O607)),AND(ISNUMBER(RawFinancials!O610),ISNUMBER(_RawBaseline!O607),RawFinancials!O610=_RawBaseline!O607))))</f>
        <v>0</v>
      </c>
      <c r="U610" s="13" t="n">
        <f aca="false">IF(AND(D610=WF_START_PERIOD,R610,COUNTIFS($B$5:$B$750,B610,$D$5:$D$750,WF_END_PERIOD,$R$5:$R$750,TRUE())&gt;0),SUMIFS($S$5:$S$750,$B$5:$B$750,B610,$D$5:$D$750,WF_END_PERIOD,$R$5:$R$750,TRUE()),0)</f>
        <v>0</v>
      </c>
      <c r="V610" s="0" t="str">
        <f aca="false">IF(AND(D610=WF_START_PERIOD,COUNTIFS($B$5:$B$750,B610,$D$5:$D$750,WF_END_PERIOD)&gt;0),INDEX($E$5:$E$750,MATCH(B610&amp;"|"&amp;WF_END_PERIOD,$AC$5:$AC$750,0)),"")</f>
        <v/>
      </c>
      <c r="W610" s="11" t="b">
        <f aca="false">COUNTIFS($B$5:$B$750,B610,$D$5:$D$750,WF_START_PERIOD,$R$5:$R$750,TRUE())&gt;0</f>
        <v>1</v>
      </c>
      <c r="X610" s="11" t="b">
        <f aca="false">COUNTIFS($B$5:$B$750,B610,$D$5:$D$750,WF_END_PERIOD,$R$5:$R$750,TRUE())&gt;0</f>
        <v>1</v>
      </c>
      <c r="Y610" s="0" t="str">
        <f aca="false">IF(AND(D610=WF_END_PERIOD,COUNTIFS($B$5:$B$750,B610,$D$5:$D$750,WF_START_PERIOD)&gt;0),INDEX($E$5:$E$750,MATCH(B610&amp;"|"&amp;WF_START_PERIOD,$AC$5:$AC$750,0)),"")</f>
        <v/>
      </c>
      <c r="Z610" s="0" t="str">
        <f aca="false">IF(AND(D610=WF_END_PERIOD,R610),1+COUNTIFS($D$5:$D$750,WF_END_PERIOD,$E$5:$E$750,E610,$R$5:$R$750,TRUE(),$S$5:$S$750,"&gt;"&amp;S610)+COUNTIFS($D$5:$D$750,WF_END_PERIOD,$E$5:$E$750,E610,$R$5:$R$750,TRUE(),$S$5:$S$750,S610,$B$5:$B$750,"&lt;"&amp;B610),"")</f>
        <v/>
      </c>
      <c r="AA610" s="0" t="str">
        <f aca="false">IF(AND(D610=WF_END_PERIOD,R610,Z610&lt;&gt;1),1+COUNTIFS($D$5:$D$750,WF_END_PERIOD,$R$5:$R$750,TRUE(),$Z$5:$Z$750,"&lt;&gt;1",$S$5:$S$750,"&gt;"&amp;S610)+COUNTIFS($D$5:$D$750,WF_END_PERIOD,$R$5:$R$750,TRUE(),$Z$5:$Z$750,"&lt;&gt;1",$S$5:$S$750,S610,$B$5:$B$750,"&lt;"&amp;B610),"")</f>
        <v/>
      </c>
      <c r="AB610" s="11" t="b">
        <f aca="false">OR(D610=WF_START_PERIOD,D610=WF_END_PERIOD)</f>
        <v>0</v>
      </c>
      <c r="AC610" s="0" t="str">
        <f aca="false">B610&amp;"|"&amp;D610</f>
        <v>17751|20241231</v>
      </c>
    </row>
    <row r="611" customFormat="false" ht="15" hidden="false" customHeight="false" outlineLevel="0" collapsed="false">
      <c r="A611" s="0" t="n">
        <f aca="false">RawFinancials!A611</f>
        <v>608</v>
      </c>
      <c r="B611" s="0" t="n">
        <f aca="false">RawFinancials!C611</f>
        <v>17897</v>
      </c>
      <c r="C611" s="0" t="str">
        <f aca="false">RawFinancials!P611</f>
        <v>KENNEBEC SAVINGS BANK</v>
      </c>
      <c r="D611" s="0" t="n">
        <f aca="false">RawFinancials!W611</f>
        <v>20241231</v>
      </c>
      <c r="E611" s="0" t="str">
        <f aca="false">RawFinancials!Z611</f>
        <v>ME</v>
      </c>
      <c r="F611" s="0" t="n">
        <f aca="false">RawFinancials!B611</f>
        <v>1764971</v>
      </c>
      <c r="G611" s="0" t="n">
        <f aca="false">RawFinancials!U611</f>
        <v>0</v>
      </c>
      <c r="H611" s="0" t="n">
        <f aca="false">RawFinancials!O611</f>
        <v>4603</v>
      </c>
      <c r="I611" s="0" t="n">
        <f aca="false">IF(AND(ISNUMBER(G611),ISNUMBER(H611)),G611+H611,"")</f>
        <v>4603</v>
      </c>
      <c r="J611" s="0" t="n">
        <f aca="false">RawFinancials!D611</f>
        <v>1348133</v>
      </c>
      <c r="K611" s="0" t="n">
        <f aca="false">RawFinancials!F611</f>
        <v>215583</v>
      </c>
      <c r="L611" s="0" t="n">
        <f aca="false">RawFinancials!L611</f>
        <v>1469046</v>
      </c>
      <c r="M611" s="0" t="n">
        <f aca="false">RawFinancials!N611</f>
        <v>1368497</v>
      </c>
      <c r="N611" s="13" t="n">
        <f aca="false">RawFinancials!X611</f>
        <v>0.605050213976672</v>
      </c>
      <c r="O611" s="13" t="n">
        <f aca="false">RawFinancials!V611</f>
        <v>17.6014618454454</v>
      </c>
      <c r="P611" s="13" t="n">
        <f aca="false">IF(AND(ISNUMBER(L611),L611&lt;&gt;0,ISNUMBER(M611)),100*M611/L611,"")</f>
        <v>93.1554900254996</v>
      </c>
      <c r="Q611" s="13" t="n">
        <f aca="false">IF(AND(ISNUMBER(F611),F611&lt;&gt;0,ISNUMBER(K611)),100*K611/F611,"")</f>
        <v>12.2145349696964</v>
      </c>
      <c r="R611" s="11" t="b">
        <f aca="false">AND(ISNUMBER(F611),F611&gt;0,ISNUMBER(G611),G611&gt;=0,ISNUMBER(H611),H611&gt;=0)</f>
        <v>1</v>
      </c>
      <c r="S611" s="13" t="n">
        <f aca="false">IF(R611,100*I611/F611,"")</f>
        <v>0.260797486190991</v>
      </c>
      <c r="T611" s="11" t="b">
        <f aca="false">NOT(AND(OR(AND(ISBLANK(RawFinancials!B611),ISBLANK(_RawBaseline!B608)),AND(ISNUMBER(RawFinancials!B611),ISNUMBER(_RawBaseline!B608),RawFinancials!B611=_RawBaseline!B608)),OR(AND(ISBLANK(RawFinancials!U611),ISBLANK(_RawBaseline!U608)),AND(ISNUMBER(RawFinancials!U611),ISNUMBER(_RawBaseline!U608),RawFinancials!U611=_RawBaseline!U608)),OR(AND(ISBLANK(RawFinancials!O611),ISBLANK(_RawBaseline!O608)),AND(ISNUMBER(RawFinancials!O611),ISNUMBER(_RawBaseline!O608),RawFinancials!O611=_RawBaseline!O608))))</f>
        <v>0</v>
      </c>
      <c r="U611" s="13" t="n">
        <f aca="false">IF(AND(D611=WF_START_PERIOD,R611,COUNTIFS($B$5:$B$750,B611,$D$5:$D$750,WF_END_PERIOD,$R$5:$R$750,TRUE())&gt;0),SUMIFS($S$5:$S$750,$B$5:$B$750,B611,$D$5:$D$750,WF_END_PERIOD,$R$5:$R$750,TRUE()),0)</f>
        <v>0</v>
      </c>
      <c r="V611" s="0" t="str">
        <f aca="false">IF(AND(D611=WF_START_PERIOD,COUNTIFS($B$5:$B$750,B611,$D$5:$D$750,WF_END_PERIOD)&gt;0),INDEX($E$5:$E$750,MATCH(B611&amp;"|"&amp;WF_END_PERIOD,$AC$5:$AC$750,0)),"")</f>
        <v/>
      </c>
      <c r="W611" s="11" t="b">
        <f aca="false">COUNTIFS($B$5:$B$750,B611,$D$5:$D$750,WF_START_PERIOD,$R$5:$R$750,TRUE())&gt;0</f>
        <v>1</v>
      </c>
      <c r="X611" s="11" t="b">
        <f aca="false">COUNTIFS($B$5:$B$750,B611,$D$5:$D$750,WF_END_PERIOD,$R$5:$R$750,TRUE())&gt;0</f>
        <v>1</v>
      </c>
      <c r="Y611" s="0" t="str">
        <f aca="false">IF(AND(D611=WF_END_PERIOD,COUNTIFS($B$5:$B$750,B611,$D$5:$D$750,WF_START_PERIOD)&gt;0),INDEX($E$5:$E$750,MATCH(B611&amp;"|"&amp;WF_START_PERIOD,$AC$5:$AC$750,0)),"")</f>
        <v/>
      </c>
      <c r="Z611" s="0" t="str">
        <f aca="false">IF(AND(D611=WF_END_PERIOD,R611),1+COUNTIFS($D$5:$D$750,WF_END_PERIOD,$E$5:$E$750,E611,$R$5:$R$750,TRUE(),$S$5:$S$750,"&gt;"&amp;S611)+COUNTIFS($D$5:$D$750,WF_END_PERIOD,$E$5:$E$750,E611,$R$5:$R$750,TRUE(),$S$5:$S$750,S611,$B$5:$B$750,"&lt;"&amp;B611),"")</f>
        <v/>
      </c>
      <c r="AA611" s="0" t="str">
        <f aca="false">IF(AND(D611=WF_END_PERIOD,R611,Z611&lt;&gt;1),1+COUNTIFS($D$5:$D$750,WF_END_PERIOD,$R$5:$R$750,TRUE(),$Z$5:$Z$750,"&lt;&gt;1",$S$5:$S$750,"&gt;"&amp;S611)+COUNTIFS($D$5:$D$750,WF_END_PERIOD,$R$5:$R$750,TRUE(),$Z$5:$Z$750,"&lt;&gt;1",$S$5:$S$750,S611,$B$5:$B$750,"&lt;"&amp;B611),"")</f>
        <v/>
      </c>
      <c r="AB611" s="11" t="b">
        <f aca="false">OR(D611=WF_START_PERIOD,D611=WF_END_PERIOD)</f>
        <v>0</v>
      </c>
      <c r="AC611" s="0" t="str">
        <f aca="false">B611&amp;"|"&amp;D611</f>
        <v>17897|20241231</v>
      </c>
    </row>
    <row r="612" customFormat="false" ht="15" hidden="false" customHeight="false" outlineLevel="0" collapsed="false">
      <c r="A612" s="0" t="n">
        <f aca="false">RawFinancials!A612</f>
        <v>609</v>
      </c>
      <c r="B612" s="0" t="n">
        <f aca="false">RawFinancials!C612</f>
        <v>17951</v>
      </c>
      <c r="C612" s="0" t="str">
        <f aca="false">RawFinancials!P612</f>
        <v>FRANKLIN SAVINGS BANK</v>
      </c>
      <c r="D612" s="0" t="n">
        <f aca="false">RawFinancials!W612</f>
        <v>20241231</v>
      </c>
      <c r="E612" s="0" t="str">
        <f aca="false">RawFinancials!Z612</f>
        <v>NH</v>
      </c>
      <c r="F612" s="0" t="n">
        <f aca="false">RawFinancials!B612</f>
        <v>821983</v>
      </c>
      <c r="G612" s="0" t="n">
        <f aca="false">RawFinancials!U612</f>
        <v>0</v>
      </c>
      <c r="H612" s="0" t="n">
        <f aca="false">RawFinancials!O612</f>
        <v>60</v>
      </c>
      <c r="I612" s="0" t="n">
        <f aca="false">IF(AND(ISNUMBER(G612),ISNUMBER(H612)),G612+H612,"")</f>
        <v>60</v>
      </c>
      <c r="J612" s="0" t="n">
        <f aca="false">RawFinancials!D612</f>
        <v>701106</v>
      </c>
      <c r="K612" s="0" t="n">
        <f aca="false">RawFinancials!F612</f>
        <v>65761</v>
      </c>
      <c r="L612" s="0" t="n">
        <f aca="false">RawFinancials!L612</f>
        <v>617817</v>
      </c>
      <c r="M612" s="0" t="n">
        <f aca="false">RawFinancials!N612</f>
        <v>567751</v>
      </c>
      <c r="N612" s="13" t="n">
        <f aca="false">RawFinancials!X612</f>
        <v>0.486473579798404</v>
      </c>
      <c r="O612" s="13" t="n">
        <f aca="false">RawFinancials!V612</f>
        <v>14.1464151450054</v>
      </c>
      <c r="P612" s="13" t="n">
        <f aca="false">IF(AND(ISNUMBER(L612),L612&lt;&gt;0,ISNUMBER(M612)),100*M612/L612,"")</f>
        <v>91.8963058640342</v>
      </c>
      <c r="Q612" s="13" t="n">
        <f aca="false">IF(AND(ISNUMBER(F612),F612&lt;&gt;0,ISNUMBER(K612)),100*K612/F612,"")</f>
        <v>8.00028711056068</v>
      </c>
      <c r="R612" s="11" t="b">
        <f aca="false">AND(ISNUMBER(F612),F612&gt;0,ISNUMBER(G612),G612&gt;=0,ISNUMBER(H612),H612&gt;=0)</f>
        <v>1</v>
      </c>
      <c r="S612" s="13" t="n">
        <f aca="false">IF(R612,100*I612/F612,"")</f>
        <v>0.00729942103425497</v>
      </c>
      <c r="T612" s="11" t="b">
        <f aca="false">NOT(AND(OR(AND(ISBLANK(RawFinancials!B612),ISBLANK(_RawBaseline!B609)),AND(ISNUMBER(RawFinancials!B612),ISNUMBER(_RawBaseline!B609),RawFinancials!B612=_RawBaseline!B609)),OR(AND(ISBLANK(RawFinancials!U612),ISBLANK(_RawBaseline!U609)),AND(ISNUMBER(RawFinancials!U612),ISNUMBER(_RawBaseline!U609),RawFinancials!U612=_RawBaseline!U609)),OR(AND(ISBLANK(RawFinancials!O612),ISBLANK(_RawBaseline!O609)),AND(ISNUMBER(RawFinancials!O612),ISNUMBER(_RawBaseline!O609),RawFinancials!O612=_RawBaseline!O609))))</f>
        <v>0</v>
      </c>
      <c r="U612" s="13" t="n">
        <f aca="false">IF(AND(D612=WF_START_PERIOD,R612,COUNTIFS($B$5:$B$750,B612,$D$5:$D$750,WF_END_PERIOD,$R$5:$R$750,TRUE())&gt;0),SUMIFS($S$5:$S$750,$B$5:$B$750,B612,$D$5:$D$750,WF_END_PERIOD,$R$5:$R$750,TRUE()),0)</f>
        <v>0</v>
      </c>
      <c r="V612" s="0" t="str">
        <f aca="false">IF(AND(D612=WF_START_PERIOD,COUNTIFS($B$5:$B$750,B612,$D$5:$D$750,WF_END_PERIOD)&gt;0),INDEX($E$5:$E$750,MATCH(B612&amp;"|"&amp;WF_END_PERIOD,$AC$5:$AC$750,0)),"")</f>
        <v/>
      </c>
      <c r="W612" s="11" t="b">
        <f aca="false">COUNTIFS($B$5:$B$750,B612,$D$5:$D$750,WF_START_PERIOD,$R$5:$R$750,TRUE())&gt;0</f>
        <v>1</v>
      </c>
      <c r="X612" s="11" t="b">
        <f aca="false">COUNTIFS($B$5:$B$750,B612,$D$5:$D$750,WF_END_PERIOD,$R$5:$R$750,TRUE())&gt;0</f>
        <v>1</v>
      </c>
      <c r="Y612" s="0" t="str">
        <f aca="false">IF(AND(D612=WF_END_PERIOD,COUNTIFS($B$5:$B$750,B612,$D$5:$D$750,WF_START_PERIOD)&gt;0),INDEX($E$5:$E$750,MATCH(B612&amp;"|"&amp;WF_START_PERIOD,$AC$5:$AC$750,0)),"")</f>
        <v/>
      </c>
      <c r="Z612" s="0" t="str">
        <f aca="false">IF(AND(D612=WF_END_PERIOD,R612),1+COUNTIFS($D$5:$D$750,WF_END_PERIOD,$E$5:$E$750,E612,$R$5:$R$750,TRUE(),$S$5:$S$750,"&gt;"&amp;S612)+COUNTIFS($D$5:$D$750,WF_END_PERIOD,$E$5:$E$750,E612,$R$5:$R$750,TRUE(),$S$5:$S$750,S612,$B$5:$B$750,"&lt;"&amp;B612),"")</f>
        <v/>
      </c>
      <c r="AA612" s="0" t="str">
        <f aca="false">IF(AND(D612=WF_END_PERIOD,R612,Z612&lt;&gt;1),1+COUNTIFS($D$5:$D$750,WF_END_PERIOD,$R$5:$R$750,TRUE(),$Z$5:$Z$750,"&lt;&gt;1",$S$5:$S$750,"&gt;"&amp;S612)+COUNTIFS($D$5:$D$750,WF_END_PERIOD,$R$5:$R$750,TRUE(),$Z$5:$Z$750,"&lt;&gt;1",$S$5:$S$750,S612,$B$5:$B$750,"&lt;"&amp;B612),"")</f>
        <v/>
      </c>
      <c r="AB612" s="11" t="b">
        <f aca="false">OR(D612=WF_START_PERIOD,D612=WF_END_PERIOD)</f>
        <v>0</v>
      </c>
      <c r="AC612" s="0" t="str">
        <f aca="false">B612&amp;"|"&amp;D612</f>
        <v>17951|20241231</v>
      </c>
    </row>
    <row r="613" customFormat="false" ht="15" hidden="false" customHeight="false" outlineLevel="0" collapsed="false">
      <c r="A613" s="0" t="n">
        <f aca="false">RawFinancials!A613</f>
        <v>610</v>
      </c>
      <c r="B613" s="0" t="n">
        <f aca="false">RawFinancials!C613</f>
        <v>17960</v>
      </c>
      <c r="C613" s="0" t="str">
        <f aca="false">RawFinancials!P613</f>
        <v>MERRIMACK COUNTY SAVINGS BANK</v>
      </c>
      <c r="D613" s="0" t="n">
        <f aca="false">RawFinancials!W613</f>
        <v>20241231</v>
      </c>
      <c r="E613" s="0" t="str">
        <f aca="false">RawFinancials!Z613</f>
        <v>NH</v>
      </c>
      <c r="F613" s="0" t="n">
        <f aca="false">RawFinancials!B613</f>
        <v>1353925</v>
      </c>
      <c r="G613" s="0" t="n">
        <f aca="false">RawFinancials!U613</f>
        <v>0</v>
      </c>
      <c r="H613" s="0" t="n">
        <f aca="false">RawFinancials!O613</f>
        <v>7247</v>
      </c>
      <c r="I613" s="0" t="n">
        <f aca="false">IF(AND(ISNUMBER(G613),ISNUMBER(H613)),G613+H613,"")</f>
        <v>7247</v>
      </c>
      <c r="J613" s="0" t="n">
        <f aca="false">RawFinancials!D613</f>
        <v>1120519</v>
      </c>
      <c r="K613" s="0" t="n">
        <f aca="false">RawFinancials!F613</f>
        <v>115328</v>
      </c>
      <c r="L613" s="0" t="n">
        <f aca="false">RawFinancials!L613</f>
        <v>1150547</v>
      </c>
      <c r="M613" s="0" t="n">
        <f aca="false">RawFinancials!N613</f>
        <v>823641</v>
      </c>
      <c r="N613" s="13" t="n">
        <f aca="false">RawFinancials!X613</f>
        <v>0.226999833475026</v>
      </c>
      <c r="O613" s="13" t="n">
        <f aca="false">RawFinancials!V613</f>
        <v>13.6907933076507</v>
      </c>
      <c r="P613" s="13" t="n">
        <f aca="false">IF(AND(ISNUMBER(L613),L613&lt;&gt;0,ISNUMBER(M613)),100*M613/L613,"")</f>
        <v>71.5869060542507</v>
      </c>
      <c r="Q613" s="13" t="n">
        <f aca="false">IF(AND(ISNUMBER(F613),F613&lt;&gt;0,ISNUMBER(K613)),100*K613/F613,"")</f>
        <v>8.51804937496538</v>
      </c>
      <c r="R613" s="11" t="b">
        <f aca="false">AND(ISNUMBER(F613),F613&gt;0,ISNUMBER(G613),G613&gt;=0,ISNUMBER(H613),H613&gt;=0)</f>
        <v>1</v>
      </c>
      <c r="S613" s="13" t="n">
        <f aca="false">IF(R613,100*I613/F613,"")</f>
        <v>0.535258599996307</v>
      </c>
      <c r="T613" s="11" t="b">
        <f aca="false">NOT(AND(OR(AND(ISBLANK(RawFinancials!B613),ISBLANK(_RawBaseline!B610)),AND(ISNUMBER(RawFinancials!B613),ISNUMBER(_RawBaseline!B610),RawFinancials!B613=_RawBaseline!B610)),OR(AND(ISBLANK(RawFinancials!U613),ISBLANK(_RawBaseline!U610)),AND(ISNUMBER(RawFinancials!U613),ISNUMBER(_RawBaseline!U610),RawFinancials!U613=_RawBaseline!U610)),OR(AND(ISBLANK(RawFinancials!O613),ISBLANK(_RawBaseline!O610)),AND(ISNUMBER(RawFinancials!O613),ISNUMBER(_RawBaseline!O610),RawFinancials!O613=_RawBaseline!O610))))</f>
        <v>0</v>
      </c>
      <c r="U613" s="13" t="n">
        <f aca="false">IF(AND(D613=WF_START_PERIOD,R613,COUNTIFS($B$5:$B$750,B613,$D$5:$D$750,WF_END_PERIOD,$R$5:$R$750,TRUE())&gt;0),SUMIFS($S$5:$S$750,$B$5:$B$750,B613,$D$5:$D$750,WF_END_PERIOD,$R$5:$R$750,TRUE()),0)</f>
        <v>0</v>
      </c>
      <c r="V613" s="0" t="str">
        <f aca="false">IF(AND(D613=WF_START_PERIOD,COUNTIFS($B$5:$B$750,B613,$D$5:$D$750,WF_END_PERIOD)&gt;0),INDEX($E$5:$E$750,MATCH(B613&amp;"|"&amp;WF_END_PERIOD,$AC$5:$AC$750,0)),"")</f>
        <v/>
      </c>
      <c r="W613" s="11" t="b">
        <f aca="false">COUNTIFS($B$5:$B$750,B613,$D$5:$D$750,WF_START_PERIOD,$R$5:$R$750,TRUE())&gt;0</f>
        <v>1</v>
      </c>
      <c r="X613" s="11" t="b">
        <f aca="false">COUNTIFS($B$5:$B$750,B613,$D$5:$D$750,WF_END_PERIOD,$R$5:$R$750,TRUE())&gt;0</f>
        <v>1</v>
      </c>
      <c r="Y613" s="0" t="str">
        <f aca="false">IF(AND(D613=WF_END_PERIOD,COUNTIFS($B$5:$B$750,B613,$D$5:$D$750,WF_START_PERIOD)&gt;0),INDEX($E$5:$E$750,MATCH(B613&amp;"|"&amp;WF_START_PERIOD,$AC$5:$AC$750,0)),"")</f>
        <v/>
      </c>
      <c r="Z613" s="0" t="str">
        <f aca="false">IF(AND(D613=WF_END_PERIOD,R613),1+COUNTIFS($D$5:$D$750,WF_END_PERIOD,$E$5:$E$750,E613,$R$5:$R$750,TRUE(),$S$5:$S$750,"&gt;"&amp;S613)+COUNTIFS($D$5:$D$750,WF_END_PERIOD,$E$5:$E$750,E613,$R$5:$R$750,TRUE(),$S$5:$S$750,S613,$B$5:$B$750,"&lt;"&amp;B613),"")</f>
        <v/>
      </c>
      <c r="AA613" s="0" t="str">
        <f aca="false">IF(AND(D613=WF_END_PERIOD,R613,Z613&lt;&gt;1),1+COUNTIFS($D$5:$D$750,WF_END_PERIOD,$R$5:$R$750,TRUE(),$Z$5:$Z$750,"&lt;&gt;1",$S$5:$S$750,"&gt;"&amp;S613)+COUNTIFS($D$5:$D$750,WF_END_PERIOD,$R$5:$R$750,TRUE(),$Z$5:$Z$750,"&lt;&gt;1",$S$5:$S$750,S613,$B$5:$B$750,"&lt;"&amp;B613),"")</f>
        <v/>
      </c>
      <c r="AB613" s="11" t="b">
        <f aca="false">OR(D613=WF_START_PERIOD,D613=WF_END_PERIOD)</f>
        <v>0</v>
      </c>
      <c r="AC613" s="0" t="str">
        <f aca="false">B613&amp;"|"&amp;D613</f>
        <v>17960|20241231</v>
      </c>
    </row>
    <row r="614" customFormat="false" ht="15" hidden="false" customHeight="false" outlineLevel="0" collapsed="false">
      <c r="A614" s="0" t="n">
        <f aca="false">RawFinancials!A614</f>
        <v>611</v>
      </c>
      <c r="B614" s="0" t="n">
        <f aca="false">RawFinancials!C614</f>
        <v>18012</v>
      </c>
      <c r="C614" s="0" t="str">
        <f aca="false">RawFinancials!P614</f>
        <v>BANK OF NEW HAMPSHIRE</v>
      </c>
      <c r="D614" s="0" t="n">
        <f aca="false">RawFinancials!W614</f>
        <v>20241231</v>
      </c>
      <c r="E614" s="0" t="str">
        <f aca="false">RawFinancials!Z614</f>
        <v>NH</v>
      </c>
      <c r="F614" s="0" t="n">
        <f aca="false">RawFinancials!B614</f>
        <v>2624175</v>
      </c>
      <c r="G614" s="0" t="n">
        <f aca="false">RawFinancials!U614</f>
        <v>0</v>
      </c>
      <c r="H614" s="0" t="n">
        <f aca="false">RawFinancials!O614</f>
        <v>1092</v>
      </c>
      <c r="I614" s="0" t="n">
        <f aca="false">IF(AND(ISNUMBER(G614),ISNUMBER(H614)),G614+H614,"")</f>
        <v>1092</v>
      </c>
      <c r="J614" s="0" t="n">
        <f aca="false">RawFinancials!D614</f>
        <v>2255597</v>
      </c>
      <c r="K614" s="0" t="n">
        <f aca="false">RawFinancials!F614</f>
        <v>284572</v>
      </c>
      <c r="L614" s="0" t="n">
        <f aca="false">RawFinancials!L614</f>
        <v>2093747</v>
      </c>
      <c r="M614" s="0" t="n">
        <f aca="false">RawFinancials!N614</f>
        <v>1993083</v>
      </c>
      <c r="N614" s="13" t="n">
        <f aca="false">RawFinancials!X614</f>
        <v>0.664292610658148</v>
      </c>
      <c r="O614" s="13" t="n">
        <f aca="false">RawFinancials!V614</f>
        <v>14.0447992781927</v>
      </c>
      <c r="P614" s="13" t="n">
        <f aca="false">IF(AND(ISNUMBER(L614),L614&lt;&gt;0,ISNUMBER(M614)),100*M614/L614,"")</f>
        <v>95.1921602753341</v>
      </c>
      <c r="Q614" s="13" t="n">
        <f aca="false">IF(AND(ISNUMBER(F614),F614&lt;&gt;0,ISNUMBER(K614)),100*K614/F614,"")</f>
        <v>10.8442462869283</v>
      </c>
      <c r="R614" s="11" t="b">
        <f aca="false">AND(ISNUMBER(F614),F614&gt;0,ISNUMBER(G614),G614&gt;=0,ISNUMBER(H614),H614&gt;=0)</f>
        <v>1</v>
      </c>
      <c r="S614" s="13" t="n">
        <f aca="false">IF(R614,100*I614/F614,"")</f>
        <v>0.0416130783960673</v>
      </c>
      <c r="T614" s="11" t="b">
        <f aca="false">NOT(AND(OR(AND(ISBLANK(RawFinancials!B614),ISBLANK(_RawBaseline!B611)),AND(ISNUMBER(RawFinancials!B614),ISNUMBER(_RawBaseline!B611),RawFinancials!B614=_RawBaseline!B611)),OR(AND(ISBLANK(RawFinancials!U614),ISBLANK(_RawBaseline!U611)),AND(ISNUMBER(RawFinancials!U614),ISNUMBER(_RawBaseline!U611),RawFinancials!U614=_RawBaseline!U611)),OR(AND(ISBLANK(RawFinancials!O614),ISBLANK(_RawBaseline!O611)),AND(ISNUMBER(RawFinancials!O614),ISNUMBER(_RawBaseline!O611),RawFinancials!O614=_RawBaseline!O611))))</f>
        <v>0</v>
      </c>
      <c r="U614" s="13" t="n">
        <f aca="false">IF(AND(D614=WF_START_PERIOD,R614,COUNTIFS($B$5:$B$750,B614,$D$5:$D$750,WF_END_PERIOD,$R$5:$R$750,TRUE())&gt;0),SUMIFS($S$5:$S$750,$B$5:$B$750,B614,$D$5:$D$750,WF_END_PERIOD,$R$5:$R$750,TRUE()),0)</f>
        <v>0</v>
      </c>
      <c r="V614" s="0" t="str">
        <f aca="false">IF(AND(D614=WF_START_PERIOD,COUNTIFS($B$5:$B$750,B614,$D$5:$D$750,WF_END_PERIOD)&gt;0),INDEX($E$5:$E$750,MATCH(B614&amp;"|"&amp;WF_END_PERIOD,$AC$5:$AC$750,0)),"")</f>
        <v/>
      </c>
      <c r="W614" s="11" t="b">
        <f aca="false">COUNTIFS($B$5:$B$750,B614,$D$5:$D$750,WF_START_PERIOD,$R$5:$R$750,TRUE())&gt;0</f>
        <v>1</v>
      </c>
      <c r="X614" s="11" t="b">
        <f aca="false">COUNTIFS($B$5:$B$750,B614,$D$5:$D$750,WF_END_PERIOD,$R$5:$R$750,TRUE())&gt;0</f>
        <v>1</v>
      </c>
      <c r="Y614" s="0" t="str">
        <f aca="false">IF(AND(D614=WF_END_PERIOD,COUNTIFS($B$5:$B$750,B614,$D$5:$D$750,WF_START_PERIOD)&gt;0),INDEX($E$5:$E$750,MATCH(B614&amp;"|"&amp;WF_START_PERIOD,$AC$5:$AC$750,0)),"")</f>
        <v/>
      </c>
      <c r="Z614" s="0" t="str">
        <f aca="false">IF(AND(D614=WF_END_PERIOD,R614),1+COUNTIFS($D$5:$D$750,WF_END_PERIOD,$E$5:$E$750,E614,$R$5:$R$750,TRUE(),$S$5:$S$750,"&gt;"&amp;S614)+COUNTIFS($D$5:$D$750,WF_END_PERIOD,$E$5:$E$750,E614,$R$5:$R$750,TRUE(),$S$5:$S$750,S614,$B$5:$B$750,"&lt;"&amp;B614),"")</f>
        <v/>
      </c>
      <c r="AA614" s="0" t="str">
        <f aca="false">IF(AND(D614=WF_END_PERIOD,R614,Z614&lt;&gt;1),1+COUNTIFS($D$5:$D$750,WF_END_PERIOD,$R$5:$R$750,TRUE(),$Z$5:$Z$750,"&lt;&gt;1",$S$5:$S$750,"&gt;"&amp;S614)+COUNTIFS($D$5:$D$750,WF_END_PERIOD,$R$5:$R$750,TRUE(),$Z$5:$Z$750,"&lt;&gt;1",$S$5:$S$750,S614,$B$5:$B$750,"&lt;"&amp;B614),"")</f>
        <v/>
      </c>
      <c r="AB614" s="11" t="b">
        <f aca="false">OR(D614=WF_START_PERIOD,D614=WF_END_PERIOD)</f>
        <v>0</v>
      </c>
      <c r="AC614" s="0" t="str">
        <f aca="false">B614&amp;"|"&amp;D614</f>
        <v>18012|20241231</v>
      </c>
    </row>
    <row r="615" customFormat="false" ht="15" hidden="false" customHeight="false" outlineLevel="0" collapsed="false">
      <c r="A615" s="0" t="n">
        <f aca="false">RawFinancials!A615</f>
        <v>612</v>
      </c>
      <c r="B615" s="0" t="n">
        <f aca="false">RawFinancials!C615</f>
        <v>18013</v>
      </c>
      <c r="C615" s="0" t="str">
        <f aca="false">RawFinancials!P615</f>
        <v>MASCOMA BANK</v>
      </c>
      <c r="D615" s="0" t="n">
        <f aca="false">RawFinancials!W615</f>
        <v>20241231</v>
      </c>
      <c r="E615" s="0" t="str">
        <f aca="false">RawFinancials!Z615</f>
        <v>NH</v>
      </c>
      <c r="F615" s="0" t="n">
        <f aca="false">RawFinancials!B615</f>
        <v>2917813</v>
      </c>
      <c r="G615" s="0" t="n">
        <f aca="false">RawFinancials!U615</f>
        <v>128</v>
      </c>
      <c r="H615" s="0" t="n">
        <f aca="false">RawFinancials!O615</f>
        <v>2327</v>
      </c>
      <c r="I615" s="0" t="n">
        <f aca="false">IF(AND(ISNUMBER(G615),ISNUMBER(H615)),G615+H615,"")</f>
        <v>2455</v>
      </c>
      <c r="J615" s="0" t="n">
        <f aca="false">RawFinancials!D615</f>
        <v>2614357</v>
      </c>
      <c r="K615" s="0" t="n">
        <f aca="false">RawFinancials!F615</f>
        <v>228244</v>
      </c>
      <c r="L615" s="0" t="n">
        <f aca="false">RawFinancials!L615</f>
        <v>2432691</v>
      </c>
      <c r="M615" s="0" t="n">
        <f aca="false">RawFinancials!N615</f>
        <v>2216800</v>
      </c>
      <c r="N615" s="13" t="n">
        <f aca="false">RawFinancials!X615</f>
        <v>0.223627200302554</v>
      </c>
      <c r="O615" s="13" t="n">
        <f aca="false">RawFinancials!V615</f>
        <v>12.4949322507426</v>
      </c>
      <c r="P615" s="13" t="n">
        <f aca="false">IF(AND(ISNUMBER(L615),L615&lt;&gt;0,ISNUMBER(M615)),100*M615/L615,"")</f>
        <v>91.1254244784891</v>
      </c>
      <c r="Q615" s="13" t="n">
        <f aca="false">IF(AND(ISNUMBER(F615),F615&lt;&gt;0,ISNUMBER(K615)),100*K615/F615,"")</f>
        <v>7.82243413131685</v>
      </c>
      <c r="R615" s="11" t="b">
        <f aca="false">AND(ISNUMBER(F615),F615&gt;0,ISNUMBER(G615),G615&gt;=0,ISNUMBER(H615),H615&gt;=0)</f>
        <v>1</v>
      </c>
      <c r="S615" s="13" t="n">
        <f aca="false">IF(R615,100*I615/F615,"")</f>
        <v>0.0841383597920772</v>
      </c>
      <c r="T615" s="11" t="b">
        <f aca="false">NOT(AND(OR(AND(ISBLANK(RawFinancials!B615),ISBLANK(_RawBaseline!B612)),AND(ISNUMBER(RawFinancials!B615),ISNUMBER(_RawBaseline!B612),RawFinancials!B615=_RawBaseline!B612)),OR(AND(ISBLANK(RawFinancials!U615),ISBLANK(_RawBaseline!U612)),AND(ISNUMBER(RawFinancials!U615),ISNUMBER(_RawBaseline!U612),RawFinancials!U615=_RawBaseline!U612)),OR(AND(ISBLANK(RawFinancials!O615),ISBLANK(_RawBaseline!O612)),AND(ISNUMBER(RawFinancials!O615),ISNUMBER(_RawBaseline!O612),RawFinancials!O615=_RawBaseline!O612))))</f>
        <v>0</v>
      </c>
      <c r="U615" s="13" t="n">
        <f aca="false">IF(AND(D615=WF_START_PERIOD,R615,COUNTIFS($B$5:$B$750,B615,$D$5:$D$750,WF_END_PERIOD,$R$5:$R$750,TRUE())&gt;0),SUMIFS($S$5:$S$750,$B$5:$B$750,B615,$D$5:$D$750,WF_END_PERIOD,$R$5:$R$750,TRUE()),0)</f>
        <v>0</v>
      </c>
      <c r="V615" s="0" t="str">
        <f aca="false">IF(AND(D615=WF_START_PERIOD,COUNTIFS($B$5:$B$750,B615,$D$5:$D$750,WF_END_PERIOD)&gt;0),INDEX($E$5:$E$750,MATCH(B615&amp;"|"&amp;WF_END_PERIOD,$AC$5:$AC$750,0)),"")</f>
        <v/>
      </c>
      <c r="W615" s="11" t="b">
        <f aca="false">COUNTIFS($B$5:$B$750,B615,$D$5:$D$750,WF_START_PERIOD,$R$5:$R$750,TRUE())&gt;0</f>
        <v>1</v>
      </c>
      <c r="X615" s="11" t="b">
        <f aca="false">COUNTIFS($B$5:$B$750,B615,$D$5:$D$750,WF_END_PERIOD,$R$5:$R$750,TRUE())&gt;0</f>
        <v>1</v>
      </c>
      <c r="Y615" s="0" t="str">
        <f aca="false">IF(AND(D615=WF_END_PERIOD,COUNTIFS($B$5:$B$750,B615,$D$5:$D$750,WF_START_PERIOD)&gt;0),INDEX($E$5:$E$750,MATCH(B615&amp;"|"&amp;WF_START_PERIOD,$AC$5:$AC$750,0)),"")</f>
        <v/>
      </c>
      <c r="Z615" s="0" t="str">
        <f aca="false">IF(AND(D615=WF_END_PERIOD,R615),1+COUNTIFS($D$5:$D$750,WF_END_PERIOD,$E$5:$E$750,E615,$R$5:$R$750,TRUE(),$S$5:$S$750,"&gt;"&amp;S615)+COUNTIFS($D$5:$D$750,WF_END_PERIOD,$E$5:$E$750,E615,$R$5:$R$750,TRUE(),$S$5:$S$750,S615,$B$5:$B$750,"&lt;"&amp;B615),"")</f>
        <v/>
      </c>
      <c r="AA615" s="0" t="str">
        <f aca="false">IF(AND(D615=WF_END_PERIOD,R615,Z615&lt;&gt;1),1+COUNTIFS($D$5:$D$750,WF_END_PERIOD,$R$5:$R$750,TRUE(),$Z$5:$Z$750,"&lt;&gt;1",$S$5:$S$750,"&gt;"&amp;S615)+COUNTIFS($D$5:$D$750,WF_END_PERIOD,$R$5:$R$750,TRUE(),$Z$5:$Z$750,"&lt;&gt;1",$S$5:$S$750,S615,$B$5:$B$750,"&lt;"&amp;B615),"")</f>
        <v/>
      </c>
      <c r="AB615" s="11" t="b">
        <f aca="false">OR(D615=WF_START_PERIOD,D615=WF_END_PERIOD)</f>
        <v>0</v>
      </c>
      <c r="AC615" s="0" t="str">
        <f aca="false">B615&amp;"|"&amp;D615</f>
        <v>18013|20241231</v>
      </c>
    </row>
    <row r="616" customFormat="false" ht="15" hidden="false" customHeight="false" outlineLevel="0" collapsed="false">
      <c r="A616" s="0" t="n">
        <f aca="false">RawFinancials!A616</f>
        <v>613</v>
      </c>
      <c r="B616" s="0" t="n">
        <f aca="false">RawFinancials!C616</f>
        <v>18028</v>
      </c>
      <c r="C616" s="0" t="str">
        <f aca="false">RawFinancials!P616</f>
        <v>SUGAR RIVER BANK</v>
      </c>
      <c r="D616" s="0" t="n">
        <f aca="false">RawFinancials!W616</f>
        <v>20241231</v>
      </c>
      <c r="E616" s="0" t="str">
        <f aca="false">RawFinancials!Z616</f>
        <v>NH</v>
      </c>
      <c r="F616" s="0" t="n">
        <f aca="false">RawFinancials!B616</f>
        <v>402051</v>
      </c>
      <c r="G616" s="0" t="n">
        <f aca="false">RawFinancials!U616</f>
        <v>183</v>
      </c>
      <c r="H616" s="0" t="n">
        <f aca="false">RawFinancials!O616</f>
        <v>888</v>
      </c>
      <c r="I616" s="0" t="n">
        <f aca="false">IF(AND(ISNUMBER(G616),ISNUMBER(H616)),G616+H616,"")</f>
        <v>1071</v>
      </c>
      <c r="J616" s="0" t="n">
        <f aca="false">RawFinancials!D616</f>
        <v>341523</v>
      </c>
      <c r="K616" s="0" t="n">
        <f aca="false">RawFinancials!F616</f>
        <v>42186</v>
      </c>
      <c r="L616" s="0" t="n">
        <f aca="false">RawFinancials!L616</f>
        <v>279403</v>
      </c>
      <c r="M616" s="0" t="n">
        <f aca="false">RawFinancials!N616</f>
        <v>254756</v>
      </c>
      <c r="N616" s="13" t="n">
        <f aca="false">RawFinancials!X616</f>
        <v>0.42743103911897</v>
      </c>
      <c r="O616" s="13" t="n">
        <f aca="false">RawFinancials!V616</f>
        <v>0</v>
      </c>
      <c r="P616" s="13" t="n">
        <f aca="false">IF(AND(ISNUMBER(L616),L616&lt;&gt;0,ISNUMBER(M616)),100*M616/L616,"")</f>
        <v>91.17869171054</v>
      </c>
      <c r="Q616" s="13" t="n">
        <f aca="false">IF(AND(ISNUMBER(F616),F616&lt;&gt;0,ISNUMBER(K616)),100*K616/F616,"")</f>
        <v>10.4926986874799</v>
      </c>
      <c r="R616" s="11" t="b">
        <f aca="false">AND(ISNUMBER(F616),F616&gt;0,ISNUMBER(G616),G616&gt;=0,ISNUMBER(H616),H616&gt;=0)</f>
        <v>1</v>
      </c>
      <c r="S616" s="13" t="n">
        <f aca="false">IF(R616,100*I616/F616,"")</f>
        <v>0.26638411544804</v>
      </c>
      <c r="T616" s="11" t="b">
        <f aca="false">NOT(AND(OR(AND(ISBLANK(RawFinancials!B616),ISBLANK(_RawBaseline!B613)),AND(ISNUMBER(RawFinancials!B616),ISNUMBER(_RawBaseline!B613),RawFinancials!B616=_RawBaseline!B613)),OR(AND(ISBLANK(RawFinancials!U616),ISBLANK(_RawBaseline!U613)),AND(ISNUMBER(RawFinancials!U616),ISNUMBER(_RawBaseline!U613),RawFinancials!U616=_RawBaseline!U613)),OR(AND(ISBLANK(RawFinancials!O616),ISBLANK(_RawBaseline!O613)),AND(ISNUMBER(RawFinancials!O616),ISNUMBER(_RawBaseline!O613),RawFinancials!O616=_RawBaseline!O613))))</f>
        <v>0</v>
      </c>
      <c r="U616" s="13" t="n">
        <f aca="false">IF(AND(D616=WF_START_PERIOD,R616,COUNTIFS($B$5:$B$750,B616,$D$5:$D$750,WF_END_PERIOD,$R$5:$R$750,TRUE())&gt;0),SUMIFS($S$5:$S$750,$B$5:$B$750,B616,$D$5:$D$750,WF_END_PERIOD,$R$5:$R$750,TRUE()),0)</f>
        <v>0</v>
      </c>
      <c r="V616" s="0" t="str">
        <f aca="false">IF(AND(D616=WF_START_PERIOD,COUNTIFS($B$5:$B$750,B616,$D$5:$D$750,WF_END_PERIOD)&gt;0),INDEX($E$5:$E$750,MATCH(B616&amp;"|"&amp;WF_END_PERIOD,$AC$5:$AC$750,0)),"")</f>
        <v/>
      </c>
      <c r="W616" s="11" t="b">
        <f aca="false">COUNTIFS($B$5:$B$750,B616,$D$5:$D$750,WF_START_PERIOD,$R$5:$R$750,TRUE())&gt;0</f>
        <v>1</v>
      </c>
      <c r="X616" s="11" t="b">
        <f aca="false">COUNTIFS($B$5:$B$750,B616,$D$5:$D$750,WF_END_PERIOD,$R$5:$R$750,TRUE())&gt;0</f>
        <v>1</v>
      </c>
      <c r="Y616" s="0" t="str">
        <f aca="false">IF(AND(D616=WF_END_PERIOD,COUNTIFS($B$5:$B$750,B616,$D$5:$D$750,WF_START_PERIOD)&gt;0),INDEX($E$5:$E$750,MATCH(B616&amp;"|"&amp;WF_START_PERIOD,$AC$5:$AC$750,0)),"")</f>
        <v/>
      </c>
      <c r="Z616" s="0" t="str">
        <f aca="false">IF(AND(D616=WF_END_PERIOD,R616),1+COUNTIFS($D$5:$D$750,WF_END_PERIOD,$E$5:$E$750,E616,$R$5:$R$750,TRUE(),$S$5:$S$750,"&gt;"&amp;S616)+COUNTIFS($D$5:$D$750,WF_END_PERIOD,$E$5:$E$750,E616,$R$5:$R$750,TRUE(),$S$5:$S$750,S616,$B$5:$B$750,"&lt;"&amp;B616),"")</f>
        <v/>
      </c>
      <c r="AA616" s="0" t="str">
        <f aca="false">IF(AND(D616=WF_END_PERIOD,R616,Z616&lt;&gt;1),1+COUNTIFS($D$5:$D$750,WF_END_PERIOD,$R$5:$R$750,TRUE(),$Z$5:$Z$750,"&lt;&gt;1",$S$5:$S$750,"&gt;"&amp;S616)+COUNTIFS($D$5:$D$750,WF_END_PERIOD,$R$5:$R$750,TRUE(),$Z$5:$Z$750,"&lt;&gt;1",$S$5:$S$750,S616,$B$5:$B$750,"&lt;"&amp;B616),"")</f>
        <v/>
      </c>
      <c r="AB616" s="11" t="b">
        <f aca="false">OR(D616=WF_START_PERIOD,D616=WF_END_PERIOD)</f>
        <v>0</v>
      </c>
      <c r="AC616" s="0" t="str">
        <f aca="false">B616&amp;"|"&amp;D616</f>
        <v>18028|20241231</v>
      </c>
    </row>
    <row r="617" customFormat="false" ht="15" hidden="false" customHeight="false" outlineLevel="0" collapsed="false">
      <c r="A617" s="0" t="n">
        <f aca="false">RawFinancials!A617</f>
        <v>614</v>
      </c>
      <c r="B617" s="0" t="n">
        <f aca="false">RawFinancials!C617</f>
        <v>18030</v>
      </c>
      <c r="C617" s="0" t="str">
        <f aca="false">RawFinancials!P617</f>
        <v>SAVINGS BANK OF WALPOLE</v>
      </c>
      <c r="D617" s="0" t="n">
        <f aca="false">RawFinancials!W617</f>
        <v>20241231</v>
      </c>
      <c r="E617" s="0" t="str">
        <f aca="false">RawFinancials!Z617</f>
        <v>NH</v>
      </c>
      <c r="F617" s="0" t="n">
        <f aca="false">RawFinancials!B617</f>
        <v>777879</v>
      </c>
      <c r="G617" s="0" t="n">
        <f aca="false">RawFinancials!U617</f>
        <v>0</v>
      </c>
      <c r="H617" s="0" t="n">
        <f aca="false">RawFinancials!O617</f>
        <v>2023</v>
      </c>
      <c r="I617" s="0" t="n">
        <f aca="false">IF(AND(ISNUMBER(G617),ISNUMBER(H617)),G617+H617,"")</f>
        <v>2023</v>
      </c>
      <c r="J617" s="0" t="n">
        <f aca="false">RawFinancials!D617</f>
        <v>716969</v>
      </c>
      <c r="K617" s="0" t="n">
        <f aca="false">RawFinancials!F617</f>
        <v>53665</v>
      </c>
      <c r="L617" s="0" t="n">
        <f aca="false">RawFinancials!L617</f>
        <v>590868</v>
      </c>
      <c r="M617" s="0" t="n">
        <f aca="false">RawFinancials!N617</f>
        <v>455091</v>
      </c>
      <c r="N617" s="13" t="n">
        <f aca="false">RawFinancials!X617</f>
        <v>0.707871330531473</v>
      </c>
      <c r="O617" s="13" t="n">
        <f aca="false">RawFinancials!V617</f>
        <v>13.9987096172383</v>
      </c>
      <c r="P617" s="13" t="n">
        <f aca="false">IF(AND(ISNUMBER(L617),L617&lt;&gt;0,ISNUMBER(M617)),100*M617/L617,"")</f>
        <v>77.0207559048722</v>
      </c>
      <c r="Q617" s="13" t="n">
        <f aca="false">IF(AND(ISNUMBER(F617),F617&lt;&gt;0,ISNUMBER(K617)),100*K617/F617,"")</f>
        <v>6.89888787330677</v>
      </c>
      <c r="R617" s="11" t="b">
        <f aca="false">AND(ISNUMBER(F617),F617&gt;0,ISNUMBER(G617),G617&gt;=0,ISNUMBER(H617),H617&gt;=0)</f>
        <v>1</v>
      </c>
      <c r="S617" s="13" t="n">
        <f aca="false">IF(R617,100*I617/F617,"")</f>
        <v>0.26006615424764</v>
      </c>
      <c r="T617" s="11" t="b">
        <f aca="false">NOT(AND(OR(AND(ISBLANK(RawFinancials!B617),ISBLANK(_RawBaseline!B614)),AND(ISNUMBER(RawFinancials!B617),ISNUMBER(_RawBaseline!B614),RawFinancials!B617=_RawBaseline!B614)),OR(AND(ISBLANK(RawFinancials!U617),ISBLANK(_RawBaseline!U614)),AND(ISNUMBER(RawFinancials!U617),ISNUMBER(_RawBaseline!U614),RawFinancials!U617=_RawBaseline!U614)),OR(AND(ISBLANK(RawFinancials!O617),ISBLANK(_RawBaseline!O614)),AND(ISNUMBER(RawFinancials!O617),ISNUMBER(_RawBaseline!O614),RawFinancials!O617=_RawBaseline!O614))))</f>
        <v>0</v>
      </c>
      <c r="U617" s="13" t="n">
        <f aca="false">IF(AND(D617=WF_START_PERIOD,R617,COUNTIFS($B$5:$B$750,B617,$D$5:$D$750,WF_END_PERIOD,$R$5:$R$750,TRUE())&gt;0),SUMIFS($S$5:$S$750,$B$5:$B$750,B617,$D$5:$D$750,WF_END_PERIOD,$R$5:$R$750,TRUE()),0)</f>
        <v>0</v>
      </c>
      <c r="V617" s="0" t="str">
        <f aca="false">IF(AND(D617=WF_START_PERIOD,COUNTIFS($B$5:$B$750,B617,$D$5:$D$750,WF_END_PERIOD)&gt;0),INDEX($E$5:$E$750,MATCH(B617&amp;"|"&amp;WF_END_PERIOD,$AC$5:$AC$750,0)),"")</f>
        <v/>
      </c>
      <c r="W617" s="11" t="b">
        <f aca="false">COUNTIFS($B$5:$B$750,B617,$D$5:$D$750,WF_START_PERIOD,$R$5:$R$750,TRUE())&gt;0</f>
        <v>1</v>
      </c>
      <c r="X617" s="11" t="b">
        <f aca="false">COUNTIFS($B$5:$B$750,B617,$D$5:$D$750,WF_END_PERIOD,$R$5:$R$750,TRUE())&gt;0</f>
        <v>1</v>
      </c>
      <c r="Y617" s="0" t="str">
        <f aca="false">IF(AND(D617=WF_END_PERIOD,COUNTIFS($B$5:$B$750,B617,$D$5:$D$750,WF_START_PERIOD)&gt;0),INDEX($E$5:$E$750,MATCH(B617&amp;"|"&amp;WF_START_PERIOD,$AC$5:$AC$750,0)),"")</f>
        <v/>
      </c>
      <c r="Z617" s="0" t="str">
        <f aca="false">IF(AND(D617=WF_END_PERIOD,R617),1+COUNTIFS($D$5:$D$750,WF_END_PERIOD,$E$5:$E$750,E617,$R$5:$R$750,TRUE(),$S$5:$S$750,"&gt;"&amp;S617)+COUNTIFS($D$5:$D$750,WF_END_PERIOD,$E$5:$E$750,E617,$R$5:$R$750,TRUE(),$S$5:$S$750,S617,$B$5:$B$750,"&lt;"&amp;B617),"")</f>
        <v/>
      </c>
      <c r="AA617" s="0" t="str">
        <f aca="false">IF(AND(D617=WF_END_PERIOD,R617,Z617&lt;&gt;1),1+COUNTIFS($D$5:$D$750,WF_END_PERIOD,$R$5:$R$750,TRUE(),$Z$5:$Z$750,"&lt;&gt;1",$S$5:$S$750,"&gt;"&amp;S617)+COUNTIFS($D$5:$D$750,WF_END_PERIOD,$R$5:$R$750,TRUE(),$Z$5:$Z$750,"&lt;&gt;1",$S$5:$S$750,S617,$B$5:$B$750,"&lt;"&amp;B617),"")</f>
        <v/>
      </c>
      <c r="AB617" s="11" t="b">
        <f aca="false">OR(D617=WF_START_PERIOD,D617=WF_END_PERIOD)</f>
        <v>0</v>
      </c>
      <c r="AC617" s="0" t="str">
        <f aca="false">B617&amp;"|"&amp;D617</f>
        <v>18030|20241231</v>
      </c>
    </row>
    <row r="618" customFormat="false" ht="15" hidden="false" customHeight="false" outlineLevel="0" collapsed="false">
      <c r="A618" s="0" t="n">
        <f aca="false">RawFinancials!A618</f>
        <v>615</v>
      </c>
      <c r="B618" s="0" t="n">
        <f aca="false">RawFinancials!C618</f>
        <v>18031</v>
      </c>
      <c r="C618" s="0" t="str">
        <f aca="false">RawFinancials!P618</f>
        <v>WOODSVILLE GUARANTY SAVINGS BANK</v>
      </c>
      <c r="D618" s="0" t="n">
        <f aca="false">RawFinancials!W618</f>
        <v>20241231</v>
      </c>
      <c r="E618" s="0" t="str">
        <f aca="false">RawFinancials!Z618</f>
        <v>NH</v>
      </c>
      <c r="F618" s="0" t="n">
        <f aca="false">RawFinancials!B618</f>
        <v>675378</v>
      </c>
      <c r="G618" s="0" t="n">
        <f aca="false">RawFinancials!U618</f>
        <v>0</v>
      </c>
      <c r="H618" s="0" t="n">
        <f aca="false">RawFinancials!O618</f>
        <v>884</v>
      </c>
      <c r="I618" s="0" t="n">
        <f aca="false">IF(AND(ISNUMBER(G618),ISNUMBER(H618)),G618+H618,"")</f>
        <v>884</v>
      </c>
      <c r="J618" s="0" t="n">
        <f aca="false">RawFinancials!D618</f>
        <v>530034</v>
      </c>
      <c r="K618" s="0" t="n">
        <f aca="false">RawFinancials!F618</f>
        <v>38022</v>
      </c>
      <c r="L618" s="0" t="n">
        <f aca="false">RawFinancials!L618</f>
        <v>459460</v>
      </c>
      <c r="M618" s="0" t="n">
        <f aca="false">RawFinancials!N618</f>
        <v>420845</v>
      </c>
      <c r="N618" s="13" t="n">
        <f aca="false">RawFinancials!X618</f>
        <v>0.427144160043588</v>
      </c>
      <c r="O618" s="13" t="n">
        <f aca="false">RawFinancials!V618</f>
        <v>17.0941348626103</v>
      </c>
      <c r="P618" s="13" t="n">
        <f aca="false">IF(AND(ISNUMBER(L618),L618&lt;&gt;0,ISNUMBER(M618)),100*M618/L618,"")</f>
        <v>91.5955687110956</v>
      </c>
      <c r="Q618" s="13" t="n">
        <f aca="false">IF(AND(ISNUMBER(F618),F618&lt;&gt;0,ISNUMBER(K618)),100*K618/F618,"")</f>
        <v>5.6297362365964</v>
      </c>
      <c r="R618" s="11" t="b">
        <f aca="false">AND(ISNUMBER(F618),F618&gt;0,ISNUMBER(G618),G618&gt;=0,ISNUMBER(H618),H618&gt;=0)</f>
        <v>1</v>
      </c>
      <c r="S618" s="13" t="n">
        <f aca="false">IF(R618,100*I618/F618,"")</f>
        <v>0.130889664750703</v>
      </c>
      <c r="T618" s="11" t="b">
        <f aca="false">NOT(AND(OR(AND(ISBLANK(RawFinancials!B618),ISBLANK(_RawBaseline!B615)),AND(ISNUMBER(RawFinancials!B618),ISNUMBER(_RawBaseline!B615),RawFinancials!B618=_RawBaseline!B615)),OR(AND(ISBLANK(RawFinancials!U618),ISBLANK(_RawBaseline!U615)),AND(ISNUMBER(RawFinancials!U618),ISNUMBER(_RawBaseline!U615),RawFinancials!U618=_RawBaseline!U615)),OR(AND(ISBLANK(RawFinancials!O618),ISBLANK(_RawBaseline!O615)),AND(ISNUMBER(RawFinancials!O618),ISNUMBER(_RawBaseline!O615),RawFinancials!O618=_RawBaseline!O615))))</f>
        <v>0</v>
      </c>
      <c r="U618" s="13" t="n">
        <f aca="false">IF(AND(D618=WF_START_PERIOD,R618,COUNTIFS($B$5:$B$750,B618,$D$5:$D$750,WF_END_PERIOD,$R$5:$R$750,TRUE())&gt;0),SUMIFS($S$5:$S$750,$B$5:$B$750,B618,$D$5:$D$750,WF_END_PERIOD,$R$5:$R$750,TRUE()),0)</f>
        <v>0</v>
      </c>
      <c r="V618" s="0" t="str">
        <f aca="false">IF(AND(D618=WF_START_PERIOD,COUNTIFS($B$5:$B$750,B618,$D$5:$D$750,WF_END_PERIOD)&gt;0),INDEX($E$5:$E$750,MATCH(B618&amp;"|"&amp;WF_END_PERIOD,$AC$5:$AC$750,0)),"")</f>
        <v/>
      </c>
      <c r="W618" s="11" t="b">
        <f aca="false">COUNTIFS($B$5:$B$750,B618,$D$5:$D$750,WF_START_PERIOD,$R$5:$R$750,TRUE())&gt;0</f>
        <v>1</v>
      </c>
      <c r="X618" s="11" t="b">
        <f aca="false">COUNTIFS($B$5:$B$750,B618,$D$5:$D$750,WF_END_PERIOD,$R$5:$R$750,TRUE())&gt;0</f>
        <v>1</v>
      </c>
      <c r="Y618" s="0" t="str">
        <f aca="false">IF(AND(D618=WF_END_PERIOD,COUNTIFS($B$5:$B$750,B618,$D$5:$D$750,WF_START_PERIOD)&gt;0),INDEX($E$5:$E$750,MATCH(B618&amp;"|"&amp;WF_START_PERIOD,$AC$5:$AC$750,0)),"")</f>
        <v/>
      </c>
      <c r="Z618" s="0" t="str">
        <f aca="false">IF(AND(D618=WF_END_PERIOD,R618),1+COUNTIFS($D$5:$D$750,WF_END_PERIOD,$E$5:$E$750,E618,$R$5:$R$750,TRUE(),$S$5:$S$750,"&gt;"&amp;S618)+COUNTIFS($D$5:$D$750,WF_END_PERIOD,$E$5:$E$750,E618,$R$5:$R$750,TRUE(),$S$5:$S$750,S618,$B$5:$B$750,"&lt;"&amp;B618),"")</f>
        <v/>
      </c>
      <c r="AA618" s="0" t="str">
        <f aca="false">IF(AND(D618=WF_END_PERIOD,R618,Z618&lt;&gt;1),1+COUNTIFS($D$5:$D$750,WF_END_PERIOD,$R$5:$R$750,TRUE(),$Z$5:$Z$750,"&lt;&gt;1",$S$5:$S$750,"&gt;"&amp;S618)+COUNTIFS($D$5:$D$750,WF_END_PERIOD,$R$5:$R$750,TRUE(),$Z$5:$Z$750,"&lt;&gt;1",$S$5:$S$750,S618,$B$5:$B$750,"&lt;"&amp;B618),"")</f>
        <v/>
      </c>
      <c r="AB618" s="11" t="b">
        <f aca="false">OR(D618=WF_START_PERIOD,D618=WF_END_PERIOD)</f>
        <v>0</v>
      </c>
      <c r="AC618" s="0" t="str">
        <f aca="false">B618&amp;"|"&amp;D618</f>
        <v>18031|20241231</v>
      </c>
    </row>
    <row r="619" customFormat="false" ht="15" hidden="false" customHeight="false" outlineLevel="0" collapsed="false">
      <c r="A619" s="0" t="n">
        <f aca="false">RawFinancials!A619</f>
        <v>616</v>
      </c>
      <c r="B619" s="0" t="n">
        <f aca="false">RawFinancials!C619</f>
        <v>18038</v>
      </c>
      <c r="C619" s="0" t="str">
        <f aca="false">RawFinancials!P619</f>
        <v>CLAREMONT SAVINGS BANK</v>
      </c>
      <c r="D619" s="0" t="n">
        <f aca="false">RawFinancials!W619</f>
        <v>20241231</v>
      </c>
      <c r="E619" s="0" t="str">
        <f aca="false">RawFinancials!Z619</f>
        <v>NH</v>
      </c>
      <c r="F619" s="0" t="n">
        <f aca="false">RawFinancials!B619</f>
        <v>559057</v>
      </c>
      <c r="G619" s="0" t="n">
        <f aca="false">RawFinancials!U619</f>
        <v>0</v>
      </c>
      <c r="H619" s="0" t="n">
        <f aca="false">RawFinancials!O619</f>
        <v>2689</v>
      </c>
      <c r="I619" s="0" t="n">
        <f aca="false">IF(AND(ISNUMBER(G619),ISNUMBER(H619)),G619+H619,"")</f>
        <v>2689</v>
      </c>
      <c r="J619" s="0" t="n">
        <f aca="false">RawFinancials!D619</f>
        <v>417615</v>
      </c>
      <c r="K619" s="0" t="n">
        <f aca="false">RawFinancials!F619</f>
        <v>67734</v>
      </c>
      <c r="L619" s="0" t="n">
        <f aca="false">RawFinancials!L619</f>
        <v>433853</v>
      </c>
      <c r="M619" s="0" t="n">
        <f aca="false">RawFinancials!N619</f>
        <v>399538</v>
      </c>
      <c r="N619" s="13" t="n">
        <f aca="false">RawFinancials!X619</f>
        <v>0.458106180656936</v>
      </c>
      <c r="O619" s="13" t="n">
        <f aca="false">RawFinancials!V619</f>
        <v>0</v>
      </c>
      <c r="P619" s="13" t="n">
        <f aca="false">IF(AND(ISNUMBER(L619),L619&lt;&gt;0,ISNUMBER(M619)),100*M619/L619,"")</f>
        <v>92.0906389952357</v>
      </c>
      <c r="Q619" s="13" t="n">
        <f aca="false">IF(AND(ISNUMBER(F619),F619&lt;&gt;0,ISNUMBER(K619)),100*K619/F619,"")</f>
        <v>12.1157592159655</v>
      </c>
      <c r="R619" s="11" t="b">
        <f aca="false">AND(ISNUMBER(F619),F619&gt;0,ISNUMBER(G619),G619&gt;=0,ISNUMBER(H619),H619&gt;=0)</f>
        <v>1</v>
      </c>
      <c r="S619" s="13" t="n">
        <f aca="false">IF(R619,100*I619/F619,"")</f>
        <v>0.480988521742863</v>
      </c>
      <c r="T619" s="11" t="b">
        <f aca="false">NOT(AND(OR(AND(ISBLANK(RawFinancials!B619),ISBLANK(_RawBaseline!B616)),AND(ISNUMBER(RawFinancials!B619),ISNUMBER(_RawBaseline!B616),RawFinancials!B619=_RawBaseline!B616)),OR(AND(ISBLANK(RawFinancials!U619),ISBLANK(_RawBaseline!U616)),AND(ISNUMBER(RawFinancials!U619),ISNUMBER(_RawBaseline!U616),RawFinancials!U619=_RawBaseline!U616)),OR(AND(ISBLANK(RawFinancials!O619),ISBLANK(_RawBaseline!O616)),AND(ISNUMBER(RawFinancials!O619),ISNUMBER(_RawBaseline!O616),RawFinancials!O619=_RawBaseline!O616))))</f>
        <v>0</v>
      </c>
      <c r="U619" s="13" t="n">
        <f aca="false">IF(AND(D619=WF_START_PERIOD,R619,COUNTIFS($B$5:$B$750,B619,$D$5:$D$750,WF_END_PERIOD,$R$5:$R$750,TRUE())&gt;0),SUMIFS($S$5:$S$750,$B$5:$B$750,B619,$D$5:$D$750,WF_END_PERIOD,$R$5:$R$750,TRUE()),0)</f>
        <v>0</v>
      </c>
      <c r="V619" s="0" t="str">
        <f aca="false">IF(AND(D619=WF_START_PERIOD,COUNTIFS($B$5:$B$750,B619,$D$5:$D$750,WF_END_PERIOD)&gt;0),INDEX($E$5:$E$750,MATCH(B619&amp;"|"&amp;WF_END_PERIOD,$AC$5:$AC$750,0)),"")</f>
        <v/>
      </c>
      <c r="W619" s="11" t="b">
        <f aca="false">COUNTIFS($B$5:$B$750,B619,$D$5:$D$750,WF_START_PERIOD,$R$5:$R$750,TRUE())&gt;0</f>
        <v>1</v>
      </c>
      <c r="X619" s="11" t="b">
        <f aca="false">COUNTIFS($B$5:$B$750,B619,$D$5:$D$750,WF_END_PERIOD,$R$5:$R$750,TRUE())&gt;0</f>
        <v>1</v>
      </c>
      <c r="Y619" s="0" t="str">
        <f aca="false">IF(AND(D619=WF_END_PERIOD,COUNTIFS($B$5:$B$750,B619,$D$5:$D$750,WF_START_PERIOD)&gt;0),INDEX($E$5:$E$750,MATCH(B619&amp;"|"&amp;WF_START_PERIOD,$AC$5:$AC$750,0)),"")</f>
        <v/>
      </c>
      <c r="Z619" s="0" t="str">
        <f aca="false">IF(AND(D619=WF_END_PERIOD,R619),1+COUNTIFS($D$5:$D$750,WF_END_PERIOD,$E$5:$E$750,E619,$R$5:$R$750,TRUE(),$S$5:$S$750,"&gt;"&amp;S619)+COUNTIFS($D$5:$D$750,WF_END_PERIOD,$E$5:$E$750,E619,$R$5:$R$750,TRUE(),$S$5:$S$750,S619,$B$5:$B$750,"&lt;"&amp;B619),"")</f>
        <v/>
      </c>
      <c r="AA619" s="0" t="str">
        <f aca="false">IF(AND(D619=WF_END_PERIOD,R619,Z619&lt;&gt;1),1+COUNTIFS($D$5:$D$750,WF_END_PERIOD,$R$5:$R$750,TRUE(),$Z$5:$Z$750,"&lt;&gt;1",$S$5:$S$750,"&gt;"&amp;S619)+COUNTIFS($D$5:$D$750,WF_END_PERIOD,$R$5:$R$750,TRUE(),$Z$5:$Z$750,"&lt;&gt;1",$S$5:$S$750,S619,$B$5:$B$750,"&lt;"&amp;B619),"")</f>
        <v/>
      </c>
      <c r="AB619" s="11" t="b">
        <f aca="false">OR(D619=WF_START_PERIOD,D619=WF_END_PERIOD)</f>
        <v>0</v>
      </c>
      <c r="AC619" s="0" t="str">
        <f aca="false">B619&amp;"|"&amp;D619</f>
        <v>18038|20241231</v>
      </c>
    </row>
    <row r="620" customFormat="false" ht="15" hidden="false" customHeight="false" outlineLevel="0" collapsed="false">
      <c r="A620" s="0" t="n">
        <f aca="false">RawFinancials!A620</f>
        <v>617</v>
      </c>
      <c r="B620" s="0" t="n">
        <f aca="false">RawFinancials!C620</f>
        <v>18408</v>
      </c>
      <c r="C620" s="0" t="str">
        <f aca="false">RawFinancials!P620</f>
        <v>BANGOR SAVINGS BANK</v>
      </c>
      <c r="D620" s="0" t="n">
        <f aca="false">RawFinancials!W620</f>
        <v>20241231</v>
      </c>
      <c r="E620" s="0" t="str">
        <f aca="false">RawFinancials!Z620</f>
        <v>ME</v>
      </c>
      <c r="F620" s="0" t="n">
        <f aca="false">RawFinancials!B620</f>
        <v>7237664</v>
      </c>
      <c r="G620" s="0" t="n">
        <f aca="false">RawFinancials!U620</f>
        <v>0</v>
      </c>
      <c r="H620" s="0" t="n">
        <f aca="false">RawFinancials!O620</f>
        <v>6486</v>
      </c>
      <c r="I620" s="0" t="n">
        <f aca="false">IF(AND(ISNUMBER(G620),ISNUMBER(H620)),G620+H620,"")</f>
        <v>6486</v>
      </c>
      <c r="J620" s="0" t="n">
        <f aca="false">RawFinancials!D620</f>
        <v>5962875</v>
      </c>
      <c r="K620" s="0" t="n">
        <f aca="false">RawFinancials!F620</f>
        <v>430159</v>
      </c>
      <c r="L620" s="0" t="n">
        <f aca="false">RawFinancials!L620</f>
        <v>4937169</v>
      </c>
      <c r="M620" s="0" t="n">
        <f aca="false">RawFinancials!N620</f>
        <v>4424778</v>
      </c>
      <c r="N620" s="13" t="n">
        <f aca="false">RawFinancials!X620</f>
        <v>0.170575806214819</v>
      </c>
      <c r="O620" s="13" t="n">
        <f aca="false">RawFinancials!V620</f>
        <v>11.1220330462601</v>
      </c>
      <c r="P620" s="13" t="n">
        <f aca="false">IF(AND(ISNUMBER(L620),L620&lt;&gt;0,ISNUMBER(M620)),100*M620/L620,"")</f>
        <v>89.6217650236401</v>
      </c>
      <c r="Q620" s="13" t="n">
        <f aca="false">IF(AND(ISNUMBER(F620),F620&lt;&gt;0,ISNUMBER(K620)),100*K620/F620,"")</f>
        <v>5.94334028216839</v>
      </c>
      <c r="R620" s="11" t="b">
        <f aca="false">AND(ISNUMBER(F620),F620&gt;0,ISNUMBER(G620),G620&gt;=0,ISNUMBER(H620),H620&gt;=0)</f>
        <v>1</v>
      </c>
      <c r="S620" s="13" t="n">
        <f aca="false">IF(R620,100*I620/F620,"")</f>
        <v>0.0896145496668538</v>
      </c>
      <c r="T620" s="11" t="b">
        <f aca="false">NOT(AND(OR(AND(ISBLANK(RawFinancials!B620),ISBLANK(_RawBaseline!B617)),AND(ISNUMBER(RawFinancials!B620),ISNUMBER(_RawBaseline!B617),RawFinancials!B620=_RawBaseline!B617)),OR(AND(ISBLANK(RawFinancials!U620),ISBLANK(_RawBaseline!U617)),AND(ISNUMBER(RawFinancials!U620),ISNUMBER(_RawBaseline!U617),RawFinancials!U620=_RawBaseline!U617)),OR(AND(ISBLANK(RawFinancials!O620),ISBLANK(_RawBaseline!O617)),AND(ISNUMBER(RawFinancials!O620),ISNUMBER(_RawBaseline!O617),RawFinancials!O620=_RawBaseline!O617))))</f>
        <v>0</v>
      </c>
      <c r="U620" s="13" t="n">
        <f aca="false">IF(AND(D620=WF_START_PERIOD,R620,COUNTIFS($B$5:$B$750,B620,$D$5:$D$750,WF_END_PERIOD,$R$5:$R$750,TRUE())&gt;0),SUMIFS($S$5:$S$750,$B$5:$B$750,B620,$D$5:$D$750,WF_END_PERIOD,$R$5:$R$750,TRUE()),0)</f>
        <v>0</v>
      </c>
      <c r="V620" s="0" t="str">
        <f aca="false">IF(AND(D620=WF_START_PERIOD,COUNTIFS($B$5:$B$750,B620,$D$5:$D$750,WF_END_PERIOD)&gt;0),INDEX($E$5:$E$750,MATCH(B620&amp;"|"&amp;WF_END_PERIOD,$AC$5:$AC$750,0)),"")</f>
        <v/>
      </c>
      <c r="W620" s="11" t="b">
        <f aca="false">COUNTIFS($B$5:$B$750,B620,$D$5:$D$750,WF_START_PERIOD,$R$5:$R$750,TRUE())&gt;0</f>
        <v>1</v>
      </c>
      <c r="X620" s="11" t="b">
        <f aca="false">COUNTIFS($B$5:$B$750,B620,$D$5:$D$750,WF_END_PERIOD,$R$5:$R$750,TRUE())&gt;0</f>
        <v>1</v>
      </c>
      <c r="Y620" s="0" t="str">
        <f aca="false">IF(AND(D620=WF_END_PERIOD,COUNTIFS($B$5:$B$750,B620,$D$5:$D$750,WF_START_PERIOD)&gt;0),INDEX($E$5:$E$750,MATCH(B620&amp;"|"&amp;WF_START_PERIOD,$AC$5:$AC$750,0)),"")</f>
        <v/>
      </c>
      <c r="Z620" s="0" t="str">
        <f aca="false">IF(AND(D620=WF_END_PERIOD,R620),1+COUNTIFS($D$5:$D$750,WF_END_PERIOD,$E$5:$E$750,E620,$R$5:$R$750,TRUE(),$S$5:$S$750,"&gt;"&amp;S620)+COUNTIFS($D$5:$D$750,WF_END_PERIOD,$E$5:$E$750,E620,$R$5:$R$750,TRUE(),$S$5:$S$750,S620,$B$5:$B$750,"&lt;"&amp;B620),"")</f>
        <v/>
      </c>
      <c r="AA620" s="0" t="str">
        <f aca="false">IF(AND(D620=WF_END_PERIOD,R620,Z620&lt;&gt;1),1+COUNTIFS($D$5:$D$750,WF_END_PERIOD,$R$5:$R$750,TRUE(),$Z$5:$Z$750,"&lt;&gt;1",$S$5:$S$750,"&gt;"&amp;S620)+COUNTIFS($D$5:$D$750,WF_END_PERIOD,$R$5:$R$750,TRUE(),$Z$5:$Z$750,"&lt;&gt;1",$S$5:$S$750,S620,$B$5:$B$750,"&lt;"&amp;B620),"")</f>
        <v/>
      </c>
      <c r="AB620" s="11" t="b">
        <f aca="false">OR(D620=WF_START_PERIOD,D620=WF_END_PERIOD)</f>
        <v>0</v>
      </c>
      <c r="AC620" s="0" t="str">
        <f aca="false">B620&amp;"|"&amp;D620</f>
        <v>18408|20241231</v>
      </c>
    </row>
    <row r="621" customFormat="false" ht="15" hidden="false" customHeight="false" outlineLevel="0" collapsed="false">
      <c r="A621" s="0" t="n">
        <f aca="false">RawFinancials!A621</f>
        <v>618</v>
      </c>
      <c r="B621" s="0" t="n">
        <f aca="false">RawFinancials!C621</f>
        <v>19531</v>
      </c>
      <c r="C621" s="0" t="str">
        <f aca="false">RawFinancials!P621</f>
        <v>MACHIAS SAVINGS BANK</v>
      </c>
      <c r="D621" s="0" t="n">
        <f aca="false">RawFinancials!W621</f>
        <v>20241231</v>
      </c>
      <c r="E621" s="0" t="str">
        <f aca="false">RawFinancials!Z621</f>
        <v>ME</v>
      </c>
      <c r="F621" s="0" t="n">
        <f aca="false">RawFinancials!B621</f>
        <v>2607826</v>
      </c>
      <c r="G621" s="0" t="n">
        <f aca="false">RawFinancials!U621</f>
        <v>47</v>
      </c>
      <c r="H621" s="0" t="n">
        <f aca="false">RawFinancials!O621</f>
        <v>6433</v>
      </c>
      <c r="I621" s="0" t="n">
        <f aca="false">IF(AND(ISNUMBER(G621),ISNUMBER(H621)),G621+H621,"")</f>
        <v>6480</v>
      </c>
      <c r="J621" s="0" t="n">
        <f aca="false">RawFinancials!D621</f>
        <v>2305045</v>
      </c>
      <c r="K621" s="0" t="n">
        <f aca="false">RawFinancials!F621</f>
        <v>258848</v>
      </c>
      <c r="L621" s="0" t="n">
        <f aca="false">RawFinancials!L621</f>
        <v>2155933</v>
      </c>
      <c r="M621" s="0" t="n">
        <f aca="false">RawFinancials!N621</f>
        <v>1794381</v>
      </c>
      <c r="N621" s="13" t="n">
        <f aca="false">RawFinancials!X621</f>
        <v>0.568341059055616</v>
      </c>
      <c r="O621" s="13" t="n">
        <f aca="false">RawFinancials!V621</f>
        <v>14.1069486209343</v>
      </c>
      <c r="P621" s="13" t="n">
        <f aca="false">IF(AND(ISNUMBER(L621),L621&lt;&gt;0,ISNUMBER(M621)),100*M621/L621,"")</f>
        <v>83.2299055675663</v>
      </c>
      <c r="Q621" s="13" t="n">
        <f aca="false">IF(AND(ISNUMBER(F621),F621&lt;&gt;0,ISNUMBER(K621)),100*K621/F621,"")</f>
        <v>9.9258156027281</v>
      </c>
      <c r="R621" s="11" t="b">
        <f aca="false">AND(ISNUMBER(F621),F621&gt;0,ISNUMBER(G621),G621&gt;=0,ISNUMBER(H621),H621&gt;=0)</f>
        <v>1</v>
      </c>
      <c r="S621" s="13" t="n">
        <f aca="false">IF(R621,100*I621/F621,"")</f>
        <v>0.248482835894726</v>
      </c>
      <c r="T621" s="11" t="b">
        <f aca="false">NOT(AND(OR(AND(ISBLANK(RawFinancials!B621),ISBLANK(_RawBaseline!B618)),AND(ISNUMBER(RawFinancials!B621),ISNUMBER(_RawBaseline!B618),RawFinancials!B621=_RawBaseline!B618)),OR(AND(ISBLANK(RawFinancials!U621),ISBLANK(_RawBaseline!U618)),AND(ISNUMBER(RawFinancials!U621),ISNUMBER(_RawBaseline!U618),RawFinancials!U621=_RawBaseline!U618)),OR(AND(ISBLANK(RawFinancials!O621),ISBLANK(_RawBaseline!O618)),AND(ISNUMBER(RawFinancials!O621),ISNUMBER(_RawBaseline!O618),RawFinancials!O621=_RawBaseline!O618))))</f>
        <v>0</v>
      </c>
      <c r="U621" s="13" t="n">
        <f aca="false">IF(AND(D621=WF_START_PERIOD,R621,COUNTIFS($B$5:$B$750,B621,$D$5:$D$750,WF_END_PERIOD,$R$5:$R$750,TRUE())&gt;0),SUMIFS($S$5:$S$750,$B$5:$B$750,B621,$D$5:$D$750,WF_END_PERIOD,$R$5:$R$750,TRUE()),0)</f>
        <v>0</v>
      </c>
      <c r="V621" s="0" t="str">
        <f aca="false">IF(AND(D621=WF_START_PERIOD,COUNTIFS($B$5:$B$750,B621,$D$5:$D$750,WF_END_PERIOD)&gt;0),INDEX($E$5:$E$750,MATCH(B621&amp;"|"&amp;WF_END_PERIOD,$AC$5:$AC$750,0)),"")</f>
        <v/>
      </c>
      <c r="W621" s="11" t="b">
        <f aca="false">COUNTIFS($B$5:$B$750,B621,$D$5:$D$750,WF_START_PERIOD,$R$5:$R$750,TRUE())&gt;0</f>
        <v>1</v>
      </c>
      <c r="X621" s="11" t="b">
        <f aca="false">COUNTIFS($B$5:$B$750,B621,$D$5:$D$750,WF_END_PERIOD,$R$5:$R$750,TRUE())&gt;0</f>
        <v>1</v>
      </c>
      <c r="Y621" s="0" t="str">
        <f aca="false">IF(AND(D621=WF_END_PERIOD,COUNTIFS($B$5:$B$750,B621,$D$5:$D$750,WF_START_PERIOD)&gt;0),INDEX($E$5:$E$750,MATCH(B621&amp;"|"&amp;WF_START_PERIOD,$AC$5:$AC$750,0)),"")</f>
        <v/>
      </c>
      <c r="Z621" s="0" t="str">
        <f aca="false">IF(AND(D621=WF_END_PERIOD,R621),1+COUNTIFS($D$5:$D$750,WF_END_PERIOD,$E$5:$E$750,E621,$R$5:$R$750,TRUE(),$S$5:$S$750,"&gt;"&amp;S621)+COUNTIFS($D$5:$D$750,WF_END_PERIOD,$E$5:$E$750,E621,$R$5:$R$750,TRUE(),$S$5:$S$750,S621,$B$5:$B$750,"&lt;"&amp;B621),"")</f>
        <v/>
      </c>
      <c r="AA621" s="0" t="str">
        <f aca="false">IF(AND(D621=WF_END_PERIOD,R621,Z621&lt;&gt;1),1+COUNTIFS($D$5:$D$750,WF_END_PERIOD,$R$5:$R$750,TRUE(),$Z$5:$Z$750,"&lt;&gt;1",$S$5:$S$750,"&gt;"&amp;S621)+COUNTIFS($D$5:$D$750,WF_END_PERIOD,$R$5:$R$750,TRUE(),$Z$5:$Z$750,"&lt;&gt;1",$S$5:$S$750,S621,$B$5:$B$750,"&lt;"&amp;B621),"")</f>
        <v/>
      </c>
      <c r="AB621" s="11" t="b">
        <f aca="false">OR(D621=WF_START_PERIOD,D621=WF_END_PERIOD)</f>
        <v>0</v>
      </c>
      <c r="AC621" s="0" t="str">
        <f aca="false">B621&amp;"|"&amp;D621</f>
        <v>19531|20241231</v>
      </c>
    </row>
    <row r="622" customFormat="false" ht="15" hidden="false" customHeight="false" outlineLevel="0" collapsed="false">
      <c r="A622" s="0" t="n">
        <f aca="false">RawFinancials!A622</f>
        <v>619</v>
      </c>
      <c r="B622" s="0" t="n">
        <f aca="false">RawFinancials!C622</f>
        <v>19532</v>
      </c>
      <c r="C622" s="0" t="str">
        <f aca="false">RawFinancials!P622</f>
        <v>SKOWHEGAN SAVINGS BANK</v>
      </c>
      <c r="D622" s="0" t="n">
        <f aca="false">RawFinancials!W622</f>
        <v>20241231</v>
      </c>
      <c r="E622" s="0" t="str">
        <f aca="false">RawFinancials!Z622</f>
        <v>ME</v>
      </c>
      <c r="F622" s="0" t="n">
        <f aca="false">RawFinancials!B622</f>
        <v>841355</v>
      </c>
      <c r="G622" s="0" t="n">
        <f aca="false">RawFinancials!U622</f>
        <v>0</v>
      </c>
      <c r="H622" s="0" t="n">
        <f aca="false">RawFinancials!O622</f>
        <v>1747</v>
      </c>
      <c r="I622" s="0" t="n">
        <f aca="false">IF(AND(ISNUMBER(G622),ISNUMBER(H622)),G622+H622,"")</f>
        <v>1747</v>
      </c>
      <c r="J622" s="0" t="n">
        <f aca="false">RawFinancials!D622</f>
        <v>726139</v>
      </c>
      <c r="K622" s="0" t="n">
        <f aca="false">RawFinancials!F622</f>
        <v>102611</v>
      </c>
      <c r="L622" s="0" t="n">
        <f aca="false">RawFinancials!L622</f>
        <v>610614</v>
      </c>
      <c r="M622" s="0" t="n">
        <f aca="false">RawFinancials!N622</f>
        <v>502892</v>
      </c>
      <c r="N622" s="13" t="n">
        <f aca="false">RawFinancials!X622</f>
        <v>0.860939251412119</v>
      </c>
      <c r="O622" s="13" t="n">
        <f aca="false">RawFinancials!V622</f>
        <v>21.4383093615106</v>
      </c>
      <c r="P622" s="13" t="n">
        <f aca="false">IF(AND(ISNUMBER(L622),L622&lt;&gt;0,ISNUMBER(M622)),100*M622/L622,"")</f>
        <v>82.3584130072353</v>
      </c>
      <c r="Q622" s="13" t="n">
        <f aca="false">IF(AND(ISNUMBER(F622),F622&lt;&gt;0,ISNUMBER(K622)),100*K622/F622,"")</f>
        <v>12.1959220543053</v>
      </c>
      <c r="R622" s="11" t="b">
        <f aca="false">AND(ISNUMBER(F622),F622&gt;0,ISNUMBER(G622),G622&gt;=0,ISNUMBER(H622),H622&gt;=0)</f>
        <v>1</v>
      </c>
      <c r="S622" s="13" t="n">
        <f aca="false">IF(R622,100*I622/F622,"")</f>
        <v>0.207641245372049</v>
      </c>
      <c r="T622" s="11" t="b">
        <f aca="false">NOT(AND(OR(AND(ISBLANK(RawFinancials!B622),ISBLANK(_RawBaseline!B619)),AND(ISNUMBER(RawFinancials!B622),ISNUMBER(_RawBaseline!B619),RawFinancials!B622=_RawBaseline!B619)),OR(AND(ISBLANK(RawFinancials!U622),ISBLANK(_RawBaseline!U619)),AND(ISNUMBER(RawFinancials!U622),ISNUMBER(_RawBaseline!U619),RawFinancials!U622=_RawBaseline!U619)),OR(AND(ISBLANK(RawFinancials!O622),ISBLANK(_RawBaseline!O619)),AND(ISNUMBER(RawFinancials!O622),ISNUMBER(_RawBaseline!O619),RawFinancials!O622=_RawBaseline!O619))))</f>
        <v>0</v>
      </c>
      <c r="U622" s="13" t="n">
        <f aca="false">IF(AND(D622=WF_START_PERIOD,R622,COUNTIFS($B$5:$B$750,B622,$D$5:$D$750,WF_END_PERIOD,$R$5:$R$750,TRUE())&gt;0),SUMIFS($S$5:$S$750,$B$5:$B$750,B622,$D$5:$D$750,WF_END_PERIOD,$R$5:$R$750,TRUE()),0)</f>
        <v>0</v>
      </c>
      <c r="V622" s="0" t="str">
        <f aca="false">IF(AND(D622=WF_START_PERIOD,COUNTIFS($B$5:$B$750,B622,$D$5:$D$750,WF_END_PERIOD)&gt;0),INDEX($E$5:$E$750,MATCH(B622&amp;"|"&amp;WF_END_PERIOD,$AC$5:$AC$750,0)),"")</f>
        <v/>
      </c>
      <c r="W622" s="11" t="b">
        <f aca="false">COUNTIFS($B$5:$B$750,B622,$D$5:$D$750,WF_START_PERIOD,$R$5:$R$750,TRUE())&gt;0</f>
        <v>1</v>
      </c>
      <c r="X622" s="11" t="b">
        <f aca="false">COUNTIFS($B$5:$B$750,B622,$D$5:$D$750,WF_END_PERIOD,$R$5:$R$750,TRUE())&gt;0</f>
        <v>1</v>
      </c>
      <c r="Y622" s="0" t="str">
        <f aca="false">IF(AND(D622=WF_END_PERIOD,COUNTIFS($B$5:$B$750,B622,$D$5:$D$750,WF_START_PERIOD)&gt;0),INDEX($E$5:$E$750,MATCH(B622&amp;"|"&amp;WF_START_PERIOD,$AC$5:$AC$750,0)),"")</f>
        <v/>
      </c>
      <c r="Z622" s="0" t="str">
        <f aca="false">IF(AND(D622=WF_END_PERIOD,R622),1+COUNTIFS($D$5:$D$750,WF_END_PERIOD,$E$5:$E$750,E622,$R$5:$R$750,TRUE(),$S$5:$S$750,"&gt;"&amp;S622)+COUNTIFS($D$5:$D$750,WF_END_PERIOD,$E$5:$E$750,E622,$R$5:$R$750,TRUE(),$S$5:$S$750,S622,$B$5:$B$750,"&lt;"&amp;B622),"")</f>
        <v/>
      </c>
      <c r="AA622" s="0" t="str">
        <f aca="false">IF(AND(D622=WF_END_PERIOD,R622,Z622&lt;&gt;1),1+COUNTIFS($D$5:$D$750,WF_END_PERIOD,$R$5:$R$750,TRUE(),$Z$5:$Z$750,"&lt;&gt;1",$S$5:$S$750,"&gt;"&amp;S622)+COUNTIFS($D$5:$D$750,WF_END_PERIOD,$R$5:$R$750,TRUE(),$Z$5:$Z$750,"&lt;&gt;1",$S$5:$S$750,S622,$B$5:$B$750,"&lt;"&amp;B622),"")</f>
        <v/>
      </c>
      <c r="AB622" s="11" t="b">
        <f aca="false">OR(D622=WF_START_PERIOD,D622=WF_END_PERIOD)</f>
        <v>0</v>
      </c>
      <c r="AC622" s="0" t="str">
        <f aca="false">B622&amp;"|"&amp;D622</f>
        <v>19532|20241231</v>
      </c>
    </row>
    <row r="623" customFormat="false" ht="15" hidden="false" customHeight="false" outlineLevel="0" collapsed="false">
      <c r="A623" s="0" t="n">
        <f aca="false">RawFinancials!A623</f>
        <v>620</v>
      </c>
      <c r="B623" s="0" t="n">
        <f aca="false">RawFinancials!C623</f>
        <v>19690</v>
      </c>
      <c r="C623" s="0" t="str">
        <f aca="false">RawFinancials!P623</f>
        <v>NORTHEAST BANK</v>
      </c>
      <c r="D623" s="0" t="n">
        <f aca="false">RawFinancials!W623</f>
        <v>20241231</v>
      </c>
      <c r="E623" s="0" t="str">
        <f aca="false">RawFinancials!Z623</f>
        <v>ME</v>
      </c>
      <c r="F623" s="0" t="n">
        <f aca="false">RawFinancials!B623</f>
        <v>4083054</v>
      </c>
      <c r="G623" s="0" t="n">
        <f aca="false">RawFinancials!U623</f>
        <v>0</v>
      </c>
      <c r="H623" s="0" t="n">
        <f aca="false">RawFinancials!O623</f>
        <v>30066</v>
      </c>
      <c r="I623" s="0" t="n">
        <f aca="false">IF(AND(ISNUMBER(G623),ISNUMBER(H623)),G623+H623,"")</f>
        <v>30066</v>
      </c>
      <c r="J623" s="0" t="n">
        <f aca="false">RawFinancials!D623</f>
        <v>3178140</v>
      </c>
      <c r="K623" s="0" t="n">
        <f aca="false">RawFinancials!F623</f>
        <v>444101</v>
      </c>
      <c r="L623" s="0" t="n">
        <f aca="false">RawFinancials!L623</f>
        <v>3626020</v>
      </c>
      <c r="M623" s="0" t="n">
        <f aca="false">RawFinancials!N623</f>
        <v>2812366</v>
      </c>
      <c r="N623" s="13" t="n">
        <f aca="false">RawFinancials!X623</f>
        <v>2.00155957794462</v>
      </c>
      <c r="O623" s="13" t="n">
        <f aca="false">RawFinancials!V623</f>
        <v>13.9124837251983</v>
      </c>
      <c r="P623" s="13" t="n">
        <f aca="false">IF(AND(ISNUMBER(L623),L623&lt;&gt;0,ISNUMBER(M623)),100*M623/L623,"")</f>
        <v>77.5606863723863</v>
      </c>
      <c r="Q623" s="13" t="n">
        <f aca="false">IF(AND(ISNUMBER(F623),F623&lt;&gt;0,ISNUMBER(K623)),100*K623/F623,"")</f>
        <v>10.8766869113169</v>
      </c>
      <c r="R623" s="11" t="b">
        <f aca="false">AND(ISNUMBER(F623),F623&gt;0,ISNUMBER(G623),G623&gt;=0,ISNUMBER(H623),H623&gt;=0)</f>
        <v>1</v>
      </c>
      <c r="S623" s="13" t="n">
        <f aca="false">IF(R623,100*I623/F623,"")</f>
        <v>0.736360577156217</v>
      </c>
      <c r="T623" s="11" t="b">
        <f aca="false">NOT(AND(OR(AND(ISBLANK(RawFinancials!B623),ISBLANK(_RawBaseline!B620)),AND(ISNUMBER(RawFinancials!B623),ISNUMBER(_RawBaseline!B620),RawFinancials!B623=_RawBaseline!B620)),OR(AND(ISBLANK(RawFinancials!U623),ISBLANK(_RawBaseline!U620)),AND(ISNUMBER(RawFinancials!U623),ISNUMBER(_RawBaseline!U620),RawFinancials!U623=_RawBaseline!U620)),OR(AND(ISBLANK(RawFinancials!O623),ISBLANK(_RawBaseline!O620)),AND(ISNUMBER(RawFinancials!O623),ISNUMBER(_RawBaseline!O620),RawFinancials!O623=_RawBaseline!O620))))</f>
        <v>0</v>
      </c>
      <c r="U623" s="13" t="n">
        <f aca="false">IF(AND(D623=WF_START_PERIOD,R623,COUNTIFS($B$5:$B$750,B623,$D$5:$D$750,WF_END_PERIOD,$R$5:$R$750,TRUE())&gt;0),SUMIFS($S$5:$S$750,$B$5:$B$750,B623,$D$5:$D$750,WF_END_PERIOD,$R$5:$R$750,TRUE()),0)</f>
        <v>0</v>
      </c>
      <c r="V623" s="0" t="str">
        <f aca="false">IF(AND(D623=WF_START_PERIOD,COUNTIFS($B$5:$B$750,B623,$D$5:$D$750,WF_END_PERIOD)&gt;0),INDEX($E$5:$E$750,MATCH(B623&amp;"|"&amp;WF_END_PERIOD,$AC$5:$AC$750,0)),"")</f>
        <v/>
      </c>
      <c r="W623" s="11" t="b">
        <f aca="false">COUNTIFS($B$5:$B$750,B623,$D$5:$D$750,WF_START_PERIOD,$R$5:$R$750,TRUE())&gt;0</f>
        <v>1</v>
      </c>
      <c r="X623" s="11" t="b">
        <f aca="false">COUNTIFS($B$5:$B$750,B623,$D$5:$D$750,WF_END_PERIOD,$R$5:$R$750,TRUE())&gt;0</f>
        <v>1</v>
      </c>
      <c r="Y623" s="0" t="str">
        <f aca="false">IF(AND(D623=WF_END_PERIOD,COUNTIFS($B$5:$B$750,B623,$D$5:$D$750,WF_START_PERIOD)&gt;0),INDEX($E$5:$E$750,MATCH(B623&amp;"|"&amp;WF_START_PERIOD,$AC$5:$AC$750,0)),"")</f>
        <v/>
      </c>
      <c r="Z623" s="0" t="str">
        <f aca="false">IF(AND(D623=WF_END_PERIOD,R623),1+COUNTIFS($D$5:$D$750,WF_END_PERIOD,$E$5:$E$750,E623,$R$5:$R$750,TRUE(),$S$5:$S$750,"&gt;"&amp;S623)+COUNTIFS($D$5:$D$750,WF_END_PERIOD,$E$5:$E$750,E623,$R$5:$R$750,TRUE(),$S$5:$S$750,S623,$B$5:$B$750,"&lt;"&amp;B623),"")</f>
        <v/>
      </c>
      <c r="AA623" s="0" t="str">
        <f aca="false">IF(AND(D623=WF_END_PERIOD,R623,Z623&lt;&gt;1),1+COUNTIFS($D$5:$D$750,WF_END_PERIOD,$R$5:$R$750,TRUE(),$Z$5:$Z$750,"&lt;&gt;1",$S$5:$S$750,"&gt;"&amp;S623)+COUNTIFS($D$5:$D$750,WF_END_PERIOD,$R$5:$R$750,TRUE(),$Z$5:$Z$750,"&lt;&gt;1",$S$5:$S$750,S623,$B$5:$B$750,"&lt;"&amp;B623),"")</f>
        <v/>
      </c>
      <c r="AB623" s="11" t="b">
        <f aca="false">OR(D623=WF_START_PERIOD,D623=WF_END_PERIOD)</f>
        <v>0</v>
      </c>
      <c r="AC623" s="0" t="str">
        <f aca="false">B623&amp;"|"&amp;D623</f>
        <v>19690|20241231</v>
      </c>
    </row>
    <row r="624" customFormat="false" ht="15" hidden="false" customHeight="false" outlineLevel="0" collapsed="false">
      <c r="A624" s="0" t="n">
        <f aca="false">RawFinancials!A624</f>
        <v>621</v>
      </c>
      <c r="B624" s="0" t="n">
        <f aca="false">RawFinancials!C624</f>
        <v>19836</v>
      </c>
      <c r="C624" s="0" t="str">
        <f aca="false">RawFinancials!P624</f>
        <v>FRANKLIN SAVINGS BANK</v>
      </c>
      <c r="D624" s="0" t="n">
        <f aca="false">RawFinancials!W624</f>
        <v>20241231</v>
      </c>
      <c r="E624" s="0" t="str">
        <f aca="false">RawFinancials!Z624</f>
        <v>ME</v>
      </c>
      <c r="F624" s="0" t="n">
        <f aca="false">RawFinancials!B624</f>
        <v>725956</v>
      </c>
      <c r="G624" s="0" t="n">
        <f aca="false">RawFinancials!U624</f>
        <v>115</v>
      </c>
      <c r="H624" s="0" t="n">
        <f aca="false">RawFinancials!O624</f>
        <v>5575</v>
      </c>
      <c r="I624" s="0" t="n">
        <f aca="false">IF(AND(ISNUMBER(G624),ISNUMBER(H624)),G624+H624,"")</f>
        <v>5690</v>
      </c>
      <c r="J624" s="0" t="n">
        <f aca="false">RawFinancials!D624</f>
        <v>546072</v>
      </c>
      <c r="K624" s="0" t="n">
        <f aca="false">RawFinancials!F624</f>
        <v>126418</v>
      </c>
      <c r="L624" s="0" t="n">
        <f aca="false">RawFinancials!L624</f>
        <v>621275</v>
      </c>
      <c r="M624" s="0" t="n">
        <f aca="false">RawFinancials!N624</f>
        <v>565995</v>
      </c>
      <c r="N624" s="13" t="n">
        <f aca="false">RawFinancials!X624</f>
        <v>0.635783162051918</v>
      </c>
      <c r="O624" s="13" t="n">
        <f aca="false">RawFinancials!V624</f>
        <v>23.4027315459259</v>
      </c>
      <c r="P624" s="13" t="n">
        <f aca="false">IF(AND(ISNUMBER(L624),L624&lt;&gt;0,ISNUMBER(M624)),100*M624/L624,"")</f>
        <v>91.1021689268038</v>
      </c>
      <c r="Q624" s="13" t="n">
        <f aca="false">IF(AND(ISNUMBER(F624),F624&lt;&gt;0,ISNUMBER(K624)),100*K624/F624,"")</f>
        <v>17.4140030525266</v>
      </c>
      <c r="R624" s="11" t="b">
        <f aca="false">AND(ISNUMBER(F624),F624&gt;0,ISNUMBER(G624),G624&gt;=0,ISNUMBER(H624),H624&gt;=0)</f>
        <v>1</v>
      </c>
      <c r="S624" s="13" t="n">
        <f aca="false">IF(R624,100*I624/F624,"")</f>
        <v>0.78379405914408</v>
      </c>
      <c r="T624" s="11" t="b">
        <f aca="false">NOT(AND(OR(AND(ISBLANK(RawFinancials!B624),ISBLANK(_RawBaseline!B621)),AND(ISNUMBER(RawFinancials!B624),ISNUMBER(_RawBaseline!B621),RawFinancials!B624=_RawBaseline!B621)),OR(AND(ISBLANK(RawFinancials!U624),ISBLANK(_RawBaseline!U621)),AND(ISNUMBER(RawFinancials!U624),ISNUMBER(_RawBaseline!U621),RawFinancials!U624=_RawBaseline!U621)),OR(AND(ISBLANK(RawFinancials!O624),ISBLANK(_RawBaseline!O621)),AND(ISNUMBER(RawFinancials!O624),ISNUMBER(_RawBaseline!O621),RawFinancials!O624=_RawBaseline!O621))))</f>
        <v>0</v>
      </c>
      <c r="U624" s="13" t="n">
        <f aca="false">IF(AND(D624=WF_START_PERIOD,R624,COUNTIFS($B$5:$B$750,B624,$D$5:$D$750,WF_END_PERIOD,$R$5:$R$750,TRUE())&gt;0),SUMIFS($S$5:$S$750,$B$5:$B$750,B624,$D$5:$D$750,WF_END_PERIOD,$R$5:$R$750,TRUE()),0)</f>
        <v>0</v>
      </c>
      <c r="V624" s="0" t="str">
        <f aca="false">IF(AND(D624=WF_START_PERIOD,COUNTIFS($B$5:$B$750,B624,$D$5:$D$750,WF_END_PERIOD)&gt;0),INDEX($E$5:$E$750,MATCH(B624&amp;"|"&amp;WF_END_PERIOD,$AC$5:$AC$750,0)),"")</f>
        <v/>
      </c>
      <c r="W624" s="11" t="b">
        <f aca="false">COUNTIFS($B$5:$B$750,B624,$D$5:$D$750,WF_START_PERIOD,$R$5:$R$750,TRUE())&gt;0</f>
        <v>1</v>
      </c>
      <c r="X624" s="11" t="b">
        <f aca="false">COUNTIFS($B$5:$B$750,B624,$D$5:$D$750,WF_END_PERIOD,$R$5:$R$750,TRUE())&gt;0</f>
        <v>1</v>
      </c>
      <c r="Y624" s="0" t="str">
        <f aca="false">IF(AND(D624=WF_END_PERIOD,COUNTIFS($B$5:$B$750,B624,$D$5:$D$750,WF_START_PERIOD)&gt;0),INDEX($E$5:$E$750,MATCH(B624&amp;"|"&amp;WF_START_PERIOD,$AC$5:$AC$750,0)),"")</f>
        <v/>
      </c>
      <c r="Z624" s="0" t="str">
        <f aca="false">IF(AND(D624=WF_END_PERIOD,R624),1+COUNTIFS($D$5:$D$750,WF_END_PERIOD,$E$5:$E$750,E624,$R$5:$R$750,TRUE(),$S$5:$S$750,"&gt;"&amp;S624)+COUNTIFS($D$5:$D$750,WF_END_PERIOD,$E$5:$E$750,E624,$R$5:$R$750,TRUE(),$S$5:$S$750,S624,$B$5:$B$750,"&lt;"&amp;B624),"")</f>
        <v/>
      </c>
      <c r="AA624" s="0" t="str">
        <f aca="false">IF(AND(D624=WF_END_PERIOD,R624,Z624&lt;&gt;1),1+COUNTIFS($D$5:$D$750,WF_END_PERIOD,$R$5:$R$750,TRUE(),$Z$5:$Z$750,"&lt;&gt;1",$S$5:$S$750,"&gt;"&amp;S624)+COUNTIFS($D$5:$D$750,WF_END_PERIOD,$R$5:$R$750,TRUE(),$Z$5:$Z$750,"&lt;&gt;1",$S$5:$S$750,S624,$B$5:$B$750,"&lt;"&amp;B624),"")</f>
        <v/>
      </c>
      <c r="AB624" s="11" t="b">
        <f aca="false">OR(D624=WF_START_PERIOD,D624=WF_END_PERIOD)</f>
        <v>0</v>
      </c>
      <c r="AC624" s="0" t="str">
        <f aca="false">B624&amp;"|"&amp;D624</f>
        <v>19836|20241231</v>
      </c>
    </row>
    <row r="625" customFormat="false" ht="15" hidden="false" customHeight="false" outlineLevel="0" collapsed="false">
      <c r="A625" s="0" t="n">
        <f aca="false">RawFinancials!A625</f>
        <v>622</v>
      </c>
      <c r="B625" s="0" t="n">
        <f aca="false">RawFinancials!C625</f>
        <v>24540</v>
      </c>
      <c r="C625" s="0" t="str">
        <f aca="false">RawFinancials!P625</f>
        <v>BANK OF NEW ENGLAND</v>
      </c>
      <c r="D625" s="0" t="n">
        <f aca="false">RawFinancials!W625</f>
        <v>20241231</v>
      </c>
      <c r="E625" s="0" t="str">
        <f aca="false">RawFinancials!Z625</f>
        <v>NH</v>
      </c>
      <c r="F625" s="0" t="n">
        <f aca="false">RawFinancials!B625</f>
        <v>1527088</v>
      </c>
      <c r="G625" s="0" t="n">
        <f aca="false">RawFinancials!U625</f>
        <v>0</v>
      </c>
      <c r="H625" s="0" t="n">
        <f aca="false">RawFinancials!O625</f>
        <v>28862</v>
      </c>
      <c r="I625" s="0" t="n">
        <f aca="false">IF(AND(ISNUMBER(G625),ISNUMBER(H625)),G625+H625,"")</f>
        <v>28862</v>
      </c>
      <c r="J625" s="0" t="n">
        <f aca="false">RawFinancials!D625</f>
        <v>1227168</v>
      </c>
      <c r="K625" s="0" t="n">
        <f aca="false">RawFinancials!F625</f>
        <v>276022</v>
      </c>
      <c r="L625" s="0" t="n">
        <f aca="false">RawFinancials!L625</f>
        <v>1371569</v>
      </c>
      <c r="M625" s="0" t="n">
        <f aca="false">RawFinancials!N625</f>
        <v>1331608</v>
      </c>
      <c r="N625" s="13" t="n">
        <f aca="false">RawFinancials!X625</f>
        <v>2.16766070982136</v>
      </c>
      <c r="O625" s="13" t="n">
        <f aca="false">RawFinancials!V625</f>
        <v>18.6892666157372</v>
      </c>
      <c r="P625" s="13" t="n">
        <f aca="false">IF(AND(ISNUMBER(L625),L625&lt;&gt;0,ISNUMBER(M625)),100*M625/L625,"")</f>
        <v>97.086475416111</v>
      </c>
      <c r="Q625" s="13" t="n">
        <f aca="false">IF(AND(ISNUMBER(F625),F625&lt;&gt;0,ISNUMBER(K625)),100*K625/F625,"")</f>
        <v>18.0750552685896</v>
      </c>
      <c r="R625" s="11" t="b">
        <f aca="false">AND(ISNUMBER(F625),F625&gt;0,ISNUMBER(G625),G625&gt;=0,ISNUMBER(H625),H625&gt;=0)</f>
        <v>1</v>
      </c>
      <c r="S625" s="13" t="n">
        <f aca="false">IF(R625,100*I625/F625,"")</f>
        <v>1.89000240981528</v>
      </c>
      <c r="T625" s="11" t="b">
        <f aca="false">NOT(AND(OR(AND(ISBLANK(RawFinancials!B625),ISBLANK(_RawBaseline!B622)),AND(ISNUMBER(RawFinancials!B625),ISNUMBER(_RawBaseline!B622),RawFinancials!B625=_RawBaseline!B622)),OR(AND(ISBLANK(RawFinancials!U625),ISBLANK(_RawBaseline!U622)),AND(ISNUMBER(RawFinancials!U625),ISNUMBER(_RawBaseline!U622),RawFinancials!U625=_RawBaseline!U622)),OR(AND(ISBLANK(RawFinancials!O625),ISBLANK(_RawBaseline!O622)),AND(ISNUMBER(RawFinancials!O625),ISNUMBER(_RawBaseline!O622),RawFinancials!O625=_RawBaseline!O622))))</f>
        <v>0</v>
      </c>
      <c r="U625" s="13" t="n">
        <f aca="false">IF(AND(D625=WF_START_PERIOD,R625,COUNTIFS($B$5:$B$750,B625,$D$5:$D$750,WF_END_PERIOD,$R$5:$R$750,TRUE())&gt;0),SUMIFS($S$5:$S$750,$B$5:$B$750,B625,$D$5:$D$750,WF_END_PERIOD,$R$5:$R$750,TRUE()),0)</f>
        <v>0</v>
      </c>
      <c r="V625" s="0" t="str">
        <f aca="false">IF(AND(D625=WF_START_PERIOD,COUNTIFS($B$5:$B$750,B625,$D$5:$D$750,WF_END_PERIOD)&gt;0),INDEX($E$5:$E$750,MATCH(B625&amp;"|"&amp;WF_END_PERIOD,$AC$5:$AC$750,0)),"")</f>
        <v/>
      </c>
      <c r="W625" s="11" t="b">
        <f aca="false">COUNTIFS($B$5:$B$750,B625,$D$5:$D$750,WF_START_PERIOD,$R$5:$R$750,TRUE())&gt;0</f>
        <v>1</v>
      </c>
      <c r="X625" s="11" t="b">
        <f aca="false">COUNTIFS($B$5:$B$750,B625,$D$5:$D$750,WF_END_PERIOD,$R$5:$R$750,TRUE())&gt;0</f>
        <v>1</v>
      </c>
      <c r="Y625" s="0" t="str">
        <f aca="false">IF(AND(D625=WF_END_PERIOD,COUNTIFS($B$5:$B$750,B625,$D$5:$D$750,WF_START_PERIOD)&gt;0),INDEX($E$5:$E$750,MATCH(B625&amp;"|"&amp;WF_START_PERIOD,$AC$5:$AC$750,0)),"")</f>
        <v/>
      </c>
      <c r="Z625" s="0" t="str">
        <f aca="false">IF(AND(D625=WF_END_PERIOD,R625),1+COUNTIFS($D$5:$D$750,WF_END_PERIOD,$E$5:$E$750,E625,$R$5:$R$750,TRUE(),$S$5:$S$750,"&gt;"&amp;S625)+COUNTIFS($D$5:$D$750,WF_END_PERIOD,$E$5:$E$750,E625,$R$5:$R$750,TRUE(),$S$5:$S$750,S625,$B$5:$B$750,"&lt;"&amp;B625),"")</f>
        <v/>
      </c>
      <c r="AA625" s="0" t="str">
        <f aca="false">IF(AND(D625=WF_END_PERIOD,R625,Z625&lt;&gt;1),1+COUNTIFS($D$5:$D$750,WF_END_PERIOD,$R$5:$R$750,TRUE(),$Z$5:$Z$750,"&lt;&gt;1",$S$5:$S$750,"&gt;"&amp;S625)+COUNTIFS($D$5:$D$750,WF_END_PERIOD,$R$5:$R$750,TRUE(),$Z$5:$Z$750,"&lt;&gt;1",$S$5:$S$750,S625,$B$5:$B$750,"&lt;"&amp;B625),"")</f>
        <v/>
      </c>
      <c r="AB625" s="11" t="b">
        <f aca="false">OR(D625=WF_START_PERIOD,D625=WF_END_PERIOD)</f>
        <v>0</v>
      </c>
      <c r="AC625" s="0" t="str">
        <f aca="false">B625&amp;"|"&amp;D625</f>
        <v>24540|20241231</v>
      </c>
    </row>
    <row r="626" customFormat="false" ht="15" hidden="false" customHeight="false" outlineLevel="0" collapsed="false">
      <c r="A626" s="0" t="n">
        <f aca="false">RawFinancials!A626</f>
        <v>623</v>
      </c>
      <c r="B626" s="0" t="n">
        <f aca="false">RawFinancials!C626</f>
        <v>27824</v>
      </c>
      <c r="C626" s="0" t="str">
        <f aca="false">RawFinancials!P626</f>
        <v>SALEM CO-OPERATIVE BANK</v>
      </c>
      <c r="D626" s="0" t="n">
        <f aca="false">RawFinancials!W626</f>
        <v>20241231</v>
      </c>
      <c r="E626" s="0" t="str">
        <f aca="false">RawFinancials!Z626</f>
        <v>NH</v>
      </c>
      <c r="F626" s="0" t="n">
        <f aca="false">RawFinancials!B626</f>
        <v>567213</v>
      </c>
      <c r="G626" s="0" t="n">
        <f aca="false">RawFinancials!U626</f>
        <v>0</v>
      </c>
      <c r="H626" s="0" t="n">
        <f aca="false">RawFinancials!O626</f>
        <v>1549</v>
      </c>
      <c r="I626" s="0" t="n">
        <f aca="false">IF(AND(ISNUMBER(G626),ISNUMBER(H626)),G626+H626,"")</f>
        <v>1549</v>
      </c>
      <c r="J626" s="0" t="n">
        <f aca="false">RawFinancials!D626</f>
        <v>364594</v>
      </c>
      <c r="K626" s="0" t="n">
        <f aca="false">RawFinancials!F626</f>
        <v>62425</v>
      </c>
      <c r="L626" s="0" t="n">
        <f aca="false">RawFinancials!L626</f>
        <v>477239</v>
      </c>
      <c r="M626" s="0" t="n">
        <f aca="false">RawFinancials!N626</f>
        <v>418833</v>
      </c>
      <c r="N626" s="13" t="n">
        <f aca="false">RawFinancials!X626</f>
        <v>-0.525560567879556</v>
      </c>
      <c r="O626" s="13" t="n">
        <f aca="false">RawFinancials!V626</f>
        <v>19.034594199942</v>
      </c>
      <c r="P626" s="13" t="n">
        <f aca="false">IF(AND(ISNUMBER(L626),L626&lt;&gt;0,ISNUMBER(M626)),100*M626/L626,"")</f>
        <v>87.7616875402052</v>
      </c>
      <c r="Q626" s="13" t="n">
        <f aca="false">IF(AND(ISNUMBER(F626),F626&lt;&gt;0,ISNUMBER(K626)),100*K626/F626,"")</f>
        <v>11.0055658103746</v>
      </c>
      <c r="R626" s="11" t="b">
        <f aca="false">AND(ISNUMBER(F626),F626&gt;0,ISNUMBER(G626),G626&gt;=0,ISNUMBER(H626),H626&gt;=0)</f>
        <v>1</v>
      </c>
      <c r="S626" s="13" t="n">
        <f aca="false">IF(R626,100*I626/F626,"")</f>
        <v>0.273089650625074</v>
      </c>
      <c r="T626" s="11" t="b">
        <f aca="false">NOT(AND(OR(AND(ISBLANK(RawFinancials!B626),ISBLANK(_RawBaseline!B623)),AND(ISNUMBER(RawFinancials!B626),ISNUMBER(_RawBaseline!B623),RawFinancials!B626=_RawBaseline!B623)),OR(AND(ISBLANK(RawFinancials!U626),ISBLANK(_RawBaseline!U623)),AND(ISNUMBER(RawFinancials!U626),ISNUMBER(_RawBaseline!U623),RawFinancials!U626=_RawBaseline!U623)),OR(AND(ISBLANK(RawFinancials!O626),ISBLANK(_RawBaseline!O623)),AND(ISNUMBER(RawFinancials!O626),ISNUMBER(_RawBaseline!O623),RawFinancials!O626=_RawBaseline!O623))))</f>
        <v>0</v>
      </c>
      <c r="U626" s="13" t="n">
        <f aca="false">IF(AND(D626=WF_START_PERIOD,R626,COUNTIFS($B$5:$B$750,B626,$D$5:$D$750,WF_END_PERIOD,$R$5:$R$750,TRUE())&gt;0),SUMIFS($S$5:$S$750,$B$5:$B$750,B626,$D$5:$D$750,WF_END_PERIOD,$R$5:$R$750,TRUE()),0)</f>
        <v>0</v>
      </c>
      <c r="V626" s="0" t="str">
        <f aca="false">IF(AND(D626=WF_START_PERIOD,COUNTIFS($B$5:$B$750,B626,$D$5:$D$750,WF_END_PERIOD)&gt;0),INDEX($E$5:$E$750,MATCH(B626&amp;"|"&amp;WF_END_PERIOD,$AC$5:$AC$750,0)),"")</f>
        <v/>
      </c>
      <c r="W626" s="11" t="b">
        <f aca="false">COUNTIFS($B$5:$B$750,B626,$D$5:$D$750,WF_START_PERIOD,$R$5:$R$750,TRUE())&gt;0</f>
        <v>1</v>
      </c>
      <c r="X626" s="11" t="b">
        <f aca="false">COUNTIFS($B$5:$B$750,B626,$D$5:$D$750,WF_END_PERIOD,$R$5:$R$750,TRUE())&gt;0</f>
        <v>1</v>
      </c>
      <c r="Y626" s="0" t="str">
        <f aca="false">IF(AND(D626=WF_END_PERIOD,COUNTIFS($B$5:$B$750,B626,$D$5:$D$750,WF_START_PERIOD)&gt;0),INDEX($E$5:$E$750,MATCH(B626&amp;"|"&amp;WF_START_PERIOD,$AC$5:$AC$750,0)),"")</f>
        <v/>
      </c>
      <c r="Z626" s="0" t="str">
        <f aca="false">IF(AND(D626=WF_END_PERIOD,R626),1+COUNTIFS($D$5:$D$750,WF_END_PERIOD,$E$5:$E$750,E626,$R$5:$R$750,TRUE(),$S$5:$S$750,"&gt;"&amp;S626)+COUNTIFS($D$5:$D$750,WF_END_PERIOD,$E$5:$E$750,E626,$R$5:$R$750,TRUE(),$S$5:$S$750,S626,$B$5:$B$750,"&lt;"&amp;B626),"")</f>
        <v/>
      </c>
      <c r="AA626" s="0" t="str">
        <f aca="false">IF(AND(D626=WF_END_PERIOD,R626,Z626&lt;&gt;1),1+COUNTIFS($D$5:$D$750,WF_END_PERIOD,$R$5:$R$750,TRUE(),$Z$5:$Z$750,"&lt;&gt;1",$S$5:$S$750,"&gt;"&amp;S626)+COUNTIFS($D$5:$D$750,WF_END_PERIOD,$R$5:$R$750,TRUE(),$Z$5:$Z$750,"&lt;&gt;1",$S$5:$S$750,S626,$B$5:$B$750,"&lt;"&amp;B626),"")</f>
        <v/>
      </c>
      <c r="AB626" s="11" t="b">
        <f aca="false">OR(D626=WF_START_PERIOD,D626=WF_END_PERIOD)</f>
        <v>0</v>
      </c>
      <c r="AC626" s="0" t="str">
        <f aca="false">B626&amp;"|"&amp;D626</f>
        <v>27824|20241231</v>
      </c>
    </row>
    <row r="627" customFormat="false" ht="15" hidden="false" customHeight="false" outlineLevel="0" collapsed="false">
      <c r="A627" s="0" t="n">
        <f aca="false">RawFinancials!A627</f>
        <v>624</v>
      </c>
      <c r="B627" s="0" t="n">
        <f aca="false">RawFinancials!C627</f>
        <v>28155</v>
      </c>
      <c r="C627" s="0" t="str">
        <f aca="false">RawFinancials!P627</f>
        <v>PROFILE BANK</v>
      </c>
      <c r="D627" s="0" t="n">
        <f aca="false">RawFinancials!W627</f>
        <v>20241231</v>
      </c>
      <c r="E627" s="0" t="str">
        <f aca="false">RawFinancials!Z627</f>
        <v>NH</v>
      </c>
      <c r="F627" s="0" t="n">
        <f aca="false">RawFinancials!B627</f>
        <v>295833</v>
      </c>
      <c r="G627" s="0" t="n">
        <f aca="false">RawFinancials!U627</f>
        <v>0</v>
      </c>
      <c r="H627" s="0" t="n">
        <f aca="false">RawFinancials!O627</f>
        <v>0</v>
      </c>
      <c r="I627" s="0" t="n">
        <f aca="false">IF(AND(ISNUMBER(G627),ISNUMBER(H627)),G627+H627,"")</f>
        <v>0</v>
      </c>
      <c r="J627" s="0" t="n">
        <f aca="false">RawFinancials!D627</f>
        <v>257082</v>
      </c>
      <c r="K627" s="0" t="n">
        <f aca="false">RawFinancials!F627</f>
        <v>27363</v>
      </c>
      <c r="L627" s="0" t="n">
        <f aca="false">RawFinancials!L627</f>
        <v>174792</v>
      </c>
      <c r="M627" s="0" t="n">
        <f aca="false">RawFinancials!N627</f>
        <v>157930</v>
      </c>
      <c r="N627" s="13" t="n">
        <f aca="false">RawFinancials!X627</f>
        <v>-0.0231009511565541</v>
      </c>
      <c r="O627" s="13" t="n">
        <f aca="false">RawFinancials!V627</f>
        <v>17.6109436246782</v>
      </c>
      <c r="P627" s="13" t="n">
        <f aca="false">IF(AND(ISNUMBER(L627),L627&lt;&gt;0,ISNUMBER(M627)),100*M627/L627,"")</f>
        <v>90.3531054052817</v>
      </c>
      <c r="Q627" s="13" t="n">
        <f aca="false">IF(AND(ISNUMBER(F627),F627&lt;&gt;0,ISNUMBER(K627)),100*K627/F627,"")</f>
        <v>9.2494752106763</v>
      </c>
      <c r="R627" s="11" t="b">
        <f aca="false">AND(ISNUMBER(F627),F627&gt;0,ISNUMBER(G627),G627&gt;=0,ISNUMBER(H627),H627&gt;=0)</f>
        <v>1</v>
      </c>
      <c r="S627" s="13" t="n">
        <f aca="false">IF(R627,100*I627/F627,"")</f>
        <v>0</v>
      </c>
      <c r="T627" s="11" t="b">
        <f aca="false">NOT(AND(OR(AND(ISBLANK(RawFinancials!B627),ISBLANK(_RawBaseline!B624)),AND(ISNUMBER(RawFinancials!B627),ISNUMBER(_RawBaseline!B624),RawFinancials!B627=_RawBaseline!B624)),OR(AND(ISBLANK(RawFinancials!U627),ISBLANK(_RawBaseline!U624)),AND(ISNUMBER(RawFinancials!U627),ISNUMBER(_RawBaseline!U624),RawFinancials!U627=_RawBaseline!U624)),OR(AND(ISBLANK(RawFinancials!O627),ISBLANK(_RawBaseline!O624)),AND(ISNUMBER(RawFinancials!O627),ISNUMBER(_RawBaseline!O624),RawFinancials!O627=_RawBaseline!O624))))</f>
        <v>0</v>
      </c>
      <c r="U627" s="13" t="n">
        <f aca="false">IF(AND(D627=WF_START_PERIOD,R627,COUNTIFS($B$5:$B$750,B627,$D$5:$D$750,WF_END_PERIOD,$R$5:$R$750,TRUE())&gt;0),SUMIFS($S$5:$S$750,$B$5:$B$750,B627,$D$5:$D$750,WF_END_PERIOD,$R$5:$R$750,TRUE()),0)</f>
        <v>0</v>
      </c>
      <c r="V627" s="0" t="str">
        <f aca="false">IF(AND(D627=WF_START_PERIOD,COUNTIFS($B$5:$B$750,B627,$D$5:$D$750,WF_END_PERIOD)&gt;0),INDEX($E$5:$E$750,MATCH(B627&amp;"|"&amp;WF_END_PERIOD,$AC$5:$AC$750,0)),"")</f>
        <v/>
      </c>
      <c r="W627" s="11" t="b">
        <f aca="false">COUNTIFS($B$5:$B$750,B627,$D$5:$D$750,WF_START_PERIOD,$R$5:$R$750,TRUE())&gt;0</f>
        <v>1</v>
      </c>
      <c r="X627" s="11" t="b">
        <f aca="false">COUNTIFS($B$5:$B$750,B627,$D$5:$D$750,WF_END_PERIOD,$R$5:$R$750,TRUE())&gt;0</f>
        <v>1</v>
      </c>
      <c r="Y627" s="0" t="str">
        <f aca="false">IF(AND(D627=WF_END_PERIOD,COUNTIFS($B$5:$B$750,B627,$D$5:$D$750,WF_START_PERIOD)&gt;0),INDEX($E$5:$E$750,MATCH(B627&amp;"|"&amp;WF_START_PERIOD,$AC$5:$AC$750,0)),"")</f>
        <v/>
      </c>
      <c r="Z627" s="0" t="str">
        <f aca="false">IF(AND(D627=WF_END_PERIOD,R627),1+COUNTIFS($D$5:$D$750,WF_END_PERIOD,$E$5:$E$750,E627,$R$5:$R$750,TRUE(),$S$5:$S$750,"&gt;"&amp;S627)+COUNTIFS($D$5:$D$750,WF_END_PERIOD,$E$5:$E$750,E627,$R$5:$R$750,TRUE(),$S$5:$S$750,S627,$B$5:$B$750,"&lt;"&amp;B627),"")</f>
        <v/>
      </c>
      <c r="AA627" s="0" t="str">
        <f aca="false">IF(AND(D627=WF_END_PERIOD,R627,Z627&lt;&gt;1),1+COUNTIFS($D$5:$D$750,WF_END_PERIOD,$R$5:$R$750,TRUE(),$Z$5:$Z$750,"&lt;&gt;1",$S$5:$S$750,"&gt;"&amp;S627)+COUNTIFS($D$5:$D$750,WF_END_PERIOD,$R$5:$R$750,TRUE(),$Z$5:$Z$750,"&lt;&gt;1",$S$5:$S$750,S627,$B$5:$B$750,"&lt;"&amp;B627),"")</f>
        <v/>
      </c>
      <c r="AB627" s="11" t="b">
        <f aca="false">OR(D627=WF_START_PERIOD,D627=WF_END_PERIOD)</f>
        <v>0</v>
      </c>
      <c r="AC627" s="0" t="str">
        <f aca="false">B627&amp;"|"&amp;D627</f>
        <v>28155|20241231</v>
      </c>
    </row>
    <row r="628" customFormat="false" ht="15" hidden="false" customHeight="false" outlineLevel="0" collapsed="false">
      <c r="A628" s="0" t="n">
        <f aca="false">RawFinancials!A628</f>
        <v>625</v>
      </c>
      <c r="B628" s="0" t="n">
        <f aca="false">RawFinancials!C628</f>
        <v>28288</v>
      </c>
      <c r="C628" s="0" t="str">
        <f aca="false">RawFinancials!P628</f>
        <v>AUBURN SAVINGS BANK, FSB</v>
      </c>
      <c r="D628" s="0" t="n">
        <f aca="false">RawFinancials!W628</f>
        <v>20241231</v>
      </c>
      <c r="E628" s="0" t="str">
        <f aca="false">RawFinancials!Z628</f>
        <v>ME</v>
      </c>
      <c r="F628" s="0" t="n">
        <f aca="false">RawFinancials!B628</f>
        <v>102307</v>
      </c>
      <c r="G628" s="0" t="n">
        <f aca="false">RawFinancials!U628</f>
        <v>0</v>
      </c>
      <c r="H628" s="0" t="n">
        <f aca="false">RawFinancials!O628</f>
        <v>137</v>
      </c>
      <c r="I628" s="0" t="n">
        <f aca="false">IF(AND(ISNUMBER(G628),ISNUMBER(H628)),G628+H628,"")</f>
        <v>137</v>
      </c>
      <c r="J628" s="0" t="n">
        <f aca="false">RawFinancials!D628</f>
        <v>74614</v>
      </c>
      <c r="K628" s="0" t="n">
        <f aca="false">RawFinancials!F628</f>
        <v>5875</v>
      </c>
      <c r="L628" s="0" t="n">
        <f aca="false">RawFinancials!L628</f>
        <v>83156</v>
      </c>
      <c r="M628" s="0" t="n">
        <f aca="false">RawFinancials!N628</f>
        <v>75140</v>
      </c>
      <c r="N628" s="13" t="n">
        <f aca="false">RawFinancials!X628</f>
        <v>0.0310049879274328</v>
      </c>
      <c r="O628" s="13" t="n">
        <f aca="false">RawFinancials!V628</f>
        <v>13.0257542310522</v>
      </c>
      <c r="P628" s="13" t="n">
        <f aca="false">IF(AND(ISNUMBER(L628),L628&lt;&gt;0,ISNUMBER(M628)),100*M628/L628,"")</f>
        <v>90.3602866900765</v>
      </c>
      <c r="Q628" s="13" t="n">
        <f aca="false">IF(AND(ISNUMBER(F628),F628&lt;&gt;0,ISNUMBER(K628)),100*K628/F628,"")</f>
        <v>5.74252006216583</v>
      </c>
      <c r="R628" s="11" t="b">
        <f aca="false">AND(ISNUMBER(F628),F628&gt;0,ISNUMBER(G628),G628&gt;=0,ISNUMBER(H628),H628&gt;=0)</f>
        <v>1</v>
      </c>
      <c r="S628" s="13" t="n">
        <f aca="false">IF(R628,100*I628/F628,"")</f>
        <v>0.133910680598591</v>
      </c>
      <c r="T628" s="11" t="b">
        <f aca="false">NOT(AND(OR(AND(ISBLANK(RawFinancials!B628),ISBLANK(_RawBaseline!B625)),AND(ISNUMBER(RawFinancials!B628),ISNUMBER(_RawBaseline!B625),RawFinancials!B628=_RawBaseline!B625)),OR(AND(ISBLANK(RawFinancials!U628),ISBLANK(_RawBaseline!U625)),AND(ISNUMBER(RawFinancials!U628),ISNUMBER(_RawBaseline!U625),RawFinancials!U628=_RawBaseline!U625)),OR(AND(ISBLANK(RawFinancials!O628),ISBLANK(_RawBaseline!O625)),AND(ISNUMBER(RawFinancials!O628),ISNUMBER(_RawBaseline!O625),RawFinancials!O628=_RawBaseline!O625))))</f>
        <v>0</v>
      </c>
      <c r="U628" s="13" t="n">
        <f aca="false">IF(AND(D628=WF_START_PERIOD,R628,COUNTIFS($B$5:$B$750,B628,$D$5:$D$750,WF_END_PERIOD,$R$5:$R$750,TRUE())&gt;0),SUMIFS($S$5:$S$750,$B$5:$B$750,B628,$D$5:$D$750,WF_END_PERIOD,$R$5:$R$750,TRUE()),0)</f>
        <v>0</v>
      </c>
      <c r="V628" s="0" t="str">
        <f aca="false">IF(AND(D628=WF_START_PERIOD,COUNTIFS($B$5:$B$750,B628,$D$5:$D$750,WF_END_PERIOD)&gt;0),INDEX($E$5:$E$750,MATCH(B628&amp;"|"&amp;WF_END_PERIOD,$AC$5:$AC$750,0)),"")</f>
        <v/>
      </c>
      <c r="W628" s="11" t="b">
        <f aca="false">COUNTIFS($B$5:$B$750,B628,$D$5:$D$750,WF_START_PERIOD,$R$5:$R$750,TRUE())&gt;0</f>
        <v>1</v>
      </c>
      <c r="X628" s="11" t="b">
        <f aca="false">COUNTIFS($B$5:$B$750,B628,$D$5:$D$750,WF_END_PERIOD,$R$5:$R$750,TRUE())&gt;0</f>
        <v>1</v>
      </c>
      <c r="Y628" s="0" t="str">
        <f aca="false">IF(AND(D628=WF_END_PERIOD,COUNTIFS($B$5:$B$750,B628,$D$5:$D$750,WF_START_PERIOD)&gt;0),INDEX($E$5:$E$750,MATCH(B628&amp;"|"&amp;WF_START_PERIOD,$AC$5:$AC$750,0)),"")</f>
        <v/>
      </c>
      <c r="Z628" s="0" t="str">
        <f aca="false">IF(AND(D628=WF_END_PERIOD,R628),1+COUNTIFS($D$5:$D$750,WF_END_PERIOD,$E$5:$E$750,E628,$R$5:$R$750,TRUE(),$S$5:$S$750,"&gt;"&amp;S628)+COUNTIFS($D$5:$D$750,WF_END_PERIOD,$E$5:$E$750,E628,$R$5:$R$750,TRUE(),$S$5:$S$750,S628,$B$5:$B$750,"&lt;"&amp;B628),"")</f>
        <v/>
      </c>
      <c r="AA628" s="0" t="str">
        <f aca="false">IF(AND(D628=WF_END_PERIOD,R628,Z628&lt;&gt;1),1+COUNTIFS($D$5:$D$750,WF_END_PERIOD,$R$5:$R$750,TRUE(),$Z$5:$Z$750,"&lt;&gt;1",$S$5:$S$750,"&gt;"&amp;S628)+COUNTIFS($D$5:$D$750,WF_END_PERIOD,$R$5:$R$750,TRUE(),$Z$5:$Z$750,"&lt;&gt;1",$S$5:$S$750,S628,$B$5:$B$750,"&lt;"&amp;B628),"")</f>
        <v/>
      </c>
      <c r="AB628" s="11" t="b">
        <f aca="false">OR(D628=WF_START_PERIOD,D628=WF_END_PERIOD)</f>
        <v>0</v>
      </c>
      <c r="AC628" s="0" t="str">
        <f aca="false">B628&amp;"|"&amp;D628</f>
        <v>28288|20241231</v>
      </c>
    </row>
    <row r="629" customFormat="false" ht="15" hidden="false" customHeight="false" outlineLevel="0" collapsed="false">
      <c r="A629" s="0" t="n">
        <f aca="false">RawFinancials!A629</f>
        <v>626</v>
      </c>
      <c r="B629" s="0" t="n">
        <f aca="false">RawFinancials!C629</f>
        <v>28369</v>
      </c>
      <c r="C629" s="0" t="str">
        <f aca="false">RawFinancials!P629</f>
        <v>ROCKLAND SAVINGS BANK, FSB</v>
      </c>
      <c r="D629" s="0" t="n">
        <f aca="false">RawFinancials!W629</f>
        <v>20241231</v>
      </c>
      <c r="E629" s="0" t="str">
        <f aca="false">RawFinancials!Z629</f>
        <v>ME</v>
      </c>
      <c r="F629" s="0" t="n">
        <f aca="false">RawFinancials!B629</f>
        <v>93759</v>
      </c>
      <c r="G629" s="0" t="n">
        <f aca="false">RawFinancials!U629</f>
        <v>0</v>
      </c>
      <c r="H629" s="0" t="n">
        <f aca="false">RawFinancials!O629</f>
        <v>208</v>
      </c>
      <c r="I629" s="0" t="n">
        <f aca="false">IF(AND(ISNUMBER(G629),ISNUMBER(H629)),G629+H629,"")</f>
        <v>208</v>
      </c>
      <c r="J629" s="0" t="n">
        <f aca="false">RawFinancials!D629</f>
        <v>74708</v>
      </c>
      <c r="K629" s="0" t="n">
        <f aca="false">RawFinancials!F629</f>
        <v>9043</v>
      </c>
      <c r="L629" s="0" t="n">
        <f aca="false">RawFinancials!L629</f>
        <v>81371</v>
      </c>
      <c r="M629" s="0" t="n">
        <f aca="false">RawFinancials!N629</f>
        <v>68320</v>
      </c>
      <c r="N629" s="13" t="n">
        <f aca="false">RawFinancials!X629</f>
        <v>-0.324465319202006</v>
      </c>
      <c r="O629" s="13" t="n">
        <f aca="false">RawFinancials!V629</f>
        <v>13.8247801806983</v>
      </c>
      <c r="P629" s="13" t="n">
        <f aca="false">IF(AND(ISNUMBER(L629),L629&lt;&gt;0,ISNUMBER(M629)),100*M629/L629,"")</f>
        <v>83.9611163682393</v>
      </c>
      <c r="Q629" s="13" t="n">
        <f aca="false">IF(AND(ISNUMBER(F629),F629&lt;&gt;0,ISNUMBER(K629)),100*K629/F629,"")</f>
        <v>9.64494075235444</v>
      </c>
      <c r="R629" s="11" t="b">
        <f aca="false">AND(ISNUMBER(F629),F629&gt;0,ISNUMBER(G629),G629&gt;=0,ISNUMBER(H629),H629&gt;=0)</f>
        <v>1</v>
      </c>
      <c r="S629" s="13" t="n">
        <f aca="false">IF(R629,100*I629/F629,"")</f>
        <v>0.221845369511194</v>
      </c>
      <c r="T629" s="11" t="b">
        <f aca="false">NOT(AND(OR(AND(ISBLANK(RawFinancials!B629),ISBLANK(_RawBaseline!B626)),AND(ISNUMBER(RawFinancials!B629),ISNUMBER(_RawBaseline!B626),RawFinancials!B629=_RawBaseline!B626)),OR(AND(ISBLANK(RawFinancials!U629),ISBLANK(_RawBaseline!U626)),AND(ISNUMBER(RawFinancials!U629),ISNUMBER(_RawBaseline!U626),RawFinancials!U629=_RawBaseline!U626)),OR(AND(ISBLANK(RawFinancials!O629),ISBLANK(_RawBaseline!O626)),AND(ISNUMBER(RawFinancials!O629),ISNUMBER(_RawBaseline!O626),RawFinancials!O629=_RawBaseline!O626))))</f>
        <v>0</v>
      </c>
      <c r="U629" s="13" t="n">
        <f aca="false">IF(AND(D629=WF_START_PERIOD,R629,COUNTIFS($B$5:$B$750,B629,$D$5:$D$750,WF_END_PERIOD,$R$5:$R$750,TRUE())&gt;0),SUMIFS($S$5:$S$750,$B$5:$B$750,B629,$D$5:$D$750,WF_END_PERIOD,$R$5:$R$750,TRUE()),0)</f>
        <v>0</v>
      </c>
      <c r="V629" s="0" t="str">
        <f aca="false">IF(AND(D629=WF_START_PERIOD,COUNTIFS($B$5:$B$750,B629,$D$5:$D$750,WF_END_PERIOD)&gt;0),INDEX($E$5:$E$750,MATCH(B629&amp;"|"&amp;WF_END_PERIOD,$AC$5:$AC$750,0)),"")</f>
        <v/>
      </c>
      <c r="W629" s="11" t="b">
        <f aca="false">COUNTIFS($B$5:$B$750,B629,$D$5:$D$750,WF_START_PERIOD,$R$5:$R$750,TRUE())&gt;0</f>
        <v>1</v>
      </c>
      <c r="X629" s="11" t="b">
        <f aca="false">COUNTIFS($B$5:$B$750,B629,$D$5:$D$750,WF_END_PERIOD,$R$5:$R$750,TRUE())&gt;0</f>
        <v>1</v>
      </c>
      <c r="Y629" s="0" t="str">
        <f aca="false">IF(AND(D629=WF_END_PERIOD,COUNTIFS($B$5:$B$750,B629,$D$5:$D$750,WF_START_PERIOD)&gt;0),INDEX($E$5:$E$750,MATCH(B629&amp;"|"&amp;WF_START_PERIOD,$AC$5:$AC$750,0)),"")</f>
        <v/>
      </c>
      <c r="Z629" s="0" t="str">
        <f aca="false">IF(AND(D629=WF_END_PERIOD,R629),1+COUNTIFS($D$5:$D$750,WF_END_PERIOD,$E$5:$E$750,E629,$R$5:$R$750,TRUE(),$S$5:$S$750,"&gt;"&amp;S629)+COUNTIFS($D$5:$D$750,WF_END_PERIOD,$E$5:$E$750,E629,$R$5:$R$750,TRUE(),$S$5:$S$750,S629,$B$5:$B$750,"&lt;"&amp;B629),"")</f>
        <v/>
      </c>
      <c r="AA629" s="0" t="str">
        <f aca="false">IF(AND(D629=WF_END_PERIOD,R629,Z629&lt;&gt;1),1+COUNTIFS($D$5:$D$750,WF_END_PERIOD,$R$5:$R$750,TRUE(),$Z$5:$Z$750,"&lt;&gt;1",$S$5:$S$750,"&gt;"&amp;S629)+COUNTIFS($D$5:$D$750,WF_END_PERIOD,$R$5:$R$750,TRUE(),$Z$5:$Z$750,"&lt;&gt;1",$S$5:$S$750,S629,$B$5:$B$750,"&lt;"&amp;B629),"")</f>
        <v/>
      </c>
      <c r="AB629" s="11" t="b">
        <f aca="false">OR(D629=WF_START_PERIOD,D629=WF_END_PERIOD)</f>
        <v>0</v>
      </c>
      <c r="AC629" s="0" t="str">
        <f aca="false">B629&amp;"|"&amp;D629</f>
        <v>28369|20241231</v>
      </c>
    </row>
    <row r="630" customFormat="false" ht="15" hidden="false" customHeight="false" outlineLevel="0" collapsed="false">
      <c r="A630" s="0" t="n">
        <f aca="false">RawFinancials!A630</f>
        <v>627</v>
      </c>
      <c r="B630" s="0" t="n">
        <f aca="false">RawFinancials!C630</f>
        <v>28837</v>
      </c>
      <c r="C630" s="0" t="str">
        <f aca="false">RawFinancials!P630</f>
        <v>THE BRATTLEBORO SAVINGS AND LOAN ASSOCIATION</v>
      </c>
      <c r="D630" s="0" t="n">
        <f aca="false">RawFinancials!W630</f>
        <v>20241231</v>
      </c>
      <c r="E630" s="0" t="str">
        <f aca="false">RawFinancials!Z630</f>
        <v>VT</v>
      </c>
      <c r="F630" s="0" t="n">
        <f aca="false">RawFinancials!B630</f>
        <v>287826</v>
      </c>
      <c r="G630" s="0" t="n">
        <f aca="false">RawFinancials!U630</f>
        <v>0</v>
      </c>
      <c r="H630" s="0" t="n">
        <f aca="false">RawFinancials!O630</f>
        <v>0</v>
      </c>
      <c r="I630" s="0" t="n">
        <f aca="false">IF(AND(ISNUMBER(G630),ISNUMBER(H630)),G630+H630,"")</f>
        <v>0</v>
      </c>
      <c r="J630" s="0" t="n">
        <f aca="false">RawFinancials!D630</f>
        <v>255992</v>
      </c>
      <c r="K630" s="0" t="n">
        <f aca="false">RawFinancials!F630</f>
        <v>28739</v>
      </c>
      <c r="L630" s="0" t="n">
        <f aca="false">RawFinancials!L630</f>
        <v>205742</v>
      </c>
      <c r="M630" s="0" t="n">
        <f aca="false">RawFinancials!N630</f>
        <v>197027</v>
      </c>
      <c r="N630" s="13" t="n">
        <f aca="false">RawFinancials!X630</f>
        <v>0.89725198998678</v>
      </c>
      <c r="O630" s="13" t="n">
        <f aca="false">RawFinancials!V630</f>
        <v>17.8530996972904</v>
      </c>
      <c r="P630" s="13" t="n">
        <f aca="false">IF(AND(ISNUMBER(L630),L630&lt;&gt;0,ISNUMBER(M630)),100*M630/L630,"")</f>
        <v>95.764112334866</v>
      </c>
      <c r="Q630" s="13" t="n">
        <f aca="false">IF(AND(ISNUMBER(F630),F630&lt;&gt;0,ISNUMBER(K630)),100*K630/F630,"")</f>
        <v>9.98485195916978</v>
      </c>
      <c r="R630" s="11" t="b">
        <f aca="false">AND(ISNUMBER(F630),F630&gt;0,ISNUMBER(G630),G630&gt;=0,ISNUMBER(H630),H630&gt;=0)</f>
        <v>1</v>
      </c>
      <c r="S630" s="13" t="n">
        <f aca="false">IF(R630,100*I630/F630,"")</f>
        <v>0</v>
      </c>
      <c r="T630" s="11" t="b">
        <f aca="false">NOT(AND(OR(AND(ISBLANK(RawFinancials!B630),ISBLANK(_RawBaseline!B627)),AND(ISNUMBER(RawFinancials!B630),ISNUMBER(_RawBaseline!B627),RawFinancials!B630=_RawBaseline!B627)),OR(AND(ISBLANK(RawFinancials!U630),ISBLANK(_RawBaseline!U627)),AND(ISNUMBER(RawFinancials!U630),ISNUMBER(_RawBaseline!U627),RawFinancials!U630=_RawBaseline!U627)),OR(AND(ISBLANK(RawFinancials!O630),ISBLANK(_RawBaseline!O627)),AND(ISNUMBER(RawFinancials!O630),ISNUMBER(_RawBaseline!O627),RawFinancials!O630=_RawBaseline!O627))))</f>
        <v>0</v>
      </c>
      <c r="U630" s="13" t="n">
        <f aca="false">IF(AND(D630=WF_START_PERIOD,R630,COUNTIFS($B$5:$B$750,B630,$D$5:$D$750,WF_END_PERIOD,$R$5:$R$750,TRUE())&gt;0),SUMIFS($S$5:$S$750,$B$5:$B$750,B630,$D$5:$D$750,WF_END_PERIOD,$R$5:$R$750,TRUE()),0)</f>
        <v>0</v>
      </c>
      <c r="V630" s="0" t="str">
        <f aca="false">IF(AND(D630=WF_START_PERIOD,COUNTIFS($B$5:$B$750,B630,$D$5:$D$750,WF_END_PERIOD)&gt;0),INDEX($E$5:$E$750,MATCH(B630&amp;"|"&amp;WF_END_PERIOD,$AC$5:$AC$750,0)),"")</f>
        <v/>
      </c>
      <c r="W630" s="11" t="b">
        <f aca="false">COUNTIFS($B$5:$B$750,B630,$D$5:$D$750,WF_START_PERIOD,$R$5:$R$750,TRUE())&gt;0</f>
        <v>1</v>
      </c>
      <c r="X630" s="11" t="b">
        <f aca="false">COUNTIFS($B$5:$B$750,B630,$D$5:$D$750,WF_END_PERIOD,$R$5:$R$750,TRUE())&gt;0</f>
        <v>1</v>
      </c>
      <c r="Y630" s="0" t="str">
        <f aca="false">IF(AND(D630=WF_END_PERIOD,COUNTIFS($B$5:$B$750,B630,$D$5:$D$750,WF_START_PERIOD)&gt;0),INDEX($E$5:$E$750,MATCH(B630&amp;"|"&amp;WF_START_PERIOD,$AC$5:$AC$750,0)),"")</f>
        <v/>
      </c>
      <c r="Z630" s="0" t="str">
        <f aca="false">IF(AND(D630=WF_END_PERIOD,R630),1+COUNTIFS($D$5:$D$750,WF_END_PERIOD,$E$5:$E$750,E630,$R$5:$R$750,TRUE(),$S$5:$S$750,"&gt;"&amp;S630)+COUNTIFS($D$5:$D$750,WF_END_PERIOD,$E$5:$E$750,E630,$R$5:$R$750,TRUE(),$S$5:$S$750,S630,$B$5:$B$750,"&lt;"&amp;B630),"")</f>
        <v/>
      </c>
      <c r="AA630" s="0" t="str">
        <f aca="false">IF(AND(D630=WF_END_PERIOD,R630,Z630&lt;&gt;1),1+COUNTIFS($D$5:$D$750,WF_END_PERIOD,$R$5:$R$750,TRUE(),$Z$5:$Z$750,"&lt;&gt;1",$S$5:$S$750,"&gt;"&amp;S630)+COUNTIFS($D$5:$D$750,WF_END_PERIOD,$R$5:$R$750,TRUE(),$Z$5:$Z$750,"&lt;&gt;1",$S$5:$S$750,S630,$B$5:$B$750,"&lt;"&amp;B630),"")</f>
        <v/>
      </c>
      <c r="AB630" s="11" t="b">
        <f aca="false">OR(D630=WF_START_PERIOD,D630=WF_END_PERIOD)</f>
        <v>0</v>
      </c>
      <c r="AC630" s="0" t="str">
        <f aca="false">B630&amp;"|"&amp;D630</f>
        <v>28837|20241231</v>
      </c>
    </row>
    <row r="631" customFormat="false" ht="15" hidden="false" customHeight="false" outlineLevel="0" collapsed="false">
      <c r="A631" s="0" t="n">
        <f aca="false">RawFinancials!A631</f>
        <v>628</v>
      </c>
      <c r="B631" s="0" t="n">
        <f aca="false">RawFinancials!C631</f>
        <v>29636</v>
      </c>
      <c r="C631" s="0" t="str">
        <f aca="false">RawFinancials!P631</f>
        <v>FIRST FEDERAL SAVINGS AND LOAN ASSOCIATION OF BATH</v>
      </c>
      <c r="D631" s="0" t="n">
        <f aca="false">RawFinancials!W631</f>
        <v>20241231</v>
      </c>
      <c r="E631" s="0" t="str">
        <f aca="false">RawFinancials!Z631</f>
        <v>ME</v>
      </c>
      <c r="F631" s="0" t="n">
        <f aca="false">RawFinancials!B631</f>
        <v>182860</v>
      </c>
      <c r="G631" s="0" t="n">
        <f aca="false">RawFinancials!U631</f>
        <v>0</v>
      </c>
      <c r="H631" s="0" t="n">
        <f aca="false">RawFinancials!O631</f>
        <v>2868</v>
      </c>
      <c r="I631" s="0" t="n">
        <f aca="false">IF(AND(ISNUMBER(G631),ISNUMBER(H631)),G631+H631,"")</f>
        <v>2868</v>
      </c>
      <c r="J631" s="0" t="n">
        <f aca="false">RawFinancials!D631</f>
        <v>141498</v>
      </c>
      <c r="K631" s="0" t="n">
        <f aca="false">RawFinancials!F631</f>
        <v>27319</v>
      </c>
      <c r="L631" s="0" t="n">
        <f aca="false">RawFinancials!L631</f>
        <v>143339</v>
      </c>
      <c r="M631" s="0" t="n">
        <f aca="false">RawFinancials!N631</f>
        <v>139835</v>
      </c>
      <c r="N631" s="13" t="n">
        <f aca="false">RawFinancials!X631</f>
        <v>0.375798155374246</v>
      </c>
      <c r="O631" s="13" t="n">
        <f aca="false">RawFinancials!V631</f>
        <v>26.7512284310365</v>
      </c>
      <c r="P631" s="13" t="n">
        <f aca="false">IF(AND(ISNUMBER(L631),L631&lt;&gt;0,ISNUMBER(M631)),100*M631/L631,"")</f>
        <v>97.5554454823879</v>
      </c>
      <c r="Q631" s="13" t="n">
        <f aca="false">IF(AND(ISNUMBER(F631),F631&lt;&gt;0,ISNUMBER(K631)),100*K631/F631,"")</f>
        <v>14.9398446899267</v>
      </c>
      <c r="R631" s="11" t="b">
        <f aca="false">AND(ISNUMBER(F631),F631&gt;0,ISNUMBER(G631),G631&gt;=0,ISNUMBER(H631),H631&gt;=0)</f>
        <v>1</v>
      </c>
      <c r="S631" s="13" t="n">
        <f aca="false">IF(R631,100*I631/F631,"")</f>
        <v>1.56841299354698</v>
      </c>
      <c r="T631" s="11" t="b">
        <f aca="false">NOT(AND(OR(AND(ISBLANK(RawFinancials!B631),ISBLANK(_RawBaseline!B628)),AND(ISNUMBER(RawFinancials!B631),ISNUMBER(_RawBaseline!B628),RawFinancials!B631=_RawBaseline!B628)),OR(AND(ISBLANK(RawFinancials!U631),ISBLANK(_RawBaseline!U628)),AND(ISNUMBER(RawFinancials!U631),ISNUMBER(_RawBaseline!U628),RawFinancials!U631=_RawBaseline!U628)),OR(AND(ISBLANK(RawFinancials!O631),ISBLANK(_RawBaseline!O628)),AND(ISNUMBER(RawFinancials!O631),ISNUMBER(_RawBaseline!O628),RawFinancials!O631=_RawBaseline!O628))))</f>
        <v>0</v>
      </c>
      <c r="U631" s="13" t="n">
        <f aca="false">IF(AND(D631=WF_START_PERIOD,R631,COUNTIFS($B$5:$B$750,B631,$D$5:$D$750,WF_END_PERIOD,$R$5:$R$750,TRUE())&gt;0),SUMIFS($S$5:$S$750,$B$5:$B$750,B631,$D$5:$D$750,WF_END_PERIOD,$R$5:$R$750,TRUE()),0)</f>
        <v>0</v>
      </c>
      <c r="V631" s="0" t="str">
        <f aca="false">IF(AND(D631=WF_START_PERIOD,COUNTIFS($B$5:$B$750,B631,$D$5:$D$750,WF_END_PERIOD)&gt;0),INDEX($E$5:$E$750,MATCH(B631&amp;"|"&amp;WF_END_PERIOD,$AC$5:$AC$750,0)),"")</f>
        <v/>
      </c>
      <c r="W631" s="11" t="b">
        <f aca="false">COUNTIFS($B$5:$B$750,B631,$D$5:$D$750,WF_START_PERIOD,$R$5:$R$750,TRUE())&gt;0</f>
        <v>1</v>
      </c>
      <c r="X631" s="11" t="b">
        <f aca="false">COUNTIFS($B$5:$B$750,B631,$D$5:$D$750,WF_END_PERIOD,$R$5:$R$750,TRUE())&gt;0</f>
        <v>1</v>
      </c>
      <c r="Y631" s="0" t="str">
        <f aca="false">IF(AND(D631=WF_END_PERIOD,COUNTIFS($B$5:$B$750,B631,$D$5:$D$750,WF_START_PERIOD)&gt;0),INDEX($E$5:$E$750,MATCH(B631&amp;"|"&amp;WF_START_PERIOD,$AC$5:$AC$750,0)),"")</f>
        <v/>
      </c>
      <c r="Z631" s="0" t="str">
        <f aca="false">IF(AND(D631=WF_END_PERIOD,R631),1+COUNTIFS($D$5:$D$750,WF_END_PERIOD,$E$5:$E$750,E631,$R$5:$R$750,TRUE(),$S$5:$S$750,"&gt;"&amp;S631)+COUNTIFS($D$5:$D$750,WF_END_PERIOD,$E$5:$E$750,E631,$R$5:$R$750,TRUE(),$S$5:$S$750,S631,$B$5:$B$750,"&lt;"&amp;B631),"")</f>
        <v/>
      </c>
      <c r="AA631" s="0" t="str">
        <f aca="false">IF(AND(D631=WF_END_PERIOD,R631,Z631&lt;&gt;1),1+COUNTIFS($D$5:$D$750,WF_END_PERIOD,$R$5:$R$750,TRUE(),$Z$5:$Z$750,"&lt;&gt;1",$S$5:$S$750,"&gt;"&amp;S631)+COUNTIFS($D$5:$D$750,WF_END_PERIOD,$R$5:$R$750,TRUE(),$Z$5:$Z$750,"&lt;&gt;1",$S$5:$S$750,S631,$B$5:$B$750,"&lt;"&amp;B631),"")</f>
        <v/>
      </c>
      <c r="AB631" s="11" t="b">
        <f aca="false">OR(D631=WF_START_PERIOD,D631=WF_END_PERIOD)</f>
        <v>0</v>
      </c>
      <c r="AC631" s="0" t="str">
        <f aca="false">B631&amp;"|"&amp;D631</f>
        <v>29636|20241231</v>
      </c>
    </row>
    <row r="632" customFormat="false" ht="15" hidden="false" customHeight="false" outlineLevel="0" collapsed="false">
      <c r="A632" s="0" t="n">
        <f aca="false">RawFinancials!A632</f>
        <v>629</v>
      </c>
      <c r="B632" s="0" t="n">
        <f aca="false">RawFinancials!C632</f>
        <v>29743</v>
      </c>
      <c r="C632" s="0" t="str">
        <f aca="false">RawFinancials!P632</f>
        <v>AROOSTOOK COUNTY FEDERAL SAVINGS AND LOAN ASSOCIATION</v>
      </c>
      <c r="D632" s="0" t="n">
        <f aca="false">RawFinancials!W632</f>
        <v>20241231</v>
      </c>
      <c r="E632" s="0" t="str">
        <f aca="false">RawFinancials!Z632</f>
        <v>ME</v>
      </c>
      <c r="F632" s="0" t="n">
        <f aca="false">RawFinancials!B632</f>
        <v>202964</v>
      </c>
      <c r="G632" s="0" t="n">
        <f aca="false">RawFinancials!U632</f>
        <v>0</v>
      </c>
      <c r="H632" s="0" t="n">
        <f aca="false">RawFinancials!O632</f>
        <v>647</v>
      </c>
      <c r="I632" s="0" t="n">
        <f aca="false">IF(AND(ISNUMBER(G632),ISNUMBER(H632)),G632+H632,"")</f>
        <v>647</v>
      </c>
      <c r="J632" s="0" t="n">
        <f aca="false">RawFinancials!D632</f>
        <v>178152</v>
      </c>
      <c r="K632" s="0" t="n">
        <f aca="false">RawFinancials!F632</f>
        <v>18066</v>
      </c>
      <c r="L632" s="0" t="n">
        <f aca="false">RawFinancials!L632</f>
        <v>135025</v>
      </c>
      <c r="M632" s="0" t="n">
        <f aca="false">RawFinancials!N632</f>
        <v>88138</v>
      </c>
      <c r="N632" s="13" t="n">
        <f aca="false">RawFinancials!X632</f>
        <v>0.362792198666465</v>
      </c>
      <c r="O632" s="13" t="n">
        <f aca="false">RawFinancials!V632</f>
        <v>18.4150066221586</v>
      </c>
      <c r="P632" s="13" t="n">
        <f aca="false">IF(AND(ISNUMBER(L632),L632&lt;&gt;0,ISNUMBER(M632)),100*M632/L632,"")</f>
        <v>65.275319385299</v>
      </c>
      <c r="Q632" s="13" t="n">
        <f aca="false">IF(AND(ISNUMBER(F632),F632&lt;&gt;0,ISNUMBER(K632)),100*K632/F632,"")</f>
        <v>8.90108590686033</v>
      </c>
      <c r="R632" s="11" t="b">
        <f aca="false">AND(ISNUMBER(F632),F632&gt;0,ISNUMBER(G632),G632&gt;=0,ISNUMBER(H632),H632&gt;=0)</f>
        <v>1</v>
      </c>
      <c r="S632" s="13" t="n">
        <f aca="false">IF(R632,100*I632/F632,"")</f>
        <v>0.318775743481603</v>
      </c>
      <c r="T632" s="11" t="b">
        <f aca="false">NOT(AND(OR(AND(ISBLANK(RawFinancials!B632),ISBLANK(_RawBaseline!B629)),AND(ISNUMBER(RawFinancials!B632),ISNUMBER(_RawBaseline!B629),RawFinancials!B632=_RawBaseline!B629)),OR(AND(ISBLANK(RawFinancials!U632),ISBLANK(_RawBaseline!U629)),AND(ISNUMBER(RawFinancials!U632),ISNUMBER(_RawBaseline!U629),RawFinancials!U632=_RawBaseline!U629)),OR(AND(ISBLANK(RawFinancials!O632),ISBLANK(_RawBaseline!O629)),AND(ISNUMBER(RawFinancials!O632),ISNUMBER(_RawBaseline!O629),RawFinancials!O632=_RawBaseline!O629))))</f>
        <v>0</v>
      </c>
      <c r="U632" s="13" t="n">
        <f aca="false">IF(AND(D632=WF_START_PERIOD,R632,COUNTIFS($B$5:$B$750,B632,$D$5:$D$750,WF_END_PERIOD,$R$5:$R$750,TRUE())&gt;0),SUMIFS($S$5:$S$750,$B$5:$B$750,B632,$D$5:$D$750,WF_END_PERIOD,$R$5:$R$750,TRUE()),0)</f>
        <v>0</v>
      </c>
      <c r="V632" s="0" t="str">
        <f aca="false">IF(AND(D632=WF_START_PERIOD,COUNTIFS($B$5:$B$750,B632,$D$5:$D$750,WF_END_PERIOD)&gt;0),INDEX($E$5:$E$750,MATCH(B632&amp;"|"&amp;WF_END_PERIOD,$AC$5:$AC$750,0)),"")</f>
        <v/>
      </c>
      <c r="W632" s="11" t="b">
        <f aca="false">COUNTIFS($B$5:$B$750,B632,$D$5:$D$750,WF_START_PERIOD,$R$5:$R$750,TRUE())&gt;0</f>
        <v>1</v>
      </c>
      <c r="X632" s="11" t="b">
        <f aca="false">COUNTIFS($B$5:$B$750,B632,$D$5:$D$750,WF_END_PERIOD,$R$5:$R$750,TRUE())&gt;0</f>
        <v>1</v>
      </c>
      <c r="Y632" s="0" t="str">
        <f aca="false">IF(AND(D632=WF_END_PERIOD,COUNTIFS($B$5:$B$750,B632,$D$5:$D$750,WF_START_PERIOD)&gt;0),INDEX($E$5:$E$750,MATCH(B632&amp;"|"&amp;WF_START_PERIOD,$AC$5:$AC$750,0)),"")</f>
        <v/>
      </c>
      <c r="Z632" s="0" t="str">
        <f aca="false">IF(AND(D632=WF_END_PERIOD,R632),1+COUNTIFS($D$5:$D$750,WF_END_PERIOD,$E$5:$E$750,E632,$R$5:$R$750,TRUE(),$S$5:$S$750,"&gt;"&amp;S632)+COUNTIFS($D$5:$D$750,WF_END_PERIOD,$E$5:$E$750,E632,$R$5:$R$750,TRUE(),$S$5:$S$750,S632,$B$5:$B$750,"&lt;"&amp;B632),"")</f>
        <v/>
      </c>
      <c r="AA632" s="0" t="str">
        <f aca="false">IF(AND(D632=WF_END_PERIOD,R632,Z632&lt;&gt;1),1+COUNTIFS($D$5:$D$750,WF_END_PERIOD,$R$5:$R$750,TRUE(),$Z$5:$Z$750,"&lt;&gt;1",$S$5:$S$750,"&gt;"&amp;S632)+COUNTIFS($D$5:$D$750,WF_END_PERIOD,$R$5:$R$750,TRUE(),$Z$5:$Z$750,"&lt;&gt;1",$S$5:$S$750,S632,$B$5:$B$750,"&lt;"&amp;B632),"")</f>
        <v/>
      </c>
      <c r="AB632" s="11" t="b">
        <f aca="false">OR(D632=WF_START_PERIOD,D632=WF_END_PERIOD)</f>
        <v>0</v>
      </c>
      <c r="AC632" s="0" t="str">
        <f aca="false">B632&amp;"|"&amp;D632</f>
        <v>29743|20241231</v>
      </c>
    </row>
    <row r="633" customFormat="false" ht="15" hidden="false" customHeight="false" outlineLevel="0" collapsed="false">
      <c r="A633" s="0" t="n">
        <f aca="false">RawFinancials!A633</f>
        <v>630</v>
      </c>
      <c r="B633" s="0" t="n">
        <f aca="false">RawFinancials!C633</f>
        <v>29744</v>
      </c>
      <c r="C633" s="0" t="str">
        <f aca="false">RawFinancials!P633</f>
        <v>FIRST SEACOAST BANK</v>
      </c>
      <c r="D633" s="0" t="n">
        <f aca="false">RawFinancials!W633</f>
        <v>20241231</v>
      </c>
      <c r="E633" s="0" t="str">
        <f aca="false">RawFinancials!Z633</f>
        <v>NH</v>
      </c>
      <c r="F633" s="0" t="n">
        <f aca="false">RawFinancials!B633</f>
        <v>581057</v>
      </c>
      <c r="G633" s="0" t="n">
        <f aca="false">RawFinancials!U633</f>
        <v>0</v>
      </c>
      <c r="H633" s="0" t="n">
        <f aca="false">RawFinancials!O633</f>
        <v>0</v>
      </c>
      <c r="I633" s="0" t="n">
        <f aca="false">IF(AND(ISNUMBER(G633),ISNUMBER(H633)),G633+H633,"")</f>
        <v>0</v>
      </c>
      <c r="J633" s="0" t="n">
        <f aca="false">RawFinancials!D633</f>
        <v>472402</v>
      </c>
      <c r="K633" s="0" t="n">
        <f aca="false">RawFinancials!F633</f>
        <v>44991</v>
      </c>
      <c r="L633" s="0" t="n">
        <f aca="false">RawFinancials!L633</f>
        <v>437679</v>
      </c>
      <c r="M633" s="0" t="n">
        <f aca="false">RawFinancials!N633</f>
        <v>401559</v>
      </c>
      <c r="N633" s="13" t="n">
        <f aca="false">RawFinancials!X633</f>
        <v>-0.0833620014517603</v>
      </c>
      <c r="O633" s="13" t="n">
        <f aca="false">RawFinancials!V633</f>
        <v>15.5504255593346</v>
      </c>
      <c r="P633" s="13" t="n">
        <f aca="false">IF(AND(ISNUMBER(L633),L633&lt;&gt;0,ISNUMBER(M633)),100*M633/L633,"")</f>
        <v>91.7473765019569</v>
      </c>
      <c r="Q633" s="13" t="n">
        <f aca="false">IF(AND(ISNUMBER(F633),F633&lt;&gt;0,ISNUMBER(K633)),100*K633/F633,"")</f>
        <v>7.74295809189116</v>
      </c>
      <c r="R633" s="11" t="b">
        <f aca="false">AND(ISNUMBER(F633),F633&gt;0,ISNUMBER(G633),G633&gt;=0,ISNUMBER(H633),H633&gt;=0)</f>
        <v>1</v>
      </c>
      <c r="S633" s="13" t="n">
        <f aca="false">IF(R633,100*I633/F633,"")</f>
        <v>0</v>
      </c>
      <c r="T633" s="11" t="b">
        <f aca="false">NOT(AND(OR(AND(ISBLANK(RawFinancials!B633),ISBLANK(_RawBaseline!B630)),AND(ISNUMBER(RawFinancials!B633),ISNUMBER(_RawBaseline!B630),RawFinancials!B633=_RawBaseline!B630)),OR(AND(ISBLANK(RawFinancials!U633),ISBLANK(_RawBaseline!U630)),AND(ISNUMBER(RawFinancials!U633),ISNUMBER(_RawBaseline!U630),RawFinancials!U633=_RawBaseline!U630)),OR(AND(ISBLANK(RawFinancials!O633),ISBLANK(_RawBaseline!O630)),AND(ISNUMBER(RawFinancials!O633),ISNUMBER(_RawBaseline!O630),RawFinancials!O633=_RawBaseline!O630))))</f>
        <v>0</v>
      </c>
      <c r="U633" s="13" t="n">
        <f aca="false">IF(AND(D633=WF_START_PERIOD,R633,COUNTIFS($B$5:$B$750,B633,$D$5:$D$750,WF_END_PERIOD,$R$5:$R$750,TRUE())&gt;0),SUMIFS($S$5:$S$750,$B$5:$B$750,B633,$D$5:$D$750,WF_END_PERIOD,$R$5:$R$750,TRUE()),0)</f>
        <v>0</v>
      </c>
      <c r="V633" s="0" t="str">
        <f aca="false">IF(AND(D633=WF_START_PERIOD,COUNTIFS($B$5:$B$750,B633,$D$5:$D$750,WF_END_PERIOD)&gt;0),INDEX($E$5:$E$750,MATCH(B633&amp;"|"&amp;WF_END_PERIOD,$AC$5:$AC$750,0)),"")</f>
        <v/>
      </c>
      <c r="W633" s="11" t="b">
        <f aca="false">COUNTIFS($B$5:$B$750,B633,$D$5:$D$750,WF_START_PERIOD,$R$5:$R$750,TRUE())&gt;0</f>
        <v>1</v>
      </c>
      <c r="X633" s="11" t="b">
        <f aca="false">COUNTIFS($B$5:$B$750,B633,$D$5:$D$750,WF_END_PERIOD,$R$5:$R$750,TRUE())&gt;0</f>
        <v>1</v>
      </c>
      <c r="Y633" s="0" t="str">
        <f aca="false">IF(AND(D633=WF_END_PERIOD,COUNTIFS($B$5:$B$750,B633,$D$5:$D$750,WF_START_PERIOD)&gt;0),INDEX($E$5:$E$750,MATCH(B633&amp;"|"&amp;WF_START_PERIOD,$AC$5:$AC$750,0)),"")</f>
        <v/>
      </c>
      <c r="Z633" s="0" t="str">
        <f aca="false">IF(AND(D633=WF_END_PERIOD,R633),1+COUNTIFS($D$5:$D$750,WF_END_PERIOD,$E$5:$E$750,E633,$R$5:$R$750,TRUE(),$S$5:$S$750,"&gt;"&amp;S633)+COUNTIFS($D$5:$D$750,WF_END_PERIOD,$E$5:$E$750,E633,$R$5:$R$750,TRUE(),$S$5:$S$750,S633,$B$5:$B$750,"&lt;"&amp;B633),"")</f>
        <v/>
      </c>
      <c r="AA633" s="0" t="str">
        <f aca="false">IF(AND(D633=WF_END_PERIOD,R633,Z633&lt;&gt;1),1+COUNTIFS($D$5:$D$750,WF_END_PERIOD,$R$5:$R$750,TRUE(),$Z$5:$Z$750,"&lt;&gt;1",$S$5:$S$750,"&gt;"&amp;S633)+COUNTIFS($D$5:$D$750,WF_END_PERIOD,$R$5:$R$750,TRUE(),$Z$5:$Z$750,"&lt;&gt;1",$S$5:$S$750,S633,$B$5:$B$750,"&lt;"&amp;B633),"")</f>
        <v/>
      </c>
      <c r="AB633" s="11" t="b">
        <f aca="false">OR(D633=WF_START_PERIOD,D633=WF_END_PERIOD)</f>
        <v>0</v>
      </c>
      <c r="AC633" s="0" t="str">
        <f aca="false">B633&amp;"|"&amp;D633</f>
        <v>29744|20241231</v>
      </c>
    </row>
    <row r="634" customFormat="false" ht="15" hidden="false" customHeight="false" outlineLevel="0" collapsed="false">
      <c r="A634" s="0" t="n">
        <f aca="false">RawFinancials!A634</f>
        <v>631</v>
      </c>
      <c r="B634" s="0" t="n">
        <f aca="false">RawFinancials!C634</f>
        <v>30350</v>
      </c>
      <c r="C634" s="0" t="str">
        <f aca="false">RawFinancials!P634</f>
        <v>THE BANK OF BENNINGTON</v>
      </c>
      <c r="D634" s="0" t="n">
        <f aca="false">RawFinancials!W634</f>
        <v>20241231</v>
      </c>
      <c r="E634" s="0" t="str">
        <f aca="false">RawFinancials!Z634</f>
        <v>VT</v>
      </c>
      <c r="F634" s="0" t="n">
        <f aca="false">RawFinancials!B634</f>
        <v>593799</v>
      </c>
      <c r="G634" s="0" t="n">
        <f aca="false">RawFinancials!U634</f>
        <v>0</v>
      </c>
      <c r="H634" s="0" t="n">
        <f aca="false">RawFinancials!O634</f>
        <v>1585</v>
      </c>
      <c r="I634" s="0" t="n">
        <f aca="false">IF(AND(ISNUMBER(G634),ISNUMBER(H634)),G634+H634,"")</f>
        <v>1585</v>
      </c>
      <c r="J634" s="0" t="n">
        <f aca="false">RawFinancials!D634</f>
        <v>466175</v>
      </c>
      <c r="K634" s="0" t="n">
        <f aca="false">RawFinancials!F634</f>
        <v>60826</v>
      </c>
      <c r="L634" s="0" t="n">
        <f aca="false">RawFinancials!L634</f>
        <v>456385</v>
      </c>
      <c r="M634" s="0" t="n">
        <f aca="false">RawFinancials!N634</f>
        <v>438311</v>
      </c>
      <c r="N634" s="13" t="n">
        <f aca="false">RawFinancials!X634</f>
        <v>0.659977862877419</v>
      </c>
      <c r="O634" s="13" t="n">
        <f aca="false">RawFinancials!V634</f>
        <v>20.2115949468161</v>
      </c>
      <c r="P634" s="13" t="n">
        <f aca="false">IF(AND(ISNUMBER(L634),L634&lt;&gt;0,ISNUMBER(M634)),100*M634/L634,"")</f>
        <v>96.039747143311</v>
      </c>
      <c r="Q634" s="13" t="n">
        <f aca="false">IF(AND(ISNUMBER(F634),F634&lt;&gt;0,ISNUMBER(K634)),100*K634/F634,"")</f>
        <v>10.2435335862809</v>
      </c>
      <c r="R634" s="11" t="b">
        <f aca="false">AND(ISNUMBER(F634),F634&gt;0,ISNUMBER(G634),G634&gt;=0,ISNUMBER(H634),H634&gt;=0)</f>
        <v>1</v>
      </c>
      <c r="S634" s="13" t="n">
        <f aca="false">IF(R634,100*I634/F634,"")</f>
        <v>0.266925340056147</v>
      </c>
      <c r="T634" s="11" t="b">
        <f aca="false">NOT(AND(OR(AND(ISBLANK(RawFinancials!B634),ISBLANK(_RawBaseline!B631)),AND(ISNUMBER(RawFinancials!B634),ISNUMBER(_RawBaseline!B631),RawFinancials!B634=_RawBaseline!B631)),OR(AND(ISBLANK(RawFinancials!U634),ISBLANK(_RawBaseline!U631)),AND(ISNUMBER(RawFinancials!U634),ISNUMBER(_RawBaseline!U631),RawFinancials!U634=_RawBaseline!U631)),OR(AND(ISBLANK(RawFinancials!O634),ISBLANK(_RawBaseline!O631)),AND(ISNUMBER(RawFinancials!O634),ISNUMBER(_RawBaseline!O631),RawFinancials!O634=_RawBaseline!O631))))</f>
        <v>0</v>
      </c>
      <c r="U634" s="13" t="n">
        <f aca="false">IF(AND(D634=WF_START_PERIOD,R634,COUNTIFS($B$5:$B$750,B634,$D$5:$D$750,WF_END_PERIOD,$R$5:$R$750,TRUE())&gt;0),SUMIFS($S$5:$S$750,$B$5:$B$750,B634,$D$5:$D$750,WF_END_PERIOD,$R$5:$R$750,TRUE()),0)</f>
        <v>0</v>
      </c>
      <c r="V634" s="0" t="str">
        <f aca="false">IF(AND(D634=WF_START_PERIOD,COUNTIFS($B$5:$B$750,B634,$D$5:$D$750,WF_END_PERIOD)&gt;0),INDEX($E$5:$E$750,MATCH(B634&amp;"|"&amp;WF_END_PERIOD,$AC$5:$AC$750,0)),"")</f>
        <v/>
      </c>
      <c r="W634" s="11" t="b">
        <f aca="false">COUNTIFS($B$5:$B$750,B634,$D$5:$D$750,WF_START_PERIOD,$R$5:$R$750,TRUE())&gt;0</f>
        <v>1</v>
      </c>
      <c r="X634" s="11" t="b">
        <f aca="false">COUNTIFS($B$5:$B$750,B634,$D$5:$D$750,WF_END_PERIOD,$R$5:$R$750,TRUE())&gt;0</f>
        <v>1</v>
      </c>
      <c r="Y634" s="0" t="str">
        <f aca="false">IF(AND(D634=WF_END_PERIOD,COUNTIFS($B$5:$B$750,B634,$D$5:$D$750,WF_START_PERIOD)&gt;0),INDEX($E$5:$E$750,MATCH(B634&amp;"|"&amp;WF_START_PERIOD,$AC$5:$AC$750,0)),"")</f>
        <v/>
      </c>
      <c r="Z634" s="0" t="str">
        <f aca="false">IF(AND(D634=WF_END_PERIOD,R634),1+COUNTIFS($D$5:$D$750,WF_END_PERIOD,$E$5:$E$750,E634,$R$5:$R$750,TRUE(),$S$5:$S$750,"&gt;"&amp;S634)+COUNTIFS($D$5:$D$750,WF_END_PERIOD,$E$5:$E$750,E634,$R$5:$R$750,TRUE(),$S$5:$S$750,S634,$B$5:$B$750,"&lt;"&amp;B634),"")</f>
        <v/>
      </c>
      <c r="AA634" s="0" t="str">
        <f aca="false">IF(AND(D634=WF_END_PERIOD,R634,Z634&lt;&gt;1),1+COUNTIFS($D$5:$D$750,WF_END_PERIOD,$R$5:$R$750,TRUE(),$Z$5:$Z$750,"&lt;&gt;1",$S$5:$S$750,"&gt;"&amp;S634)+COUNTIFS($D$5:$D$750,WF_END_PERIOD,$R$5:$R$750,TRUE(),$Z$5:$Z$750,"&lt;&gt;1",$S$5:$S$750,S634,$B$5:$B$750,"&lt;"&amp;B634),"")</f>
        <v/>
      </c>
      <c r="AB634" s="11" t="b">
        <f aca="false">OR(D634=WF_START_PERIOD,D634=WF_END_PERIOD)</f>
        <v>0</v>
      </c>
      <c r="AC634" s="0" t="str">
        <f aca="false">B634&amp;"|"&amp;D634</f>
        <v>30350|20241231</v>
      </c>
    </row>
    <row r="635" customFormat="false" ht="15" hidden="false" customHeight="false" outlineLevel="0" collapsed="false">
      <c r="A635" s="0" t="n">
        <f aca="false">RawFinancials!A635</f>
        <v>632</v>
      </c>
      <c r="B635" s="0" t="n">
        <f aca="false">RawFinancials!C635</f>
        <v>30878</v>
      </c>
      <c r="C635" s="0" t="str">
        <f aca="false">RawFinancials!P635</f>
        <v>BAR HARBOR SAVINGS AND LOAN ASSOCIATION</v>
      </c>
      <c r="D635" s="0" t="n">
        <f aca="false">RawFinancials!W635</f>
        <v>20241231</v>
      </c>
      <c r="E635" s="0" t="str">
        <f aca="false">RawFinancials!Z635</f>
        <v>ME</v>
      </c>
      <c r="F635" s="0" t="n">
        <f aca="false">RawFinancials!B635</f>
        <v>99802</v>
      </c>
      <c r="G635" s="0" t="n">
        <f aca="false">RawFinancials!U635</f>
        <v>0</v>
      </c>
      <c r="H635" s="0" t="n">
        <f aca="false">RawFinancials!O635</f>
        <v>1428</v>
      </c>
      <c r="I635" s="0" t="n">
        <f aca="false">IF(AND(ISNUMBER(G635),ISNUMBER(H635)),G635+H635,"")</f>
        <v>1428</v>
      </c>
      <c r="J635" s="0" t="n">
        <f aca="false">RawFinancials!D635</f>
        <v>75762</v>
      </c>
      <c r="K635" s="0" t="n">
        <f aca="false">RawFinancials!F635</f>
        <v>11821</v>
      </c>
      <c r="L635" s="0" t="n">
        <f aca="false">RawFinancials!L635</f>
        <v>86046</v>
      </c>
      <c r="M635" s="0" t="n">
        <f aca="false">RawFinancials!N635</f>
        <v>85877</v>
      </c>
      <c r="N635" s="13" t="n">
        <f aca="false">RawFinancials!X635</f>
        <v>-0.519758644406928</v>
      </c>
      <c r="O635" s="13" t="n">
        <f aca="false">RawFinancials!V635</f>
        <v>0</v>
      </c>
      <c r="P635" s="13" t="n">
        <f aca="false">IF(AND(ISNUMBER(L635),L635&lt;&gt;0,ISNUMBER(M635)),100*M635/L635,"")</f>
        <v>99.8035934267717</v>
      </c>
      <c r="Q635" s="13" t="n">
        <f aca="false">IF(AND(ISNUMBER(F635),F635&lt;&gt;0,ISNUMBER(K635)),100*K635/F635,"")</f>
        <v>11.8444520149897</v>
      </c>
      <c r="R635" s="11" t="b">
        <f aca="false">AND(ISNUMBER(F635),F635&gt;0,ISNUMBER(G635),G635&gt;=0,ISNUMBER(H635),H635&gt;=0)</f>
        <v>1</v>
      </c>
      <c r="S635" s="13" t="n">
        <f aca="false">IF(R635,100*I635/F635,"")</f>
        <v>1.43083304943789</v>
      </c>
      <c r="T635" s="11" t="b">
        <f aca="false">NOT(AND(OR(AND(ISBLANK(RawFinancials!B635),ISBLANK(_RawBaseline!B632)),AND(ISNUMBER(RawFinancials!B635),ISNUMBER(_RawBaseline!B632),RawFinancials!B635=_RawBaseline!B632)),OR(AND(ISBLANK(RawFinancials!U635),ISBLANK(_RawBaseline!U632)),AND(ISNUMBER(RawFinancials!U635),ISNUMBER(_RawBaseline!U632),RawFinancials!U635=_RawBaseline!U632)),OR(AND(ISBLANK(RawFinancials!O635),ISBLANK(_RawBaseline!O632)),AND(ISNUMBER(RawFinancials!O635),ISNUMBER(_RawBaseline!O632),RawFinancials!O635=_RawBaseline!O632))))</f>
        <v>0</v>
      </c>
      <c r="U635" s="13" t="n">
        <f aca="false">IF(AND(D635=WF_START_PERIOD,R635,COUNTIFS($B$5:$B$750,B635,$D$5:$D$750,WF_END_PERIOD,$R$5:$R$750,TRUE())&gt;0),SUMIFS($S$5:$S$750,$B$5:$B$750,B635,$D$5:$D$750,WF_END_PERIOD,$R$5:$R$750,TRUE()),0)</f>
        <v>0</v>
      </c>
      <c r="V635" s="0" t="str">
        <f aca="false">IF(AND(D635=WF_START_PERIOD,COUNTIFS($B$5:$B$750,B635,$D$5:$D$750,WF_END_PERIOD)&gt;0),INDEX($E$5:$E$750,MATCH(B635&amp;"|"&amp;WF_END_PERIOD,$AC$5:$AC$750,0)),"")</f>
        <v/>
      </c>
      <c r="W635" s="11" t="b">
        <f aca="false">COUNTIFS($B$5:$B$750,B635,$D$5:$D$750,WF_START_PERIOD,$R$5:$R$750,TRUE())&gt;0</f>
        <v>1</v>
      </c>
      <c r="X635" s="11" t="b">
        <f aca="false">COUNTIFS($B$5:$B$750,B635,$D$5:$D$750,WF_END_PERIOD,$R$5:$R$750,TRUE())&gt;0</f>
        <v>1</v>
      </c>
      <c r="Y635" s="0" t="str">
        <f aca="false">IF(AND(D635=WF_END_PERIOD,COUNTIFS($B$5:$B$750,B635,$D$5:$D$750,WF_START_PERIOD)&gt;0),INDEX($E$5:$E$750,MATCH(B635&amp;"|"&amp;WF_START_PERIOD,$AC$5:$AC$750,0)),"")</f>
        <v/>
      </c>
      <c r="Z635" s="0" t="str">
        <f aca="false">IF(AND(D635=WF_END_PERIOD,R635),1+COUNTIFS($D$5:$D$750,WF_END_PERIOD,$E$5:$E$750,E635,$R$5:$R$750,TRUE(),$S$5:$S$750,"&gt;"&amp;S635)+COUNTIFS($D$5:$D$750,WF_END_PERIOD,$E$5:$E$750,E635,$R$5:$R$750,TRUE(),$S$5:$S$750,S635,$B$5:$B$750,"&lt;"&amp;B635),"")</f>
        <v/>
      </c>
      <c r="AA635" s="0" t="str">
        <f aca="false">IF(AND(D635=WF_END_PERIOD,R635,Z635&lt;&gt;1),1+COUNTIFS($D$5:$D$750,WF_END_PERIOD,$R$5:$R$750,TRUE(),$Z$5:$Z$750,"&lt;&gt;1",$S$5:$S$750,"&gt;"&amp;S635)+COUNTIFS($D$5:$D$750,WF_END_PERIOD,$R$5:$R$750,TRUE(),$Z$5:$Z$750,"&lt;&gt;1",$S$5:$S$750,S635,$B$5:$B$750,"&lt;"&amp;B635),"")</f>
        <v/>
      </c>
      <c r="AB635" s="11" t="b">
        <f aca="false">OR(D635=WF_START_PERIOD,D635=WF_END_PERIOD)</f>
        <v>0</v>
      </c>
      <c r="AC635" s="0" t="str">
        <f aca="false">B635&amp;"|"&amp;D635</f>
        <v>30878|20241231</v>
      </c>
    </row>
    <row r="636" customFormat="false" ht="15" hidden="false" customHeight="false" outlineLevel="0" collapsed="false">
      <c r="A636" s="0" t="n">
        <f aca="false">RawFinancials!A636</f>
        <v>633</v>
      </c>
      <c r="B636" s="0" t="n">
        <f aca="false">RawFinancials!C636</f>
        <v>33418</v>
      </c>
      <c r="C636" s="0" t="str">
        <f aca="false">RawFinancials!P636</f>
        <v>LEDYARD NATIONAL BANK</v>
      </c>
      <c r="D636" s="0" t="n">
        <f aca="false">RawFinancials!W636</f>
        <v>20241231</v>
      </c>
      <c r="E636" s="0" t="str">
        <f aca="false">RawFinancials!Z636</f>
        <v>VT</v>
      </c>
      <c r="F636" s="0" t="n">
        <f aca="false">RawFinancials!B636</f>
        <v>950082</v>
      </c>
      <c r="G636" s="0" t="n">
        <f aca="false">RawFinancials!U636</f>
        <v>0</v>
      </c>
      <c r="H636" s="0" t="n">
        <f aca="false">RawFinancials!O636</f>
        <v>1277</v>
      </c>
      <c r="I636" s="0" t="n">
        <f aca="false">IF(AND(ISNUMBER(G636),ISNUMBER(H636)),G636+H636,"")</f>
        <v>1277</v>
      </c>
      <c r="J636" s="0" t="n">
        <f aca="false">RawFinancials!D636</f>
        <v>811387</v>
      </c>
      <c r="K636" s="0" t="n">
        <f aca="false">RawFinancials!F636</f>
        <v>69717</v>
      </c>
      <c r="L636" s="0" t="n">
        <f aca="false">RawFinancials!L636</f>
        <v>579725</v>
      </c>
      <c r="M636" s="0" t="n">
        <f aca="false">RawFinancials!N636</f>
        <v>490295</v>
      </c>
      <c r="N636" s="13" t="n">
        <f aca="false">RawFinancials!X636</f>
        <v>0.466342669650027</v>
      </c>
      <c r="O636" s="13" t="n">
        <f aca="false">RawFinancials!V636</f>
        <v>12.7244669976746</v>
      </c>
      <c r="P636" s="13" t="n">
        <f aca="false">IF(AND(ISNUMBER(L636),L636&lt;&gt;0,ISNUMBER(M636)),100*M636/L636,"")</f>
        <v>84.5737202984174</v>
      </c>
      <c r="Q636" s="13" t="n">
        <f aca="false">IF(AND(ISNUMBER(F636),F636&lt;&gt;0,ISNUMBER(K636)),100*K636/F636,"")</f>
        <v>7.33799819384011</v>
      </c>
      <c r="R636" s="11" t="b">
        <f aca="false">AND(ISNUMBER(F636),F636&gt;0,ISNUMBER(G636),G636&gt;=0,ISNUMBER(H636),H636&gt;=0)</f>
        <v>1</v>
      </c>
      <c r="S636" s="13" t="n">
        <f aca="false">IF(R636,100*I636/F636,"")</f>
        <v>0.134409450973705</v>
      </c>
      <c r="T636" s="11" t="b">
        <f aca="false">NOT(AND(OR(AND(ISBLANK(RawFinancials!B636),ISBLANK(_RawBaseline!B633)),AND(ISNUMBER(RawFinancials!B636),ISNUMBER(_RawBaseline!B633),RawFinancials!B636=_RawBaseline!B633)),OR(AND(ISBLANK(RawFinancials!U636),ISBLANK(_RawBaseline!U633)),AND(ISNUMBER(RawFinancials!U636),ISNUMBER(_RawBaseline!U633),RawFinancials!U636=_RawBaseline!U633)),OR(AND(ISBLANK(RawFinancials!O636),ISBLANK(_RawBaseline!O633)),AND(ISNUMBER(RawFinancials!O636),ISNUMBER(_RawBaseline!O633),RawFinancials!O636=_RawBaseline!O633))))</f>
        <v>0</v>
      </c>
      <c r="U636" s="13" t="n">
        <f aca="false">IF(AND(D636=WF_START_PERIOD,R636,COUNTIFS($B$5:$B$750,B636,$D$5:$D$750,WF_END_PERIOD,$R$5:$R$750,TRUE())&gt;0),SUMIFS($S$5:$S$750,$B$5:$B$750,B636,$D$5:$D$750,WF_END_PERIOD,$R$5:$R$750,TRUE()),0)</f>
        <v>0</v>
      </c>
      <c r="V636" s="0" t="str">
        <f aca="false">IF(AND(D636=WF_START_PERIOD,COUNTIFS($B$5:$B$750,B636,$D$5:$D$750,WF_END_PERIOD)&gt;0),INDEX($E$5:$E$750,MATCH(B636&amp;"|"&amp;WF_END_PERIOD,$AC$5:$AC$750,0)),"")</f>
        <v/>
      </c>
      <c r="W636" s="11" t="b">
        <f aca="false">COUNTIFS($B$5:$B$750,B636,$D$5:$D$750,WF_START_PERIOD,$R$5:$R$750,TRUE())&gt;0</f>
        <v>1</v>
      </c>
      <c r="X636" s="11" t="b">
        <f aca="false">COUNTIFS($B$5:$B$750,B636,$D$5:$D$750,WF_END_PERIOD,$R$5:$R$750,TRUE())&gt;0</f>
        <v>1</v>
      </c>
      <c r="Y636" s="0" t="str">
        <f aca="false">IF(AND(D636=WF_END_PERIOD,COUNTIFS($B$5:$B$750,B636,$D$5:$D$750,WF_START_PERIOD)&gt;0),INDEX($E$5:$E$750,MATCH(B636&amp;"|"&amp;WF_START_PERIOD,$AC$5:$AC$750,0)),"")</f>
        <v/>
      </c>
      <c r="Z636" s="0" t="str">
        <f aca="false">IF(AND(D636=WF_END_PERIOD,R636),1+COUNTIFS($D$5:$D$750,WF_END_PERIOD,$E$5:$E$750,E636,$R$5:$R$750,TRUE(),$S$5:$S$750,"&gt;"&amp;S636)+COUNTIFS($D$5:$D$750,WF_END_PERIOD,$E$5:$E$750,E636,$R$5:$R$750,TRUE(),$S$5:$S$750,S636,$B$5:$B$750,"&lt;"&amp;B636),"")</f>
        <v/>
      </c>
      <c r="AA636" s="0" t="str">
        <f aca="false">IF(AND(D636=WF_END_PERIOD,R636,Z636&lt;&gt;1),1+COUNTIFS($D$5:$D$750,WF_END_PERIOD,$R$5:$R$750,TRUE(),$Z$5:$Z$750,"&lt;&gt;1",$S$5:$S$750,"&gt;"&amp;S636)+COUNTIFS($D$5:$D$750,WF_END_PERIOD,$R$5:$R$750,TRUE(),$Z$5:$Z$750,"&lt;&gt;1",$S$5:$S$750,S636,$B$5:$B$750,"&lt;"&amp;B636),"")</f>
        <v/>
      </c>
      <c r="AB636" s="11" t="b">
        <f aca="false">OR(D636=WF_START_PERIOD,D636=WF_END_PERIOD)</f>
        <v>0</v>
      </c>
      <c r="AC636" s="0" t="str">
        <f aca="false">B636&amp;"|"&amp;D636</f>
        <v>33418|20241231</v>
      </c>
    </row>
    <row r="637" customFormat="false" ht="15" hidden="false" customHeight="false" outlineLevel="0" collapsed="false">
      <c r="A637" s="0" t="n">
        <f aca="false">RawFinancials!A637</f>
        <v>634</v>
      </c>
      <c r="B637" s="0" t="n">
        <f aca="false">RawFinancials!C637</f>
        <v>35206</v>
      </c>
      <c r="C637" s="0" t="str">
        <f aca="false">RawFinancials!P637</f>
        <v>FIDELITY PERSONAL TRUST COMPANY, FSB</v>
      </c>
      <c r="D637" s="0" t="n">
        <f aca="false">RawFinancials!W637</f>
        <v>20241231</v>
      </c>
      <c r="E637" s="0" t="str">
        <f aca="false">RawFinancials!Z637</f>
        <v>NH</v>
      </c>
      <c r="F637" s="0" t="n">
        <f aca="false">RawFinancials!B637</f>
        <v>63348</v>
      </c>
      <c r="G637" s="0" t="n">
        <f aca="false">RawFinancials!U637</f>
        <v>0</v>
      </c>
      <c r="H637" s="0" t="n">
        <f aca="false">RawFinancials!O637</f>
        <v>0</v>
      </c>
      <c r="I637" s="0" t="n">
        <f aca="false">IF(AND(ISNUMBER(G637),ISNUMBER(H637)),G637+H637,"")</f>
        <v>0</v>
      </c>
      <c r="J637" s="0" t="n">
        <f aca="false">RawFinancials!D637</f>
        <v>500</v>
      </c>
      <c r="K637" s="0" t="n">
        <f aca="false">RawFinancials!F637</f>
        <v>60476</v>
      </c>
      <c r="L637" s="0" t="n">
        <f aca="false">RawFinancials!L637</f>
        <v>0</v>
      </c>
      <c r="M637" s="0" t="n">
        <f aca="false">RawFinancials!N637</f>
        <v>0</v>
      </c>
      <c r="N637" s="13" t="n">
        <f aca="false">RawFinancials!X637</f>
        <v>20.2893757542402</v>
      </c>
      <c r="O637" s="13" t="n">
        <f aca="false">RawFinancials!V637</f>
        <v>0</v>
      </c>
      <c r="P637" s="13" t="str">
        <f aca="false">IF(AND(ISNUMBER(L637),L637&lt;&gt;0,ISNUMBER(M637)),100*M637/L637,"")</f>
        <v/>
      </c>
      <c r="Q637" s="13" t="n">
        <f aca="false">IF(AND(ISNUMBER(F637),F637&lt;&gt;0,ISNUMBER(K637)),100*K637/F637,"")</f>
        <v>95.466313064343</v>
      </c>
      <c r="R637" s="11" t="b">
        <f aca="false">AND(ISNUMBER(F637),F637&gt;0,ISNUMBER(G637),G637&gt;=0,ISNUMBER(H637),H637&gt;=0)</f>
        <v>1</v>
      </c>
      <c r="S637" s="13" t="n">
        <f aca="false">IF(R637,100*I637/F637,"")</f>
        <v>0</v>
      </c>
      <c r="T637" s="11" t="b">
        <f aca="false">NOT(AND(OR(AND(ISBLANK(RawFinancials!B637),ISBLANK(_RawBaseline!B634)),AND(ISNUMBER(RawFinancials!B637),ISNUMBER(_RawBaseline!B634),RawFinancials!B637=_RawBaseline!B634)),OR(AND(ISBLANK(RawFinancials!U637),ISBLANK(_RawBaseline!U634)),AND(ISNUMBER(RawFinancials!U637),ISNUMBER(_RawBaseline!U634),RawFinancials!U637=_RawBaseline!U634)),OR(AND(ISBLANK(RawFinancials!O637),ISBLANK(_RawBaseline!O634)),AND(ISNUMBER(RawFinancials!O637),ISNUMBER(_RawBaseline!O634),RawFinancials!O637=_RawBaseline!O634))))</f>
        <v>0</v>
      </c>
      <c r="U637" s="13" t="n">
        <f aca="false">IF(AND(D637=WF_START_PERIOD,R637,COUNTIFS($B$5:$B$750,B637,$D$5:$D$750,WF_END_PERIOD,$R$5:$R$750,TRUE())&gt;0),SUMIFS($S$5:$S$750,$B$5:$B$750,B637,$D$5:$D$750,WF_END_PERIOD,$R$5:$R$750,TRUE()),0)</f>
        <v>0</v>
      </c>
      <c r="V637" s="0" t="str">
        <f aca="false">IF(AND(D637=WF_START_PERIOD,COUNTIFS($B$5:$B$750,B637,$D$5:$D$750,WF_END_PERIOD)&gt;0),INDEX($E$5:$E$750,MATCH(B637&amp;"|"&amp;WF_END_PERIOD,$AC$5:$AC$750,0)),"")</f>
        <v/>
      </c>
      <c r="W637" s="11" t="b">
        <f aca="false">COUNTIFS($B$5:$B$750,B637,$D$5:$D$750,WF_START_PERIOD,$R$5:$R$750,TRUE())&gt;0</f>
        <v>1</v>
      </c>
      <c r="X637" s="11" t="b">
        <f aca="false">COUNTIFS($B$5:$B$750,B637,$D$5:$D$750,WF_END_PERIOD,$R$5:$R$750,TRUE())&gt;0</f>
        <v>1</v>
      </c>
      <c r="Y637" s="0" t="str">
        <f aca="false">IF(AND(D637=WF_END_PERIOD,COUNTIFS($B$5:$B$750,B637,$D$5:$D$750,WF_START_PERIOD)&gt;0),INDEX($E$5:$E$750,MATCH(B637&amp;"|"&amp;WF_START_PERIOD,$AC$5:$AC$750,0)),"")</f>
        <v/>
      </c>
      <c r="Z637" s="0" t="str">
        <f aca="false">IF(AND(D637=WF_END_PERIOD,R637),1+COUNTIFS($D$5:$D$750,WF_END_PERIOD,$E$5:$E$750,E637,$R$5:$R$750,TRUE(),$S$5:$S$750,"&gt;"&amp;S637)+COUNTIFS($D$5:$D$750,WF_END_PERIOD,$E$5:$E$750,E637,$R$5:$R$750,TRUE(),$S$5:$S$750,S637,$B$5:$B$750,"&lt;"&amp;B637),"")</f>
        <v/>
      </c>
      <c r="AA637" s="0" t="str">
        <f aca="false">IF(AND(D637=WF_END_PERIOD,R637,Z637&lt;&gt;1),1+COUNTIFS($D$5:$D$750,WF_END_PERIOD,$R$5:$R$750,TRUE(),$Z$5:$Z$750,"&lt;&gt;1",$S$5:$S$750,"&gt;"&amp;S637)+COUNTIFS($D$5:$D$750,WF_END_PERIOD,$R$5:$R$750,TRUE(),$Z$5:$Z$750,"&lt;&gt;1",$S$5:$S$750,S637,$B$5:$B$750,"&lt;"&amp;B637),"")</f>
        <v/>
      </c>
      <c r="AB637" s="11" t="b">
        <f aca="false">OR(D637=WF_START_PERIOD,D637=WF_END_PERIOD)</f>
        <v>0</v>
      </c>
      <c r="AC637" s="0" t="str">
        <f aca="false">B637&amp;"|"&amp;D637</f>
        <v>35206|20241231</v>
      </c>
    </row>
    <row r="638" customFormat="false" ht="15" hidden="false" customHeight="false" outlineLevel="0" collapsed="false">
      <c r="A638" s="0" t="n">
        <f aca="false">RawFinancials!A638</f>
        <v>635</v>
      </c>
      <c r="B638" s="0" t="n">
        <f aca="false">RawFinancials!C638</f>
        <v>4255</v>
      </c>
      <c r="C638" s="0" t="str">
        <f aca="false">RawFinancials!P638</f>
        <v>THE CAMDEN NATIONAL BANK</v>
      </c>
      <c r="D638" s="0" t="n">
        <f aca="false">RawFinancials!W638</f>
        <v>20241231</v>
      </c>
      <c r="E638" s="0" t="str">
        <f aca="false">RawFinancials!Z638</f>
        <v>ME</v>
      </c>
      <c r="F638" s="0" t="n">
        <f aca="false">RawFinancials!B638</f>
        <v>5790238</v>
      </c>
      <c r="G638" s="0" t="n">
        <f aca="false">RawFinancials!U638</f>
        <v>0</v>
      </c>
      <c r="H638" s="0" t="n">
        <f aca="false">RawFinancials!O638</f>
        <v>4829</v>
      </c>
      <c r="I638" s="0" t="n">
        <f aca="false">IF(AND(ISNUMBER(G638),ISNUMBER(H638)),G638+H638,"")</f>
        <v>4829</v>
      </c>
      <c r="J638" s="0" t="n">
        <f aca="false">RawFinancials!D638</f>
        <v>4671726</v>
      </c>
      <c r="K638" s="0" t="n">
        <f aca="false">RawFinancials!F638</f>
        <v>539279</v>
      </c>
      <c r="L638" s="0" t="n">
        <f aca="false">RawFinancials!L638</f>
        <v>4126308</v>
      </c>
      <c r="M638" s="0" t="n">
        <f aca="false">RawFinancials!N638</f>
        <v>3755741</v>
      </c>
      <c r="N638" s="13" t="n">
        <f aca="false">RawFinancials!X638</f>
        <v>0.966146562932645</v>
      </c>
      <c r="O638" s="13" t="n">
        <f aca="false">RawFinancials!V638</f>
        <v>14.3631579775332</v>
      </c>
      <c r="P638" s="13" t="n">
        <f aca="false">IF(AND(ISNUMBER(L638),L638&lt;&gt;0,ISNUMBER(M638)),100*M638/L638,"")</f>
        <v>91.019405240714</v>
      </c>
      <c r="Q638" s="13" t="n">
        <f aca="false">IF(AND(ISNUMBER(F638),F638&lt;&gt;0,ISNUMBER(K638)),100*K638/F638,"")</f>
        <v>9.31358952775344</v>
      </c>
      <c r="R638" s="11" t="b">
        <f aca="false">AND(ISNUMBER(F638),F638&gt;0,ISNUMBER(G638),G638&gt;=0,ISNUMBER(H638),H638&gt;=0)</f>
        <v>1</v>
      </c>
      <c r="S638" s="13" t="n">
        <f aca="false">IF(R638,100*I638/F638,"")</f>
        <v>0.0833989898169989</v>
      </c>
      <c r="T638" s="11" t="b">
        <f aca="false">NOT(AND(OR(AND(ISBLANK(RawFinancials!B638),ISBLANK(_RawBaseline!B635)),AND(ISNUMBER(RawFinancials!B638),ISNUMBER(_RawBaseline!B635),RawFinancials!B638=_RawBaseline!B635)),OR(AND(ISBLANK(RawFinancials!U638),ISBLANK(_RawBaseline!U635)),AND(ISNUMBER(RawFinancials!U638),ISNUMBER(_RawBaseline!U635),RawFinancials!U638=_RawBaseline!U635)),OR(AND(ISBLANK(RawFinancials!O638),ISBLANK(_RawBaseline!O635)),AND(ISNUMBER(RawFinancials!O638),ISNUMBER(_RawBaseline!O635),RawFinancials!O638=_RawBaseline!O635))))</f>
        <v>0</v>
      </c>
      <c r="U638" s="13" t="n">
        <f aca="false">IF(AND(D638=WF_START_PERIOD,R638,COUNTIFS($B$5:$B$750,B638,$D$5:$D$750,WF_END_PERIOD,$R$5:$R$750,TRUE())&gt;0),SUMIFS($S$5:$S$750,$B$5:$B$750,B638,$D$5:$D$750,WF_END_PERIOD,$R$5:$R$750,TRUE()),0)</f>
        <v>0</v>
      </c>
      <c r="V638" s="0" t="str">
        <f aca="false">IF(AND(D638=WF_START_PERIOD,COUNTIFS($B$5:$B$750,B638,$D$5:$D$750,WF_END_PERIOD)&gt;0),INDEX($E$5:$E$750,MATCH(B638&amp;"|"&amp;WF_END_PERIOD,$AC$5:$AC$750,0)),"")</f>
        <v/>
      </c>
      <c r="W638" s="11" t="b">
        <f aca="false">COUNTIFS($B$5:$B$750,B638,$D$5:$D$750,WF_START_PERIOD,$R$5:$R$750,TRUE())&gt;0</f>
        <v>1</v>
      </c>
      <c r="X638" s="11" t="b">
        <f aca="false">COUNTIFS($B$5:$B$750,B638,$D$5:$D$750,WF_END_PERIOD,$R$5:$R$750,TRUE())&gt;0</f>
        <v>1</v>
      </c>
      <c r="Y638" s="0" t="str">
        <f aca="false">IF(AND(D638=WF_END_PERIOD,COUNTIFS($B$5:$B$750,B638,$D$5:$D$750,WF_START_PERIOD)&gt;0),INDEX($E$5:$E$750,MATCH(B638&amp;"|"&amp;WF_START_PERIOD,$AC$5:$AC$750,0)),"")</f>
        <v/>
      </c>
      <c r="Z638" s="0" t="str">
        <f aca="false">IF(AND(D638=WF_END_PERIOD,R638),1+COUNTIFS($D$5:$D$750,WF_END_PERIOD,$E$5:$E$750,E638,$R$5:$R$750,TRUE(),$S$5:$S$750,"&gt;"&amp;S638)+COUNTIFS($D$5:$D$750,WF_END_PERIOD,$E$5:$E$750,E638,$R$5:$R$750,TRUE(),$S$5:$S$750,S638,$B$5:$B$750,"&lt;"&amp;B638),"")</f>
        <v/>
      </c>
      <c r="AA638" s="0" t="str">
        <f aca="false">IF(AND(D638=WF_END_PERIOD,R638,Z638&lt;&gt;1),1+COUNTIFS($D$5:$D$750,WF_END_PERIOD,$R$5:$R$750,TRUE(),$Z$5:$Z$750,"&lt;&gt;1",$S$5:$S$750,"&gt;"&amp;S638)+COUNTIFS($D$5:$D$750,WF_END_PERIOD,$R$5:$R$750,TRUE(),$Z$5:$Z$750,"&lt;&gt;1",$S$5:$S$750,S638,$B$5:$B$750,"&lt;"&amp;B638),"")</f>
        <v/>
      </c>
      <c r="AB638" s="11" t="b">
        <f aca="false">OR(D638=WF_START_PERIOD,D638=WF_END_PERIOD)</f>
        <v>0</v>
      </c>
      <c r="AC638" s="0" t="str">
        <f aca="false">B638&amp;"|"&amp;D638</f>
        <v>4255|20241231</v>
      </c>
    </row>
    <row r="639" customFormat="false" ht="15" hidden="false" customHeight="false" outlineLevel="0" collapsed="false">
      <c r="A639" s="0" t="n">
        <f aca="false">RawFinancials!A639</f>
        <v>636</v>
      </c>
      <c r="B639" s="0" t="n">
        <f aca="false">RawFinancials!C639</f>
        <v>4256</v>
      </c>
      <c r="C639" s="0" t="str">
        <f aca="false">RawFinancials!P639</f>
        <v>FIRST NATIONAL BANK</v>
      </c>
      <c r="D639" s="0" t="n">
        <f aca="false">RawFinancials!W639</f>
        <v>20241231</v>
      </c>
      <c r="E639" s="0" t="str">
        <f aca="false">RawFinancials!Z639</f>
        <v>ME</v>
      </c>
      <c r="F639" s="0" t="n">
        <f aca="false">RawFinancials!B639</f>
        <v>3121442</v>
      </c>
      <c r="G639" s="0" t="n">
        <f aca="false">RawFinancials!U639</f>
        <v>1020</v>
      </c>
      <c r="H639" s="0" t="n">
        <f aca="false">RawFinancials!O639</f>
        <v>4248</v>
      </c>
      <c r="I639" s="0" t="n">
        <f aca="false">IF(AND(ISNUMBER(G639),ISNUMBER(H639)),G639+H639,"")</f>
        <v>5268</v>
      </c>
      <c r="J639" s="0" t="n">
        <f aca="false">RawFinancials!D639</f>
        <v>2726323</v>
      </c>
      <c r="K639" s="0" t="n">
        <f aca="false">RawFinancials!F639</f>
        <v>223532</v>
      </c>
      <c r="L639" s="0" t="n">
        <f aca="false">RawFinancials!L639</f>
        <v>2340940</v>
      </c>
      <c r="M639" s="0" t="n">
        <f aca="false">RawFinancials!N639</f>
        <v>1846128</v>
      </c>
      <c r="N639" s="13" t="n">
        <f aca="false">RawFinancials!X639</f>
        <v>0.926763449403844</v>
      </c>
      <c r="O639" s="13" t="n">
        <f aca="false">RawFinancials!V639</f>
        <v>13.1573411623733</v>
      </c>
      <c r="P639" s="13" t="n">
        <f aca="false">IF(AND(ISNUMBER(L639),L639&lt;&gt;0,ISNUMBER(M639)),100*M639/L639,"")</f>
        <v>78.8626790947226</v>
      </c>
      <c r="Q639" s="13" t="n">
        <f aca="false">IF(AND(ISNUMBER(F639),F639&lt;&gt;0,ISNUMBER(K639)),100*K639/F639,"")</f>
        <v>7.1611774301749</v>
      </c>
      <c r="R639" s="11" t="b">
        <f aca="false">AND(ISNUMBER(F639),F639&gt;0,ISNUMBER(G639),G639&gt;=0,ISNUMBER(H639),H639&gt;=0)</f>
        <v>1</v>
      </c>
      <c r="S639" s="13" t="n">
        <f aca="false">IF(R639,100*I639/F639,"")</f>
        <v>0.168768152667902</v>
      </c>
      <c r="T639" s="11" t="b">
        <f aca="false">NOT(AND(OR(AND(ISBLANK(RawFinancials!B639),ISBLANK(_RawBaseline!B636)),AND(ISNUMBER(RawFinancials!B639),ISNUMBER(_RawBaseline!B636),RawFinancials!B639=_RawBaseline!B636)),OR(AND(ISBLANK(RawFinancials!U639),ISBLANK(_RawBaseline!U636)),AND(ISNUMBER(RawFinancials!U639),ISNUMBER(_RawBaseline!U636),RawFinancials!U639=_RawBaseline!U636)),OR(AND(ISBLANK(RawFinancials!O639),ISBLANK(_RawBaseline!O636)),AND(ISNUMBER(RawFinancials!O639),ISNUMBER(_RawBaseline!O636),RawFinancials!O639=_RawBaseline!O636))))</f>
        <v>0</v>
      </c>
      <c r="U639" s="13" t="n">
        <f aca="false">IF(AND(D639=WF_START_PERIOD,R639,COUNTIFS($B$5:$B$750,B639,$D$5:$D$750,WF_END_PERIOD,$R$5:$R$750,TRUE())&gt;0),SUMIFS($S$5:$S$750,$B$5:$B$750,B639,$D$5:$D$750,WF_END_PERIOD,$R$5:$R$750,TRUE()),0)</f>
        <v>0</v>
      </c>
      <c r="V639" s="0" t="str">
        <f aca="false">IF(AND(D639=WF_START_PERIOD,COUNTIFS($B$5:$B$750,B639,$D$5:$D$750,WF_END_PERIOD)&gt;0),INDEX($E$5:$E$750,MATCH(B639&amp;"|"&amp;WF_END_PERIOD,$AC$5:$AC$750,0)),"")</f>
        <v/>
      </c>
      <c r="W639" s="11" t="b">
        <f aca="false">COUNTIFS($B$5:$B$750,B639,$D$5:$D$750,WF_START_PERIOD,$R$5:$R$750,TRUE())&gt;0</f>
        <v>1</v>
      </c>
      <c r="X639" s="11" t="b">
        <f aca="false">COUNTIFS($B$5:$B$750,B639,$D$5:$D$750,WF_END_PERIOD,$R$5:$R$750,TRUE())&gt;0</f>
        <v>1</v>
      </c>
      <c r="Y639" s="0" t="str">
        <f aca="false">IF(AND(D639=WF_END_PERIOD,COUNTIFS($B$5:$B$750,B639,$D$5:$D$750,WF_START_PERIOD)&gt;0),INDEX($E$5:$E$750,MATCH(B639&amp;"|"&amp;WF_START_PERIOD,$AC$5:$AC$750,0)),"")</f>
        <v/>
      </c>
      <c r="Z639" s="0" t="str">
        <f aca="false">IF(AND(D639=WF_END_PERIOD,R639),1+COUNTIFS($D$5:$D$750,WF_END_PERIOD,$E$5:$E$750,E639,$R$5:$R$750,TRUE(),$S$5:$S$750,"&gt;"&amp;S639)+COUNTIFS($D$5:$D$750,WF_END_PERIOD,$E$5:$E$750,E639,$R$5:$R$750,TRUE(),$S$5:$S$750,S639,$B$5:$B$750,"&lt;"&amp;B639),"")</f>
        <v/>
      </c>
      <c r="AA639" s="0" t="str">
        <f aca="false">IF(AND(D639=WF_END_PERIOD,R639,Z639&lt;&gt;1),1+COUNTIFS($D$5:$D$750,WF_END_PERIOD,$R$5:$R$750,TRUE(),$Z$5:$Z$750,"&lt;&gt;1",$S$5:$S$750,"&gt;"&amp;S639)+COUNTIFS($D$5:$D$750,WF_END_PERIOD,$R$5:$R$750,TRUE(),$Z$5:$Z$750,"&lt;&gt;1",$S$5:$S$750,S639,$B$5:$B$750,"&lt;"&amp;B639),"")</f>
        <v/>
      </c>
      <c r="AB639" s="11" t="b">
        <f aca="false">OR(D639=WF_START_PERIOD,D639=WF_END_PERIOD)</f>
        <v>0</v>
      </c>
      <c r="AC639" s="0" t="str">
        <f aca="false">B639&amp;"|"&amp;D639</f>
        <v>4256|20241231</v>
      </c>
    </row>
    <row r="640" customFormat="false" ht="15" hidden="false" customHeight="false" outlineLevel="0" collapsed="false">
      <c r="A640" s="0" t="n">
        <f aca="false">RawFinancials!A640</f>
        <v>637</v>
      </c>
      <c r="B640" s="0" t="n">
        <f aca="false">RawFinancials!C640</f>
        <v>59086</v>
      </c>
      <c r="C640" s="0" t="str">
        <f aca="false">RawFinancials!P640</f>
        <v>PRIMARY BANK</v>
      </c>
      <c r="D640" s="0" t="n">
        <f aca="false">RawFinancials!W640</f>
        <v>20241231</v>
      </c>
      <c r="E640" s="0" t="str">
        <f aca="false">RawFinancials!Z640</f>
        <v>NH</v>
      </c>
      <c r="F640" s="0" t="n">
        <f aca="false">RawFinancials!B640</f>
        <v>708844</v>
      </c>
      <c r="G640" s="0" t="n">
        <f aca="false">RawFinancials!U640</f>
        <v>486</v>
      </c>
      <c r="H640" s="0" t="n">
        <f aca="false">RawFinancials!O640</f>
        <v>4078</v>
      </c>
      <c r="I640" s="0" t="n">
        <f aca="false">IF(AND(ISNUMBER(G640),ISNUMBER(H640)),G640+H640,"")</f>
        <v>4564</v>
      </c>
      <c r="J640" s="0" t="n">
        <f aca="false">RawFinancials!D640</f>
        <v>603651</v>
      </c>
      <c r="K640" s="0" t="n">
        <f aca="false">RawFinancials!F640</f>
        <v>99876</v>
      </c>
      <c r="L640" s="0" t="n">
        <f aca="false">RawFinancials!L640</f>
        <v>599071</v>
      </c>
      <c r="M640" s="0" t="n">
        <f aca="false">RawFinancials!N640</f>
        <v>477361</v>
      </c>
      <c r="N640" s="13" t="n">
        <f aca="false">RawFinancials!X640</f>
        <v>1.51475323091527</v>
      </c>
      <c r="O640" s="13" t="n">
        <f aca="false">RawFinancials!V640</f>
        <v>16.4547485172918</v>
      </c>
      <c r="P640" s="13" t="n">
        <f aca="false">IF(AND(ISNUMBER(L640),L640&lt;&gt;0,ISNUMBER(M640)),100*M640/L640,"")</f>
        <v>79.6835433529582</v>
      </c>
      <c r="Q640" s="13" t="n">
        <f aca="false">IF(AND(ISNUMBER(F640),F640&lt;&gt;0,ISNUMBER(K640)),100*K640/F640,"")</f>
        <v>14.0899831274582</v>
      </c>
      <c r="R640" s="11" t="b">
        <f aca="false">AND(ISNUMBER(F640),F640&gt;0,ISNUMBER(G640),G640&gt;=0,ISNUMBER(H640),H640&gt;=0)</f>
        <v>1</v>
      </c>
      <c r="S640" s="13" t="n">
        <f aca="false">IF(R640,100*I640/F640,"")</f>
        <v>0.643865222813482</v>
      </c>
      <c r="T640" s="11" t="b">
        <f aca="false">NOT(AND(OR(AND(ISBLANK(RawFinancials!B640),ISBLANK(_RawBaseline!B637)),AND(ISNUMBER(RawFinancials!B640),ISNUMBER(_RawBaseline!B637),RawFinancials!B640=_RawBaseline!B637)),OR(AND(ISBLANK(RawFinancials!U640),ISBLANK(_RawBaseline!U637)),AND(ISNUMBER(RawFinancials!U640),ISNUMBER(_RawBaseline!U637),RawFinancials!U640=_RawBaseline!U637)),OR(AND(ISBLANK(RawFinancials!O640),ISBLANK(_RawBaseline!O637)),AND(ISNUMBER(RawFinancials!O640),ISNUMBER(_RawBaseline!O637),RawFinancials!O640=_RawBaseline!O637))))</f>
        <v>0</v>
      </c>
      <c r="U640" s="13" t="n">
        <f aca="false">IF(AND(D640=WF_START_PERIOD,R640,COUNTIFS($B$5:$B$750,B640,$D$5:$D$750,WF_END_PERIOD,$R$5:$R$750,TRUE())&gt;0),SUMIFS($S$5:$S$750,$B$5:$B$750,B640,$D$5:$D$750,WF_END_PERIOD,$R$5:$R$750,TRUE()),0)</f>
        <v>0</v>
      </c>
      <c r="V640" s="0" t="str">
        <f aca="false">IF(AND(D640=WF_START_PERIOD,COUNTIFS($B$5:$B$750,B640,$D$5:$D$750,WF_END_PERIOD)&gt;0),INDEX($E$5:$E$750,MATCH(B640&amp;"|"&amp;WF_END_PERIOD,$AC$5:$AC$750,0)),"")</f>
        <v/>
      </c>
      <c r="W640" s="11" t="b">
        <f aca="false">COUNTIFS($B$5:$B$750,B640,$D$5:$D$750,WF_START_PERIOD,$R$5:$R$750,TRUE())&gt;0</f>
        <v>1</v>
      </c>
      <c r="X640" s="11" t="b">
        <f aca="false">COUNTIFS($B$5:$B$750,B640,$D$5:$D$750,WF_END_PERIOD,$R$5:$R$750,TRUE())&gt;0</f>
        <v>1</v>
      </c>
      <c r="Y640" s="0" t="str">
        <f aca="false">IF(AND(D640=WF_END_PERIOD,COUNTIFS($B$5:$B$750,B640,$D$5:$D$750,WF_START_PERIOD)&gt;0),INDEX($E$5:$E$750,MATCH(B640&amp;"|"&amp;WF_START_PERIOD,$AC$5:$AC$750,0)),"")</f>
        <v/>
      </c>
      <c r="Z640" s="0" t="str">
        <f aca="false">IF(AND(D640=WF_END_PERIOD,R640),1+COUNTIFS($D$5:$D$750,WF_END_PERIOD,$E$5:$E$750,E640,$R$5:$R$750,TRUE(),$S$5:$S$750,"&gt;"&amp;S640)+COUNTIFS($D$5:$D$750,WF_END_PERIOD,$E$5:$E$750,E640,$R$5:$R$750,TRUE(),$S$5:$S$750,S640,$B$5:$B$750,"&lt;"&amp;B640),"")</f>
        <v/>
      </c>
      <c r="AA640" s="0" t="str">
        <f aca="false">IF(AND(D640=WF_END_PERIOD,R640,Z640&lt;&gt;1),1+COUNTIFS($D$5:$D$750,WF_END_PERIOD,$R$5:$R$750,TRUE(),$Z$5:$Z$750,"&lt;&gt;1",$S$5:$S$750,"&gt;"&amp;S640)+COUNTIFS($D$5:$D$750,WF_END_PERIOD,$R$5:$R$750,TRUE(),$Z$5:$Z$750,"&lt;&gt;1",$S$5:$S$750,S640,$B$5:$B$750,"&lt;"&amp;B640),"")</f>
        <v/>
      </c>
      <c r="AB640" s="11" t="b">
        <f aca="false">OR(D640=WF_START_PERIOD,D640=WF_END_PERIOD)</f>
        <v>0</v>
      </c>
      <c r="AC640" s="0" t="str">
        <f aca="false">B640&amp;"|"&amp;D640</f>
        <v>59086|20241231</v>
      </c>
    </row>
    <row r="641" customFormat="false" ht="15" hidden="false" customHeight="false" outlineLevel="0" collapsed="false">
      <c r="A641" s="0" t="n">
        <f aca="false">RawFinancials!A641</f>
        <v>638</v>
      </c>
      <c r="B641" s="0" t="n">
        <f aca="false">RawFinancials!C641</f>
        <v>59176</v>
      </c>
      <c r="C641" s="0" t="str">
        <f aca="false">RawFinancials!P641</f>
        <v>THE MILLYARD BANK</v>
      </c>
      <c r="D641" s="0" t="n">
        <f aca="false">RawFinancials!W641</f>
        <v>20241231</v>
      </c>
      <c r="E641" s="0" t="str">
        <f aca="false">RawFinancials!Z641</f>
        <v>NH</v>
      </c>
      <c r="F641" s="0" t="n">
        <f aca="false">RawFinancials!B641</f>
        <v>237381</v>
      </c>
      <c r="G641" s="0" t="n">
        <f aca="false">RawFinancials!U641</f>
        <v>0</v>
      </c>
      <c r="H641" s="0" t="n">
        <f aca="false">RawFinancials!O641</f>
        <v>0</v>
      </c>
      <c r="I641" s="0" t="n">
        <f aca="false">IF(AND(ISNUMBER(G641),ISNUMBER(H641)),G641+H641,"")</f>
        <v>0</v>
      </c>
      <c r="J641" s="0" t="n">
        <f aca="false">RawFinancials!D641</f>
        <v>196927</v>
      </c>
      <c r="K641" s="0" t="n">
        <f aca="false">RawFinancials!F641</f>
        <v>27230</v>
      </c>
      <c r="L641" s="0" t="n">
        <f aca="false">RawFinancials!L641</f>
        <v>180752</v>
      </c>
      <c r="M641" s="0" t="n">
        <f aca="false">RawFinancials!N641</f>
        <v>156611</v>
      </c>
      <c r="N641" s="13" t="n">
        <f aca="false">RawFinancials!X641</f>
        <v>0.113409014371779</v>
      </c>
      <c r="O641" s="13" t="n">
        <f aca="false">RawFinancials!V641</f>
        <v>0</v>
      </c>
      <c r="P641" s="13" t="n">
        <f aca="false">IF(AND(ISNUMBER(L641),L641&lt;&gt;0,ISNUMBER(M641)),100*M641/L641,"")</f>
        <v>86.6441311852704</v>
      </c>
      <c r="Q641" s="13" t="n">
        <f aca="false">IF(AND(ISNUMBER(F641),F641&lt;&gt;0,ISNUMBER(K641)),100*K641/F641,"")</f>
        <v>11.4710107380119</v>
      </c>
      <c r="R641" s="11" t="b">
        <f aca="false">AND(ISNUMBER(F641),F641&gt;0,ISNUMBER(G641),G641&gt;=0,ISNUMBER(H641),H641&gt;=0)</f>
        <v>1</v>
      </c>
      <c r="S641" s="13" t="n">
        <f aca="false">IF(R641,100*I641/F641,"")</f>
        <v>0</v>
      </c>
      <c r="T641" s="11" t="b">
        <f aca="false">NOT(AND(OR(AND(ISBLANK(RawFinancials!B641),ISBLANK(_RawBaseline!B638)),AND(ISNUMBER(RawFinancials!B641),ISNUMBER(_RawBaseline!B638),RawFinancials!B641=_RawBaseline!B638)),OR(AND(ISBLANK(RawFinancials!U641),ISBLANK(_RawBaseline!U638)),AND(ISNUMBER(RawFinancials!U641),ISNUMBER(_RawBaseline!U638),RawFinancials!U641=_RawBaseline!U638)),OR(AND(ISBLANK(RawFinancials!O641),ISBLANK(_RawBaseline!O638)),AND(ISNUMBER(RawFinancials!O641),ISNUMBER(_RawBaseline!O638),RawFinancials!O641=_RawBaseline!O638))))</f>
        <v>0</v>
      </c>
      <c r="U641" s="13" t="n">
        <f aca="false">IF(AND(D641=WF_START_PERIOD,R641,COUNTIFS($B$5:$B$750,B641,$D$5:$D$750,WF_END_PERIOD,$R$5:$R$750,TRUE())&gt;0),SUMIFS($S$5:$S$750,$B$5:$B$750,B641,$D$5:$D$750,WF_END_PERIOD,$R$5:$R$750,TRUE()),0)</f>
        <v>0</v>
      </c>
      <c r="V641" s="0" t="str">
        <f aca="false">IF(AND(D641=WF_START_PERIOD,COUNTIFS($B$5:$B$750,B641,$D$5:$D$750,WF_END_PERIOD)&gt;0),INDEX($E$5:$E$750,MATCH(B641&amp;"|"&amp;WF_END_PERIOD,$AC$5:$AC$750,0)),"")</f>
        <v/>
      </c>
      <c r="W641" s="11" t="b">
        <f aca="false">COUNTIFS($B$5:$B$750,B641,$D$5:$D$750,WF_START_PERIOD,$R$5:$R$750,TRUE())&gt;0</f>
        <v>1</v>
      </c>
      <c r="X641" s="11" t="b">
        <f aca="false">COUNTIFS($B$5:$B$750,B641,$D$5:$D$750,WF_END_PERIOD,$R$5:$R$750,TRUE())&gt;0</f>
        <v>1</v>
      </c>
      <c r="Y641" s="0" t="str">
        <f aca="false">IF(AND(D641=WF_END_PERIOD,COUNTIFS($B$5:$B$750,B641,$D$5:$D$750,WF_START_PERIOD)&gt;0),INDEX($E$5:$E$750,MATCH(B641&amp;"|"&amp;WF_START_PERIOD,$AC$5:$AC$750,0)),"")</f>
        <v/>
      </c>
      <c r="Z641" s="0" t="str">
        <f aca="false">IF(AND(D641=WF_END_PERIOD,R641),1+COUNTIFS($D$5:$D$750,WF_END_PERIOD,$E$5:$E$750,E641,$R$5:$R$750,TRUE(),$S$5:$S$750,"&gt;"&amp;S641)+COUNTIFS($D$5:$D$750,WF_END_PERIOD,$E$5:$E$750,E641,$R$5:$R$750,TRUE(),$S$5:$S$750,S641,$B$5:$B$750,"&lt;"&amp;B641),"")</f>
        <v/>
      </c>
      <c r="AA641" s="0" t="str">
        <f aca="false">IF(AND(D641=WF_END_PERIOD,R641,Z641&lt;&gt;1),1+COUNTIFS($D$5:$D$750,WF_END_PERIOD,$R$5:$R$750,TRUE(),$Z$5:$Z$750,"&lt;&gt;1",$S$5:$S$750,"&gt;"&amp;S641)+COUNTIFS($D$5:$D$750,WF_END_PERIOD,$R$5:$R$750,TRUE(),$Z$5:$Z$750,"&lt;&gt;1",$S$5:$S$750,S641,$B$5:$B$750,"&lt;"&amp;B641),"")</f>
        <v/>
      </c>
      <c r="AB641" s="11" t="b">
        <f aca="false">OR(D641=WF_START_PERIOD,D641=WF_END_PERIOD)</f>
        <v>0</v>
      </c>
      <c r="AC641" s="0" t="str">
        <f aca="false">B641&amp;"|"&amp;D641</f>
        <v>59176|20241231</v>
      </c>
    </row>
    <row r="642" customFormat="false" ht="15" hidden="false" customHeight="false" outlineLevel="0" collapsed="false">
      <c r="A642" s="0" t="n">
        <f aca="false">RawFinancials!A642</f>
        <v>639</v>
      </c>
      <c r="B642" s="0" t="n">
        <f aca="false">RawFinancials!C642</f>
        <v>59289</v>
      </c>
      <c r="C642" s="0" t="str">
        <f aca="false">RawFinancials!P642</f>
        <v>WALDEN MUTUAL BANK</v>
      </c>
      <c r="D642" s="0" t="n">
        <f aca="false">RawFinancials!W642</f>
        <v>20241231</v>
      </c>
      <c r="E642" s="0" t="str">
        <f aca="false">RawFinancials!Z642</f>
        <v>NH</v>
      </c>
      <c r="F642" s="0" t="n">
        <f aca="false">RawFinancials!B642</f>
        <v>123766</v>
      </c>
      <c r="G642" s="0" t="n">
        <f aca="false">RawFinancials!U642</f>
        <v>0</v>
      </c>
      <c r="H642" s="0" t="n">
        <f aca="false">RawFinancials!O642</f>
        <v>2234</v>
      </c>
      <c r="I642" s="0" t="n">
        <f aca="false">IF(AND(ISNUMBER(G642),ISNUMBER(H642)),G642+H642,"")</f>
        <v>2234</v>
      </c>
      <c r="J642" s="0" t="n">
        <f aca="false">RawFinancials!D642</f>
        <v>107030</v>
      </c>
      <c r="K642" s="0" t="n">
        <f aca="false">RawFinancials!F642</f>
        <v>15858</v>
      </c>
      <c r="L642" s="0" t="n">
        <f aca="false">RawFinancials!L642</f>
        <v>86219</v>
      </c>
      <c r="M642" s="0" t="n">
        <f aca="false">RawFinancials!N642</f>
        <v>35426</v>
      </c>
      <c r="N642" s="13" t="n">
        <f aca="false">RawFinancials!X642</f>
        <v>-3.22755669629028</v>
      </c>
      <c r="O642" s="13" t="n">
        <f aca="false">RawFinancials!V642</f>
        <v>0</v>
      </c>
      <c r="P642" s="13" t="n">
        <f aca="false">IF(AND(ISNUMBER(L642),L642&lt;&gt;0,ISNUMBER(M642)),100*M642/L642,"")</f>
        <v>41.0883911898769</v>
      </c>
      <c r="Q642" s="13" t="n">
        <f aca="false">IF(AND(ISNUMBER(F642),F642&lt;&gt;0,ISNUMBER(K642)),100*K642/F642,"")</f>
        <v>12.8128888386148</v>
      </c>
      <c r="R642" s="11" t="b">
        <f aca="false">AND(ISNUMBER(F642),F642&gt;0,ISNUMBER(G642),G642&gt;=0,ISNUMBER(H642),H642&gt;=0)</f>
        <v>1</v>
      </c>
      <c r="S642" s="13" t="n">
        <f aca="false">IF(R642,100*I642/F642,"")</f>
        <v>1.80501914903932</v>
      </c>
      <c r="T642" s="11" t="b">
        <f aca="false">NOT(AND(OR(AND(ISBLANK(RawFinancials!B642),ISBLANK(_RawBaseline!B639)),AND(ISNUMBER(RawFinancials!B642),ISNUMBER(_RawBaseline!B639),RawFinancials!B642=_RawBaseline!B639)),OR(AND(ISBLANK(RawFinancials!U642),ISBLANK(_RawBaseline!U639)),AND(ISNUMBER(RawFinancials!U642),ISNUMBER(_RawBaseline!U639),RawFinancials!U642=_RawBaseline!U639)),OR(AND(ISBLANK(RawFinancials!O642),ISBLANK(_RawBaseline!O639)),AND(ISNUMBER(RawFinancials!O642),ISNUMBER(_RawBaseline!O639),RawFinancials!O642=_RawBaseline!O639))))</f>
        <v>0</v>
      </c>
      <c r="U642" s="13" t="n">
        <f aca="false">IF(AND(D642=WF_START_PERIOD,R642,COUNTIFS($B$5:$B$750,B642,$D$5:$D$750,WF_END_PERIOD,$R$5:$R$750,TRUE())&gt;0),SUMIFS($S$5:$S$750,$B$5:$B$750,B642,$D$5:$D$750,WF_END_PERIOD,$R$5:$R$750,TRUE()),0)</f>
        <v>0</v>
      </c>
      <c r="V642" s="0" t="str">
        <f aca="false">IF(AND(D642=WF_START_PERIOD,COUNTIFS($B$5:$B$750,B642,$D$5:$D$750,WF_END_PERIOD)&gt;0),INDEX($E$5:$E$750,MATCH(B642&amp;"|"&amp;WF_END_PERIOD,$AC$5:$AC$750,0)),"")</f>
        <v/>
      </c>
      <c r="W642" s="11" t="b">
        <f aca="false">COUNTIFS($B$5:$B$750,B642,$D$5:$D$750,WF_START_PERIOD,$R$5:$R$750,TRUE())&gt;0</f>
        <v>1</v>
      </c>
      <c r="X642" s="11" t="b">
        <f aca="false">COUNTIFS($B$5:$B$750,B642,$D$5:$D$750,WF_END_PERIOD,$R$5:$R$750,TRUE())&gt;0</f>
        <v>1</v>
      </c>
      <c r="Y642" s="0" t="str">
        <f aca="false">IF(AND(D642=WF_END_PERIOD,COUNTIFS($B$5:$B$750,B642,$D$5:$D$750,WF_START_PERIOD)&gt;0),INDEX($E$5:$E$750,MATCH(B642&amp;"|"&amp;WF_START_PERIOD,$AC$5:$AC$750,0)),"")</f>
        <v/>
      </c>
      <c r="Z642" s="0" t="str">
        <f aca="false">IF(AND(D642=WF_END_PERIOD,R642),1+COUNTIFS($D$5:$D$750,WF_END_PERIOD,$E$5:$E$750,E642,$R$5:$R$750,TRUE(),$S$5:$S$750,"&gt;"&amp;S642)+COUNTIFS($D$5:$D$750,WF_END_PERIOD,$E$5:$E$750,E642,$R$5:$R$750,TRUE(),$S$5:$S$750,S642,$B$5:$B$750,"&lt;"&amp;B642),"")</f>
        <v/>
      </c>
      <c r="AA642" s="0" t="str">
        <f aca="false">IF(AND(D642=WF_END_PERIOD,R642,Z642&lt;&gt;1),1+COUNTIFS($D$5:$D$750,WF_END_PERIOD,$R$5:$R$750,TRUE(),$Z$5:$Z$750,"&lt;&gt;1",$S$5:$S$750,"&gt;"&amp;S642)+COUNTIFS($D$5:$D$750,WF_END_PERIOD,$R$5:$R$750,TRUE(),$Z$5:$Z$750,"&lt;&gt;1",$S$5:$S$750,S642,$B$5:$B$750,"&lt;"&amp;B642),"")</f>
        <v/>
      </c>
      <c r="AB642" s="11" t="b">
        <f aca="false">OR(D642=WF_START_PERIOD,D642=WF_END_PERIOD)</f>
        <v>0</v>
      </c>
      <c r="AC642" s="0" t="str">
        <f aca="false">B642&amp;"|"&amp;D642</f>
        <v>59289|20241231</v>
      </c>
    </row>
    <row r="643" customFormat="false" ht="15" hidden="false" customHeight="false" outlineLevel="0" collapsed="false">
      <c r="A643" s="0" t="n">
        <f aca="false">RawFinancials!A643</f>
        <v>640</v>
      </c>
      <c r="B643" s="0" t="n">
        <f aca="false">RawFinancials!C643</f>
        <v>59298</v>
      </c>
      <c r="C643" s="0" t="str">
        <f aca="false">RawFinancials!P643</f>
        <v>BANK OF BURLINGTON</v>
      </c>
      <c r="D643" s="0" t="n">
        <f aca="false">RawFinancials!W643</f>
        <v>20241231</v>
      </c>
      <c r="E643" s="0" t="str">
        <f aca="false">RawFinancials!Z643</f>
        <v>VT</v>
      </c>
      <c r="F643" s="0" t="n">
        <f aca="false">RawFinancials!B643</f>
        <v>261157</v>
      </c>
      <c r="G643" s="0" t="n">
        <f aca="false">RawFinancials!U643</f>
        <v>0</v>
      </c>
      <c r="H643" s="0" t="n">
        <f aca="false">RawFinancials!O643</f>
        <v>0</v>
      </c>
      <c r="I643" s="0" t="n">
        <f aca="false">IF(AND(ISNUMBER(G643),ISNUMBER(H643)),G643+H643,"")</f>
        <v>0</v>
      </c>
      <c r="J643" s="0" t="n">
        <f aca="false">RawFinancials!D643</f>
        <v>236473</v>
      </c>
      <c r="K643" s="0" t="n">
        <f aca="false">RawFinancials!F643</f>
        <v>23720</v>
      </c>
      <c r="L643" s="0" t="n">
        <f aca="false">RawFinancials!L643</f>
        <v>137574</v>
      </c>
      <c r="M643" s="0" t="n">
        <f aca="false">RawFinancials!N643</f>
        <v>105764</v>
      </c>
      <c r="N643" s="13" t="n">
        <f aca="false">RawFinancials!X643</f>
        <v>-0.940503539781518</v>
      </c>
      <c r="O643" s="13" t="n">
        <f aca="false">RawFinancials!V643</f>
        <v>17.5772477993456</v>
      </c>
      <c r="P643" s="13" t="n">
        <f aca="false">IF(AND(ISNUMBER(L643),L643&lt;&gt;0,ISNUMBER(M643)),100*M643/L643,"")</f>
        <v>76.8778984401122</v>
      </c>
      <c r="Q643" s="13" t="n">
        <f aca="false">IF(AND(ISNUMBER(F643),F643&lt;&gt;0,ISNUMBER(K643)),100*K643/F643,"")</f>
        <v>9.08265909012586</v>
      </c>
      <c r="R643" s="11" t="b">
        <f aca="false">AND(ISNUMBER(F643),F643&gt;0,ISNUMBER(G643),G643&gt;=0,ISNUMBER(H643),H643&gt;=0)</f>
        <v>1</v>
      </c>
      <c r="S643" s="13" t="n">
        <f aca="false">IF(R643,100*I643/F643,"")</f>
        <v>0</v>
      </c>
      <c r="T643" s="11" t="b">
        <f aca="false">NOT(AND(OR(AND(ISBLANK(RawFinancials!B643),ISBLANK(_RawBaseline!B640)),AND(ISNUMBER(RawFinancials!B643),ISNUMBER(_RawBaseline!B640),RawFinancials!B643=_RawBaseline!B640)),OR(AND(ISBLANK(RawFinancials!U643),ISBLANK(_RawBaseline!U640)),AND(ISNUMBER(RawFinancials!U643),ISNUMBER(_RawBaseline!U640),RawFinancials!U643=_RawBaseline!U640)),OR(AND(ISBLANK(RawFinancials!O643),ISBLANK(_RawBaseline!O640)),AND(ISNUMBER(RawFinancials!O643),ISNUMBER(_RawBaseline!O640),RawFinancials!O643=_RawBaseline!O640))))</f>
        <v>0</v>
      </c>
      <c r="U643" s="13" t="n">
        <f aca="false">IF(AND(D643=WF_START_PERIOD,R643,COUNTIFS($B$5:$B$750,B643,$D$5:$D$750,WF_END_PERIOD,$R$5:$R$750,TRUE())&gt;0),SUMIFS($S$5:$S$750,$B$5:$B$750,B643,$D$5:$D$750,WF_END_PERIOD,$R$5:$R$750,TRUE()),0)</f>
        <v>0</v>
      </c>
      <c r="V643" s="0" t="str">
        <f aca="false">IF(AND(D643=WF_START_PERIOD,COUNTIFS($B$5:$B$750,B643,$D$5:$D$750,WF_END_PERIOD)&gt;0),INDEX($E$5:$E$750,MATCH(B643&amp;"|"&amp;WF_END_PERIOD,$AC$5:$AC$750,0)),"")</f>
        <v/>
      </c>
      <c r="W643" s="11" t="b">
        <f aca="false">COUNTIFS($B$5:$B$750,B643,$D$5:$D$750,WF_START_PERIOD,$R$5:$R$750,TRUE())&gt;0</f>
        <v>1</v>
      </c>
      <c r="X643" s="11" t="b">
        <f aca="false">COUNTIFS($B$5:$B$750,B643,$D$5:$D$750,WF_END_PERIOD,$R$5:$R$750,TRUE())&gt;0</f>
        <v>1</v>
      </c>
      <c r="Y643" s="0" t="str">
        <f aca="false">IF(AND(D643=WF_END_PERIOD,COUNTIFS($B$5:$B$750,B643,$D$5:$D$750,WF_START_PERIOD)&gt;0),INDEX($E$5:$E$750,MATCH(B643&amp;"|"&amp;WF_START_PERIOD,$AC$5:$AC$750,0)),"")</f>
        <v/>
      </c>
      <c r="Z643" s="0" t="str">
        <f aca="false">IF(AND(D643=WF_END_PERIOD,R643),1+COUNTIFS($D$5:$D$750,WF_END_PERIOD,$E$5:$E$750,E643,$R$5:$R$750,TRUE(),$S$5:$S$750,"&gt;"&amp;S643)+COUNTIFS($D$5:$D$750,WF_END_PERIOD,$E$5:$E$750,E643,$R$5:$R$750,TRUE(),$S$5:$S$750,S643,$B$5:$B$750,"&lt;"&amp;B643),"")</f>
        <v/>
      </c>
      <c r="AA643" s="0" t="str">
        <f aca="false">IF(AND(D643=WF_END_PERIOD,R643,Z643&lt;&gt;1),1+COUNTIFS($D$5:$D$750,WF_END_PERIOD,$R$5:$R$750,TRUE(),$Z$5:$Z$750,"&lt;&gt;1",$S$5:$S$750,"&gt;"&amp;S643)+COUNTIFS($D$5:$D$750,WF_END_PERIOD,$R$5:$R$750,TRUE(),$Z$5:$Z$750,"&lt;&gt;1",$S$5:$S$750,S643,$B$5:$B$750,"&lt;"&amp;B643),"")</f>
        <v/>
      </c>
      <c r="AB643" s="11" t="b">
        <f aca="false">OR(D643=WF_START_PERIOD,D643=WF_END_PERIOD)</f>
        <v>0</v>
      </c>
      <c r="AC643" s="0" t="str">
        <f aca="false">B643&amp;"|"&amp;D643</f>
        <v>59298|20241231</v>
      </c>
    </row>
    <row r="644" customFormat="false" ht="15" hidden="false" customHeight="false" outlineLevel="0" collapsed="false">
      <c r="A644" s="0" t="n">
        <f aca="false">RawFinancials!A644</f>
        <v>641</v>
      </c>
      <c r="B644" s="0" t="n">
        <f aca="false">RawFinancials!C644</f>
        <v>6271</v>
      </c>
      <c r="C644" s="0" t="str">
        <f aca="false">RawFinancials!P644</f>
        <v>COMMUNITY NATIONAL BANK</v>
      </c>
      <c r="D644" s="0" t="n">
        <f aca="false">RawFinancials!W644</f>
        <v>20241231</v>
      </c>
      <c r="E644" s="0" t="str">
        <f aca="false">RawFinancials!Z644</f>
        <v>VT</v>
      </c>
      <c r="F644" s="0" t="n">
        <f aca="false">RawFinancials!B644</f>
        <v>1248213</v>
      </c>
      <c r="G644" s="0" t="n">
        <f aca="false">RawFinancials!U644</f>
        <v>806</v>
      </c>
      <c r="H644" s="0" t="n">
        <f aca="false">RawFinancials!O644</f>
        <v>8338</v>
      </c>
      <c r="I644" s="0" t="n">
        <f aca="false">IF(AND(ISNUMBER(G644),ISNUMBER(H644)),G644+H644,"")</f>
        <v>9144</v>
      </c>
      <c r="J644" s="0" t="n">
        <f aca="false">RawFinancials!D644</f>
        <v>1002714</v>
      </c>
      <c r="K644" s="0" t="n">
        <f aca="false">RawFinancials!F644</f>
        <v>110120</v>
      </c>
      <c r="L644" s="0" t="n">
        <f aca="false">RawFinancials!L644</f>
        <v>928589</v>
      </c>
      <c r="M644" s="0" t="n">
        <f aca="false">RawFinancials!N644</f>
        <v>726591</v>
      </c>
      <c r="N644" s="13" t="n">
        <f aca="false">RawFinancials!X644</f>
        <v>1.22232640966748</v>
      </c>
      <c r="O644" s="13" t="n">
        <f aca="false">RawFinancials!V644</f>
        <v>14.7627252333487</v>
      </c>
      <c r="P644" s="13" t="n">
        <f aca="false">IF(AND(ISNUMBER(L644),L644&lt;&gt;0,ISNUMBER(M644)),100*M644/L644,"")</f>
        <v>78.2467808686082</v>
      </c>
      <c r="Q644" s="13" t="n">
        <f aca="false">IF(AND(ISNUMBER(F644),F644&lt;&gt;0,ISNUMBER(K644)),100*K644/F644,"")</f>
        <v>8.8222122346106</v>
      </c>
      <c r="R644" s="11" t="b">
        <f aca="false">AND(ISNUMBER(F644),F644&gt;0,ISNUMBER(G644),G644&gt;=0,ISNUMBER(H644),H644&gt;=0)</f>
        <v>1</v>
      </c>
      <c r="S644" s="13" t="n">
        <f aca="false">IF(R644,100*I644/F644,"")</f>
        <v>0.732567278180887</v>
      </c>
      <c r="T644" s="11" t="b">
        <f aca="false">NOT(AND(OR(AND(ISBLANK(RawFinancials!B644),ISBLANK(_RawBaseline!B641)),AND(ISNUMBER(RawFinancials!B644),ISNUMBER(_RawBaseline!B641),RawFinancials!B644=_RawBaseline!B641)),OR(AND(ISBLANK(RawFinancials!U644),ISBLANK(_RawBaseline!U641)),AND(ISNUMBER(RawFinancials!U644),ISNUMBER(_RawBaseline!U641),RawFinancials!U644=_RawBaseline!U641)),OR(AND(ISBLANK(RawFinancials!O644),ISBLANK(_RawBaseline!O641)),AND(ISNUMBER(RawFinancials!O644),ISNUMBER(_RawBaseline!O641),RawFinancials!O644=_RawBaseline!O641))))</f>
        <v>0</v>
      </c>
      <c r="U644" s="13" t="n">
        <f aca="false">IF(AND(D644=WF_START_PERIOD,R644,COUNTIFS($B$5:$B$750,B644,$D$5:$D$750,WF_END_PERIOD,$R$5:$R$750,TRUE())&gt;0),SUMIFS($S$5:$S$750,$B$5:$B$750,B644,$D$5:$D$750,WF_END_PERIOD,$R$5:$R$750,TRUE()),0)</f>
        <v>0</v>
      </c>
      <c r="V644" s="0" t="str">
        <f aca="false">IF(AND(D644=WF_START_PERIOD,COUNTIFS($B$5:$B$750,B644,$D$5:$D$750,WF_END_PERIOD)&gt;0),INDEX($E$5:$E$750,MATCH(B644&amp;"|"&amp;WF_END_PERIOD,$AC$5:$AC$750,0)),"")</f>
        <v/>
      </c>
      <c r="W644" s="11" t="b">
        <f aca="false">COUNTIFS($B$5:$B$750,B644,$D$5:$D$750,WF_START_PERIOD,$R$5:$R$750,TRUE())&gt;0</f>
        <v>1</v>
      </c>
      <c r="X644" s="11" t="b">
        <f aca="false">COUNTIFS($B$5:$B$750,B644,$D$5:$D$750,WF_END_PERIOD,$R$5:$R$750,TRUE())&gt;0</f>
        <v>1</v>
      </c>
      <c r="Y644" s="0" t="str">
        <f aca="false">IF(AND(D644=WF_END_PERIOD,COUNTIFS($B$5:$B$750,B644,$D$5:$D$750,WF_START_PERIOD)&gt;0),INDEX($E$5:$E$750,MATCH(B644&amp;"|"&amp;WF_START_PERIOD,$AC$5:$AC$750,0)),"")</f>
        <v/>
      </c>
      <c r="Z644" s="0" t="str">
        <f aca="false">IF(AND(D644=WF_END_PERIOD,R644),1+COUNTIFS($D$5:$D$750,WF_END_PERIOD,$E$5:$E$750,E644,$R$5:$R$750,TRUE(),$S$5:$S$750,"&gt;"&amp;S644)+COUNTIFS($D$5:$D$750,WF_END_PERIOD,$E$5:$E$750,E644,$R$5:$R$750,TRUE(),$S$5:$S$750,S644,$B$5:$B$750,"&lt;"&amp;B644),"")</f>
        <v/>
      </c>
      <c r="AA644" s="0" t="str">
        <f aca="false">IF(AND(D644=WF_END_PERIOD,R644,Z644&lt;&gt;1),1+COUNTIFS($D$5:$D$750,WF_END_PERIOD,$R$5:$R$750,TRUE(),$Z$5:$Z$750,"&lt;&gt;1",$S$5:$S$750,"&gt;"&amp;S644)+COUNTIFS($D$5:$D$750,WF_END_PERIOD,$R$5:$R$750,TRUE(),$Z$5:$Z$750,"&lt;&gt;1",$S$5:$S$750,S644,$B$5:$B$750,"&lt;"&amp;B644),"")</f>
        <v/>
      </c>
      <c r="AB644" s="11" t="b">
        <f aca="false">OR(D644=WF_START_PERIOD,D644=WF_END_PERIOD)</f>
        <v>0</v>
      </c>
      <c r="AC644" s="0" t="str">
        <f aca="false">B644&amp;"|"&amp;D644</f>
        <v>6271|20241231</v>
      </c>
    </row>
    <row r="645" customFormat="false" ht="15" hidden="false" customHeight="false" outlineLevel="0" collapsed="false">
      <c r="A645" s="0" t="n">
        <f aca="false">RawFinancials!A645</f>
        <v>642</v>
      </c>
      <c r="B645" s="0" t="n">
        <f aca="false">RawFinancials!C645</f>
        <v>6275</v>
      </c>
      <c r="C645" s="0" t="str">
        <f aca="false">RawFinancials!P645</f>
        <v>THE NATIONAL BANK OF MIDDLEBURY</v>
      </c>
      <c r="D645" s="0" t="n">
        <f aca="false">RawFinancials!W645</f>
        <v>20241231</v>
      </c>
      <c r="E645" s="0" t="str">
        <f aca="false">RawFinancials!Z645</f>
        <v>VT</v>
      </c>
      <c r="F645" s="0" t="n">
        <f aca="false">RawFinancials!B645</f>
        <v>547799</v>
      </c>
      <c r="G645" s="0" t="n">
        <f aca="false">RawFinancials!U645</f>
        <v>135</v>
      </c>
      <c r="H645" s="0" t="n">
        <f aca="false">RawFinancials!O645</f>
        <v>694</v>
      </c>
      <c r="I645" s="0" t="n">
        <f aca="false">IF(AND(ISNUMBER(G645),ISNUMBER(H645)),G645+H645,"")</f>
        <v>829</v>
      </c>
      <c r="J645" s="0" t="n">
        <f aca="false">RawFinancials!D645</f>
        <v>491990</v>
      </c>
      <c r="K645" s="0" t="n">
        <f aca="false">RawFinancials!F645</f>
        <v>33538</v>
      </c>
      <c r="L645" s="0" t="n">
        <f aca="false">RawFinancials!L645</f>
        <v>348836</v>
      </c>
      <c r="M645" s="0" t="n">
        <f aca="false">RawFinancials!N645</f>
        <v>295604</v>
      </c>
      <c r="N645" s="13" t="n">
        <f aca="false">RawFinancials!X645</f>
        <v>0.621758716658391</v>
      </c>
      <c r="O645" s="13" t="n">
        <f aca="false">RawFinancials!V645</f>
        <v>15.4276600675766</v>
      </c>
      <c r="P645" s="13" t="n">
        <f aca="false">IF(AND(ISNUMBER(L645),L645&lt;&gt;0,ISNUMBER(M645)),100*M645/L645,"")</f>
        <v>84.7401070990379</v>
      </c>
      <c r="Q645" s="13" t="n">
        <f aca="false">IF(AND(ISNUMBER(F645),F645&lt;&gt;0,ISNUMBER(K645)),100*K645/F645,"")</f>
        <v>6.12231858765715</v>
      </c>
      <c r="R645" s="11" t="b">
        <f aca="false">AND(ISNUMBER(F645),F645&gt;0,ISNUMBER(G645),G645&gt;=0,ISNUMBER(H645),H645&gt;=0)</f>
        <v>1</v>
      </c>
      <c r="S645" s="13" t="n">
        <f aca="false">IF(R645,100*I645/F645,"")</f>
        <v>0.151332879395545</v>
      </c>
      <c r="T645" s="11" t="b">
        <f aca="false">NOT(AND(OR(AND(ISBLANK(RawFinancials!B645),ISBLANK(_RawBaseline!B642)),AND(ISNUMBER(RawFinancials!B645),ISNUMBER(_RawBaseline!B642),RawFinancials!B645=_RawBaseline!B642)),OR(AND(ISBLANK(RawFinancials!U645),ISBLANK(_RawBaseline!U642)),AND(ISNUMBER(RawFinancials!U645),ISNUMBER(_RawBaseline!U642),RawFinancials!U645=_RawBaseline!U642)),OR(AND(ISBLANK(RawFinancials!O645),ISBLANK(_RawBaseline!O642)),AND(ISNUMBER(RawFinancials!O645),ISNUMBER(_RawBaseline!O642),RawFinancials!O645=_RawBaseline!O642))))</f>
        <v>0</v>
      </c>
      <c r="U645" s="13" t="n">
        <f aca="false">IF(AND(D645=WF_START_PERIOD,R645,COUNTIFS($B$5:$B$750,B645,$D$5:$D$750,WF_END_PERIOD,$R$5:$R$750,TRUE())&gt;0),SUMIFS($S$5:$S$750,$B$5:$B$750,B645,$D$5:$D$750,WF_END_PERIOD,$R$5:$R$750,TRUE()),0)</f>
        <v>0</v>
      </c>
      <c r="V645" s="0" t="str">
        <f aca="false">IF(AND(D645=WF_START_PERIOD,COUNTIFS($B$5:$B$750,B645,$D$5:$D$750,WF_END_PERIOD)&gt;0),INDEX($E$5:$E$750,MATCH(B645&amp;"|"&amp;WF_END_PERIOD,$AC$5:$AC$750,0)),"")</f>
        <v/>
      </c>
      <c r="W645" s="11" t="b">
        <f aca="false">COUNTIFS($B$5:$B$750,B645,$D$5:$D$750,WF_START_PERIOD,$R$5:$R$750,TRUE())&gt;0</f>
        <v>1</v>
      </c>
      <c r="X645" s="11" t="b">
        <f aca="false">COUNTIFS($B$5:$B$750,B645,$D$5:$D$750,WF_END_PERIOD,$R$5:$R$750,TRUE())&gt;0</f>
        <v>1</v>
      </c>
      <c r="Y645" s="0" t="str">
        <f aca="false">IF(AND(D645=WF_END_PERIOD,COUNTIFS($B$5:$B$750,B645,$D$5:$D$750,WF_START_PERIOD)&gt;0),INDEX($E$5:$E$750,MATCH(B645&amp;"|"&amp;WF_START_PERIOD,$AC$5:$AC$750,0)),"")</f>
        <v/>
      </c>
      <c r="Z645" s="0" t="str">
        <f aca="false">IF(AND(D645=WF_END_PERIOD,R645),1+COUNTIFS($D$5:$D$750,WF_END_PERIOD,$E$5:$E$750,E645,$R$5:$R$750,TRUE(),$S$5:$S$750,"&gt;"&amp;S645)+COUNTIFS($D$5:$D$750,WF_END_PERIOD,$E$5:$E$750,E645,$R$5:$R$750,TRUE(),$S$5:$S$750,S645,$B$5:$B$750,"&lt;"&amp;B645),"")</f>
        <v/>
      </c>
      <c r="AA645" s="0" t="str">
        <f aca="false">IF(AND(D645=WF_END_PERIOD,R645,Z645&lt;&gt;1),1+COUNTIFS($D$5:$D$750,WF_END_PERIOD,$R$5:$R$750,TRUE(),$Z$5:$Z$750,"&lt;&gt;1",$S$5:$S$750,"&gt;"&amp;S645)+COUNTIFS($D$5:$D$750,WF_END_PERIOD,$R$5:$R$750,TRUE(),$Z$5:$Z$750,"&lt;&gt;1",$S$5:$S$750,S645,$B$5:$B$750,"&lt;"&amp;B645),"")</f>
        <v/>
      </c>
      <c r="AB645" s="11" t="b">
        <f aca="false">OR(D645=WF_START_PERIOD,D645=WF_END_PERIOD)</f>
        <v>0</v>
      </c>
      <c r="AC645" s="0" t="str">
        <f aca="false">B645&amp;"|"&amp;D645</f>
        <v>6275|20241231</v>
      </c>
    </row>
    <row r="646" customFormat="false" ht="15" hidden="false" customHeight="false" outlineLevel="0" collapsed="false">
      <c r="A646" s="0" t="n">
        <f aca="false">RawFinancials!A646</f>
        <v>643</v>
      </c>
      <c r="B646" s="0" t="n">
        <f aca="false">RawFinancials!C646</f>
        <v>6280</v>
      </c>
      <c r="C646" s="0" t="str">
        <f aca="false">RawFinancials!P646</f>
        <v>THE FIRST NATIONAL BANK OF ORWELL</v>
      </c>
      <c r="D646" s="0" t="n">
        <f aca="false">RawFinancials!W646</f>
        <v>20241231</v>
      </c>
      <c r="E646" s="0" t="str">
        <f aca="false">RawFinancials!Z646</f>
        <v>VT</v>
      </c>
      <c r="F646" s="0" t="n">
        <f aca="false">RawFinancials!B646</f>
        <v>87669</v>
      </c>
      <c r="G646" s="0" t="n">
        <f aca="false">RawFinancials!U646</f>
        <v>0</v>
      </c>
      <c r="H646" s="0" t="n">
        <f aca="false">RawFinancials!O646</f>
        <v>1616</v>
      </c>
      <c r="I646" s="0" t="n">
        <f aca="false">IF(AND(ISNUMBER(G646),ISNUMBER(H646)),G646+H646,"")</f>
        <v>1616</v>
      </c>
      <c r="J646" s="0" t="n">
        <f aca="false">RawFinancials!D646</f>
        <v>77381</v>
      </c>
      <c r="K646" s="0" t="n">
        <f aca="false">RawFinancials!F646</f>
        <v>9723</v>
      </c>
      <c r="L646" s="0" t="n">
        <f aca="false">RawFinancials!L646</f>
        <v>70864</v>
      </c>
      <c r="M646" s="0" t="n">
        <f aca="false">RawFinancials!N646</f>
        <v>63247</v>
      </c>
      <c r="N646" s="13" t="n">
        <f aca="false">RawFinancials!X646</f>
        <v>1.33537142523864</v>
      </c>
      <c r="O646" s="13" t="n">
        <f aca="false">RawFinancials!V646</f>
        <v>0</v>
      </c>
      <c r="P646" s="13" t="n">
        <f aca="false">IF(AND(ISNUMBER(L646),L646&lt;&gt;0,ISNUMBER(M646)),100*M646/L646,"")</f>
        <v>89.2512418153082</v>
      </c>
      <c r="Q646" s="13" t="n">
        <f aca="false">IF(AND(ISNUMBER(F646),F646&lt;&gt;0,ISNUMBER(K646)),100*K646/F646,"")</f>
        <v>11.0905793381925</v>
      </c>
      <c r="R646" s="11" t="b">
        <f aca="false">AND(ISNUMBER(F646),F646&gt;0,ISNUMBER(G646),G646&gt;=0,ISNUMBER(H646),H646&gt;=0)</f>
        <v>1</v>
      </c>
      <c r="S646" s="13" t="n">
        <f aca="false">IF(R646,100*I646/F646,"")</f>
        <v>1.84329694646911</v>
      </c>
      <c r="T646" s="11" t="b">
        <f aca="false">NOT(AND(OR(AND(ISBLANK(RawFinancials!B646),ISBLANK(_RawBaseline!B643)),AND(ISNUMBER(RawFinancials!B646),ISNUMBER(_RawBaseline!B643),RawFinancials!B646=_RawBaseline!B643)),OR(AND(ISBLANK(RawFinancials!U646),ISBLANK(_RawBaseline!U643)),AND(ISNUMBER(RawFinancials!U646),ISNUMBER(_RawBaseline!U643),RawFinancials!U646=_RawBaseline!U643)),OR(AND(ISBLANK(RawFinancials!O646),ISBLANK(_RawBaseline!O643)),AND(ISNUMBER(RawFinancials!O646),ISNUMBER(_RawBaseline!O643),RawFinancials!O646=_RawBaseline!O643))))</f>
        <v>0</v>
      </c>
      <c r="U646" s="13" t="n">
        <f aca="false">IF(AND(D646=WF_START_PERIOD,R646,COUNTIFS($B$5:$B$750,B646,$D$5:$D$750,WF_END_PERIOD,$R$5:$R$750,TRUE())&gt;0),SUMIFS($S$5:$S$750,$B$5:$B$750,B646,$D$5:$D$750,WF_END_PERIOD,$R$5:$R$750,TRUE()),0)</f>
        <v>0</v>
      </c>
      <c r="V646" s="0" t="str">
        <f aca="false">IF(AND(D646=WF_START_PERIOD,COUNTIFS($B$5:$B$750,B646,$D$5:$D$750,WF_END_PERIOD)&gt;0),INDEX($E$5:$E$750,MATCH(B646&amp;"|"&amp;WF_END_PERIOD,$AC$5:$AC$750,0)),"")</f>
        <v/>
      </c>
      <c r="W646" s="11" t="b">
        <f aca="false">COUNTIFS($B$5:$B$750,B646,$D$5:$D$750,WF_START_PERIOD,$R$5:$R$750,TRUE())&gt;0</f>
        <v>1</v>
      </c>
      <c r="X646" s="11" t="b">
        <f aca="false">COUNTIFS($B$5:$B$750,B646,$D$5:$D$750,WF_END_PERIOD,$R$5:$R$750,TRUE())&gt;0</f>
        <v>1</v>
      </c>
      <c r="Y646" s="0" t="str">
        <f aca="false">IF(AND(D646=WF_END_PERIOD,COUNTIFS($B$5:$B$750,B646,$D$5:$D$750,WF_START_PERIOD)&gt;0),INDEX($E$5:$E$750,MATCH(B646&amp;"|"&amp;WF_START_PERIOD,$AC$5:$AC$750,0)),"")</f>
        <v/>
      </c>
      <c r="Z646" s="0" t="str">
        <f aca="false">IF(AND(D646=WF_END_PERIOD,R646),1+COUNTIFS($D$5:$D$750,WF_END_PERIOD,$E$5:$E$750,E646,$R$5:$R$750,TRUE(),$S$5:$S$750,"&gt;"&amp;S646)+COUNTIFS($D$5:$D$750,WF_END_PERIOD,$E$5:$E$750,E646,$R$5:$R$750,TRUE(),$S$5:$S$750,S646,$B$5:$B$750,"&lt;"&amp;B646),"")</f>
        <v/>
      </c>
      <c r="AA646" s="0" t="str">
        <f aca="false">IF(AND(D646=WF_END_PERIOD,R646,Z646&lt;&gt;1),1+COUNTIFS($D$5:$D$750,WF_END_PERIOD,$R$5:$R$750,TRUE(),$Z$5:$Z$750,"&lt;&gt;1",$S$5:$S$750,"&gt;"&amp;S646)+COUNTIFS($D$5:$D$750,WF_END_PERIOD,$R$5:$R$750,TRUE(),$Z$5:$Z$750,"&lt;&gt;1",$S$5:$S$750,S646,$B$5:$B$750,"&lt;"&amp;B646),"")</f>
        <v/>
      </c>
      <c r="AB646" s="11" t="b">
        <f aca="false">OR(D646=WF_START_PERIOD,D646=WF_END_PERIOD)</f>
        <v>0</v>
      </c>
      <c r="AC646" s="0" t="str">
        <f aca="false">B646&amp;"|"&amp;D646</f>
        <v>6280|20241231</v>
      </c>
    </row>
    <row r="647" customFormat="false" ht="15" hidden="false" customHeight="false" outlineLevel="0" collapsed="false">
      <c r="A647" s="0" t="n">
        <f aca="false">RawFinancials!A647</f>
        <v>644</v>
      </c>
      <c r="B647" s="0" t="n">
        <f aca="false">RawFinancials!C647</f>
        <v>11971</v>
      </c>
      <c r="C647" s="0" t="str">
        <f aca="false">RawFinancials!P647</f>
        <v>BAR HARBOR BANK &amp; TRUST</v>
      </c>
      <c r="D647" s="0" t="n">
        <f aca="false">RawFinancials!W647</f>
        <v>20250331</v>
      </c>
      <c r="E647" s="0" t="str">
        <f aca="false">RawFinancials!Z647</f>
        <v>ME</v>
      </c>
      <c r="F647" s="0" t="n">
        <f aca="false">RawFinancials!B647</f>
        <v>4058800</v>
      </c>
      <c r="G647" s="0" t="n">
        <f aca="false">RawFinancials!U647</f>
        <v>2</v>
      </c>
      <c r="H647" s="0" t="n">
        <f aca="false">RawFinancials!O647</f>
        <v>8085</v>
      </c>
      <c r="I647" s="0" t="n">
        <f aca="false">IF(AND(ISNUMBER(G647),ISNUMBER(H647)),G647+H647,"")</f>
        <v>8087</v>
      </c>
      <c r="J647" s="0" t="n">
        <f aca="false">RawFinancials!D647</f>
        <v>3305747</v>
      </c>
      <c r="K647" s="0" t="n">
        <f aca="false">RawFinancials!F647</f>
        <v>500720</v>
      </c>
      <c r="L647" s="0" t="n">
        <f aca="false">RawFinancials!L647</f>
        <v>3125754</v>
      </c>
      <c r="M647" s="0" t="n">
        <f aca="false">RawFinancials!N647</f>
        <v>2780638</v>
      </c>
      <c r="N647" s="13" t="n">
        <f aca="false">RawFinancials!X647</f>
        <v>1.15455749971395</v>
      </c>
      <c r="O647" s="13" t="n">
        <f aca="false">RawFinancials!V647</f>
        <v>13.6146361419019</v>
      </c>
      <c r="P647" s="13" t="n">
        <f aca="false">IF(AND(ISNUMBER(L647),L647&lt;&gt;0,ISNUMBER(M647)),100*M647/L647,"")</f>
        <v>88.9589519840653</v>
      </c>
      <c r="Q647" s="13" t="n">
        <f aca="false">IF(AND(ISNUMBER(F647),F647&lt;&gt;0,ISNUMBER(K647)),100*K647/F647,"")</f>
        <v>12.3366512269636</v>
      </c>
      <c r="R647" s="11" t="b">
        <f aca="false">AND(ISNUMBER(F647),F647&gt;0,ISNUMBER(G647),G647&gt;=0,ISNUMBER(H647),H647&gt;=0)</f>
        <v>1</v>
      </c>
      <c r="S647" s="13" t="n">
        <f aca="false">IF(R647,100*I647/F647,"")</f>
        <v>0.199246082585986</v>
      </c>
      <c r="T647" s="11" t="b">
        <f aca="false">NOT(AND(OR(AND(ISBLANK(RawFinancials!B647),ISBLANK(_RawBaseline!B644)),AND(ISNUMBER(RawFinancials!B647),ISNUMBER(_RawBaseline!B644),RawFinancials!B647=_RawBaseline!B644)),OR(AND(ISBLANK(RawFinancials!U647),ISBLANK(_RawBaseline!U644)),AND(ISNUMBER(RawFinancials!U647),ISNUMBER(_RawBaseline!U644),RawFinancials!U647=_RawBaseline!U644)),OR(AND(ISBLANK(RawFinancials!O647),ISBLANK(_RawBaseline!O644)),AND(ISNUMBER(RawFinancials!O647),ISNUMBER(_RawBaseline!O644),RawFinancials!O647=_RawBaseline!O644))))</f>
        <v>0</v>
      </c>
      <c r="U647" s="13" t="n">
        <f aca="false">IF(AND(D647=WF_START_PERIOD,R647,COUNTIFS($B$5:$B$750,B647,$D$5:$D$750,WF_END_PERIOD,$R$5:$R$750,TRUE())&gt;0),SUMIFS($S$5:$S$750,$B$5:$B$750,B647,$D$5:$D$750,WF_END_PERIOD,$R$5:$R$750,TRUE()),0)</f>
        <v>0</v>
      </c>
      <c r="V647" s="0" t="str">
        <f aca="false">IF(AND(D647=WF_START_PERIOD,COUNTIFS($B$5:$B$750,B647,$D$5:$D$750,WF_END_PERIOD)&gt;0),INDEX($E$5:$E$750,MATCH(B647&amp;"|"&amp;WF_END_PERIOD,$AC$5:$AC$750,0)),"")</f>
        <v/>
      </c>
      <c r="W647" s="11" t="b">
        <f aca="false">COUNTIFS($B$5:$B$750,B647,$D$5:$D$750,WF_START_PERIOD,$R$5:$R$750,TRUE())&gt;0</f>
        <v>1</v>
      </c>
      <c r="X647" s="11" t="b">
        <f aca="false">COUNTIFS($B$5:$B$750,B647,$D$5:$D$750,WF_END_PERIOD,$R$5:$R$750,TRUE())&gt;0</f>
        <v>1</v>
      </c>
      <c r="Y647" s="0" t="str">
        <f aca="false">IF(AND(D647=WF_END_PERIOD,COUNTIFS($B$5:$B$750,B647,$D$5:$D$750,WF_START_PERIOD)&gt;0),INDEX($E$5:$E$750,MATCH(B647&amp;"|"&amp;WF_START_PERIOD,$AC$5:$AC$750,0)),"")</f>
        <v/>
      </c>
      <c r="Z647" s="0" t="str">
        <f aca="false">IF(AND(D647=WF_END_PERIOD,R647),1+COUNTIFS($D$5:$D$750,WF_END_PERIOD,$E$5:$E$750,E647,$R$5:$R$750,TRUE(),$S$5:$S$750,"&gt;"&amp;S647)+COUNTIFS($D$5:$D$750,WF_END_PERIOD,$E$5:$E$750,E647,$R$5:$R$750,TRUE(),$S$5:$S$750,S647,$B$5:$B$750,"&lt;"&amp;B647),"")</f>
        <v/>
      </c>
      <c r="AA647" s="0" t="str">
        <f aca="false">IF(AND(D647=WF_END_PERIOD,R647,Z647&lt;&gt;1),1+COUNTIFS($D$5:$D$750,WF_END_PERIOD,$R$5:$R$750,TRUE(),$Z$5:$Z$750,"&lt;&gt;1",$S$5:$S$750,"&gt;"&amp;S647)+COUNTIFS($D$5:$D$750,WF_END_PERIOD,$R$5:$R$750,TRUE(),$Z$5:$Z$750,"&lt;&gt;1",$S$5:$S$750,S647,$B$5:$B$750,"&lt;"&amp;B647),"")</f>
        <v/>
      </c>
      <c r="AB647" s="11" t="b">
        <f aca="false">OR(D647=WF_START_PERIOD,D647=WF_END_PERIOD)</f>
        <v>0</v>
      </c>
      <c r="AC647" s="0" t="str">
        <f aca="false">B647&amp;"|"&amp;D647</f>
        <v>11971|20250331</v>
      </c>
    </row>
    <row r="648" customFormat="false" ht="15" hidden="false" customHeight="false" outlineLevel="0" collapsed="false">
      <c r="A648" s="0" t="n">
        <f aca="false">RawFinancials!A648</f>
        <v>645</v>
      </c>
      <c r="B648" s="0" t="n">
        <f aca="false">RawFinancials!C648</f>
        <v>12874</v>
      </c>
      <c r="C648" s="0" t="str">
        <f aca="false">RawFinancials!P648</f>
        <v>KATAHDIN TRUST COMPANY</v>
      </c>
      <c r="D648" s="0" t="n">
        <f aca="false">RawFinancials!W648</f>
        <v>20250331</v>
      </c>
      <c r="E648" s="0" t="str">
        <f aca="false">RawFinancials!Z648</f>
        <v>ME</v>
      </c>
      <c r="F648" s="0" t="n">
        <f aca="false">RawFinancials!B648</f>
        <v>1079094</v>
      </c>
      <c r="G648" s="0" t="n">
        <f aca="false">RawFinancials!U648</f>
        <v>11</v>
      </c>
      <c r="H648" s="0" t="n">
        <f aca="false">RawFinancials!O648</f>
        <v>1396</v>
      </c>
      <c r="I648" s="0" t="n">
        <f aca="false">IF(AND(ISNUMBER(G648),ISNUMBER(H648)),G648+H648,"")</f>
        <v>1407</v>
      </c>
      <c r="J648" s="0" t="n">
        <f aca="false">RawFinancials!D648</f>
        <v>929947</v>
      </c>
      <c r="K648" s="0" t="n">
        <f aca="false">RawFinancials!F648</f>
        <v>99521</v>
      </c>
      <c r="L648" s="0" t="n">
        <f aca="false">RawFinancials!L648</f>
        <v>853286</v>
      </c>
      <c r="M648" s="0" t="n">
        <f aca="false">RawFinancials!N648</f>
        <v>668513</v>
      </c>
      <c r="N648" s="13" t="n">
        <f aca="false">RawFinancials!X648</f>
        <v>0.913939100696902</v>
      </c>
      <c r="O648" s="13" t="n">
        <f aca="false">RawFinancials!V648</f>
        <v>15.5622111834708</v>
      </c>
      <c r="P648" s="13" t="n">
        <f aca="false">IF(AND(ISNUMBER(L648),L648&lt;&gt;0,ISNUMBER(M648)),100*M648/L648,"")</f>
        <v>78.3457129262639</v>
      </c>
      <c r="Q648" s="13" t="n">
        <f aca="false">IF(AND(ISNUMBER(F648),F648&lt;&gt;0,ISNUMBER(K648)),100*K648/F648,"")</f>
        <v>9.22264418113714</v>
      </c>
      <c r="R648" s="11" t="b">
        <f aca="false">AND(ISNUMBER(F648),F648&gt;0,ISNUMBER(G648),G648&gt;=0,ISNUMBER(H648),H648&gt;=0)</f>
        <v>1</v>
      </c>
      <c r="S648" s="13" t="n">
        <f aca="false">IF(R648,100*I648/F648,"")</f>
        <v>0.130387158115975</v>
      </c>
      <c r="T648" s="11" t="b">
        <f aca="false">NOT(AND(OR(AND(ISBLANK(RawFinancials!B648),ISBLANK(_RawBaseline!B645)),AND(ISNUMBER(RawFinancials!B648),ISNUMBER(_RawBaseline!B645),RawFinancials!B648=_RawBaseline!B645)),OR(AND(ISBLANK(RawFinancials!U648),ISBLANK(_RawBaseline!U645)),AND(ISNUMBER(RawFinancials!U648),ISNUMBER(_RawBaseline!U645),RawFinancials!U648=_RawBaseline!U645)),OR(AND(ISBLANK(RawFinancials!O648),ISBLANK(_RawBaseline!O645)),AND(ISNUMBER(RawFinancials!O648),ISNUMBER(_RawBaseline!O645),RawFinancials!O648=_RawBaseline!O645))))</f>
        <v>0</v>
      </c>
      <c r="U648" s="13" t="n">
        <f aca="false">IF(AND(D648=WF_START_PERIOD,R648,COUNTIFS($B$5:$B$750,B648,$D$5:$D$750,WF_END_PERIOD,$R$5:$R$750,TRUE())&gt;0),SUMIFS($S$5:$S$750,$B$5:$B$750,B648,$D$5:$D$750,WF_END_PERIOD,$R$5:$R$750,TRUE()),0)</f>
        <v>0</v>
      </c>
      <c r="V648" s="0" t="str">
        <f aca="false">IF(AND(D648=WF_START_PERIOD,COUNTIFS($B$5:$B$750,B648,$D$5:$D$750,WF_END_PERIOD)&gt;0),INDEX($E$5:$E$750,MATCH(B648&amp;"|"&amp;WF_END_PERIOD,$AC$5:$AC$750,0)),"")</f>
        <v/>
      </c>
      <c r="W648" s="11" t="b">
        <f aca="false">COUNTIFS($B$5:$B$750,B648,$D$5:$D$750,WF_START_PERIOD,$R$5:$R$750,TRUE())&gt;0</f>
        <v>1</v>
      </c>
      <c r="X648" s="11" t="b">
        <f aca="false">COUNTIFS($B$5:$B$750,B648,$D$5:$D$750,WF_END_PERIOD,$R$5:$R$750,TRUE())&gt;0</f>
        <v>1</v>
      </c>
      <c r="Y648" s="0" t="str">
        <f aca="false">IF(AND(D648=WF_END_PERIOD,COUNTIFS($B$5:$B$750,B648,$D$5:$D$750,WF_START_PERIOD)&gt;0),INDEX($E$5:$E$750,MATCH(B648&amp;"|"&amp;WF_START_PERIOD,$AC$5:$AC$750,0)),"")</f>
        <v/>
      </c>
      <c r="Z648" s="0" t="str">
        <f aca="false">IF(AND(D648=WF_END_PERIOD,R648),1+COUNTIFS($D$5:$D$750,WF_END_PERIOD,$E$5:$E$750,E648,$R$5:$R$750,TRUE(),$S$5:$S$750,"&gt;"&amp;S648)+COUNTIFS($D$5:$D$750,WF_END_PERIOD,$E$5:$E$750,E648,$R$5:$R$750,TRUE(),$S$5:$S$750,S648,$B$5:$B$750,"&lt;"&amp;B648),"")</f>
        <v/>
      </c>
      <c r="AA648" s="0" t="str">
        <f aca="false">IF(AND(D648=WF_END_PERIOD,R648,Z648&lt;&gt;1),1+COUNTIFS($D$5:$D$750,WF_END_PERIOD,$R$5:$R$750,TRUE(),$Z$5:$Z$750,"&lt;&gt;1",$S$5:$S$750,"&gt;"&amp;S648)+COUNTIFS($D$5:$D$750,WF_END_PERIOD,$R$5:$R$750,TRUE(),$Z$5:$Z$750,"&lt;&gt;1",$S$5:$S$750,S648,$B$5:$B$750,"&lt;"&amp;B648),"")</f>
        <v/>
      </c>
      <c r="AB648" s="11" t="b">
        <f aca="false">OR(D648=WF_START_PERIOD,D648=WF_END_PERIOD)</f>
        <v>0</v>
      </c>
      <c r="AC648" s="0" t="str">
        <f aca="false">B648&amp;"|"&amp;D648</f>
        <v>12874|20250331</v>
      </c>
    </row>
    <row r="649" customFormat="false" ht="15" hidden="false" customHeight="false" outlineLevel="0" collapsed="false">
      <c r="A649" s="0" t="n">
        <f aca="false">RawFinancials!A649</f>
        <v>646</v>
      </c>
      <c r="B649" s="0" t="n">
        <f aca="false">RawFinancials!C649</f>
        <v>13063</v>
      </c>
      <c r="C649" s="0" t="str">
        <f aca="false">RawFinancials!P649</f>
        <v>KENNEBUNK SAVINGS BANK</v>
      </c>
      <c r="D649" s="0" t="n">
        <f aca="false">RawFinancials!W649</f>
        <v>20250331</v>
      </c>
      <c r="E649" s="0" t="str">
        <f aca="false">RawFinancials!Z649</f>
        <v>ME</v>
      </c>
      <c r="F649" s="0" t="n">
        <f aca="false">RawFinancials!B649</f>
        <v>1900245</v>
      </c>
      <c r="G649" s="0" t="n">
        <f aca="false">RawFinancials!U649</f>
        <v>0</v>
      </c>
      <c r="H649" s="0" t="n">
        <f aca="false">RawFinancials!O649</f>
        <v>1033</v>
      </c>
      <c r="I649" s="0" t="n">
        <f aca="false">IF(AND(ISNUMBER(G649),ISNUMBER(H649)),G649+H649,"")</f>
        <v>1033</v>
      </c>
      <c r="J649" s="0" t="n">
        <f aca="false">RawFinancials!D649</f>
        <v>1610029</v>
      </c>
      <c r="K649" s="0" t="n">
        <f aca="false">RawFinancials!F649</f>
        <v>160439</v>
      </c>
      <c r="L649" s="0" t="n">
        <f aca="false">RawFinancials!L649</f>
        <v>1529827</v>
      </c>
      <c r="M649" s="0" t="n">
        <f aca="false">RawFinancials!N649</f>
        <v>1448578</v>
      </c>
      <c r="N649" s="13" t="n">
        <f aca="false">RawFinancials!X649</f>
        <v>0.573300747201974</v>
      </c>
      <c r="O649" s="13" t="n">
        <f aca="false">RawFinancials!V649</f>
        <v>0</v>
      </c>
      <c r="P649" s="13" t="n">
        <f aca="false">IF(AND(ISNUMBER(L649),L649&lt;&gt;0,ISNUMBER(M649)),100*M649/L649,"")</f>
        <v>94.6890073191282</v>
      </c>
      <c r="Q649" s="13" t="n">
        <f aca="false">IF(AND(ISNUMBER(F649),F649&lt;&gt;0,ISNUMBER(K649)),100*K649/F649,"")</f>
        <v>8.44306918318427</v>
      </c>
      <c r="R649" s="11" t="b">
        <f aca="false">AND(ISNUMBER(F649),F649&gt;0,ISNUMBER(G649),G649&gt;=0,ISNUMBER(H649),H649&gt;=0)</f>
        <v>1</v>
      </c>
      <c r="S649" s="13" t="n">
        <f aca="false">IF(R649,100*I649/F649,"")</f>
        <v>0.0543614112917019</v>
      </c>
      <c r="T649" s="11" t="b">
        <f aca="false">NOT(AND(OR(AND(ISBLANK(RawFinancials!B649),ISBLANK(_RawBaseline!B646)),AND(ISNUMBER(RawFinancials!B649),ISNUMBER(_RawBaseline!B646),RawFinancials!B649=_RawBaseline!B646)),OR(AND(ISBLANK(RawFinancials!U649),ISBLANK(_RawBaseline!U646)),AND(ISNUMBER(RawFinancials!U649),ISNUMBER(_RawBaseline!U646),RawFinancials!U649=_RawBaseline!U646)),OR(AND(ISBLANK(RawFinancials!O649),ISBLANK(_RawBaseline!O646)),AND(ISNUMBER(RawFinancials!O649),ISNUMBER(_RawBaseline!O646),RawFinancials!O649=_RawBaseline!O646))))</f>
        <v>0</v>
      </c>
      <c r="U649" s="13" t="n">
        <f aca="false">IF(AND(D649=WF_START_PERIOD,R649,COUNTIFS($B$5:$B$750,B649,$D$5:$D$750,WF_END_PERIOD,$R$5:$R$750,TRUE())&gt;0),SUMIFS($S$5:$S$750,$B$5:$B$750,B649,$D$5:$D$750,WF_END_PERIOD,$R$5:$R$750,TRUE()),0)</f>
        <v>0</v>
      </c>
      <c r="V649" s="0" t="str">
        <f aca="false">IF(AND(D649=WF_START_PERIOD,COUNTIFS($B$5:$B$750,B649,$D$5:$D$750,WF_END_PERIOD)&gt;0),INDEX($E$5:$E$750,MATCH(B649&amp;"|"&amp;WF_END_PERIOD,$AC$5:$AC$750,0)),"")</f>
        <v/>
      </c>
      <c r="W649" s="11" t="b">
        <f aca="false">COUNTIFS($B$5:$B$750,B649,$D$5:$D$750,WF_START_PERIOD,$R$5:$R$750,TRUE())&gt;0</f>
        <v>1</v>
      </c>
      <c r="X649" s="11" t="b">
        <f aca="false">COUNTIFS($B$5:$B$750,B649,$D$5:$D$750,WF_END_PERIOD,$R$5:$R$750,TRUE())&gt;0</f>
        <v>1</v>
      </c>
      <c r="Y649" s="0" t="str">
        <f aca="false">IF(AND(D649=WF_END_PERIOD,COUNTIFS($B$5:$B$750,B649,$D$5:$D$750,WF_START_PERIOD)&gt;0),INDEX($E$5:$E$750,MATCH(B649&amp;"|"&amp;WF_START_PERIOD,$AC$5:$AC$750,0)),"")</f>
        <v/>
      </c>
      <c r="Z649" s="0" t="str">
        <f aca="false">IF(AND(D649=WF_END_PERIOD,R649),1+COUNTIFS($D$5:$D$750,WF_END_PERIOD,$E$5:$E$750,E649,$R$5:$R$750,TRUE(),$S$5:$S$750,"&gt;"&amp;S649)+COUNTIFS($D$5:$D$750,WF_END_PERIOD,$E$5:$E$750,E649,$R$5:$R$750,TRUE(),$S$5:$S$750,S649,$B$5:$B$750,"&lt;"&amp;B649),"")</f>
        <v/>
      </c>
      <c r="AA649" s="0" t="str">
        <f aca="false">IF(AND(D649=WF_END_PERIOD,R649,Z649&lt;&gt;1),1+COUNTIFS($D$5:$D$750,WF_END_PERIOD,$R$5:$R$750,TRUE(),$Z$5:$Z$750,"&lt;&gt;1",$S$5:$S$750,"&gt;"&amp;S649)+COUNTIFS($D$5:$D$750,WF_END_PERIOD,$R$5:$R$750,TRUE(),$Z$5:$Z$750,"&lt;&gt;1",$S$5:$S$750,S649,$B$5:$B$750,"&lt;"&amp;B649),"")</f>
        <v/>
      </c>
      <c r="AB649" s="11" t="b">
        <f aca="false">OR(D649=WF_START_PERIOD,D649=WF_END_PERIOD)</f>
        <v>0</v>
      </c>
      <c r="AC649" s="0" t="str">
        <f aca="false">B649&amp;"|"&amp;D649</f>
        <v>13063|20250331</v>
      </c>
    </row>
    <row r="650" customFormat="false" ht="15" hidden="false" customHeight="false" outlineLevel="0" collapsed="false">
      <c r="A650" s="0" t="n">
        <f aca="false">RawFinancials!A650</f>
        <v>647</v>
      </c>
      <c r="B650" s="0" t="n">
        <f aca="false">RawFinancials!C650</f>
        <v>14134</v>
      </c>
      <c r="C650" s="0" t="str">
        <f aca="false">RawFinancials!P650</f>
        <v>PASSUMPSIC SAVINGS BANK</v>
      </c>
      <c r="D650" s="0" t="n">
        <f aca="false">RawFinancials!W650</f>
        <v>20250331</v>
      </c>
      <c r="E650" s="0" t="str">
        <f aca="false">RawFinancials!Z650</f>
        <v>VT</v>
      </c>
      <c r="F650" s="0" t="n">
        <f aca="false">RawFinancials!B650</f>
        <v>879312</v>
      </c>
      <c r="G650" s="0" t="n">
        <f aca="false">RawFinancials!U650</f>
        <v>0</v>
      </c>
      <c r="H650" s="0" t="n">
        <f aca="false">RawFinancials!O650</f>
        <v>2972</v>
      </c>
      <c r="I650" s="0" t="n">
        <f aca="false">IF(AND(ISNUMBER(G650),ISNUMBER(H650)),G650+H650,"")</f>
        <v>2972</v>
      </c>
      <c r="J650" s="0" t="n">
        <f aca="false">RawFinancials!D650</f>
        <v>701672</v>
      </c>
      <c r="K650" s="0" t="n">
        <f aca="false">RawFinancials!F650</f>
        <v>113111</v>
      </c>
      <c r="L650" s="0" t="n">
        <f aca="false">RawFinancials!L650</f>
        <v>628000</v>
      </c>
      <c r="M650" s="0" t="n">
        <f aca="false">RawFinancials!N650</f>
        <v>556523</v>
      </c>
      <c r="N650" s="13" t="n">
        <f aca="false">RawFinancials!X650</f>
        <v>0.0433067891286426</v>
      </c>
      <c r="O650" s="13" t="n">
        <f aca="false">RawFinancials!V650</f>
        <v>20.4880433281027</v>
      </c>
      <c r="P650" s="13" t="n">
        <f aca="false">IF(AND(ISNUMBER(L650),L650&lt;&gt;0,ISNUMBER(M650)),100*M650/L650,"")</f>
        <v>88.6183121019108</v>
      </c>
      <c r="Q650" s="13" t="n">
        <f aca="false">IF(AND(ISNUMBER(F650),F650&lt;&gt;0,ISNUMBER(K650)),100*K650/F650,"")</f>
        <v>12.8635797077715</v>
      </c>
      <c r="R650" s="11" t="b">
        <f aca="false">AND(ISNUMBER(F650),F650&gt;0,ISNUMBER(G650),G650&gt;=0,ISNUMBER(H650),H650&gt;=0)</f>
        <v>1</v>
      </c>
      <c r="S650" s="13" t="n">
        <f aca="false">IF(R650,100*I650/F650,"")</f>
        <v>0.337991520643412</v>
      </c>
      <c r="T650" s="11" t="b">
        <f aca="false">NOT(AND(OR(AND(ISBLANK(RawFinancials!B650),ISBLANK(_RawBaseline!B647)),AND(ISNUMBER(RawFinancials!B650),ISNUMBER(_RawBaseline!B647),RawFinancials!B650=_RawBaseline!B647)),OR(AND(ISBLANK(RawFinancials!U650),ISBLANK(_RawBaseline!U647)),AND(ISNUMBER(RawFinancials!U650),ISNUMBER(_RawBaseline!U647),RawFinancials!U650=_RawBaseline!U647)),OR(AND(ISBLANK(RawFinancials!O650),ISBLANK(_RawBaseline!O647)),AND(ISNUMBER(RawFinancials!O650),ISNUMBER(_RawBaseline!O647),RawFinancials!O650=_RawBaseline!O647))))</f>
        <v>0</v>
      </c>
      <c r="U650" s="13" t="n">
        <f aca="false">IF(AND(D650=WF_START_PERIOD,R650,COUNTIFS($B$5:$B$750,B650,$D$5:$D$750,WF_END_PERIOD,$R$5:$R$750,TRUE())&gt;0),SUMIFS($S$5:$S$750,$B$5:$B$750,B650,$D$5:$D$750,WF_END_PERIOD,$R$5:$R$750,TRUE()),0)</f>
        <v>0</v>
      </c>
      <c r="V650" s="0" t="str">
        <f aca="false">IF(AND(D650=WF_START_PERIOD,COUNTIFS($B$5:$B$750,B650,$D$5:$D$750,WF_END_PERIOD)&gt;0),INDEX($E$5:$E$750,MATCH(B650&amp;"|"&amp;WF_END_PERIOD,$AC$5:$AC$750,0)),"")</f>
        <v/>
      </c>
      <c r="W650" s="11" t="b">
        <f aca="false">COUNTIFS($B$5:$B$750,B650,$D$5:$D$750,WF_START_PERIOD,$R$5:$R$750,TRUE())&gt;0</f>
        <v>1</v>
      </c>
      <c r="X650" s="11" t="b">
        <f aca="false">COUNTIFS($B$5:$B$750,B650,$D$5:$D$750,WF_END_PERIOD,$R$5:$R$750,TRUE())&gt;0</f>
        <v>1</v>
      </c>
      <c r="Y650" s="0" t="str">
        <f aca="false">IF(AND(D650=WF_END_PERIOD,COUNTIFS($B$5:$B$750,B650,$D$5:$D$750,WF_START_PERIOD)&gt;0),INDEX($E$5:$E$750,MATCH(B650&amp;"|"&amp;WF_START_PERIOD,$AC$5:$AC$750,0)),"")</f>
        <v/>
      </c>
      <c r="Z650" s="0" t="str">
        <f aca="false">IF(AND(D650=WF_END_PERIOD,R650),1+COUNTIFS($D$5:$D$750,WF_END_PERIOD,$E$5:$E$750,E650,$R$5:$R$750,TRUE(),$S$5:$S$750,"&gt;"&amp;S650)+COUNTIFS($D$5:$D$750,WF_END_PERIOD,$E$5:$E$750,E650,$R$5:$R$750,TRUE(),$S$5:$S$750,S650,$B$5:$B$750,"&lt;"&amp;B650),"")</f>
        <v/>
      </c>
      <c r="AA650" s="0" t="str">
        <f aca="false">IF(AND(D650=WF_END_PERIOD,R650,Z650&lt;&gt;1),1+COUNTIFS($D$5:$D$750,WF_END_PERIOD,$R$5:$R$750,TRUE(),$Z$5:$Z$750,"&lt;&gt;1",$S$5:$S$750,"&gt;"&amp;S650)+COUNTIFS($D$5:$D$750,WF_END_PERIOD,$R$5:$R$750,TRUE(),$Z$5:$Z$750,"&lt;&gt;1",$S$5:$S$750,S650,$B$5:$B$750,"&lt;"&amp;B650),"")</f>
        <v/>
      </c>
      <c r="AB650" s="11" t="b">
        <f aca="false">OR(D650=WF_START_PERIOD,D650=WF_END_PERIOD)</f>
        <v>0</v>
      </c>
      <c r="AC650" s="0" t="str">
        <f aca="false">B650&amp;"|"&amp;D650</f>
        <v>14134|20250331</v>
      </c>
    </row>
    <row r="651" customFormat="false" ht="15" hidden="false" customHeight="false" outlineLevel="0" collapsed="false">
      <c r="A651" s="0" t="n">
        <f aca="false">RawFinancials!A651</f>
        <v>648</v>
      </c>
      <c r="B651" s="0" t="n">
        <f aca="false">RawFinancials!C651</f>
        <v>14136</v>
      </c>
      <c r="C651" s="0" t="str">
        <f aca="false">RawFinancials!P651</f>
        <v>WELLS RIVER SAVINGS BANK</v>
      </c>
      <c r="D651" s="0" t="n">
        <f aca="false">RawFinancials!W651</f>
        <v>20250331</v>
      </c>
      <c r="E651" s="0" t="str">
        <f aca="false">RawFinancials!Z651</f>
        <v>VT</v>
      </c>
      <c r="F651" s="0" t="n">
        <f aca="false">RawFinancials!B651</f>
        <v>238304</v>
      </c>
      <c r="G651" s="0" t="n">
        <f aca="false">RawFinancials!U651</f>
        <v>457</v>
      </c>
      <c r="H651" s="0" t="n">
        <f aca="false">RawFinancials!O651</f>
        <v>519</v>
      </c>
      <c r="I651" s="0" t="n">
        <f aca="false">IF(AND(ISNUMBER(G651),ISNUMBER(H651)),G651+H651,"")</f>
        <v>976</v>
      </c>
      <c r="J651" s="0" t="n">
        <f aca="false">RawFinancials!D651</f>
        <v>203853</v>
      </c>
      <c r="K651" s="0" t="n">
        <f aca="false">RawFinancials!F651</f>
        <v>20010</v>
      </c>
      <c r="L651" s="0" t="n">
        <f aca="false">RawFinancials!L651</f>
        <v>159676</v>
      </c>
      <c r="M651" s="0" t="n">
        <f aca="false">RawFinancials!N651</f>
        <v>129094</v>
      </c>
      <c r="N651" s="13" t="n">
        <f aca="false">RawFinancials!X651</f>
        <v>0.650403771333496</v>
      </c>
      <c r="O651" s="13" t="n">
        <f aca="false">RawFinancials!V651</f>
        <v>18.5712691001977</v>
      </c>
      <c r="P651" s="13" t="n">
        <f aca="false">IF(AND(ISNUMBER(L651),L651&lt;&gt;0,ISNUMBER(M651)),100*M651/L651,"")</f>
        <v>80.8474661188908</v>
      </c>
      <c r="Q651" s="13" t="n">
        <f aca="false">IF(AND(ISNUMBER(F651),F651&lt;&gt;0,ISNUMBER(K651)),100*K651/F651,"")</f>
        <v>8.39683765274607</v>
      </c>
      <c r="R651" s="11" t="b">
        <f aca="false">AND(ISNUMBER(F651),F651&gt;0,ISNUMBER(G651),G651&gt;=0,ISNUMBER(H651),H651&gt;=0)</f>
        <v>1</v>
      </c>
      <c r="S651" s="13" t="n">
        <f aca="false">IF(R651,100*I651/F651,"")</f>
        <v>0.409560897005506</v>
      </c>
      <c r="T651" s="11" t="b">
        <f aca="false">NOT(AND(OR(AND(ISBLANK(RawFinancials!B651),ISBLANK(_RawBaseline!B648)),AND(ISNUMBER(RawFinancials!B651),ISNUMBER(_RawBaseline!B648),RawFinancials!B651=_RawBaseline!B648)),OR(AND(ISBLANK(RawFinancials!U651),ISBLANK(_RawBaseline!U648)),AND(ISNUMBER(RawFinancials!U651),ISNUMBER(_RawBaseline!U648),RawFinancials!U651=_RawBaseline!U648)),OR(AND(ISBLANK(RawFinancials!O651),ISBLANK(_RawBaseline!O648)),AND(ISNUMBER(RawFinancials!O651),ISNUMBER(_RawBaseline!O648),RawFinancials!O651=_RawBaseline!O648))))</f>
        <v>0</v>
      </c>
      <c r="U651" s="13" t="n">
        <f aca="false">IF(AND(D651=WF_START_PERIOD,R651,COUNTIFS($B$5:$B$750,B651,$D$5:$D$750,WF_END_PERIOD,$R$5:$R$750,TRUE())&gt;0),SUMIFS($S$5:$S$750,$B$5:$B$750,B651,$D$5:$D$750,WF_END_PERIOD,$R$5:$R$750,TRUE()),0)</f>
        <v>0</v>
      </c>
      <c r="V651" s="0" t="str">
        <f aca="false">IF(AND(D651=WF_START_PERIOD,COUNTIFS($B$5:$B$750,B651,$D$5:$D$750,WF_END_PERIOD)&gt;0),INDEX($E$5:$E$750,MATCH(B651&amp;"|"&amp;WF_END_PERIOD,$AC$5:$AC$750,0)),"")</f>
        <v/>
      </c>
      <c r="W651" s="11" t="b">
        <f aca="false">COUNTIFS($B$5:$B$750,B651,$D$5:$D$750,WF_START_PERIOD,$R$5:$R$750,TRUE())&gt;0</f>
        <v>1</v>
      </c>
      <c r="X651" s="11" t="b">
        <f aca="false">COUNTIFS($B$5:$B$750,B651,$D$5:$D$750,WF_END_PERIOD,$R$5:$R$750,TRUE())&gt;0</f>
        <v>1</v>
      </c>
      <c r="Y651" s="0" t="str">
        <f aca="false">IF(AND(D651=WF_END_PERIOD,COUNTIFS($B$5:$B$750,B651,$D$5:$D$750,WF_START_PERIOD)&gt;0),INDEX($E$5:$E$750,MATCH(B651&amp;"|"&amp;WF_START_PERIOD,$AC$5:$AC$750,0)),"")</f>
        <v/>
      </c>
      <c r="Z651" s="0" t="str">
        <f aca="false">IF(AND(D651=WF_END_PERIOD,R651),1+COUNTIFS($D$5:$D$750,WF_END_PERIOD,$E$5:$E$750,E651,$R$5:$R$750,TRUE(),$S$5:$S$750,"&gt;"&amp;S651)+COUNTIFS($D$5:$D$750,WF_END_PERIOD,$E$5:$E$750,E651,$R$5:$R$750,TRUE(),$S$5:$S$750,S651,$B$5:$B$750,"&lt;"&amp;B651),"")</f>
        <v/>
      </c>
      <c r="AA651" s="0" t="str">
        <f aca="false">IF(AND(D651=WF_END_PERIOD,R651,Z651&lt;&gt;1),1+COUNTIFS($D$5:$D$750,WF_END_PERIOD,$R$5:$R$750,TRUE(),$Z$5:$Z$750,"&lt;&gt;1",$S$5:$S$750,"&gt;"&amp;S651)+COUNTIFS($D$5:$D$750,WF_END_PERIOD,$R$5:$R$750,TRUE(),$Z$5:$Z$750,"&lt;&gt;1",$S$5:$S$750,S651,$B$5:$B$750,"&lt;"&amp;B651),"")</f>
        <v/>
      </c>
      <c r="AB651" s="11" t="b">
        <f aca="false">OR(D651=WF_START_PERIOD,D651=WF_END_PERIOD)</f>
        <v>0</v>
      </c>
      <c r="AC651" s="0" t="str">
        <f aca="false">B651&amp;"|"&amp;D651</f>
        <v>14136|20250331</v>
      </c>
    </row>
    <row r="652" customFormat="false" ht="15" hidden="false" customHeight="false" outlineLevel="0" collapsed="false">
      <c r="A652" s="0" t="n">
        <f aca="false">RawFinancials!A652</f>
        <v>649</v>
      </c>
      <c r="B652" s="0" t="n">
        <f aca="false">RawFinancials!C652</f>
        <v>14140</v>
      </c>
      <c r="C652" s="0" t="str">
        <f aca="false">RawFinancials!P652</f>
        <v>NORTHFIELD SAVINGS BANK</v>
      </c>
      <c r="D652" s="0" t="n">
        <f aca="false">RawFinancials!W652</f>
        <v>20250331</v>
      </c>
      <c r="E652" s="0" t="str">
        <f aca="false">RawFinancials!Z652</f>
        <v>VT</v>
      </c>
      <c r="F652" s="0" t="n">
        <f aca="false">RawFinancials!B652</f>
        <v>1555515</v>
      </c>
      <c r="G652" s="0" t="n">
        <f aca="false">RawFinancials!U652</f>
        <v>0</v>
      </c>
      <c r="H652" s="0" t="n">
        <f aca="false">RawFinancials!O652</f>
        <v>6970</v>
      </c>
      <c r="I652" s="0" t="n">
        <f aca="false">IF(AND(ISNUMBER(G652),ISNUMBER(H652)),G652+H652,"")</f>
        <v>6970</v>
      </c>
      <c r="J652" s="0" t="n">
        <f aca="false">RawFinancials!D652</f>
        <v>1282177</v>
      </c>
      <c r="K652" s="0" t="n">
        <f aca="false">RawFinancials!F652</f>
        <v>138738</v>
      </c>
      <c r="L652" s="0" t="n">
        <f aca="false">RawFinancials!L652</f>
        <v>1097749</v>
      </c>
      <c r="M652" s="0" t="n">
        <f aca="false">RawFinancials!N652</f>
        <v>973336</v>
      </c>
      <c r="N652" s="13" t="n">
        <f aca="false">RawFinancials!X652</f>
        <v>0.225060383816591</v>
      </c>
      <c r="O652" s="13" t="n">
        <f aca="false">RawFinancials!V652</f>
        <v>0</v>
      </c>
      <c r="P652" s="13" t="n">
        <f aca="false">IF(AND(ISNUMBER(L652),L652&lt;&gt;0,ISNUMBER(M652)),100*M652/L652,"")</f>
        <v>88.6665348818355</v>
      </c>
      <c r="Q652" s="13" t="n">
        <f aca="false">IF(AND(ISNUMBER(F652),F652&lt;&gt;0,ISNUMBER(K652)),100*K652/F652,"")</f>
        <v>8.9191039623533</v>
      </c>
      <c r="R652" s="11" t="b">
        <f aca="false">AND(ISNUMBER(F652),F652&gt;0,ISNUMBER(G652),G652&gt;=0,ISNUMBER(H652),H652&gt;=0)</f>
        <v>1</v>
      </c>
      <c r="S652" s="13" t="n">
        <f aca="false">IF(R652,100*I652/F652,"")</f>
        <v>0.448083110738244</v>
      </c>
      <c r="T652" s="11" t="b">
        <f aca="false">NOT(AND(OR(AND(ISBLANK(RawFinancials!B652),ISBLANK(_RawBaseline!B649)),AND(ISNUMBER(RawFinancials!B652),ISNUMBER(_RawBaseline!B649),RawFinancials!B652=_RawBaseline!B649)),OR(AND(ISBLANK(RawFinancials!U652),ISBLANK(_RawBaseline!U649)),AND(ISNUMBER(RawFinancials!U652),ISNUMBER(_RawBaseline!U649),RawFinancials!U652=_RawBaseline!U649)),OR(AND(ISBLANK(RawFinancials!O652),ISBLANK(_RawBaseline!O649)),AND(ISNUMBER(RawFinancials!O652),ISNUMBER(_RawBaseline!O649),RawFinancials!O652=_RawBaseline!O649))))</f>
        <v>0</v>
      </c>
      <c r="U652" s="13" t="n">
        <f aca="false">IF(AND(D652=WF_START_PERIOD,R652,COUNTIFS($B$5:$B$750,B652,$D$5:$D$750,WF_END_PERIOD,$R$5:$R$750,TRUE())&gt;0),SUMIFS($S$5:$S$750,$B$5:$B$750,B652,$D$5:$D$750,WF_END_PERIOD,$R$5:$R$750,TRUE()),0)</f>
        <v>0</v>
      </c>
      <c r="V652" s="0" t="str">
        <f aca="false">IF(AND(D652=WF_START_PERIOD,COUNTIFS($B$5:$B$750,B652,$D$5:$D$750,WF_END_PERIOD)&gt;0),INDEX($E$5:$E$750,MATCH(B652&amp;"|"&amp;WF_END_PERIOD,$AC$5:$AC$750,0)),"")</f>
        <v/>
      </c>
      <c r="W652" s="11" t="b">
        <f aca="false">COUNTIFS($B$5:$B$750,B652,$D$5:$D$750,WF_START_PERIOD,$R$5:$R$750,TRUE())&gt;0</f>
        <v>1</v>
      </c>
      <c r="X652" s="11" t="b">
        <f aca="false">COUNTIFS($B$5:$B$750,B652,$D$5:$D$750,WF_END_PERIOD,$R$5:$R$750,TRUE())&gt;0</f>
        <v>1</v>
      </c>
      <c r="Y652" s="0" t="str">
        <f aca="false">IF(AND(D652=WF_END_PERIOD,COUNTIFS($B$5:$B$750,B652,$D$5:$D$750,WF_START_PERIOD)&gt;0),INDEX($E$5:$E$750,MATCH(B652&amp;"|"&amp;WF_START_PERIOD,$AC$5:$AC$750,0)),"")</f>
        <v/>
      </c>
      <c r="Z652" s="0" t="str">
        <f aca="false">IF(AND(D652=WF_END_PERIOD,R652),1+COUNTIFS($D$5:$D$750,WF_END_PERIOD,$E$5:$E$750,E652,$R$5:$R$750,TRUE(),$S$5:$S$750,"&gt;"&amp;S652)+COUNTIFS($D$5:$D$750,WF_END_PERIOD,$E$5:$E$750,E652,$R$5:$R$750,TRUE(),$S$5:$S$750,S652,$B$5:$B$750,"&lt;"&amp;B652),"")</f>
        <v/>
      </c>
      <c r="AA652" s="0" t="str">
        <f aca="false">IF(AND(D652=WF_END_PERIOD,R652,Z652&lt;&gt;1),1+COUNTIFS($D$5:$D$750,WF_END_PERIOD,$R$5:$R$750,TRUE(),$Z$5:$Z$750,"&lt;&gt;1",$S$5:$S$750,"&gt;"&amp;S652)+COUNTIFS($D$5:$D$750,WF_END_PERIOD,$R$5:$R$750,TRUE(),$Z$5:$Z$750,"&lt;&gt;1",$S$5:$S$750,S652,$B$5:$B$750,"&lt;"&amp;B652),"")</f>
        <v/>
      </c>
      <c r="AB652" s="11" t="b">
        <f aca="false">OR(D652=WF_START_PERIOD,D652=WF_END_PERIOD)</f>
        <v>0</v>
      </c>
      <c r="AC652" s="0" t="str">
        <f aca="false">B652&amp;"|"&amp;D652</f>
        <v>14140|20250331</v>
      </c>
    </row>
    <row r="653" customFormat="false" ht="15" hidden="false" customHeight="false" outlineLevel="0" collapsed="false">
      <c r="A653" s="0" t="n">
        <f aca="false">RawFinancials!A653</f>
        <v>650</v>
      </c>
      <c r="B653" s="0" t="n">
        <f aca="false">RawFinancials!C653</f>
        <v>14158</v>
      </c>
      <c r="C653" s="0" t="str">
        <f aca="false">RawFinancials!P653</f>
        <v>UNION BANK</v>
      </c>
      <c r="D653" s="0" t="n">
        <f aca="false">RawFinancials!W653</f>
        <v>20250331</v>
      </c>
      <c r="E653" s="0" t="str">
        <f aca="false">RawFinancials!Z653</f>
        <v>VT</v>
      </c>
      <c r="F653" s="0" t="n">
        <f aca="false">RawFinancials!B653</f>
        <v>1524011</v>
      </c>
      <c r="G653" s="0" t="n">
        <f aca="false">RawFinancials!U653</f>
        <v>25</v>
      </c>
      <c r="H653" s="0" t="n">
        <f aca="false">RawFinancials!O653</f>
        <v>14964</v>
      </c>
      <c r="I653" s="0" t="n">
        <f aca="false">IF(AND(ISNUMBER(G653),ISNUMBER(H653)),G653+H653,"")</f>
        <v>14989</v>
      </c>
      <c r="J653" s="0" t="n">
        <f aca="false">RawFinancials!D653</f>
        <v>1185295</v>
      </c>
      <c r="K653" s="0" t="n">
        <f aca="false">RawFinancials!F653</f>
        <v>85660</v>
      </c>
      <c r="L653" s="0" t="n">
        <f aca="false">RawFinancials!L653</f>
        <v>1167376</v>
      </c>
      <c r="M653" s="0" t="n">
        <f aca="false">RawFinancials!N653</f>
        <v>1013094</v>
      </c>
      <c r="N653" s="13" t="n">
        <f aca="false">RawFinancials!X653</f>
        <v>0.711495375706064</v>
      </c>
      <c r="O653" s="13" t="n">
        <f aca="false">RawFinancials!V653</f>
        <v>12.5706891302142</v>
      </c>
      <c r="P653" s="13" t="n">
        <f aca="false">IF(AND(ISNUMBER(L653),L653&lt;&gt;0,ISNUMBER(M653)),100*M653/L653,"")</f>
        <v>86.7838639821274</v>
      </c>
      <c r="Q653" s="13" t="n">
        <f aca="false">IF(AND(ISNUMBER(F653),F653&lt;&gt;0,ISNUMBER(K653)),100*K653/F653,"")</f>
        <v>5.62069433882039</v>
      </c>
      <c r="R653" s="11" t="b">
        <f aca="false">AND(ISNUMBER(F653),F653&gt;0,ISNUMBER(G653),G653&gt;=0,ISNUMBER(H653),H653&gt;=0)</f>
        <v>1</v>
      </c>
      <c r="S653" s="13" t="n">
        <f aca="false">IF(R653,100*I653/F653,"")</f>
        <v>0.983523084807131</v>
      </c>
      <c r="T653" s="11" t="b">
        <f aca="false">NOT(AND(OR(AND(ISBLANK(RawFinancials!B653),ISBLANK(_RawBaseline!B650)),AND(ISNUMBER(RawFinancials!B653),ISNUMBER(_RawBaseline!B650),RawFinancials!B653=_RawBaseline!B650)),OR(AND(ISBLANK(RawFinancials!U653),ISBLANK(_RawBaseline!U650)),AND(ISNUMBER(RawFinancials!U653),ISNUMBER(_RawBaseline!U650),RawFinancials!U653=_RawBaseline!U650)),OR(AND(ISBLANK(RawFinancials!O653),ISBLANK(_RawBaseline!O650)),AND(ISNUMBER(RawFinancials!O653),ISNUMBER(_RawBaseline!O650),RawFinancials!O653=_RawBaseline!O650))))</f>
        <v>0</v>
      </c>
      <c r="U653" s="13" t="n">
        <f aca="false">IF(AND(D653=WF_START_PERIOD,R653,COUNTIFS($B$5:$B$750,B653,$D$5:$D$750,WF_END_PERIOD,$R$5:$R$750,TRUE())&gt;0),SUMIFS($S$5:$S$750,$B$5:$B$750,B653,$D$5:$D$750,WF_END_PERIOD,$R$5:$R$750,TRUE()),0)</f>
        <v>0</v>
      </c>
      <c r="V653" s="0" t="str">
        <f aca="false">IF(AND(D653=WF_START_PERIOD,COUNTIFS($B$5:$B$750,B653,$D$5:$D$750,WF_END_PERIOD)&gt;0),INDEX($E$5:$E$750,MATCH(B653&amp;"|"&amp;WF_END_PERIOD,$AC$5:$AC$750,0)),"")</f>
        <v/>
      </c>
      <c r="W653" s="11" t="b">
        <f aca="false">COUNTIFS($B$5:$B$750,B653,$D$5:$D$750,WF_START_PERIOD,$R$5:$R$750,TRUE())&gt;0</f>
        <v>1</v>
      </c>
      <c r="X653" s="11" t="b">
        <f aca="false">COUNTIFS($B$5:$B$750,B653,$D$5:$D$750,WF_END_PERIOD,$R$5:$R$750,TRUE())&gt;0</f>
        <v>1</v>
      </c>
      <c r="Y653" s="0" t="str">
        <f aca="false">IF(AND(D653=WF_END_PERIOD,COUNTIFS($B$5:$B$750,B653,$D$5:$D$750,WF_START_PERIOD)&gt;0),INDEX($E$5:$E$750,MATCH(B653&amp;"|"&amp;WF_START_PERIOD,$AC$5:$AC$750,0)),"")</f>
        <v/>
      </c>
      <c r="Z653" s="0" t="str">
        <f aca="false">IF(AND(D653=WF_END_PERIOD,R653),1+COUNTIFS($D$5:$D$750,WF_END_PERIOD,$E$5:$E$750,E653,$R$5:$R$750,TRUE(),$S$5:$S$750,"&gt;"&amp;S653)+COUNTIFS($D$5:$D$750,WF_END_PERIOD,$E$5:$E$750,E653,$R$5:$R$750,TRUE(),$S$5:$S$750,S653,$B$5:$B$750,"&lt;"&amp;B653),"")</f>
        <v/>
      </c>
      <c r="AA653" s="0" t="str">
        <f aca="false">IF(AND(D653=WF_END_PERIOD,R653,Z653&lt;&gt;1),1+COUNTIFS($D$5:$D$750,WF_END_PERIOD,$R$5:$R$750,TRUE(),$Z$5:$Z$750,"&lt;&gt;1",$S$5:$S$750,"&gt;"&amp;S653)+COUNTIFS($D$5:$D$750,WF_END_PERIOD,$R$5:$R$750,TRUE(),$Z$5:$Z$750,"&lt;&gt;1",$S$5:$S$750,S653,$B$5:$B$750,"&lt;"&amp;B653),"")</f>
        <v/>
      </c>
      <c r="AB653" s="11" t="b">
        <f aca="false">OR(D653=WF_START_PERIOD,D653=WF_END_PERIOD)</f>
        <v>0</v>
      </c>
      <c r="AC653" s="0" t="str">
        <f aca="false">B653&amp;"|"&amp;D653</f>
        <v>14158|20250331</v>
      </c>
    </row>
    <row r="654" customFormat="false" ht="15" hidden="false" customHeight="false" outlineLevel="0" collapsed="false">
      <c r="A654" s="0" t="n">
        <f aca="false">RawFinancials!A654</f>
        <v>651</v>
      </c>
      <c r="B654" s="0" t="n">
        <f aca="false">RawFinancials!C654</f>
        <v>14168</v>
      </c>
      <c r="C654" s="0" t="str">
        <f aca="false">RawFinancials!P654</f>
        <v>PEOPLES TRUST COMPANY OF ST. ALBANS</v>
      </c>
      <c r="D654" s="0" t="n">
        <f aca="false">RawFinancials!W654</f>
        <v>20250331</v>
      </c>
      <c r="E654" s="0" t="str">
        <f aca="false">RawFinancials!Z654</f>
        <v>VT</v>
      </c>
      <c r="F654" s="0" t="n">
        <f aca="false">RawFinancials!B654</f>
        <v>374654</v>
      </c>
      <c r="G654" s="0" t="n">
        <f aca="false">RawFinancials!U654</f>
        <v>0</v>
      </c>
      <c r="H654" s="0" t="n">
        <f aca="false">RawFinancials!O654</f>
        <v>890</v>
      </c>
      <c r="I654" s="0" t="n">
        <f aca="false">IF(AND(ISNUMBER(G654),ISNUMBER(H654)),G654+H654,"")</f>
        <v>890</v>
      </c>
      <c r="J654" s="0" t="n">
        <f aca="false">RawFinancials!D654</f>
        <v>330872</v>
      </c>
      <c r="K654" s="0" t="n">
        <f aca="false">RawFinancials!F654</f>
        <v>38318</v>
      </c>
      <c r="L654" s="0" t="n">
        <f aca="false">RawFinancials!L654</f>
        <v>273066</v>
      </c>
      <c r="M654" s="0" t="n">
        <f aca="false">RawFinancials!N654</f>
        <v>233845</v>
      </c>
      <c r="N654" s="13" t="n">
        <f aca="false">RawFinancials!X654</f>
        <v>0.938635242635329</v>
      </c>
      <c r="O654" s="13" t="n">
        <f aca="false">RawFinancials!V654</f>
        <v>16.7121276852126</v>
      </c>
      <c r="P654" s="13" t="n">
        <f aca="false">IF(AND(ISNUMBER(L654),L654&lt;&gt;0,ISNUMBER(M654)),100*M654/L654,"")</f>
        <v>85.6368057539203</v>
      </c>
      <c r="Q654" s="13" t="n">
        <f aca="false">IF(AND(ISNUMBER(F654),F654&lt;&gt;0,ISNUMBER(K654)),100*K654/F654,"")</f>
        <v>10.2275699712268</v>
      </c>
      <c r="R654" s="11" t="b">
        <f aca="false">AND(ISNUMBER(F654),F654&gt;0,ISNUMBER(G654),G654&gt;=0,ISNUMBER(H654),H654&gt;=0)</f>
        <v>1</v>
      </c>
      <c r="S654" s="13" t="n">
        <f aca="false">IF(R654,100*I654/F654,"")</f>
        <v>0.237552515120618</v>
      </c>
      <c r="T654" s="11" t="b">
        <f aca="false">NOT(AND(OR(AND(ISBLANK(RawFinancials!B654),ISBLANK(_RawBaseline!B651)),AND(ISNUMBER(RawFinancials!B654),ISNUMBER(_RawBaseline!B651),RawFinancials!B654=_RawBaseline!B651)),OR(AND(ISBLANK(RawFinancials!U654),ISBLANK(_RawBaseline!U651)),AND(ISNUMBER(RawFinancials!U654),ISNUMBER(_RawBaseline!U651),RawFinancials!U654=_RawBaseline!U651)),OR(AND(ISBLANK(RawFinancials!O654),ISBLANK(_RawBaseline!O651)),AND(ISNUMBER(RawFinancials!O654),ISNUMBER(_RawBaseline!O651),RawFinancials!O654=_RawBaseline!O651))))</f>
        <v>0</v>
      </c>
      <c r="U654" s="13" t="n">
        <f aca="false">IF(AND(D654=WF_START_PERIOD,R654,COUNTIFS($B$5:$B$750,B654,$D$5:$D$750,WF_END_PERIOD,$R$5:$R$750,TRUE())&gt;0),SUMIFS($S$5:$S$750,$B$5:$B$750,B654,$D$5:$D$750,WF_END_PERIOD,$R$5:$R$750,TRUE()),0)</f>
        <v>0</v>
      </c>
      <c r="V654" s="0" t="str">
        <f aca="false">IF(AND(D654=WF_START_PERIOD,COUNTIFS($B$5:$B$750,B654,$D$5:$D$750,WF_END_PERIOD)&gt;0),INDEX($E$5:$E$750,MATCH(B654&amp;"|"&amp;WF_END_PERIOD,$AC$5:$AC$750,0)),"")</f>
        <v/>
      </c>
      <c r="W654" s="11" t="b">
        <f aca="false">COUNTIFS($B$5:$B$750,B654,$D$5:$D$750,WF_START_PERIOD,$R$5:$R$750,TRUE())&gt;0</f>
        <v>1</v>
      </c>
      <c r="X654" s="11" t="b">
        <f aca="false">COUNTIFS($B$5:$B$750,B654,$D$5:$D$750,WF_END_PERIOD,$R$5:$R$750,TRUE())&gt;0</f>
        <v>1</v>
      </c>
      <c r="Y654" s="0" t="str">
        <f aca="false">IF(AND(D654=WF_END_PERIOD,COUNTIFS($B$5:$B$750,B654,$D$5:$D$750,WF_START_PERIOD)&gt;0),INDEX($E$5:$E$750,MATCH(B654&amp;"|"&amp;WF_START_PERIOD,$AC$5:$AC$750,0)),"")</f>
        <v/>
      </c>
      <c r="Z654" s="0" t="str">
        <f aca="false">IF(AND(D654=WF_END_PERIOD,R654),1+COUNTIFS($D$5:$D$750,WF_END_PERIOD,$E$5:$E$750,E654,$R$5:$R$750,TRUE(),$S$5:$S$750,"&gt;"&amp;S654)+COUNTIFS($D$5:$D$750,WF_END_PERIOD,$E$5:$E$750,E654,$R$5:$R$750,TRUE(),$S$5:$S$750,S654,$B$5:$B$750,"&lt;"&amp;B654),"")</f>
        <v/>
      </c>
      <c r="AA654" s="0" t="str">
        <f aca="false">IF(AND(D654=WF_END_PERIOD,R654,Z654&lt;&gt;1),1+COUNTIFS($D$5:$D$750,WF_END_PERIOD,$R$5:$R$750,TRUE(),$Z$5:$Z$750,"&lt;&gt;1",$S$5:$S$750,"&gt;"&amp;S654)+COUNTIFS($D$5:$D$750,WF_END_PERIOD,$R$5:$R$750,TRUE(),$Z$5:$Z$750,"&lt;&gt;1",$S$5:$S$750,S654,$B$5:$B$750,"&lt;"&amp;B654),"")</f>
        <v/>
      </c>
      <c r="AB654" s="11" t="b">
        <f aca="false">OR(D654=WF_START_PERIOD,D654=WF_END_PERIOD)</f>
        <v>0</v>
      </c>
      <c r="AC654" s="0" t="str">
        <f aca="false">B654&amp;"|"&amp;D654</f>
        <v>14168|20250331</v>
      </c>
    </row>
    <row r="655" customFormat="false" ht="15" hidden="false" customHeight="false" outlineLevel="0" collapsed="false">
      <c r="A655" s="0" t="n">
        <f aca="false">RawFinancials!A655</f>
        <v>652</v>
      </c>
      <c r="B655" s="0" t="n">
        <f aca="false">RawFinancials!C655</f>
        <v>17115</v>
      </c>
      <c r="C655" s="0" t="str">
        <f aca="false">RawFinancials!P655</f>
        <v>PARTNERS BANK OF NEW ENGLAND</v>
      </c>
      <c r="D655" s="0" t="n">
        <f aca="false">RawFinancials!W655</f>
        <v>20250331</v>
      </c>
      <c r="E655" s="0" t="str">
        <f aca="false">RawFinancials!Z655</f>
        <v>ME</v>
      </c>
      <c r="F655" s="0" t="n">
        <f aca="false">RawFinancials!B655</f>
        <v>1063675</v>
      </c>
      <c r="G655" s="0" t="n">
        <f aca="false">RawFinancials!U655</f>
        <v>0</v>
      </c>
      <c r="H655" s="0" t="n">
        <f aca="false">RawFinancials!O655</f>
        <v>2554</v>
      </c>
      <c r="I655" s="0" t="n">
        <f aca="false">IF(AND(ISNUMBER(G655),ISNUMBER(H655)),G655+H655,"")</f>
        <v>2554</v>
      </c>
      <c r="J655" s="0" t="n">
        <f aca="false">RawFinancials!D655</f>
        <v>802777</v>
      </c>
      <c r="K655" s="0" t="n">
        <f aca="false">RawFinancials!F655</f>
        <v>95052</v>
      </c>
      <c r="L655" s="0" t="n">
        <f aca="false">RawFinancials!L655</f>
        <v>878855</v>
      </c>
      <c r="M655" s="0" t="n">
        <f aca="false">RawFinancials!N655</f>
        <v>833023</v>
      </c>
      <c r="N655" s="13" t="n">
        <f aca="false">RawFinancials!X655</f>
        <v>0.546340907417917</v>
      </c>
      <c r="O655" s="13" t="n">
        <f aca="false">RawFinancials!V655</f>
        <v>14.7757448270835</v>
      </c>
      <c r="P655" s="13" t="n">
        <f aca="false">IF(AND(ISNUMBER(L655),L655&lt;&gt;0,ISNUMBER(M655)),100*M655/L655,"")</f>
        <v>94.785032798357</v>
      </c>
      <c r="Q655" s="13" t="n">
        <f aca="false">IF(AND(ISNUMBER(F655),F655&lt;&gt;0,ISNUMBER(K655)),100*K655/F655,"")</f>
        <v>8.93618821538534</v>
      </c>
      <c r="R655" s="11" t="b">
        <f aca="false">AND(ISNUMBER(F655),F655&gt;0,ISNUMBER(G655),G655&gt;=0,ISNUMBER(H655),H655&gt;=0)</f>
        <v>1</v>
      </c>
      <c r="S655" s="13" t="n">
        <f aca="false">IF(R655,100*I655/F655,"")</f>
        <v>0.240110936141209</v>
      </c>
      <c r="T655" s="11" t="b">
        <f aca="false">NOT(AND(OR(AND(ISBLANK(RawFinancials!B655),ISBLANK(_RawBaseline!B652)),AND(ISNUMBER(RawFinancials!B655),ISNUMBER(_RawBaseline!B652),RawFinancials!B655=_RawBaseline!B652)),OR(AND(ISBLANK(RawFinancials!U655),ISBLANK(_RawBaseline!U652)),AND(ISNUMBER(RawFinancials!U655),ISNUMBER(_RawBaseline!U652),RawFinancials!U655=_RawBaseline!U652)),OR(AND(ISBLANK(RawFinancials!O655),ISBLANK(_RawBaseline!O652)),AND(ISNUMBER(RawFinancials!O655),ISNUMBER(_RawBaseline!O652),RawFinancials!O655=_RawBaseline!O652))))</f>
        <v>0</v>
      </c>
      <c r="U655" s="13" t="n">
        <f aca="false">IF(AND(D655=WF_START_PERIOD,R655,COUNTIFS($B$5:$B$750,B655,$D$5:$D$750,WF_END_PERIOD,$R$5:$R$750,TRUE())&gt;0),SUMIFS($S$5:$S$750,$B$5:$B$750,B655,$D$5:$D$750,WF_END_PERIOD,$R$5:$R$750,TRUE()),0)</f>
        <v>0</v>
      </c>
      <c r="V655" s="0" t="str">
        <f aca="false">IF(AND(D655=WF_START_PERIOD,COUNTIFS($B$5:$B$750,B655,$D$5:$D$750,WF_END_PERIOD)&gt;0),INDEX($E$5:$E$750,MATCH(B655&amp;"|"&amp;WF_END_PERIOD,$AC$5:$AC$750,0)),"")</f>
        <v/>
      </c>
      <c r="W655" s="11" t="b">
        <f aca="false">COUNTIFS($B$5:$B$750,B655,$D$5:$D$750,WF_START_PERIOD,$R$5:$R$750,TRUE())&gt;0</f>
        <v>1</v>
      </c>
      <c r="X655" s="11" t="b">
        <f aca="false">COUNTIFS($B$5:$B$750,B655,$D$5:$D$750,WF_END_PERIOD,$R$5:$R$750,TRUE())&gt;0</f>
        <v>1</v>
      </c>
      <c r="Y655" s="0" t="str">
        <f aca="false">IF(AND(D655=WF_END_PERIOD,COUNTIFS($B$5:$B$750,B655,$D$5:$D$750,WF_START_PERIOD)&gt;0),INDEX($E$5:$E$750,MATCH(B655&amp;"|"&amp;WF_START_PERIOD,$AC$5:$AC$750,0)),"")</f>
        <v/>
      </c>
      <c r="Z655" s="0" t="str">
        <f aca="false">IF(AND(D655=WF_END_PERIOD,R655),1+COUNTIFS($D$5:$D$750,WF_END_PERIOD,$E$5:$E$750,E655,$R$5:$R$750,TRUE(),$S$5:$S$750,"&gt;"&amp;S655)+COUNTIFS($D$5:$D$750,WF_END_PERIOD,$E$5:$E$750,E655,$R$5:$R$750,TRUE(),$S$5:$S$750,S655,$B$5:$B$750,"&lt;"&amp;B655),"")</f>
        <v/>
      </c>
      <c r="AA655" s="0" t="str">
        <f aca="false">IF(AND(D655=WF_END_PERIOD,R655,Z655&lt;&gt;1),1+COUNTIFS($D$5:$D$750,WF_END_PERIOD,$R$5:$R$750,TRUE(),$Z$5:$Z$750,"&lt;&gt;1",$S$5:$S$750,"&gt;"&amp;S655)+COUNTIFS($D$5:$D$750,WF_END_PERIOD,$R$5:$R$750,TRUE(),$Z$5:$Z$750,"&lt;&gt;1",$S$5:$S$750,S655,$B$5:$B$750,"&lt;"&amp;B655),"")</f>
        <v/>
      </c>
      <c r="AB655" s="11" t="b">
        <f aca="false">OR(D655=WF_START_PERIOD,D655=WF_END_PERIOD)</f>
        <v>0</v>
      </c>
      <c r="AC655" s="0" t="str">
        <f aca="false">B655&amp;"|"&amp;D655</f>
        <v>17115|20250331</v>
      </c>
    </row>
    <row r="656" customFormat="false" ht="15" hidden="false" customHeight="false" outlineLevel="0" collapsed="false">
      <c r="A656" s="0" t="n">
        <f aca="false">RawFinancials!A656</f>
        <v>653</v>
      </c>
      <c r="B656" s="0" t="n">
        <f aca="false">RawFinancials!C656</f>
        <v>17180</v>
      </c>
      <c r="C656" s="0" t="str">
        <f aca="false">RawFinancials!P656</f>
        <v>MEREDITH VILLAGE SAVINGS BANK</v>
      </c>
      <c r="D656" s="0" t="n">
        <f aca="false">RawFinancials!W656</f>
        <v>20250331</v>
      </c>
      <c r="E656" s="0" t="str">
        <f aca="false">RawFinancials!Z656</f>
        <v>NH</v>
      </c>
      <c r="F656" s="0" t="n">
        <f aca="false">RawFinancials!B656</f>
        <v>1590319</v>
      </c>
      <c r="G656" s="0" t="n">
        <f aca="false">RawFinancials!U656</f>
        <v>20</v>
      </c>
      <c r="H656" s="0" t="n">
        <f aca="false">RawFinancials!O656</f>
        <v>5853</v>
      </c>
      <c r="I656" s="0" t="n">
        <f aca="false">IF(AND(ISNUMBER(G656),ISNUMBER(H656)),G656+H656,"")</f>
        <v>5873</v>
      </c>
      <c r="J656" s="0" t="n">
        <f aca="false">RawFinancials!D656</f>
        <v>1298331</v>
      </c>
      <c r="K656" s="0" t="n">
        <f aca="false">RawFinancials!F656</f>
        <v>145819</v>
      </c>
      <c r="L656" s="0" t="n">
        <f aca="false">RawFinancials!L656</f>
        <v>1397284</v>
      </c>
      <c r="M656" s="0" t="n">
        <f aca="false">RawFinancials!N656</f>
        <v>1173253</v>
      </c>
      <c r="N656" s="13" t="n">
        <f aca="false">RawFinancials!X656</f>
        <v>0.303152256904612</v>
      </c>
      <c r="O656" s="13" t="n">
        <f aca="false">RawFinancials!V656</f>
        <v>15.9873302996545</v>
      </c>
      <c r="P656" s="13" t="n">
        <f aca="false">IF(AND(ISNUMBER(L656),L656&lt;&gt;0,ISNUMBER(M656)),100*M656/L656,"")</f>
        <v>83.9666810755723</v>
      </c>
      <c r="Q656" s="13" t="n">
        <f aca="false">IF(AND(ISNUMBER(F656),F656&lt;&gt;0,ISNUMBER(K656)),100*K656/F656,"")</f>
        <v>9.16916668919883</v>
      </c>
      <c r="R656" s="11" t="b">
        <f aca="false">AND(ISNUMBER(F656),F656&gt;0,ISNUMBER(G656),G656&gt;=0,ISNUMBER(H656),H656&gt;=0)</f>
        <v>1</v>
      </c>
      <c r="S656" s="13" t="n">
        <f aca="false">IF(R656,100*I656/F656,"")</f>
        <v>0.369296977524635</v>
      </c>
      <c r="T656" s="11" t="b">
        <f aca="false">NOT(AND(OR(AND(ISBLANK(RawFinancials!B656),ISBLANK(_RawBaseline!B653)),AND(ISNUMBER(RawFinancials!B656),ISNUMBER(_RawBaseline!B653),RawFinancials!B656=_RawBaseline!B653)),OR(AND(ISBLANK(RawFinancials!U656),ISBLANK(_RawBaseline!U653)),AND(ISNUMBER(RawFinancials!U656),ISNUMBER(_RawBaseline!U653),RawFinancials!U656=_RawBaseline!U653)),OR(AND(ISBLANK(RawFinancials!O656),ISBLANK(_RawBaseline!O653)),AND(ISNUMBER(RawFinancials!O656),ISNUMBER(_RawBaseline!O653),RawFinancials!O656=_RawBaseline!O653))))</f>
        <v>0</v>
      </c>
      <c r="U656" s="13" t="n">
        <f aca="false">IF(AND(D656=WF_START_PERIOD,R656,COUNTIFS($B$5:$B$750,B656,$D$5:$D$750,WF_END_PERIOD,$R$5:$R$750,TRUE())&gt;0),SUMIFS($S$5:$S$750,$B$5:$B$750,B656,$D$5:$D$750,WF_END_PERIOD,$R$5:$R$750,TRUE()),0)</f>
        <v>0</v>
      </c>
      <c r="V656" s="0" t="str">
        <f aca="false">IF(AND(D656=WF_START_PERIOD,COUNTIFS($B$5:$B$750,B656,$D$5:$D$750,WF_END_PERIOD)&gt;0),INDEX($E$5:$E$750,MATCH(B656&amp;"|"&amp;WF_END_PERIOD,$AC$5:$AC$750,0)),"")</f>
        <v/>
      </c>
      <c r="W656" s="11" t="b">
        <f aca="false">COUNTIFS($B$5:$B$750,B656,$D$5:$D$750,WF_START_PERIOD,$R$5:$R$750,TRUE())&gt;0</f>
        <v>1</v>
      </c>
      <c r="X656" s="11" t="b">
        <f aca="false">COUNTIFS($B$5:$B$750,B656,$D$5:$D$750,WF_END_PERIOD,$R$5:$R$750,TRUE())&gt;0</f>
        <v>1</v>
      </c>
      <c r="Y656" s="0" t="str">
        <f aca="false">IF(AND(D656=WF_END_PERIOD,COUNTIFS($B$5:$B$750,B656,$D$5:$D$750,WF_START_PERIOD)&gt;0),INDEX($E$5:$E$750,MATCH(B656&amp;"|"&amp;WF_START_PERIOD,$AC$5:$AC$750,0)),"")</f>
        <v/>
      </c>
      <c r="Z656" s="0" t="str">
        <f aca="false">IF(AND(D656=WF_END_PERIOD,R656),1+COUNTIFS($D$5:$D$750,WF_END_PERIOD,$E$5:$E$750,E656,$R$5:$R$750,TRUE(),$S$5:$S$750,"&gt;"&amp;S656)+COUNTIFS($D$5:$D$750,WF_END_PERIOD,$E$5:$E$750,E656,$R$5:$R$750,TRUE(),$S$5:$S$750,S656,$B$5:$B$750,"&lt;"&amp;B656),"")</f>
        <v/>
      </c>
      <c r="AA656" s="0" t="str">
        <f aca="false">IF(AND(D656=WF_END_PERIOD,R656,Z656&lt;&gt;1),1+COUNTIFS($D$5:$D$750,WF_END_PERIOD,$R$5:$R$750,TRUE(),$Z$5:$Z$750,"&lt;&gt;1",$S$5:$S$750,"&gt;"&amp;S656)+COUNTIFS($D$5:$D$750,WF_END_PERIOD,$R$5:$R$750,TRUE(),$Z$5:$Z$750,"&lt;&gt;1",$S$5:$S$750,S656,$B$5:$B$750,"&lt;"&amp;B656),"")</f>
        <v/>
      </c>
      <c r="AB656" s="11" t="b">
        <f aca="false">OR(D656=WF_START_PERIOD,D656=WF_END_PERIOD)</f>
        <v>0</v>
      </c>
      <c r="AC656" s="0" t="str">
        <f aca="false">B656&amp;"|"&amp;D656</f>
        <v>17180|20250331</v>
      </c>
    </row>
    <row r="657" customFormat="false" ht="15" hidden="false" customHeight="false" outlineLevel="0" collapsed="false">
      <c r="A657" s="0" t="n">
        <f aca="false">RawFinancials!A657</f>
        <v>654</v>
      </c>
      <c r="B657" s="0" t="n">
        <f aca="false">RawFinancials!C657</f>
        <v>17443</v>
      </c>
      <c r="C657" s="0" t="str">
        <f aca="false">RawFinancials!P657</f>
        <v>PISCATAQUA SAVINGS BANK</v>
      </c>
      <c r="D657" s="0" t="n">
        <f aca="false">RawFinancials!W657</f>
        <v>20250331</v>
      </c>
      <c r="E657" s="0" t="str">
        <f aca="false">RawFinancials!Z657</f>
        <v>NH</v>
      </c>
      <c r="F657" s="0" t="n">
        <f aca="false">RawFinancials!B657</f>
        <v>363289</v>
      </c>
      <c r="G657" s="0" t="n">
        <f aca="false">RawFinancials!U657</f>
        <v>0</v>
      </c>
      <c r="H657" s="0" t="n">
        <f aca="false">RawFinancials!O657</f>
        <v>931</v>
      </c>
      <c r="I657" s="0" t="n">
        <f aca="false">IF(AND(ISNUMBER(G657),ISNUMBER(H657)),G657+H657,"")</f>
        <v>931</v>
      </c>
      <c r="J657" s="0" t="n">
        <f aca="false">RawFinancials!D657</f>
        <v>297631</v>
      </c>
      <c r="K657" s="0" t="n">
        <f aca="false">RawFinancials!F657</f>
        <v>39494</v>
      </c>
      <c r="L657" s="0" t="n">
        <f aca="false">RawFinancials!L657</f>
        <v>198505</v>
      </c>
      <c r="M657" s="0" t="n">
        <f aca="false">RawFinancials!N657</f>
        <v>196634</v>
      </c>
      <c r="N657" s="13" t="n">
        <f aca="false">RawFinancials!X657</f>
        <v>-0.539368227736928</v>
      </c>
      <c r="O657" s="13" t="n">
        <f aca="false">RawFinancials!V657</f>
        <v>0</v>
      </c>
      <c r="P657" s="13" t="n">
        <f aca="false">IF(AND(ISNUMBER(L657),L657&lt;&gt;0,ISNUMBER(M657)),100*M657/L657,"")</f>
        <v>99.0574544721795</v>
      </c>
      <c r="Q657" s="13" t="n">
        <f aca="false">IF(AND(ISNUMBER(F657),F657&lt;&gt;0,ISNUMBER(K657)),100*K657/F657,"")</f>
        <v>10.8712347469921</v>
      </c>
      <c r="R657" s="11" t="b">
        <f aca="false">AND(ISNUMBER(F657),F657&gt;0,ISNUMBER(G657),G657&gt;=0,ISNUMBER(H657),H657&gt;=0)</f>
        <v>1</v>
      </c>
      <c r="S657" s="13" t="n">
        <f aca="false">IF(R657,100*I657/F657,"")</f>
        <v>0.256269801728101</v>
      </c>
      <c r="T657" s="11" t="b">
        <f aca="false">NOT(AND(OR(AND(ISBLANK(RawFinancials!B657),ISBLANK(_RawBaseline!B654)),AND(ISNUMBER(RawFinancials!B657),ISNUMBER(_RawBaseline!B654),RawFinancials!B657=_RawBaseline!B654)),OR(AND(ISBLANK(RawFinancials!U657),ISBLANK(_RawBaseline!U654)),AND(ISNUMBER(RawFinancials!U657),ISNUMBER(_RawBaseline!U654),RawFinancials!U657=_RawBaseline!U654)),OR(AND(ISBLANK(RawFinancials!O657),ISBLANK(_RawBaseline!O654)),AND(ISNUMBER(RawFinancials!O657),ISNUMBER(_RawBaseline!O654),RawFinancials!O657=_RawBaseline!O654))))</f>
        <v>0</v>
      </c>
      <c r="U657" s="13" t="n">
        <f aca="false">IF(AND(D657=WF_START_PERIOD,R657,COUNTIFS($B$5:$B$750,B657,$D$5:$D$750,WF_END_PERIOD,$R$5:$R$750,TRUE())&gt;0),SUMIFS($S$5:$S$750,$B$5:$B$750,B657,$D$5:$D$750,WF_END_PERIOD,$R$5:$R$750,TRUE()),0)</f>
        <v>0</v>
      </c>
      <c r="V657" s="0" t="str">
        <f aca="false">IF(AND(D657=WF_START_PERIOD,COUNTIFS($B$5:$B$750,B657,$D$5:$D$750,WF_END_PERIOD)&gt;0),INDEX($E$5:$E$750,MATCH(B657&amp;"|"&amp;WF_END_PERIOD,$AC$5:$AC$750,0)),"")</f>
        <v/>
      </c>
      <c r="W657" s="11" t="b">
        <f aca="false">COUNTIFS($B$5:$B$750,B657,$D$5:$D$750,WF_START_PERIOD,$R$5:$R$750,TRUE())&gt;0</f>
        <v>1</v>
      </c>
      <c r="X657" s="11" t="b">
        <f aca="false">COUNTIFS($B$5:$B$750,B657,$D$5:$D$750,WF_END_PERIOD,$R$5:$R$750,TRUE())&gt;0</f>
        <v>1</v>
      </c>
      <c r="Y657" s="0" t="str">
        <f aca="false">IF(AND(D657=WF_END_PERIOD,COUNTIFS($B$5:$B$750,B657,$D$5:$D$750,WF_START_PERIOD)&gt;0),INDEX($E$5:$E$750,MATCH(B657&amp;"|"&amp;WF_START_PERIOD,$AC$5:$AC$750,0)),"")</f>
        <v/>
      </c>
      <c r="Z657" s="0" t="str">
        <f aca="false">IF(AND(D657=WF_END_PERIOD,R657),1+COUNTIFS($D$5:$D$750,WF_END_PERIOD,$E$5:$E$750,E657,$R$5:$R$750,TRUE(),$S$5:$S$750,"&gt;"&amp;S657)+COUNTIFS($D$5:$D$750,WF_END_PERIOD,$E$5:$E$750,E657,$R$5:$R$750,TRUE(),$S$5:$S$750,S657,$B$5:$B$750,"&lt;"&amp;B657),"")</f>
        <v/>
      </c>
      <c r="AA657" s="0" t="str">
        <f aca="false">IF(AND(D657=WF_END_PERIOD,R657,Z657&lt;&gt;1),1+COUNTIFS($D$5:$D$750,WF_END_PERIOD,$R$5:$R$750,TRUE(),$Z$5:$Z$750,"&lt;&gt;1",$S$5:$S$750,"&gt;"&amp;S657)+COUNTIFS($D$5:$D$750,WF_END_PERIOD,$R$5:$R$750,TRUE(),$Z$5:$Z$750,"&lt;&gt;1",$S$5:$S$750,S657,$B$5:$B$750,"&lt;"&amp;B657),"")</f>
        <v/>
      </c>
      <c r="AB657" s="11" t="b">
        <f aca="false">OR(D657=WF_START_PERIOD,D657=WF_END_PERIOD)</f>
        <v>0</v>
      </c>
      <c r="AC657" s="0" t="str">
        <f aca="false">B657&amp;"|"&amp;D657</f>
        <v>17443|20250331</v>
      </c>
    </row>
    <row r="658" customFormat="false" ht="15" hidden="false" customHeight="false" outlineLevel="0" collapsed="false">
      <c r="A658" s="0" t="n">
        <f aca="false">RawFinancials!A658</f>
        <v>655</v>
      </c>
      <c r="B658" s="0" t="n">
        <f aca="false">RawFinancials!C658</f>
        <v>17658</v>
      </c>
      <c r="C658" s="0" t="str">
        <f aca="false">RawFinancials!P658</f>
        <v>NORWAY SAVINGS BANK</v>
      </c>
      <c r="D658" s="0" t="n">
        <f aca="false">RawFinancials!W658</f>
        <v>20250331</v>
      </c>
      <c r="E658" s="0" t="str">
        <f aca="false">RawFinancials!Z658</f>
        <v>ME</v>
      </c>
      <c r="F658" s="0" t="n">
        <f aca="false">RawFinancials!B658</f>
        <v>2028519</v>
      </c>
      <c r="G658" s="0" t="n">
        <f aca="false">RawFinancials!U658</f>
        <v>43</v>
      </c>
      <c r="H658" s="0" t="n">
        <f aca="false">RawFinancials!O658</f>
        <v>10604</v>
      </c>
      <c r="I658" s="0" t="n">
        <f aca="false">IF(AND(ISNUMBER(G658),ISNUMBER(H658)),G658+H658,"")</f>
        <v>10647</v>
      </c>
      <c r="J658" s="0" t="n">
        <f aca="false">RawFinancials!D658</f>
        <v>1589312</v>
      </c>
      <c r="K658" s="0" t="n">
        <f aca="false">RawFinancials!F658</f>
        <v>229958</v>
      </c>
      <c r="L658" s="0" t="n">
        <f aca="false">RawFinancials!L658</f>
        <v>1450096</v>
      </c>
      <c r="M658" s="0" t="n">
        <f aca="false">RawFinancials!N658</f>
        <v>1246975</v>
      </c>
      <c r="N658" s="13" t="n">
        <f aca="false">RawFinancials!X658</f>
        <v>0.336900288366337</v>
      </c>
      <c r="O658" s="13" t="n">
        <f aca="false">RawFinancials!V658</f>
        <v>0</v>
      </c>
      <c r="P658" s="13" t="n">
        <f aca="false">IF(AND(ISNUMBER(L658),L658&lt;&gt;0,ISNUMBER(M658)),100*M658/L658,"")</f>
        <v>85.9925825600512</v>
      </c>
      <c r="Q658" s="13" t="n">
        <f aca="false">IF(AND(ISNUMBER(F658),F658&lt;&gt;0,ISNUMBER(K658)),100*K658/F658,"")</f>
        <v>11.3362507326774</v>
      </c>
      <c r="R658" s="11" t="b">
        <f aca="false">AND(ISNUMBER(F658),F658&gt;0,ISNUMBER(G658),G658&gt;=0,ISNUMBER(H658),H658&gt;=0)</f>
        <v>1</v>
      </c>
      <c r="S658" s="13" t="n">
        <f aca="false">IF(R658,100*I658/F658,"")</f>
        <v>0.524865677866463</v>
      </c>
      <c r="T658" s="11" t="b">
        <f aca="false">NOT(AND(OR(AND(ISBLANK(RawFinancials!B658),ISBLANK(_RawBaseline!B655)),AND(ISNUMBER(RawFinancials!B658),ISNUMBER(_RawBaseline!B655),RawFinancials!B658=_RawBaseline!B655)),OR(AND(ISBLANK(RawFinancials!U658),ISBLANK(_RawBaseline!U655)),AND(ISNUMBER(RawFinancials!U658),ISNUMBER(_RawBaseline!U655),RawFinancials!U658=_RawBaseline!U655)),OR(AND(ISBLANK(RawFinancials!O658),ISBLANK(_RawBaseline!O655)),AND(ISNUMBER(RawFinancials!O658),ISNUMBER(_RawBaseline!O655),RawFinancials!O658=_RawBaseline!O655))))</f>
        <v>0</v>
      </c>
      <c r="U658" s="13" t="n">
        <f aca="false">IF(AND(D658=WF_START_PERIOD,R658,COUNTIFS($B$5:$B$750,B658,$D$5:$D$750,WF_END_PERIOD,$R$5:$R$750,TRUE())&gt;0),SUMIFS($S$5:$S$750,$B$5:$B$750,B658,$D$5:$D$750,WF_END_PERIOD,$R$5:$R$750,TRUE()),0)</f>
        <v>0</v>
      </c>
      <c r="V658" s="0" t="str">
        <f aca="false">IF(AND(D658=WF_START_PERIOD,COUNTIFS($B$5:$B$750,B658,$D$5:$D$750,WF_END_PERIOD)&gt;0),INDEX($E$5:$E$750,MATCH(B658&amp;"|"&amp;WF_END_PERIOD,$AC$5:$AC$750,0)),"")</f>
        <v/>
      </c>
      <c r="W658" s="11" t="b">
        <f aca="false">COUNTIFS($B$5:$B$750,B658,$D$5:$D$750,WF_START_PERIOD,$R$5:$R$750,TRUE())&gt;0</f>
        <v>1</v>
      </c>
      <c r="X658" s="11" t="b">
        <f aca="false">COUNTIFS($B$5:$B$750,B658,$D$5:$D$750,WF_END_PERIOD,$R$5:$R$750,TRUE())&gt;0</f>
        <v>1</v>
      </c>
      <c r="Y658" s="0" t="str">
        <f aca="false">IF(AND(D658=WF_END_PERIOD,COUNTIFS($B$5:$B$750,B658,$D$5:$D$750,WF_START_PERIOD)&gt;0),INDEX($E$5:$E$750,MATCH(B658&amp;"|"&amp;WF_START_PERIOD,$AC$5:$AC$750,0)),"")</f>
        <v/>
      </c>
      <c r="Z658" s="0" t="str">
        <f aca="false">IF(AND(D658=WF_END_PERIOD,R658),1+COUNTIFS($D$5:$D$750,WF_END_PERIOD,$E$5:$E$750,E658,$R$5:$R$750,TRUE(),$S$5:$S$750,"&gt;"&amp;S658)+COUNTIFS($D$5:$D$750,WF_END_PERIOD,$E$5:$E$750,E658,$R$5:$R$750,TRUE(),$S$5:$S$750,S658,$B$5:$B$750,"&lt;"&amp;B658),"")</f>
        <v/>
      </c>
      <c r="AA658" s="0" t="str">
        <f aca="false">IF(AND(D658=WF_END_PERIOD,R658,Z658&lt;&gt;1),1+COUNTIFS($D$5:$D$750,WF_END_PERIOD,$R$5:$R$750,TRUE(),$Z$5:$Z$750,"&lt;&gt;1",$S$5:$S$750,"&gt;"&amp;S658)+COUNTIFS($D$5:$D$750,WF_END_PERIOD,$R$5:$R$750,TRUE(),$Z$5:$Z$750,"&lt;&gt;1",$S$5:$S$750,S658,$B$5:$B$750,"&lt;"&amp;B658),"")</f>
        <v/>
      </c>
      <c r="AB658" s="11" t="b">
        <f aca="false">OR(D658=WF_START_PERIOD,D658=WF_END_PERIOD)</f>
        <v>0</v>
      </c>
      <c r="AC658" s="0" t="str">
        <f aca="false">B658&amp;"|"&amp;D658</f>
        <v>17658|20250331</v>
      </c>
    </row>
    <row r="659" customFormat="false" ht="15" hidden="false" customHeight="false" outlineLevel="0" collapsed="false">
      <c r="A659" s="0" t="n">
        <f aca="false">RawFinancials!A659</f>
        <v>656</v>
      </c>
      <c r="B659" s="0" t="n">
        <f aca="false">RawFinancials!C659</f>
        <v>17741</v>
      </c>
      <c r="C659" s="0" t="str">
        <f aca="false">RawFinancials!P659</f>
        <v>MAINE COMMUNITY BANK</v>
      </c>
      <c r="D659" s="0" t="n">
        <f aca="false">RawFinancials!W659</f>
        <v>20250331</v>
      </c>
      <c r="E659" s="0" t="str">
        <f aca="false">RawFinancials!Z659</f>
        <v>ME</v>
      </c>
      <c r="F659" s="0" t="n">
        <f aca="false">RawFinancials!B659</f>
        <v>2702374</v>
      </c>
      <c r="G659" s="0" t="n">
        <f aca="false">RawFinancials!U659</f>
        <v>0</v>
      </c>
      <c r="H659" s="0" t="n">
        <f aca="false">RawFinancials!O659</f>
        <v>9808</v>
      </c>
      <c r="I659" s="0" t="n">
        <f aca="false">IF(AND(ISNUMBER(G659),ISNUMBER(H659)),G659+H659,"")</f>
        <v>9808</v>
      </c>
      <c r="J659" s="0" t="n">
        <f aca="false">RawFinancials!D659</f>
        <v>2270619</v>
      </c>
      <c r="K659" s="0" t="n">
        <f aca="false">RawFinancials!F659</f>
        <v>244064</v>
      </c>
      <c r="L659" s="0" t="n">
        <f aca="false">RawFinancials!L659</f>
        <v>2221970</v>
      </c>
      <c r="M659" s="0" t="n">
        <f aca="false">RawFinancials!N659</f>
        <v>1950768</v>
      </c>
      <c r="N659" s="13" t="n">
        <f aca="false">RawFinancials!X659</f>
        <v>0.637665297546565</v>
      </c>
      <c r="O659" s="13" t="n">
        <f aca="false">RawFinancials!V659</f>
        <v>0</v>
      </c>
      <c r="P659" s="13" t="n">
        <f aca="false">IF(AND(ISNUMBER(L659),L659&lt;&gt;0,ISNUMBER(M659)),100*M659/L659,"")</f>
        <v>87.794524678551</v>
      </c>
      <c r="Q659" s="13" t="n">
        <f aca="false">IF(AND(ISNUMBER(F659),F659&lt;&gt;0,ISNUMBER(K659)),100*K659/F659,"")</f>
        <v>9.03146640694441</v>
      </c>
      <c r="R659" s="11" t="b">
        <f aca="false">AND(ISNUMBER(F659),F659&gt;0,ISNUMBER(G659),G659&gt;=0,ISNUMBER(H659),H659&gt;=0)</f>
        <v>1</v>
      </c>
      <c r="S659" s="13" t="n">
        <f aca="false">IF(R659,100*I659/F659,"")</f>
        <v>0.362940140779922</v>
      </c>
      <c r="T659" s="11" t="b">
        <f aca="false">NOT(AND(OR(AND(ISBLANK(RawFinancials!B659),ISBLANK(_RawBaseline!B656)),AND(ISNUMBER(RawFinancials!B659),ISNUMBER(_RawBaseline!B656),RawFinancials!B659=_RawBaseline!B656)),OR(AND(ISBLANK(RawFinancials!U659),ISBLANK(_RawBaseline!U656)),AND(ISNUMBER(RawFinancials!U659),ISNUMBER(_RawBaseline!U656),RawFinancials!U659=_RawBaseline!U656)),OR(AND(ISBLANK(RawFinancials!O659),ISBLANK(_RawBaseline!O656)),AND(ISNUMBER(RawFinancials!O659),ISNUMBER(_RawBaseline!O656),RawFinancials!O659=_RawBaseline!O656))))</f>
        <v>0</v>
      </c>
      <c r="U659" s="13" t="n">
        <f aca="false">IF(AND(D659=WF_START_PERIOD,R659,COUNTIFS($B$5:$B$750,B659,$D$5:$D$750,WF_END_PERIOD,$R$5:$R$750,TRUE())&gt;0),SUMIFS($S$5:$S$750,$B$5:$B$750,B659,$D$5:$D$750,WF_END_PERIOD,$R$5:$R$750,TRUE()),0)</f>
        <v>0</v>
      </c>
      <c r="V659" s="0" t="str">
        <f aca="false">IF(AND(D659=WF_START_PERIOD,COUNTIFS($B$5:$B$750,B659,$D$5:$D$750,WF_END_PERIOD)&gt;0),INDEX($E$5:$E$750,MATCH(B659&amp;"|"&amp;WF_END_PERIOD,$AC$5:$AC$750,0)),"")</f>
        <v/>
      </c>
      <c r="W659" s="11" t="b">
        <f aca="false">COUNTIFS($B$5:$B$750,B659,$D$5:$D$750,WF_START_PERIOD,$R$5:$R$750,TRUE())&gt;0</f>
        <v>1</v>
      </c>
      <c r="X659" s="11" t="b">
        <f aca="false">COUNTIFS($B$5:$B$750,B659,$D$5:$D$750,WF_END_PERIOD,$R$5:$R$750,TRUE())&gt;0</f>
        <v>1</v>
      </c>
      <c r="Y659" s="0" t="str">
        <f aca="false">IF(AND(D659=WF_END_PERIOD,COUNTIFS($B$5:$B$750,B659,$D$5:$D$750,WF_START_PERIOD)&gt;0),INDEX($E$5:$E$750,MATCH(B659&amp;"|"&amp;WF_START_PERIOD,$AC$5:$AC$750,0)),"")</f>
        <v/>
      </c>
      <c r="Z659" s="0" t="str">
        <f aca="false">IF(AND(D659=WF_END_PERIOD,R659),1+COUNTIFS($D$5:$D$750,WF_END_PERIOD,$E$5:$E$750,E659,$R$5:$R$750,TRUE(),$S$5:$S$750,"&gt;"&amp;S659)+COUNTIFS($D$5:$D$750,WF_END_PERIOD,$E$5:$E$750,E659,$R$5:$R$750,TRUE(),$S$5:$S$750,S659,$B$5:$B$750,"&lt;"&amp;B659),"")</f>
        <v/>
      </c>
      <c r="AA659" s="0" t="str">
        <f aca="false">IF(AND(D659=WF_END_PERIOD,R659,Z659&lt;&gt;1),1+COUNTIFS($D$5:$D$750,WF_END_PERIOD,$R$5:$R$750,TRUE(),$Z$5:$Z$750,"&lt;&gt;1",$S$5:$S$750,"&gt;"&amp;S659)+COUNTIFS($D$5:$D$750,WF_END_PERIOD,$R$5:$R$750,TRUE(),$Z$5:$Z$750,"&lt;&gt;1",$S$5:$S$750,S659,$B$5:$B$750,"&lt;"&amp;B659),"")</f>
        <v/>
      </c>
      <c r="AB659" s="11" t="b">
        <f aca="false">OR(D659=WF_START_PERIOD,D659=WF_END_PERIOD)</f>
        <v>0</v>
      </c>
      <c r="AC659" s="0" t="str">
        <f aca="false">B659&amp;"|"&amp;D659</f>
        <v>17741|20250331</v>
      </c>
    </row>
    <row r="660" customFormat="false" ht="15" hidden="false" customHeight="false" outlineLevel="0" collapsed="false">
      <c r="A660" s="0" t="n">
        <f aca="false">RawFinancials!A660</f>
        <v>657</v>
      </c>
      <c r="B660" s="0" t="n">
        <f aca="false">RawFinancials!C660</f>
        <v>17743</v>
      </c>
      <c r="C660" s="0" t="str">
        <f aca="false">RawFinancials!P660</f>
        <v>SACO &amp; BIDDEFORD SAVINGS INSTITUTION</v>
      </c>
      <c r="D660" s="0" t="n">
        <f aca="false">RawFinancials!W660</f>
        <v>20250331</v>
      </c>
      <c r="E660" s="0" t="str">
        <f aca="false">RawFinancials!Z660</f>
        <v>ME</v>
      </c>
      <c r="F660" s="0" t="n">
        <f aca="false">RawFinancials!B660</f>
        <v>1421036</v>
      </c>
      <c r="G660" s="0" t="n">
        <f aca="false">RawFinancials!U660</f>
        <v>0</v>
      </c>
      <c r="H660" s="0" t="n">
        <f aca="false">RawFinancials!O660</f>
        <v>757</v>
      </c>
      <c r="I660" s="0" t="n">
        <f aca="false">IF(AND(ISNUMBER(G660),ISNUMBER(H660)),G660+H660,"")</f>
        <v>757</v>
      </c>
      <c r="J660" s="0" t="n">
        <f aca="false">RawFinancials!D660</f>
        <v>1011028</v>
      </c>
      <c r="K660" s="0" t="n">
        <f aca="false">RawFinancials!F660</f>
        <v>126472</v>
      </c>
      <c r="L660" s="0" t="n">
        <f aca="false">RawFinancials!L660</f>
        <v>1133534</v>
      </c>
      <c r="M660" s="0" t="n">
        <f aca="false">RawFinancials!N660</f>
        <v>1096181</v>
      </c>
      <c r="N660" s="13" t="n">
        <f aca="false">RawFinancials!X660</f>
        <v>-0.0132738457932147</v>
      </c>
      <c r="O660" s="13" t="n">
        <f aca="false">RawFinancials!V660</f>
        <v>0</v>
      </c>
      <c r="P660" s="13" t="n">
        <f aca="false">IF(AND(ISNUMBER(L660),L660&lt;&gt;0,ISNUMBER(M660)),100*M660/L660,"")</f>
        <v>96.7047305153617</v>
      </c>
      <c r="Q660" s="13" t="n">
        <f aca="false">IF(AND(ISNUMBER(F660),F660&lt;&gt;0,ISNUMBER(K660)),100*K660/F660,"")</f>
        <v>8.89998564427643</v>
      </c>
      <c r="R660" s="11" t="b">
        <f aca="false">AND(ISNUMBER(F660),F660&gt;0,ISNUMBER(G660),G660&gt;=0,ISNUMBER(H660),H660&gt;=0)</f>
        <v>1</v>
      </c>
      <c r="S660" s="13" t="n">
        <f aca="false">IF(R660,100*I660/F660,"")</f>
        <v>0.0532709938382983</v>
      </c>
      <c r="T660" s="11" t="b">
        <f aca="false">NOT(AND(OR(AND(ISBLANK(RawFinancials!B660),ISBLANK(_RawBaseline!B657)),AND(ISNUMBER(RawFinancials!B660),ISNUMBER(_RawBaseline!B657),RawFinancials!B660=_RawBaseline!B657)),OR(AND(ISBLANK(RawFinancials!U660),ISBLANK(_RawBaseline!U657)),AND(ISNUMBER(RawFinancials!U660),ISNUMBER(_RawBaseline!U657),RawFinancials!U660=_RawBaseline!U657)),OR(AND(ISBLANK(RawFinancials!O660),ISBLANK(_RawBaseline!O657)),AND(ISNUMBER(RawFinancials!O660),ISNUMBER(_RawBaseline!O657),RawFinancials!O660=_RawBaseline!O657))))</f>
        <v>0</v>
      </c>
      <c r="U660" s="13" t="n">
        <f aca="false">IF(AND(D660=WF_START_PERIOD,R660,COUNTIFS($B$5:$B$750,B660,$D$5:$D$750,WF_END_PERIOD,$R$5:$R$750,TRUE())&gt;0),SUMIFS($S$5:$S$750,$B$5:$B$750,B660,$D$5:$D$750,WF_END_PERIOD,$R$5:$R$750,TRUE()),0)</f>
        <v>0</v>
      </c>
      <c r="V660" s="0" t="str">
        <f aca="false">IF(AND(D660=WF_START_PERIOD,COUNTIFS($B$5:$B$750,B660,$D$5:$D$750,WF_END_PERIOD)&gt;0),INDEX($E$5:$E$750,MATCH(B660&amp;"|"&amp;WF_END_PERIOD,$AC$5:$AC$750,0)),"")</f>
        <v/>
      </c>
      <c r="W660" s="11" t="b">
        <f aca="false">COUNTIFS($B$5:$B$750,B660,$D$5:$D$750,WF_START_PERIOD,$R$5:$R$750,TRUE())&gt;0</f>
        <v>1</v>
      </c>
      <c r="X660" s="11" t="b">
        <f aca="false">COUNTIFS($B$5:$B$750,B660,$D$5:$D$750,WF_END_PERIOD,$R$5:$R$750,TRUE())&gt;0</f>
        <v>1</v>
      </c>
      <c r="Y660" s="0" t="str">
        <f aca="false">IF(AND(D660=WF_END_PERIOD,COUNTIFS($B$5:$B$750,B660,$D$5:$D$750,WF_START_PERIOD)&gt;0),INDEX($E$5:$E$750,MATCH(B660&amp;"|"&amp;WF_START_PERIOD,$AC$5:$AC$750,0)),"")</f>
        <v/>
      </c>
      <c r="Z660" s="0" t="str">
        <f aca="false">IF(AND(D660=WF_END_PERIOD,R660),1+COUNTIFS($D$5:$D$750,WF_END_PERIOD,$E$5:$E$750,E660,$R$5:$R$750,TRUE(),$S$5:$S$750,"&gt;"&amp;S660)+COUNTIFS($D$5:$D$750,WF_END_PERIOD,$E$5:$E$750,E660,$R$5:$R$750,TRUE(),$S$5:$S$750,S660,$B$5:$B$750,"&lt;"&amp;B660),"")</f>
        <v/>
      </c>
      <c r="AA660" s="0" t="str">
        <f aca="false">IF(AND(D660=WF_END_PERIOD,R660,Z660&lt;&gt;1),1+COUNTIFS($D$5:$D$750,WF_END_PERIOD,$R$5:$R$750,TRUE(),$Z$5:$Z$750,"&lt;&gt;1",$S$5:$S$750,"&gt;"&amp;S660)+COUNTIFS($D$5:$D$750,WF_END_PERIOD,$R$5:$R$750,TRUE(),$Z$5:$Z$750,"&lt;&gt;1",$S$5:$S$750,S660,$B$5:$B$750,"&lt;"&amp;B660),"")</f>
        <v/>
      </c>
      <c r="AB660" s="11" t="b">
        <f aca="false">OR(D660=WF_START_PERIOD,D660=WF_END_PERIOD)</f>
        <v>0</v>
      </c>
      <c r="AC660" s="0" t="str">
        <f aca="false">B660&amp;"|"&amp;D660</f>
        <v>17743|20250331</v>
      </c>
    </row>
    <row r="661" customFormat="false" ht="15" hidden="false" customHeight="false" outlineLevel="0" collapsed="false">
      <c r="A661" s="0" t="n">
        <f aca="false">RawFinancials!A661</f>
        <v>658</v>
      </c>
      <c r="B661" s="0" t="n">
        <f aca="false">RawFinancials!C661</f>
        <v>17749</v>
      </c>
      <c r="C661" s="0" t="str">
        <f aca="false">RawFinancials!P661</f>
        <v>BATH SAVINGS INSTITUTION</v>
      </c>
      <c r="D661" s="0" t="n">
        <f aca="false">RawFinancials!W661</f>
        <v>20250331</v>
      </c>
      <c r="E661" s="0" t="str">
        <f aca="false">RawFinancials!Z661</f>
        <v>ME</v>
      </c>
      <c r="F661" s="0" t="n">
        <f aca="false">RawFinancials!B661</f>
        <v>1415126</v>
      </c>
      <c r="G661" s="0" t="n">
        <f aca="false">RawFinancials!U661</f>
        <v>90</v>
      </c>
      <c r="H661" s="0" t="n">
        <f aca="false">RawFinancials!O661</f>
        <v>953</v>
      </c>
      <c r="I661" s="0" t="n">
        <f aca="false">IF(AND(ISNUMBER(G661),ISNUMBER(H661)),G661+H661,"")</f>
        <v>1043</v>
      </c>
      <c r="J661" s="0" t="n">
        <f aca="false">RawFinancials!D661</f>
        <v>1106043</v>
      </c>
      <c r="K661" s="0" t="n">
        <f aca="false">RawFinancials!F661</f>
        <v>197514</v>
      </c>
      <c r="L661" s="0" t="n">
        <f aca="false">RawFinancials!L661</f>
        <v>833371</v>
      </c>
      <c r="M661" s="0" t="n">
        <f aca="false">RawFinancials!N661</f>
        <v>756331</v>
      </c>
      <c r="N661" s="13" t="n">
        <f aca="false">RawFinancials!X661</f>
        <v>0.443227148231069</v>
      </c>
      <c r="O661" s="13" t="n">
        <f aca="false">RawFinancials!V661</f>
        <v>0</v>
      </c>
      <c r="P661" s="13" t="n">
        <f aca="false">IF(AND(ISNUMBER(L661),L661&lt;&gt;0,ISNUMBER(M661)),100*M661/L661,"")</f>
        <v>90.7556178460734</v>
      </c>
      <c r="Q661" s="13" t="n">
        <f aca="false">IF(AND(ISNUMBER(F661),F661&lt;&gt;0,ISNUMBER(K661)),100*K661/F661,"")</f>
        <v>13.9573437276963</v>
      </c>
      <c r="R661" s="11" t="b">
        <f aca="false">AND(ISNUMBER(F661),F661&gt;0,ISNUMBER(G661),G661&gt;=0,ISNUMBER(H661),H661&gt;=0)</f>
        <v>1</v>
      </c>
      <c r="S661" s="13" t="n">
        <f aca="false">IF(R661,100*I661/F661,"")</f>
        <v>0.0737036843362358</v>
      </c>
      <c r="T661" s="11" t="b">
        <f aca="false">NOT(AND(OR(AND(ISBLANK(RawFinancials!B661),ISBLANK(_RawBaseline!B658)),AND(ISNUMBER(RawFinancials!B661),ISNUMBER(_RawBaseline!B658),RawFinancials!B661=_RawBaseline!B658)),OR(AND(ISBLANK(RawFinancials!U661),ISBLANK(_RawBaseline!U658)),AND(ISNUMBER(RawFinancials!U661),ISNUMBER(_RawBaseline!U658),RawFinancials!U661=_RawBaseline!U658)),OR(AND(ISBLANK(RawFinancials!O661),ISBLANK(_RawBaseline!O658)),AND(ISNUMBER(RawFinancials!O661),ISNUMBER(_RawBaseline!O658),RawFinancials!O661=_RawBaseline!O658))))</f>
        <v>0</v>
      </c>
      <c r="U661" s="13" t="n">
        <f aca="false">IF(AND(D661=WF_START_PERIOD,R661,COUNTIFS($B$5:$B$750,B661,$D$5:$D$750,WF_END_PERIOD,$R$5:$R$750,TRUE())&gt;0),SUMIFS($S$5:$S$750,$B$5:$B$750,B661,$D$5:$D$750,WF_END_PERIOD,$R$5:$R$750,TRUE()),0)</f>
        <v>0</v>
      </c>
      <c r="V661" s="0" t="str">
        <f aca="false">IF(AND(D661=WF_START_PERIOD,COUNTIFS($B$5:$B$750,B661,$D$5:$D$750,WF_END_PERIOD)&gt;0),INDEX($E$5:$E$750,MATCH(B661&amp;"|"&amp;WF_END_PERIOD,$AC$5:$AC$750,0)),"")</f>
        <v/>
      </c>
      <c r="W661" s="11" t="b">
        <f aca="false">COUNTIFS($B$5:$B$750,B661,$D$5:$D$750,WF_START_PERIOD,$R$5:$R$750,TRUE())&gt;0</f>
        <v>1</v>
      </c>
      <c r="X661" s="11" t="b">
        <f aca="false">COUNTIFS($B$5:$B$750,B661,$D$5:$D$750,WF_END_PERIOD,$R$5:$R$750,TRUE())&gt;0</f>
        <v>1</v>
      </c>
      <c r="Y661" s="0" t="str">
        <f aca="false">IF(AND(D661=WF_END_PERIOD,COUNTIFS($B$5:$B$750,B661,$D$5:$D$750,WF_START_PERIOD)&gt;0),INDEX($E$5:$E$750,MATCH(B661&amp;"|"&amp;WF_START_PERIOD,$AC$5:$AC$750,0)),"")</f>
        <v/>
      </c>
      <c r="Z661" s="0" t="str">
        <f aca="false">IF(AND(D661=WF_END_PERIOD,R661),1+COUNTIFS($D$5:$D$750,WF_END_PERIOD,$E$5:$E$750,E661,$R$5:$R$750,TRUE(),$S$5:$S$750,"&gt;"&amp;S661)+COUNTIFS($D$5:$D$750,WF_END_PERIOD,$E$5:$E$750,E661,$R$5:$R$750,TRUE(),$S$5:$S$750,S661,$B$5:$B$750,"&lt;"&amp;B661),"")</f>
        <v/>
      </c>
      <c r="AA661" s="0" t="str">
        <f aca="false">IF(AND(D661=WF_END_PERIOD,R661,Z661&lt;&gt;1),1+COUNTIFS($D$5:$D$750,WF_END_PERIOD,$R$5:$R$750,TRUE(),$Z$5:$Z$750,"&lt;&gt;1",$S$5:$S$750,"&gt;"&amp;S661)+COUNTIFS($D$5:$D$750,WF_END_PERIOD,$R$5:$R$750,TRUE(),$Z$5:$Z$750,"&lt;&gt;1",$S$5:$S$750,S661,$B$5:$B$750,"&lt;"&amp;B661),"")</f>
        <v/>
      </c>
      <c r="AB661" s="11" t="b">
        <f aca="false">OR(D661=WF_START_PERIOD,D661=WF_END_PERIOD)</f>
        <v>0</v>
      </c>
      <c r="AC661" s="0" t="str">
        <f aca="false">B661&amp;"|"&amp;D661</f>
        <v>17749|20250331</v>
      </c>
    </row>
    <row r="662" customFormat="false" ht="15" hidden="false" customHeight="false" outlineLevel="0" collapsed="false">
      <c r="A662" s="0" t="n">
        <f aca="false">RawFinancials!A662</f>
        <v>659</v>
      </c>
      <c r="B662" s="0" t="n">
        <f aca="false">RawFinancials!C662</f>
        <v>17751</v>
      </c>
      <c r="C662" s="0" t="str">
        <f aca="false">RawFinancials!P662</f>
        <v>ANDROSCOGGIN SAVINGS BANK</v>
      </c>
      <c r="D662" s="0" t="n">
        <f aca="false">RawFinancials!W662</f>
        <v>20250331</v>
      </c>
      <c r="E662" s="0" t="str">
        <f aca="false">RawFinancials!Z662</f>
        <v>ME</v>
      </c>
      <c r="F662" s="0" t="n">
        <f aca="false">RawFinancials!B662</f>
        <v>1694530</v>
      </c>
      <c r="G662" s="0" t="n">
        <f aca="false">RawFinancials!U662</f>
        <v>0</v>
      </c>
      <c r="H662" s="0" t="n">
        <f aca="false">RawFinancials!O662</f>
        <v>2675</v>
      </c>
      <c r="I662" s="0" t="n">
        <f aca="false">IF(AND(ISNUMBER(G662),ISNUMBER(H662)),G662+H662,"")</f>
        <v>2675</v>
      </c>
      <c r="J662" s="0" t="n">
        <f aca="false">RawFinancials!D662</f>
        <v>1333884</v>
      </c>
      <c r="K662" s="0" t="n">
        <f aca="false">RawFinancials!F662</f>
        <v>150042</v>
      </c>
      <c r="L662" s="0" t="n">
        <f aca="false">RawFinancials!L662</f>
        <v>1410815</v>
      </c>
      <c r="M662" s="0" t="n">
        <f aca="false">RawFinancials!N662</f>
        <v>1197971</v>
      </c>
      <c r="N662" s="13" t="n">
        <f aca="false">RawFinancials!X662</f>
        <v>0.361584129388483</v>
      </c>
      <c r="O662" s="13" t="n">
        <f aca="false">RawFinancials!V662</f>
        <v>12.3894136970979</v>
      </c>
      <c r="P662" s="13" t="n">
        <f aca="false">IF(AND(ISNUMBER(L662),L662&lt;&gt;0,ISNUMBER(M662)),100*M662/L662,"")</f>
        <v>84.9134011192112</v>
      </c>
      <c r="Q662" s="13" t="n">
        <f aca="false">IF(AND(ISNUMBER(F662),F662&lt;&gt;0,ISNUMBER(K662)),100*K662/F662,"")</f>
        <v>8.85449062571923</v>
      </c>
      <c r="R662" s="11" t="b">
        <f aca="false">AND(ISNUMBER(F662),F662&gt;0,ISNUMBER(G662),G662&gt;=0,ISNUMBER(H662),H662&gt;=0)</f>
        <v>1</v>
      </c>
      <c r="S662" s="13" t="n">
        <f aca="false">IF(R662,100*I662/F662,"")</f>
        <v>0.157860881778428</v>
      </c>
      <c r="T662" s="11" t="b">
        <f aca="false">NOT(AND(OR(AND(ISBLANK(RawFinancials!B662),ISBLANK(_RawBaseline!B659)),AND(ISNUMBER(RawFinancials!B662),ISNUMBER(_RawBaseline!B659),RawFinancials!B662=_RawBaseline!B659)),OR(AND(ISBLANK(RawFinancials!U662),ISBLANK(_RawBaseline!U659)),AND(ISNUMBER(RawFinancials!U662),ISNUMBER(_RawBaseline!U659),RawFinancials!U662=_RawBaseline!U659)),OR(AND(ISBLANK(RawFinancials!O662),ISBLANK(_RawBaseline!O659)),AND(ISNUMBER(RawFinancials!O662),ISNUMBER(_RawBaseline!O659),RawFinancials!O662=_RawBaseline!O659))))</f>
        <v>0</v>
      </c>
      <c r="U662" s="13" t="n">
        <f aca="false">IF(AND(D662=WF_START_PERIOD,R662,COUNTIFS($B$5:$B$750,B662,$D$5:$D$750,WF_END_PERIOD,$R$5:$R$750,TRUE())&gt;0),SUMIFS($S$5:$S$750,$B$5:$B$750,B662,$D$5:$D$750,WF_END_PERIOD,$R$5:$R$750,TRUE()),0)</f>
        <v>0</v>
      </c>
      <c r="V662" s="0" t="str">
        <f aca="false">IF(AND(D662=WF_START_PERIOD,COUNTIFS($B$5:$B$750,B662,$D$5:$D$750,WF_END_PERIOD)&gt;0),INDEX($E$5:$E$750,MATCH(B662&amp;"|"&amp;WF_END_PERIOD,$AC$5:$AC$750,0)),"")</f>
        <v/>
      </c>
      <c r="W662" s="11" t="b">
        <f aca="false">COUNTIFS($B$5:$B$750,B662,$D$5:$D$750,WF_START_PERIOD,$R$5:$R$750,TRUE())&gt;0</f>
        <v>1</v>
      </c>
      <c r="X662" s="11" t="b">
        <f aca="false">COUNTIFS($B$5:$B$750,B662,$D$5:$D$750,WF_END_PERIOD,$R$5:$R$750,TRUE())&gt;0</f>
        <v>1</v>
      </c>
      <c r="Y662" s="0" t="str">
        <f aca="false">IF(AND(D662=WF_END_PERIOD,COUNTIFS($B$5:$B$750,B662,$D$5:$D$750,WF_START_PERIOD)&gt;0),INDEX($E$5:$E$750,MATCH(B662&amp;"|"&amp;WF_START_PERIOD,$AC$5:$AC$750,0)),"")</f>
        <v/>
      </c>
      <c r="Z662" s="0" t="str">
        <f aca="false">IF(AND(D662=WF_END_PERIOD,R662),1+COUNTIFS($D$5:$D$750,WF_END_PERIOD,$E$5:$E$750,E662,$R$5:$R$750,TRUE(),$S$5:$S$750,"&gt;"&amp;S662)+COUNTIFS($D$5:$D$750,WF_END_PERIOD,$E$5:$E$750,E662,$R$5:$R$750,TRUE(),$S$5:$S$750,S662,$B$5:$B$750,"&lt;"&amp;B662),"")</f>
        <v/>
      </c>
      <c r="AA662" s="0" t="str">
        <f aca="false">IF(AND(D662=WF_END_PERIOD,R662,Z662&lt;&gt;1),1+COUNTIFS($D$5:$D$750,WF_END_PERIOD,$R$5:$R$750,TRUE(),$Z$5:$Z$750,"&lt;&gt;1",$S$5:$S$750,"&gt;"&amp;S662)+COUNTIFS($D$5:$D$750,WF_END_PERIOD,$R$5:$R$750,TRUE(),$Z$5:$Z$750,"&lt;&gt;1",$S$5:$S$750,S662,$B$5:$B$750,"&lt;"&amp;B662),"")</f>
        <v/>
      </c>
      <c r="AB662" s="11" t="b">
        <f aca="false">OR(D662=WF_START_PERIOD,D662=WF_END_PERIOD)</f>
        <v>0</v>
      </c>
      <c r="AC662" s="0" t="str">
        <f aca="false">B662&amp;"|"&amp;D662</f>
        <v>17751|20250331</v>
      </c>
    </row>
    <row r="663" customFormat="false" ht="15" hidden="false" customHeight="false" outlineLevel="0" collapsed="false">
      <c r="A663" s="0" t="n">
        <f aca="false">RawFinancials!A663</f>
        <v>660</v>
      </c>
      <c r="B663" s="0" t="n">
        <f aca="false">RawFinancials!C663</f>
        <v>17897</v>
      </c>
      <c r="C663" s="0" t="str">
        <f aca="false">RawFinancials!P663</f>
        <v>KENNEBEC SAVINGS BANK</v>
      </c>
      <c r="D663" s="0" t="n">
        <f aca="false">RawFinancials!W663</f>
        <v>20250331</v>
      </c>
      <c r="E663" s="0" t="str">
        <f aca="false">RawFinancials!Z663</f>
        <v>ME</v>
      </c>
      <c r="F663" s="0" t="n">
        <f aca="false">RawFinancials!B663</f>
        <v>1759715</v>
      </c>
      <c r="G663" s="0" t="n">
        <f aca="false">RawFinancials!U663</f>
        <v>20</v>
      </c>
      <c r="H663" s="0" t="n">
        <f aca="false">RawFinancials!O663</f>
        <v>4816</v>
      </c>
      <c r="I663" s="0" t="n">
        <f aca="false">IF(AND(ISNUMBER(G663),ISNUMBER(H663)),G663+H663,"")</f>
        <v>4836</v>
      </c>
      <c r="J663" s="0" t="n">
        <f aca="false">RawFinancials!D663</f>
        <v>1345096</v>
      </c>
      <c r="K663" s="0" t="n">
        <f aca="false">RawFinancials!F663</f>
        <v>219109</v>
      </c>
      <c r="L663" s="0" t="n">
        <f aca="false">RawFinancials!L663</f>
        <v>1470647</v>
      </c>
      <c r="M663" s="0" t="n">
        <f aca="false">RawFinancials!N663</f>
        <v>1370211</v>
      </c>
      <c r="N663" s="13" t="n">
        <f aca="false">RawFinancials!X663</f>
        <v>0.437372293588705</v>
      </c>
      <c r="O663" s="13" t="n">
        <f aca="false">RawFinancials!V663</f>
        <v>17.5946551181685</v>
      </c>
      <c r="P663" s="13" t="n">
        <f aca="false">IF(AND(ISNUMBER(L663),L663&lt;&gt;0,ISNUMBER(M663)),100*M663/L663,"")</f>
        <v>93.1706249018289</v>
      </c>
      <c r="Q663" s="13" t="n">
        <f aca="false">IF(AND(ISNUMBER(F663),F663&lt;&gt;0,ISNUMBER(K663)),100*K663/F663,"")</f>
        <v>12.4513912764283</v>
      </c>
      <c r="R663" s="11" t="b">
        <f aca="false">AND(ISNUMBER(F663),F663&gt;0,ISNUMBER(G663),G663&gt;=0,ISNUMBER(H663),H663&gt;=0)</f>
        <v>1</v>
      </c>
      <c r="S663" s="13" t="n">
        <f aca="false">IF(R663,100*I663/F663,"")</f>
        <v>0.274817228926275</v>
      </c>
      <c r="T663" s="11" t="b">
        <f aca="false">NOT(AND(OR(AND(ISBLANK(RawFinancials!B663),ISBLANK(_RawBaseline!B660)),AND(ISNUMBER(RawFinancials!B663),ISNUMBER(_RawBaseline!B660),RawFinancials!B663=_RawBaseline!B660)),OR(AND(ISBLANK(RawFinancials!U663),ISBLANK(_RawBaseline!U660)),AND(ISNUMBER(RawFinancials!U663),ISNUMBER(_RawBaseline!U660),RawFinancials!U663=_RawBaseline!U660)),OR(AND(ISBLANK(RawFinancials!O663),ISBLANK(_RawBaseline!O660)),AND(ISNUMBER(RawFinancials!O663),ISNUMBER(_RawBaseline!O660),RawFinancials!O663=_RawBaseline!O660))))</f>
        <v>0</v>
      </c>
      <c r="U663" s="13" t="n">
        <f aca="false">IF(AND(D663=WF_START_PERIOD,R663,COUNTIFS($B$5:$B$750,B663,$D$5:$D$750,WF_END_PERIOD,$R$5:$R$750,TRUE())&gt;0),SUMIFS($S$5:$S$750,$B$5:$B$750,B663,$D$5:$D$750,WF_END_PERIOD,$R$5:$R$750,TRUE()),0)</f>
        <v>0</v>
      </c>
      <c r="V663" s="0" t="str">
        <f aca="false">IF(AND(D663=WF_START_PERIOD,COUNTIFS($B$5:$B$750,B663,$D$5:$D$750,WF_END_PERIOD)&gt;0),INDEX($E$5:$E$750,MATCH(B663&amp;"|"&amp;WF_END_PERIOD,$AC$5:$AC$750,0)),"")</f>
        <v/>
      </c>
      <c r="W663" s="11" t="b">
        <f aca="false">COUNTIFS($B$5:$B$750,B663,$D$5:$D$750,WF_START_PERIOD,$R$5:$R$750,TRUE())&gt;0</f>
        <v>1</v>
      </c>
      <c r="X663" s="11" t="b">
        <f aca="false">COUNTIFS($B$5:$B$750,B663,$D$5:$D$750,WF_END_PERIOD,$R$5:$R$750,TRUE())&gt;0</f>
        <v>1</v>
      </c>
      <c r="Y663" s="0" t="str">
        <f aca="false">IF(AND(D663=WF_END_PERIOD,COUNTIFS($B$5:$B$750,B663,$D$5:$D$750,WF_START_PERIOD)&gt;0),INDEX($E$5:$E$750,MATCH(B663&amp;"|"&amp;WF_START_PERIOD,$AC$5:$AC$750,0)),"")</f>
        <v/>
      </c>
      <c r="Z663" s="0" t="str">
        <f aca="false">IF(AND(D663=WF_END_PERIOD,R663),1+COUNTIFS($D$5:$D$750,WF_END_PERIOD,$E$5:$E$750,E663,$R$5:$R$750,TRUE(),$S$5:$S$750,"&gt;"&amp;S663)+COUNTIFS($D$5:$D$750,WF_END_PERIOD,$E$5:$E$750,E663,$R$5:$R$750,TRUE(),$S$5:$S$750,S663,$B$5:$B$750,"&lt;"&amp;B663),"")</f>
        <v/>
      </c>
      <c r="AA663" s="0" t="str">
        <f aca="false">IF(AND(D663=WF_END_PERIOD,R663,Z663&lt;&gt;1),1+COUNTIFS($D$5:$D$750,WF_END_PERIOD,$R$5:$R$750,TRUE(),$Z$5:$Z$750,"&lt;&gt;1",$S$5:$S$750,"&gt;"&amp;S663)+COUNTIFS($D$5:$D$750,WF_END_PERIOD,$R$5:$R$750,TRUE(),$Z$5:$Z$750,"&lt;&gt;1",$S$5:$S$750,S663,$B$5:$B$750,"&lt;"&amp;B663),"")</f>
        <v/>
      </c>
      <c r="AB663" s="11" t="b">
        <f aca="false">OR(D663=WF_START_PERIOD,D663=WF_END_PERIOD)</f>
        <v>0</v>
      </c>
      <c r="AC663" s="0" t="str">
        <f aca="false">B663&amp;"|"&amp;D663</f>
        <v>17897|20250331</v>
      </c>
    </row>
    <row r="664" customFormat="false" ht="15" hidden="false" customHeight="false" outlineLevel="0" collapsed="false">
      <c r="A664" s="0" t="n">
        <f aca="false">RawFinancials!A664</f>
        <v>661</v>
      </c>
      <c r="B664" s="0" t="n">
        <f aca="false">RawFinancials!C664</f>
        <v>17951</v>
      </c>
      <c r="C664" s="0" t="str">
        <f aca="false">RawFinancials!P664</f>
        <v>FRANKLIN SAVINGS BANK</v>
      </c>
      <c r="D664" s="0" t="n">
        <f aca="false">RawFinancials!W664</f>
        <v>20250331</v>
      </c>
      <c r="E664" s="0" t="str">
        <f aca="false">RawFinancials!Z664</f>
        <v>NH</v>
      </c>
      <c r="F664" s="0" t="n">
        <f aca="false">RawFinancials!B664</f>
        <v>856737</v>
      </c>
      <c r="G664" s="0" t="n">
        <f aca="false">RawFinancials!U664</f>
        <v>0</v>
      </c>
      <c r="H664" s="0" t="n">
        <f aca="false">RawFinancials!O664</f>
        <v>152</v>
      </c>
      <c r="I664" s="0" t="n">
        <f aca="false">IF(AND(ISNUMBER(G664),ISNUMBER(H664)),G664+H664,"")</f>
        <v>152</v>
      </c>
      <c r="J664" s="0" t="n">
        <f aca="false">RawFinancials!D664</f>
        <v>714191</v>
      </c>
      <c r="K664" s="0" t="n">
        <f aca="false">RawFinancials!F664</f>
        <v>68926</v>
      </c>
      <c r="L664" s="0" t="n">
        <f aca="false">RawFinancials!L664</f>
        <v>656065</v>
      </c>
      <c r="M664" s="0" t="n">
        <f aca="false">RawFinancials!N664</f>
        <v>602633</v>
      </c>
      <c r="N664" s="13" t="n">
        <f aca="false">RawFinancials!X664</f>
        <v>0.569958063286313</v>
      </c>
      <c r="O664" s="13" t="n">
        <f aca="false">RawFinancials!V664</f>
        <v>13.5230158316307</v>
      </c>
      <c r="P664" s="13" t="n">
        <f aca="false">IF(AND(ISNUMBER(L664),L664&lt;&gt;0,ISNUMBER(M664)),100*M664/L664,"")</f>
        <v>91.8556850312088</v>
      </c>
      <c r="Q664" s="13" t="n">
        <f aca="false">IF(AND(ISNUMBER(F664),F664&lt;&gt;0,ISNUMBER(K664)),100*K664/F664,"")</f>
        <v>8.04517605752991</v>
      </c>
      <c r="R664" s="11" t="b">
        <f aca="false">AND(ISNUMBER(F664),F664&gt;0,ISNUMBER(G664),G664&gt;=0,ISNUMBER(H664),H664&gt;=0)</f>
        <v>1</v>
      </c>
      <c r="S664" s="13" t="n">
        <f aca="false">IF(R664,100*I664/F664,"")</f>
        <v>0.0177417340444034</v>
      </c>
      <c r="T664" s="11" t="b">
        <f aca="false">NOT(AND(OR(AND(ISBLANK(RawFinancials!B664),ISBLANK(_RawBaseline!B661)),AND(ISNUMBER(RawFinancials!B664),ISNUMBER(_RawBaseline!B661),RawFinancials!B664=_RawBaseline!B661)),OR(AND(ISBLANK(RawFinancials!U664),ISBLANK(_RawBaseline!U661)),AND(ISNUMBER(RawFinancials!U664),ISNUMBER(_RawBaseline!U661),RawFinancials!U664=_RawBaseline!U661)),OR(AND(ISBLANK(RawFinancials!O664),ISBLANK(_RawBaseline!O661)),AND(ISNUMBER(RawFinancials!O664),ISNUMBER(_RawBaseline!O661),RawFinancials!O664=_RawBaseline!O661))))</f>
        <v>0</v>
      </c>
      <c r="U664" s="13" t="n">
        <f aca="false">IF(AND(D664=WF_START_PERIOD,R664,COUNTIFS($B$5:$B$750,B664,$D$5:$D$750,WF_END_PERIOD,$R$5:$R$750,TRUE())&gt;0),SUMIFS($S$5:$S$750,$B$5:$B$750,B664,$D$5:$D$750,WF_END_PERIOD,$R$5:$R$750,TRUE()),0)</f>
        <v>0</v>
      </c>
      <c r="V664" s="0" t="str">
        <f aca="false">IF(AND(D664=WF_START_PERIOD,COUNTIFS($B$5:$B$750,B664,$D$5:$D$750,WF_END_PERIOD)&gt;0),INDEX($E$5:$E$750,MATCH(B664&amp;"|"&amp;WF_END_PERIOD,$AC$5:$AC$750,0)),"")</f>
        <v/>
      </c>
      <c r="W664" s="11" t="b">
        <f aca="false">COUNTIFS($B$5:$B$750,B664,$D$5:$D$750,WF_START_PERIOD,$R$5:$R$750,TRUE())&gt;0</f>
        <v>1</v>
      </c>
      <c r="X664" s="11" t="b">
        <f aca="false">COUNTIFS($B$5:$B$750,B664,$D$5:$D$750,WF_END_PERIOD,$R$5:$R$750,TRUE())&gt;0</f>
        <v>1</v>
      </c>
      <c r="Y664" s="0" t="str">
        <f aca="false">IF(AND(D664=WF_END_PERIOD,COUNTIFS($B$5:$B$750,B664,$D$5:$D$750,WF_START_PERIOD)&gt;0),INDEX($E$5:$E$750,MATCH(B664&amp;"|"&amp;WF_START_PERIOD,$AC$5:$AC$750,0)),"")</f>
        <v/>
      </c>
      <c r="Z664" s="0" t="str">
        <f aca="false">IF(AND(D664=WF_END_PERIOD,R664),1+COUNTIFS($D$5:$D$750,WF_END_PERIOD,$E$5:$E$750,E664,$R$5:$R$750,TRUE(),$S$5:$S$750,"&gt;"&amp;S664)+COUNTIFS($D$5:$D$750,WF_END_PERIOD,$E$5:$E$750,E664,$R$5:$R$750,TRUE(),$S$5:$S$750,S664,$B$5:$B$750,"&lt;"&amp;B664),"")</f>
        <v/>
      </c>
      <c r="AA664" s="0" t="str">
        <f aca="false">IF(AND(D664=WF_END_PERIOD,R664,Z664&lt;&gt;1),1+COUNTIFS($D$5:$D$750,WF_END_PERIOD,$R$5:$R$750,TRUE(),$Z$5:$Z$750,"&lt;&gt;1",$S$5:$S$750,"&gt;"&amp;S664)+COUNTIFS($D$5:$D$750,WF_END_PERIOD,$R$5:$R$750,TRUE(),$Z$5:$Z$750,"&lt;&gt;1",$S$5:$S$750,S664,$B$5:$B$750,"&lt;"&amp;B664),"")</f>
        <v/>
      </c>
      <c r="AB664" s="11" t="b">
        <f aca="false">OR(D664=WF_START_PERIOD,D664=WF_END_PERIOD)</f>
        <v>0</v>
      </c>
      <c r="AC664" s="0" t="str">
        <f aca="false">B664&amp;"|"&amp;D664</f>
        <v>17951|20250331</v>
      </c>
    </row>
    <row r="665" customFormat="false" ht="15" hidden="false" customHeight="false" outlineLevel="0" collapsed="false">
      <c r="A665" s="0" t="n">
        <f aca="false">RawFinancials!A665</f>
        <v>662</v>
      </c>
      <c r="B665" s="0" t="n">
        <f aca="false">RawFinancials!C665</f>
        <v>17960</v>
      </c>
      <c r="C665" s="0" t="str">
        <f aca="false">RawFinancials!P665</f>
        <v>MERRIMACK COUNTY SAVINGS BANK</v>
      </c>
      <c r="D665" s="0" t="n">
        <f aca="false">RawFinancials!W665</f>
        <v>20250331</v>
      </c>
      <c r="E665" s="0" t="str">
        <f aca="false">RawFinancials!Z665</f>
        <v>NH</v>
      </c>
      <c r="F665" s="0" t="n">
        <f aca="false">RawFinancials!B665</f>
        <v>1354203</v>
      </c>
      <c r="G665" s="0" t="n">
        <f aca="false">RawFinancials!U665</f>
        <v>0</v>
      </c>
      <c r="H665" s="0" t="n">
        <f aca="false">RawFinancials!O665</f>
        <v>7626</v>
      </c>
      <c r="I665" s="0" t="n">
        <f aca="false">IF(AND(ISNUMBER(G665),ISNUMBER(H665)),G665+H665,"")</f>
        <v>7626</v>
      </c>
      <c r="J665" s="0" t="n">
        <f aca="false">RawFinancials!D665</f>
        <v>1112041</v>
      </c>
      <c r="K665" s="0" t="n">
        <f aca="false">RawFinancials!F665</f>
        <v>118120</v>
      </c>
      <c r="L665" s="0" t="n">
        <f aca="false">RawFinancials!L665</f>
        <v>1150070</v>
      </c>
      <c r="M665" s="0" t="n">
        <f aca="false">RawFinancials!N665</f>
        <v>811642</v>
      </c>
      <c r="N665" s="13" t="n">
        <f aca="false">RawFinancials!X665</f>
        <v>0.293339162698366</v>
      </c>
      <c r="O665" s="13" t="n">
        <f aca="false">RawFinancials!V665</f>
        <v>13.7521204502019</v>
      </c>
      <c r="P665" s="13" t="n">
        <f aca="false">IF(AND(ISNUMBER(L665),L665&lt;&gt;0,ISNUMBER(M665)),100*M665/L665,"")</f>
        <v>70.5732694531637</v>
      </c>
      <c r="Q665" s="13" t="n">
        <f aca="false">IF(AND(ISNUMBER(F665),F665&lt;&gt;0,ISNUMBER(K665)),100*K665/F665,"")</f>
        <v>8.72247366162976</v>
      </c>
      <c r="R665" s="11" t="b">
        <f aca="false">AND(ISNUMBER(F665),F665&gt;0,ISNUMBER(G665),G665&gt;=0,ISNUMBER(H665),H665&gt;=0)</f>
        <v>1</v>
      </c>
      <c r="S665" s="13" t="n">
        <f aca="false">IF(R665,100*I665/F665,"")</f>
        <v>0.563135659867834</v>
      </c>
      <c r="T665" s="11" t="b">
        <f aca="false">NOT(AND(OR(AND(ISBLANK(RawFinancials!B665),ISBLANK(_RawBaseline!B662)),AND(ISNUMBER(RawFinancials!B665),ISNUMBER(_RawBaseline!B662),RawFinancials!B665=_RawBaseline!B662)),OR(AND(ISBLANK(RawFinancials!U665),ISBLANK(_RawBaseline!U662)),AND(ISNUMBER(RawFinancials!U665),ISNUMBER(_RawBaseline!U662),RawFinancials!U665=_RawBaseline!U662)),OR(AND(ISBLANK(RawFinancials!O665),ISBLANK(_RawBaseline!O662)),AND(ISNUMBER(RawFinancials!O665),ISNUMBER(_RawBaseline!O662),RawFinancials!O665=_RawBaseline!O662))))</f>
        <v>0</v>
      </c>
      <c r="U665" s="13" t="n">
        <f aca="false">IF(AND(D665=WF_START_PERIOD,R665,COUNTIFS($B$5:$B$750,B665,$D$5:$D$750,WF_END_PERIOD,$R$5:$R$750,TRUE())&gt;0),SUMIFS($S$5:$S$750,$B$5:$B$750,B665,$D$5:$D$750,WF_END_PERIOD,$R$5:$R$750,TRUE()),0)</f>
        <v>0</v>
      </c>
      <c r="V665" s="0" t="str">
        <f aca="false">IF(AND(D665=WF_START_PERIOD,COUNTIFS($B$5:$B$750,B665,$D$5:$D$750,WF_END_PERIOD)&gt;0),INDEX($E$5:$E$750,MATCH(B665&amp;"|"&amp;WF_END_PERIOD,$AC$5:$AC$750,0)),"")</f>
        <v/>
      </c>
      <c r="W665" s="11" t="b">
        <f aca="false">COUNTIFS($B$5:$B$750,B665,$D$5:$D$750,WF_START_PERIOD,$R$5:$R$750,TRUE())&gt;0</f>
        <v>1</v>
      </c>
      <c r="X665" s="11" t="b">
        <f aca="false">COUNTIFS($B$5:$B$750,B665,$D$5:$D$750,WF_END_PERIOD,$R$5:$R$750,TRUE())&gt;0</f>
        <v>1</v>
      </c>
      <c r="Y665" s="0" t="str">
        <f aca="false">IF(AND(D665=WF_END_PERIOD,COUNTIFS($B$5:$B$750,B665,$D$5:$D$750,WF_START_PERIOD)&gt;0),INDEX($E$5:$E$750,MATCH(B665&amp;"|"&amp;WF_START_PERIOD,$AC$5:$AC$750,0)),"")</f>
        <v/>
      </c>
      <c r="Z665" s="0" t="str">
        <f aca="false">IF(AND(D665=WF_END_PERIOD,R665),1+COUNTIFS($D$5:$D$750,WF_END_PERIOD,$E$5:$E$750,E665,$R$5:$R$750,TRUE(),$S$5:$S$750,"&gt;"&amp;S665)+COUNTIFS($D$5:$D$750,WF_END_PERIOD,$E$5:$E$750,E665,$R$5:$R$750,TRUE(),$S$5:$S$750,S665,$B$5:$B$750,"&lt;"&amp;B665),"")</f>
        <v/>
      </c>
      <c r="AA665" s="0" t="str">
        <f aca="false">IF(AND(D665=WF_END_PERIOD,R665,Z665&lt;&gt;1),1+COUNTIFS($D$5:$D$750,WF_END_PERIOD,$R$5:$R$750,TRUE(),$Z$5:$Z$750,"&lt;&gt;1",$S$5:$S$750,"&gt;"&amp;S665)+COUNTIFS($D$5:$D$750,WF_END_PERIOD,$R$5:$R$750,TRUE(),$Z$5:$Z$750,"&lt;&gt;1",$S$5:$S$750,S665,$B$5:$B$750,"&lt;"&amp;B665),"")</f>
        <v/>
      </c>
      <c r="AB665" s="11" t="b">
        <f aca="false">OR(D665=WF_START_PERIOD,D665=WF_END_PERIOD)</f>
        <v>0</v>
      </c>
      <c r="AC665" s="0" t="str">
        <f aca="false">B665&amp;"|"&amp;D665</f>
        <v>17960|20250331</v>
      </c>
    </row>
    <row r="666" customFormat="false" ht="15" hidden="false" customHeight="false" outlineLevel="0" collapsed="false">
      <c r="A666" s="0" t="n">
        <f aca="false">RawFinancials!A666</f>
        <v>663</v>
      </c>
      <c r="B666" s="0" t="n">
        <f aca="false">RawFinancials!C666</f>
        <v>18012</v>
      </c>
      <c r="C666" s="0" t="str">
        <f aca="false">RawFinancials!P666</f>
        <v>BANK OF NEW HAMPSHIRE</v>
      </c>
      <c r="D666" s="0" t="n">
        <f aca="false">RawFinancials!W666</f>
        <v>20250331</v>
      </c>
      <c r="E666" s="0" t="str">
        <f aca="false">RawFinancials!Z666</f>
        <v>NH</v>
      </c>
      <c r="F666" s="0" t="n">
        <f aca="false">RawFinancials!B666</f>
        <v>2654603</v>
      </c>
      <c r="G666" s="0" t="n">
        <f aca="false">RawFinancials!U666</f>
        <v>0</v>
      </c>
      <c r="H666" s="0" t="n">
        <f aca="false">RawFinancials!O666</f>
        <v>1089</v>
      </c>
      <c r="I666" s="0" t="n">
        <f aca="false">IF(AND(ISNUMBER(G666),ISNUMBER(H666)),G666+H666,"")</f>
        <v>1089</v>
      </c>
      <c r="J666" s="0" t="n">
        <f aca="false">RawFinancials!D666</f>
        <v>2299127</v>
      </c>
      <c r="K666" s="0" t="n">
        <f aca="false">RawFinancials!F666</f>
        <v>293951</v>
      </c>
      <c r="L666" s="0" t="n">
        <f aca="false">RawFinancials!L666</f>
        <v>2121041</v>
      </c>
      <c r="M666" s="0" t="n">
        <f aca="false">RawFinancials!N666</f>
        <v>2023412</v>
      </c>
      <c r="N666" s="13" t="n">
        <f aca="false">RawFinancials!X666</f>
        <v>0.745930213394085</v>
      </c>
      <c r="O666" s="13" t="n">
        <f aca="false">RawFinancials!V666</f>
        <v>14.0643760616757</v>
      </c>
      <c r="P666" s="13" t="n">
        <f aca="false">IF(AND(ISNUMBER(L666),L666&lt;&gt;0,ISNUMBER(M666)),100*M666/L666,"")</f>
        <v>95.3971186789883</v>
      </c>
      <c r="Q666" s="13" t="n">
        <f aca="false">IF(AND(ISNUMBER(F666),F666&lt;&gt;0,ISNUMBER(K666)),100*K666/F666,"")</f>
        <v>11.0732565283773</v>
      </c>
      <c r="R666" s="11" t="b">
        <f aca="false">AND(ISNUMBER(F666),F666&gt;0,ISNUMBER(G666),G666&gt;=0,ISNUMBER(H666),H666&gt;=0)</f>
        <v>1</v>
      </c>
      <c r="S666" s="13" t="n">
        <f aca="false">IF(R666,100*I666/F666,"")</f>
        <v>0.0410230833009682</v>
      </c>
      <c r="T666" s="11" t="b">
        <f aca="false">NOT(AND(OR(AND(ISBLANK(RawFinancials!B666),ISBLANK(_RawBaseline!B663)),AND(ISNUMBER(RawFinancials!B666),ISNUMBER(_RawBaseline!B663),RawFinancials!B666=_RawBaseline!B663)),OR(AND(ISBLANK(RawFinancials!U666),ISBLANK(_RawBaseline!U663)),AND(ISNUMBER(RawFinancials!U666),ISNUMBER(_RawBaseline!U663),RawFinancials!U666=_RawBaseline!U663)),OR(AND(ISBLANK(RawFinancials!O666),ISBLANK(_RawBaseline!O663)),AND(ISNUMBER(RawFinancials!O666),ISNUMBER(_RawBaseline!O663),RawFinancials!O666=_RawBaseline!O663))))</f>
        <v>0</v>
      </c>
      <c r="U666" s="13" t="n">
        <f aca="false">IF(AND(D666=WF_START_PERIOD,R666,COUNTIFS($B$5:$B$750,B666,$D$5:$D$750,WF_END_PERIOD,$R$5:$R$750,TRUE())&gt;0),SUMIFS($S$5:$S$750,$B$5:$B$750,B666,$D$5:$D$750,WF_END_PERIOD,$R$5:$R$750,TRUE()),0)</f>
        <v>0</v>
      </c>
      <c r="V666" s="0" t="str">
        <f aca="false">IF(AND(D666=WF_START_PERIOD,COUNTIFS($B$5:$B$750,B666,$D$5:$D$750,WF_END_PERIOD)&gt;0),INDEX($E$5:$E$750,MATCH(B666&amp;"|"&amp;WF_END_PERIOD,$AC$5:$AC$750,0)),"")</f>
        <v/>
      </c>
      <c r="W666" s="11" t="b">
        <f aca="false">COUNTIFS($B$5:$B$750,B666,$D$5:$D$750,WF_START_PERIOD,$R$5:$R$750,TRUE())&gt;0</f>
        <v>1</v>
      </c>
      <c r="X666" s="11" t="b">
        <f aca="false">COUNTIFS($B$5:$B$750,B666,$D$5:$D$750,WF_END_PERIOD,$R$5:$R$750,TRUE())&gt;0</f>
        <v>1</v>
      </c>
      <c r="Y666" s="0" t="str">
        <f aca="false">IF(AND(D666=WF_END_PERIOD,COUNTIFS($B$5:$B$750,B666,$D$5:$D$750,WF_START_PERIOD)&gt;0),INDEX($E$5:$E$750,MATCH(B666&amp;"|"&amp;WF_START_PERIOD,$AC$5:$AC$750,0)),"")</f>
        <v/>
      </c>
      <c r="Z666" s="0" t="str">
        <f aca="false">IF(AND(D666=WF_END_PERIOD,R666),1+COUNTIFS($D$5:$D$750,WF_END_PERIOD,$E$5:$E$750,E666,$R$5:$R$750,TRUE(),$S$5:$S$750,"&gt;"&amp;S666)+COUNTIFS($D$5:$D$750,WF_END_PERIOD,$E$5:$E$750,E666,$R$5:$R$750,TRUE(),$S$5:$S$750,S666,$B$5:$B$750,"&lt;"&amp;B666),"")</f>
        <v/>
      </c>
      <c r="AA666" s="0" t="str">
        <f aca="false">IF(AND(D666=WF_END_PERIOD,R666,Z666&lt;&gt;1),1+COUNTIFS($D$5:$D$750,WF_END_PERIOD,$R$5:$R$750,TRUE(),$Z$5:$Z$750,"&lt;&gt;1",$S$5:$S$750,"&gt;"&amp;S666)+COUNTIFS($D$5:$D$750,WF_END_PERIOD,$R$5:$R$750,TRUE(),$Z$5:$Z$750,"&lt;&gt;1",$S$5:$S$750,S666,$B$5:$B$750,"&lt;"&amp;B666),"")</f>
        <v/>
      </c>
      <c r="AB666" s="11" t="b">
        <f aca="false">OR(D666=WF_START_PERIOD,D666=WF_END_PERIOD)</f>
        <v>0</v>
      </c>
      <c r="AC666" s="0" t="str">
        <f aca="false">B666&amp;"|"&amp;D666</f>
        <v>18012|20250331</v>
      </c>
    </row>
    <row r="667" customFormat="false" ht="15" hidden="false" customHeight="false" outlineLevel="0" collapsed="false">
      <c r="A667" s="0" t="n">
        <f aca="false">RawFinancials!A667</f>
        <v>664</v>
      </c>
      <c r="B667" s="0" t="n">
        <f aca="false">RawFinancials!C667</f>
        <v>18013</v>
      </c>
      <c r="C667" s="0" t="str">
        <f aca="false">RawFinancials!P667</f>
        <v>MASCOMA BANK</v>
      </c>
      <c r="D667" s="0" t="n">
        <f aca="false">RawFinancials!W667</f>
        <v>20250331</v>
      </c>
      <c r="E667" s="0" t="str">
        <f aca="false">RawFinancials!Z667</f>
        <v>NH</v>
      </c>
      <c r="F667" s="0" t="n">
        <f aca="false">RawFinancials!B667</f>
        <v>2886966</v>
      </c>
      <c r="G667" s="0" t="n">
        <f aca="false">RawFinancials!U667</f>
        <v>52</v>
      </c>
      <c r="H667" s="0" t="n">
        <f aca="false">RawFinancials!O667</f>
        <v>2219</v>
      </c>
      <c r="I667" s="0" t="n">
        <f aca="false">IF(AND(ISNUMBER(G667),ISNUMBER(H667)),G667+H667,"")</f>
        <v>2271</v>
      </c>
      <c r="J667" s="0" t="n">
        <f aca="false">RawFinancials!D667</f>
        <v>2567945</v>
      </c>
      <c r="K667" s="0" t="n">
        <f aca="false">RawFinancials!F667</f>
        <v>233883</v>
      </c>
      <c r="L667" s="0" t="n">
        <f aca="false">RawFinancials!L667</f>
        <v>2412223</v>
      </c>
      <c r="M667" s="0" t="n">
        <f aca="false">RawFinancials!N667</f>
        <v>2202612</v>
      </c>
      <c r="N667" s="13" t="n">
        <f aca="false">RawFinancials!X667</f>
        <v>0.352950560219433</v>
      </c>
      <c r="O667" s="13" t="n">
        <f aca="false">RawFinancials!V667</f>
        <v>12.6945670847727</v>
      </c>
      <c r="P667" s="13" t="n">
        <f aca="false">IF(AND(ISNUMBER(L667),L667&lt;&gt;0,ISNUMBER(M667)),100*M667/L667,"")</f>
        <v>91.3104634190123</v>
      </c>
      <c r="Q667" s="13" t="n">
        <f aca="false">IF(AND(ISNUMBER(F667),F667&lt;&gt;0,ISNUMBER(K667)),100*K667/F667,"")</f>
        <v>8.10134237812292</v>
      </c>
      <c r="R667" s="11" t="b">
        <f aca="false">AND(ISNUMBER(F667),F667&gt;0,ISNUMBER(G667),G667&gt;=0,ISNUMBER(H667),H667&gt;=0)</f>
        <v>1</v>
      </c>
      <c r="S667" s="13" t="n">
        <f aca="false">IF(R667,100*I667/F667,"")</f>
        <v>0.0786638983625024</v>
      </c>
      <c r="T667" s="11" t="b">
        <f aca="false">NOT(AND(OR(AND(ISBLANK(RawFinancials!B667),ISBLANK(_RawBaseline!B664)),AND(ISNUMBER(RawFinancials!B667),ISNUMBER(_RawBaseline!B664),RawFinancials!B667=_RawBaseline!B664)),OR(AND(ISBLANK(RawFinancials!U667),ISBLANK(_RawBaseline!U664)),AND(ISNUMBER(RawFinancials!U667),ISNUMBER(_RawBaseline!U664),RawFinancials!U667=_RawBaseline!U664)),OR(AND(ISBLANK(RawFinancials!O667),ISBLANK(_RawBaseline!O664)),AND(ISNUMBER(RawFinancials!O667),ISNUMBER(_RawBaseline!O664),RawFinancials!O667=_RawBaseline!O664))))</f>
        <v>0</v>
      </c>
      <c r="U667" s="13" t="n">
        <f aca="false">IF(AND(D667=WF_START_PERIOD,R667,COUNTIFS($B$5:$B$750,B667,$D$5:$D$750,WF_END_PERIOD,$R$5:$R$750,TRUE())&gt;0),SUMIFS($S$5:$S$750,$B$5:$B$750,B667,$D$5:$D$750,WF_END_PERIOD,$R$5:$R$750,TRUE()),0)</f>
        <v>0</v>
      </c>
      <c r="V667" s="0" t="str">
        <f aca="false">IF(AND(D667=WF_START_PERIOD,COUNTIFS($B$5:$B$750,B667,$D$5:$D$750,WF_END_PERIOD)&gt;0),INDEX($E$5:$E$750,MATCH(B667&amp;"|"&amp;WF_END_PERIOD,$AC$5:$AC$750,0)),"")</f>
        <v/>
      </c>
      <c r="W667" s="11" t="b">
        <f aca="false">COUNTIFS($B$5:$B$750,B667,$D$5:$D$750,WF_START_PERIOD,$R$5:$R$750,TRUE())&gt;0</f>
        <v>1</v>
      </c>
      <c r="X667" s="11" t="b">
        <f aca="false">COUNTIFS($B$5:$B$750,B667,$D$5:$D$750,WF_END_PERIOD,$R$5:$R$750,TRUE())&gt;0</f>
        <v>1</v>
      </c>
      <c r="Y667" s="0" t="str">
        <f aca="false">IF(AND(D667=WF_END_PERIOD,COUNTIFS($B$5:$B$750,B667,$D$5:$D$750,WF_START_PERIOD)&gt;0),INDEX($E$5:$E$750,MATCH(B667&amp;"|"&amp;WF_START_PERIOD,$AC$5:$AC$750,0)),"")</f>
        <v/>
      </c>
      <c r="Z667" s="0" t="str">
        <f aca="false">IF(AND(D667=WF_END_PERIOD,R667),1+COUNTIFS($D$5:$D$750,WF_END_PERIOD,$E$5:$E$750,E667,$R$5:$R$750,TRUE(),$S$5:$S$750,"&gt;"&amp;S667)+COUNTIFS($D$5:$D$750,WF_END_PERIOD,$E$5:$E$750,E667,$R$5:$R$750,TRUE(),$S$5:$S$750,S667,$B$5:$B$750,"&lt;"&amp;B667),"")</f>
        <v/>
      </c>
      <c r="AA667" s="0" t="str">
        <f aca="false">IF(AND(D667=WF_END_PERIOD,R667,Z667&lt;&gt;1),1+COUNTIFS($D$5:$D$750,WF_END_PERIOD,$R$5:$R$750,TRUE(),$Z$5:$Z$750,"&lt;&gt;1",$S$5:$S$750,"&gt;"&amp;S667)+COUNTIFS($D$5:$D$750,WF_END_PERIOD,$R$5:$R$750,TRUE(),$Z$5:$Z$750,"&lt;&gt;1",$S$5:$S$750,S667,$B$5:$B$750,"&lt;"&amp;B667),"")</f>
        <v/>
      </c>
      <c r="AB667" s="11" t="b">
        <f aca="false">OR(D667=WF_START_PERIOD,D667=WF_END_PERIOD)</f>
        <v>0</v>
      </c>
      <c r="AC667" s="0" t="str">
        <f aca="false">B667&amp;"|"&amp;D667</f>
        <v>18013|20250331</v>
      </c>
    </row>
    <row r="668" customFormat="false" ht="15" hidden="false" customHeight="false" outlineLevel="0" collapsed="false">
      <c r="A668" s="0" t="n">
        <f aca="false">RawFinancials!A668</f>
        <v>665</v>
      </c>
      <c r="B668" s="0" t="n">
        <f aca="false">RawFinancials!C668</f>
        <v>18028</v>
      </c>
      <c r="C668" s="0" t="str">
        <f aca="false">RawFinancials!P668</f>
        <v>SUGAR RIVER BANK</v>
      </c>
      <c r="D668" s="0" t="n">
        <f aca="false">RawFinancials!W668</f>
        <v>20250331</v>
      </c>
      <c r="E668" s="0" t="str">
        <f aca="false">RawFinancials!Z668</f>
        <v>NH</v>
      </c>
      <c r="F668" s="0" t="n">
        <f aca="false">RawFinancials!B668</f>
        <v>400477</v>
      </c>
      <c r="G668" s="0" t="n">
        <f aca="false">RawFinancials!U668</f>
        <v>62</v>
      </c>
      <c r="H668" s="0" t="n">
        <f aca="false">RawFinancials!O668</f>
        <v>1021</v>
      </c>
      <c r="I668" s="0" t="n">
        <f aca="false">IF(AND(ISNUMBER(G668),ISNUMBER(H668)),G668+H668,"")</f>
        <v>1083</v>
      </c>
      <c r="J668" s="0" t="n">
        <f aca="false">RawFinancials!D668</f>
        <v>340672</v>
      </c>
      <c r="K668" s="0" t="n">
        <f aca="false">RawFinancials!F668</f>
        <v>43552</v>
      </c>
      <c r="L668" s="0" t="n">
        <f aca="false">RawFinancials!L668</f>
        <v>276711</v>
      </c>
      <c r="M668" s="0" t="n">
        <f aca="false">RawFinancials!N668</f>
        <v>254230</v>
      </c>
      <c r="N668" s="13" t="n">
        <f aca="false">RawFinancials!X668</f>
        <v>0.536305275329957</v>
      </c>
      <c r="O668" s="13" t="n">
        <f aca="false">RawFinancials!V668</f>
        <v>0</v>
      </c>
      <c r="P668" s="13" t="n">
        <f aca="false">IF(AND(ISNUMBER(L668),L668&lt;&gt;0,ISNUMBER(M668)),100*M668/L668,"")</f>
        <v>91.8756392048021</v>
      </c>
      <c r="Q668" s="13" t="n">
        <f aca="false">IF(AND(ISNUMBER(F668),F668&lt;&gt;0,ISNUMBER(K668)),100*K668/F668,"")</f>
        <v>10.8750315249065</v>
      </c>
      <c r="R668" s="11" t="b">
        <f aca="false">AND(ISNUMBER(F668),F668&gt;0,ISNUMBER(G668),G668&gt;=0,ISNUMBER(H668),H668&gt;=0)</f>
        <v>1</v>
      </c>
      <c r="S668" s="13" t="n">
        <f aca="false">IF(R668,100*I668/F668,"")</f>
        <v>0.270427515188138</v>
      </c>
      <c r="T668" s="11" t="b">
        <f aca="false">NOT(AND(OR(AND(ISBLANK(RawFinancials!B668),ISBLANK(_RawBaseline!B665)),AND(ISNUMBER(RawFinancials!B668),ISNUMBER(_RawBaseline!B665),RawFinancials!B668=_RawBaseline!B665)),OR(AND(ISBLANK(RawFinancials!U668),ISBLANK(_RawBaseline!U665)),AND(ISNUMBER(RawFinancials!U668),ISNUMBER(_RawBaseline!U665),RawFinancials!U668=_RawBaseline!U665)),OR(AND(ISBLANK(RawFinancials!O668),ISBLANK(_RawBaseline!O665)),AND(ISNUMBER(RawFinancials!O668),ISNUMBER(_RawBaseline!O665),RawFinancials!O668=_RawBaseline!O665))))</f>
        <v>0</v>
      </c>
      <c r="U668" s="13" t="n">
        <f aca="false">IF(AND(D668=WF_START_PERIOD,R668,COUNTIFS($B$5:$B$750,B668,$D$5:$D$750,WF_END_PERIOD,$R$5:$R$750,TRUE())&gt;0),SUMIFS($S$5:$S$750,$B$5:$B$750,B668,$D$5:$D$750,WF_END_PERIOD,$R$5:$R$750,TRUE()),0)</f>
        <v>0</v>
      </c>
      <c r="V668" s="0" t="str">
        <f aca="false">IF(AND(D668=WF_START_PERIOD,COUNTIFS($B$5:$B$750,B668,$D$5:$D$750,WF_END_PERIOD)&gt;0),INDEX($E$5:$E$750,MATCH(B668&amp;"|"&amp;WF_END_PERIOD,$AC$5:$AC$750,0)),"")</f>
        <v/>
      </c>
      <c r="W668" s="11" t="b">
        <f aca="false">COUNTIFS($B$5:$B$750,B668,$D$5:$D$750,WF_START_PERIOD,$R$5:$R$750,TRUE())&gt;0</f>
        <v>1</v>
      </c>
      <c r="X668" s="11" t="b">
        <f aca="false">COUNTIFS($B$5:$B$750,B668,$D$5:$D$750,WF_END_PERIOD,$R$5:$R$750,TRUE())&gt;0</f>
        <v>1</v>
      </c>
      <c r="Y668" s="0" t="str">
        <f aca="false">IF(AND(D668=WF_END_PERIOD,COUNTIFS($B$5:$B$750,B668,$D$5:$D$750,WF_START_PERIOD)&gt;0),INDEX($E$5:$E$750,MATCH(B668&amp;"|"&amp;WF_START_PERIOD,$AC$5:$AC$750,0)),"")</f>
        <v/>
      </c>
      <c r="Z668" s="0" t="str">
        <f aca="false">IF(AND(D668=WF_END_PERIOD,R668),1+COUNTIFS($D$5:$D$750,WF_END_PERIOD,$E$5:$E$750,E668,$R$5:$R$750,TRUE(),$S$5:$S$750,"&gt;"&amp;S668)+COUNTIFS($D$5:$D$750,WF_END_PERIOD,$E$5:$E$750,E668,$R$5:$R$750,TRUE(),$S$5:$S$750,S668,$B$5:$B$750,"&lt;"&amp;B668),"")</f>
        <v/>
      </c>
      <c r="AA668" s="0" t="str">
        <f aca="false">IF(AND(D668=WF_END_PERIOD,R668,Z668&lt;&gt;1),1+COUNTIFS($D$5:$D$750,WF_END_PERIOD,$R$5:$R$750,TRUE(),$Z$5:$Z$750,"&lt;&gt;1",$S$5:$S$750,"&gt;"&amp;S668)+COUNTIFS($D$5:$D$750,WF_END_PERIOD,$R$5:$R$750,TRUE(),$Z$5:$Z$750,"&lt;&gt;1",$S$5:$S$750,S668,$B$5:$B$750,"&lt;"&amp;B668),"")</f>
        <v/>
      </c>
      <c r="AB668" s="11" t="b">
        <f aca="false">OR(D668=WF_START_PERIOD,D668=WF_END_PERIOD)</f>
        <v>0</v>
      </c>
      <c r="AC668" s="0" t="str">
        <f aca="false">B668&amp;"|"&amp;D668</f>
        <v>18028|20250331</v>
      </c>
    </row>
    <row r="669" customFormat="false" ht="15" hidden="false" customHeight="false" outlineLevel="0" collapsed="false">
      <c r="A669" s="0" t="n">
        <f aca="false">RawFinancials!A669</f>
        <v>666</v>
      </c>
      <c r="B669" s="0" t="n">
        <f aca="false">RawFinancials!C669</f>
        <v>18030</v>
      </c>
      <c r="C669" s="0" t="str">
        <f aca="false">RawFinancials!P669</f>
        <v>SAVINGS BANK OF WALPOLE</v>
      </c>
      <c r="D669" s="0" t="n">
        <f aca="false">RawFinancials!W669</f>
        <v>20250331</v>
      </c>
      <c r="E669" s="0" t="str">
        <f aca="false">RawFinancials!Z669</f>
        <v>NH</v>
      </c>
      <c r="F669" s="0" t="n">
        <f aca="false">RawFinancials!B669</f>
        <v>800795</v>
      </c>
      <c r="G669" s="0" t="n">
        <f aca="false">RawFinancials!U669</f>
        <v>0</v>
      </c>
      <c r="H669" s="0" t="n">
        <f aca="false">RawFinancials!O669</f>
        <v>1821</v>
      </c>
      <c r="I669" s="0" t="n">
        <f aca="false">IF(AND(ISNUMBER(G669),ISNUMBER(H669)),G669+H669,"")</f>
        <v>1821</v>
      </c>
      <c r="J669" s="0" t="n">
        <f aca="false">RawFinancials!D669</f>
        <v>736585</v>
      </c>
      <c r="K669" s="0" t="n">
        <f aca="false">RawFinancials!F669</f>
        <v>56520</v>
      </c>
      <c r="L669" s="0" t="n">
        <f aca="false">RawFinancials!L669</f>
        <v>593259</v>
      </c>
      <c r="M669" s="0" t="n">
        <f aca="false">RawFinancials!N669</f>
        <v>457374</v>
      </c>
      <c r="N669" s="13" t="n">
        <f aca="false">RawFinancials!X669</f>
        <v>0.646111863500634</v>
      </c>
      <c r="O669" s="13" t="n">
        <f aca="false">RawFinancials!V669</f>
        <v>14.1683492306621</v>
      </c>
      <c r="P669" s="13" t="n">
        <f aca="false">IF(AND(ISNUMBER(L669),L669&lt;&gt;0,ISNUMBER(M669)),100*M669/L669,"")</f>
        <v>77.0951641694437</v>
      </c>
      <c r="Q669" s="13" t="n">
        <f aca="false">IF(AND(ISNUMBER(F669),F669&lt;&gt;0,ISNUMBER(K669)),100*K669/F669,"")</f>
        <v>7.057986126287</v>
      </c>
      <c r="R669" s="11" t="b">
        <f aca="false">AND(ISNUMBER(F669),F669&gt;0,ISNUMBER(G669),G669&gt;=0,ISNUMBER(H669),H669&gt;=0)</f>
        <v>1</v>
      </c>
      <c r="S669" s="13" t="n">
        <f aca="false">IF(R669,100*I669/F669,"")</f>
        <v>0.227399022221667</v>
      </c>
      <c r="T669" s="11" t="b">
        <f aca="false">NOT(AND(OR(AND(ISBLANK(RawFinancials!B669),ISBLANK(_RawBaseline!B666)),AND(ISNUMBER(RawFinancials!B669),ISNUMBER(_RawBaseline!B666),RawFinancials!B669=_RawBaseline!B666)),OR(AND(ISBLANK(RawFinancials!U669),ISBLANK(_RawBaseline!U666)),AND(ISNUMBER(RawFinancials!U669),ISNUMBER(_RawBaseline!U666),RawFinancials!U669=_RawBaseline!U666)),OR(AND(ISBLANK(RawFinancials!O669),ISBLANK(_RawBaseline!O666)),AND(ISNUMBER(RawFinancials!O669),ISNUMBER(_RawBaseline!O666),RawFinancials!O669=_RawBaseline!O666))))</f>
        <v>0</v>
      </c>
      <c r="U669" s="13" t="n">
        <f aca="false">IF(AND(D669=WF_START_PERIOD,R669,COUNTIFS($B$5:$B$750,B669,$D$5:$D$750,WF_END_PERIOD,$R$5:$R$750,TRUE())&gt;0),SUMIFS($S$5:$S$750,$B$5:$B$750,B669,$D$5:$D$750,WF_END_PERIOD,$R$5:$R$750,TRUE()),0)</f>
        <v>0</v>
      </c>
      <c r="V669" s="0" t="str">
        <f aca="false">IF(AND(D669=WF_START_PERIOD,COUNTIFS($B$5:$B$750,B669,$D$5:$D$750,WF_END_PERIOD)&gt;0),INDEX($E$5:$E$750,MATCH(B669&amp;"|"&amp;WF_END_PERIOD,$AC$5:$AC$750,0)),"")</f>
        <v/>
      </c>
      <c r="W669" s="11" t="b">
        <f aca="false">COUNTIFS($B$5:$B$750,B669,$D$5:$D$750,WF_START_PERIOD,$R$5:$R$750,TRUE())&gt;0</f>
        <v>1</v>
      </c>
      <c r="X669" s="11" t="b">
        <f aca="false">COUNTIFS($B$5:$B$750,B669,$D$5:$D$750,WF_END_PERIOD,$R$5:$R$750,TRUE())&gt;0</f>
        <v>1</v>
      </c>
      <c r="Y669" s="0" t="str">
        <f aca="false">IF(AND(D669=WF_END_PERIOD,COUNTIFS($B$5:$B$750,B669,$D$5:$D$750,WF_START_PERIOD)&gt;0),INDEX($E$5:$E$750,MATCH(B669&amp;"|"&amp;WF_START_PERIOD,$AC$5:$AC$750,0)),"")</f>
        <v/>
      </c>
      <c r="Z669" s="0" t="str">
        <f aca="false">IF(AND(D669=WF_END_PERIOD,R669),1+COUNTIFS($D$5:$D$750,WF_END_PERIOD,$E$5:$E$750,E669,$R$5:$R$750,TRUE(),$S$5:$S$750,"&gt;"&amp;S669)+COUNTIFS($D$5:$D$750,WF_END_PERIOD,$E$5:$E$750,E669,$R$5:$R$750,TRUE(),$S$5:$S$750,S669,$B$5:$B$750,"&lt;"&amp;B669),"")</f>
        <v/>
      </c>
      <c r="AA669" s="0" t="str">
        <f aca="false">IF(AND(D669=WF_END_PERIOD,R669,Z669&lt;&gt;1),1+COUNTIFS($D$5:$D$750,WF_END_PERIOD,$R$5:$R$750,TRUE(),$Z$5:$Z$750,"&lt;&gt;1",$S$5:$S$750,"&gt;"&amp;S669)+COUNTIFS($D$5:$D$750,WF_END_PERIOD,$R$5:$R$750,TRUE(),$Z$5:$Z$750,"&lt;&gt;1",$S$5:$S$750,S669,$B$5:$B$750,"&lt;"&amp;B669),"")</f>
        <v/>
      </c>
      <c r="AB669" s="11" t="b">
        <f aca="false">OR(D669=WF_START_PERIOD,D669=WF_END_PERIOD)</f>
        <v>0</v>
      </c>
      <c r="AC669" s="0" t="str">
        <f aca="false">B669&amp;"|"&amp;D669</f>
        <v>18030|20250331</v>
      </c>
    </row>
    <row r="670" customFormat="false" ht="15" hidden="false" customHeight="false" outlineLevel="0" collapsed="false">
      <c r="A670" s="0" t="n">
        <f aca="false">RawFinancials!A670</f>
        <v>667</v>
      </c>
      <c r="B670" s="0" t="n">
        <f aca="false">RawFinancials!C670</f>
        <v>18031</v>
      </c>
      <c r="C670" s="0" t="str">
        <f aca="false">RawFinancials!P670</f>
        <v>WOODSVILLE GUARANTY SAVINGS BANK</v>
      </c>
      <c r="D670" s="0" t="n">
        <f aca="false">RawFinancials!W670</f>
        <v>20250331</v>
      </c>
      <c r="E670" s="0" t="str">
        <f aca="false">RawFinancials!Z670</f>
        <v>NH</v>
      </c>
      <c r="F670" s="0" t="n">
        <f aca="false">RawFinancials!B670</f>
        <v>669787</v>
      </c>
      <c r="G670" s="0" t="n">
        <f aca="false">RawFinancials!U670</f>
        <v>0</v>
      </c>
      <c r="H670" s="0" t="n">
        <f aca="false">RawFinancials!O670</f>
        <v>848</v>
      </c>
      <c r="I670" s="0" t="n">
        <f aca="false">IF(AND(ISNUMBER(G670),ISNUMBER(H670)),G670+H670,"")</f>
        <v>848</v>
      </c>
      <c r="J670" s="0" t="n">
        <f aca="false">RawFinancials!D670</f>
        <v>527059</v>
      </c>
      <c r="K670" s="0" t="n">
        <f aca="false">RawFinancials!F670</f>
        <v>40246</v>
      </c>
      <c r="L670" s="0" t="n">
        <f aca="false">RawFinancials!L670</f>
        <v>450783</v>
      </c>
      <c r="M670" s="0" t="n">
        <f aca="false">RawFinancials!N670</f>
        <v>414125</v>
      </c>
      <c r="N670" s="13" t="n">
        <f aca="false">RawFinancials!X670</f>
        <v>0.300334903153145</v>
      </c>
      <c r="O670" s="13" t="n">
        <f aca="false">RawFinancials!V670</f>
        <v>17.3844145899069</v>
      </c>
      <c r="P670" s="13" t="n">
        <f aca="false">IF(AND(ISNUMBER(L670),L670&lt;&gt;0,ISNUMBER(M670)),100*M670/L670,"")</f>
        <v>91.867927583782</v>
      </c>
      <c r="Q670" s="13" t="n">
        <f aca="false">IF(AND(ISNUMBER(F670),F670&lt;&gt;0,ISNUMBER(K670)),100*K670/F670,"")</f>
        <v>6.00877592428638</v>
      </c>
      <c r="R670" s="11" t="b">
        <f aca="false">AND(ISNUMBER(F670),F670&gt;0,ISNUMBER(G670),G670&gt;=0,ISNUMBER(H670),H670&gt;=0)</f>
        <v>1</v>
      </c>
      <c r="S670" s="13" t="n">
        <f aca="false">IF(R670,100*I670/F670,"")</f>
        <v>0.126607413998779</v>
      </c>
      <c r="T670" s="11" t="b">
        <f aca="false">NOT(AND(OR(AND(ISBLANK(RawFinancials!B670),ISBLANK(_RawBaseline!B667)),AND(ISNUMBER(RawFinancials!B670),ISNUMBER(_RawBaseline!B667),RawFinancials!B670=_RawBaseline!B667)),OR(AND(ISBLANK(RawFinancials!U670),ISBLANK(_RawBaseline!U667)),AND(ISNUMBER(RawFinancials!U670),ISNUMBER(_RawBaseline!U667),RawFinancials!U670=_RawBaseline!U667)),OR(AND(ISBLANK(RawFinancials!O670),ISBLANK(_RawBaseline!O667)),AND(ISNUMBER(RawFinancials!O670),ISNUMBER(_RawBaseline!O667),RawFinancials!O670=_RawBaseline!O667))))</f>
        <v>0</v>
      </c>
      <c r="U670" s="13" t="n">
        <f aca="false">IF(AND(D670=WF_START_PERIOD,R670,COUNTIFS($B$5:$B$750,B670,$D$5:$D$750,WF_END_PERIOD,$R$5:$R$750,TRUE())&gt;0),SUMIFS($S$5:$S$750,$B$5:$B$750,B670,$D$5:$D$750,WF_END_PERIOD,$R$5:$R$750,TRUE()),0)</f>
        <v>0</v>
      </c>
      <c r="V670" s="0" t="str">
        <f aca="false">IF(AND(D670=WF_START_PERIOD,COUNTIFS($B$5:$B$750,B670,$D$5:$D$750,WF_END_PERIOD)&gt;0),INDEX($E$5:$E$750,MATCH(B670&amp;"|"&amp;WF_END_PERIOD,$AC$5:$AC$750,0)),"")</f>
        <v/>
      </c>
      <c r="W670" s="11" t="b">
        <f aca="false">COUNTIFS($B$5:$B$750,B670,$D$5:$D$750,WF_START_PERIOD,$R$5:$R$750,TRUE())&gt;0</f>
        <v>1</v>
      </c>
      <c r="X670" s="11" t="b">
        <f aca="false">COUNTIFS($B$5:$B$750,B670,$D$5:$D$750,WF_END_PERIOD,$R$5:$R$750,TRUE())&gt;0</f>
        <v>1</v>
      </c>
      <c r="Y670" s="0" t="str">
        <f aca="false">IF(AND(D670=WF_END_PERIOD,COUNTIFS($B$5:$B$750,B670,$D$5:$D$750,WF_START_PERIOD)&gt;0),INDEX($E$5:$E$750,MATCH(B670&amp;"|"&amp;WF_START_PERIOD,$AC$5:$AC$750,0)),"")</f>
        <v/>
      </c>
      <c r="Z670" s="0" t="str">
        <f aca="false">IF(AND(D670=WF_END_PERIOD,R670),1+COUNTIFS($D$5:$D$750,WF_END_PERIOD,$E$5:$E$750,E670,$R$5:$R$750,TRUE(),$S$5:$S$750,"&gt;"&amp;S670)+COUNTIFS($D$5:$D$750,WF_END_PERIOD,$E$5:$E$750,E670,$R$5:$R$750,TRUE(),$S$5:$S$750,S670,$B$5:$B$750,"&lt;"&amp;B670),"")</f>
        <v/>
      </c>
      <c r="AA670" s="0" t="str">
        <f aca="false">IF(AND(D670=WF_END_PERIOD,R670,Z670&lt;&gt;1),1+COUNTIFS($D$5:$D$750,WF_END_PERIOD,$R$5:$R$750,TRUE(),$Z$5:$Z$750,"&lt;&gt;1",$S$5:$S$750,"&gt;"&amp;S670)+COUNTIFS($D$5:$D$750,WF_END_PERIOD,$R$5:$R$750,TRUE(),$Z$5:$Z$750,"&lt;&gt;1",$S$5:$S$750,S670,$B$5:$B$750,"&lt;"&amp;B670),"")</f>
        <v/>
      </c>
      <c r="AB670" s="11" t="b">
        <f aca="false">OR(D670=WF_START_PERIOD,D670=WF_END_PERIOD)</f>
        <v>0</v>
      </c>
      <c r="AC670" s="0" t="str">
        <f aca="false">B670&amp;"|"&amp;D670</f>
        <v>18031|20250331</v>
      </c>
    </row>
    <row r="671" customFormat="false" ht="15" hidden="false" customHeight="false" outlineLevel="0" collapsed="false">
      <c r="A671" s="0" t="n">
        <f aca="false">RawFinancials!A671</f>
        <v>668</v>
      </c>
      <c r="B671" s="0" t="n">
        <f aca="false">RawFinancials!C671</f>
        <v>18038</v>
      </c>
      <c r="C671" s="0" t="str">
        <f aca="false">RawFinancials!P671</f>
        <v>CLAREMONT SAVINGS BANK</v>
      </c>
      <c r="D671" s="0" t="n">
        <f aca="false">RawFinancials!W671</f>
        <v>20250331</v>
      </c>
      <c r="E671" s="0" t="str">
        <f aca="false">RawFinancials!Z671</f>
        <v>NH</v>
      </c>
      <c r="F671" s="0" t="n">
        <f aca="false">RawFinancials!B671</f>
        <v>575681</v>
      </c>
      <c r="G671" s="0" t="n">
        <f aca="false">RawFinancials!U671</f>
        <v>0</v>
      </c>
      <c r="H671" s="0" t="n">
        <f aca="false">RawFinancials!O671</f>
        <v>2863</v>
      </c>
      <c r="I671" s="0" t="n">
        <f aca="false">IF(AND(ISNUMBER(G671),ISNUMBER(H671)),G671+H671,"")</f>
        <v>2863</v>
      </c>
      <c r="J671" s="0" t="n">
        <f aca="false">RawFinancials!D671</f>
        <v>443411</v>
      </c>
      <c r="K671" s="0" t="n">
        <f aca="false">RawFinancials!F671</f>
        <v>68850</v>
      </c>
      <c r="L671" s="0" t="n">
        <f aca="false">RawFinancials!L671</f>
        <v>454723</v>
      </c>
      <c r="M671" s="0" t="n">
        <f aca="false">RawFinancials!N671</f>
        <v>417170</v>
      </c>
      <c r="N671" s="13" t="n">
        <f aca="false">RawFinancials!X671</f>
        <v>0.242522943622228</v>
      </c>
      <c r="O671" s="13" t="n">
        <f aca="false">RawFinancials!V671</f>
        <v>0</v>
      </c>
      <c r="P671" s="13" t="n">
        <f aca="false">IF(AND(ISNUMBER(L671),L671&lt;&gt;0,ISNUMBER(M671)),100*M671/L671,"")</f>
        <v>91.7415657444202</v>
      </c>
      <c r="Q671" s="13" t="n">
        <f aca="false">IF(AND(ISNUMBER(F671),F671&lt;&gt;0,ISNUMBER(K671)),100*K671/F671,"")</f>
        <v>11.9597485412928</v>
      </c>
      <c r="R671" s="11" t="b">
        <f aca="false">AND(ISNUMBER(F671),F671&gt;0,ISNUMBER(G671),G671&gt;=0,ISNUMBER(H671),H671&gt;=0)</f>
        <v>1</v>
      </c>
      <c r="S671" s="13" t="n">
        <f aca="false">IF(R671,100*I671/F671,"")</f>
        <v>0.497324038834007</v>
      </c>
      <c r="T671" s="11" t="b">
        <f aca="false">NOT(AND(OR(AND(ISBLANK(RawFinancials!B671),ISBLANK(_RawBaseline!B668)),AND(ISNUMBER(RawFinancials!B671),ISNUMBER(_RawBaseline!B668),RawFinancials!B671=_RawBaseline!B668)),OR(AND(ISBLANK(RawFinancials!U671),ISBLANK(_RawBaseline!U668)),AND(ISNUMBER(RawFinancials!U671),ISNUMBER(_RawBaseline!U668),RawFinancials!U671=_RawBaseline!U668)),OR(AND(ISBLANK(RawFinancials!O671),ISBLANK(_RawBaseline!O668)),AND(ISNUMBER(RawFinancials!O671),ISNUMBER(_RawBaseline!O668),RawFinancials!O671=_RawBaseline!O668))))</f>
        <v>0</v>
      </c>
      <c r="U671" s="13" t="n">
        <f aca="false">IF(AND(D671=WF_START_PERIOD,R671,COUNTIFS($B$5:$B$750,B671,$D$5:$D$750,WF_END_PERIOD,$R$5:$R$750,TRUE())&gt;0),SUMIFS($S$5:$S$750,$B$5:$B$750,B671,$D$5:$D$750,WF_END_PERIOD,$R$5:$R$750,TRUE()),0)</f>
        <v>0</v>
      </c>
      <c r="V671" s="0" t="str">
        <f aca="false">IF(AND(D671=WF_START_PERIOD,COUNTIFS($B$5:$B$750,B671,$D$5:$D$750,WF_END_PERIOD)&gt;0),INDEX($E$5:$E$750,MATCH(B671&amp;"|"&amp;WF_END_PERIOD,$AC$5:$AC$750,0)),"")</f>
        <v/>
      </c>
      <c r="W671" s="11" t="b">
        <f aca="false">COUNTIFS($B$5:$B$750,B671,$D$5:$D$750,WF_START_PERIOD,$R$5:$R$750,TRUE())&gt;0</f>
        <v>1</v>
      </c>
      <c r="X671" s="11" t="b">
        <f aca="false">COUNTIFS($B$5:$B$750,B671,$D$5:$D$750,WF_END_PERIOD,$R$5:$R$750,TRUE())&gt;0</f>
        <v>1</v>
      </c>
      <c r="Y671" s="0" t="str">
        <f aca="false">IF(AND(D671=WF_END_PERIOD,COUNTIFS($B$5:$B$750,B671,$D$5:$D$750,WF_START_PERIOD)&gt;0),INDEX($E$5:$E$750,MATCH(B671&amp;"|"&amp;WF_START_PERIOD,$AC$5:$AC$750,0)),"")</f>
        <v/>
      </c>
      <c r="Z671" s="0" t="str">
        <f aca="false">IF(AND(D671=WF_END_PERIOD,R671),1+COUNTIFS($D$5:$D$750,WF_END_PERIOD,$E$5:$E$750,E671,$R$5:$R$750,TRUE(),$S$5:$S$750,"&gt;"&amp;S671)+COUNTIFS($D$5:$D$750,WF_END_PERIOD,$E$5:$E$750,E671,$R$5:$R$750,TRUE(),$S$5:$S$750,S671,$B$5:$B$750,"&lt;"&amp;B671),"")</f>
        <v/>
      </c>
      <c r="AA671" s="0" t="str">
        <f aca="false">IF(AND(D671=WF_END_PERIOD,R671,Z671&lt;&gt;1),1+COUNTIFS($D$5:$D$750,WF_END_PERIOD,$R$5:$R$750,TRUE(),$Z$5:$Z$750,"&lt;&gt;1",$S$5:$S$750,"&gt;"&amp;S671)+COUNTIFS($D$5:$D$750,WF_END_PERIOD,$R$5:$R$750,TRUE(),$Z$5:$Z$750,"&lt;&gt;1",$S$5:$S$750,S671,$B$5:$B$750,"&lt;"&amp;B671),"")</f>
        <v/>
      </c>
      <c r="AB671" s="11" t="b">
        <f aca="false">OR(D671=WF_START_PERIOD,D671=WF_END_PERIOD)</f>
        <v>0</v>
      </c>
      <c r="AC671" s="0" t="str">
        <f aca="false">B671&amp;"|"&amp;D671</f>
        <v>18038|20250331</v>
      </c>
    </row>
    <row r="672" customFormat="false" ht="15" hidden="false" customHeight="false" outlineLevel="0" collapsed="false">
      <c r="A672" s="0" t="n">
        <f aca="false">RawFinancials!A672</f>
        <v>669</v>
      </c>
      <c r="B672" s="0" t="n">
        <f aca="false">RawFinancials!C672</f>
        <v>18408</v>
      </c>
      <c r="C672" s="0" t="str">
        <f aca="false">RawFinancials!P672</f>
        <v>BANGOR SAVINGS BANK</v>
      </c>
      <c r="D672" s="0" t="n">
        <f aca="false">RawFinancials!W672</f>
        <v>20250331</v>
      </c>
      <c r="E672" s="0" t="str">
        <f aca="false">RawFinancials!Z672</f>
        <v>ME</v>
      </c>
      <c r="F672" s="0" t="n">
        <f aca="false">RawFinancials!B672</f>
        <v>7235355</v>
      </c>
      <c r="G672" s="0" t="n">
        <f aca="false">RawFinancials!U672</f>
        <v>0</v>
      </c>
      <c r="H672" s="0" t="n">
        <f aca="false">RawFinancials!O672</f>
        <v>8109</v>
      </c>
      <c r="I672" s="0" t="n">
        <f aca="false">IF(AND(ISNUMBER(G672),ISNUMBER(H672)),G672+H672,"")</f>
        <v>8109</v>
      </c>
      <c r="J672" s="0" t="n">
        <f aca="false">RawFinancials!D672</f>
        <v>6181793</v>
      </c>
      <c r="K672" s="0" t="n">
        <f aca="false">RawFinancials!F672</f>
        <v>455151</v>
      </c>
      <c r="L672" s="0" t="n">
        <f aca="false">RawFinancials!L672</f>
        <v>4976949</v>
      </c>
      <c r="M672" s="0" t="n">
        <f aca="false">RawFinancials!N672</f>
        <v>4459056</v>
      </c>
      <c r="N672" s="13" t="n">
        <f aca="false">RawFinancials!X672</f>
        <v>0.125198481394932</v>
      </c>
      <c r="O672" s="13" t="n">
        <f aca="false">RawFinancials!V672</f>
        <v>11.3560231469601</v>
      </c>
      <c r="P672" s="13" t="n">
        <f aca="false">IF(AND(ISNUMBER(L672),L672&lt;&gt;0,ISNUMBER(M672)),100*M672/L672,"")</f>
        <v>89.5941670288363</v>
      </c>
      <c r="Q672" s="13" t="n">
        <f aca="false">IF(AND(ISNUMBER(F672),F672&lt;&gt;0,ISNUMBER(K672)),100*K672/F672,"")</f>
        <v>6.29065194451413</v>
      </c>
      <c r="R672" s="11" t="b">
        <f aca="false">AND(ISNUMBER(F672),F672&gt;0,ISNUMBER(G672),G672&gt;=0,ISNUMBER(H672),H672&gt;=0)</f>
        <v>1</v>
      </c>
      <c r="S672" s="13" t="n">
        <f aca="false">IF(R672,100*I672/F672,"")</f>
        <v>0.11207466668878</v>
      </c>
      <c r="T672" s="11" t="b">
        <f aca="false">NOT(AND(OR(AND(ISBLANK(RawFinancials!B672),ISBLANK(_RawBaseline!B669)),AND(ISNUMBER(RawFinancials!B672),ISNUMBER(_RawBaseline!B669),RawFinancials!B672=_RawBaseline!B669)),OR(AND(ISBLANK(RawFinancials!U672),ISBLANK(_RawBaseline!U669)),AND(ISNUMBER(RawFinancials!U672),ISNUMBER(_RawBaseline!U669),RawFinancials!U672=_RawBaseline!U669)),OR(AND(ISBLANK(RawFinancials!O672),ISBLANK(_RawBaseline!O669)),AND(ISNUMBER(RawFinancials!O672),ISNUMBER(_RawBaseline!O669),RawFinancials!O672=_RawBaseline!O669))))</f>
        <v>0</v>
      </c>
      <c r="U672" s="13" t="n">
        <f aca="false">IF(AND(D672=WF_START_PERIOD,R672,COUNTIFS($B$5:$B$750,B672,$D$5:$D$750,WF_END_PERIOD,$R$5:$R$750,TRUE())&gt;0),SUMIFS($S$5:$S$750,$B$5:$B$750,B672,$D$5:$D$750,WF_END_PERIOD,$R$5:$R$750,TRUE()),0)</f>
        <v>0</v>
      </c>
      <c r="V672" s="0" t="str">
        <f aca="false">IF(AND(D672=WF_START_PERIOD,COUNTIFS($B$5:$B$750,B672,$D$5:$D$750,WF_END_PERIOD)&gt;0),INDEX($E$5:$E$750,MATCH(B672&amp;"|"&amp;WF_END_PERIOD,$AC$5:$AC$750,0)),"")</f>
        <v/>
      </c>
      <c r="W672" s="11" t="b">
        <f aca="false">COUNTIFS($B$5:$B$750,B672,$D$5:$D$750,WF_START_PERIOD,$R$5:$R$750,TRUE())&gt;0</f>
        <v>1</v>
      </c>
      <c r="X672" s="11" t="b">
        <f aca="false">COUNTIFS($B$5:$B$750,B672,$D$5:$D$750,WF_END_PERIOD,$R$5:$R$750,TRUE())&gt;0</f>
        <v>1</v>
      </c>
      <c r="Y672" s="0" t="str">
        <f aca="false">IF(AND(D672=WF_END_PERIOD,COUNTIFS($B$5:$B$750,B672,$D$5:$D$750,WF_START_PERIOD)&gt;0),INDEX($E$5:$E$750,MATCH(B672&amp;"|"&amp;WF_START_PERIOD,$AC$5:$AC$750,0)),"")</f>
        <v/>
      </c>
      <c r="Z672" s="0" t="str">
        <f aca="false">IF(AND(D672=WF_END_PERIOD,R672),1+COUNTIFS($D$5:$D$750,WF_END_PERIOD,$E$5:$E$750,E672,$R$5:$R$750,TRUE(),$S$5:$S$750,"&gt;"&amp;S672)+COUNTIFS($D$5:$D$750,WF_END_PERIOD,$E$5:$E$750,E672,$R$5:$R$750,TRUE(),$S$5:$S$750,S672,$B$5:$B$750,"&lt;"&amp;B672),"")</f>
        <v/>
      </c>
      <c r="AA672" s="0" t="str">
        <f aca="false">IF(AND(D672=WF_END_PERIOD,R672,Z672&lt;&gt;1),1+COUNTIFS($D$5:$D$750,WF_END_PERIOD,$R$5:$R$750,TRUE(),$Z$5:$Z$750,"&lt;&gt;1",$S$5:$S$750,"&gt;"&amp;S672)+COUNTIFS($D$5:$D$750,WF_END_PERIOD,$R$5:$R$750,TRUE(),$Z$5:$Z$750,"&lt;&gt;1",$S$5:$S$750,S672,$B$5:$B$750,"&lt;"&amp;B672),"")</f>
        <v/>
      </c>
      <c r="AB672" s="11" t="b">
        <f aca="false">OR(D672=WF_START_PERIOD,D672=WF_END_PERIOD)</f>
        <v>0</v>
      </c>
      <c r="AC672" s="0" t="str">
        <f aca="false">B672&amp;"|"&amp;D672</f>
        <v>18408|20250331</v>
      </c>
    </row>
    <row r="673" customFormat="false" ht="15" hidden="false" customHeight="false" outlineLevel="0" collapsed="false">
      <c r="A673" s="0" t="n">
        <f aca="false">RawFinancials!A673</f>
        <v>670</v>
      </c>
      <c r="B673" s="0" t="n">
        <f aca="false">RawFinancials!C673</f>
        <v>19531</v>
      </c>
      <c r="C673" s="0" t="str">
        <f aca="false">RawFinancials!P673</f>
        <v>MACHIAS SAVINGS BANK</v>
      </c>
      <c r="D673" s="0" t="n">
        <f aca="false">RawFinancials!W673</f>
        <v>20250331</v>
      </c>
      <c r="E673" s="0" t="str">
        <f aca="false">RawFinancials!Z673</f>
        <v>ME</v>
      </c>
      <c r="F673" s="0" t="n">
        <f aca="false">RawFinancials!B673</f>
        <v>2567242</v>
      </c>
      <c r="G673" s="0" t="n">
        <f aca="false">RawFinancials!U673</f>
        <v>46</v>
      </c>
      <c r="H673" s="0" t="n">
        <f aca="false">RawFinancials!O673</f>
        <v>7253</v>
      </c>
      <c r="I673" s="0" t="n">
        <f aca="false">IF(AND(ISNUMBER(G673),ISNUMBER(H673)),G673+H673,"")</f>
        <v>7299</v>
      </c>
      <c r="J673" s="0" t="n">
        <f aca="false">RawFinancials!D673</f>
        <v>2162803</v>
      </c>
      <c r="K673" s="0" t="n">
        <f aca="false">RawFinancials!F673</f>
        <v>266786</v>
      </c>
      <c r="L673" s="0" t="n">
        <f aca="false">RawFinancials!L673</f>
        <v>2179021</v>
      </c>
      <c r="M673" s="0" t="n">
        <f aca="false">RawFinancials!N673</f>
        <v>1814549</v>
      </c>
      <c r="N673" s="13" t="n">
        <f aca="false">RawFinancials!X673</f>
        <v>0.636590668953529</v>
      </c>
      <c r="O673" s="13" t="n">
        <f aca="false">RawFinancials!V673</f>
        <v>14.927898270842</v>
      </c>
      <c r="P673" s="13" t="n">
        <f aca="false">IF(AND(ISNUMBER(L673),L673&lt;&gt;0,ISNUMBER(M673)),100*M673/L673,"")</f>
        <v>83.2735893779821</v>
      </c>
      <c r="Q673" s="13" t="n">
        <f aca="false">IF(AND(ISNUMBER(F673),F673&lt;&gt;0,ISNUMBER(K673)),100*K673/F673,"")</f>
        <v>10.3919303283446</v>
      </c>
      <c r="R673" s="11" t="b">
        <f aca="false">AND(ISNUMBER(F673),F673&gt;0,ISNUMBER(G673),G673&gt;=0,ISNUMBER(H673),H673&gt;=0)</f>
        <v>1</v>
      </c>
      <c r="S673" s="13" t="n">
        <f aca="false">IF(R673,100*I673/F673,"")</f>
        <v>0.284312892980093</v>
      </c>
      <c r="T673" s="11" t="b">
        <f aca="false">NOT(AND(OR(AND(ISBLANK(RawFinancials!B673),ISBLANK(_RawBaseline!B670)),AND(ISNUMBER(RawFinancials!B673),ISNUMBER(_RawBaseline!B670),RawFinancials!B673=_RawBaseline!B670)),OR(AND(ISBLANK(RawFinancials!U673),ISBLANK(_RawBaseline!U670)),AND(ISNUMBER(RawFinancials!U673),ISNUMBER(_RawBaseline!U670),RawFinancials!U673=_RawBaseline!U670)),OR(AND(ISBLANK(RawFinancials!O673),ISBLANK(_RawBaseline!O670)),AND(ISNUMBER(RawFinancials!O673),ISNUMBER(_RawBaseline!O670),RawFinancials!O673=_RawBaseline!O670))))</f>
        <v>0</v>
      </c>
      <c r="U673" s="13" t="n">
        <f aca="false">IF(AND(D673=WF_START_PERIOD,R673,COUNTIFS($B$5:$B$750,B673,$D$5:$D$750,WF_END_PERIOD,$R$5:$R$750,TRUE())&gt;0),SUMIFS($S$5:$S$750,$B$5:$B$750,B673,$D$5:$D$750,WF_END_PERIOD,$R$5:$R$750,TRUE()),0)</f>
        <v>0</v>
      </c>
      <c r="V673" s="0" t="str">
        <f aca="false">IF(AND(D673=WF_START_PERIOD,COUNTIFS($B$5:$B$750,B673,$D$5:$D$750,WF_END_PERIOD)&gt;0),INDEX($E$5:$E$750,MATCH(B673&amp;"|"&amp;WF_END_PERIOD,$AC$5:$AC$750,0)),"")</f>
        <v/>
      </c>
      <c r="W673" s="11" t="b">
        <f aca="false">COUNTIFS($B$5:$B$750,B673,$D$5:$D$750,WF_START_PERIOD,$R$5:$R$750,TRUE())&gt;0</f>
        <v>1</v>
      </c>
      <c r="X673" s="11" t="b">
        <f aca="false">COUNTIFS($B$5:$B$750,B673,$D$5:$D$750,WF_END_PERIOD,$R$5:$R$750,TRUE())&gt;0</f>
        <v>1</v>
      </c>
      <c r="Y673" s="0" t="str">
        <f aca="false">IF(AND(D673=WF_END_PERIOD,COUNTIFS($B$5:$B$750,B673,$D$5:$D$750,WF_START_PERIOD)&gt;0),INDEX($E$5:$E$750,MATCH(B673&amp;"|"&amp;WF_START_PERIOD,$AC$5:$AC$750,0)),"")</f>
        <v/>
      </c>
      <c r="Z673" s="0" t="str">
        <f aca="false">IF(AND(D673=WF_END_PERIOD,R673),1+COUNTIFS($D$5:$D$750,WF_END_PERIOD,$E$5:$E$750,E673,$R$5:$R$750,TRUE(),$S$5:$S$750,"&gt;"&amp;S673)+COUNTIFS($D$5:$D$750,WF_END_PERIOD,$E$5:$E$750,E673,$R$5:$R$750,TRUE(),$S$5:$S$750,S673,$B$5:$B$750,"&lt;"&amp;B673),"")</f>
        <v/>
      </c>
      <c r="AA673" s="0" t="str">
        <f aca="false">IF(AND(D673=WF_END_PERIOD,R673,Z673&lt;&gt;1),1+COUNTIFS($D$5:$D$750,WF_END_PERIOD,$R$5:$R$750,TRUE(),$Z$5:$Z$750,"&lt;&gt;1",$S$5:$S$750,"&gt;"&amp;S673)+COUNTIFS($D$5:$D$750,WF_END_PERIOD,$R$5:$R$750,TRUE(),$Z$5:$Z$750,"&lt;&gt;1",$S$5:$S$750,S673,$B$5:$B$750,"&lt;"&amp;B673),"")</f>
        <v/>
      </c>
      <c r="AB673" s="11" t="b">
        <f aca="false">OR(D673=WF_START_PERIOD,D673=WF_END_PERIOD)</f>
        <v>0</v>
      </c>
      <c r="AC673" s="0" t="str">
        <f aca="false">B673&amp;"|"&amp;D673</f>
        <v>19531|20250331</v>
      </c>
    </row>
    <row r="674" customFormat="false" ht="15" hidden="false" customHeight="false" outlineLevel="0" collapsed="false">
      <c r="A674" s="0" t="n">
        <f aca="false">RawFinancials!A674</f>
        <v>671</v>
      </c>
      <c r="B674" s="0" t="n">
        <f aca="false">RawFinancials!C674</f>
        <v>19532</v>
      </c>
      <c r="C674" s="0" t="str">
        <f aca="false">RawFinancials!P674</f>
        <v>SKOWHEGAN SAVINGS BANK</v>
      </c>
      <c r="D674" s="0" t="n">
        <f aca="false">RawFinancials!W674</f>
        <v>20250331</v>
      </c>
      <c r="E674" s="0" t="str">
        <f aca="false">RawFinancials!Z674</f>
        <v>ME</v>
      </c>
      <c r="F674" s="0" t="n">
        <f aca="false">RawFinancials!B674</f>
        <v>842808</v>
      </c>
      <c r="G674" s="0" t="n">
        <f aca="false">RawFinancials!U674</f>
        <v>0</v>
      </c>
      <c r="H674" s="0" t="n">
        <f aca="false">RawFinancials!O674</f>
        <v>1797</v>
      </c>
      <c r="I674" s="0" t="n">
        <f aca="false">IF(AND(ISNUMBER(G674),ISNUMBER(H674)),G674+H674,"")</f>
        <v>1797</v>
      </c>
      <c r="J674" s="0" t="n">
        <f aca="false">RawFinancials!D674</f>
        <v>725198</v>
      </c>
      <c r="K674" s="0" t="n">
        <f aca="false">RawFinancials!F674</f>
        <v>106845</v>
      </c>
      <c r="L674" s="0" t="n">
        <f aca="false">RawFinancials!L674</f>
        <v>621805</v>
      </c>
      <c r="M674" s="0" t="n">
        <f aca="false">RawFinancials!N674</f>
        <v>513632</v>
      </c>
      <c r="N674" s="13" t="n">
        <f aca="false">RawFinancials!X674</f>
        <v>0.760021446855204</v>
      </c>
      <c r="O674" s="13" t="n">
        <f aca="false">RawFinancials!V674</f>
        <v>21.4450676887142</v>
      </c>
      <c r="P674" s="13" t="n">
        <f aca="false">IF(AND(ISNUMBER(L674),L674&lt;&gt;0,ISNUMBER(M674)),100*M674/L674,"")</f>
        <v>82.6033885221251</v>
      </c>
      <c r="Q674" s="13" t="n">
        <f aca="false">IF(AND(ISNUMBER(F674),F674&lt;&gt;0,ISNUMBER(K674)),100*K674/F674,"")</f>
        <v>12.6772645727141</v>
      </c>
      <c r="R674" s="11" t="b">
        <f aca="false">AND(ISNUMBER(F674),F674&gt;0,ISNUMBER(G674),G674&gt;=0,ISNUMBER(H674),H674&gt;=0)</f>
        <v>1</v>
      </c>
      <c r="S674" s="13" t="n">
        <f aca="false">IF(R674,100*I674/F674,"")</f>
        <v>0.213215821397044</v>
      </c>
      <c r="T674" s="11" t="b">
        <f aca="false">NOT(AND(OR(AND(ISBLANK(RawFinancials!B674),ISBLANK(_RawBaseline!B671)),AND(ISNUMBER(RawFinancials!B674),ISNUMBER(_RawBaseline!B671),RawFinancials!B674=_RawBaseline!B671)),OR(AND(ISBLANK(RawFinancials!U674),ISBLANK(_RawBaseline!U671)),AND(ISNUMBER(RawFinancials!U674),ISNUMBER(_RawBaseline!U671),RawFinancials!U674=_RawBaseline!U671)),OR(AND(ISBLANK(RawFinancials!O674),ISBLANK(_RawBaseline!O671)),AND(ISNUMBER(RawFinancials!O674),ISNUMBER(_RawBaseline!O671),RawFinancials!O674=_RawBaseline!O671))))</f>
        <v>0</v>
      </c>
      <c r="U674" s="13" t="n">
        <f aca="false">IF(AND(D674=WF_START_PERIOD,R674,COUNTIFS($B$5:$B$750,B674,$D$5:$D$750,WF_END_PERIOD,$R$5:$R$750,TRUE())&gt;0),SUMIFS($S$5:$S$750,$B$5:$B$750,B674,$D$5:$D$750,WF_END_PERIOD,$R$5:$R$750,TRUE()),0)</f>
        <v>0</v>
      </c>
      <c r="V674" s="0" t="str">
        <f aca="false">IF(AND(D674=WF_START_PERIOD,COUNTIFS($B$5:$B$750,B674,$D$5:$D$750,WF_END_PERIOD)&gt;0),INDEX($E$5:$E$750,MATCH(B674&amp;"|"&amp;WF_END_PERIOD,$AC$5:$AC$750,0)),"")</f>
        <v/>
      </c>
      <c r="W674" s="11" t="b">
        <f aca="false">COUNTIFS($B$5:$B$750,B674,$D$5:$D$750,WF_START_PERIOD,$R$5:$R$750,TRUE())&gt;0</f>
        <v>1</v>
      </c>
      <c r="X674" s="11" t="b">
        <f aca="false">COUNTIFS($B$5:$B$750,B674,$D$5:$D$750,WF_END_PERIOD,$R$5:$R$750,TRUE())&gt;0</f>
        <v>1</v>
      </c>
      <c r="Y674" s="0" t="str">
        <f aca="false">IF(AND(D674=WF_END_PERIOD,COUNTIFS($B$5:$B$750,B674,$D$5:$D$750,WF_START_PERIOD)&gt;0),INDEX($E$5:$E$750,MATCH(B674&amp;"|"&amp;WF_START_PERIOD,$AC$5:$AC$750,0)),"")</f>
        <v/>
      </c>
      <c r="Z674" s="0" t="str">
        <f aca="false">IF(AND(D674=WF_END_PERIOD,R674),1+COUNTIFS($D$5:$D$750,WF_END_PERIOD,$E$5:$E$750,E674,$R$5:$R$750,TRUE(),$S$5:$S$750,"&gt;"&amp;S674)+COUNTIFS($D$5:$D$750,WF_END_PERIOD,$E$5:$E$750,E674,$R$5:$R$750,TRUE(),$S$5:$S$750,S674,$B$5:$B$750,"&lt;"&amp;B674),"")</f>
        <v/>
      </c>
      <c r="AA674" s="0" t="str">
        <f aca="false">IF(AND(D674=WF_END_PERIOD,R674,Z674&lt;&gt;1),1+COUNTIFS($D$5:$D$750,WF_END_PERIOD,$R$5:$R$750,TRUE(),$Z$5:$Z$750,"&lt;&gt;1",$S$5:$S$750,"&gt;"&amp;S674)+COUNTIFS($D$5:$D$750,WF_END_PERIOD,$R$5:$R$750,TRUE(),$Z$5:$Z$750,"&lt;&gt;1",$S$5:$S$750,S674,$B$5:$B$750,"&lt;"&amp;B674),"")</f>
        <v/>
      </c>
      <c r="AB674" s="11" t="b">
        <f aca="false">OR(D674=WF_START_PERIOD,D674=WF_END_PERIOD)</f>
        <v>0</v>
      </c>
      <c r="AC674" s="0" t="str">
        <f aca="false">B674&amp;"|"&amp;D674</f>
        <v>19532|20250331</v>
      </c>
    </row>
    <row r="675" customFormat="false" ht="15" hidden="false" customHeight="false" outlineLevel="0" collapsed="false">
      <c r="A675" s="0" t="n">
        <f aca="false">RawFinancials!A675</f>
        <v>672</v>
      </c>
      <c r="B675" s="0" t="n">
        <f aca="false">RawFinancials!C675</f>
        <v>19690</v>
      </c>
      <c r="C675" s="0" t="str">
        <f aca="false">RawFinancials!P675</f>
        <v>NORTHEAST BANK</v>
      </c>
      <c r="D675" s="0" t="n">
        <f aca="false">RawFinancials!W675</f>
        <v>20250331</v>
      </c>
      <c r="E675" s="0" t="str">
        <f aca="false">RawFinancials!Z675</f>
        <v>ME</v>
      </c>
      <c r="F675" s="0" t="n">
        <f aca="false">RawFinancials!B675</f>
        <v>4228502</v>
      </c>
      <c r="G675" s="0" t="n">
        <f aca="false">RawFinancials!U675</f>
        <v>0</v>
      </c>
      <c r="H675" s="0" t="n">
        <f aca="false">RawFinancials!O675</f>
        <v>32232</v>
      </c>
      <c r="I675" s="0" t="n">
        <f aca="false">IF(AND(ISNUMBER(G675),ISNUMBER(H675)),G675+H675,"")</f>
        <v>32232</v>
      </c>
      <c r="J675" s="0" t="n">
        <f aca="false">RawFinancials!D675</f>
        <v>3328164</v>
      </c>
      <c r="K675" s="0" t="n">
        <f aca="false">RawFinancials!F675</f>
        <v>467516</v>
      </c>
      <c r="L675" s="0" t="n">
        <f aca="false">RawFinancials!L675</f>
        <v>3800789</v>
      </c>
      <c r="M675" s="0" t="n">
        <f aca="false">RawFinancials!N675</f>
        <v>2887276</v>
      </c>
      <c r="N675" s="13" t="n">
        <f aca="false">RawFinancials!X675</f>
        <v>1.79807487310439</v>
      </c>
      <c r="O675" s="13" t="n">
        <f aca="false">RawFinancials!V675</f>
        <v>13.9816970798047</v>
      </c>
      <c r="P675" s="13" t="n">
        <f aca="false">IF(AND(ISNUMBER(L675),L675&lt;&gt;0,ISNUMBER(M675)),100*M675/L675,"")</f>
        <v>75.965174599274</v>
      </c>
      <c r="Q675" s="13" t="n">
        <f aca="false">IF(AND(ISNUMBER(F675),F675&lt;&gt;0,ISNUMBER(K675)),100*K675/F675,"")</f>
        <v>11.0563031541667</v>
      </c>
      <c r="R675" s="11" t="b">
        <f aca="false">AND(ISNUMBER(F675),F675&gt;0,ISNUMBER(G675),G675&gt;=0,ISNUMBER(H675),H675&gt;=0)</f>
        <v>1</v>
      </c>
      <c r="S675" s="13" t="n">
        <f aca="false">IF(R675,100*I675/F675,"")</f>
        <v>0.76225575865874</v>
      </c>
      <c r="T675" s="11" t="b">
        <f aca="false">NOT(AND(OR(AND(ISBLANK(RawFinancials!B675),ISBLANK(_RawBaseline!B672)),AND(ISNUMBER(RawFinancials!B675),ISNUMBER(_RawBaseline!B672),RawFinancials!B675=_RawBaseline!B672)),OR(AND(ISBLANK(RawFinancials!U675),ISBLANK(_RawBaseline!U672)),AND(ISNUMBER(RawFinancials!U675),ISNUMBER(_RawBaseline!U672),RawFinancials!U675=_RawBaseline!U672)),OR(AND(ISBLANK(RawFinancials!O675),ISBLANK(_RawBaseline!O672)),AND(ISNUMBER(RawFinancials!O675),ISNUMBER(_RawBaseline!O672),RawFinancials!O675=_RawBaseline!O672))))</f>
        <v>0</v>
      </c>
      <c r="U675" s="13" t="n">
        <f aca="false">IF(AND(D675=WF_START_PERIOD,R675,COUNTIFS($B$5:$B$750,B675,$D$5:$D$750,WF_END_PERIOD,$R$5:$R$750,TRUE())&gt;0),SUMIFS($S$5:$S$750,$B$5:$B$750,B675,$D$5:$D$750,WF_END_PERIOD,$R$5:$R$750,TRUE()),0)</f>
        <v>0</v>
      </c>
      <c r="V675" s="0" t="str">
        <f aca="false">IF(AND(D675=WF_START_PERIOD,COUNTIFS($B$5:$B$750,B675,$D$5:$D$750,WF_END_PERIOD)&gt;0),INDEX($E$5:$E$750,MATCH(B675&amp;"|"&amp;WF_END_PERIOD,$AC$5:$AC$750,0)),"")</f>
        <v/>
      </c>
      <c r="W675" s="11" t="b">
        <f aca="false">COUNTIFS($B$5:$B$750,B675,$D$5:$D$750,WF_START_PERIOD,$R$5:$R$750,TRUE())&gt;0</f>
        <v>1</v>
      </c>
      <c r="X675" s="11" t="b">
        <f aca="false">COUNTIFS($B$5:$B$750,B675,$D$5:$D$750,WF_END_PERIOD,$R$5:$R$750,TRUE())&gt;0</f>
        <v>1</v>
      </c>
      <c r="Y675" s="0" t="str">
        <f aca="false">IF(AND(D675=WF_END_PERIOD,COUNTIFS($B$5:$B$750,B675,$D$5:$D$750,WF_START_PERIOD)&gt;0),INDEX($E$5:$E$750,MATCH(B675&amp;"|"&amp;WF_START_PERIOD,$AC$5:$AC$750,0)),"")</f>
        <v/>
      </c>
      <c r="Z675" s="0" t="str">
        <f aca="false">IF(AND(D675=WF_END_PERIOD,R675),1+COUNTIFS($D$5:$D$750,WF_END_PERIOD,$E$5:$E$750,E675,$R$5:$R$750,TRUE(),$S$5:$S$750,"&gt;"&amp;S675)+COUNTIFS($D$5:$D$750,WF_END_PERIOD,$E$5:$E$750,E675,$R$5:$R$750,TRUE(),$S$5:$S$750,S675,$B$5:$B$750,"&lt;"&amp;B675),"")</f>
        <v/>
      </c>
      <c r="AA675" s="0" t="str">
        <f aca="false">IF(AND(D675=WF_END_PERIOD,R675,Z675&lt;&gt;1),1+COUNTIFS($D$5:$D$750,WF_END_PERIOD,$R$5:$R$750,TRUE(),$Z$5:$Z$750,"&lt;&gt;1",$S$5:$S$750,"&gt;"&amp;S675)+COUNTIFS($D$5:$D$750,WF_END_PERIOD,$R$5:$R$750,TRUE(),$Z$5:$Z$750,"&lt;&gt;1",$S$5:$S$750,S675,$B$5:$B$750,"&lt;"&amp;B675),"")</f>
        <v/>
      </c>
      <c r="AB675" s="11" t="b">
        <f aca="false">OR(D675=WF_START_PERIOD,D675=WF_END_PERIOD)</f>
        <v>0</v>
      </c>
      <c r="AC675" s="0" t="str">
        <f aca="false">B675&amp;"|"&amp;D675</f>
        <v>19690|20250331</v>
      </c>
    </row>
    <row r="676" customFormat="false" ht="15" hidden="false" customHeight="false" outlineLevel="0" collapsed="false">
      <c r="A676" s="0" t="n">
        <f aca="false">RawFinancials!A676</f>
        <v>673</v>
      </c>
      <c r="B676" s="0" t="n">
        <f aca="false">RawFinancials!C676</f>
        <v>19836</v>
      </c>
      <c r="C676" s="0" t="str">
        <f aca="false">RawFinancials!P676</f>
        <v>FRANKLIN SAVINGS BANK</v>
      </c>
      <c r="D676" s="0" t="n">
        <f aca="false">RawFinancials!W676</f>
        <v>20250331</v>
      </c>
      <c r="E676" s="0" t="str">
        <f aca="false">RawFinancials!Z676</f>
        <v>ME</v>
      </c>
      <c r="F676" s="0" t="n">
        <f aca="false">RawFinancials!B676</f>
        <v>733639</v>
      </c>
      <c r="G676" s="0" t="n">
        <f aca="false">RawFinancials!U676</f>
        <v>194</v>
      </c>
      <c r="H676" s="0" t="n">
        <f aca="false">RawFinancials!O676</f>
        <v>6387</v>
      </c>
      <c r="I676" s="0" t="n">
        <f aca="false">IF(AND(ISNUMBER(G676),ISNUMBER(H676)),G676+H676,"")</f>
        <v>6581</v>
      </c>
      <c r="J676" s="0" t="n">
        <f aca="false">RawFinancials!D676</f>
        <v>586835</v>
      </c>
      <c r="K676" s="0" t="n">
        <f aca="false">RawFinancials!F676</f>
        <v>128641</v>
      </c>
      <c r="L676" s="0" t="n">
        <f aca="false">RawFinancials!L676</f>
        <v>627367</v>
      </c>
      <c r="M676" s="0" t="n">
        <f aca="false">RawFinancials!N676</f>
        <v>573366</v>
      </c>
      <c r="N676" s="13" t="n">
        <f aca="false">RawFinancials!X676</f>
        <v>0.75637419969238</v>
      </c>
      <c r="O676" s="13" t="n">
        <f aca="false">RawFinancials!V676</f>
        <v>23.6061274143527</v>
      </c>
      <c r="P676" s="13" t="n">
        <f aca="false">IF(AND(ISNUMBER(L676),L676&lt;&gt;0,ISNUMBER(M676)),100*M676/L676,"")</f>
        <v>91.3924385566981</v>
      </c>
      <c r="Q676" s="13" t="n">
        <f aca="false">IF(AND(ISNUMBER(F676),F676&lt;&gt;0,ISNUMBER(K676)),100*K676/F676,"")</f>
        <v>17.5346457862791</v>
      </c>
      <c r="R676" s="11" t="b">
        <f aca="false">AND(ISNUMBER(F676),F676&gt;0,ISNUMBER(G676),G676&gt;=0,ISNUMBER(H676),H676&gt;=0)</f>
        <v>1</v>
      </c>
      <c r="S676" s="13" t="n">
        <f aca="false">IF(R676,100*I676/F676,"")</f>
        <v>0.89703519033203</v>
      </c>
      <c r="T676" s="11" t="b">
        <f aca="false">NOT(AND(OR(AND(ISBLANK(RawFinancials!B676),ISBLANK(_RawBaseline!B673)),AND(ISNUMBER(RawFinancials!B676),ISNUMBER(_RawBaseline!B673),RawFinancials!B676=_RawBaseline!B673)),OR(AND(ISBLANK(RawFinancials!U676),ISBLANK(_RawBaseline!U673)),AND(ISNUMBER(RawFinancials!U676),ISNUMBER(_RawBaseline!U673),RawFinancials!U676=_RawBaseline!U673)),OR(AND(ISBLANK(RawFinancials!O676),ISBLANK(_RawBaseline!O673)),AND(ISNUMBER(RawFinancials!O676),ISNUMBER(_RawBaseline!O673),RawFinancials!O676=_RawBaseline!O673))))</f>
        <v>0</v>
      </c>
      <c r="U676" s="13" t="n">
        <f aca="false">IF(AND(D676=WF_START_PERIOD,R676,COUNTIFS($B$5:$B$750,B676,$D$5:$D$750,WF_END_PERIOD,$R$5:$R$750,TRUE())&gt;0),SUMIFS($S$5:$S$750,$B$5:$B$750,B676,$D$5:$D$750,WF_END_PERIOD,$R$5:$R$750,TRUE()),0)</f>
        <v>0</v>
      </c>
      <c r="V676" s="0" t="str">
        <f aca="false">IF(AND(D676=WF_START_PERIOD,COUNTIFS($B$5:$B$750,B676,$D$5:$D$750,WF_END_PERIOD)&gt;0),INDEX($E$5:$E$750,MATCH(B676&amp;"|"&amp;WF_END_PERIOD,$AC$5:$AC$750,0)),"")</f>
        <v/>
      </c>
      <c r="W676" s="11" t="b">
        <f aca="false">COUNTIFS($B$5:$B$750,B676,$D$5:$D$750,WF_START_PERIOD,$R$5:$R$750,TRUE())&gt;0</f>
        <v>1</v>
      </c>
      <c r="X676" s="11" t="b">
        <f aca="false">COUNTIFS($B$5:$B$750,B676,$D$5:$D$750,WF_END_PERIOD,$R$5:$R$750,TRUE())&gt;0</f>
        <v>1</v>
      </c>
      <c r="Y676" s="0" t="str">
        <f aca="false">IF(AND(D676=WF_END_PERIOD,COUNTIFS($B$5:$B$750,B676,$D$5:$D$750,WF_START_PERIOD)&gt;0),INDEX($E$5:$E$750,MATCH(B676&amp;"|"&amp;WF_START_PERIOD,$AC$5:$AC$750,0)),"")</f>
        <v/>
      </c>
      <c r="Z676" s="0" t="str">
        <f aca="false">IF(AND(D676=WF_END_PERIOD,R676),1+COUNTIFS($D$5:$D$750,WF_END_PERIOD,$E$5:$E$750,E676,$R$5:$R$750,TRUE(),$S$5:$S$750,"&gt;"&amp;S676)+COUNTIFS($D$5:$D$750,WF_END_PERIOD,$E$5:$E$750,E676,$R$5:$R$750,TRUE(),$S$5:$S$750,S676,$B$5:$B$750,"&lt;"&amp;B676),"")</f>
        <v/>
      </c>
      <c r="AA676" s="0" t="str">
        <f aca="false">IF(AND(D676=WF_END_PERIOD,R676,Z676&lt;&gt;1),1+COUNTIFS($D$5:$D$750,WF_END_PERIOD,$R$5:$R$750,TRUE(),$Z$5:$Z$750,"&lt;&gt;1",$S$5:$S$750,"&gt;"&amp;S676)+COUNTIFS($D$5:$D$750,WF_END_PERIOD,$R$5:$R$750,TRUE(),$Z$5:$Z$750,"&lt;&gt;1",$S$5:$S$750,S676,$B$5:$B$750,"&lt;"&amp;B676),"")</f>
        <v/>
      </c>
      <c r="AB676" s="11" t="b">
        <f aca="false">OR(D676=WF_START_PERIOD,D676=WF_END_PERIOD)</f>
        <v>0</v>
      </c>
      <c r="AC676" s="0" t="str">
        <f aca="false">B676&amp;"|"&amp;D676</f>
        <v>19836|20250331</v>
      </c>
    </row>
    <row r="677" customFormat="false" ht="15" hidden="false" customHeight="false" outlineLevel="0" collapsed="false">
      <c r="A677" s="0" t="n">
        <f aca="false">RawFinancials!A677</f>
        <v>674</v>
      </c>
      <c r="B677" s="0" t="n">
        <f aca="false">RawFinancials!C677</f>
        <v>24540</v>
      </c>
      <c r="C677" s="0" t="str">
        <f aca="false">RawFinancials!P677</f>
        <v>BANK OF NEW ENGLAND</v>
      </c>
      <c r="D677" s="0" t="n">
        <f aca="false">RawFinancials!W677</f>
        <v>20250331</v>
      </c>
      <c r="E677" s="0" t="str">
        <f aca="false">RawFinancials!Z677</f>
        <v>NH</v>
      </c>
      <c r="F677" s="0" t="n">
        <f aca="false">RawFinancials!B677</f>
        <v>1688107</v>
      </c>
      <c r="G677" s="0" t="n">
        <f aca="false">RawFinancials!U677</f>
        <v>0</v>
      </c>
      <c r="H677" s="0" t="n">
        <f aca="false">RawFinancials!O677</f>
        <v>11794</v>
      </c>
      <c r="I677" s="0" t="n">
        <f aca="false">IF(AND(ISNUMBER(G677),ISNUMBER(H677)),G677+H677,"")</f>
        <v>11794</v>
      </c>
      <c r="J677" s="0" t="n">
        <f aca="false">RawFinancials!D677</f>
        <v>1385459</v>
      </c>
      <c r="K677" s="0" t="n">
        <f aca="false">RawFinancials!F677</f>
        <v>273377</v>
      </c>
      <c r="L677" s="0" t="n">
        <f aca="false">RawFinancials!L677</f>
        <v>1460291</v>
      </c>
      <c r="M677" s="0" t="n">
        <f aca="false">RawFinancials!N677</f>
        <v>1421528</v>
      </c>
      <c r="N677" s="13" t="n">
        <f aca="false">RawFinancials!X677</f>
        <v>1.94700476953964</v>
      </c>
      <c r="O677" s="13" t="n">
        <f aca="false">RawFinancials!V677</f>
        <v>0</v>
      </c>
      <c r="P677" s="13" t="n">
        <f aca="false">IF(AND(ISNUMBER(L677),L677&lt;&gt;0,ISNUMBER(M677)),100*M677/L677,"")</f>
        <v>97.345529076054</v>
      </c>
      <c r="Q677" s="13" t="n">
        <f aca="false">IF(AND(ISNUMBER(F677),F677&lt;&gt;0,ISNUMBER(K677)),100*K677/F677,"")</f>
        <v>16.194293371214</v>
      </c>
      <c r="R677" s="11" t="b">
        <f aca="false">AND(ISNUMBER(F677),F677&gt;0,ISNUMBER(G677),G677&gt;=0,ISNUMBER(H677),H677&gt;=0)</f>
        <v>1</v>
      </c>
      <c r="S677" s="13" t="n">
        <f aca="false">IF(R677,100*I677/F677,"")</f>
        <v>0.698652395849315</v>
      </c>
      <c r="T677" s="11" t="b">
        <f aca="false">NOT(AND(OR(AND(ISBLANK(RawFinancials!B677),ISBLANK(_RawBaseline!B674)),AND(ISNUMBER(RawFinancials!B677),ISNUMBER(_RawBaseline!B674),RawFinancials!B677=_RawBaseline!B674)),OR(AND(ISBLANK(RawFinancials!U677),ISBLANK(_RawBaseline!U674)),AND(ISNUMBER(RawFinancials!U677),ISNUMBER(_RawBaseline!U674),RawFinancials!U677=_RawBaseline!U674)),OR(AND(ISBLANK(RawFinancials!O677),ISBLANK(_RawBaseline!O674)),AND(ISNUMBER(RawFinancials!O677),ISNUMBER(_RawBaseline!O674),RawFinancials!O677=_RawBaseline!O674))))</f>
        <v>0</v>
      </c>
      <c r="U677" s="13" t="n">
        <f aca="false">IF(AND(D677=WF_START_PERIOD,R677,COUNTIFS($B$5:$B$750,B677,$D$5:$D$750,WF_END_PERIOD,$R$5:$R$750,TRUE())&gt;0),SUMIFS($S$5:$S$750,$B$5:$B$750,B677,$D$5:$D$750,WF_END_PERIOD,$R$5:$R$750,TRUE()),0)</f>
        <v>0</v>
      </c>
      <c r="V677" s="0" t="str">
        <f aca="false">IF(AND(D677=WF_START_PERIOD,COUNTIFS($B$5:$B$750,B677,$D$5:$D$750,WF_END_PERIOD)&gt;0),INDEX($E$5:$E$750,MATCH(B677&amp;"|"&amp;WF_END_PERIOD,$AC$5:$AC$750,0)),"")</f>
        <v/>
      </c>
      <c r="W677" s="11" t="b">
        <f aca="false">COUNTIFS($B$5:$B$750,B677,$D$5:$D$750,WF_START_PERIOD,$R$5:$R$750,TRUE())&gt;0</f>
        <v>1</v>
      </c>
      <c r="X677" s="11" t="b">
        <f aca="false">COUNTIFS($B$5:$B$750,B677,$D$5:$D$750,WF_END_PERIOD,$R$5:$R$750,TRUE())&gt;0</f>
        <v>1</v>
      </c>
      <c r="Y677" s="0" t="str">
        <f aca="false">IF(AND(D677=WF_END_PERIOD,COUNTIFS($B$5:$B$750,B677,$D$5:$D$750,WF_START_PERIOD)&gt;0),INDEX($E$5:$E$750,MATCH(B677&amp;"|"&amp;WF_START_PERIOD,$AC$5:$AC$750,0)),"")</f>
        <v/>
      </c>
      <c r="Z677" s="0" t="str">
        <f aca="false">IF(AND(D677=WF_END_PERIOD,R677),1+COUNTIFS($D$5:$D$750,WF_END_PERIOD,$E$5:$E$750,E677,$R$5:$R$750,TRUE(),$S$5:$S$750,"&gt;"&amp;S677)+COUNTIFS($D$5:$D$750,WF_END_PERIOD,$E$5:$E$750,E677,$R$5:$R$750,TRUE(),$S$5:$S$750,S677,$B$5:$B$750,"&lt;"&amp;B677),"")</f>
        <v/>
      </c>
      <c r="AA677" s="0" t="str">
        <f aca="false">IF(AND(D677=WF_END_PERIOD,R677,Z677&lt;&gt;1),1+COUNTIFS($D$5:$D$750,WF_END_PERIOD,$R$5:$R$750,TRUE(),$Z$5:$Z$750,"&lt;&gt;1",$S$5:$S$750,"&gt;"&amp;S677)+COUNTIFS($D$5:$D$750,WF_END_PERIOD,$R$5:$R$750,TRUE(),$Z$5:$Z$750,"&lt;&gt;1",$S$5:$S$750,S677,$B$5:$B$750,"&lt;"&amp;B677),"")</f>
        <v/>
      </c>
      <c r="AB677" s="11" t="b">
        <f aca="false">OR(D677=WF_START_PERIOD,D677=WF_END_PERIOD)</f>
        <v>0</v>
      </c>
      <c r="AC677" s="0" t="str">
        <f aca="false">B677&amp;"|"&amp;D677</f>
        <v>24540|20250331</v>
      </c>
    </row>
    <row r="678" customFormat="false" ht="15" hidden="false" customHeight="false" outlineLevel="0" collapsed="false">
      <c r="A678" s="0" t="n">
        <f aca="false">RawFinancials!A678</f>
        <v>675</v>
      </c>
      <c r="B678" s="0" t="n">
        <f aca="false">RawFinancials!C678</f>
        <v>27824</v>
      </c>
      <c r="C678" s="0" t="str">
        <f aca="false">RawFinancials!P678</f>
        <v>SALEM CO-OPERATIVE BANK</v>
      </c>
      <c r="D678" s="0" t="n">
        <f aca="false">RawFinancials!W678</f>
        <v>20250331</v>
      </c>
      <c r="E678" s="0" t="str">
        <f aca="false">RawFinancials!Z678</f>
        <v>NH</v>
      </c>
      <c r="F678" s="0" t="n">
        <f aca="false">RawFinancials!B678</f>
        <v>575397</v>
      </c>
      <c r="G678" s="0" t="n">
        <f aca="false">RawFinancials!U678</f>
        <v>0</v>
      </c>
      <c r="H678" s="0" t="n">
        <f aca="false">RawFinancials!O678</f>
        <v>2067</v>
      </c>
      <c r="I678" s="0" t="n">
        <f aca="false">IF(AND(ISNUMBER(G678),ISNUMBER(H678)),G678+H678,"")</f>
        <v>2067</v>
      </c>
      <c r="J678" s="0" t="n">
        <f aca="false">RawFinancials!D678</f>
        <v>382749</v>
      </c>
      <c r="K678" s="0" t="n">
        <f aca="false">RawFinancials!F678</f>
        <v>62093</v>
      </c>
      <c r="L678" s="0" t="n">
        <f aca="false">RawFinancials!L678</f>
        <v>473217</v>
      </c>
      <c r="M678" s="0" t="n">
        <f aca="false">RawFinancials!N678</f>
        <v>420218</v>
      </c>
      <c r="N678" s="13" t="n">
        <f aca="false">RawFinancials!X678</f>
        <v>-0.633637024006441</v>
      </c>
      <c r="O678" s="13" t="n">
        <f aca="false">RawFinancials!V678</f>
        <v>18.7325769420946</v>
      </c>
      <c r="P678" s="13" t="n">
        <f aca="false">IF(AND(ISNUMBER(L678),L678&lt;&gt;0,ISNUMBER(M678)),100*M678/L678,"")</f>
        <v>88.8002755606836</v>
      </c>
      <c r="Q678" s="13" t="n">
        <f aca="false">IF(AND(ISNUMBER(F678),F678&lt;&gt;0,ISNUMBER(K678)),100*K678/F678,"")</f>
        <v>10.7913318978027</v>
      </c>
      <c r="R678" s="11" t="b">
        <f aca="false">AND(ISNUMBER(F678),F678&gt;0,ISNUMBER(G678),G678&gt;=0,ISNUMBER(H678),H678&gt;=0)</f>
        <v>1</v>
      </c>
      <c r="S678" s="13" t="n">
        <f aca="false">IF(R678,100*I678/F678,"")</f>
        <v>0.359230235819791</v>
      </c>
      <c r="T678" s="11" t="b">
        <f aca="false">NOT(AND(OR(AND(ISBLANK(RawFinancials!B678),ISBLANK(_RawBaseline!B675)),AND(ISNUMBER(RawFinancials!B678),ISNUMBER(_RawBaseline!B675),RawFinancials!B678=_RawBaseline!B675)),OR(AND(ISBLANK(RawFinancials!U678),ISBLANK(_RawBaseline!U675)),AND(ISNUMBER(RawFinancials!U678),ISNUMBER(_RawBaseline!U675),RawFinancials!U678=_RawBaseline!U675)),OR(AND(ISBLANK(RawFinancials!O678),ISBLANK(_RawBaseline!O675)),AND(ISNUMBER(RawFinancials!O678),ISNUMBER(_RawBaseline!O675),RawFinancials!O678=_RawBaseline!O675))))</f>
        <v>0</v>
      </c>
      <c r="U678" s="13" t="n">
        <f aca="false">IF(AND(D678=WF_START_PERIOD,R678,COUNTIFS($B$5:$B$750,B678,$D$5:$D$750,WF_END_PERIOD,$R$5:$R$750,TRUE())&gt;0),SUMIFS($S$5:$S$750,$B$5:$B$750,B678,$D$5:$D$750,WF_END_PERIOD,$R$5:$R$750,TRUE()),0)</f>
        <v>0</v>
      </c>
      <c r="V678" s="0" t="str">
        <f aca="false">IF(AND(D678=WF_START_PERIOD,COUNTIFS($B$5:$B$750,B678,$D$5:$D$750,WF_END_PERIOD)&gt;0),INDEX($E$5:$E$750,MATCH(B678&amp;"|"&amp;WF_END_PERIOD,$AC$5:$AC$750,0)),"")</f>
        <v/>
      </c>
      <c r="W678" s="11" t="b">
        <f aca="false">COUNTIFS($B$5:$B$750,B678,$D$5:$D$750,WF_START_PERIOD,$R$5:$R$750,TRUE())&gt;0</f>
        <v>1</v>
      </c>
      <c r="X678" s="11" t="b">
        <f aca="false">COUNTIFS($B$5:$B$750,B678,$D$5:$D$750,WF_END_PERIOD,$R$5:$R$750,TRUE())&gt;0</f>
        <v>1</v>
      </c>
      <c r="Y678" s="0" t="str">
        <f aca="false">IF(AND(D678=WF_END_PERIOD,COUNTIFS($B$5:$B$750,B678,$D$5:$D$750,WF_START_PERIOD)&gt;0),INDEX($E$5:$E$750,MATCH(B678&amp;"|"&amp;WF_START_PERIOD,$AC$5:$AC$750,0)),"")</f>
        <v/>
      </c>
      <c r="Z678" s="0" t="str">
        <f aca="false">IF(AND(D678=WF_END_PERIOD,R678),1+COUNTIFS($D$5:$D$750,WF_END_PERIOD,$E$5:$E$750,E678,$R$5:$R$750,TRUE(),$S$5:$S$750,"&gt;"&amp;S678)+COUNTIFS($D$5:$D$750,WF_END_PERIOD,$E$5:$E$750,E678,$R$5:$R$750,TRUE(),$S$5:$S$750,S678,$B$5:$B$750,"&lt;"&amp;B678),"")</f>
        <v/>
      </c>
      <c r="AA678" s="0" t="str">
        <f aca="false">IF(AND(D678=WF_END_PERIOD,R678,Z678&lt;&gt;1),1+COUNTIFS($D$5:$D$750,WF_END_PERIOD,$R$5:$R$750,TRUE(),$Z$5:$Z$750,"&lt;&gt;1",$S$5:$S$750,"&gt;"&amp;S678)+COUNTIFS($D$5:$D$750,WF_END_PERIOD,$R$5:$R$750,TRUE(),$Z$5:$Z$750,"&lt;&gt;1",$S$5:$S$750,S678,$B$5:$B$750,"&lt;"&amp;B678),"")</f>
        <v/>
      </c>
      <c r="AB678" s="11" t="b">
        <f aca="false">OR(D678=WF_START_PERIOD,D678=WF_END_PERIOD)</f>
        <v>0</v>
      </c>
      <c r="AC678" s="0" t="str">
        <f aca="false">B678&amp;"|"&amp;D678</f>
        <v>27824|20250331</v>
      </c>
    </row>
    <row r="679" customFormat="false" ht="15" hidden="false" customHeight="false" outlineLevel="0" collapsed="false">
      <c r="A679" s="0" t="n">
        <f aca="false">RawFinancials!A679</f>
        <v>676</v>
      </c>
      <c r="B679" s="0" t="n">
        <f aca="false">RawFinancials!C679</f>
        <v>28155</v>
      </c>
      <c r="C679" s="0" t="str">
        <f aca="false">RawFinancials!P679</f>
        <v>PROFILE BANK</v>
      </c>
      <c r="D679" s="0" t="n">
        <f aca="false">RawFinancials!W679</f>
        <v>20250331</v>
      </c>
      <c r="E679" s="0" t="str">
        <f aca="false">RawFinancials!Z679</f>
        <v>NH</v>
      </c>
      <c r="F679" s="0" t="n">
        <f aca="false">RawFinancials!B679</f>
        <v>299190</v>
      </c>
      <c r="G679" s="0" t="n">
        <f aca="false">RawFinancials!U679</f>
        <v>0</v>
      </c>
      <c r="H679" s="0" t="n">
        <f aca="false">RawFinancials!O679</f>
        <v>304</v>
      </c>
      <c r="I679" s="0" t="n">
        <f aca="false">IF(AND(ISNUMBER(G679),ISNUMBER(H679)),G679+H679,"")</f>
        <v>304</v>
      </c>
      <c r="J679" s="0" t="n">
        <f aca="false">RawFinancials!D679</f>
        <v>270079</v>
      </c>
      <c r="K679" s="0" t="n">
        <f aca="false">RawFinancials!F679</f>
        <v>27411</v>
      </c>
      <c r="L679" s="0" t="n">
        <f aca="false">RawFinancials!L679</f>
        <v>176105</v>
      </c>
      <c r="M679" s="0" t="n">
        <f aca="false">RawFinancials!N679</f>
        <v>159503</v>
      </c>
      <c r="N679" s="13" t="n">
        <f aca="false">RawFinancials!X679</f>
        <v>-0.103525409942137</v>
      </c>
      <c r="O679" s="13" t="n">
        <f aca="false">RawFinancials!V679</f>
        <v>17.476407488759</v>
      </c>
      <c r="P679" s="13" t="n">
        <f aca="false">IF(AND(ISNUMBER(L679),L679&lt;&gt;0,ISNUMBER(M679)),100*M679/L679,"")</f>
        <v>90.572669714091</v>
      </c>
      <c r="Q679" s="13" t="n">
        <f aca="false">IF(AND(ISNUMBER(F679),F679&lt;&gt;0,ISNUMBER(K679)),100*K679/F679,"")</f>
        <v>9.16173668906046</v>
      </c>
      <c r="R679" s="11" t="b">
        <f aca="false">AND(ISNUMBER(F679),F679&gt;0,ISNUMBER(G679),G679&gt;=0,ISNUMBER(H679),H679&gt;=0)</f>
        <v>1</v>
      </c>
      <c r="S679" s="13" t="n">
        <f aca="false">IF(R679,100*I679/F679,"")</f>
        <v>0.101607674053277</v>
      </c>
      <c r="T679" s="11" t="b">
        <f aca="false">NOT(AND(OR(AND(ISBLANK(RawFinancials!B679),ISBLANK(_RawBaseline!B676)),AND(ISNUMBER(RawFinancials!B679),ISNUMBER(_RawBaseline!B676),RawFinancials!B679=_RawBaseline!B676)),OR(AND(ISBLANK(RawFinancials!U679),ISBLANK(_RawBaseline!U676)),AND(ISNUMBER(RawFinancials!U679),ISNUMBER(_RawBaseline!U676),RawFinancials!U679=_RawBaseline!U676)),OR(AND(ISBLANK(RawFinancials!O679),ISBLANK(_RawBaseline!O676)),AND(ISNUMBER(RawFinancials!O679),ISNUMBER(_RawBaseline!O676),RawFinancials!O679=_RawBaseline!O676))))</f>
        <v>0</v>
      </c>
      <c r="U679" s="13" t="n">
        <f aca="false">IF(AND(D679=WF_START_PERIOD,R679,COUNTIFS($B$5:$B$750,B679,$D$5:$D$750,WF_END_PERIOD,$R$5:$R$750,TRUE())&gt;0),SUMIFS($S$5:$S$750,$B$5:$B$750,B679,$D$5:$D$750,WF_END_PERIOD,$R$5:$R$750,TRUE()),0)</f>
        <v>0</v>
      </c>
      <c r="V679" s="0" t="str">
        <f aca="false">IF(AND(D679=WF_START_PERIOD,COUNTIFS($B$5:$B$750,B679,$D$5:$D$750,WF_END_PERIOD)&gt;0),INDEX($E$5:$E$750,MATCH(B679&amp;"|"&amp;WF_END_PERIOD,$AC$5:$AC$750,0)),"")</f>
        <v/>
      </c>
      <c r="W679" s="11" t="b">
        <f aca="false">COUNTIFS($B$5:$B$750,B679,$D$5:$D$750,WF_START_PERIOD,$R$5:$R$750,TRUE())&gt;0</f>
        <v>1</v>
      </c>
      <c r="X679" s="11" t="b">
        <f aca="false">COUNTIFS($B$5:$B$750,B679,$D$5:$D$750,WF_END_PERIOD,$R$5:$R$750,TRUE())&gt;0</f>
        <v>1</v>
      </c>
      <c r="Y679" s="0" t="str">
        <f aca="false">IF(AND(D679=WF_END_PERIOD,COUNTIFS($B$5:$B$750,B679,$D$5:$D$750,WF_START_PERIOD)&gt;0),INDEX($E$5:$E$750,MATCH(B679&amp;"|"&amp;WF_START_PERIOD,$AC$5:$AC$750,0)),"")</f>
        <v/>
      </c>
      <c r="Z679" s="0" t="str">
        <f aca="false">IF(AND(D679=WF_END_PERIOD,R679),1+COUNTIFS($D$5:$D$750,WF_END_PERIOD,$E$5:$E$750,E679,$R$5:$R$750,TRUE(),$S$5:$S$750,"&gt;"&amp;S679)+COUNTIFS($D$5:$D$750,WF_END_PERIOD,$E$5:$E$750,E679,$R$5:$R$750,TRUE(),$S$5:$S$750,S679,$B$5:$B$750,"&lt;"&amp;B679),"")</f>
        <v/>
      </c>
      <c r="AA679" s="0" t="str">
        <f aca="false">IF(AND(D679=WF_END_PERIOD,R679,Z679&lt;&gt;1),1+COUNTIFS($D$5:$D$750,WF_END_PERIOD,$R$5:$R$750,TRUE(),$Z$5:$Z$750,"&lt;&gt;1",$S$5:$S$750,"&gt;"&amp;S679)+COUNTIFS($D$5:$D$750,WF_END_PERIOD,$R$5:$R$750,TRUE(),$Z$5:$Z$750,"&lt;&gt;1",$S$5:$S$750,S679,$B$5:$B$750,"&lt;"&amp;B679),"")</f>
        <v/>
      </c>
      <c r="AB679" s="11" t="b">
        <f aca="false">OR(D679=WF_START_PERIOD,D679=WF_END_PERIOD)</f>
        <v>0</v>
      </c>
      <c r="AC679" s="0" t="str">
        <f aca="false">B679&amp;"|"&amp;D679</f>
        <v>28155|20250331</v>
      </c>
    </row>
    <row r="680" customFormat="false" ht="15" hidden="false" customHeight="false" outlineLevel="0" collapsed="false">
      <c r="A680" s="0" t="n">
        <f aca="false">RawFinancials!A680</f>
        <v>677</v>
      </c>
      <c r="B680" s="0" t="n">
        <f aca="false">RawFinancials!C680</f>
        <v>28288</v>
      </c>
      <c r="C680" s="0" t="str">
        <f aca="false">RawFinancials!P680</f>
        <v>AUBURN SAVINGS BANK, FSB</v>
      </c>
      <c r="D680" s="0" t="n">
        <f aca="false">RawFinancials!W680</f>
        <v>20250331</v>
      </c>
      <c r="E680" s="0" t="str">
        <f aca="false">RawFinancials!Z680</f>
        <v>ME</v>
      </c>
      <c r="F680" s="0" t="n">
        <f aca="false">RawFinancials!B680</f>
        <v>101149</v>
      </c>
      <c r="G680" s="0" t="n">
        <f aca="false">RawFinancials!U680</f>
        <v>0</v>
      </c>
      <c r="H680" s="0" t="n">
        <f aca="false">RawFinancials!O680</f>
        <v>1</v>
      </c>
      <c r="I680" s="0" t="n">
        <f aca="false">IF(AND(ISNUMBER(G680),ISNUMBER(H680)),G680+H680,"")</f>
        <v>1</v>
      </c>
      <c r="J680" s="0" t="n">
        <f aca="false">RawFinancials!D680</f>
        <v>72293</v>
      </c>
      <c r="K680" s="0" t="n">
        <f aca="false">RawFinancials!F680</f>
        <v>6164</v>
      </c>
      <c r="L680" s="0" t="n">
        <f aca="false">RawFinancials!L680</f>
        <v>81722</v>
      </c>
      <c r="M680" s="0" t="n">
        <f aca="false">RawFinancials!N680</f>
        <v>73892</v>
      </c>
      <c r="N680" s="13" t="n">
        <f aca="false">RawFinancials!X680</f>
        <v>0.216262975778547</v>
      </c>
      <c r="O680" s="13" t="n">
        <f aca="false">RawFinancials!V680</f>
        <v>13.3963087197846</v>
      </c>
      <c r="P680" s="13" t="n">
        <f aca="false">IF(AND(ISNUMBER(L680),L680&lt;&gt;0,ISNUMBER(M680)),100*M680/L680,"")</f>
        <v>90.4187366926899</v>
      </c>
      <c r="Q680" s="13" t="n">
        <f aca="false">IF(AND(ISNUMBER(F680),F680&lt;&gt;0,ISNUMBER(K680)),100*K680/F680,"")</f>
        <v>6.09398016787116</v>
      </c>
      <c r="R680" s="11" t="b">
        <f aca="false">AND(ISNUMBER(F680),F680&gt;0,ISNUMBER(G680),G680&gt;=0,ISNUMBER(H680),H680&gt;=0)</f>
        <v>1</v>
      </c>
      <c r="S680" s="13" t="n">
        <f aca="false">IF(R680,100*I680/F680,"")</f>
        <v>0.00098864052042037</v>
      </c>
      <c r="T680" s="11" t="b">
        <f aca="false">NOT(AND(OR(AND(ISBLANK(RawFinancials!B680),ISBLANK(_RawBaseline!B677)),AND(ISNUMBER(RawFinancials!B680),ISNUMBER(_RawBaseline!B677),RawFinancials!B680=_RawBaseline!B677)),OR(AND(ISBLANK(RawFinancials!U680),ISBLANK(_RawBaseline!U677)),AND(ISNUMBER(RawFinancials!U680),ISNUMBER(_RawBaseline!U677),RawFinancials!U680=_RawBaseline!U677)),OR(AND(ISBLANK(RawFinancials!O680),ISBLANK(_RawBaseline!O677)),AND(ISNUMBER(RawFinancials!O680),ISNUMBER(_RawBaseline!O677),RawFinancials!O680=_RawBaseline!O677))))</f>
        <v>0</v>
      </c>
      <c r="U680" s="13" t="n">
        <f aca="false">IF(AND(D680=WF_START_PERIOD,R680,COUNTIFS($B$5:$B$750,B680,$D$5:$D$750,WF_END_PERIOD,$R$5:$R$750,TRUE())&gt;0),SUMIFS($S$5:$S$750,$B$5:$B$750,B680,$D$5:$D$750,WF_END_PERIOD,$R$5:$R$750,TRUE()),0)</f>
        <v>0</v>
      </c>
      <c r="V680" s="0" t="str">
        <f aca="false">IF(AND(D680=WF_START_PERIOD,COUNTIFS($B$5:$B$750,B680,$D$5:$D$750,WF_END_PERIOD)&gt;0),INDEX($E$5:$E$750,MATCH(B680&amp;"|"&amp;WF_END_PERIOD,$AC$5:$AC$750,0)),"")</f>
        <v/>
      </c>
      <c r="W680" s="11" t="b">
        <f aca="false">COUNTIFS($B$5:$B$750,B680,$D$5:$D$750,WF_START_PERIOD,$R$5:$R$750,TRUE())&gt;0</f>
        <v>1</v>
      </c>
      <c r="X680" s="11" t="b">
        <f aca="false">COUNTIFS($B$5:$B$750,B680,$D$5:$D$750,WF_END_PERIOD,$R$5:$R$750,TRUE())&gt;0</f>
        <v>1</v>
      </c>
      <c r="Y680" s="0" t="str">
        <f aca="false">IF(AND(D680=WF_END_PERIOD,COUNTIFS($B$5:$B$750,B680,$D$5:$D$750,WF_START_PERIOD)&gt;0),INDEX($E$5:$E$750,MATCH(B680&amp;"|"&amp;WF_START_PERIOD,$AC$5:$AC$750,0)),"")</f>
        <v/>
      </c>
      <c r="Z680" s="0" t="str">
        <f aca="false">IF(AND(D680=WF_END_PERIOD,R680),1+COUNTIFS($D$5:$D$750,WF_END_PERIOD,$E$5:$E$750,E680,$R$5:$R$750,TRUE(),$S$5:$S$750,"&gt;"&amp;S680)+COUNTIFS($D$5:$D$750,WF_END_PERIOD,$E$5:$E$750,E680,$R$5:$R$750,TRUE(),$S$5:$S$750,S680,$B$5:$B$750,"&lt;"&amp;B680),"")</f>
        <v/>
      </c>
      <c r="AA680" s="0" t="str">
        <f aca="false">IF(AND(D680=WF_END_PERIOD,R680,Z680&lt;&gt;1),1+COUNTIFS($D$5:$D$750,WF_END_PERIOD,$R$5:$R$750,TRUE(),$Z$5:$Z$750,"&lt;&gt;1",$S$5:$S$750,"&gt;"&amp;S680)+COUNTIFS($D$5:$D$750,WF_END_PERIOD,$R$5:$R$750,TRUE(),$Z$5:$Z$750,"&lt;&gt;1",$S$5:$S$750,S680,$B$5:$B$750,"&lt;"&amp;B680),"")</f>
        <v/>
      </c>
      <c r="AB680" s="11" t="b">
        <f aca="false">OR(D680=WF_START_PERIOD,D680=WF_END_PERIOD)</f>
        <v>0</v>
      </c>
      <c r="AC680" s="0" t="str">
        <f aca="false">B680&amp;"|"&amp;D680</f>
        <v>28288|20250331</v>
      </c>
    </row>
    <row r="681" customFormat="false" ht="15" hidden="false" customHeight="false" outlineLevel="0" collapsed="false">
      <c r="A681" s="0" t="n">
        <f aca="false">RawFinancials!A681</f>
        <v>678</v>
      </c>
      <c r="B681" s="0" t="n">
        <f aca="false">RawFinancials!C681</f>
        <v>28369</v>
      </c>
      <c r="C681" s="0" t="str">
        <f aca="false">RawFinancials!P681</f>
        <v>ROCKLAND SAVINGS BANK, FSB</v>
      </c>
      <c r="D681" s="0" t="n">
        <f aca="false">RawFinancials!W681</f>
        <v>20250331</v>
      </c>
      <c r="E681" s="0" t="str">
        <f aca="false">RawFinancials!Z681</f>
        <v>ME</v>
      </c>
      <c r="F681" s="0" t="n">
        <f aca="false">RawFinancials!B681</f>
        <v>93473</v>
      </c>
      <c r="G681" s="0" t="n">
        <f aca="false">RawFinancials!U681</f>
        <v>0</v>
      </c>
      <c r="H681" s="0" t="n">
        <f aca="false">RawFinancials!O681</f>
        <v>88</v>
      </c>
      <c r="I681" s="0" t="n">
        <f aca="false">IF(AND(ISNUMBER(G681),ISNUMBER(H681)),G681+H681,"")</f>
        <v>88</v>
      </c>
      <c r="J681" s="0" t="n">
        <f aca="false">RawFinancials!D681</f>
        <v>72638</v>
      </c>
      <c r="K681" s="0" t="n">
        <f aca="false">RawFinancials!F681</f>
        <v>9063</v>
      </c>
      <c r="L681" s="0" t="n">
        <f aca="false">RawFinancials!L681</f>
        <v>80877</v>
      </c>
      <c r="M681" s="0" t="n">
        <f aca="false">RawFinancials!N681</f>
        <v>67131</v>
      </c>
      <c r="N681" s="13" t="n">
        <f aca="false">RawFinancials!X681</f>
        <v>0.0854554776961203</v>
      </c>
      <c r="O681" s="13" t="n">
        <f aca="false">RawFinancials!V681</f>
        <v>14.0023818248443</v>
      </c>
      <c r="P681" s="13" t="n">
        <f aca="false">IF(AND(ISNUMBER(L681),L681&lt;&gt;0,ISNUMBER(M681)),100*M681/L681,"")</f>
        <v>83.0038206164917</v>
      </c>
      <c r="Q681" s="13" t="n">
        <f aca="false">IF(AND(ISNUMBER(F681),F681&lt;&gt;0,ISNUMBER(K681)),100*K681/F681,"")</f>
        <v>9.69584799888738</v>
      </c>
      <c r="R681" s="11" t="b">
        <f aca="false">AND(ISNUMBER(F681),F681&gt;0,ISNUMBER(G681),G681&gt;=0,ISNUMBER(H681),H681&gt;=0)</f>
        <v>1</v>
      </c>
      <c r="S681" s="13" t="n">
        <f aca="false">IF(R681,100*I681/F681,"")</f>
        <v>0.0941448332673606</v>
      </c>
      <c r="T681" s="11" t="b">
        <f aca="false">NOT(AND(OR(AND(ISBLANK(RawFinancials!B681),ISBLANK(_RawBaseline!B678)),AND(ISNUMBER(RawFinancials!B681),ISNUMBER(_RawBaseline!B678),RawFinancials!B681=_RawBaseline!B678)),OR(AND(ISBLANK(RawFinancials!U681),ISBLANK(_RawBaseline!U678)),AND(ISNUMBER(RawFinancials!U681),ISNUMBER(_RawBaseline!U678),RawFinancials!U681=_RawBaseline!U678)),OR(AND(ISBLANK(RawFinancials!O681),ISBLANK(_RawBaseline!O678)),AND(ISNUMBER(RawFinancials!O681),ISNUMBER(_RawBaseline!O678),RawFinancials!O681=_RawBaseline!O678))))</f>
        <v>0</v>
      </c>
      <c r="U681" s="13" t="n">
        <f aca="false">IF(AND(D681=WF_START_PERIOD,R681,COUNTIFS($B$5:$B$750,B681,$D$5:$D$750,WF_END_PERIOD,$R$5:$R$750,TRUE())&gt;0),SUMIFS($S$5:$S$750,$B$5:$B$750,B681,$D$5:$D$750,WF_END_PERIOD,$R$5:$R$750,TRUE()),0)</f>
        <v>0</v>
      </c>
      <c r="V681" s="0" t="str">
        <f aca="false">IF(AND(D681=WF_START_PERIOD,COUNTIFS($B$5:$B$750,B681,$D$5:$D$750,WF_END_PERIOD)&gt;0),INDEX($E$5:$E$750,MATCH(B681&amp;"|"&amp;WF_END_PERIOD,$AC$5:$AC$750,0)),"")</f>
        <v/>
      </c>
      <c r="W681" s="11" t="b">
        <f aca="false">COUNTIFS($B$5:$B$750,B681,$D$5:$D$750,WF_START_PERIOD,$R$5:$R$750,TRUE())&gt;0</f>
        <v>1</v>
      </c>
      <c r="X681" s="11" t="b">
        <f aca="false">COUNTIFS($B$5:$B$750,B681,$D$5:$D$750,WF_END_PERIOD,$R$5:$R$750,TRUE())&gt;0</f>
        <v>1</v>
      </c>
      <c r="Y681" s="0" t="str">
        <f aca="false">IF(AND(D681=WF_END_PERIOD,COUNTIFS($B$5:$B$750,B681,$D$5:$D$750,WF_START_PERIOD)&gt;0),INDEX($E$5:$E$750,MATCH(B681&amp;"|"&amp;WF_START_PERIOD,$AC$5:$AC$750,0)),"")</f>
        <v/>
      </c>
      <c r="Z681" s="0" t="str">
        <f aca="false">IF(AND(D681=WF_END_PERIOD,R681),1+COUNTIFS($D$5:$D$750,WF_END_PERIOD,$E$5:$E$750,E681,$R$5:$R$750,TRUE(),$S$5:$S$750,"&gt;"&amp;S681)+COUNTIFS($D$5:$D$750,WF_END_PERIOD,$E$5:$E$750,E681,$R$5:$R$750,TRUE(),$S$5:$S$750,S681,$B$5:$B$750,"&lt;"&amp;B681),"")</f>
        <v/>
      </c>
      <c r="AA681" s="0" t="str">
        <f aca="false">IF(AND(D681=WF_END_PERIOD,R681,Z681&lt;&gt;1),1+COUNTIFS($D$5:$D$750,WF_END_PERIOD,$R$5:$R$750,TRUE(),$Z$5:$Z$750,"&lt;&gt;1",$S$5:$S$750,"&gt;"&amp;S681)+COUNTIFS($D$5:$D$750,WF_END_PERIOD,$R$5:$R$750,TRUE(),$Z$5:$Z$750,"&lt;&gt;1",$S$5:$S$750,S681,$B$5:$B$750,"&lt;"&amp;B681),"")</f>
        <v/>
      </c>
      <c r="AB681" s="11" t="b">
        <f aca="false">OR(D681=WF_START_PERIOD,D681=WF_END_PERIOD)</f>
        <v>0</v>
      </c>
      <c r="AC681" s="0" t="str">
        <f aca="false">B681&amp;"|"&amp;D681</f>
        <v>28369|20250331</v>
      </c>
    </row>
    <row r="682" customFormat="false" ht="15" hidden="false" customHeight="false" outlineLevel="0" collapsed="false">
      <c r="A682" s="0" t="n">
        <f aca="false">RawFinancials!A682</f>
        <v>679</v>
      </c>
      <c r="B682" s="0" t="n">
        <f aca="false">RawFinancials!C682</f>
        <v>28837</v>
      </c>
      <c r="C682" s="0" t="str">
        <f aca="false">RawFinancials!P682</f>
        <v>THE BRATTLEBORO SAVINGS AND LOAN ASSOCIATION</v>
      </c>
      <c r="D682" s="0" t="n">
        <f aca="false">RawFinancials!W682</f>
        <v>20250331</v>
      </c>
      <c r="E682" s="0" t="str">
        <f aca="false">RawFinancials!Z682</f>
        <v>VT</v>
      </c>
      <c r="F682" s="0" t="n">
        <f aca="false">RawFinancials!B682</f>
        <v>289565</v>
      </c>
      <c r="G682" s="0" t="n">
        <f aca="false">RawFinancials!U682</f>
        <v>0</v>
      </c>
      <c r="H682" s="0" t="n">
        <f aca="false">RawFinancials!O682</f>
        <v>0</v>
      </c>
      <c r="I682" s="0" t="n">
        <f aca="false">IF(AND(ISNUMBER(G682),ISNUMBER(H682)),G682+H682,"")</f>
        <v>0</v>
      </c>
      <c r="J682" s="0" t="n">
        <f aca="false">RawFinancials!D682</f>
        <v>257144</v>
      </c>
      <c r="K682" s="0" t="n">
        <f aca="false">RawFinancials!F682</f>
        <v>29273</v>
      </c>
      <c r="L682" s="0" t="n">
        <f aca="false">RawFinancials!L682</f>
        <v>204142</v>
      </c>
      <c r="M682" s="0" t="n">
        <f aca="false">RawFinancials!N682</f>
        <v>195050</v>
      </c>
      <c r="N682" s="13" t="n">
        <f aca="false">RawFinancials!X682</f>
        <v>0.698313621099047</v>
      </c>
      <c r="O682" s="13" t="n">
        <f aca="false">RawFinancials!V682</f>
        <v>18.1761660582706</v>
      </c>
      <c r="P682" s="13" t="n">
        <f aca="false">IF(AND(ISNUMBER(L682),L682&lt;&gt;0,ISNUMBER(M682)),100*M682/L682,"")</f>
        <v>95.5462374229703</v>
      </c>
      <c r="Q682" s="13" t="n">
        <f aca="false">IF(AND(ISNUMBER(F682),F682&lt;&gt;0,ISNUMBER(K682)),100*K682/F682,"")</f>
        <v>10.1093018838603</v>
      </c>
      <c r="R682" s="11" t="b">
        <f aca="false">AND(ISNUMBER(F682),F682&gt;0,ISNUMBER(G682),G682&gt;=0,ISNUMBER(H682),H682&gt;=0)</f>
        <v>1</v>
      </c>
      <c r="S682" s="13" t="n">
        <f aca="false">IF(R682,100*I682/F682,"")</f>
        <v>0</v>
      </c>
      <c r="T682" s="11" t="b">
        <f aca="false">NOT(AND(OR(AND(ISBLANK(RawFinancials!B682),ISBLANK(_RawBaseline!B679)),AND(ISNUMBER(RawFinancials!B682),ISNUMBER(_RawBaseline!B679),RawFinancials!B682=_RawBaseline!B679)),OR(AND(ISBLANK(RawFinancials!U682),ISBLANK(_RawBaseline!U679)),AND(ISNUMBER(RawFinancials!U682),ISNUMBER(_RawBaseline!U679),RawFinancials!U682=_RawBaseline!U679)),OR(AND(ISBLANK(RawFinancials!O682),ISBLANK(_RawBaseline!O679)),AND(ISNUMBER(RawFinancials!O682),ISNUMBER(_RawBaseline!O679),RawFinancials!O682=_RawBaseline!O679))))</f>
        <v>0</v>
      </c>
      <c r="U682" s="13" t="n">
        <f aca="false">IF(AND(D682=WF_START_PERIOD,R682,COUNTIFS($B$5:$B$750,B682,$D$5:$D$750,WF_END_PERIOD,$R$5:$R$750,TRUE())&gt;0),SUMIFS($S$5:$S$750,$B$5:$B$750,B682,$D$5:$D$750,WF_END_PERIOD,$R$5:$R$750,TRUE()),0)</f>
        <v>0</v>
      </c>
      <c r="V682" s="0" t="str">
        <f aca="false">IF(AND(D682=WF_START_PERIOD,COUNTIFS($B$5:$B$750,B682,$D$5:$D$750,WF_END_PERIOD)&gt;0),INDEX($E$5:$E$750,MATCH(B682&amp;"|"&amp;WF_END_PERIOD,$AC$5:$AC$750,0)),"")</f>
        <v/>
      </c>
      <c r="W682" s="11" t="b">
        <f aca="false">COUNTIFS($B$5:$B$750,B682,$D$5:$D$750,WF_START_PERIOD,$R$5:$R$750,TRUE())&gt;0</f>
        <v>1</v>
      </c>
      <c r="X682" s="11" t="b">
        <f aca="false">COUNTIFS($B$5:$B$750,B682,$D$5:$D$750,WF_END_PERIOD,$R$5:$R$750,TRUE())&gt;0</f>
        <v>1</v>
      </c>
      <c r="Y682" s="0" t="str">
        <f aca="false">IF(AND(D682=WF_END_PERIOD,COUNTIFS($B$5:$B$750,B682,$D$5:$D$750,WF_START_PERIOD)&gt;0),INDEX($E$5:$E$750,MATCH(B682&amp;"|"&amp;WF_START_PERIOD,$AC$5:$AC$750,0)),"")</f>
        <v/>
      </c>
      <c r="Z682" s="0" t="str">
        <f aca="false">IF(AND(D682=WF_END_PERIOD,R682),1+COUNTIFS($D$5:$D$750,WF_END_PERIOD,$E$5:$E$750,E682,$R$5:$R$750,TRUE(),$S$5:$S$750,"&gt;"&amp;S682)+COUNTIFS($D$5:$D$750,WF_END_PERIOD,$E$5:$E$750,E682,$R$5:$R$750,TRUE(),$S$5:$S$750,S682,$B$5:$B$750,"&lt;"&amp;B682),"")</f>
        <v/>
      </c>
      <c r="AA682" s="0" t="str">
        <f aca="false">IF(AND(D682=WF_END_PERIOD,R682,Z682&lt;&gt;1),1+COUNTIFS($D$5:$D$750,WF_END_PERIOD,$R$5:$R$750,TRUE(),$Z$5:$Z$750,"&lt;&gt;1",$S$5:$S$750,"&gt;"&amp;S682)+COUNTIFS($D$5:$D$750,WF_END_PERIOD,$R$5:$R$750,TRUE(),$Z$5:$Z$750,"&lt;&gt;1",$S$5:$S$750,S682,$B$5:$B$750,"&lt;"&amp;B682),"")</f>
        <v/>
      </c>
      <c r="AB682" s="11" t="b">
        <f aca="false">OR(D682=WF_START_PERIOD,D682=WF_END_PERIOD)</f>
        <v>0</v>
      </c>
      <c r="AC682" s="0" t="str">
        <f aca="false">B682&amp;"|"&amp;D682</f>
        <v>28837|20250331</v>
      </c>
    </row>
    <row r="683" customFormat="false" ht="15" hidden="false" customHeight="false" outlineLevel="0" collapsed="false">
      <c r="A683" s="0" t="n">
        <f aca="false">RawFinancials!A683</f>
        <v>680</v>
      </c>
      <c r="B683" s="0" t="n">
        <f aca="false">RawFinancials!C683</f>
        <v>29636</v>
      </c>
      <c r="C683" s="0" t="str">
        <f aca="false">RawFinancials!P683</f>
        <v>FIRST FEDERAL SAVINGS AND LOAN ASSOCIATION OF BATH</v>
      </c>
      <c r="D683" s="0" t="n">
        <f aca="false">RawFinancials!W683</f>
        <v>20250331</v>
      </c>
      <c r="E683" s="0" t="str">
        <f aca="false">RawFinancials!Z683</f>
        <v>ME</v>
      </c>
      <c r="F683" s="0" t="n">
        <f aca="false">RawFinancials!B683</f>
        <v>186509</v>
      </c>
      <c r="G683" s="0" t="n">
        <f aca="false">RawFinancials!U683</f>
        <v>0</v>
      </c>
      <c r="H683" s="0" t="n">
        <f aca="false">RawFinancials!O683</f>
        <v>3216</v>
      </c>
      <c r="I683" s="0" t="n">
        <f aca="false">IF(AND(ISNUMBER(G683),ISNUMBER(H683)),G683+H683,"")</f>
        <v>3216</v>
      </c>
      <c r="J683" s="0" t="n">
        <f aca="false">RawFinancials!D683</f>
        <v>143798</v>
      </c>
      <c r="K683" s="0" t="n">
        <f aca="false">RawFinancials!F683</f>
        <v>27465</v>
      </c>
      <c r="L683" s="0" t="n">
        <f aca="false">RawFinancials!L683</f>
        <v>144596</v>
      </c>
      <c r="M683" s="0" t="n">
        <f aca="false">RawFinancials!N683</f>
        <v>141230</v>
      </c>
      <c r="N683" s="13" t="n">
        <f aca="false">RawFinancials!X683</f>
        <v>0.138614772761114</v>
      </c>
      <c r="O683" s="13" t="n">
        <f aca="false">RawFinancials!V683</f>
        <v>27.1409419276435</v>
      </c>
      <c r="P683" s="13" t="n">
        <f aca="false">IF(AND(ISNUMBER(L683),L683&lt;&gt;0,ISNUMBER(M683)),100*M683/L683,"")</f>
        <v>97.6721347755125</v>
      </c>
      <c r="Q683" s="13" t="n">
        <f aca="false">IF(AND(ISNUMBER(F683),F683&lt;&gt;0,ISNUMBER(K683)),100*K683/F683,"")</f>
        <v>14.7258309250492</v>
      </c>
      <c r="R683" s="11" t="b">
        <f aca="false">AND(ISNUMBER(F683),F683&gt;0,ISNUMBER(G683),G683&gt;=0,ISNUMBER(H683),H683&gt;=0)</f>
        <v>1</v>
      </c>
      <c r="S683" s="13" t="n">
        <f aca="false">IF(R683,100*I683/F683,"")</f>
        <v>1.72431357199921</v>
      </c>
      <c r="T683" s="11" t="b">
        <f aca="false">NOT(AND(OR(AND(ISBLANK(RawFinancials!B683),ISBLANK(_RawBaseline!B680)),AND(ISNUMBER(RawFinancials!B683),ISNUMBER(_RawBaseline!B680),RawFinancials!B683=_RawBaseline!B680)),OR(AND(ISBLANK(RawFinancials!U683),ISBLANK(_RawBaseline!U680)),AND(ISNUMBER(RawFinancials!U683),ISNUMBER(_RawBaseline!U680),RawFinancials!U683=_RawBaseline!U680)),OR(AND(ISBLANK(RawFinancials!O683),ISBLANK(_RawBaseline!O680)),AND(ISNUMBER(RawFinancials!O683),ISNUMBER(_RawBaseline!O680),RawFinancials!O683=_RawBaseline!O680))))</f>
        <v>0</v>
      </c>
      <c r="U683" s="13" t="n">
        <f aca="false">IF(AND(D683=WF_START_PERIOD,R683,COUNTIFS($B$5:$B$750,B683,$D$5:$D$750,WF_END_PERIOD,$R$5:$R$750,TRUE())&gt;0),SUMIFS($S$5:$S$750,$B$5:$B$750,B683,$D$5:$D$750,WF_END_PERIOD,$R$5:$R$750,TRUE()),0)</f>
        <v>0</v>
      </c>
      <c r="V683" s="0" t="str">
        <f aca="false">IF(AND(D683=WF_START_PERIOD,COUNTIFS($B$5:$B$750,B683,$D$5:$D$750,WF_END_PERIOD)&gt;0),INDEX($E$5:$E$750,MATCH(B683&amp;"|"&amp;WF_END_PERIOD,$AC$5:$AC$750,0)),"")</f>
        <v/>
      </c>
      <c r="W683" s="11" t="b">
        <f aca="false">COUNTIFS($B$5:$B$750,B683,$D$5:$D$750,WF_START_PERIOD,$R$5:$R$750,TRUE())&gt;0</f>
        <v>1</v>
      </c>
      <c r="X683" s="11" t="b">
        <f aca="false">COUNTIFS($B$5:$B$750,B683,$D$5:$D$750,WF_END_PERIOD,$R$5:$R$750,TRUE())&gt;0</f>
        <v>1</v>
      </c>
      <c r="Y683" s="0" t="str">
        <f aca="false">IF(AND(D683=WF_END_PERIOD,COUNTIFS($B$5:$B$750,B683,$D$5:$D$750,WF_START_PERIOD)&gt;0),INDEX($E$5:$E$750,MATCH(B683&amp;"|"&amp;WF_START_PERIOD,$AC$5:$AC$750,0)),"")</f>
        <v/>
      </c>
      <c r="Z683" s="0" t="str">
        <f aca="false">IF(AND(D683=WF_END_PERIOD,R683),1+COUNTIFS($D$5:$D$750,WF_END_PERIOD,$E$5:$E$750,E683,$R$5:$R$750,TRUE(),$S$5:$S$750,"&gt;"&amp;S683)+COUNTIFS($D$5:$D$750,WF_END_PERIOD,$E$5:$E$750,E683,$R$5:$R$750,TRUE(),$S$5:$S$750,S683,$B$5:$B$750,"&lt;"&amp;B683),"")</f>
        <v/>
      </c>
      <c r="AA683" s="0" t="str">
        <f aca="false">IF(AND(D683=WF_END_PERIOD,R683,Z683&lt;&gt;1),1+COUNTIFS($D$5:$D$750,WF_END_PERIOD,$R$5:$R$750,TRUE(),$Z$5:$Z$750,"&lt;&gt;1",$S$5:$S$750,"&gt;"&amp;S683)+COUNTIFS($D$5:$D$750,WF_END_PERIOD,$R$5:$R$750,TRUE(),$Z$5:$Z$750,"&lt;&gt;1",$S$5:$S$750,S683,$B$5:$B$750,"&lt;"&amp;B683),"")</f>
        <v/>
      </c>
      <c r="AB683" s="11" t="b">
        <f aca="false">OR(D683=WF_START_PERIOD,D683=WF_END_PERIOD)</f>
        <v>0</v>
      </c>
      <c r="AC683" s="0" t="str">
        <f aca="false">B683&amp;"|"&amp;D683</f>
        <v>29636|20250331</v>
      </c>
    </row>
    <row r="684" customFormat="false" ht="15" hidden="false" customHeight="false" outlineLevel="0" collapsed="false">
      <c r="A684" s="0" t="n">
        <f aca="false">RawFinancials!A684</f>
        <v>681</v>
      </c>
      <c r="B684" s="0" t="n">
        <f aca="false">RawFinancials!C684</f>
        <v>29743</v>
      </c>
      <c r="C684" s="0" t="str">
        <f aca="false">RawFinancials!P684</f>
        <v>AROOSTOOK COUNTY FEDERAL SAVINGS AND LOAN ASSOCIATION</v>
      </c>
      <c r="D684" s="0" t="n">
        <f aca="false">RawFinancials!W684</f>
        <v>20250331</v>
      </c>
      <c r="E684" s="0" t="str">
        <f aca="false">RawFinancials!Z684</f>
        <v>ME</v>
      </c>
      <c r="F684" s="0" t="n">
        <f aca="false">RawFinancials!B684</f>
        <v>199014</v>
      </c>
      <c r="G684" s="0" t="n">
        <f aca="false">RawFinancials!U684</f>
        <v>0</v>
      </c>
      <c r="H684" s="0" t="n">
        <f aca="false">RawFinancials!O684</f>
        <v>448</v>
      </c>
      <c r="I684" s="0" t="n">
        <f aca="false">IF(AND(ISNUMBER(G684),ISNUMBER(H684)),G684+H684,"")</f>
        <v>448</v>
      </c>
      <c r="J684" s="0" t="n">
        <f aca="false">RawFinancials!D684</f>
        <v>176536</v>
      </c>
      <c r="K684" s="0" t="n">
        <f aca="false">RawFinancials!F684</f>
        <v>18836</v>
      </c>
      <c r="L684" s="0" t="n">
        <f aca="false">RawFinancials!L684</f>
        <v>136324</v>
      </c>
      <c r="M684" s="0" t="n">
        <f aca="false">RawFinancials!N684</f>
        <v>87895</v>
      </c>
      <c r="N684" s="13" t="n">
        <f aca="false">RawFinancials!X684</f>
        <v>0.608988551612277</v>
      </c>
      <c r="O684" s="13" t="n">
        <f aca="false">RawFinancials!V684</f>
        <v>18.4080928760645</v>
      </c>
      <c r="P684" s="13" t="n">
        <f aca="false">IF(AND(ISNUMBER(L684),L684&lt;&gt;0,ISNUMBER(M684)),100*M684/L684,"")</f>
        <v>64.4750740882016</v>
      </c>
      <c r="Q684" s="13" t="n">
        <f aca="false">IF(AND(ISNUMBER(F684),F684&lt;&gt;0,ISNUMBER(K684)),100*K684/F684,"")</f>
        <v>9.46466077763373</v>
      </c>
      <c r="R684" s="11" t="b">
        <f aca="false">AND(ISNUMBER(F684),F684&gt;0,ISNUMBER(G684),G684&gt;=0,ISNUMBER(H684),H684&gt;=0)</f>
        <v>1</v>
      </c>
      <c r="S684" s="13" t="n">
        <f aca="false">IF(R684,100*I684/F684,"")</f>
        <v>0.225109791270966</v>
      </c>
      <c r="T684" s="11" t="b">
        <f aca="false">NOT(AND(OR(AND(ISBLANK(RawFinancials!B684),ISBLANK(_RawBaseline!B681)),AND(ISNUMBER(RawFinancials!B684),ISNUMBER(_RawBaseline!B681),RawFinancials!B684=_RawBaseline!B681)),OR(AND(ISBLANK(RawFinancials!U684),ISBLANK(_RawBaseline!U681)),AND(ISNUMBER(RawFinancials!U684),ISNUMBER(_RawBaseline!U681),RawFinancials!U684=_RawBaseline!U681)),OR(AND(ISBLANK(RawFinancials!O684),ISBLANK(_RawBaseline!O681)),AND(ISNUMBER(RawFinancials!O684),ISNUMBER(_RawBaseline!O681),RawFinancials!O684=_RawBaseline!O681))))</f>
        <v>0</v>
      </c>
      <c r="U684" s="13" t="n">
        <f aca="false">IF(AND(D684=WF_START_PERIOD,R684,COUNTIFS($B$5:$B$750,B684,$D$5:$D$750,WF_END_PERIOD,$R$5:$R$750,TRUE())&gt;0),SUMIFS($S$5:$S$750,$B$5:$B$750,B684,$D$5:$D$750,WF_END_PERIOD,$R$5:$R$750,TRUE()),0)</f>
        <v>0</v>
      </c>
      <c r="V684" s="0" t="str">
        <f aca="false">IF(AND(D684=WF_START_PERIOD,COUNTIFS($B$5:$B$750,B684,$D$5:$D$750,WF_END_PERIOD)&gt;0),INDEX($E$5:$E$750,MATCH(B684&amp;"|"&amp;WF_END_PERIOD,$AC$5:$AC$750,0)),"")</f>
        <v/>
      </c>
      <c r="W684" s="11" t="b">
        <f aca="false">COUNTIFS($B$5:$B$750,B684,$D$5:$D$750,WF_START_PERIOD,$R$5:$R$750,TRUE())&gt;0</f>
        <v>1</v>
      </c>
      <c r="X684" s="11" t="b">
        <f aca="false">COUNTIFS($B$5:$B$750,B684,$D$5:$D$750,WF_END_PERIOD,$R$5:$R$750,TRUE())&gt;0</f>
        <v>1</v>
      </c>
      <c r="Y684" s="0" t="str">
        <f aca="false">IF(AND(D684=WF_END_PERIOD,COUNTIFS($B$5:$B$750,B684,$D$5:$D$750,WF_START_PERIOD)&gt;0),INDEX($E$5:$E$750,MATCH(B684&amp;"|"&amp;WF_START_PERIOD,$AC$5:$AC$750,0)),"")</f>
        <v/>
      </c>
      <c r="Z684" s="0" t="str">
        <f aca="false">IF(AND(D684=WF_END_PERIOD,R684),1+COUNTIFS($D$5:$D$750,WF_END_PERIOD,$E$5:$E$750,E684,$R$5:$R$750,TRUE(),$S$5:$S$750,"&gt;"&amp;S684)+COUNTIFS($D$5:$D$750,WF_END_PERIOD,$E$5:$E$750,E684,$R$5:$R$750,TRUE(),$S$5:$S$750,S684,$B$5:$B$750,"&lt;"&amp;B684),"")</f>
        <v/>
      </c>
      <c r="AA684" s="0" t="str">
        <f aca="false">IF(AND(D684=WF_END_PERIOD,R684,Z684&lt;&gt;1),1+COUNTIFS($D$5:$D$750,WF_END_PERIOD,$R$5:$R$750,TRUE(),$Z$5:$Z$750,"&lt;&gt;1",$S$5:$S$750,"&gt;"&amp;S684)+COUNTIFS($D$5:$D$750,WF_END_PERIOD,$R$5:$R$750,TRUE(),$Z$5:$Z$750,"&lt;&gt;1",$S$5:$S$750,S684,$B$5:$B$750,"&lt;"&amp;B684),"")</f>
        <v/>
      </c>
      <c r="AB684" s="11" t="b">
        <f aca="false">OR(D684=WF_START_PERIOD,D684=WF_END_PERIOD)</f>
        <v>0</v>
      </c>
      <c r="AC684" s="0" t="str">
        <f aca="false">B684&amp;"|"&amp;D684</f>
        <v>29743|20250331</v>
      </c>
    </row>
    <row r="685" customFormat="false" ht="15" hidden="false" customHeight="false" outlineLevel="0" collapsed="false">
      <c r="A685" s="0" t="n">
        <f aca="false">RawFinancials!A685</f>
        <v>682</v>
      </c>
      <c r="B685" s="0" t="n">
        <f aca="false">RawFinancials!C685</f>
        <v>29744</v>
      </c>
      <c r="C685" s="0" t="str">
        <f aca="false">RawFinancials!P685</f>
        <v>FIRST SEACOAST BANK</v>
      </c>
      <c r="D685" s="0" t="n">
        <f aca="false">RawFinancials!W685</f>
        <v>20250331</v>
      </c>
      <c r="E685" s="0" t="str">
        <f aca="false">RawFinancials!Z685</f>
        <v>NH</v>
      </c>
      <c r="F685" s="0" t="n">
        <f aca="false">RawFinancials!B685</f>
        <v>592720</v>
      </c>
      <c r="G685" s="0" t="n">
        <f aca="false">RawFinancials!U685</f>
        <v>0</v>
      </c>
      <c r="H685" s="0" t="n">
        <f aca="false">RawFinancials!O685</f>
        <v>0</v>
      </c>
      <c r="I685" s="0" t="n">
        <f aca="false">IF(AND(ISNUMBER(G685),ISNUMBER(H685)),G685+H685,"")</f>
        <v>0</v>
      </c>
      <c r="J685" s="0" t="n">
        <f aca="false">RawFinancials!D685</f>
        <v>473305</v>
      </c>
      <c r="K685" s="0" t="n">
        <f aca="false">RawFinancials!F685</f>
        <v>44713</v>
      </c>
      <c r="L685" s="0" t="n">
        <f aca="false">RawFinancials!L685</f>
        <v>448262</v>
      </c>
      <c r="M685" s="0" t="n">
        <f aca="false">RawFinancials!N685</f>
        <v>411212</v>
      </c>
      <c r="N685" s="13" t="n">
        <f aca="false">RawFinancials!X685</f>
        <v>-0.408254719593245</v>
      </c>
      <c r="O685" s="13" t="n">
        <f aca="false">RawFinancials!V685</f>
        <v>15.1642690433057</v>
      </c>
      <c r="P685" s="13" t="n">
        <f aca="false">IF(AND(ISNUMBER(L685),L685&lt;&gt;0,ISNUMBER(M685)),100*M685/L685,"")</f>
        <v>91.7347444128657</v>
      </c>
      <c r="Q685" s="13" t="n">
        <f aca="false">IF(AND(ISNUMBER(F685),F685&lt;&gt;0,ISNUMBER(K685)),100*K685/F685,"")</f>
        <v>7.54369685517614</v>
      </c>
      <c r="R685" s="11" t="b">
        <f aca="false">AND(ISNUMBER(F685),F685&gt;0,ISNUMBER(G685),G685&gt;=0,ISNUMBER(H685),H685&gt;=0)</f>
        <v>1</v>
      </c>
      <c r="S685" s="13" t="n">
        <f aca="false">IF(R685,100*I685/F685,"")</f>
        <v>0</v>
      </c>
      <c r="T685" s="11" t="b">
        <f aca="false">NOT(AND(OR(AND(ISBLANK(RawFinancials!B685),ISBLANK(_RawBaseline!B682)),AND(ISNUMBER(RawFinancials!B685),ISNUMBER(_RawBaseline!B682),RawFinancials!B685=_RawBaseline!B682)),OR(AND(ISBLANK(RawFinancials!U685),ISBLANK(_RawBaseline!U682)),AND(ISNUMBER(RawFinancials!U685),ISNUMBER(_RawBaseline!U682),RawFinancials!U685=_RawBaseline!U682)),OR(AND(ISBLANK(RawFinancials!O685),ISBLANK(_RawBaseline!O682)),AND(ISNUMBER(RawFinancials!O685),ISNUMBER(_RawBaseline!O682),RawFinancials!O685=_RawBaseline!O682))))</f>
        <v>0</v>
      </c>
      <c r="U685" s="13" t="n">
        <f aca="false">IF(AND(D685=WF_START_PERIOD,R685,COUNTIFS($B$5:$B$750,B685,$D$5:$D$750,WF_END_PERIOD,$R$5:$R$750,TRUE())&gt;0),SUMIFS($S$5:$S$750,$B$5:$B$750,B685,$D$5:$D$750,WF_END_PERIOD,$R$5:$R$750,TRUE()),0)</f>
        <v>0</v>
      </c>
      <c r="V685" s="0" t="str">
        <f aca="false">IF(AND(D685=WF_START_PERIOD,COUNTIFS($B$5:$B$750,B685,$D$5:$D$750,WF_END_PERIOD)&gt;0),INDEX($E$5:$E$750,MATCH(B685&amp;"|"&amp;WF_END_PERIOD,$AC$5:$AC$750,0)),"")</f>
        <v/>
      </c>
      <c r="W685" s="11" t="b">
        <f aca="false">COUNTIFS($B$5:$B$750,B685,$D$5:$D$750,WF_START_PERIOD,$R$5:$R$750,TRUE())&gt;0</f>
        <v>1</v>
      </c>
      <c r="X685" s="11" t="b">
        <f aca="false">COUNTIFS($B$5:$B$750,B685,$D$5:$D$750,WF_END_PERIOD,$R$5:$R$750,TRUE())&gt;0</f>
        <v>1</v>
      </c>
      <c r="Y685" s="0" t="str">
        <f aca="false">IF(AND(D685=WF_END_PERIOD,COUNTIFS($B$5:$B$750,B685,$D$5:$D$750,WF_START_PERIOD)&gt;0),INDEX($E$5:$E$750,MATCH(B685&amp;"|"&amp;WF_START_PERIOD,$AC$5:$AC$750,0)),"")</f>
        <v/>
      </c>
      <c r="Z685" s="0" t="str">
        <f aca="false">IF(AND(D685=WF_END_PERIOD,R685),1+COUNTIFS($D$5:$D$750,WF_END_PERIOD,$E$5:$E$750,E685,$R$5:$R$750,TRUE(),$S$5:$S$750,"&gt;"&amp;S685)+COUNTIFS($D$5:$D$750,WF_END_PERIOD,$E$5:$E$750,E685,$R$5:$R$750,TRUE(),$S$5:$S$750,S685,$B$5:$B$750,"&lt;"&amp;B685),"")</f>
        <v/>
      </c>
      <c r="AA685" s="0" t="str">
        <f aca="false">IF(AND(D685=WF_END_PERIOD,R685,Z685&lt;&gt;1),1+COUNTIFS($D$5:$D$750,WF_END_PERIOD,$R$5:$R$750,TRUE(),$Z$5:$Z$750,"&lt;&gt;1",$S$5:$S$750,"&gt;"&amp;S685)+COUNTIFS($D$5:$D$750,WF_END_PERIOD,$R$5:$R$750,TRUE(),$Z$5:$Z$750,"&lt;&gt;1",$S$5:$S$750,S685,$B$5:$B$750,"&lt;"&amp;B685),"")</f>
        <v/>
      </c>
      <c r="AB685" s="11" t="b">
        <f aca="false">OR(D685=WF_START_PERIOD,D685=WF_END_PERIOD)</f>
        <v>0</v>
      </c>
      <c r="AC685" s="0" t="str">
        <f aca="false">B685&amp;"|"&amp;D685</f>
        <v>29744|20250331</v>
      </c>
    </row>
    <row r="686" customFormat="false" ht="15" hidden="false" customHeight="false" outlineLevel="0" collapsed="false">
      <c r="A686" s="0" t="n">
        <f aca="false">RawFinancials!A686</f>
        <v>683</v>
      </c>
      <c r="B686" s="0" t="n">
        <f aca="false">RawFinancials!C686</f>
        <v>30350</v>
      </c>
      <c r="C686" s="0" t="str">
        <f aca="false">RawFinancials!P686</f>
        <v>THE BANK OF BENNINGTON</v>
      </c>
      <c r="D686" s="0" t="n">
        <f aca="false">RawFinancials!W686</f>
        <v>20250331</v>
      </c>
      <c r="E686" s="0" t="str">
        <f aca="false">RawFinancials!Z686</f>
        <v>VT</v>
      </c>
      <c r="F686" s="0" t="n">
        <f aca="false">RawFinancials!B686</f>
        <v>609028</v>
      </c>
      <c r="G686" s="0" t="n">
        <f aca="false">RawFinancials!U686</f>
        <v>0</v>
      </c>
      <c r="H686" s="0" t="n">
        <f aca="false">RawFinancials!O686</f>
        <v>1587</v>
      </c>
      <c r="I686" s="0" t="n">
        <f aca="false">IF(AND(ISNUMBER(G686),ISNUMBER(H686)),G686+H686,"")</f>
        <v>1587</v>
      </c>
      <c r="J686" s="0" t="n">
        <f aca="false">RawFinancials!D686</f>
        <v>474831</v>
      </c>
      <c r="K686" s="0" t="n">
        <f aca="false">RawFinancials!F686</f>
        <v>62866</v>
      </c>
      <c r="L686" s="0" t="n">
        <f aca="false">RawFinancials!L686</f>
        <v>464716</v>
      </c>
      <c r="M686" s="0" t="n">
        <f aca="false">RawFinancials!N686</f>
        <v>446528</v>
      </c>
      <c r="N686" s="13" t="n">
        <f aca="false">RawFinancials!X686</f>
        <v>0.776836569182434</v>
      </c>
      <c r="O686" s="13" t="n">
        <f aca="false">RawFinancials!V686</f>
        <v>20.1862311012096</v>
      </c>
      <c r="P686" s="13" t="n">
        <f aca="false">IF(AND(ISNUMBER(L686),L686&lt;&gt;0,ISNUMBER(M686)),100*M686/L686,"")</f>
        <v>96.0862117938698</v>
      </c>
      <c r="Q686" s="13" t="n">
        <f aca="false">IF(AND(ISNUMBER(F686),F686&lt;&gt;0,ISNUMBER(K686)),100*K686/F686,"")</f>
        <v>10.3223497113433</v>
      </c>
      <c r="R686" s="11" t="b">
        <f aca="false">AND(ISNUMBER(F686),F686&gt;0,ISNUMBER(G686),G686&gt;=0,ISNUMBER(H686),H686&gt;=0)</f>
        <v>1</v>
      </c>
      <c r="S686" s="13" t="n">
        <f aca="false">IF(R686,100*I686/F686,"")</f>
        <v>0.260579152354243</v>
      </c>
      <c r="T686" s="11" t="b">
        <f aca="false">NOT(AND(OR(AND(ISBLANK(RawFinancials!B686),ISBLANK(_RawBaseline!B683)),AND(ISNUMBER(RawFinancials!B686),ISNUMBER(_RawBaseline!B683),RawFinancials!B686=_RawBaseline!B683)),OR(AND(ISBLANK(RawFinancials!U686),ISBLANK(_RawBaseline!U683)),AND(ISNUMBER(RawFinancials!U686),ISNUMBER(_RawBaseline!U683),RawFinancials!U686=_RawBaseline!U683)),OR(AND(ISBLANK(RawFinancials!O686),ISBLANK(_RawBaseline!O683)),AND(ISNUMBER(RawFinancials!O686),ISNUMBER(_RawBaseline!O683),RawFinancials!O686=_RawBaseline!O683))))</f>
        <v>0</v>
      </c>
      <c r="U686" s="13" t="n">
        <f aca="false">IF(AND(D686=WF_START_PERIOD,R686,COUNTIFS($B$5:$B$750,B686,$D$5:$D$750,WF_END_PERIOD,$R$5:$R$750,TRUE())&gt;0),SUMIFS($S$5:$S$750,$B$5:$B$750,B686,$D$5:$D$750,WF_END_PERIOD,$R$5:$R$750,TRUE()),0)</f>
        <v>0</v>
      </c>
      <c r="V686" s="0" t="str">
        <f aca="false">IF(AND(D686=WF_START_PERIOD,COUNTIFS($B$5:$B$750,B686,$D$5:$D$750,WF_END_PERIOD)&gt;0),INDEX($E$5:$E$750,MATCH(B686&amp;"|"&amp;WF_END_PERIOD,$AC$5:$AC$750,0)),"")</f>
        <v/>
      </c>
      <c r="W686" s="11" t="b">
        <f aca="false">COUNTIFS($B$5:$B$750,B686,$D$5:$D$750,WF_START_PERIOD,$R$5:$R$750,TRUE())&gt;0</f>
        <v>1</v>
      </c>
      <c r="X686" s="11" t="b">
        <f aca="false">COUNTIFS($B$5:$B$750,B686,$D$5:$D$750,WF_END_PERIOD,$R$5:$R$750,TRUE())&gt;0</f>
        <v>1</v>
      </c>
      <c r="Y686" s="0" t="str">
        <f aca="false">IF(AND(D686=WF_END_PERIOD,COUNTIFS($B$5:$B$750,B686,$D$5:$D$750,WF_START_PERIOD)&gt;0),INDEX($E$5:$E$750,MATCH(B686&amp;"|"&amp;WF_START_PERIOD,$AC$5:$AC$750,0)),"")</f>
        <v/>
      </c>
      <c r="Z686" s="0" t="str">
        <f aca="false">IF(AND(D686=WF_END_PERIOD,R686),1+COUNTIFS($D$5:$D$750,WF_END_PERIOD,$E$5:$E$750,E686,$R$5:$R$750,TRUE(),$S$5:$S$750,"&gt;"&amp;S686)+COUNTIFS($D$5:$D$750,WF_END_PERIOD,$E$5:$E$750,E686,$R$5:$R$750,TRUE(),$S$5:$S$750,S686,$B$5:$B$750,"&lt;"&amp;B686),"")</f>
        <v/>
      </c>
      <c r="AA686" s="0" t="str">
        <f aca="false">IF(AND(D686=WF_END_PERIOD,R686,Z686&lt;&gt;1),1+COUNTIFS($D$5:$D$750,WF_END_PERIOD,$R$5:$R$750,TRUE(),$Z$5:$Z$750,"&lt;&gt;1",$S$5:$S$750,"&gt;"&amp;S686)+COUNTIFS($D$5:$D$750,WF_END_PERIOD,$R$5:$R$750,TRUE(),$Z$5:$Z$750,"&lt;&gt;1",$S$5:$S$750,S686,$B$5:$B$750,"&lt;"&amp;B686),"")</f>
        <v/>
      </c>
      <c r="AB686" s="11" t="b">
        <f aca="false">OR(D686=WF_START_PERIOD,D686=WF_END_PERIOD)</f>
        <v>0</v>
      </c>
      <c r="AC686" s="0" t="str">
        <f aca="false">B686&amp;"|"&amp;D686</f>
        <v>30350|20250331</v>
      </c>
    </row>
    <row r="687" customFormat="false" ht="15" hidden="false" customHeight="false" outlineLevel="0" collapsed="false">
      <c r="A687" s="0" t="n">
        <f aca="false">RawFinancials!A687</f>
        <v>684</v>
      </c>
      <c r="B687" s="0" t="n">
        <f aca="false">RawFinancials!C687</f>
        <v>30878</v>
      </c>
      <c r="C687" s="0" t="str">
        <f aca="false">RawFinancials!P687</f>
        <v>BAR HARBOR SAVINGS AND LOAN ASSOCIATION</v>
      </c>
      <c r="D687" s="0" t="n">
        <f aca="false">RawFinancials!W687</f>
        <v>20250331</v>
      </c>
      <c r="E687" s="0" t="str">
        <f aca="false">RawFinancials!Z687</f>
        <v>ME</v>
      </c>
      <c r="F687" s="0" t="n">
        <f aca="false">RawFinancials!B687</f>
        <v>98994</v>
      </c>
      <c r="G687" s="0" t="n">
        <f aca="false">RawFinancials!U687</f>
        <v>0</v>
      </c>
      <c r="H687" s="0" t="n">
        <f aca="false">RawFinancials!O687</f>
        <v>1420</v>
      </c>
      <c r="I687" s="0" t="n">
        <f aca="false">IF(AND(ISNUMBER(G687),ISNUMBER(H687)),G687+H687,"")</f>
        <v>1420</v>
      </c>
      <c r="J687" s="0" t="n">
        <f aca="false">RawFinancials!D687</f>
        <v>72918</v>
      </c>
      <c r="K687" s="0" t="n">
        <f aca="false">RawFinancials!F687</f>
        <v>11849</v>
      </c>
      <c r="L687" s="0" t="n">
        <f aca="false">RawFinancials!L687</f>
        <v>85658</v>
      </c>
      <c r="M687" s="0" t="n">
        <f aca="false">RawFinancials!N687</f>
        <v>85506</v>
      </c>
      <c r="N687" s="13" t="n">
        <f aca="false">RawFinancials!X687</f>
        <v>-0.06841183927242</v>
      </c>
      <c r="O687" s="13" t="n">
        <f aca="false">RawFinancials!V687</f>
        <v>0</v>
      </c>
      <c r="P687" s="13" t="n">
        <f aca="false">IF(AND(ISNUMBER(L687),L687&lt;&gt;0,ISNUMBER(M687)),100*M687/L687,"")</f>
        <v>99.8225501412594</v>
      </c>
      <c r="Q687" s="13" t="n">
        <f aca="false">IF(AND(ISNUMBER(F687),F687&lt;&gt;0,ISNUMBER(K687)),100*K687/F687,"")</f>
        <v>11.9694122876134</v>
      </c>
      <c r="R687" s="11" t="b">
        <f aca="false">AND(ISNUMBER(F687),F687&gt;0,ISNUMBER(G687),G687&gt;=0,ISNUMBER(H687),H687&gt;=0)</f>
        <v>1</v>
      </c>
      <c r="S687" s="13" t="n">
        <f aca="false">IF(R687,100*I687/F687,"")</f>
        <v>1.43443036951734</v>
      </c>
      <c r="T687" s="11" t="b">
        <f aca="false">NOT(AND(OR(AND(ISBLANK(RawFinancials!B687),ISBLANK(_RawBaseline!B684)),AND(ISNUMBER(RawFinancials!B687),ISNUMBER(_RawBaseline!B684),RawFinancials!B687=_RawBaseline!B684)),OR(AND(ISBLANK(RawFinancials!U687),ISBLANK(_RawBaseline!U684)),AND(ISNUMBER(RawFinancials!U687),ISNUMBER(_RawBaseline!U684),RawFinancials!U687=_RawBaseline!U684)),OR(AND(ISBLANK(RawFinancials!O687),ISBLANK(_RawBaseline!O684)),AND(ISNUMBER(RawFinancials!O687),ISNUMBER(_RawBaseline!O684),RawFinancials!O687=_RawBaseline!O684))))</f>
        <v>0</v>
      </c>
      <c r="U687" s="13" t="n">
        <f aca="false">IF(AND(D687=WF_START_PERIOD,R687,COUNTIFS($B$5:$B$750,B687,$D$5:$D$750,WF_END_PERIOD,$R$5:$R$750,TRUE())&gt;0),SUMIFS($S$5:$S$750,$B$5:$B$750,B687,$D$5:$D$750,WF_END_PERIOD,$R$5:$R$750,TRUE()),0)</f>
        <v>0</v>
      </c>
      <c r="V687" s="0" t="str">
        <f aca="false">IF(AND(D687=WF_START_PERIOD,COUNTIFS($B$5:$B$750,B687,$D$5:$D$750,WF_END_PERIOD)&gt;0),INDEX($E$5:$E$750,MATCH(B687&amp;"|"&amp;WF_END_PERIOD,$AC$5:$AC$750,0)),"")</f>
        <v/>
      </c>
      <c r="W687" s="11" t="b">
        <f aca="false">COUNTIFS($B$5:$B$750,B687,$D$5:$D$750,WF_START_PERIOD,$R$5:$R$750,TRUE())&gt;0</f>
        <v>1</v>
      </c>
      <c r="X687" s="11" t="b">
        <f aca="false">COUNTIFS($B$5:$B$750,B687,$D$5:$D$750,WF_END_PERIOD,$R$5:$R$750,TRUE())&gt;0</f>
        <v>1</v>
      </c>
      <c r="Y687" s="0" t="str">
        <f aca="false">IF(AND(D687=WF_END_PERIOD,COUNTIFS($B$5:$B$750,B687,$D$5:$D$750,WF_START_PERIOD)&gt;0),INDEX($E$5:$E$750,MATCH(B687&amp;"|"&amp;WF_START_PERIOD,$AC$5:$AC$750,0)),"")</f>
        <v/>
      </c>
      <c r="Z687" s="0" t="str">
        <f aca="false">IF(AND(D687=WF_END_PERIOD,R687),1+COUNTIFS($D$5:$D$750,WF_END_PERIOD,$E$5:$E$750,E687,$R$5:$R$750,TRUE(),$S$5:$S$750,"&gt;"&amp;S687)+COUNTIFS($D$5:$D$750,WF_END_PERIOD,$E$5:$E$750,E687,$R$5:$R$750,TRUE(),$S$5:$S$750,S687,$B$5:$B$750,"&lt;"&amp;B687),"")</f>
        <v/>
      </c>
      <c r="AA687" s="0" t="str">
        <f aca="false">IF(AND(D687=WF_END_PERIOD,R687,Z687&lt;&gt;1),1+COUNTIFS($D$5:$D$750,WF_END_PERIOD,$R$5:$R$750,TRUE(),$Z$5:$Z$750,"&lt;&gt;1",$S$5:$S$750,"&gt;"&amp;S687)+COUNTIFS($D$5:$D$750,WF_END_PERIOD,$R$5:$R$750,TRUE(),$Z$5:$Z$750,"&lt;&gt;1",$S$5:$S$750,S687,$B$5:$B$750,"&lt;"&amp;B687),"")</f>
        <v/>
      </c>
      <c r="AB687" s="11" t="b">
        <f aca="false">OR(D687=WF_START_PERIOD,D687=WF_END_PERIOD)</f>
        <v>0</v>
      </c>
      <c r="AC687" s="0" t="str">
        <f aca="false">B687&amp;"|"&amp;D687</f>
        <v>30878|20250331</v>
      </c>
    </row>
    <row r="688" customFormat="false" ht="15" hidden="false" customHeight="false" outlineLevel="0" collapsed="false">
      <c r="A688" s="0" t="n">
        <f aca="false">RawFinancials!A688</f>
        <v>685</v>
      </c>
      <c r="B688" s="0" t="n">
        <f aca="false">RawFinancials!C688</f>
        <v>33418</v>
      </c>
      <c r="C688" s="0" t="str">
        <f aca="false">RawFinancials!P688</f>
        <v>LEDYARD NATIONAL BANK</v>
      </c>
      <c r="D688" s="0" t="n">
        <f aca="false">RawFinancials!W688</f>
        <v>20250331</v>
      </c>
      <c r="E688" s="0" t="str">
        <f aca="false">RawFinancials!Z688</f>
        <v>VT</v>
      </c>
      <c r="F688" s="0" t="n">
        <f aca="false">RawFinancials!B688</f>
        <v>974770</v>
      </c>
      <c r="G688" s="0" t="n">
        <f aca="false">RawFinancials!U688</f>
        <v>0</v>
      </c>
      <c r="H688" s="0" t="n">
        <f aca="false">RawFinancials!O688</f>
        <v>1231</v>
      </c>
      <c r="I688" s="0" t="n">
        <f aca="false">IF(AND(ISNUMBER(G688),ISNUMBER(H688)),G688+H688,"")</f>
        <v>1231</v>
      </c>
      <c r="J688" s="0" t="n">
        <f aca="false">RawFinancials!D688</f>
        <v>799352</v>
      </c>
      <c r="K688" s="0" t="n">
        <f aca="false">RawFinancials!F688</f>
        <v>70425</v>
      </c>
      <c r="L688" s="0" t="n">
        <f aca="false">RawFinancials!L688</f>
        <v>608662</v>
      </c>
      <c r="M688" s="0" t="n">
        <f aca="false">RawFinancials!N688</f>
        <v>511573</v>
      </c>
      <c r="N688" s="13" t="n">
        <f aca="false">RawFinancials!X688</f>
        <v>0.599734421139911</v>
      </c>
      <c r="O688" s="13" t="n">
        <f aca="false">RawFinancials!V688</f>
        <v>12.4516242523748</v>
      </c>
      <c r="P688" s="13" t="n">
        <f aca="false">IF(AND(ISNUMBER(L688),L688&lt;&gt;0,ISNUMBER(M688)),100*M688/L688,"")</f>
        <v>84.0487824112562</v>
      </c>
      <c r="Q688" s="13" t="n">
        <f aca="false">IF(AND(ISNUMBER(F688),F688&lt;&gt;0,ISNUMBER(K688)),100*K688/F688,"")</f>
        <v>7.22478123044411</v>
      </c>
      <c r="R688" s="11" t="b">
        <f aca="false">AND(ISNUMBER(F688),F688&gt;0,ISNUMBER(G688),G688&gt;=0,ISNUMBER(H688),H688&gt;=0)</f>
        <v>1</v>
      </c>
      <c r="S688" s="13" t="n">
        <f aca="false">IF(R688,100*I688/F688,"")</f>
        <v>0.126286200847379</v>
      </c>
      <c r="T688" s="11" t="b">
        <f aca="false">NOT(AND(OR(AND(ISBLANK(RawFinancials!B688),ISBLANK(_RawBaseline!B685)),AND(ISNUMBER(RawFinancials!B688),ISNUMBER(_RawBaseline!B685),RawFinancials!B688=_RawBaseline!B685)),OR(AND(ISBLANK(RawFinancials!U688),ISBLANK(_RawBaseline!U685)),AND(ISNUMBER(RawFinancials!U688),ISNUMBER(_RawBaseline!U685),RawFinancials!U688=_RawBaseline!U685)),OR(AND(ISBLANK(RawFinancials!O688),ISBLANK(_RawBaseline!O685)),AND(ISNUMBER(RawFinancials!O688),ISNUMBER(_RawBaseline!O685),RawFinancials!O688=_RawBaseline!O685))))</f>
        <v>0</v>
      </c>
      <c r="U688" s="13" t="n">
        <f aca="false">IF(AND(D688=WF_START_PERIOD,R688,COUNTIFS($B$5:$B$750,B688,$D$5:$D$750,WF_END_PERIOD,$R$5:$R$750,TRUE())&gt;0),SUMIFS($S$5:$S$750,$B$5:$B$750,B688,$D$5:$D$750,WF_END_PERIOD,$R$5:$R$750,TRUE()),0)</f>
        <v>0</v>
      </c>
      <c r="V688" s="0" t="str">
        <f aca="false">IF(AND(D688=WF_START_PERIOD,COUNTIFS($B$5:$B$750,B688,$D$5:$D$750,WF_END_PERIOD)&gt;0),INDEX($E$5:$E$750,MATCH(B688&amp;"|"&amp;WF_END_PERIOD,$AC$5:$AC$750,0)),"")</f>
        <v/>
      </c>
      <c r="W688" s="11" t="b">
        <f aca="false">COUNTIFS($B$5:$B$750,B688,$D$5:$D$750,WF_START_PERIOD,$R$5:$R$750,TRUE())&gt;0</f>
        <v>1</v>
      </c>
      <c r="X688" s="11" t="b">
        <f aca="false">COUNTIFS($B$5:$B$750,B688,$D$5:$D$750,WF_END_PERIOD,$R$5:$R$750,TRUE())&gt;0</f>
        <v>1</v>
      </c>
      <c r="Y688" s="0" t="str">
        <f aca="false">IF(AND(D688=WF_END_PERIOD,COUNTIFS($B$5:$B$750,B688,$D$5:$D$750,WF_START_PERIOD)&gt;0),INDEX($E$5:$E$750,MATCH(B688&amp;"|"&amp;WF_START_PERIOD,$AC$5:$AC$750,0)),"")</f>
        <v/>
      </c>
      <c r="Z688" s="0" t="str">
        <f aca="false">IF(AND(D688=WF_END_PERIOD,R688),1+COUNTIFS($D$5:$D$750,WF_END_PERIOD,$E$5:$E$750,E688,$R$5:$R$750,TRUE(),$S$5:$S$750,"&gt;"&amp;S688)+COUNTIFS($D$5:$D$750,WF_END_PERIOD,$E$5:$E$750,E688,$R$5:$R$750,TRUE(),$S$5:$S$750,S688,$B$5:$B$750,"&lt;"&amp;B688),"")</f>
        <v/>
      </c>
      <c r="AA688" s="0" t="str">
        <f aca="false">IF(AND(D688=WF_END_PERIOD,R688,Z688&lt;&gt;1),1+COUNTIFS($D$5:$D$750,WF_END_PERIOD,$R$5:$R$750,TRUE(),$Z$5:$Z$750,"&lt;&gt;1",$S$5:$S$750,"&gt;"&amp;S688)+COUNTIFS($D$5:$D$750,WF_END_PERIOD,$R$5:$R$750,TRUE(),$Z$5:$Z$750,"&lt;&gt;1",$S$5:$S$750,S688,$B$5:$B$750,"&lt;"&amp;B688),"")</f>
        <v/>
      </c>
      <c r="AB688" s="11" t="b">
        <f aca="false">OR(D688=WF_START_PERIOD,D688=WF_END_PERIOD)</f>
        <v>0</v>
      </c>
      <c r="AC688" s="0" t="str">
        <f aca="false">B688&amp;"|"&amp;D688</f>
        <v>33418|20250331</v>
      </c>
    </row>
    <row r="689" customFormat="false" ht="15" hidden="false" customHeight="false" outlineLevel="0" collapsed="false">
      <c r="A689" s="0" t="n">
        <f aca="false">RawFinancials!A689</f>
        <v>686</v>
      </c>
      <c r="B689" s="0" t="n">
        <f aca="false">RawFinancials!C689</f>
        <v>35206</v>
      </c>
      <c r="C689" s="0" t="str">
        <f aca="false">RawFinancials!P689</f>
        <v>FIDELITY PERSONAL TRUST COMPANY, FSB</v>
      </c>
      <c r="D689" s="0" t="n">
        <f aca="false">RawFinancials!W689</f>
        <v>20250331</v>
      </c>
      <c r="E689" s="0" t="str">
        <f aca="false">RawFinancials!Z689</f>
        <v>NH</v>
      </c>
      <c r="F689" s="0" t="n">
        <f aca="false">RawFinancials!B689</f>
        <v>67144</v>
      </c>
      <c r="G689" s="0" t="n">
        <f aca="false">RawFinancials!U689</f>
        <v>0</v>
      </c>
      <c r="H689" s="0" t="n">
        <f aca="false">RawFinancials!O689</f>
        <v>0</v>
      </c>
      <c r="I689" s="0" t="n">
        <f aca="false">IF(AND(ISNUMBER(G689),ISNUMBER(H689)),G689+H689,"")</f>
        <v>0</v>
      </c>
      <c r="J689" s="0" t="n">
        <f aca="false">RawFinancials!D689</f>
        <v>500</v>
      </c>
      <c r="K689" s="0" t="n">
        <f aca="false">RawFinancials!F689</f>
        <v>65181</v>
      </c>
      <c r="L689" s="0" t="n">
        <f aca="false">RawFinancials!L689</f>
        <v>0</v>
      </c>
      <c r="M689" s="0" t="n">
        <f aca="false">RawFinancials!N689</f>
        <v>0</v>
      </c>
      <c r="N689" s="13" t="n">
        <f aca="false">RawFinancials!X689</f>
        <v>28.844680133648</v>
      </c>
      <c r="O689" s="13" t="n">
        <f aca="false">RawFinancials!V689</f>
        <v>0</v>
      </c>
      <c r="P689" s="13" t="str">
        <f aca="false">IF(AND(ISNUMBER(L689),L689&lt;&gt;0,ISNUMBER(M689)),100*M689/L689,"")</f>
        <v/>
      </c>
      <c r="Q689" s="13" t="n">
        <f aca="false">IF(AND(ISNUMBER(F689),F689&lt;&gt;0,ISNUMBER(K689)),100*K689/F689,"")</f>
        <v>97.0764327415704</v>
      </c>
      <c r="R689" s="11" t="b">
        <f aca="false">AND(ISNUMBER(F689),F689&gt;0,ISNUMBER(G689),G689&gt;=0,ISNUMBER(H689),H689&gt;=0)</f>
        <v>1</v>
      </c>
      <c r="S689" s="13" t="n">
        <f aca="false">IF(R689,100*I689/F689,"")</f>
        <v>0</v>
      </c>
      <c r="T689" s="11" t="b">
        <f aca="false">NOT(AND(OR(AND(ISBLANK(RawFinancials!B689),ISBLANK(_RawBaseline!B686)),AND(ISNUMBER(RawFinancials!B689),ISNUMBER(_RawBaseline!B686),RawFinancials!B689=_RawBaseline!B686)),OR(AND(ISBLANK(RawFinancials!U689),ISBLANK(_RawBaseline!U686)),AND(ISNUMBER(RawFinancials!U689),ISNUMBER(_RawBaseline!U686),RawFinancials!U689=_RawBaseline!U686)),OR(AND(ISBLANK(RawFinancials!O689),ISBLANK(_RawBaseline!O686)),AND(ISNUMBER(RawFinancials!O689),ISNUMBER(_RawBaseline!O686),RawFinancials!O689=_RawBaseline!O686))))</f>
        <v>0</v>
      </c>
      <c r="U689" s="13" t="n">
        <f aca="false">IF(AND(D689=WF_START_PERIOD,R689,COUNTIFS($B$5:$B$750,B689,$D$5:$D$750,WF_END_PERIOD,$R$5:$R$750,TRUE())&gt;0),SUMIFS($S$5:$S$750,$B$5:$B$750,B689,$D$5:$D$750,WF_END_PERIOD,$R$5:$R$750,TRUE()),0)</f>
        <v>0</v>
      </c>
      <c r="V689" s="0" t="str">
        <f aca="false">IF(AND(D689=WF_START_PERIOD,COUNTIFS($B$5:$B$750,B689,$D$5:$D$750,WF_END_PERIOD)&gt;0),INDEX($E$5:$E$750,MATCH(B689&amp;"|"&amp;WF_END_PERIOD,$AC$5:$AC$750,0)),"")</f>
        <v/>
      </c>
      <c r="W689" s="11" t="b">
        <f aca="false">COUNTIFS($B$5:$B$750,B689,$D$5:$D$750,WF_START_PERIOD,$R$5:$R$750,TRUE())&gt;0</f>
        <v>1</v>
      </c>
      <c r="X689" s="11" t="b">
        <f aca="false">COUNTIFS($B$5:$B$750,B689,$D$5:$D$750,WF_END_PERIOD,$R$5:$R$750,TRUE())&gt;0</f>
        <v>1</v>
      </c>
      <c r="Y689" s="0" t="str">
        <f aca="false">IF(AND(D689=WF_END_PERIOD,COUNTIFS($B$5:$B$750,B689,$D$5:$D$750,WF_START_PERIOD)&gt;0),INDEX($E$5:$E$750,MATCH(B689&amp;"|"&amp;WF_START_PERIOD,$AC$5:$AC$750,0)),"")</f>
        <v/>
      </c>
      <c r="Z689" s="0" t="str">
        <f aca="false">IF(AND(D689=WF_END_PERIOD,R689),1+COUNTIFS($D$5:$D$750,WF_END_PERIOD,$E$5:$E$750,E689,$R$5:$R$750,TRUE(),$S$5:$S$750,"&gt;"&amp;S689)+COUNTIFS($D$5:$D$750,WF_END_PERIOD,$E$5:$E$750,E689,$R$5:$R$750,TRUE(),$S$5:$S$750,S689,$B$5:$B$750,"&lt;"&amp;B689),"")</f>
        <v/>
      </c>
      <c r="AA689" s="0" t="str">
        <f aca="false">IF(AND(D689=WF_END_PERIOD,R689,Z689&lt;&gt;1),1+COUNTIFS($D$5:$D$750,WF_END_PERIOD,$R$5:$R$750,TRUE(),$Z$5:$Z$750,"&lt;&gt;1",$S$5:$S$750,"&gt;"&amp;S689)+COUNTIFS($D$5:$D$750,WF_END_PERIOD,$R$5:$R$750,TRUE(),$Z$5:$Z$750,"&lt;&gt;1",$S$5:$S$750,S689,$B$5:$B$750,"&lt;"&amp;B689),"")</f>
        <v/>
      </c>
      <c r="AB689" s="11" t="b">
        <f aca="false">OR(D689=WF_START_PERIOD,D689=WF_END_PERIOD)</f>
        <v>0</v>
      </c>
      <c r="AC689" s="0" t="str">
        <f aca="false">B689&amp;"|"&amp;D689</f>
        <v>35206|20250331</v>
      </c>
    </row>
    <row r="690" customFormat="false" ht="15" hidden="false" customHeight="false" outlineLevel="0" collapsed="false">
      <c r="A690" s="0" t="n">
        <f aca="false">RawFinancials!A690</f>
        <v>687</v>
      </c>
      <c r="B690" s="0" t="n">
        <f aca="false">RawFinancials!C690</f>
        <v>4255</v>
      </c>
      <c r="C690" s="0" t="str">
        <f aca="false">RawFinancials!P690</f>
        <v>THE CAMDEN NATIONAL BANK</v>
      </c>
      <c r="D690" s="0" t="n">
        <f aca="false">RawFinancials!W690</f>
        <v>20250331</v>
      </c>
      <c r="E690" s="0" t="str">
        <f aca="false">RawFinancials!Z690</f>
        <v>ME</v>
      </c>
      <c r="F690" s="0" t="n">
        <f aca="false">RawFinancials!B690</f>
        <v>6948167</v>
      </c>
      <c r="G690" s="0" t="n">
        <f aca="false">RawFinancials!U690</f>
        <v>0</v>
      </c>
      <c r="H690" s="0" t="n">
        <f aca="false">RawFinancials!O690</f>
        <v>7251</v>
      </c>
      <c r="I690" s="0" t="n">
        <f aca="false">IF(AND(ISNUMBER(G690),ISNUMBER(H690)),G690+H690,"")</f>
        <v>7251</v>
      </c>
      <c r="J690" s="0" t="n">
        <f aca="false">RawFinancials!D690</f>
        <v>5632856</v>
      </c>
      <c r="K690" s="0" t="n">
        <f aca="false">RawFinancials!F690</f>
        <v>671520</v>
      </c>
      <c r="L690" s="0" t="n">
        <f aca="false">RawFinancials!L690</f>
        <v>4896145</v>
      </c>
      <c r="M690" s="0" t="n">
        <f aca="false">RawFinancials!N690</f>
        <v>4419349</v>
      </c>
      <c r="N690" s="13" t="n">
        <f aca="false">RawFinancials!X690</f>
        <v>0.525277693714401</v>
      </c>
      <c r="O690" s="13" t="n">
        <f aca="false">RawFinancials!V690</f>
        <v>12.5535092500628</v>
      </c>
      <c r="P690" s="13" t="n">
        <f aca="false">IF(AND(ISNUMBER(L690),L690&lt;&gt;0,ISNUMBER(M690)),100*M690/L690,"")</f>
        <v>90.2618080142643</v>
      </c>
      <c r="Q690" s="13" t="n">
        <f aca="false">IF(AND(ISNUMBER(F690),F690&lt;&gt;0,ISNUMBER(K690)),100*K690/F690,"")</f>
        <v>9.66470725300644</v>
      </c>
      <c r="R690" s="11" t="b">
        <f aca="false">AND(ISNUMBER(F690),F690&gt;0,ISNUMBER(G690),G690&gt;=0,ISNUMBER(H690),H690&gt;=0)</f>
        <v>1</v>
      </c>
      <c r="S690" s="13" t="n">
        <f aca="false">IF(R690,100*I690/F690,"")</f>
        <v>0.104358458856847</v>
      </c>
      <c r="T690" s="11" t="b">
        <f aca="false">NOT(AND(OR(AND(ISBLANK(RawFinancials!B690),ISBLANK(_RawBaseline!B687)),AND(ISNUMBER(RawFinancials!B690),ISNUMBER(_RawBaseline!B687),RawFinancials!B690=_RawBaseline!B687)),OR(AND(ISBLANK(RawFinancials!U690),ISBLANK(_RawBaseline!U687)),AND(ISNUMBER(RawFinancials!U690),ISNUMBER(_RawBaseline!U687),RawFinancials!U690=_RawBaseline!U687)),OR(AND(ISBLANK(RawFinancials!O690),ISBLANK(_RawBaseline!O687)),AND(ISNUMBER(RawFinancials!O690),ISNUMBER(_RawBaseline!O687),RawFinancials!O690=_RawBaseline!O687))))</f>
        <v>0</v>
      </c>
      <c r="U690" s="13" t="n">
        <f aca="false">IF(AND(D690=WF_START_PERIOD,R690,COUNTIFS($B$5:$B$750,B690,$D$5:$D$750,WF_END_PERIOD,$R$5:$R$750,TRUE())&gt;0),SUMIFS($S$5:$S$750,$B$5:$B$750,B690,$D$5:$D$750,WF_END_PERIOD,$R$5:$R$750,TRUE()),0)</f>
        <v>0</v>
      </c>
      <c r="V690" s="0" t="str">
        <f aca="false">IF(AND(D690=WF_START_PERIOD,COUNTIFS($B$5:$B$750,B690,$D$5:$D$750,WF_END_PERIOD)&gt;0),INDEX($E$5:$E$750,MATCH(B690&amp;"|"&amp;WF_END_PERIOD,$AC$5:$AC$750,0)),"")</f>
        <v/>
      </c>
      <c r="W690" s="11" t="b">
        <f aca="false">COUNTIFS($B$5:$B$750,B690,$D$5:$D$750,WF_START_PERIOD,$R$5:$R$750,TRUE())&gt;0</f>
        <v>1</v>
      </c>
      <c r="X690" s="11" t="b">
        <f aca="false">COUNTIFS($B$5:$B$750,B690,$D$5:$D$750,WF_END_PERIOD,$R$5:$R$750,TRUE())&gt;0</f>
        <v>1</v>
      </c>
      <c r="Y690" s="0" t="str">
        <f aca="false">IF(AND(D690=WF_END_PERIOD,COUNTIFS($B$5:$B$750,B690,$D$5:$D$750,WF_START_PERIOD)&gt;0),INDEX($E$5:$E$750,MATCH(B690&amp;"|"&amp;WF_START_PERIOD,$AC$5:$AC$750,0)),"")</f>
        <v/>
      </c>
      <c r="Z690" s="0" t="str">
        <f aca="false">IF(AND(D690=WF_END_PERIOD,R690),1+COUNTIFS($D$5:$D$750,WF_END_PERIOD,$E$5:$E$750,E690,$R$5:$R$750,TRUE(),$S$5:$S$750,"&gt;"&amp;S690)+COUNTIFS($D$5:$D$750,WF_END_PERIOD,$E$5:$E$750,E690,$R$5:$R$750,TRUE(),$S$5:$S$750,S690,$B$5:$B$750,"&lt;"&amp;B690),"")</f>
        <v/>
      </c>
      <c r="AA690" s="0" t="str">
        <f aca="false">IF(AND(D690=WF_END_PERIOD,R690,Z690&lt;&gt;1),1+COUNTIFS($D$5:$D$750,WF_END_PERIOD,$R$5:$R$750,TRUE(),$Z$5:$Z$750,"&lt;&gt;1",$S$5:$S$750,"&gt;"&amp;S690)+COUNTIFS($D$5:$D$750,WF_END_PERIOD,$R$5:$R$750,TRUE(),$Z$5:$Z$750,"&lt;&gt;1",$S$5:$S$750,S690,$B$5:$B$750,"&lt;"&amp;B690),"")</f>
        <v/>
      </c>
      <c r="AB690" s="11" t="b">
        <f aca="false">OR(D690=WF_START_PERIOD,D690=WF_END_PERIOD)</f>
        <v>0</v>
      </c>
      <c r="AC690" s="0" t="str">
        <f aca="false">B690&amp;"|"&amp;D690</f>
        <v>4255|20250331</v>
      </c>
    </row>
    <row r="691" customFormat="false" ht="15" hidden="false" customHeight="false" outlineLevel="0" collapsed="false">
      <c r="A691" s="0" t="n">
        <f aca="false">RawFinancials!A691</f>
        <v>688</v>
      </c>
      <c r="B691" s="0" t="n">
        <f aca="false">RawFinancials!C691</f>
        <v>4256</v>
      </c>
      <c r="C691" s="0" t="str">
        <f aca="false">RawFinancials!P691</f>
        <v>FIRST NATIONAL BANK</v>
      </c>
      <c r="D691" s="0" t="n">
        <f aca="false">RawFinancials!W691</f>
        <v>20250331</v>
      </c>
      <c r="E691" s="0" t="str">
        <f aca="false">RawFinancials!Z691</f>
        <v>ME</v>
      </c>
      <c r="F691" s="0" t="n">
        <f aca="false">RawFinancials!B691</f>
        <v>3151780</v>
      </c>
      <c r="G691" s="0" t="n">
        <f aca="false">RawFinancials!U691</f>
        <v>695</v>
      </c>
      <c r="H691" s="0" t="n">
        <f aca="false">RawFinancials!O691</f>
        <v>6053</v>
      </c>
      <c r="I691" s="0" t="n">
        <f aca="false">IF(AND(ISNUMBER(G691),ISNUMBER(H691)),G691+H691,"")</f>
        <v>6748</v>
      </c>
      <c r="J691" s="0" t="n">
        <f aca="false">RawFinancials!D691</f>
        <v>2712084</v>
      </c>
      <c r="K691" s="0" t="n">
        <f aca="false">RawFinancials!F691</f>
        <v>230970</v>
      </c>
      <c r="L691" s="0" t="n">
        <f aca="false">RawFinancials!L691</f>
        <v>2383150</v>
      </c>
      <c r="M691" s="0" t="n">
        <f aca="false">RawFinancials!N691</f>
        <v>1883405</v>
      </c>
      <c r="N691" s="13" t="n">
        <f aca="false">RawFinancials!X691</f>
        <v>0.949049786537126</v>
      </c>
      <c r="O691" s="13" t="n">
        <f aca="false">RawFinancials!V691</f>
        <v>13.0723838563465</v>
      </c>
      <c r="P691" s="13" t="n">
        <f aca="false">IF(AND(ISNUMBER(L691),L691&lt;&gt;0,ISNUMBER(M691)),100*M691/L691,"")</f>
        <v>79.0300652497745</v>
      </c>
      <c r="Q691" s="13" t="n">
        <f aca="false">IF(AND(ISNUMBER(F691),F691&lt;&gt;0,ISNUMBER(K691)),100*K691/F691,"")</f>
        <v>7.32823991522251</v>
      </c>
      <c r="R691" s="11" t="b">
        <f aca="false">AND(ISNUMBER(F691),F691&gt;0,ISNUMBER(G691),G691&gt;=0,ISNUMBER(H691),H691&gt;=0)</f>
        <v>1</v>
      </c>
      <c r="S691" s="13" t="n">
        <f aca="false">IF(R691,100*I691/F691,"")</f>
        <v>0.214101238030573</v>
      </c>
      <c r="T691" s="11" t="b">
        <f aca="false">NOT(AND(OR(AND(ISBLANK(RawFinancials!B691),ISBLANK(_RawBaseline!B688)),AND(ISNUMBER(RawFinancials!B691),ISNUMBER(_RawBaseline!B688),RawFinancials!B691=_RawBaseline!B688)),OR(AND(ISBLANK(RawFinancials!U691),ISBLANK(_RawBaseline!U688)),AND(ISNUMBER(RawFinancials!U691),ISNUMBER(_RawBaseline!U688),RawFinancials!U691=_RawBaseline!U688)),OR(AND(ISBLANK(RawFinancials!O691),ISBLANK(_RawBaseline!O688)),AND(ISNUMBER(RawFinancials!O691),ISNUMBER(_RawBaseline!O688),RawFinancials!O691=_RawBaseline!O688))))</f>
        <v>0</v>
      </c>
      <c r="U691" s="13" t="n">
        <f aca="false">IF(AND(D691=WF_START_PERIOD,R691,COUNTIFS($B$5:$B$750,B691,$D$5:$D$750,WF_END_PERIOD,$R$5:$R$750,TRUE())&gt;0),SUMIFS($S$5:$S$750,$B$5:$B$750,B691,$D$5:$D$750,WF_END_PERIOD,$R$5:$R$750,TRUE()),0)</f>
        <v>0</v>
      </c>
      <c r="V691" s="0" t="str">
        <f aca="false">IF(AND(D691=WF_START_PERIOD,COUNTIFS($B$5:$B$750,B691,$D$5:$D$750,WF_END_PERIOD)&gt;0),INDEX($E$5:$E$750,MATCH(B691&amp;"|"&amp;WF_END_PERIOD,$AC$5:$AC$750,0)),"")</f>
        <v/>
      </c>
      <c r="W691" s="11" t="b">
        <f aca="false">COUNTIFS($B$5:$B$750,B691,$D$5:$D$750,WF_START_PERIOD,$R$5:$R$750,TRUE())&gt;0</f>
        <v>1</v>
      </c>
      <c r="X691" s="11" t="b">
        <f aca="false">COUNTIFS($B$5:$B$750,B691,$D$5:$D$750,WF_END_PERIOD,$R$5:$R$750,TRUE())&gt;0</f>
        <v>1</v>
      </c>
      <c r="Y691" s="0" t="str">
        <f aca="false">IF(AND(D691=WF_END_PERIOD,COUNTIFS($B$5:$B$750,B691,$D$5:$D$750,WF_START_PERIOD)&gt;0),INDEX($E$5:$E$750,MATCH(B691&amp;"|"&amp;WF_START_PERIOD,$AC$5:$AC$750,0)),"")</f>
        <v/>
      </c>
      <c r="Z691" s="0" t="str">
        <f aca="false">IF(AND(D691=WF_END_PERIOD,R691),1+COUNTIFS($D$5:$D$750,WF_END_PERIOD,$E$5:$E$750,E691,$R$5:$R$750,TRUE(),$S$5:$S$750,"&gt;"&amp;S691)+COUNTIFS($D$5:$D$750,WF_END_PERIOD,$E$5:$E$750,E691,$R$5:$R$750,TRUE(),$S$5:$S$750,S691,$B$5:$B$750,"&lt;"&amp;B691),"")</f>
        <v/>
      </c>
      <c r="AA691" s="0" t="str">
        <f aca="false">IF(AND(D691=WF_END_PERIOD,R691,Z691&lt;&gt;1),1+COUNTIFS($D$5:$D$750,WF_END_PERIOD,$R$5:$R$750,TRUE(),$Z$5:$Z$750,"&lt;&gt;1",$S$5:$S$750,"&gt;"&amp;S691)+COUNTIFS($D$5:$D$750,WF_END_PERIOD,$R$5:$R$750,TRUE(),$Z$5:$Z$750,"&lt;&gt;1",$S$5:$S$750,S691,$B$5:$B$750,"&lt;"&amp;B691),"")</f>
        <v/>
      </c>
      <c r="AB691" s="11" t="b">
        <f aca="false">OR(D691=WF_START_PERIOD,D691=WF_END_PERIOD)</f>
        <v>0</v>
      </c>
      <c r="AC691" s="0" t="str">
        <f aca="false">B691&amp;"|"&amp;D691</f>
        <v>4256|20250331</v>
      </c>
    </row>
    <row r="692" customFormat="false" ht="15" hidden="false" customHeight="false" outlineLevel="0" collapsed="false">
      <c r="A692" s="0" t="n">
        <f aca="false">RawFinancials!A692</f>
        <v>689</v>
      </c>
      <c r="B692" s="0" t="n">
        <f aca="false">RawFinancials!C692</f>
        <v>59086</v>
      </c>
      <c r="C692" s="0" t="str">
        <f aca="false">RawFinancials!P692</f>
        <v>PRIMARY BANK</v>
      </c>
      <c r="D692" s="0" t="n">
        <f aca="false">RawFinancials!W692</f>
        <v>20250331</v>
      </c>
      <c r="E692" s="0" t="str">
        <f aca="false">RawFinancials!Z692</f>
        <v>NH</v>
      </c>
      <c r="F692" s="0" t="n">
        <f aca="false">RawFinancials!B692</f>
        <v>699078</v>
      </c>
      <c r="G692" s="0" t="n">
        <f aca="false">RawFinancials!U692</f>
        <v>100</v>
      </c>
      <c r="H692" s="0" t="n">
        <f aca="false">RawFinancials!O692</f>
        <v>4011</v>
      </c>
      <c r="I692" s="0" t="n">
        <f aca="false">IF(AND(ISNUMBER(G692),ISNUMBER(H692)),G692+H692,"")</f>
        <v>4111</v>
      </c>
      <c r="J692" s="0" t="n">
        <f aca="false">RawFinancials!D692</f>
        <v>590147</v>
      </c>
      <c r="K692" s="0" t="n">
        <f aca="false">RawFinancials!F692</f>
        <v>102573</v>
      </c>
      <c r="L692" s="0" t="n">
        <f aca="false">RawFinancials!L692</f>
        <v>604662</v>
      </c>
      <c r="M692" s="0" t="n">
        <f aca="false">RawFinancials!N692</f>
        <v>482306</v>
      </c>
      <c r="N692" s="13" t="n">
        <f aca="false">RawFinancials!X692</f>
        <v>1.37223510961545</v>
      </c>
      <c r="O692" s="13" t="n">
        <f aca="false">RawFinancials!V692</f>
        <v>16.87937276982</v>
      </c>
      <c r="P692" s="13" t="n">
        <f aca="false">IF(AND(ISNUMBER(L692),L692&lt;&gt;0,ISNUMBER(M692)),100*M692/L692,"")</f>
        <v>79.7645626812996</v>
      </c>
      <c r="Q692" s="13" t="n">
        <f aca="false">IF(AND(ISNUMBER(F692),F692&lt;&gt;0,ISNUMBER(K692)),100*K692/F692,"")</f>
        <v>14.6726116399028</v>
      </c>
      <c r="R692" s="11" t="b">
        <f aca="false">AND(ISNUMBER(F692),F692&gt;0,ISNUMBER(G692),G692&gt;=0,ISNUMBER(H692),H692&gt;=0)</f>
        <v>1</v>
      </c>
      <c r="S692" s="13" t="n">
        <f aca="false">IF(R692,100*I692/F692,"")</f>
        <v>0.588060273674754</v>
      </c>
      <c r="T692" s="11" t="b">
        <f aca="false">NOT(AND(OR(AND(ISBLANK(RawFinancials!B692),ISBLANK(_RawBaseline!B689)),AND(ISNUMBER(RawFinancials!B692),ISNUMBER(_RawBaseline!B689),RawFinancials!B692=_RawBaseline!B689)),OR(AND(ISBLANK(RawFinancials!U692),ISBLANK(_RawBaseline!U689)),AND(ISNUMBER(RawFinancials!U692),ISNUMBER(_RawBaseline!U689),RawFinancials!U692=_RawBaseline!U689)),OR(AND(ISBLANK(RawFinancials!O692),ISBLANK(_RawBaseline!O689)),AND(ISNUMBER(RawFinancials!O692),ISNUMBER(_RawBaseline!O689),RawFinancials!O692=_RawBaseline!O689))))</f>
        <v>0</v>
      </c>
      <c r="U692" s="13" t="n">
        <f aca="false">IF(AND(D692=WF_START_PERIOD,R692,COUNTIFS($B$5:$B$750,B692,$D$5:$D$750,WF_END_PERIOD,$R$5:$R$750,TRUE())&gt;0),SUMIFS($S$5:$S$750,$B$5:$B$750,B692,$D$5:$D$750,WF_END_PERIOD,$R$5:$R$750,TRUE()),0)</f>
        <v>0</v>
      </c>
      <c r="V692" s="0" t="str">
        <f aca="false">IF(AND(D692=WF_START_PERIOD,COUNTIFS($B$5:$B$750,B692,$D$5:$D$750,WF_END_PERIOD)&gt;0),INDEX($E$5:$E$750,MATCH(B692&amp;"|"&amp;WF_END_PERIOD,$AC$5:$AC$750,0)),"")</f>
        <v/>
      </c>
      <c r="W692" s="11" t="b">
        <f aca="false">COUNTIFS($B$5:$B$750,B692,$D$5:$D$750,WF_START_PERIOD,$R$5:$R$750,TRUE())&gt;0</f>
        <v>1</v>
      </c>
      <c r="X692" s="11" t="b">
        <f aca="false">COUNTIFS($B$5:$B$750,B692,$D$5:$D$750,WF_END_PERIOD,$R$5:$R$750,TRUE())&gt;0</f>
        <v>1</v>
      </c>
      <c r="Y692" s="0" t="str">
        <f aca="false">IF(AND(D692=WF_END_PERIOD,COUNTIFS($B$5:$B$750,B692,$D$5:$D$750,WF_START_PERIOD)&gt;0),INDEX($E$5:$E$750,MATCH(B692&amp;"|"&amp;WF_START_PERIOD,$AC$5:$AC$750,0)),"")</f>
        <v/>
      </c>
      <c r="Z692" s="0" t="str">
        <f aca="false">IF(AND(D692=WF_END_PERIOD,R692),1+COUNTIFS($D$5:$D$750,WF_END_PERIOD,$E$5:$E$750,E692,$R$5:$R$750,TRUE(),$S$5:$S$750,"&gt;"&amp;S692)+COUNTIFS($D$5:$D$750,WF_END_PERIOD,$E$5:$E$750,E692,$R$5:$R$750,TRUE(),$S$5:$S$750,S692,$B$5:$B$750,"&lt;"&amp;B692),"")</f>
        <v/>
      </c>
      <c r="AA692" s="0" t="str">
        <f aca="false">IF(AND(D692=WF_END_PERIOD,R692,Z692&lt;&gt;1),1+COUNTIFS($D$5:$D$750,WF_END_PERIOD,$R$5:$R$750,TRUE(),$Z$5:$Z$750,"&lt;&gt;1",$S$5:$S$750,"&gt;"&amp;S692)+COUNTIFS($D$5:$D$750,WF_END_PERIOD,$R$5:$R$750,TRUE(),$Z$5:$Z$750,"&lt;&gt;1",$S$5:$S$750,S692,$B$5:$B$750,"&lt;"&amp;B692),"")</f>
        <v/>
      </c>
      <c r="AB692" s="11" t="b">
        <f aca="false">OR(D692=WF_START_PERIOD,D692=WF_END_PERIOD)</f>
        <v>0</v>
      </c>
      <c r="AC692" s="0" t="str">
        <f aca="false">B692&amp;"|"&amp;D692</f>
        <v>59086|20250331</v>
      </c>
    </row>
    <row r="693" customFormat="false" ht="15" hidden="false" customHeight="false" outlineLevel="0" collapsed="false">
      <c r="A693" s="0" t="n">
        <f aca="false">RawFinancials!A693</f>
        <v>690</v>
      </c>
      <c r="B693" s="0" t="n">
        <f aca="false">RawFinancials!C693</f>
        <v>59176</v>
      </c>
      <c r="C693" s="0" t="str">
        <f aca="false">RawFinancials!P693</f>
        <v>THE MILLYARD BANK</v>
      </c>
      <c r="D693" s="0" t="n">
        <f aca="false">RawFinancials!W693</f>
        <v>20250331</v>
      </c>
      <c r="E693" s="0" t="str">
        <f aca="false">RawFinancials!Z693</f>
        <v>NH</v>
      </c>
      <c r="F693" s="0" t="n">
        <f aca="false">RawFinancials!B693</f>
        <v>253661</v>
      </c>
      <c r="G693" s="0" t="n">
        <f aca="false">RawFinancials!U693</f>
        <v>0</v>
      </c>
      <c r="H693" s="0" t="n">
        <f aca="false">RawFinancials!O693</f>
        <v>0</v>
      </c>
      <c r="I693" s="0" t="n">
        <f aca="false">IF(AND(ISNUMBER(G693),ISNUMBER(H693)),G693+H693,"")</f>
        <v>0</v>
      </c>
      <c r="J693" s="0" t="n">
        <f aca="false">RawFinancials!D693</f>
        <v>203852</v>
      </c>
      <c r="K693" s="0" t="n">
        <f aca="false">RawFinancials!F693</f>
        <v>27423</v>
      </c>
      <c r="L693" s="0" t="n">
        <f aca="false">RawFinancials!L693</f>
        <v>193343</v>
      </c>
      <c r="M693" s="0" t="n">
        <f aca="false">RawFinancials!N693</f>
        <v>166487</v>
      </c>
      <c r="N693" s="13" t="n">
        <f aca="false">RawFinancials!X693</f>
        <v>0.197131813571955</v>
      </c>
      <c r="O693" s="13" t="n">
        <f aca="false">RawFinancials!V693</f>
        <v>0</v>
      </c>
      <c r="P693" s="13" t="n">
        <f aca="false">IF(AND(ISNUMBER(L693),L693&lt;&gt;0,ISNUMBER(M693)),100*M693/L693,"")</f>
        <v>86.1096600342397</v>
      </c>
      <c r="Q693" s="13" t="n">
        <f aca="false">IF(AND(ISNUMBER(F693),F693&lt;&gt;0,ISNUMBER(K693)),100*K693/F693,"")</f>
        <v>10.8108853942861</v>
      </c>
      <c r="R693" s="11" t="b">
        <f aca="false">AND(ISNUMBER(F693),F693&gt;0,ISNUMBER(G693),G693&gt;=0,ISNUMBER(H693),H693&gt;=0)</f>
        <v>1</v>
      </c>
      <c r="S693" s="13" t="n">
        <f aca="false">IF(R693,100*I693/F693,"")</f>
        <v>0</v>
      </c>
      <c r="T693" s="11" t="b">
        <f aca="false">NOT(AND(OR(AND(ISBLANK(RawFinancials!B693),ISBLANK(_RawBaseline!B690)),AND(ISNUMBER(RawFinancials!B693),ISNUMBER(_RawBaseline!B690),RawFinancials!B693=_RawBaseline!B690)),OR(AND(ISBLANK(RawFinancials!U693),ISBLANK(_RawBaseline!U690)),AND(ISNUMBER(RawFinancials!U693),ISNUMBER(_RawBaseline!U690),RawFinancials!U693=_RawBaseline!U690)),OR(AND(ISBLANK(RawFinancials!O693),ISBLANK(_RawBaseline!O690)),AND(ISNUMBER(RawFinancials!O693),ISNUMBER(_RawBaseline!O690),RawFinancials!O693=_RawBaseline!O690))))</f>
        <v>0</v>
      </c>
      <c r="U693" s="13" t="n">
        <f aca="false">IF(AND(D693=WF_START_PERIOD,R693,COUNTIFS($B$5:$B$750,B693,$D$5:$D$750,WF_END_PERIOD,$R$5:$R$750,TRUE())&gt;0),SUMIFS($S$5:$S$750,$B$5:$B$750,B693,$D$5:$D$750,WF_END_PERIOD,$R$5:$R$750,TRUE()),0)</f>
        <v>0</v>
      </c>
      <c r="V693" s="0" t="str">
        <f aca="false">IF(AND(D693=WF_START_PERIOD,COUNTIFS($B$5:$B$750,B693,$D$5:$D$750,WF_END_PERIOD)&gt;0),INDEX($E$5:$E$750,MATCH(B693&amp;"|"&amp;WF_END_PERIOD,$AC$5:$AC$750,0)),"")</f>
        <v/>
      </c>
      <c r="W693" s="11" t="b">
        <f aca="false">COUNTIFS($B$5:$B$750,B693,$D$5:$D$750,WF_START_PERIOD,$R$5:$R$750,TRUE())&gt;0</f>
        <v>1</v>
      </c>
      <c r="X693" s="11" t="b">
        <f aca="false">COUNTIFS($B$5:$B$750,B693,$D$5:$D$750,WF_END_PERIOD,$R$5:$R$750,TRUE())&gt;0</f>
        <v>1</v>
      </c>
      <c r="Y693" s="0" t="str">
        <f aca="false">IF(AND(D693=WF_END_PERIOD,COUNTIFS($B$5:$B$750,B693,$D$5:$D$750,WF_START_PERIOD)&gt;0),INDEX($E$5:$E$750,MATCH(B693&amp;"|"&amp;WF_START_PERIOD,$AC$5:$AC$750,0)),"")</f>
        <v/>
      </c>
      <c r="Z693" s="0" t="str">
        <f aca="false">IF(AND(D693=WF_END_PERIOD,R693),1+COUNTIFS($D$5:$D$750,WF_END_PERIOD,$E$5:$E$750,E693,$R$5:$R$750,TRUE(),$S$5:$S$750,"&gt;"&amp;S693)+COUNTIFS($D$5:$D$750,WF_END_PERIOD,$E$5:$E$750,E693,$R$5:$R$750,TRUE(),$S$5:$S$750,S693,$B$5:$B$750,"&lt;"&amp;B693),"")</f>
        <v/>
      </c>
      <c r="AA693" s="0" t="str">
        <f aca="false">IF(AND(D693=WF_END_PERIOD,R693,Z693&lt;&gt;1),1+COUNTIFS($D$5:$D$750,WF_END_PERIOD,$R$5:$R$750,TRUE(),$Z$5:$Z$750,"&lt;&gt;1",$S$5:$S$750,"&gt;"&amp;S693)+COUNTIFS($D$5:$D$750,WF_END_PERIOD,$R$5:$R$750,TRUE(),$Z$5:$Z$750,"&lt;&gt;1",$S$5:$S$750,S693,$B$5:$B$750,"&lt;"&amp;B693),"")</f>
        <v/>
      </c>
      <c r="AB693" s="11" t="b">
        <f aca="false">OR(D693=WF_START_PERIOD,D693=WF_END_PERIOD)</f>
        <v>0</v>
      </c>
      <c r="AC693" s="0" t="str">
        <f aca="false">B693&amp;"|"&amp;D693</f>
        <v>59176|20250331</v>
      </c>
    </row>
    <row r="694" customFormat="false" ht="15" hidden="false" customHeight="false" outlineLevel="0" collapsed="false">
      <c r="A694" s="0" t="n">
        <f aca="false">RawFinancials!A694</f>
        <v>691</v>
      </c>
      <c r="B694" s="0" t="n">
        <f aca="false">RawFinancials!C694</f>
        <v>59289</v>
      </c>
      <c r="C694" s="0" t="str">
        <f aca="false">RawFinancials!P694</f>
        <v>WALDEN MUTUAL BANK</v>
      </c>
      <c r="D694" s="0" t="n">
        <f aca="false">RawFinancials!W694</f>
        <v>20250331</v>
      </c>
      <c r="E694" s="0" t="str">
        <f aca="false">RawFinancials!Z694</f>
        <v>NH</v>
      </c>
      <c r="F694" s="0" t="n">
        <f aca="false">RawFinancials!B694</f>
        <v>130262</v>
      </c>
      <c r="G694" s="0" t="n">
        <f aca="false">RawFinancials!U694</f>
        <v>0</v>
      </c>
      <c r="H694" s="0" t="n">
        <f aca="false">RawFinancials!O694</f>
        <v>4568</v>
      </c>
      <c r="I694" s="0" t="n">
        <f aca="false">IF(AND(ISNUMBER(G694),ISNUMBER(H694)),G694+H694,"")</f>
        <v>4568</v>
      </c>
      <c r="J694" s="0" t="n">
        <f aca="false">RawFinancials!D694</f>
        <v>113554</v>
      </c>
      <c r="K694" s="0" t="n">
        <f aca="false">RawFinancials!F694</f>
        <v>15654</v>
      </c>
      <c r="L694" s="0" t="n">
        <f aca="false">RawFinancials!L694</f>
        <v>97607</v>
      </c>
      <c r="M694" s="0" t="n">
        <f aca="false">RawFinancials!N694</f>
        <v>38027</v>
      </c>
      <c r="N694" s="13" t="n">
        <f aca="false">RawFinancials!X694</f>
        <v>-0.642448863904766</v>
      </c>
      <c r="O694" s="13" t="n">
        <f aca="false">RawFinancials!V694</f>
        <v>0</v>
      </c>
      <c r="P694" s="13" t="n">
        <f aca="false">IF(AND(ISNUMBER(L694),L694&lt;&gt;0,ISNUMBER(M694)),100*M694/L694,"")</f>
        <v>38.9592959521346</v>
      </c>
      <c r="Q694" s="13" t="n">
        <f aca="false">IF(AND(ISNUMBER(F694),F694&lt;&gt;0,ISNUMBER(K694)),100*K694/F694,"")</f>
        <v>12.0173189418249</v>
      </c>
      <c r="R694" s="11" t="b">
        <f aca="false">AND(ISNUMBER(F694),F694&gt;0,ISNUMBER(G694),G694&gt;=0,ISNUMBER(H694),H694&gt;=0)</f>
        <v>1</v>
      </c>
      <c r="S694" s="13" t="n">
        <f aca="false">IF(R694,100*I694/F694,"")</f>
        <v>3.50677864611322</v>
      </c>
      <c r="T694" s="11" t="b">
        <f aca="false">NOT(AND(OR(AND(ISBLANK(RawFinancials!B694),ISBLANK(_RawBaseline!B691)),AND(ISNUMBER(RawFinancials!B694),ISNUMBER(_RawBaseline!B691),RawFinancials!B694=_RawBaseline!B691)),OR(AND(ISBLANK(RawFinancials!U694),ISBLANK(_RawBaseline!U691)),AND(ISNUMBER(RawFinancials!U694),ISNUMBER(_RawBaseline!U691),RawFinancials!U694=_RawBaseline!U691)),OR(AND(ISBLANK(RawFinancials!O694),ISBLANK(_RawBaseline!O691)),AND(ISNUMBER(RawFinancials!O694),ISNUMBER(_RawBaseline!O691),RawFinancials!O694=_RawBaseline!O691))))</f>
        <v>0</v>
      </c>
      <c r="U694" s="13" t="n">
        <f aca="false">IF(AND(D694=WF_START_PERIOD,R694,COUNTIFS($B$5:$B$750,B694,$D$5:$D$750,WF_END_PERIOD,$R$5:$R$750,TRUE())&gt;0),SUMIFS($S$5:$S$750,$B$5:$B$750,B694,$D$5:$D$750,WF_END_PERIOD,$R$5:$R$750,TRUE()),0)</f>
        <v>0</v>
      </c>
      <c r="V694" s="0" t="str">
        <f aca="false">IF(AND(D694=WF_START_PERIOD,COUNTIFS($B$5:$B$750,B694,$D$5:$D$750,WF_END_PERIOD)&gt;0),INDEX($E$5:$E$750,MATCH(B694&amp;"|"&amp;WF_END_PERIOD,$AC$5:$AC$750,0)),"")</f>
        <v/>
      </c>
      <c r="W694" s="11" t="b">
        <f aca="false">COUNTIFS($B$5:$B$750,B694,$D$5:$D$750,WF_START_PERIOD,$R$5:$R$750,TRUE())&gt;0</f>
        <v>1</v>
      </c>
      <c r="X694" s="11" t="b">
        <f aca="false">COUNTIFS($B$5:$B$750,B694,$D$5:$D$750,WF_END_PERIOD,$R$5:$R$750,TRUE())&gt;0</f>
        <v>1</v>
      </c>
      <c r="Y694" s="0" t="str">
        <f aca="false">IF(AND(D694=WF_END_PERIOD,COUNTIFS($B$5:$B$750,B694,$D$5:$D$750,WF_START_PERIOD)&gt;0),INDEX($E$5:$E$750,MATCH(B694&amp;"|"&amp;WF_START_PERIOD,$AC$5:$AC$750,0)),"")</f>
        <v/>
      </c>
      <c r="Z694" s="0" t="str">
        <f aca="false">IF(AND(D694=WF_END_PERIOD,R694),1+COUNTIFS($D$5:$D$750,WF_END_PERIOD,$E$5:$E$750,E694,$R$5:$R$750,TRUE(),$S$5:$S$750,"&gt;"&amp;S694)+COUNTIFS($D$5:$D$750,WF_END_PERIOD,$E$5:$E$750,E694,$R$5:$R$750,TRUE(),$S$5:$S$750,S694,$B$5:$B$750,"&lt;"&amp;B694),"")</f>
        <v/>
      </c>
      <c r="AA694" s="0" t="str">
        <f aca="false">IF(AND(D694=WF_END_PERIOD,R694,Z694&lt;&gt;1),1+COUNTIFS($D$5:$D$750,WF_END_PERIOD,$R$5:$R$750,TRUE(),$Z$5:$Z$750,"&lt;&gt;1",$S$5:$S$750,"&gt;"&amp;S694)+COUNTIFS($D$5:$D$750,WF_END_PERIOD,$R$5:$R$750,TRUE(),$Z$5:$Z$750,"&lt;&gt;1",$S$5:$S$750,S694,$B$5:$B$750,"&lt;"&amp;B694),"")</f>
        <v/>
      </c>
      <c r="AB694" s="11" t="b">
        <f aca="false">OR(D694=WF_START_PERIOD,D694=WF_END_PERIOD)</f>
        <v>0</v>
      </c>
      <c r="AC694" s="0" t="str">
        <f aca="false">B694&amp;"|"&amp;D694</f>
        <v>59289|20250331</v>
      </c>
    </row>
    <row r="695" customFormat="false" ht="15" hidden="false" customHeight="false" outlineLevel="0" collapsed="false">
      <c r="A695" s="0" t="n">
        <f aca="false">RawFinancials!A695</f>
        <v>692</v>
      </c>
      <c r="B695" s="0" t="n">
        <f aca="false">RawFinancials!C695</f>
        <v>59298</v>
      </c>
      <c r="C695" s="0" t="str">
        <f aca="false">RawFinancials!P695</f>
        <v>BANK OF BURLINGTON</v>
      </c>
      <c r="D695" s="0" t="n">
        <f aca="false">RawFinancials!W695</f>
        <v>20250331</v>
      </c>
      <c r="E695" s="0" t="str">
        <f aca="false">RawFinancials!Z695</f>
        <v>VT</v>
      </c>
      <c r="F695" s="0" t="n">
        <f aca="false">RawFinancials!B695</f>
        <v>273586</v>
      </c>
      <c r="G695" s="0" t="n">
        <f aca="false">RawFinancials!U695</f>
        <v>0</v>
      </c>
      <c r="H695" s="0" t="n">
        <f aca="false">RawFinancials!O695</f>
        <v>0</v>
      </c>
      <c r="I695" s="0" t="n">
        <f aca="false">IF(AND(ISNUMBER(G695),ISNUMBER(H695)),G695+H695,"")</f>
        <v>0</v>
      </c>
      <c r="J695" s="0" t="n">
        <f aca="false">RawFinancials!D695</f>
        <v>247768</v>
      </c>
      <c r="K695" s="0" t="n">
        <f aca="false">RawFinancials!F695</f>
        <v>24927</v>
      </c>
      <c r="L695" s="0" t="n">
        <f aca="false">RawFinancials!L695</f>
        <v>143380</v>
      </c>
      <c r="M695" s="0" t="n">
        <f aca="false">RawFinancials!N695</f>
        <v>109081</v>
      </c>
      <c r="N695" s="13" t="n">
        <f aca="false">RawFinancials!X695</f>
        <v>0.0209446406965589</v>
      </c>
      <c r="O695" s="13" t="n">
        <f aca="false">RawFinancials!V695</f>
        <v>17.8288066289366</v>
      </c>
      <c r="P695" s="13" t="n">
        <f aca="false">IF(AND(ISNUMBER(L695),L695&lt;&gt;0,ISNUMBER(M695)),100*M695/L695,"")</f>
        <v>76.0782535918538</v>
      </c>
      <c r="Q695" s="13" t="n">
        <f aca="false">IF(AND(ISNUMBER(F695),F695&lt;&gt;0,ISNUMBER(K695)),100*K695/F695,"")</f>
        <v>9.11121183101474</v>
      </c>
      <c r="R695" s="11" t="b">
        <f aca="false">AND(ISNUMBER(F695),F695&gt;0,ISNUMBER(G695),G695&gt;=0,ISNUMBER(H695),H695&gt;=0)</f>
        <v>1</v>
      </c>
      <c r="S695" s="13" t="n">
        <f aca="false">IF(R695,100*I695/F695,"")</f>
        <v>0</v>
      </c>
      <c r="T695" s="11" t="b">
        <f aca="false">NOT(AND(OR(AND(ISBLANK(RawFinancials!B695),ISBLANK(_RawBaseline!B692)),AND(ISNUMBER(RawFinancials!B695),ISNUMBER(_RawBaseline!B692),RawFinancials!B695=_RawBaseline!B692)),OR(AND(ISBLANK(RawFinancials!U695),ISBLANK(_RawBaseline!U692)),AND(ISNUMBER(RawFinancials!U695),ISNUMBER(_RawBaseline!U692),RawFinancials!U695=_RawBaseline!U692)),OR(AND(ISBLANK(RawFinancials!O695),ISBLANK(_RawBaseline!O692)),AND(ISNUMBER(RawFinancials!O695),ISNUMBER(_RawBaseline!O692),RawFinancials!O695=_RawBaseline!O692))))</f>
        <v>0</v>
      </c>
      <c r="U695" s="13" t="n">
        <f aca="false">IF(AND(D695=WF_START_PERIOD,R695,COUNTIFS($B$5:$B$750,B695,$D$5:$D$750,WF_END_PERIOD,$R$5:$R$750,TRUE())&gt;0),SUMIFS($S$5:$S$750,$B$5:$B$750,B695,$D$5:$D$750,WF_END_PERIOD,$R$5:$R$750,TRUE()),0)</f>
        <v>0</v>
      </c>
      <c r="V695" s="0" t="str">
        <f aca="false">IF(AND(D695=WF_START_PERIOD,COUNTIFS($B$5:$B$750,B695,$D$5:$D$750,WF_END_PERIOD)&gt;0),INDEX($E$5:$E$750,MATCH(B695&amp;"|"&amp;WF_END_PERIOD,$AC$5:$AC$750,0)),"")</f>
        <v/>
      </c>
      <c r="W695" s="11" t="b">
        <f aca="false">COUNTIFS($B$5:$B$750,B695,$D$5:$D$750,WF_START_PERIOD,$R$5:$R$750,TRUE())&gt;0</f>
        <v>1</v>
      </c>
      <c r="X695" s="11" t="b">
        <f aca="false">COUNTIFS($B$5:$B$750,B695,$D$5:$D$750,WF_END_PERIOD,$R$5:$R$750,TRUE())&gt;0</f>
        <v>1</v>
      </c>
      <c r="Y695" s="0" t="str">
        <f aca="false">IF(AND(D695=WF_END_PERIOD,COUNTIFS($B$5:$B$750,B695,$D$5:$D$750,WF_START_PERIOD)&gt;0),INDEX($E$5:$E$750,MATCH(B695&amp;"|"&amp;WF_START_PERIOD,$AC$5:$AC$750,0)),"")</f>
        <v/>
      </c>
      <c r="Z695" s="0" t="str">
        <f aca="false">IF(AND(D695=WF_END_PERIOD,R695),1+COUNTIFS($D$5:$D$750,WF_END_PERIOD,$E$5:$E$750,E695,$R$5:$R$750,TRUE(),$S$5:$S$750,"&gt;"&amp;S695)+COUNTIFS($D$5:$D$750,WF_END_PERIOD,$E$5:$E$750,E695,$R$5:$R$750,TRUE(),$S$5:$S$750,S695,$B$5:$B$750,"&lt;"&amp;B695),"")</f>
        <v/>
      </c>
      <c r="AA695" s="0" t="str">
        <f aca="false">IF(AND(D695=WF_END_PERIOD,R695,Z695&lt;&gt;1),1+COUNTIFS($D$5:$D$750,WF_END_PERIOD,$R$5:$R$750,TRUE(),$Z$5:$Z$750,"&lt;&gt;1",$S$5:$S$750,"&gt;"&amp;S695)+COUNTIFS($D$5:$D$750,WF_END_PERIOD,$R$5:$R$750,TRUE(),$Z$5:$Z$750,"&lt;&gt;1",$S$5:$S$750,S695,$B$5:$B$750,"&lt;"&amp;B695),"")</f>
        <v/>
      </c>
      <c r="AB695" s="11" t="b">
        <f aca="false">OR(D695=WF_START_PERIOD,D695=WF_END_PERIOD)</f>
        <v>0</v>
      </c>
      <c r="AC695" s="0" t="str">
        <f aca="false">B695&amp;"|"&amp;D695</f>
        <v>59298|20250331</v>
      </c>
    </row>
    <row r="696" customFormat="false" ht="15" hidden="false" customHeight="false" outlineLevel="0" collapsed="false">
      <c r="A696" s="0" t="n">
        <f aca="false">RawFinancials!A696</f>
        <v>693</v>
      </c>
      <c r="B696" s="0" t="n">
        <f aca="false">RawFinancials!C696</f>
        <v>6271</v>
      </c>
      <c r="C696" s="0" t="str">
        <f aca="false">RawFinancials!P696</f>
        <v>COMMUNITY NATIONAL BANK</v>
      </c>
      <c r="D696" s="0" t="n">
        <f aca="false">RawFinancials!W696</f>
        <v>20250331</v>
      </c>
      <c r="E696" s="0" t="str">
        <f aca="false">RawFinancials!Z696</f>
        <v>VT</v>
      </c>
      <c r="F696" s="0" t="n">
        <f aca="false">RawFinancials!B696</f>
        <v>1187395</v>
      </c>
      <c r="G696" s="0" t="n">
        <f aca="false">RawFinancials!U696</f>
        <v>494</v>
      </c>
      <c r="H696" s="0" t="n">
        <f aca="false">RawFinancials!O696</f>
        <v>8907</v>
      </c>
      <c r="I696" s="0" t="n">
        <f aca="false">IF(AND(ISNUMBER(G696),ISNUMBER(H696)),G696+H696,"")</f>
        <v>9401</v>
      </c>
      <c r="J696" s="0" t="n">
        <f aca="false">RawFinancials!D696</f>
        <v>980794</v>
      </c>
      <c r="K696" s="0" t="n">
        <f aca="false">RawFinancials!F696</f>
        <v>115170</v>
      </c>
      <c r="L696" s="0" t="n">
        <f aca="false">RawFinancials!L696</f>
        <v>941445</v>
      </c>
      <c r="M696" s="0" t="n">
        <f aca="false">RawFinancials!N696</f>
        <v>739251</v>
      </c>
      <c r="N696" s="13" t="n">
        <f aca="false">RawFinancials!X696</f>
        <v>1.25143290710164</v>
      </c>
      <c r="O696" s="13" t="n">
        <f aca="false">RawFinancials!V696</f>
        <v>14.9379069100864</v>
      </c>
      <c r="P696" s="13" t="n">
        <f aca="false">IF(AND(ISNUMBER(L696),L696&lt;&gt;0,ISNUMBER(M696)),100*M696/L696,"")</f>
        <v>78.5230151522394</v>
      </c>
      <c r="Q696" s="13" t="n">
        <f aca="false">IF(AND(ISNUMBER(F696),F696&lt;&gt;0,ISNUMBER(K696)),100*K696/F696,"")</f>
        <v>9.69938394552782</v>
      </c>
      <c r="R696" s="11" t="b">
        <f aca="false">AND(ISNUMBER(F696),F696&gt;0,ISNUMBER(G696),G696&gt;=0,ISNUMBER(H696),H696&gt;=0)</f>
        <v>1</v>
      </c>
      <c r="S696" s="13" t="n">
        <f aca="false">IF(R696,100*I696/F696,"")</f>
        <v>0.791733163774481</v>
      </c>
      <c r="T696" s="11" t="b">
        <f aca="false">NOT(AND(OR(AND(ISBLANK(RawFinancials!B696),ISBLANK(_RawBaseline!B693)),AND(ISNUMBER(RawFinancials!B696),ISNUMBER(_RawBaseline!B693),RawFinancials!B696=_RawBaseline!B693)),OR(AND(ISBLANK(RawFinancials!U696),ISBLANK(_RawBaseline!U693)),AND(ISNUMBER(RawFinancials!U696),ISNUMBER(_RawBaseline!U693),RawFinancials!U696=_RawBaseline!U693)),OR(AND(ISBLANK(RawFinancials!O696),ISBLANK(_RawBaseline!O693)),AND(ISNUMBER(RawFinancials!O696),ISNUMBER(_RawBaseline!O693),RawFinancials!O696=_RawBaseline!O693))))</f>
        <v>0</v>
      </c>
      <c r="U696" s="13" t="n">
        <f aca="false">IF(AND(D696=WF_START_PERIOD,R696,COUNTIFS($B$5:$B$750,B696,$D$5:$D$750,WF_END_PERIOD,$R$5:$R$750,TRUE())&gt;0),SUMIFS($S$5:$S$750,$B$5:$B$750,B696,$D$5:$D$750,WF_END_PERIOD,$R$5:$R$750,TRUE()),0)</f>
        <v>0</v>
      </c>
      <c r="V696" s="0" t="str">
        <f aca="false">IF(AND(D696=WF_START_PERIOD,COUNTIFS($B$5:$B$750,B696,$D$5:$D$750,WF_END_PERIOD)&gt;0),INDEX($E$5:$E$750,MATCH(B696&amp;"|"&amp;WF_END_PERIOD,$AC$5:$AC$750,0)),"")</f>
        <v/>
      </c>
      <c r="W696" s="11" t="b">
        <f aca="false">COUNTIFS($B$5:$B$750,B696,$D$5:$D$750,WF_START_PERIOD,$R$5:$R$750,TRUE())&gt;0</f>
        <v>1</v>
      </c>
      <c r="X696" s="11" t="b">
        <f aca="false">COUNTIFS($B$5:$B$750,B696,$D$5:$D$750,WF_END_PERIOD,$R$5:$R$750,TRUE())&gt;0</f>
        <v>1</v>
      </c>
      <c r="Y696" s="0" t="str">
        <f aca="false">IF(AND(D696=WF_END_PERIOD,COUNTIFS($B$5:$B$750,B696,$D$5:$D$750,WF_START_PERIOD)&gt;0),INDEX($E$5:$E$750,MATCH(B696&amp;"|"&amp;WF_START_PERIOD,$AC$5:$AC$750,0)),"")</f>
        <v/>
      </c>
      <c r="Z696" s="0" t="str">
        <f aca="false">IF(AND(D696=WF_END_PERIOD,R696),1+COUNTIFS($D$5:$D$750,WF_END_PERIOD,$E$5:$E$750,E696,$R$5:$R$750,TRUE(),$S$5:$S$750,"&gt;"&amp;S696)+COUNTIFS($D$5:$D$750,WF_END_PERIOD,$E$5:$E$750,E696,$R$5:$R$750,TRUE(),$S$5:$S$750,S696,$B$5:$B$750,"&lt;"&amp;B696),"")</f>
        <v/>
      </c>
      <c r="AA696" s="0" t="str">
        <f aca="false">IF(AND(D696=WF_END_PERIOD,R696,Z696&lt;&gt;1),1+COUNTIFS($D$5:$D$750,WF_END_PERIOD,$R$5:$R$750,TRUE(),$Z$5:$Z$750,"&lt;&gt;1",$S$5:$S$750,"&gt;"&amp;S696)+COUNTIFS($D$5:$D$750,WF_END_PERIOD,$R$5:$R$750,TRUE(),$Z$5:$Z$750,"&lt;&gt;1",$S$5:$S$750,S696,$B$5:$B$750,"&lt;"&amp;B696),"")</f>
        <v/>
      </c>
      <c r="AB696" s="11" t="b">
        <f aca="false">OR(D696=WF_START_PERIOD,D696=WF_END_PERIOD)</f>
        <v>0</v>
      </c>
      <c r="AC696" s="0" t="str">
        <f aca="false">B696&amp;"|"&amp;D696</f>
        <v>6271|20250331</v>
      </c>
    </row>
    <row r="697" customFormat="false" ht="15" hidden="false" customHeight="false" outlineLevel="0" collapsed="false">
      <c r="A697" s="0" t="n">
        <f aca="false">RawFinancials!A697</f>
        <v>694</v>
      </c>
      <c r="B697" s="0" t="n">
        <f aca="false">RawFinancials!C697</f>
        <v>6275</v>
      </c>
      <c r="C697" s="0" t="str">
        <f aca="false">RawFinancials!P697</f>
        <v>THE NATIONAL BANK OF MIDDLEBURY</v>
      </c>
      <c r="D697" s="0" t="n">
        <f aca="false">RawFinancials!W697</f>
        <v>20250331</v>
      </c>
      <c r="E697" s="0" t="str">
        <f aca="false">RawFinancials!Z697</f>
        <v>VT</v>
      </c>
      <c r="F697" s="0" t="n">
        <f aca="false">RawFinancials!B697</f>
        <v>547001</v>
      </c>
      <c r="G697" s="0" t="n">
        <f aca="false">RawFinancials!U697</f>
        <v>338</v>
      </c>
      <c r="H697" s="0" t="n">
        <f aca="false">RawFinancials!O697</f>
        <v>660</v>
      </c>
      <c r="I697" s="0" t="n">
        <f aca="false">IF(AND(ISNUMBER(G697),ISNUMBER(H697)),G697+H697,"")</f>
        <v>998</v>
      </c>
      <c r="J697" s="0" t="n">
        <f aca="false">RawFinancials!D697</f>
        <v>502984</v>
      </c>
      <c r="K697" s="0" t="n">
        <f aca="false">RawFinancials!F697</f>
        <v>36237</v>
      </c>
      <c r="L697" s="0" t="n">
        <f aca="false">RawFinancials!L697</f>
        <v>348655</v>
      </c>
      <c r="M697" s="0" t="n">
        <f aca="false">RawFinancials!N697</f>
        <v>298585</v>
      </c>
      <c r="N697" s="13" t="n">
        <f aca="false">RawFinancials!X697</f>
        <v>0.743149433686518</v>
      </c>
      <c r="O697" s="13" t="n">
        <f aca="false">RawFinancials!V697</f>
        <v>15.7328932381291</v>
      </c>
      <c r="P697" s="13" t="n">
        <f aca="false">IF(AND(ISNUMBER(L697),L697&lt;&gt;0,ISNUMBER(M697)),100*M697/L697,"")</f>
        <v>85.6390988226184</v>
      </c>
      <c r="Q697" s="13" t="n">
        <f aca="false">IF(AND(ISNUMBER(F697),F697&lt;&gt;0,ISNUMBER(K697)),100*K697/F697,"")</f>
        <v>6.62466796221579</v>
      </c>
      <c r="R697" s="11" t="b">
        <f aca="false">AND(ISNUMBER(F697),F697&gt;0,ISNUMBER(G697),G697&gt;=0,ISNUMBER(H697),H697&gt;=0)</f>
        <v>1</v>
      </c>
      <c r="S697" s="13" t="n">
        <f aca="false">IF(R697,100*I697/F697,"")</f>
        <v>0.182449392231458</v>
      </c>
      <c r="T697" s="11" t="b">
        <f aca="false">NOT(AND(OR(AND(ISBLANK(RawFinancials!B697),ISBLANK(_RawBaseline!B694)),AND(ISNUMBER(RawFinancials!B697),ISNUMBER(_RawBaseline!B694),RawFinancials!B697=_RawBaseline!B694)),OR(AND(ISBLANK(RawFinancials!U697),ISBLANK(_RawBaseline!U694)),AND(ISNUMBER(RawFinancials!U697),ISNUMBER(_RawBaseline!U694),RawFinancials!U697=_RawBaseline!U694)),OR(AND(ISBLANK(RawFinancials!O697),ISBLANK(_RawBaseline!O694)),AND(ISNUMBER(RawFinancials!O697),ISNUMBER(_RawBaseline!O694),RawFinancials!O697=_RawBaseline!O694))))</f>
        <v>0</v>
      </c>
      <c r="U697" s="13" t="n">
        <f aca="false">IF(AND(D697=WF_START_PERIOD,R697,COUNTIFS($B$5:$B$750,B697,$D$5:$D$750,WF_END_PERIOD,$R$5:$R$750,TRUE())&gt;0),SUMIFS($S$5:$S$750,$B$5:$B$750,B697,$D$5:$D$750,WF_END_PERIOD,$R$5:$R$750,TRUE()),0)</f>
        <v>0</v>
      </c>
      <c r="V697" s="0" t="str">
        <f aca="false">IF(AND(D697=WF_START_PERIOD,COUNTIFS($B$5:$B$750,B697,$D$5:$D$750,WF_END_PERIOD)&gt;0),INDEX($E$5:$E$750,MATCH(B697&amp;"|"&amp;WF_END_PERIOD,$AC$5:$AC$750,0)),"")</f>
        <v/>
      </c>
      <c r="W697" s="11" t="b">
        <f aca="false">COUNTIFS($B$5:$B$750,B697,$D$5:$D$750,WF_START_PERIOD,$R$5:$R$750,TRUE())&gt;0</f>
        <v>1</v>
      </c>
      <c r="X697" s="11" t="b">
        <f aca="false">COUNTIFS($B$5:$B$750,B697,$D$5:$D$750,WF_END_PERIOD,$R$5:$R$750,TRUE())&gt;0</f>
        <v>1</v>
      </c>
      <c r="Y697" s="0" t="str">
        <f aca="false">IF(AND(D697=WF_END_PERIOD,COUNTIFS($B$5:$B$750,B697,$D$5:$D$750,WF_START_PERIOD)&gt;0),INDEX($E$5:$E$750,MATCH(B697&amp;"|"&amp;WF_START_PERIOD,$AC$5:$AC$750,0)),"")</f>
        <v/>
      </c>
      <c r="Z697" s="0" t="str">
        <f aca="false">IF(AND(D697=WF_END_PERIOD,R697),1+COUNTIFS($D$5:$D$750,WF_END_PERIOD,$E$5:$E$750,E697,$R$5:$R$750,TRUE(),$S$5:$S$750,"&gt;"&amp;S697)+COUNTIFS($D$5:$D$750,WF_END_PERIOD,$E$5:$E$750,E697,$R$5:$R$750,TRUE(),$S$5:$S$750,S697,$B$5:$B$750,"&lt;"&amp;B697),"")</f>
        <v/>
      </c>
      <c r="AA697" s="0" t="str">
        <f aca="false">IF(AND(D697=WF_END_PERIOD,R697,Z697&lt;&gt;1),1+COUNTIFS($D$5:$D$750,WF_END_PERIOD,$R$5:$R$750,TRUE(),$Z$5:$Z$750,"&lt;&gt;1",$S$5:$S$750,"&gt;"&amp;S697)+COUNTIFS($D$5:$D$750,WF_END_PERIOD,$R$5:$R$750,TRUE(),$Z$5:$Z$750,"&lt;&gt;1",$S$5:$S$750,S697,$B$5:$B$750,"&lt;"&amp;B697),"")</f>
        <v/>
      </c>
      <c r="AB697" s="11" t="b">
        <f aca="false">OR(D697=WF_START_PERIOD,D697=WF_END_PERIOD)</f>
        <v>0</v>
      </c>
      <c r="AC697" s="0" t="str">
        <f aca="false">B697&amp;"|"&amp;D697</f>
        <v>6275|20250331</v>
      </c>
    </row>
    <row r="698" customFormat="false" ht="15" hidden="false" customHeight="false" outlineLevel="0" collapsed="false">
      <c r="A698" s="0" t="n">
        <f aca="false">RawFinancials!A698</f>
        <v>695</v>
      </c>
      <c r="B698" s="0" t="n">
        <f aca="false">RawFinancials!C698</f>
        <v>6280</v>
      </c>
      <c r="C698" s="0" t="str">
        <f aca="false">RawFinancials!P698</f>
        <v>THE FIRST NATIONAL BANK OF ORWELL</v>
      </c>
      <c r="D698" s="0" t="n">
        <f aca="false">RawFinancials!W698</f>
        <v>20250331</v>
      </c>
      <c r="E698" s="0" t="str">
        <f aca="false">RawFinancials!Z698</f>
        <v>VT</v>
      </c>
      <c r="F698" s="0" t="n">
        <f aca="false">RawFinancials!B698</f>
        <v>88000</v>
      </c>
      <c r="G698" s="0" t="n">
        <f aca="false">RawFinancials!U698</f>
        <v>0</v>
      </c>
      <c r="H698" s="0" t="n">
        <f aca="false">RawFinancials!O698</f>
        <v>1420</v>
      </c>
      <c r="I698" s="0" t="n">
        <f aca="false">IF(AND(ISNUMBER(G698),ISNUMBER(H698)),G698+H698,"")</f>
        <v>1420</v>
      </c>
      <c r="J698" s="0" t="n">
        <f aca="false">RawFinancials!D698</f>
        <v>77788</v>
      </c>
      <c r="K698" s="0" t="n">
        <f aca="false">RawFinancials!F698</f>
        <v>10007</v>
      </c>
      <c r="L698" s="0" t="n">
        <f aca="false">RawFinancials!L698</f>
        <v>71713</v>
      </c>
      <c r="M698" s="0" t="n">
        <f aca="false">RawFinancials!N698</f>
        <v>64224</v>
      </c>
      <c r="N698" s="13" t="n">
        <f aca="false">RawFinancials!X698</f>
        <v>1.28878743546101</v>
      </c>
      <c r="O698" s="13" t="n">
        <f aca="false">RawFinancials!V698</f>
        <v>0</v>
      </c>
      <c r="P698" s="13" t="n">
        <f aca="false">IF(AND(ISNUMBER(L698),L698&lt;&gt;0,ISNUMBER(M698)),100*M698/L698,"")</f>
        <v>89.5569840893562</v>
      </c>
      <c r="Q698" s="13" t="n">
        <f aca="false">IF(AND(ISNUMBER(F698),F698&lt;&gt;0,ISNUMBER(K698)),100*K698/F698,"")</f>
        <v>11.3715909090909</v>
      </c>
      <c r="R698" s="11" t="b">
        <f aca="false">AND(ISNUMBER(F698),F698&gt;0,ISNUMBER(G698),G698&gt;=0,ISNUMBER(H698),H698&gt;=0)</f>
        <v>1</v>
      </c>
      <c r="S698" s="13" t="n">
        <f aca="false">IF(R698,100*I698/F698,"")</f>
        <v>1.61363636363636</v>
      </c>
      <c r="T698" s="11" t="b">
        <f aca="false">NOT(AND(OR(AND(ISBLANK(RawFinancials!B698),ISBLANK(_RawBaseline!B695)),AND(ISNUMBER(RawFinancials!B698),ISNUMBER(_RawBaseline!B695),RawFinancials!B698=_RawBaseline!B695)),OR(AND(ISBLANK(RawFinancials!U698),ISBLANK(_RawBaseline!U695)),AND(ISNUMBER(RawFinancials!U698),ISNUMBER(_RawBaseline!U695),RawFinancials!U698=_RawBaseline!U695)),OR(AND(ISBLANK(RawFinancials!O698),ISBLANK(_RawBaseline!O695)),AND(ISNUMBER(RawFinancials!O698),ISNUMBER(_RawBaseline!O695),RawFinancials!O698=_RawBaseline!O695))))</f>
        <v>0</v>
      </c>
      <c r="U698" s="13" t="n">
        <f aca="false">IF(AND(D698=WF_START_PERIOD,R698,COUNTIFS($B$5:$B$750,B698,$D$5:$D$750,WF_END_PERIOD,$R$5:$R$750,TRUE())&gt;0),SUMIFS($S$5:$S$750,$B$5:$B$750,B698,$D$5:$D$750,WF_END_PERIOD,$R$5:$R$750,TRUE()),0)</f>
        <v>0</v>
      </c>
      <c r="V698" s="0" t="str">
        <f aca="false">IF(AND(D698=WF_START_PERIOD,COUNTIFS($B$5:$B$750,B698,$D$5:$D$750,WF_END_PERIOD)&gt;0),INDEX($E$5:$E$750,MATCH(B698&amp;"|"&amp;WF_END_PERIOD,$AC$5:$AC$750,0)),"")</f>
        <v/>
      </c>
      <c r="W698" s="11" t="b">
        <f aca="false">COUNTIFS($B$5:$B$750,B698,$D$5:$D$750,WF_START_PERIOD,$R$5:$R$750,TRUE())&gt;0</f>
        <v>1</v>
      </c>
      <c r="X698" s="11" t="b">
        <f aca="false">COUNTIFS($B$5:$B$750,B698,$D$5:$D$750,WF_END_PERIOD,$R$5:$R$750,TRUE())&gt;0</f>
        <v>1</v>
      </c>
      <c r="Y698" s="0" t="str">
        <f aca="false">IF(AND(D698=WF_END_PERIOD,COUNTIFS($B$5:$B$750,B698,$D$5:$D$750,WF_START_PERIOD)&gt;0),INDEX($E$5:$E$750,MATCH(B698&amp;"|"&amp;WF_START_PERIOD,$AC$5:$AC$750,0)),"")</f>
        <v/>
      </c>
      <c r="Z698" s="0" t="str">
        <f aca="false">IF(AND(D698=WF_END_PERIOD,R698),1+COUNTIFS($D$5:$D$750,WF_END_PERIOD,$E$5:$E$750,E698,$R$5:$R$750,TRUE(),$S$5:$S$750,"&gt;"&amp;S698)+COUNTIFS($D$5:$D$750,WF_END_PERIOD,$E$5:$E$750,E698,$R$5:$R$750,TRUE(),$S$5:$S$750,S698,$B$5:$B$750,"&lt;"&amp;B698),"")</f>
        <v/>
      </c>
      <c r="AA698" s="0" t="str">
        <f aca="false">IF(AND(D698=WF_END_PERIOD,R698,Z698&lt;&gt;1),1+COUNTIFS($D$5:$D$750,WF_END_PERIOD,$R$5:$R$750,TRUE(),$Z$5:$Z$750,"&lt;&gt;1",$S$5:$S$750,"&gt;"&amp;S698)+COUNTIFS($D$5:$D$750,WF_END_PERIOD,$R$5:$R$750,TRUE(),$Z$5:$Z$750,"&lt;&gt;1",$S$5:$S$750,S698,$B$5:$B$750,"&lt;"&amp;B698),"")</f>
        <v/>
      </c>
      <c r="AB698" s="11" t="b">
        <f aca="false">OR(D698=WF_START_PERIOD,D698=WF_END_PERIOD)</f>
        <v>0</v>
      </c>
      <c r="AC698" s="0" t="str">
        <f aca="false">B698&amp;"|"&amp;D698</f>
        <v>6280|20250331</v>
      </c>
    </row>
    <row r="699" customFormat="false" ht="15" hidden="false" customHeight="false" outlineLevel="0" collapsed="false">
      <c r="A699" s="0" t="n">
        <f aca="false">RawFinancials!A699</f>
        <v>696</v>
      </c>
      <c r="B699" s="0" t="n">
        <f aca="false">RawFinancials!C699</f>
        <v>11971</v>
      </c>
      <c r="C699" s="0" t="str">
        <f aca="false">RawFinancials!P699</f>
        <v>BAR HARBOR BANK &amp; TRUST</v>
      </c>
      <c r="D699" s="0" t="n">
        <f aca="false">RawFinancials!W699</f>
        <v>20250630</v>
      </c>
      <c r="E699" s="0" t="str">
        <f aca="false">RawFinancials!Z699</f>
        <v>ME</v>
      </c>
      <c r="F699" s="0" t="n">
        <f aca="false">RawFinancials!B699</f>
        <v>4106441</v>
      </c>
      <c r="G699" s="0" t="n">
        <f aca="false">RawFinancials!U699</f>
        <v>429</v>
      </c>
      <c r="H699" s="0" t="n">
        <f aca="false">RawFinancials!O699</f>
        <v>9732</v>
      </c>
      <c r="I699" s="0" t="n">
        <f aca="false">IF(AND(ISNUMBER(G699),ISNUMBER(H699)),G699+H699,"")</f>
        <v>10161</v>
      </c>
      <c r="J699" s="0" t="n">
        <f aca="false">RawFinancials!D699</f>
        <v>3299177</v>
      </c>
      <c r="K699" s="0" t="n">
        <f aca="false">RawFinancials!F699</f>
        <v>503270</v>
      </c>
      <c r="L699" s="0" t="n">
        <f aca="false">RawFinancials!L699</f>
        <v>3155492</v>
      </c>
      <c r="M699" s="0" t="n">
        <f aca="false">RawFinancials!N699</f>
        <v>2795776</v>
      </c>
      <c r="N699" s="13" t="n">
        <f aca="false">RawFinancials!X699</f>
        <v>0.959403059876807</v>
      </c>
      <c r="O699" s="13" t="n">
        <f aca="false">RawFinancials!V699</f>
        <v>13.7235807513042</v>
      </c>
      <c r="P699" s="13" t="n">
        <f aca="false">IF(AND(ISNUMBER(L699),L699&lt;&gt;0,ISNUMBER(M699)),100*M699/L699,"")</f>
        <v>88.6003196965798</v>
      </c>
      <c r="Q699" s="13" t="n">
        <f aca="false">IF(AND(ISNUMBER(F699),F699&lt;&gt;0,ISNUMBER(K699)),100*K699/F699,"")</f>
        <v>12.2556247611983</v>
      </c>
      <c r="R699" s="11" t="b">
        <f aca="false">AND(ISNUMBER(F699),F699&gt;0,ISNUMBER(G699),G699&gt;=0,ISNUMBER(H699),H699&gt;=0)</f>
        <v>1</v>
      </c>
      <c r="S699" s="13" t="n">
        <f aca="false">IF(R699,100*I699/F699,"")</f>
        <v>0.24744054523126</v>
      </c>
      <c r="T699" s="11" t="b">
        <f aca="false">NOT(AND(OR(AND(ISBLANK(RawFinancials!B699),ISBLANK(_RawBaseline!B696)),AND(ISNUMBER(RawFinancials!B699),ISNUMBER(_RawBaseline!B696),RawFinancials!B699=_RawBaseline!B696)),OR(AND(ISBLANK(RawFinancials!U699),ISBLANK(_RawBaseline!U696)),AND(ISNUMBER(RawFinancials!U699),ISNUMBER(_RawBaseline!U696),RawFinancials!U699=_RawBaseline!U696)),OR(AND(ISBLANK(RawFinancials!O699),ISBLANK(_RawBaseline!O696)),AND(ISNUMBER(RawFinancials!O699),ISNUMBER(_RawBaseline!O696),RawFinancials!O699=_RawBaseline!O696))))</f>
        <v>0</v>
      </c>
      <c r="U699" s="13" t="n">
        <f aca="false">IF(AND(D699=WF_START_PERIOD,R699,COUNTIFS($B$5:$B$750,B699,$D$5:$D$750,WF_END_PERIOD,$R$5:$R$750,TRUE())&gt;0),SUMIFS($S$5:$S$750,$B$5:$B$750,B699,$D$5:$D$750,WF_END_PERIOD,$R$5:$R$750,TRUE()),0)</f>
        <v>0</v>
      </c>
      <c r="V699" s="0" t="str">
        <f aca="false">IF(AND(D699=WF_START_PERIOD,COUNTIFS($B$5:$B$750,B699,$D$5:$D$750,WF_END_PERIOD)&gt;0),INDEX($E$5:$E$750,MATCH(B699&amp;"|"&amp;WF_END_PERIOD,$AC$5:$AC$750,0)),"")</f>
        <v/>
      </c>
      <c r="W699" s="11" t="b">
        <f aca="false">COUNTIFS($B$5:$B$750,B699,$D$5:$D$750,WF_START_PERIOD,$R$5:$R$750,TRUE())&gt;0</f>
        <v>1</v>
      </c>
      <c r="X699" s="11" t="b">
        <f aca="false">COUNTIFS($B$5:$B$750,B699,$D$5:$D$750,WF_END_PERIOD,$R$5:$R$750,TRUE())&gt;0</f>
        <v>1</v>
      </c>
      <c r="Y699" s="0" t="str">
        <f aca="false">IF(AND(D699=WF_END_PERIOD,COUNTIFS($B$5:$B$750,B699,$D$5:$D$750,WF_START_PERIOD)&gt;0),INDEX($E$5:$E$750,MATCH(B699&amp;"|"&amp;WF_START_PERIOD,$AC$5:$AC$750,0)),"")</f>
        <v>ME</v>
      </c>
      <c r="Z699" s="0" t="n">
        <f aca="false">IF(AND(D699=WF_END_PERIOD,R699),1+COUNTIFS($D$5:$D$750,WF_END_PERIOD,$E$5:$E$750,E699,$R$5:$R$750,TRUE(),$S$5:$S$750,"&gt;"&amp;S699)+COUNTIFS($D$5:$D$750,WF_END_PERIOD,$E$5:$E$750,E699,$R$5:$R$750,TRUE(),$S$5:$S$750,S699,$B$5:$B$750,"&lt;"&amp;B699),"")</f>
        <v>12</v>
      </c>
      <c r="AA699" s="0" t="n">
        <f aca="false">IF(AND(D699=WF_END_PERIOD,R699,Z699&lt;&gt;1),1+COUNTIFS($D$5:$D$750,WF_END_PERIOD,$R$5:$R$750,TRUE(),$Z$5:$Z$750,"&lt;&gt;1",$S$5:$S$750,"&gt;"&amp;S699)+COUNTIFS($D$5:$D$750,WF_END_PERIOD,$R$5:$R$750,TRUE(),$Z$5:$Z$750,"&lt;&gt;1",$S$5:$S$750,S699,$B$5:$B$750,"&lt;"&amp;B699),"")</f>
        <v>25</v>
      </c>
      <c r="AB699" s="11" t="b">
        <f aca="false">OR(D699=WF_START_PERIOD,D699=WF_END_PERIOD)</f>
        <v>1</v>
      </c>
      <c r="AC699" s="0" t="str">
        <f aca="false">B699&amp;"|"&amp;D699</f>
        <v>11971|20250630</v>
      </c>
    </row>
    <row r="700" customFormat="false" ht="15" hidden="false" customHeight="false" outlineLevel="0" collapsed="false">
      <c r="A700" s="0" t="n">
        <f aca="false">RawFinancials!A700</f>
        <v>697</v>
      </c>
      <c r="B700" s="0" t="n">
        <f aca="false">RawFinancials!C700</f>
        <v>12874</v>
      </c>
      <c r="C700" s="0" t="str">
        <f aca="false">RawFinancials!P700</f>
        <v>KATAHDIN TRUST COMPANY</v>
      </c>
      <c r="D700" s="0" t="n">
        <f aca="false">RawFinancials!W700</f>
        <v>20250630</v>
      </c>
      <c r="E700" s="0" t="str">
        <f aca="false">RawFinancials!Z700</f>
        <v>ME</v>
      </c>
      <c r="F700" s="0" t="n">
        <f aca="false">RawFinancials!B700</f>
        <v>1085692</v>
      </c>
      <c r="G700" s="0" t="n">
        <f aca="false">RawFinancials!U700</f>
        <v>0</v>
      </c>
      <c r="H700" s="0" t="n">
        <f aca="false">RawFinancials!O700</f>
        <v>1392</v>
      </c>
      <c r="I700" s="0" t="n">
        <f aca="false">IF(AND(ISNUMBER(G700),ISNUMBER(H700)),G700+H700,"")</f>
        <v>1392</v>
      </c>
      <c r="J700" s="0" t="n">
        <f aca="false">RawFinancials!D700</f>
        <v>934861</v>
      </c>
      <c r="K700" s="0" t="n">
        <f aca="false">RawFinancials!F700</f>
        <v>100553</v>
      </c>
      <c r="L700" s="0" t="n">
        <f aca="false">RawFinancials!L700</f>
        <v>846746</v>
      </c>
      <c r="M700" s="0" t="n">
        <f aca="false">RawFinancials!N700</f>
        <v>669261</v>
      </c>
      <c r="N700" s="13" t="n">
        <f aca="false">RawFinancials!X700</f>
        <v>0.938648973217796</v>
      </c>
      <c r="O700" s="13" t="n">
        <f aca="false">RawFinancials!V700</f>
        <v>14.3096445878642</v>
      </c>
      <c r="P700" s="13" t="n">
        <f aca="false">IF(AND(ISNUMBER(L700),L700&lt;&gt;0,ISNUMBER(M700)),100*M700/L700,"")</f>
        <v>79.0391687708002</v>
      </c>
      <c r="Q700" s="13" t="n">
        <f aca="false">IF(AND(ISNUMBER(F700),F700&lt;&gt;0,ISNUMBER(K700)),100*K700/F700,"")</f>
        <v>9.26165063388143</v>
      </c>
      <c r="R700" s="11" t="b">
        <f aca="false">AND(ISNUMBER(F700),F700&gt;0,ISNUMBER(G700),G700&gt;=0,ISNUMBER(H700),H700&gt;=0)</f>
        <v>1</v>
      </c>
      <c r="S700" s="13" t="n">
        <f aca="false">IF(R700,100*I700/F700,"")</f>
        <v>0.12821315805956</v>
      </c>
      <c r="T700" s="11" t="b">
        <f aca="false">NOT(AND(OR(AND(ISBLANK(RawFinancials!B700),ISBLANK(_RawBaseline!B697)),AND(ISNUMBER(RawFinancials!B700),ISNUMBER(_RawBaseline!B697),RawFinancials!B700=_RawBaseline!B697)),OR(AND(ISBLANK(RawFinancials!U700),ISBLANK(_RawBaseline!U697)),AND(ISNUMBER(RawFinancials!U700),ISNUMBER(_RawBaseline!U697),RawFinancials!U700=_RawBaseline!U697)),OR(AND(ISBLANK(RawFinancials!O700),ISBLANK(_RawBaseline!O697)),AND(ISNUMBER(RawFinancials!O700),ISNUMBER(_RawBaseline!O697),RawFinancials!O700=_RawBaseline!O697))))</f>
        <v>0</v>
      </c>
      <c r="U700" s="13" t="n">
        <f aca="false">IF(AND(D700=WF_START_PERIOD,R700,COUNTIFS($B$5:$B$750,B700,$D$5:$D$750,WF_END_PERIOD,$R$5:$R$750,TRUE())&gt;0),SUMIFS($S$5:$S$750,$B$5:$B$750,B700,$D$5:$D$750,WF_END_PERIOD,$R$5:$R$750,TRUE()),0)</f>
        <v>0</v>
      </c>
      <c r="V700" s="0" t="str">
        <f aca="false">IF(AND(D700=WF_START_PERIOD,COUNTIFS($B$5:$B$750,B700,$D$5:$D$750,WF_END_PERIOD)&gt;0),INDEX($E$5:$E$750,MATCH(B700&amp;"|"&amp;WF_END_PERIOD,$AC$5:$AC$750,0)),"")</f>
        <v/>
      </c>
      <c r="W700" s="11" t="b">
        <f aca="false">COUNTIFS($B$5:$B$750,B700,$D$5:$D$750,WF_START_PERIOD,$R$5:$R$750,TRUE())&gt;0</f>
        <v>1</v>
      </c>
      <c r="X700" s="11" t="b">
        <f aca="false">COUNTIFS($B$5:$B$750,B700,$D$5:$D$750,WF_END_PERIOD,$R$5:$R$750,TRUE())&gt;0</f>
        <v>1</v>
      </c>
      <c r="Y700" s="0" t="str">
        <f aca="false">IF(AND(D700=WF_END_PERIOD,COUNTIFS($B$5:$B$750,B700,$D$5:$D$750,WF_START_PERIOD)&gt;0),INDEX($E$5:$E$750,MATCH(B700&amp;"|"&amp;WF_START_PERIOD,$AC$5:$AC$750,0)),"")</f>
        <v>ME</v>
      </c>
      <c r="Z700" s="0" t="n">
        <f aca="false">IF(AND(D700=WF_END_PERIOD,R700),1+COUNTIFS($D$5:$D$750,WF_END_PERIOD,$E$5:$E$750,E700,$R$5:$R$750,TRUE(),$S$5:$S$750,"&gt;"&amp;S700)+COUNTIFS($D$5:$D$750,WF_END_PERIOD,$E$5:$E$750,E700,$R$5:$R$750,TRUE(),$S$5:$S$750,S700,$B$5:$B$750,"&lt;"&amp;B700),"")</f>
        <v>17</v>
      </c>
      <c r="AA700" s="0" t="n">
        <f aca="false">IF(AND(D700=WF_END_PERIOD,R700,Z700&lt;&gt;1),1+COUNTIFS($D$5:$D$750,WF_END_PERIOD,$R$5:$R$750,TRUE(),$Z$5:$Z$750,"&lt;&gt;1",$S$5:$S$750,"&gt;"&amp;S700)+COUNTIFS($D$5:$D$750,WF_END_PERIOD,$R$5:$R$750,TRUE(),$Z$5:$Z$750,"&lt;&gt;1",$S$5:$S$750,S700,$B$5:$B$750,"&lt;"&amp;B700),"")</f>
        <v>31</v>
      </c>
      <c r="AB700" s="11" t="b">
        <f aca="false">OR(D700=WF_START_PERIOD,D700=WF_END_PERIOD)</f>
        <v>1</v>
      </c>
      <c r="AC700" s="0" t="str">
        <f aca="false">B700&amp;"|"&amp;D700</f>
        <v>12874|20250630</v>
      </c>
    </row>
    <row r="701" customFormat="false" ht="15" hidden="false" customHeight="false" outlineLevel="0" collapsed="false">
      <c r="A701" s="0" t="n">
        <f aca="false">RawFinancials!A701</f>
        <v>698</v>
      </c>
      <c r="B701" s="0" t="n">
        <f aca="false">RawFinancials!C701</f>
        <v>13063</v>
      </c>
      <c r="C701" s="0" t="str">
        <f aca="false">RawFinancials!P701</f>
        <v>KENNEBUNK SAVINGS BANK</v>
      </c>
      <c r="D701" s="0" t="n">
        <f aca="false">RawFinancials!W701</f>
        <v>20250630</v>
      </c>
      <c r="E701" s="0" t="str">
        <f aca="false">RawFinancials!Z701</f>
        <v>ME</v>
      </c>
      <c r="F701" s="0" t="n">
        <f aca="false">RawFinancials!B701</f>
        <v>1933479</v>
      </c>
      <c r="G701" s="0" t="n">
        <f aca="false">RawFinancials!U701</f>
        <v>183</v>
      </c>
      <c r="H701" s="0" t="n">
        <f aca="false">RawFinancials!O701</f>
        <v>2263</v>
      </c>
      <c r="I701" s="0" t="n">
        <f aca="false">IF(AND(ISNUMBER(G701),ISNUMBER(H701)),G701+H701,"")</f>
        <v>2446</v>
      </c>
      <c r="J701" s="0" t="n">
        <f aca="false">RawFinancials!D701</f>
        <v>1642187</v>
      </c>
      <c r="K701" s="0" t="n">
        <f aca="false">RawFinancials!F701</f>
        <v>165281</v>
      </c>
      <c r="L701" s="0" t="n">
        <f aca="false">RawFinancials!L701</f>
        <v>1559292</v>
      </c>
      <c r="M701" s="0" t="n">
        <f aca="false">RawFinancials!N701</f>
        <v>1474935</v>
      </c>
      <c r="N701" s="13" t="n">
        <f aca="false">RawFinancials!X701</f>
        <v>0.621034232657182</v>
      </c>
      <c r="O701" s="13" t="n">
        <f aca="false">RawFinancials!V701</f>
        <v>0</v>
      </c>
      <c r="P701" s="13" t="n">
        <f aca="false">IF(AND(ISNUMBER(L701),L701&lt;&gt;0,ISNUMBER(M701)),100*M701/L701,"")</f>
        <v>94.5900447126003</v>
      </c>
      <c r="Q701" s="13" t="n">
        <f aca="false">IF(AND(ISNUMBER(F701),F701&lt;&gt;0,ISNUMBER(K701)),100*K701/F701,"")</f>
        <v>8.548373165677</v>
      </c>
      <c r="R701" s="11" t="b">
        <f aca="false">AND(ISNUMBER(F701),F701&gt;0,ISNUMBER(G701),G701&gt;=0,ISNUMBER(H701),H701&gt;=0)</f>
        <v>1</v>
      </c>
      <c r="S701" s="13" t="n">
        <f aca="false">IF(R701,100*I701/F701,"")</f>
        <v>0.126507709677736</v>
      </c>
      <c r="T701" s="11" t="b">
        <f aca="false">NOT(AND(OR(AND(ISBLANK(RawFinancials!B701),ISBLANK(_RawBaseline!B698)),AND(ISNUMBER(RawFinancials!B701),ISNUMBER(_RawBaseline!B698),RawFinancials!B701=_RawBaseline!B698)),OR(AND(ISBLANK(RawFinancials!U701),ISBLANK(_RawBaseline!U698)),AND(ISNUMBER(RawFinancials!U701),ISNUMBER(_RawBaseline!U698),RawFinancials!U701=_RawBaseline!U698)),OR(AND(ISBLANK(RawFinancials!O701),ISBLANK(_RawBaseline!O698)),AND(ISNUMBER(RawFinancials!O701),ISNUMBER(_RawBaseline!O698),RawFinancials!O701=_RawBaseline!O698))))</f>
        <v>0</v>
      </c>
      <c r="U701" s="13" t="n">
        <f aca="false">IF(AND(D701=WF_START_PERIOD,R701,COUNTIFS($B$5:$B$750,B701,$D$5:$D$750,WF_END_PERIOD,$R$5:$R$750,TRUE())&gt;0),SUMIFS($S$5:$S$750,$B$5:$B$750,B701,$D$5:$D$750,WF_END_PERIOD,$R$5:$R$750,TRUE()),0)</f>
        <v>0</v>
      </c>
      <c r="V701" s="0" t="str">
        <f aca="false">IF(AND(D701=WF_START_PERIOD,COUNTIFS($B$5:$B$750,B701,$D$5:$D$750,WF_END_PERIOD)&gt;0),INDEX($E$5:$E$750,MATCH(B701&amp;"|"&amp;WF_END_PERIOD,$AC$5:$AC$750,0)),"")</f>
        <v/>
      </c>
      <c r="W701" s="11" t="b">
        <f aca="false">COUNTIFS($B$5:$B$750,B701,$D$5:$D$750,WF_START_PERIOD,$R$5:$R$750,TRUE())&gt;0</f>
        <v>1</v>
      </c>
      <c r="X701" s="11" t="b">
        <f aca="false">COUNTIFS($B$5:$B$750,B701,$D$5:$D$750,WF_END_PERIOD,$R$5:$R$750,TRUE())&gt;0</f>
        <v>1</v>
      </c>
      <c r="Y701" s="0" t="str">
        <f aca="false">IF(AND(D701=WF_END_PERIOD,COUNTIFS($B$5:$B$750,B701,$D$5:$D$750,WF_START_PERIOD)&gt;0),INDEX($E$5:$E$750,MATCH(B701&amp;"|"&amp;WF_START_PERIOD,$AC$5:$AC$750,0)),"")</f>
        <v>ME</v>
      </c>
      <c r="Z701" s="0" t="n">
        <f aca="false">IF(AND(D701=WF_END_PERIOD,R701),1+COUNTIFS($D$5:$D$750,WF_END_PERIOD,$E$5:$E$750,E701,$R$5:$R$750,TRUE(),$S$5:$S$750,"&gt;"&amp;S701)+COUNTIFS($D$5:$D$750,WF_END_PERIOD,$E$5:$E$750,E701,$R$5:$R$750,TRUE(),$S$5:$S$750,S701,$B$5:$B$750,"&lt;"&amp;B701),"")</f>
        <v>18</v>
      </c>
      <c r="AA701" s="0" t="n">
        <f aca="false">IF(AND(D701=WF_END_PERIOD,R701,Z701&lt;&gt;1),1+COUNTIFS($D$5:$D$750,WF_END_PERIOD,$R$5:$R$750,TRUE(),$Z$5:$Z$750,"&lt;&gt;1",$S$5:$S$750,"&gt;"&amp;S701)+COUNTIFS($D$5:$D$750,WF_END_PERIOD,$R$5:$R$750,TRUE(),$Z$5:$Z$750,"&lt;&gt;1",$S$5:$S$750,S701,$B$5:$B$750,"&lt;"&amp;B701),"")</f>
        <v>32</v>
      </c>
      <c r="AB701" s="11" t="b">
        <f aca="false">OR(D701=WF_START_PERIOD,D701=WF_END_PERIOD)</f>
        <v>1</v>
      </c>
      <c r="AC701" s="0" t="str">
        <f aca="false">B701&amp;"|"&amp;D701</f>
        <v>13063|20250630</v>
      </c>
    </row>
    <row r="702" customFormat="false" ht="15" hidden="false" customHeight="false" outlineLevel="0" collapsed="false">
      <c r="A702" s="0" t="n">
        <f aca="false">RawFinancials!A702</f>
        <v>699</v>
      </c>
      <c r="B702" s="0" t="n">
        <f aca="false">RawFinancials!C702</f>
        <v>14134</v>
      </c>
      <c r="C702" s="0" t="str">
        <f aca="false">RawFinancials!P702</f>
        <v>PASSUMPSIC SAVINGS BANK</v>
      </c>
      <c r="D702" s="0" t="n">
        <f aca="false">RawFinancials!W702</f>
        <v>20250630</v>
      </c>
      <c r="E702" s="0" t="str">
        <f aca="false">RawFinancials!Z702</f>
        <v>VT</v>
      </c>
      <c r="F702" s="0" t="n">
        <f aca="false">RawFinancials!B702</f>
        <v>882477</v>
      </c>
      <c r="G702" s="0" t="n">
        <f aca="false">RawFinancials!U702</f>
        <v>0</v>
      </c>
      <c r="H702" s="0" t="n">
        <f aca="false">RawFinancials!O702</f>
        <v>2713</v>
      </c>
      <c r="I702" s="0" t="n">
        <f aca="false">IF(AND(ISNUMBER(G702),ISNUMBER(H702)),G702+H702,"")</f>
        <v>2713</v>
      </c>
      <c r="J702" s="0" t="n">
        <f aca="false">RawFinancials!D702</f>
        <v>701612</v>
      </c>
      <c r="K702" s="0" t="n">
        <f aca="false">RawFinancials!F702</f>
        <v>116115</v>
      </c>
      <c r="L702" s="0" t="n">
        <f aca="false">RawFinancials!L702</f>
        <v>634955</v>
      </c>
      <c r="M702" s="0" t="n">
        <f aca="false">RawFinancials!N702</f>
        <v>566443</v>
      </c>
      <c r="N702" s="13" t="n">
        <f aca="false">RawFinancials!X702</f>
        <v>0.610195299395189</v>
      </c>
      <c r="O702" s="13" t="n">
        <f aca="false">RawFinancials!V702</f>
        <v>20.6017342528864</v>
      </c>
      <c r="P702" s="13" t="n">
        <f aca="false">IF(AND(ISNUMBER(L702),L702&lt;&gt;0,ISNUMBER(M702)),100*M702/L702,"")</f>
        <v>89.2099440117804</v>
      </c>
      <c r="Q702" s="13" t="n">
        <f aca="false">IF(AND(ISNUMBER(F702),F702&lt;&gt;0,ISNUMBER(K702)),100*K702/F702,"")</f>
        <v>13.1578500062891</v>
      </c>
      <c r="R702" s="11" t="b">
        <f aca="false">AND(ISNUMBER(F702),F702&gt;0,ISNUMBER(G702),G702&gt;=0,ISNUMBER(H702),H702&gt;=0)</f>
        <v>1</v>
      </c>
      <c r="S702" s="13" t="n">
        <f aca="false">IF(R702,100*I702/F702,"")</f>
        <v>0.307430108660056</v>
      </c>
      <c r="T702" s="11" t="b">
        <f aca="false">NOT(AND(OR(AND(ISBLANK(RawFinancials!B702),ISBLANK(_RawBaseline!B699)),AND(ISNUMBER(RawFinancials!B702),ISNUMBER(_RawBaseline!B699),RawFinancials!B702=_RawBaseline!B699)),OR(AND(ISBLANK(RawFinancials!U702),ISBLANK(_RawBaseline!U699)),AND(ISNUMBER(RawFinancials!U702),ISNUMBER(_RawBaseline!U699),RawFinancials!U702=_RawBaseline!U699)),OR(AND(ISBLANK(RawFinancials!O702),ISBLANK(_RawBaseline!O699)),AND(ISNUMBER(RawFinancials!O702),ISNUMBER(_RawBaseline!O699),RawFinancials!O702=_RawBaseline!O699))))</f>
        <v>0</v>
      </c>
      <c r="U702" s="13" t="n">
        <f aca="false">IF(AND(D702=WF_START_PERIOD,R702,COUNTIFS($B$5:$B$750,B702,$D$5:$D$750,WF_END_PERIOD,$R$5:$R$750,TRUE())&gt;0),SUMIFS($S$5:$S$750,$B$5:$B$750,B702,$D$5:$D$750,WF_END_PERIOD,$R$5:$R$750,TRUE()),0)</f>
        <v>0</v>
      </c>
      <c r="V702" s="0" t="str">
        <f aca="false">IF(AND(D702=WF_START_PERIOD,COUNTIFS($B$5:$B$750,B702,$D$5:$D$750,WF_END_PERIOD)&gt;0),INDEX($E$5:$E$750,MATCH(B702&amp;"|"&amp;WF_END_PERIOD,$AC$5:$AC$750,0)),"")</f>
        <v/>
      </c>
      <c r="W702" s="11" t="b">
        <f aca="false">COUNTIFS($B$5:$B$750,B702,$D$5:$D$750,WF_START_PERIOD,$R$5:$R$750,TRUE())&gt;0</f>
        <v>1</v>
      </c>
      <c r="X702" s="11" t="b">
        <f aca="false">COUNTIFS($B$5:$B$750,B702,$D$5:$D$750,WF_END_PERIOD,$R$5:$R$750,TRUE())&gt;0</f>
        <v>1</v>
      </c>
      <c r="Y702" s="0" t="str">
        <f aca="false">IF(AND(D702=WF_END_PERIOD,COUNTIFS($B$5:$B$750,B702,$D$5:$D$750,WF_START_PERIOD)&gt;0),INDEX($E$5:$E$750,MATCH(B702&amp;"|"&amp;WF_START_PERIOD,$AC$5:$AC$750,0)),"")</f>
        <v>VT</v>
      </c>
      <c r="Z702" s="0" t="n">
        <f aca="false">IF(AND(D702=WF_END_PERIOD,R702),1+COUNTIFS($D$5:$D$750,WF_END_PERIOD,$E$5:$E$750,E702,$R$5:$R$750,TRUE(),$S$5:$S$750,"&gt;"&amp;S702)+COUNTIFS($D$5:$D$750,WF_END_PERIOD,$E$5:$E$750,E702,$R$5:$R$750,TRUE(),$S$5:$S$750,S702,$B$5:$B$750,"&lt;"&amp;B702),"")</f>
        <v>6</v>
      </c>
      <c r="AA702" s="0" t="n">
        <f aca="false">IF(AND(D702=WF_END_PERIOD,R702,Z702&lt;&gt;1),1+COUNTIFS($D$5:$D$750,WF_END_PERIOD,$R$5:$R$750,TRUE(),$Z$5:$Z$750,"&lt;&gt;1",$S$5:$S$750,"&gt;"&amp;S702)+COUNTIFS($D$5:$D$750,WF_END_PERIOD,$R$5:$R$750,TRUE(),$Z$5:$Z$750,"&lt;&gt;1",$S$5:$S$750,S702,$B$5:$B$750,"&lt;"&amp;B702),"")</f>
        <v>20</v>
      </c>
      <c r="AB702" s="11" t="b">
        <f aca="false">OR(D702=WF_START_PERIOD,D702=WF_END_PERIOD)</f>
        <v>1</v>
      </c>
      <c r="AC702" s="0" t="str">
        <f aca="false">B702&amp;"|"&amp;D702</f>
        <v>14134|20250630</v>
      </c>
    </row>
    <row r="703" customFormat="false" ht="15" hidden="false" customHeight="false" outlineLevel="0" collapsed="false">
      <c r="A703" s="0" t="n">
        <f aca="false">RawFinancials!A703</f>
        <v>700</v>
      </c>
      <c r="B703" s="0" t="n">
        <f aca="false">RawFinancials!C703</f>
        <v>14136</v>
      </c>
      <c r="C703" s="0" t="str">
        <f aca="false">RawFinancials!P703</f>
        <v>WELLS RIVER SAVINGS BANK</v>
      </c>
      <c r="D703" s="0" t="n">
        <f aca="false">RawFinancials!W703</f>
        <v>20250630</v>
      </c>
      <c r="E703" s="0" t="str">
        <f aca="false">RawFinancials!Z703</f>
        <v>VT</v>
      </c>
      <c r="F703" s="0" t="n">
        <f aca="false">RawFinancials!B703</f>
        <v>247991</v>
      </c>
      <c r="G703" s="0" t="n">
        <f aca="false">RawFinancials!U703</f>
        <v>534</v>
      </c>
      <c r="H703" s="0" t="n">
        <f aca="false">RawFinancials!O703</f>
        <v>543</v>
      </c>
      <c r="I703" s="0" t="n">
        <f aca="false">IF(AND(ISNUMBER(G703),ISNUMBER(H703)),G703+H703,"")</f>
        <v>1077</v>
      </c>
      <c r="J703" s="0" t="n">
        <f aca="false">RawFinancials!D703</f>
        <v>212734</v>
      </c>
      <c r="K703" s="0" t="n">
        <f aca="false">RawFinancials!F703</f>
        <v>20696</v>
      </c>
      <c r="L703" s="0" t="n">
        <f aca="false">RawFinancials!L703</f>
        <v>165788</v>
      </c>
      <c r="M703" s="0" t="n">
        <f aca="false">RawFinancials!N703</f>
        <v>133756</v>
      </c>
      <c r="N703" s="13" t="n">
        <f aca="false">RawFinancials!X703</f>
        <v>0.601654965518099</v>
      </c>
      <c r="O703" s="13" t="n">
        <f aca="false">RawFinancials!V703</f>
        <v>17.6574017718266</v>
      </c>
      <c r="P703" s="13" t="n">
        <f aca="false">IF(AND(ISNUMBER(L703),L703&lt;&gt;0,ISNUMBER(M703)),100*M703/L703,"")</f>
        <v>80.6789393683499</v>
      </c>
      <c r="Q703" s="13" t="n">
        <f aca="false">IF(AND(ISNUMBER(F703),F703&lt;&gt;0,ISNUMBER(K703)),100*K703/F703,"")</f>
        <v>8.34546414990867</v>
      </c>
      <c r="R703" s="11" t="b">
        <f aca="false">AND(ISNUMBER(F703),F703&gt;0,ISNUMBER(G703),G703&gt;=0,ISNUMBER(H703),H703&gt;=0)</f>
        <v>1</v>
      </c>
      <c r="S703" s="13" t="n">
        <f aca="false">IF(R703,100*I703/F703,"")</f>
        <v>0.434289954070914</v>
      </c>
      <c r="T703" s="11" t="b">
        <f aca="false">NOT(AND(OR(AND(ISBLANK(RawFinancials!B703),ISBLANK(_RawBaseline!B700)),AND(ISNUMBER(RawFinancials!B703),ISNUMBER(_RawBaseline!B700),RawFinancials!B703=_RawBaseline!B700)),OR(AND(ISBLANK(RawFinancials!U703),ISBLANK(_RawBaseline!U700)),AND(ISNUMBER(RawFinancials!U703),ISNUMBER(_RawBaseline!U700),RawFinancials!U703=_RawBaseline!U700)),OR(AND(ISBLANK(RawFinancials!O703),ISBLANK(_RawBaseline!O700)),AND(ISNUMBER(RawFinancials!O703),ISNUMBER(_RawBaseline!O700),RawFinancials!O703=_RawBaseline!O700))))</f>
        <v>0</v>
      </c>
      <c r="U703" s="13" t="n">
        <f aca="false">IF(AND(D703=WF_START_PERIOD,R703,COUNTIFS($B$5:$B$750,B703,$D$5:$D$750,WF_END_PERIOD,$R$5:$R$750,TRUE())&gt;0),SUMIFS($S$5:$S$750,$B$5:$B$750,B703,$D$5:$D$750,WF_END_PERIOD,$R$5:$R$750,TRUE()),0)</f>
        <v>0</v>
      </c>
      <c r="V703" s="0" t="str">
        <f aca="false">IF(AND(D703=WF_START_PERIOD,COUNTIFS($B$5:$B$750,B703,$D$5:$D$750,WF_END_PERIOD)&gt;0),INDEX($E$5:$E$750,MATCH(B703&amp;"|"&amp;WF_END_PERIOD,$AC$5:$AC$750,0)),"")</f>
        <v/>
      </c>
      <c r="W703" s="11" t="b">
        <f aca="false">COUNTIFS($B$5:$B$750,B703,$D$5:$D$750,WF_START_PERIOD,$R$5:$R$750,TRUE())&gt;0</f>
        <v>1</v>
      </c>
      <c r="X703" s="11" t="b">
        <f aca="false">COUNTIFS($B$5:$B$750,B703,$D$5:$D$750,WF_END_PERIOD,$R$5:$R$750,TRUE())&gt;0</f>
        <v>1</v>
      </c>
      <c r="Y703" s="0" t="str">
        <f aca="false">IF(AND(D703=WF_END_PERIOD,COUNTIFS($B$5:$B$750,B703,$D$5:$D$750,WF_START_PERIOD)&gt;0),INDEX($E$5:$E$750,MATCH(B703&amp;"|"&amp;WF_START_PERIOD,$AC$5:$AC$750,0)),"")</f>
        <v>VT</v>
      </c>
      <c r="Z703" s="0" t="n">
        <f aca="false">IF(AND(D703=WF_END_PERIOD,R703),1+COUNTIFS($D$5:$D$750,WF_END_PERIOD,$E$5:$E$750,E703,$R$5:$R$750,TRUE(),$S$5:$S$750,"&gt;"&amp;S703)+COUNTIFS($D$5:$D$750,WF_END_PERIOD,$E$5:$E$750,E703,$R$5:$R$750,TRUE(),$S$5:$S$750,S703,$B$5:$B$750,"&lt;"&amp;B703),"")</f>
        <v>5</v>
      </c>
      <c r="AA703" s="0" t="n">
        <f aca="false">IF(AND(D703=WF_END_PERIOD,R703,Z703&lt;&gt;1),1+COUNTIFS($D$5:$D$750,WF_END_PERIOD,$R$5:$R$750,TRUE(),$Z$5:$Z$750,"&lt;&gt;1",$S$5:$S$750,"&gt;"&amp;S703)+COUNTIFS($D$5:$D$750,WF_END_PERIOD,$R$5:$R$750,TRUE(),$Z$5:$Z$750,"&lt;&gt;1",$S$5:$S$750,S703,$B$5:$B$750,"&lt;"&amp;B703),"")</f>
        <v>13</v>
      </c>
      <c r="AB703" s="11" t="b">
        <f aca="false">OR(D703=WF_START_PERIOD,D703=WF_END_PERIOD)</f>
        <v>1</v>
      </c>
      <c r="AC703" s="0" t="str">
        <f aca="false">B703&amp;"|"&amp;D703</f>
        <v>14136|20250630</v>
      </c>
    </row>
    <row r="704" customFormat="false" ht="15" hidden="false" customHeight="false" outlineLevel="0" collapsed="false">
      <c r="A704" s="0" t="n">
        <f aca="false">RawFinancials!A704</f>
        <v>701</v>
      </c>
      <c r="B704" s="0" t="n">
        <f aca="false">RawFinancials!C704</f>
        <v>14140</v>
      </c>
      <c r="C704" s="0" t="str">
        <f aca="false">RawFinancials!P704</f>
        <v>NORTHFIELD SAVINGS BANK</v>
      </c>
      <c r="D704" s="0" t="n">
        <f aca="false">RawFinancials!W704</f>
        <v>20250630</v>
      </c>
      <c r="E704" s="0" t="str">
        <f aca="false">RawFinancials!Z704</f>
        <v>VT</v>
      </c>
      <c r="F704" s="0" t="n">
        <f aca="false">RawFinancials!B704</f>
        <v>1560737</v>
      </c>
      <c r="G704" s="0" t="n">
        <f aca="false">RawFinancials!U704</f>
        <v>0</v>
      </c>
      <c r="H704" s="0" t="n">
        <f aca="false">RawFinancials!O704</f>
        <v>7436</v>
      </c>
      <c r="I704" s="0" t="n">
        <f aca="false">IF(AND(ISNUMBER(G704),ISNUMBER(H704)),G704+H704,"")</f>
        <v>7436</v>
      </c>
      <c r="J704" s="0" t="n">
        <f aca="false">RawFinancials!D704</f>
        <v>1280949</v>
      </c>
      <c r="K704" s="0" t="n">
        <f aca="false">RawFinancials!F704</f>
        <v>142689</v>
      </c>
      <c r="L704" s="0" t="n">
        <f aca="false">RawFinancials!L704</f>
        <v>1105150</v>
      </c>
      <c r="M704" s="0" t="n">
        <f aca="false">RawFinancials!N704</f>
        <v>976988</v>
      </c>
      <c r="N704" s="13" t="n">
        <f aca="false">RawFinancials!X704</f>
        <v>0.319216663443552</v>
      </c>
      <c r="O704" s="13" t="n">
        <f aca="false">RawFinancials!V704</f>
        <v>0</v>
      </c>
      <c r="P704" s="13" t="n">
        <f aca="false">IF(AND(ISNUMBER(L704),L704&lt;&gt;0,ISNUMBER(M704)),100*M704/L704,"")</f>
        <v>88.403203185088</v>
      </c>
      <c r="Q704" s="13" t="n">
        <f aca="false">IF(AND(ISNUMBER(F704),F704&lt;&gt;0,ISNUMBER(K704)),100*K704/F704,"")</f>
        <v>9.14241156581795</v>
      </c>
      <c r="R704" s="11" t="b">
        <f aca="false">AND(ISNUMBER(F704),F704&gt;0,ISNUMBER(G704),G704&gt;=0,ISNUMBER(H704),H704&gt;=0)</f>
        <v>1</v>
      </c>
      <c r="S704" s="13" t="n">
        <f aca="false">IF(R704,100*I704/F704,"")</f>
        <v>0.476441578561923</v>
      </c>
      <c r="T704" s="11" t="b">
        <f aca="false">NOT(AND(OR(AND(ISBLANK(RawFinancials!B704),ISBLANK(_RawBaseline!B701)),AND(ISNUMBER(RawFinancials!B704),ISNUMBER(_RawBaseline!B701),RawFinancials!B704=_RawBaseline!B701)),OR(AND(ISBLANK(RawFinancials!U704),ISBLANK(_RawBaseline!U701)),AND(ISNUMBER(RawFinancials!U704),ISNUMBER(_RawBaseline!U701),RawFinancials!U704=_RawBaseline!U701)),OR(AND(ISBLANK(RawFinancials!O704),ISBLANK(_RawBaseline!O701)),AND(ISNUMBER(RawFinancials!O704),ISNUMBER(_RawBaseline!O701),RawFinancials!O704=_RawBaseline!O701))))</f>
        <v>0</v>
      </c>
      <c r="U704" s="13" t="n">
        <f aca="false">IF(AND(D704=WF_START_PERIOD,R704,COUNTIFS($B$5:$B$750,B704,$D$5:$D$750,WF_END_PERIOD,$R$5:$R$750,TRUE())&gt;0),SUMIFS($S$5:$S$750,$B$5:$B$750,B704,$D$5:$D$750,WF_END_PERIOD,$R$5:$R$750,TRUE()),0)</f>
        <v>0</v>
      </c>
      <c r="V704" s="0" t="str">
        <f aca="false">IF(AND(D704=WF_START_PERIOD,COUNTIFS($B$5:$B$750,B704,$D$5:$D$750,WF_END_PERIOD)&gt;0),INDEX($E$5:$E$750,MATCH(B704&amp;"|"&amp;WF_END_PERIOD,$AC$5:$AC$750,0)),"")</f>
        <v/>
      </c>
      <c r="W704" s="11" t="b">
        <f aca="false">COUNTIFS($B$5:$B$750,B704,$D$5:$D$750,WF_START_PERIOD,$R$5:$R$750,TRUE())&gt;0</f>
        <v>1</v>
      </c>
      <c r="X704" s="11" t="b">
        <f aca="false">COUNTIFS($B$5:$B$750,B704,$D$5:$D$750,WF_END_PERIOD,$R$5:$R$750,TRUE())&gt;0</f>
        <v>1</v>
      </c>
      <c r="Y704" s="0" t="str">
        <f aca="false">IF(AND(D704=WF_END_PERIOD,COUNTIFS($B$5:$B$750,B704,$D$5:$D$750,WF_START_PERIOD)&gt;0),INDEX($E$5:$E$750,MATCH(B704&amp;"|"&amp;WF_START_PERIOD,$AC$5:$AC$750,0)),"")</f>
        <v>VT</v>
      </c>
      <c r="Z704" s="0" t="n">
        <f aca="false">IF(AND(D704=WF_END_PERIOD,R704),1+COUNTIFS($D$5:$D$750,WF_END_PERIOD,$E$5:$E$750,E704,$R$5:$R$750,TRUE(),$S$5:$S$750,"&gt;"&amp;S704)+COUNTIFS($D$5:$D$750,WF_END_PERIOD,$E$5:$E$750,E704,$R$5:$R$750,TRUE(),$S$5:$S$750,S704,$B$5:$B$750,"&lt;"&amp;B704),"")</f>
        <v>4</v>
      </c>
      <c r="AA704" s="0" t="n">
        <f aca="false">IF(AND(D704=WF_END_PERIOD,R704,Z704&lt;&gt;1),1+COUNTIFS($D$5:$D$750,WF_END_PERIOD,$R$5:$R$750,TRUE(),$Z$5:$Z$750,"&lt;&gt;1",$S$5:$S$750,"&gt;"&amp;S704)+COUNTIFS($D$5:$D$750,WF_END_PERIOD,$R$5:$R$750,TRUE(),$Z$5:$Z$750,"&lt;&gt;1",$S$5:$S$750,S704,$B$5:$B$750,"&lt;"&amp;B704),"")</f>
        <v>11</v>
      </c>
      <c r="AB704" s="11" t="b">
        <f aca="false">OR(D704=WF_START_PERIOD,D704=WF_END_PERIOD)</f>
        <v>1</v>
      </c>
      <c r="AC704" s="0" t="str">
        <f aca="false">B704&amp;"|"&amp;D704</f>
        <v>14140|20250630</v>
      </c>
    </row>
    <row r="705" customFormat="false" ht="15" hidden="false" customHeight="false" outlineLevel="0" collapsed="false">
      <c r="A705" s="0" t="n">
        <f aca="false">RawFinancials!A705</f>
        <v>702</v>
      </c>
      <c r="B705" s="0" t="n">
        <f aca="false">RawFinancials!C705</f>
        <v>14158</v>
      </c>
      <c r="C705" s="0" t="str">
        <f aca="false">RawFinancials!P705</f>
        <v>UNION BANK</v>
      </c>
      <c r="D705" s="0" t="n">
        <f aca="false">RawFinancials!W705</f>
        <v>20250630</v>
      </c>
      <c r="E705" s="0" t="str">
        <f aca="false">RawFinancials!Z705</f>
        <v>VT</v>
      </c>
      <c r="F705" s="0" t="n">
        <f aca="false">RawFinancials!B705</f>
        <v>1479452</v>
      </c>
      <c r="G705" s="0" t="n">
        <f aca="false">RawFinancials!U705</f>
        <v>72</v>
      </c>
      <c r="H705" s="0" t="n">
        <f aca="false">RawFinancials!O705</f>
        <v>15189</v>
      </c>
      <c r="I705" s="0" t="n">
        <f aca="false">IF(AND(ISNUMBER(G705),ISNUMBER(H705)),G705+H705,"")</f>
        <v>15261</v>
      </c>
      <c r="J705" s="0" t="n">
        <f aca="false">RawFinancials!D705</f>
        <v>1107517</v>
      </c>
      <c r="K705" s="0" t="n">
        <f aca="false">RawFinancials!F705</f>
        <v>86521</v>
      </c>
      <c r="L705" s="0" t="n">
        <f aca="false">RawFinancials!L705</f>
        <v>1113914</v>
      </c>
      <c r="M705" s="0" t="n">
        <f aca="false">RawFinancials!N705</f>
        <v>1031319</v>
      </c>
      <c r="N705" s="13" t="n">
        <f aca="false">RawFinancials!X705</f>
        <v>0.704869265488618</v>
      </c>
      <c r="O705" s="13" t="n">
        <f aca="false">RawFinancials!V705</f>
        <v>12.6234332403009</v>
      </c>
      <c r="P705" s="13" t="n">
        <f aca="false">IF(AND(ISNUMBER(L705),L705&lt;&gt;0,ISNUMBER(M705)),100*M705/L705,"")</f>
        <v>92.5851546887821</v>
      </c>
      <c r="Q705" s="13" t="n">
        <f aca="false">IF(AND(ISNUMBER(F705),F705&lt;&gt;0,ISNUMBER(K705)),100*K705/F705,"")</f>
        <v>5.84817892030292</v>
      </c>
      <c r="R705" s="11" t="b">
        <f aca="false">AND(ISNUMBER(F705),F705&gt;0,ISNUMBER(G705),G705&gt;=0,ISNUMBER(H705),H705&gt;=0)</f>
        <v>1</v>
      </c>
      <c r="S705" s="13" t="n">
        <f aca="false">IF(R705,100*I705/F705,"")</f>
        <v>1.03153059376039</v>
      </c>
      <c r="T705" s="11" t="b">
        <f aca="false">NOT(AND(OR(AND(ISBLANK(RawFinancials!B705),ISBLANK(_RawBaseline!B702)),AND(ISNUMBER(RawFinancials!B705),ISNUMBER(_RawBaseline!B702),RawFinancials!B705=_RawBaseline!B702)),OR(AND(ISBLANK(RawFinancials!U705),ISBLANK(_RawBaseline!U702)),AND(ISNUMBER(RawFinancials!U705),ISNUMBER(_RawBaseline!U702),RawFinancials!U705=_RawBaseline!U702)),OR(AND(ISBLANK(RawFinancials!O705),ISBLANK(_RawBaseline!O702)),AND(ISNUMBER(RawFinancials!O705),ISNUMBER(_RawBaseline!O702),RawFinancials!O705=_RawBaseline!O702))))</f>
        <v>0</v>
      </c>
      <c r="U705" s="13" t="n">
        <f aca="false">IF(AND(D705=WF_START_PERIOD,R705,COUNTIFS($B$5:$B$750,B705,$D$5:$D$750,WF_END_PERIOD,$R$5:$R$750,TRUE())&gt;0),SUMIFS($S$5:$S$750,$B$5:$B$750,B705,$D$5:$D$750,WF_END_PERIOD,$R$5:$R$750,TRUE()),0)</f>
        <v>0</v>
      </c>
      <c r="V705" s="0" t="str">
        <f aca="false">IF(AND(D705=WF_START_PERIOD,COUNTIFS($B$5:$B$750,B705,$D$5:$D$750,WF_END_PERIOD)&gt;0),INDEX($E$5:$E$750,MATCH(B705&amp;"|"&amp;WF_END_PERIOD,$AC$5:$AC$750,0)),"")</f>
        <v/>
      </c>
      <c r="W705" s="11" t="b">
        <f aca="false">COUNTIFS($B$5:$B$750,B705,$D$5:$D$750,WF_START_PERIOD,$R$5:$R$750,TRUE())&gt;0</f>
        <v>1</v>
      </c>
      <c r="X705" s="11" t="b">
        <f aca="false">COUNTIFS($B$5:$B$750,B705,$D$5:$D$750,WF_END_PERIOD,$R$5:$R$750,TRUE())&gt;0</f>
        <v>1</v>
      </c>
      <c r="Y705" s="0" t="str">
        <f aca="false">IF(AND(D705=WF_END_PERIOD,COUNTIFS($B$5:$B$750,B705,$D$5:$D$750,WF_START_PERIOD)&gt;0),INDEX($E$5:$E$750,MATCH(B705&amp;"|"&amp;WF_START_PERIOD,$AC$5:$AC$750,0)),"")</f>
        <v>VT</v>
      </c>
      <c r="Z705" s="0" t="n">
        <f aca="false">IF(AND(D705=WF_END_PERIOD,R705),1+COUNTIFS($D$5:$D$750,WF_END_PERIOD,$E$5:$E$750,E705,$R$5:$R$750,TRUE(),$S$5:$S$750,"&gt;"&amp;S705)+COUNTIFS($D$5:$D$750,WF_END_PERIOD,$E$5:$E$750,E705,$R$5:$R$750,TRUE(),$S$5:$S$750,S705,$B$5:$B$750,"&lt;"&amp;B705),"")</f>
        <v>2</v>
      </c>
      <c r="AA705" s="0" t="n">
        <f aca="false">IF(AND(D705=WF_END_PERIOD,R705,Z705&lt;&gt;1),1+COUNTIFS($D$5:$D$750,WF_END_PERIOD,$R$5:$R$750,TRUE(),$Z$5:$Z$750,"&lt;&gt;1",$S$5:$S$750,"&gt;"&amp;S705)+COUNTIFS($D$5:$D$750,WF_END_PERIOD,$R$5:$R$750,TRUE(),$Z$5:$Z$750,"&lt;&gt;1",$S$5:$S$750,S705,$B$5:$B$750,"&lt;"&amp;B705),"")</f>
        <v>4</v>
      </c>
      <c r="AB705" s="11" t="b">
        <f aca="false">OR(D705=WF_START_PERIOD,D705=WF_END_PERIOD)</f>
        <v>1</v>
      </c>
      <c r="AC705" s="0" t="str">
        <f aca="false">B705&amp;"|"&amp;D705</f>
        <v>14158|20250630</v>
      </c>
    </row>
    <row r="706" customFormat="false" ht="15" hidden="false" customHeight="false" outlineLevel="0" collapsed="false">
      <c r="A706" s="0" t="n">
        <f aca="false">RawFinancials!A706</f>
        <v>703</v>
      </c>
      <c r="B706" s="0" t="n">
        <f aca="false">RawFinancials!C706</f>
        <v>14168</v>
      </c>
      <c r="C706" s="0" t="str">
        <f aca="false">RawFinancials!P706</f>
        <v>PEOPLES TRUST COMPANY OF ST. ALBANS</v>
      </c>
      <c r="D706" s="0" t="n">
        <f aca="false">RawFinancials!W706</f>
        <v>20250630</v>
      </c>
      <c r="E706" s="0" t="str">
        <f aca="false">RawFinancials!Z706</f>
        <v>VT</v>
      </c>
      <c r="F706" s="0" t="n">
        <f aca="false">RawFinancials!B706</f>
        <v>376849</v>
      </c>
      <c r="G706" s="0" t="n">
        <f aca="false">RawFinancials!U706</f>
        <v>0</v>
      </c>
      <c r="H706" s="0" t="n">
        <f aca="false">RawFinancials!O706</f>
        <v>1012</v>
      </c>
      <c r="I706" s="0" t="n">
        <f aca="false">IF(AND(ISNUMBER(G706),ISNUMBER(H706)),G706+H706,"")</f>
        <v>1012</v>
      </c>
      <c r="J706" s="0" t="n">
        <f aca="false">RawFinancials!D706</f>
        <v>332557</v>
      </c>
      <c r="K706" s="0" t="n">
        <f aca="false">RawFinancials!F706</f>
        <v>38788</v>
      </c>
      <c r="L706" s="0" t="n">
        <f aca="false">RawFinancials!L706</f>
        <v>288218</v>
      </c>
      <c r="M706" s="0" t="n">
        <f aca="false">RawFinancials!N706</f>
        <v>247587</v>
      </c>
      <c r="N706" s="13" t="n">
        <f aca="false">RawFinancials!X706</f>
        <v>0.966716269310238</v>
      </c>
      <c r="O706" s="13" t="n">
        <f aca="false">RawFinancials!V706</f>
        <v>16.584016716042</v>
      </c>
      <c r="P706" s="13" t="n">
        <f aca="false">IF(AND(ISNUMBER(L706),L706&lt;&gt;0,ISNUMBER(M706)),100*M706/L706,"")</f>
        <v>85.9026847733313</v>
      </c>
      <c r="Q706" s="13" t="n">
        <f aca="false">IF(AND(ISNUMBER(F706),F706&lt;&gt;0,ISNUMBER(K706)),100*K706/F706,"")</f>
        <v>10.292716711468</v>
      </c>
      <c r="R706" s="11" t="b">
        <f aca="false">AND(ISNUMBER(F706),F706&gt;0,ISNUMBER(G706),G706&gt;=0,ISNUMBER(H706),H706&gt;=0)</f>
        <v>1</v>
      </c>
      <c r="S706" s="13" t="n">
        <f aca="false">IF(R706,100*I706/F706,"")</f>
        <v>0.268542572754605</v>
      </c>
      <c r="T706" s="11" t="b">
        <f aca="false">NOT(AND(OR(AND(ISBLANK(RawFinancials!B706),ISBLANK(_RawBaseline!B703)),AND(ISNUMBER(RawFinancials!B706),ISNUMBER(_RawBaseline!B703),RawFinancials!B706=_RawBaseline!B703)),OR(AND(ISBLANK(RawFinancials!U706),ISBLANK(_RawBaseline!U703)),AND(ISNUMBER(RawFinancials!U706),ISNUMBER(_RawBaseline!U703),RawFinancials!U706=_RawBaseline!U703)),OR(AND(ISBLANK(RawFinancials!O706),ISBLANK(_RawBaseline!O703)),AND(ISNUMBER(RawFinancials!O706),ISNUMBER(_RawBaseline!O703),RawFinancials!O706=_RawBaseline!O703))))</f>
        <v>0</v>
      </c>
      <c r="U706" s="13" t="n">
        <f aca="false">IF(AND(D706=WF_START_PERIOD,R706,COUNTIFS($B$5:$B$750,B706,$D$5:$D$750,WF_END_PERIOD,$R$5:$R$750,TRUE())&gt;0),SUMIFS($S$5:$S$750,$B$5:$B$750,B706,$D$5:$D$750,WF_END_PERIOD,$R$5:$R$750,TRUE()),0)</f>
        <v>0</v>
      </c>
      <c r="V706" s="0" t="str">
        <f aca="false">IF(AND(D706=WF_START_PERIOD,COUNTIFS($B$5:$B$750,B706,$D$5:$D$750,WF_END_PERIOD)&gt;0),INDEX($E$5:$E$750,MATCH(B706&amp;"|"&amp;WF_END_PERIOD,$AC$5:$AC$750,0)),"")</f>
        <v/>
      </c>
      <c r="W706" s="11" t="b">
        <f aca="false">COUNTIFS($B$5:$B$750,B706,$D$5:$D$750,WF_START_PERIOD,$R$5:$R$750,TRUE())&gt;0</f>
        <v>1</v>
      </c>
      <c r="X706" s="11" t="b">
        <f aca="false">COUNTIFS($B$5:$B$750,B706,$D$5:$D$750,WF_END_PERIOD,$R$5:$R$750,TRUE())&gt;0</f>
        <v>1</v>
      </c>
      <c r="Y706" s="0" t="str">
        <f aca="false">IF(AND(D706=WF_END_PERIOD,COUNTIFS($B$5:$B$750,B706,$D$5:$D$750,WF_START_PERIOD)&gt;0),INDEX($E$5:$E$750,MATCH(B706&amp;"|"&amp;WF_START_PERIOD,$AC$5:$AC$750,0)),"")</f>
        <v>VT</v>
      </c>
      <c r="Z706" s="0" t="n">
        <f aca="false">IF(AND(D706=WF_END_PERIOD,R706),1+COUNTIFS($D$5:$D$750,WF_END_PERIOD,$E$5:$E$750,E706,$R$5:$R$750,TRUE(),$S$5:$S$750,"&gt;"&amp;S706)+COUNTIFS($D$5:$D$750,WF_END_PERIOD,$E$5:$E$750,E706,$R$5:$R$750,TRUE(),$S$5:$S$750,S706,$B$5:$B$750,"&lt;"&amp;B706),"")</f>
        <v>8</v>
      </c>
      <c r="AA706" s="0" t="n">
        <f aca="false">IF(AND(D706=WF_END_PERIOD,R706,Z706&lt;&gt;1),1+COUNTIFS($D$5:$D$750,WF_END_PERIOD,$R$5:$R$750,TRUE(),$Z$5:$Z$750,"&lt;&gt;1",$S$5:$S$750,"&gt;"&amp;S706)+COUNTIFS($D$5:$D$750,WF_END_PERIOD,$R$5:$R$750,TRUE(),$Z$5:$Z$750,"&lt;&gt;1",$S$5:$S$750,S706,$B$5:$B$750,"&lt;"&amp;B706),"")</f>
        <v>23</v>
      </c>
      <c r="AB706" s="11" t="b">
        <f aca="false">OR(D706=WF_START_PERIOD,D706=WF_END_PERIOD)</f>
        <v>1</v>
      </c>
      <c r="AC706" s="0" t="str">
        <f aca="false">B706&amp;"|"&amp;D706</f>
        <v>14168|20250630</v>
      </c>
    </row>
    <row r="707" customFormat="false" ht="15" hidden="false" customHeight="false" outlineLevel="0" collapsed="false">
      <c r="A707" s="0" t="n">
        <f aca="false">RawFinancials!A707</f>
        <v>704</v>
      </c>
      <c r="B707" s="0" t="n">
        <f aca="false">RawFinancials!C707</f>
        <v>17115</v>
      </c>
      <c r="C707" s="0" t="str">
        <f aca="false">RawFinancials!P707</f>
        <v>PARTNERS BANK OF NEW ENGLAND</v>
      </c>
      <c r="D707" s="0" t="n">
        <f aca="false">RawFinancials!W707</f>
        <v>20250630</v>
      </c>
      <c r="E707" s="0" t="str">
        <f aca="false">RawFinancials!Z707</f>
        <v>ME</v>
      </c>
      <c r="F707" s="0" t="n">
        <f aca="false">RawFinancials!B707</f>
        <v>1078591</v>
      </c>
      <c r="G707" s="0" t="n">
        <f aca="false">RawFinancials!U707</f>
        <v>83</v>
      </c>
      <c r="H707" s="0" t="n">
        <f aca="false">RawFinancials!O707</f>
        <v>2491</v>
      </c>
      <c r="I707" s="0" t="n">
        <f aca="false">IF(AND(ISNUMBER(G707),ISNUMBER(H707)),G707+H707,"")</f>
        <v>2574</v>
      </c>
      <c r="J707" s="0" t="n">
        <f aca="false">RawFinancials!D707</f>
        <v>819065</v>
      </c>
      <c r="K707" s="0" t="n">
        <f aca="false">RawFinancials!F707</f>
        <v>97021</v>
      </c>
      <c r="L707" s="0" t="n">
        <f aca="false">RawFinancials!L707</f>
        <v>882995</v>
      </c>
      <c r="M707" s="0" t="n">
        <f aca="false">RawFinancials!N707</f>
        <v>837308</v>
      </c>
      <c r="N707" s="13" t="n">
        <f aca="false">RawFinancials!X707</f>
        <v>0.71338933420764</v>
      </c>
      <c r="O707" s="13" t="n">
        <f aca="false">RawFinancials!V707</f>
        <v>14.8169206277007</v>
      </c>
      <c r="P707" s="13" t="n">
        <f aca="false">IF(AND(ISNUMBER(L707),L707&lt;&gt;0,ISNUMBER(M707)),100*M707/L707,"")</f>
        <v>94.8259050164497</v>
      </c>
      <c r="Q707" s="13" t="n">
        <f aca="false">IF(AND(ISNUMBER(F707),F707&lt;&gt;0,ISNUMBER(K707)),100*K707/F707,"")</f>
        <v>8.99516127985492</v>
      </c>
      <c r="R707" s="11" t="b">
        <f aca="false">AND(ISNUMBER(F707),F707&gt;0,ISNUMBER(G707),G707&gt;=0,ISNUMBER(H707),H707&gt;=0)</f>
        <v>1</v>
      </c>
      <c r="S707" s="13" t="n">
        <f aca="false">IF(R707,100*I707/F707,"")</f>
        <v>0.238644676248921</v>
      </c>
      <c r="T707" s="11" t="b">
        <f aca="false">NOT(AND(OR(AND(ISBLANK(RawFinancials!B707),ISBLANK(_RawBaseline!B704)),AND(ISNUMBER(RawFinancials!B707),ISNUMBER(_RawBaseline!B704),RawFinancials!B707=_RawBaseline!B704)),OR(AND(ISBLANK(RawFinancials!U707),ISBLANK(_RawBaseline!U704)),AND(ISNUMBER(RawFinancials!U707),ISNUMBER(_RawBaseline!U704),RawFinancials!U707=_RawBaseline!U704)),OR(AND(ISBLANK(RawFinancials!O707),ISBLANK(_RawBaseline!O704)),AND(ISNUMBER(RawFinancials!O707),ISNUMBER(_RawBaseline!O704),RawFinancials!O707=_RawBaseline!O704))))</f>
        <v>0</v>
      </c>
      <c r="U707" s="13" t="n">
        <f aca="false">IF(AND(D707=WF_START_PERIOD,R707,COUNTIFS($B$5:$B$750,B707,$D$5:$D$750,WF_END_PERIOD,$R$5:$R$750,TRUE())&gt;0),SUMIFS($S$5:$S$750,$B$5:$B$750,B707,$D$5:$D$750,WF_END_PERIOD,$R$5:$R$750,TRUE()),0)</f>
        <v>0</v>
      </c>
      <c r="V707" s="0" t="str">
        <f aca="false">IF(AND(D707=WF_START_PERIOD,COUNTIFS($B$5:$B$750,B707,$D$5:$D$750,WF_END_PERIOD)&gt;0),INDEX($E$5:$E$750,MATCH(B707&amp;"|"&amp;WF_END_PERIOD,$AC$5:$AC$750,0)),"")</f>
        <v/>
      </c>
      <c r="W707" s="11" t="b">
        <f aca="false">COUNTIFS($B$5:$B$750,B707,$D$5:$D$750,WF_START_PERIOD,$R$5:$R$750,TRUE())&gt;0</f>
        <v>1</v>
      </c>
      <c r="X707" s="11" t="b">
        <f aca="false">COUNTIFS($B$5:$B$750,B707,$D$5:$D$750,WF_END_PERIOD,$R$5:$R$750,TRUE())&gt;0</f>
        <v>1</v>
      </c>
      <c r="Y707" s="0" t="str">
        <f aca="false">IF(AND(D707=WF_END_PERIOD,COUNTIFS($B$5:$B$750,B707,$D$5:$D$750,WF_START_PERIOD)&gt;0),INDEX($E$5:$E$750,MATCH(B707&amp;"|"&amp;WF_START_PERIOD,$AC$5:$AC$750,0)),"")</f>
        <v>ME</v>
      </c>
      <c r="Z707" s="0" t="n">
        <f aca="false">IF(AND(D707=WF_END_PERIOD,R707),1+COUNTIFS($D$5:$D$750,WF_END_PERIOD,$E$5:$E$750,E707,$R$5:$R$750,TRUE(),$S$5:$S$750,"&gt;"&amp;S707)+COUNTIFS($D$5:$D$750,WF_END_PERIOD,$E$5:$E$750,E707,$R$5:$R$750,TRUE(),$S$5:$S$750,S707,$B$5:$B$750,"&lt;"&amp;B707),"")</f>
        <v>13</v>
      </c>
      <c r="AA707" s="0" t="n">
        <f aca="false">IF(AND(D707=WF_END_PERIOD,R707,Z707&lt;&gt;1),1+COUNTIFS($D$5:$D$750,WF_END_PERIOD,$R$5:$R$750,TRUE(),$Z$5:$Z$750,"&lt;&gt;1",$S$5:$S$750,"&gt;"&amp;S707)+COUNTIFS($D$5:$D$750,WF_END_PERIOD,$R$5:$R$750,TRUE(),$Z$5:$Z$750,"&lt;&gt;1",$S$5:$S$750,S707,$B$5:$B$750,"&lt;"&amp;B707),"")</f>
        <v>26</v>
      </c>
      <c r="AB707" s="11" t="b">
        <f aca="false">OR(D707=WF_START_PERIOD,D707=WF_END_PERIOD)</f>
        <v>1</v>
      </c>
      <c r="AC707" s="0" t="str">
        <f aca="false">B707&amp;"|"&amp;D707</f>
        <v>17115|20250630</v>
      </c>
    </row>
    <row r="708" customFormat="false" ht="15" hidden="false" customHeight="false" outlineLevel="0" collapsed="false">
      <c r="A708" s="0" t="n">
        <f aca="false">RawFinancials!A708</f>
        <v>705</v>
      </c>
      <c r="B708" s="0" t="n">
        <f aca="false">RawFinancials!C708</f>
        <v>17180</v>
      </c>
      <c r="C708" s="0" t="str">
        <f aca="false">RawFinancials!P708</f>
        <v>MEREDITH VILLAGE SAVINGS BANK</v>
      </c>
      <c r="D708" s="0" t="n">
        <f aca="false">RawFinancials!W708</f>
        <v>20250630</v>
      </c>
      <c r="E708" s="0" t="str">
        <f aca="false">RawFinancials!Z708</f>
        <v>NH</v>
      </c>
      <c r="F708" s="0" t="n">
        <f aca="false">RawFinancials!B708</f>
        <v>1609518</v>
      </c>
      <c r="G708" s="0" t="n">
        <f aca="false">RawFinancials!U708</f>
        <v>10</v>
      </c>
      <c r="H708" s="0" t="n">
        <f aca="false">RawFinancials!O708</f>
        <v>5006</v>
      </c>
      <c r="I708" s="0" t="n">
        <f aca="false">IF(AND(ISNUMBER(G708),ISNUMBER(H708)),G708+H708,"")</f>
        <v>5016</v>
      </c>
      <c r="J708" s="0" t="n">
        <f aca="false">RawFinancials!D708</f>
        <v>1323945</v>
      </c>
      <c r="K708" s="0" t="n">
        <f aca="false">RawFinancials!F708</f>
        <v>147515</v>
      </c>
      <c r="L708" s="0" t="n">
        <f aca="false">RawFinancials!L708</f>
        <v>1394163</v>
      </c>
      <c r="M708" s="0" t="n">
        <f aca="false">RawFinancials!N708</f>
        <v>1170848</v>
      </c>
      <c r="N708" s="13" t="n">
        <f aca="false">RawFinancials!X708</f>
        <v>0.322125402656753</v>
      </c>
      <c r="O708" s="13" t="n">
        <f aca="false">RawFinancials!V708</f>
        <v>16.1170926443665</v>
      </c>
      <c r="P708" s="13" t="n">
        <f aca="false">IF(AND(ISNUMBER(L708),L708&lt;&gt;0,ISNUMBER(M708)),100*M708/L708,"")</f>
        <v>83.9821455597373</v>
      </c>
      <c r="Q708" s="13" t="n">
        <f aca="false">IF(AND(ISNUMBER(F708),F708&lt;&gt;0,ISNUMBER(K708)),100*K708/F708,"")</f>
        <v>9.16516621746386</v>
      </c>
      <c r="R708" s="11" t="b">
        <f aca="false">AND(ISNUMBER(F708),F708&gt;0,ISNUMBER(G708),G708&gt;=0,ISNUMBER(H708),H708&gt;=0)</f>
        <v>1</v>
      </c>
      <c r="S708" s="13" t="n">
        <f aca="false">IF(R708,100*I708/F708,"")</f>
        <v>0.31164609529064</v>
      </c>
      <c r="T708" s="11" t="b">
        <f aca="false">NOT(AND(OR(AND(ISBLANK(RawFinancials!B708),ISBLANK(_RawBaseline!B705)),AND(ISNUMBER(RawFinancials!B708),ISNUMBER(_RawBaseline!B705),RawFinancials!B708=_RawBaseline!B705)),OR(AND(ISBLANK(RawFinancials!U708),ISBLANK(_RawBaseline!U705)),AND(ISNUMBER(RawFinancials!U708),ISNUMBER(_RawBaseline!U705),RawFinancials!U708=_RawBaseline!U705)),OR(AND(ISBLANK(RawFinancials!O708),ISBLANK(_RawBaseline!O705)),AND(ISNUMBER(RawFinancials!O708),ISNUMBER(_RawBaseline!O705),RawFinancials!O708=_RawBaseline!O705))))</f>
        <v>0</v>
      </c>
      <c r="U708" s="13" t="n">
        <f aca="false">IF(AND(D708=WF_START_PERIOD,R708,COUNTIFS($B$5:$B$750,B708,$D$5:$D$750,WF_END_PERIOD,$R$5:$R$750,TRUE())&gt;0),SUMIFS($S$5:$S$750,$B$5:$B$750,B708,$D$5:$D$750,WF_END_PERIOD,$R$5:$R$750,TRUE()),0)</f>
        <v>0</v>
      </c>
      <c r="V708" s="0" t="str">
        <f aca="false">IF(AND(D708=WF_START_PERIOD,COUNTIFS($B$5:$B$750,B708,$D$5:$D$750,WF_END_PERIOD)&gt;0),INDEX($E$5:$E$750,MATCH(B708&amp;"|"&amp;WF_END_PERIOD,$AC$5:$AC$750,0)),"")</f>
        <v/>
      </c>
      <c r="W708" s="11" t="b">
        <f aca="false">COUNTIFS($B$5:$B$750,B708,$D$5:$D$750,WF_START_PERIOD,$R$5:$R$750,TRUE())&gt;0</f>
        <v>1</v>
      </c>
      <c r="X708" s="11" t="b">
        <f aca="false">COUNTIFS($B$5:$B$750,B708,$D$5:$D$750,WF_END_PERIOD,$R$5:$R$750,TRUE())&gt;0</f>
        <v>1</v>
      </c>
      <c r="Y708" s="0" t="str">
        <f aca="false">IF(AND(D708=WF_END_PERIOD,COUNTIFS($B$5:$B$750,B708,$D$5:$D$750,WF_START_PERIOD)&gt;0),INDEX($E$5:$E$750,MATCH(B708&amp;"|"&amp;WF_START_PERIOD,$AC$5:$AC$750,0)),"")</f>
        <v>NH</v>
      </c>
      <c r="Z708" s="0" t="n">
        <f aca="false">IF(AND(D708=WF_END_PERIOD,R708),1+COUNTIFS($D$5:$D$750,WF_END_PERIOD,$E$5:$E$750,E708,$R$5:$R$750,TRUE(),$S$5:$S$750,"&gt;"&amp;S708)+COUNTIFS($D$5:$D$750,WF_END_PERIOD,$E$5:$E$750,E708,$R$5:$R$750,TRUE(),$S$5:$S$750,S708,$B$5:$B$750,"&lt;"&amp;B708),"")</f>
        <v>8</v>
      </c>
      <c r="AA708" s="0" t="n">
        <f aca="false">IF(AND(D708=WF_END_PERIOD,R708,Z708&lt;&gt;1),1+COUNTIFS($D$5:$D$750,WF_END_PERIOD,$R$5:$R$750,TRUE(),$Z$5:$Z$750,"&lt;&gt;1",$S$5:$S$750,"&gt;"&amp;S708)+COUNTIFS($D$5:$D$750,WF_END_PERIOD,$R$5:$R$750,TRUE(),$Z$5:$Z$750,"&lt;&gt;1",$S$5:$S$750,S708,$B$5:$B$750,"&lt;"&amp;B708),"")</f>
        <v>19</v>
      </c>
      <c r="AB708" s="11" t="b">
        <f aca="false">OR(D708=WF_START_PERIOD,D708=WF_END_PERIOD)</f>
        <v>1</v>
      </c>
      <c r="AC708" s="0" t="str">
        <f aca="false">B708&amp;"|"&amp;D708</f>
        <v>17180|20250630</v>
      </c>
    </row>
    <row r="709" customFormat="false" ht="15" hidden="false" customHeight="false" outlineLevel="0" collapsed="false">
      <c r="A709" s="0" t="n">
        <f aca="false">RawFinancials!A709</f>
        <v>706</v>
      </c>
      <c r="B709" s="0" t="n">
        <f aca="false">RawFinancials!C709</f>
        <v>17443</v>
      </c>
      <c r="C709" s="0" t="str">
        <f aca="false">RawFinancials!P709</f>
        <v>PISCATAQUA SAVINGS BANK</v>
      </c>
      <c r="D709" s="0" t="n">
        <f aca="false">RawFinancials!W709</f>
        <v>20250630</v>
      </c>
      <c r="E709" s="0" t="str">
        <f aca="false">RawFinancials!Z709</f>
        <v>NH</v>
      </c>
      <c r="F709" s="0" t="n">
        <f aca="false">RawFinancials!B709</f>
        <v>366584</v>
      </c>
      <c r="G709" s="0" t="n">
        <f aca="false">RawFinancials!U709</f>
        <v>0</v>
      </c>
      <c r="H709" s="0" t="n">
        <f aca="false">RawFinancials!O709</f>
        <v>22</v>
      </c>
      <c r="I709" s="0" t="n">
        <f aca="false">IF(AND(ISNUMBER(G709),ISNUMBER(H709)),G709+H709,"")</f>
        <v>22</v>
      </c>
      <c r="J709" s="0" t="n">
        <f aca="false">RawFinancials!D709</f>
        <v>285374</v>
      </c>
      <c r="K709" s="0" t="n">
        <f aca="false">RawFinancials!F709</f>
        <v>40125</v>
      </c>
      <c r="L709" s="0" t="n">
        <f aca="false">RawFinancials!L709</f>
        <v>203227</v>
      </c>
      <c r="M709" s="0" t="n">
        <f aca="false">RawFinancials!N709</f>
        <v>201428</v>
      </c>
      <c r="N709" s="13" t="n">
        <f aca="false">RawFinancials!X709</f>
        <v>-0.301132819905539</v>
      </c>
      <c r="O709" s="13" t="n">
        <f aca="false">RawFinancials!V709</f>
        <v>0</v>
      </c>
      <c r="P709" s="13" t="n">
        <f aca="false">IF(AND(ISNUMBER(L709),L709&lt;&gt;0,ISNUMBER(M709)),100*M709/L709,"")</f>
        <v>99.1147829766714</v>
      </c>
      <c r="Q709" s="13" t="n">
        <f aca="false">IF(AND(ISNUMBER(F709),F709&lt;&gt;0,ISNUMBER(K709)),100*K709/F709,"")</f>
        <v>10.9456495646291</v>
      </c>
      <c r="R709" s="11" t="b">
        <f aca="false">AND(ISNUMBER(F709),F709&gt;0,ISNUMBER(G709),G709&gt;=0,ISNUMBER(H709),H709&gt;=0)</f>
        <v>1</v>
      </c>
      <c r="S709" s="13" t="n">
        <f aca="false">IF(R709,100*I709/F709,"")</f>
        <v>0.00600135303232001</v>
      </c>
      <c r="T709" s="11" t="b">
        <f aca="false">NOT(AND(OR(AND(ISBLANK(RawFinancials!B709),ISBLANK(_RawBaseline!B706)),AND(ISNUMBER(RawFinancials!B709),ISNUMBER(_RawBaseline!B706),RawFinancials!B709=_RawBaseline!B706)),OR(AND(ISBLANK(RawFinancials!U709),ISBLANK(_RawBaseline!U706)),AND(ISNUMBER(RawFinancials!U709),ISNUMBER(_RawBaseline!U706),RawFinancials!U709=_RawBaseline!U706)),OR(AND(ISBLANK(RawFinancials!O709),ISBLANK(_RawBaseline!O706)),AND(ISNUMBER(RawFinancials!O709),ISNUMBER(_RawBaseline!O706),RawFinancials!O709=_RawBaseline!O706))))</f>
        <v>0</v>
      </c>
      <c r="U709" s="13" t="n">
        <f aca="false">IF(AND(D709=WF_START_PERIOD,R709,COUNTIFS($B$5:$B$750,B709,$D$5:$D$750,WF_END_PERIOD,$R$5:$R$750,TRUE())&gt;0),SUMIFS($S$5:$S$750,$B$5:$B$750,B709,$D$5:$D$750,WF_END_PERIOD,$R$5:$R$750,TRUE()),0)</f>
        <v>0</v>
      </c>
      <c r="V709" s="0" t="str">
        <f aca="false">IF(AND(D709=WF_START_PERIOD,COUNTIFS($B$5:$B$750,B709,$D$5:$D$750,WF_END_PERIOD)&gt;0),INDEX($E$5:$E$750,MATCH(B709&amp;"|"&amp;WF_END_PERIOD,$AC$5:$AC$750,0)),"")</f>
        <v/>
      </c>
      <c r="W709" s="11" t="b">
        <f aca="false">COUNTIFS($B$5:$B$750,B709,$D$5:$D$750,WF_START_PERIOD,$R$5:$R$750,TRUE())&gt;0</f>
        <v>1</v>
      </c>
      <c r="X709" s="11" t="b">
        <f aca="false">COUNTIFS($B$5:$B$750,B709,$D$5:$D$750,WF_END_PERIOD,$R$5:$R$750,TRUE())&gt;0</f>
        <v>1</v>
      </c>
      <c r="Y709" s="0" t="str">
        <f aca="false">IF(AND(D709=WF_END_PERIOD,COUNTIFS($B$5:$B$750,B709,$D$5:$D$750,WF_START_PERIOD)&gt;0),INDEX($E$5:$E$750,MATCH(B709&amp;"|"&amp;WF_START_PERIOD,$AC$5:$AC$750,0)),"")</f>
        <v>NH</v>
      </c>
      <c r="Z709" s="0" t="n">
        <f aca="false">IF(AND(D709=WF_END_PERIOD,R709),1+COUNTIFS($D$5:$D$750,WF_END_PERIOD,$E$5:$E$750,E709,$R$5:$R$750,TRUE(),$S$5:$S$750,"&gt;"&amp;S709)+COUNTIFS($D$5:$D$750,WF_END_PERIOD,$E$5:$E$750,E709,$R$5:$R$750,TRUE(),$S$5:$S$750,S709,$B$5:$B$750,"&lt;"&amp;B709),"")</f>
        <v>14</v>
      </c>
      <c r="AA709" s="0" t="n">
        <f aca="false">IF(AND(D709=WF_END_PERIOD,R709,Z709&lt;&gt;1),1+COUNTIFS($D$5:$D$750,WF_END_PERIOD,$R$5:$R$750,TRUE(),$Z$5:$Z$750,"&lt;&gt;1",$S$5:$S$750,"&gt;"&amp;S709)+COUNTIFS($D$5:$D$750,WF_END_PERIOD,$R$5:$R$750,TRUE(),$Z$5:$Z$750,"&lt;&gt;1",$S$5:$S$750,S709,$B$5:$B$750,"&lt;"&amp;B709),"")</f>
        <v>44</v>
      </c>
      <c r="AB709" s="11" t="b">
        <f aca="false">OR(D709=WF_START_PERIOD,D709=WF_END_PERIOD)</f>
        <v>1</v>
      </c>
      <c r="AC709" s="0" t="str">
        <f aca="false">B709&amp;"|"&amp;D709</f>
        <v>17443|20250630</v>
      </c>
    </row>
    <row r="710" customFormat="false" ht="15" hidden="false" customHeight="false" outlineLevel="0" collapsed="false">
      <c r="A710" s="0" t="n">
        <f aca="false">RawFinancials!A710</f>
        <v>707</v>
      </c>
      <c r="B710" s="0" t="n">
        <f aca="false">RawFinancials!C710</f>
        <v>17658</v>
      </c>
      <c r="C710" s="0" t="str">
        <f aca="false">RawFinancials!P710</f>
        <v>NORWAY SAVINGS BANK</v>
      </c>
      <c r="D710" s="0" t="n">
        <f aca="false">RawFinancials!W710</f>
        <v>20250630</v>
      </c>
      <c r="E710" s="0" t="str">
        <f aca="false">RawFinancials!Z710</f>
        <v>ME</v>
      </c>
      <c r="F710" s="0" t="n">
        <f aca="false">RawFinancials!B710</f>
        <v>2059300</v>
      </c>
      <c r="G710" s="0" t="n">
        <f aca="false">RawFinancials!U710</f>
        <v>0</v>
      </c>
      <c r="H710" s="0" t="n">
        <f aca="false">RawFinancials!O710</f>
        <v>10168</v>
      </c>
      <c r="I710" s="0" t="n">
        <f aca="false">IF(AND(ISNUMBER(G710),ISNUMBER(H710)),G710+H710,"")</f>
        <v>10168</v>
      </c>
      <c r="J710" s="0" t="n">
        <f aca="false">RawFinancials!D710</f>
        <v>1592193</v>
      </c>
      <c r="K710" s="0" t="n">
        <f aca="false">RawFinancials!F710</f>
        <v>238741</v>
      </c>
      <c r="L710" s="0" t="n">
        <f aca="false">RawFinancials!L710</f>
        <v>1472870</v>
      </c>
      <c r="M710" s="0" t="n">
        <f aca="false">RawFinancials!N710</f>
        <v>1263229</v>
      </c>
      <c r="N710" s="13" t="n">
        <f aca="false">RawFinancials!X710</f>
        <v>0.859257679559975</v>
      </c>
      <c r="O710" s="13" t="n">
        <f aca="false">RawFinancials!V710</f>
        <v>0</v>
      </c>
      <c r="P710" s="13" t="n">
        <f aca="false">IF(AND(ISNUMBER(L710),L710&lt;&gt;0,ISNUMBER(M710)),100*M710/L710,"")</f>
        <v>85.7664967037145</v>
      </c>
      <c r="Q710" s="13" t="n">
        <f aca="false">IF(AND(ISNUMBER(F710),F710&lt;&gt;0,ISNUMBER(K710)),100*K710/F710,"")</f>
        <v>11.593308405769</v>
      </c>
      <c r="R710" s="11" t="b">
        <f aca="false">AND(ISNUMBER(F710),F710&gt;0,ISNUMBER(G710),G710&gt;=0,ISNUMBER(H710),H710&gt;=0)</f>
        <v>1</v>
      </c>
      <c r="S710" s="13" t="n">
        <f aca="false">IF(R710,100*I710/F710,"")</f>
        <v>0.493760015539261</v>
      </c>
      <c r="T710" s="11" t="b">
        <f aca="false">NOT(AND(OR(AND(ISBLANK(RawFinancials!B710),ISBLANK(_RawBaseline!B707)),AND(ISNUMBER(RawFinancials!B710),ISNUMBER(_RawBaseline!B707),RawFinancials!B710=_RawBaseline!B707)),OR(AND(ISBLANK(RawFinancials!U710),ISBLANK(_RawBaseline!U707)),AND(ISNUMBER(RawFinancials!U710),ISNUMBER(_RawBaseline!U707),RawFinancials!U710=_RawBaseline!U707)),OR(AND(ISBLANK(RawFinancials!O710),ISBLANK(_RawBaseline!O707)),AND(ISNUMBER(RawFinancials!O710),ISNUMBER(_RawBaseline!O707),RawFinancials!O710=_RawBaseline!O707))))</f>
        <v>0</v>
      </c>
      <c r="U710" s="13" t="n">
        <f aca="false">IF(AND(D710=WF_START_PERIOD,R710,COUNTIFS($B$5:$B$750,B710,$D$5:$D$750,WF_END_PERIOD,$R$5:$R$750,TRUE())&gt;0),SUMIFS($S$5:$S$750,$B$5:$B$750,B710,$D$5:$D$750,WF_END_PERIOD,$R$5:$R$750,TRUE()),0)</f>
        <v>0</v>
      </c>
      <c r="V710" s="0" t="str">
        <f aca="false">IF(AND(D710=WF_START_PERIOD,COUNTIFS($B$5:$B$750,B710,$D$5:$D$750,WF_END_PERIOD)&gt;0),INDEX($E$5:$E$750,MATCH(B710&amp;"|"&amp;WF_END_PERIOD,$AC$5:$AC$750,0)),"")</f>
        <v/>
      </c>
      <c r="W710" s="11" t="b">
        <f aca="false">COUNTIFS($B$5:$B$750,B710,$D$5:$D$750,WF_START_PERIOD,$R$5:$R$750,TRUE())&gt;0</f>
        <v>1</v>
      </c>
      <c r="X710" s="11" t="b">
        <f aca="false">COUNTIFS($B$5:$B$750,B710,$D$5:$D$750,WF_END_PERIOD,$R$5:$R$750,TRUE())&gt;0</f>
        <v>1</v>
      </c>
      <c r="Y710" s="0" t="str">
        <f aca="false">IF(AND(D710=WF_END_PERIOD,COUNTIFS($B$5:$B$750,B710,$D$5:$D$750,WF_START_PERIOD)&gt;0),INDEX($E$5:$E$750,MATCH(B710&amp;"|"&amp;WF_START_PERIOD,$AC$5:$AC$750,0)),"")</f>
        <v>ME</v>
      </c>
      <c r="Z710" s="0" t="n">
        <f aca="false">IF(AND(D710=WF_END_PERIOD,R710),1+COUNTIFS($D$5:$D$750,WF_END_PERIOD,$E$5:$E$750,E710,$R$5:$R$750,TRUE(),$S$5:$S$750,"&gt;"&amp;S710)+COUNTIFS($D$5:$D$750,WF_END_PERIOD,$E$5:$E$750,E710,$R$5:$R$750,TRUE(),$S$5:$S$750,S710,$B$5:$B$750,"&lt;"&amp;B710),"")</f>
        <v>6</v>
      </c>
      <c r="AA710" s="0" t="n">
        <f aca="false">IF(AND(D710=WF_END_PERIOD,R710,Z710&lt;&gt;1),1+COUNTIFS($D$5:$D$750,WF_END_PERIOD,$R$5:$R$750,TRUE(),$Z$5:$Z$750,"&lt;&gt;1",$S$5:$S$750,"&gt;"&amp;S710)+COUNTIFS($D$5:$D$750,WF_END_PERIOD,$R$5:$R$750,TRUE(),$Z$5:$Z$750,"&lt;&gt;1",$S$5:$S$750,S710,$B$5:$B$750,"&lt;"&amp;B710),"")</f>
        <v>10</v>
      </c>
      <c r="AB710" s="11" t="b">
        <f aca="false">OR(D710=WF_START_PERIOD,D710=WF_END_PERIOD)</f>
        <v>1</v>
      </c>
      <c r="AC710" s="0" t="str">
        <f aca="false">B710&amp;"|"&amp;D710</f>
        <v>17658|20250630</v>
      </c>
    </row>
    <row r="711" customFormat="false" ht="15" hidden="false" customHeight="false" outlineLevel="0" collapsed="false">
      <c r="A711" s="0" t="n">
        <f aca="false">RawFinancials!A711</f>
        <v>708</v>
      </c>
      <c r="B711" s="0" t="n">
        <f aca="false">RawFinancials!C711</f>
        <v>17741</v>
      </c>
      <c r="C711" s="0" t="str">
        <f aca="false">RawFinancials!P711</f>
        <v>MAINE COMMUNITY BANK</v>
      </c>
      <c r="D711" s="0" t="n">
        <f aca="false">RawFinancials!W711</f>
        <v>20250630</v>
      </c>
      <c r="E711" s="0" t="str">
        <f aca="false">RawFinancials!Z711</f>
        <v>ME</v>
      </c>
      <c r="F711" s="0" t="n">
        <f aca="false">RawFinancials!B711</f>
        <v>2758302</v>
      </c>
      <c r="G711" s="0" t="n">
        <f aca="false">RawFinancials!U711</f>
        <v>0</v>
      </c>
      <c r="H711" s="0" t="n">
        <f aca="false">RawFinancials!O711</f>
        <v>14212</v>
      </c>
      <c r="I711" s="0" t="n">
        <f aca="false">IF(AND(ISNUMBER(G711),ISNUMBER(H711)),G711+H711,"")</f>
        <v>14212</v>
      </c>
      <c r="J711" s="0" t="n">
        <f aca="false">RawFinancials!D711</f>
        <v>2253432</v>
      </c>
      <c r="K711" s="0" t="n">
        <f aca="false">RawFinancials!F711</f>
        <v>250972</v>
      </c>
      <c r="L711" s="0" t="n">
        <f aca="false">RawFinancials!L711</f>
        <v>2277439</v>
      </c>
      <c r="M711" s="0" t="n">
        <f aca="false">RawFinancials!N711</f>
        <v>2016043</v>
      </c>
      <c r="N711" s="13" t="n">
        <f aca="false">RawFinancials!X711</f>
        <v>0.805862894688845</v>
      </c>
      <c r="O711" s="13" t="n">
        <f aca="false">RawFinancials!V711</f>
        <v>0</v>
      </c>
      <c r="P711" s="13" t="n">
        <f aca="false">IF(AND(ISNUMBER(L711),L711&lt;&gt;0,ISNUMBER(M711)),100*M711/L711,"")</f>
        <v>88.5223709614176</v>
      </c>
      <c r="Q711" s="13" t="n">
        <f aca="false">IF(AND(ISNUMBER(F711),F711&lt;&gt;0,ISNUMBER(K711)),100*K711/F711,"")</f>
        <v>9.09878613726851</v>
      </c>
      <c r="R711" s="11" t="b">
        <f aca="false">AND(ISNUMBER(F711),F711&gt;0,ISNUMBER(G711),G711&gt;=0,ISNUMBER(H711),H711&gt;=0)</f>
        <v>1</v>
      </c>
      <c r="S711" s="13" t="n">
        <f aca="false">IF(R711,100*I711/F711,"")</f>
        <v>0.515244523623592</v>
      </c>
      <c r="T711" s="11" t="b">
        <f aca="false">NOT(AND(OR(AND(ISBLANK(RawFinancials!B711),ISBLANK(_RawBaseline!B708)),AND(ISNUMBER(RawFinancials!B711),ISNUMBER(_RawBaseline!B708),RawFinancials!B711=_RawBaseline!B708)),OR(AND(ISBLANK(RawFinancials!U711),ISBLANK(_RawBaseline!U708)),AND(ISNUMBER(RawFinancials!U711),ISNUMBER(_RawBaseline!U708),RawFinancials!U711=_RawBaseline!U708)),OR(AND(ISBLANK(RawFinancials!O711),ISBLANK(_RawBaseline!O708)),AND(ISNUMBER(RawFinancials!O711),ISNUMBER(_RawBaseline!O708),RawFinancials!O711=_RawBaseline!O708))))</f>
        <v>0</v>
      </c>
      <c r="U711" s="13" t="n">
        <f aca="false">IF(AND(D711=WF_START_PERIOD,R711,COUNTIFS($B$5:$B$750,B711,$D$5:$D$750,WF_END_PERIOD,$R$5:$R$750,TRUE())&gt;0),SUMIFS($S$5:$S$750,$B$5:$B$750,B711,$D$5:$D$750,WF_END_PERIOD,$R$5:$R$750,TRUE()),0)</f>
        <v>0</v>
      </c>
      <c r="V711" s="0" t="str">
        <f aca="false">IF(AND(D711=WF_START_PERIOD,COUNTIFS($B$5:$B$750,B711,$D$5:$D$750,WF_END_PERIOD)&gt;0),INDEX($E$5:$E$750,MATCH(B711&amp;"|"&amp;WF_END_PERIOD,$AC$5:$AC$750,0)),"")</f>
        <v/>
      </c>
      <c r="W711" s="11" t="b">
        <f aca="false">COUNTIFS($B$5:$B$750,B711,$D$5:$D$750,WF_START_PERIOD,$R$5:$R$750,TRUE())&gt;0</f>
        <v>1</v>
      </c>
      <c r="X711" s="11" t="b">
        <f aca="false">COUNTIFS($B$5:$B$750,B711,$D$5:$D$750,WF_END_PERIOD,$R$5:$R$750,TRUE())&gt;0</f>
        <v>1</v>
      </c>
      <c r="Y711" s="0" t="str">
        <f aca="false">IF(AND(D711=WF_END_PERIOD,COUNTIFS($B$5:$B$750,B711,$D$5:$D$750,WF_START_PERIOD)&gt;0),INDEX($E$5:$E$750,MATCH(B711&amp;"|"&amp;WF_START_PERIOD,$AC$5:$AC$750,0)),"")</f>
        <v>ME</v>
      </c>
      <c r="Z711" s="0" t="n">
        <f aca="false">IF(AND(D711=WF_END_PERIOD,R711),1+COUNTIFS($D$5:$D$750,WF_END_PERIOD,$E$5:$E$750,E711,$R$5:$R$750,TRUE(),$S$5:$S$750,"&gt;"&amp;S711)+COUNTIFS($D$5:$D$750,WF_END_PERIOD,$E$5:$E$750,E711,$R$5:$R$750,TRUE(),$S$5:$S$750,S711,$B$5:$B$750,"&lt;"&amp;B711),"")</f>
        <v>5</v>
      </c>
      <c r="AA711" s="0" t="n">
        <f aca="false">IF(AND(D711=WF_END_PERIOD,R711,Z711&lt;&gt;1),1+COUNTIFS($D$5:$D$750,WF_END_PERIOD,$R$5:$R$750,TRUE(),$Z$5:$Z$750,"&lt;&gt;1",$S$5:$S$750,"&gt;"&amp;S711)+COUNTIFS($D$5:$D$750,WF_END_PERIOD,$R$5:$R$750,TRUE(),$Z$5:$Z$750,"&lt;&gt;1",$S$5:$S$750,S711,$B$5:$B$750,"&lt;"&amp;B711),"")</f>
        <v>9</v>
      </c>
      <c r="AB711" s="11" t="b">
        <f aca="false">OR(D711=WF_START_PERIOD,D711=WF_END_PERIOD)</f>
        <v>1</v>
      </c>
      <c r="AC711" s="0" t="str">
        <f aca="false">B711&amp;"|"&amp;D711</f>
        <v>17741|20250630</v>
      </c>
    </row>
    <row r="712" customFormat="false" ht="15" hidden="false" customHeight="false" outlineLevel="0" collapsed="false">
      <c r="A712" s="0" t="n">
        <f aca="false">RawFinancials!A712</f>
        <v>709</v>
      </c>
      <c r="B712" s="0" t="n">
        <f aca="false">RawFinancials!C712</f>
        <v>17743</v>
      </c>
      <c r="C712" s="0" t="str">
        <f aca="false">RawFinancials!P712</f>
        <v>SACO &amp; BIDDEFORD SAVINGS INSTITUTION</v>
      </c>
      <c r="D712" s="0" t="n">
        <f aca="false">RawFinancials!W712</f>
        <v>20250630</v>
      </c>
      <c r="E712" s="0" t="str">
        <f aca="false">RawFinancials!Z712</f>
        <v>ME</v>
      </c>
      <c r="F712" s="0" t="n">
        <f aca="false">RawFinancials!B712</f>
        <v>1439697</v>
      </c>
      <c r="G712" s="0" t="n">
        <f aca="false">RawFinancials!U712</f>
        <v>0</v>
      </c>
      <c r="H712" s="0" t="n">
        <f aca="false">RawFinancials!O712</f>
        <v>407</v>
      </c>
      <c r="I712" s="0" t="n">
        <f aca="false">IF(AND(ISNUMBER(G712),ISNUMBER(H712)),G712+H712,"")</f>
        <v>407</v>
      </c>
      <c r="J712" s="0" t="n">
        <f aca="false">RawFinancials!D712</f>
        <v>1017963</v>
      </c>
      <c r="K712" s="0" t="n">
        <f aca="false">RawFinancials!F712</f>
        <v>126615</v>
      </c>
      <c r="L712" s="0" t="n">
        <f aca="false">RawFinancials!L712</f>
        <v>1153900</v>
      </c>
      <c r="M712" s="0" t="n">
        <f aca="false">RawFinancials!N712</f>
        <v>1110982</v>
      </c>
      <c r="N712" s="13" t="n">
        <f aca="false">RawFinancials!X712</f>
        <v>0.0674104441716298</v>
      </c>
      <c r="O712" s="13" t="n">
        <f aca="false">RawFinancials!V712</f>
        <v>0</v>
      </c>
      <c r="P712" s="13" t="n">
        <f aca="false">IF(AND(ISNUMBER(L712),L712&lt;&gt;0,ISNUMBER(M712)),100*M712/L712,"")</f>
        <v>96.2806135713667</v>
      </c>
      <c r="Q712" s="13" t="n">
        <f aca="false">IF(AND(ISNUMBER(F712),F712&lt;&gt;0,ISNUMBER(K712)),100*K712/F712,"")</f>
        <v>8.79455885509243</v>
      </c>
      <c r="R712" s="11" t="b">
        <f aca="false">AND(ISNUMBER(F712),F712&gt;0,ISNUMBER(G712),G712&gt;=0,ISNUMBER(H712),H712&gt;=0)</f>
        <v>1</v>
      </c>
      <c r="S712" s="13" t="n">
        <f aca="false">IF(R712,100*I712/F712,"")</f>
        <v>0.0282698373338279</v>
      </c>
      <c r="T712" s="11" t="b">
        <f aca="false">NOT(AND(OR(AND(ISBLANK(RawFinancials!B712),ISBLANK(_RawBaseline!B709)),AND(ISNUMBER(RawFinancials!B712),ISNUMBER(_RawBaseline!B709),RawFinancials!B712=_RawBaseline!B709)),OR(AND(ISBLANK(RawFinancials!U712),ISBLANK(_RawBaseline!U709)),AND(ISNUMBER(RawFinancials!U712),ISNUMBER(_RawBaseline!U709),RawFinancials!U712=_RawBaseline!U709)),OR(AND(ISBLANK(RawFinancials!O712),ISBLANK(_RawBaseline!O709)),AND(ISNUMBER(RawFinancials!O712),ISNUMBER(_RawBaseline!O709),RawFinancials!O712=_RawBaseline!O709))))</f>
        <v>0</v>
      </c>
      <c r="U712" s="13" t="n">
        <f aca="false">IF(AND(D712=WF_START_PERIOD,R712,COUNTIFS($B$5:$B$750,B712,$D$5:$D$750,WF_END_PERIOD,$R$5:$R$750,TRUE())&gt;0),SUMIFS($S$5:$S$750,$B$5:$B$750,B712,$D$5:$D$750,WF_END_PERIOD,$R$5:$R$750,TRUE()),0)</f>
        <v>0</v>
      </c>
      <c r="V712" s="0" t="str">
        <f aca="false">IF(AND(D712=WF_START_PERIOD,COUNTIFS($B$5:$B$750,B712,$D$5:$D$750,WF_END_PERIOD)&gt;0),INDEX($E$5:$E$750,MATCH(B712&amp;"|"&amp;WF_END_PERIOD,$AC$5:$AC$750,0)),"")</f>
        <v/>
      </c>
      <c r="W712" s="11" t="b">
        <f aca="false">COUNTIFS($B$5:$B$750,B712,$D$5:$D$750,WF_START_PERIOD,$R$5:$R$750,TRUE())&gt;0</f>
        <v>1</v>
      </c>
      <c r="X712" s="11" t="b">
        <f aca="false">COUNTIFS($B$5:$B$750,B712,$D$5:$D$750,WF_END_PERIOD,$R$5:$R$750,TRUE())&gt;0</f>
        <v>1</v>
      </c>
      <c r="Y712" s="0" t="str">
        <f aca="false">IF(AND(D712=WF_END_PERIOD,COUNTIFS($B$5:$B$750,B712,$D$5:$D$750,WF_START_PERIOD)&gt;0),INDEX($E$5:$E$750,MATCH(B712&amp;"|"&amp;WF_START_PERIOD,$AC$5:$AC$750,0)),"")</f>
        <v>ME</v>
      </c>
      <c r="Z712" s="0" t="n">
        <f aca="false">IF(AND(D712=WF_END_PERIOD,R712),1+COUNTIFS($D$5:$D$750,WF_END_PERIOD,$E$5:$E$750,E712,$R$5:$R$750,TRUE(),$S$5:$S$750,"&gt;"&amp;S712)+COUNTIFS($D$5:$D$750,WF_END_PERIOD,$E$5:$E$750,E712,$R$5:$R$750,TRUE(),$S$5:$S$750,S712,$B$5:$B$750,"&lt;"&amp;B712),"")</f>
        <v>22</v>
      </c>
      <c r="AA712" s="0" t="n">
        <f aca="false">IF(AND(D712=WF_END_PERIOD,R712,Z712&lt;&gt;1),1+COUNTIFS($D$5:$D$750,WF_END_PERIOD,$R$5:$R$750,TRUE(),$Z$5:$Z$750,"&lt;&gt;1",$S$5:$S$750,"&gt;"&amp;S712)+COUNTIFS($D$5:$D$750,WF_END_PERIOD,$R$5:$R$750,TRUE(),$Z$5:$Z$750,"&lt;&gt;1",$S$5:$S$750,S712,$B$5:$B$750,"&lt;"&amp;B712),"")</f>
        <v>42</v>
      </c>
      <c r="AB712" s="11" t="b">
        <f aca="false">OR(D712=WF_START_PERIOD,D712=WF_END_PERIOD)</f>
        <v>1</v>
      </c>
      <c r="AC712" s="0" t="str">
        <f aca="false">B712&amp;"|"&amp;D712</f>
        <v>17743|20250630</v>
      </c>
    </row>
    <row r="713" customFormat="false" ht="15" hidden="false" customHeight="false" outlineLevel="0" collapsed="false">
      <c r="A713" s="0" t="n">
        <f aca="false">RawFinancials!A713</f>
        <v>710</v>
      </c>
      <c r="B713" s="0" t="n">
        <f aca="false">RawFinancials!C713</f>
        <v>17749</v>
      </c>
      <c r="C713" s="0" t="str">
        <f aca="false">RawFinancials!P713</f>
        <v>BATH SAVINGS INSTITUTION</v>
      </c>
      <c r="D713" s="0" t="n">
        <f aca="false">RawFinancials!W713</f>
        <v>20250630</v>
      </c>
      <c r="E713" s="0" t="str">
        <f aca="false">RawFinancials!Z713</f>
        <v>ME</v>
      </c>
      <c r="F713" s="0" t="n">
        <f aca="false">RawFinancials!B713</f>
        <v>1447972</v>
      </c>
      <c r="G713" s="0" t="n">
        <f aca="false">RawFinancials!U713</f>
        <v>66</v>
      </c>
      <c r="H713" s="0" t="n">
        <f aca="false">RawFinancials!O713</f>
        <v>1306</v>
      </c>
      <c r="I713" s="0" t="n">
        <f aca="false">IF(AND(ISNUMBER(G713),ISNUMBER(H713)),G713+H713,"")</f>
        <v>1372</v>
      </c>
      <c r="J713" s="0" t="n">
        <f aca="false">RawFinancials!D713</f>
        <v>1125192</v>
      </c>
      <c r="K713" s="0" t="n">
        <f aca="false">RawFinancials!F713</f>
        <v>203598</v>
      </c>
      <c r="L713" s="0" t="n">
        <f aca="false">RawFinancials!L713</f>
        <v>837251</v>
      </c>
      <c r="M713" s="0" t="n">
        <f aca="false">RawFinancials!N713</f>
        <v>759223</v>
      </c>
      <c r="N713" s="13" t="n">
        <f aca="false">RawFinancials!X713</f>
        <v>0.885431471938352</v>
      </c>
      <c r="O713" s="13" t="n">
        <f aca="false">RawFinancials!V713</f>
        <v>0</v>
      </c>
      <c r="P713" s="13" t="n">
        <f aca="false">IF(AND(ISNUMBER(L713),L713&lt;&gt;0,ISNUMBER(M713)),100*M713/L713,"")</f>
        <v>90.6804530541021</v>
      </c>
      <c r="Q713" s="13" t="n">
        <f aca="false">IF(AND(ISNUMBER(F713),F713&lt;&gt;0,ISNUMBER(K713)),100*K713/F713,"")</f>
        <v>14.0609072551127</v>
      </c>
      <c r="R713" s="11" t="b">
        <f aca="false">AND(ISNUMBER(F713),F713&gt;0,ISNUMBER(G713),G713&gt;=0,ISNUMBER(H713),H713&gt;=0)</f>
        <v>1</v>
      </c>
      <c r="S713" s="13" t="n">
        <f aca="false">IF(R713,100*I713/F713,"")</f>
        <v>0.0947532134599288</v>
      </c>
      <c r="T713" s="11" t="b">
        <f aca="false">NOT(AND(OR(AND(ISBLANK(RawFinancials!B713),ISBLANK(_RawBaseline!B710)),AND(ISNUMBER(RawFinancials!B713),ISNUMBER(_RawBaseline!B710),RawFinancials!B713=_RawBaseline!B710)),OR(AND(ISBLANK(RawFinancials!U713),ISBLANK(_RawBaseline!U710)),AND(ISNUMBER(RawFinancials!U713),ISNUMBER(_RawBaseline!U710),RawFinancials!U713=_RawBaseline!U710)),OR(AND(ISBLANK(RawFinancials!O713),ISBLANK(_RawBaseline!O710)),AND(ISNUMBER(RawFinancials!O713),ISNUMBER(_RawBaseline!O710),RawFinancials!O713=_RawBaseline!O710))))</f>
        <v>0</v>
      </c>
      <c r="U713" s="13" t="n">
        <f aca="false">IF(AND(D713=WF_START_PERIOD,R713,COUNTIFS($B$5:$B$750,B713,$D$5:$D$750,WF_END_PERIOD,$R$5:$R$750,TRUE())&gt;0),SUMIFS($S$5:$S$750,$B$5:$B$750,B713,$D$5:$D$750,WF_END_PERIOD,$R$5:$R$750,TRUE()),0)</f>
        <v>0</v>
      </c>
      <c r="V713" s="0" t="str">
        <f aca="false">IF(AND(D713=WF_START_PERIOD,COUNTIFS($B$5:$B$750,B713,$D$5:$D$750,WF_END_PERIOD)&gt;0),INDEX($E$5:$E$750,MATCH(B713&amp;"|"&amp;WF_END_PERIOD,$AC$5:$AC$750,0)),"")</f>
        <v/>
      </c>
      <c r="W713" s="11" t="b">
        <f aca="false">COUNTIFS($B$5:$B$750,B713,$D$5:$D$750,WF_START_PERIOD,$R$5:$R$750,TRUE())&gt;0</f>
        <v>1</v>
      </c>
      <c r="X713" s="11" t="b">
        <f aca="false">COUNTIFS($B$5:$B$750,B713,$D$5:$D$750,WF_END_PERIOD,$R$5:$R$750,TRUE())&gt;0</f>
        <v>1</v>
      </c>
      <c r="Y713" s="0" t="str">
        <f aca="false">IF(AND(D713=WF_END_PERIOD,COUNTIFS($B$5:$B$750,B713,$D$5:$D$750,WF_START_PERIOD)&gt;0),INDEX($E$5:$E$750,MATCH(B713&amp;"|"&amp;WF_START_PERIOD,$AC$5:$AC$750,0)),"")</f>
        <v>ME</v>
      </c>
      <c r="Z713" s="0" t="n">
        <f aca="false">IF(AND(D713=WF_END_PERIOD,R713),1+COUNTIFS($D$5:$D$750,WF_END_PERIOD,$E$5:$E$750,E713,$R$5:$R$750,TRUE(),$S$5:$S$750,"&gt;"&amp;S713)+COUNTIFS($D$5:$D$750,WF_END_PERIOD,$E$5:$E$750,E713,$R$5:$R$750,TRUE(),$S$5:$S$750,S713,$B$5:$B$750,"&lt;"&amp;B713),"")</f>
        <v>20</v>
      </c>
      <c r="AA713" s="0" t="n">
        <f aca="false">IF(AND(D713=WF_END_PERIOD,R713,Z713&lt;&gt;1),1+COUNTIFS($D$5:$D$750,WF_END_PERIOD,$R$5:$R$750,TRUE(),$Z$5:$Z$750,"&lt;&gt;1",$S$5:$S$750,"&gt;"&amp;S713)+COUNTIFS($D$5:$D$750,WF_END_PERIOD,$R$5:$R$750,TRUE(),$Z$5:$Z$750,"&lt;&gt;1",$S$5:$S$750,S713,$B$5:$B$750,"&lt;"&amp;B713),"")</f>
        <v>37</v>
      </c>
      <c r="AB713" s="11" t="b">
        <f aca="false">OR(D713=WF_START_PERIOD,D713=WF_END_PERIOD)</f>
        <v>1</v>
      </c>
      <c r="AC713" s="0" t="str">
        <f aca="false">B713&amp;"|"&amp;D713</f>
        <v>17749|20250630</v>
      </c>
    </row>
    <row r="714" customFormat="false" ht="15" hidden="false" customHeight="false" outlineLevel="0" collapsed="false">
      <c r="A714" s="0" t="n">
        <f aca="false">RawFinancials!A714</f>
        <v>711</v>
      </c>
      <c r="B714" s="0" t="n">
        <f aca="false">RawFinancials!C714</f>
        <v>17751</v>
      </c>
      <c r="C714" s="0" t="str">
        <f aca="false">RawFinancials!P714</f>
        <v>ANDROSCOGGIN SAVINGS BANK</v>
      </c>
      <c r="D714" s="0" t="n">
        <f aca="false">RawFinancials!W714</f>
        <v>20250630</v>
      </c>
      <c r="E714" s="0" t="str">
        <f aca="false">RawFinancials!Z714</f>
        <v>ME</v>
      </c>
      <c r="F714" s="0" t="n">
        <f aca="false">RawFinancials!B714</f>
        <v>1763462</v>
      </c>
      <c r="G714" s="0" t="n">
        <f aca="false">RawFinancials!U714</f>
        <v>0</v>
      </c>
      <c r="H714" s="0" t="n">
        <f aca="false">RawFinancials!O714</f>
        <v>2425</v>
      </c>
      <c r="I714" s="0" t="n">
        <f aca="false">IF(AND(ISNUMBER(G714),ISNUMBER(H714)),G714+H714,"")</f>
        <v>2425</v>
      </c>
      <c r="J714" s="0" t="n">
        <f aca="false">RawFinancials!D714</f>
        <v>1373195</v>
      </c>
      <c r="K714" s="0" t="n">
        <f aca="false">RawFinancials!F714</f>
        <v>175467</v>
      </c>
      <c r="L714" s="0" t="n">
        <f aca="false">RawFinancials!L714</f>
        <v>1456858</v>
      </c>
      <c r="M714" s="0" t="n">
        <f aca="false">RawFinancials!N714</f>
        <v>1232944</v>
      </c>
      <c r="N714" s="13" t="n">
        <f aca="false">RawFinancials!X714</f>
        <v>0.456345594479789</v>
      </c>
      <c r="O714" s="13" t="n">
        <f aca="false">RawFinancials!V714</f>
        <v>13.9221615094596</v>
      </c>
      <c r="P714" s="13" t="n">
        <f aca="false">IF(AND(ISNUMBER(L714),L714&lt;&gt;0,ISNUMBER(M714)),100*M714/L714,"")</f>
        <v>84.6303483249569</v>
      </c>
      <c r="Q714" s="13" t="n">
        <f aca="false">IF(AND(ISNUMBER(F714),F714&lt;&gt;0,ISNUMBER(K714)),100*K714/F714,"")</f>
        <v>9.95014352449897</v>
      </c>
      <c r="R714" s="11" t="b">
        <f aca="false">AND(ISNUMBER(F714),F714&gt;0,ISNUMBER(G714),G714&gt;=0,ISNUMBER(H714),H714&gt;=0)</f>
        <v>1</v>
      </c>
      <c r="S714" s="13" t="n">
        <f aca="false">IF(R714,100*I714/F714,"")</f>
        <v>0.137513595416289</v>
      </c>
      <c r="T714" s="11" t="b">
        <f aca="false">NOT(AND(OR(AND(ISBLANK(RawFinancials!B714),ISBLANK(_RawBaseline!B711)),AND(ISNUMBER(RawFinancials!B714),ISNUMBER(_RawBaseline!B711),RawFinancials!B714=_RawBaseline!B711)),OR(AND(ISBLANK(RawFinancials!U714),ISBLANK(_RawBaseline!U711)),AND(ISNUMBER(RawFinancials!U714),ISNUMBER(_RawBaseline!U711),RawFinancials!U714=_RawBaseline!U711)),OR(AND(ISBLANK(RawFinancials!O714),ISBLANK(_RawBaseline!O711)),AND(ISNUMBER(RawFinancials!O714),ISNUMBER(_RawBaseline!O711),RawFinancials!O714=_RawBaseline!O711))))</f>
        <v>0</v>
      </c>
      <c r="U714" s="13" t="n">
        <f aca="false">IF(AND(D714=WF_START_PERIOD,R714,COUNTIFS($B$5:$B$750,B714,$D$5:$D$750,WF_END_PERIOD,$R$5:$R$750,TRUE())&gt;0),SUMIFS($S$5:$S$750,$B$5:$B$750,B714,$D$5:$D$750,WF_END_PERIOD,$R$5:$R$750,TRUE()),0)</f>
        <v>0</v>
      </c>
      <c r="V714" s="0" t="str">
        <f aca="false">IF(AND(D714=WF_START_PERIOD,COUNTIFS($B$5:$B$750,B714,$D$5:$D$750,WF_END_PERIOD)&gt;0),INDEX($E$5:$E$750,MATCH(B714&amp;"|"&amp;WF_END_PERIOD,$AC$5:$AC$750,0)),"")</f>
        <v/>
      </c>
      <c r="W714" s="11" t="b">
        <f aca="false">COUNTIFS($B$5:$B$750,B714,$D$5:$D$750,WF_START_PERIOD,$R$5:$R$750,TRUE())&gt;0</f>
        <v>1</v>
      </c>
      <c r="X714" s="11" t="b">
        <f aca="false">COUNTIFS($B$5:$B$750,B714,$D$5:$D$750,WF_END_PERIOD,$R$5:$R$750,TRUE())&gt;0</f>
        <v>1</v>
      </c>
      <c r="Y714" s="0" t="str">
        <f aca="false">IF(AND(D714=WF_END_PERIOD,COUNTIFS($B$5:$B$750,B714,$D$5:$D$750,WF_START_PERIOD)&gt;0),INDEX($E$5:$E$750,MATCH(B714&amp;"|"&amp;WF_START_PERIOD,$AC$5:$AC$750,0)),"")</f>
        <v>ME</v>
      </c>
      <c r="Z714" s="0" t="n">
        <f aca="false">IF(AND(D714=WF_END_PERIOD,R714),1+COUNTIFS($D$5:$D$750,WF_END_PERIOD,$E$5:$E$750,E714,$R$5:$R$750,TRUE(),$S$5:$S$750,"&gt;"&amp;S714)+COUNTIFS($D$5:$D$750,WF_END_PERIOD,$E$5:$E$750,E714,$R$5:$R$750,TRUE(),$S$5:$S$750,S714,$B$5:$B$750,"&lt;"&amp;B714),"")</f>
        <v>16</v>
      </c>
      <c r="AA714" s="0" t="n">
        <f aca="false">IF(AND(D714=WF_END_PERIOD,R714,Z714&lt;&gt;1),1+COUNTIFS($D$5:$D$750,WF_END_PERIOD,$R$5:$R$750,TRUE(),$Z$5:$Z$750,"&lt;&gt;1",$S$5:$S$750,"&gt;"&amp;S714)+COUNTIFS($D$5:$D$750,WF_END_PERIOD,$R$5:$R$750,TRUE(),$Z$5:$Z$750,"&lt;&gt;1",$S$5:$S$750,S714,$B$5:$B$750,"&lt;"&amp;B714),"")</f>
        <v>30</v>
      </c>
      <c r="AB714" s="11" t="b">
        <f aca="false">OR(D714=WF_START_PERIOD,D714=WF_END_PERIOD)</f>
        <v>1</v>
      </c>
      <c r="AC714" s="0" t="str">
        <f aca="false">B714&amp;"|"&amp;D714</f>
        <v>17751|20250630</v>
      </c>
    </row>
    <row r="715" customFormat="false" ht="15" hidden="false" customHeight="false" outlineLevel="0" collapsed="false">
      <c r="A715" s="0" t="n">
        <f aca="false">RawFinancials!A715</f>
        <v>712</v>
      </c>
      <c r="B715" s="0" t="n">
        <f aca="false">RawFinancials!C715</f>
        <v>17897</v>
      </c>
      <c r="C715" s="0" t="str">
        <f aca="false">RawFinancials!P715</f>
        <v>KENNEBEC SAVINGS BANK</v>
      </c>
      <c r="D715" s="0" t="n">
        <f aca="false">RawFinancials!W715</f>
        <v>20250630</v>
      </c>
      <c r="E715" s="0" t="str">
        <f aca="false">RawFinancials!Z715</f>
        <v>ME</v>
      </c>
      <c r="F715" s="0" t="n">
        <f aca="false">RawFinancials!B715</f>
        <v>1790373</v>
      </c>
      <c r="G715" s="0" t="n">
        <f aca="false">RawFinancials!U715</f>
        <v>0</v>
      </c>
      <c r="H715" s="0" t="n">
        <f aca="false">RawFinancials!O715</f>
        <v>5391</v>
      </c>
      <c r="I715" s="0" t="n">
        <f aca="false">IF(AND(ISNUMBER(G715),ISNUMBER(H715)),G715+H715,"")</f>
        <v>5391</v>
      </c>
      <c r="J715" s="0" t="n">
        <f aca="false">RawFinancials!D715</f>
        <v>1352989</v>
      </c>
      <c r="K715" s="0" t="n">
        <f aca="false">RawFinancials!F715</f>
        <v>226000</v>
      </c>
      <c r="L715" s="0" t="n">
        <f aca="false">RawFinancials!L715</f>
        <v>1493755</v>
      </c>
      <c r="M715" s="0" t="n">
        <f aca="false">RawFinancials!N715</f>
        <v>1393686</v>
      </c>
      <c r="N715" s="13" t="n">
        <f aca="false">RawFinancials!X715</f>
        <v>0.973987306631968</v>
      </c>
      <c r="O715" s="13" t="n">
        <f aca="false">RawFinancials!V715</f>
        <v>17.6818933802263</v>
      </c>
      <c r="P715" s="13" t="n">
        <f aca="false">IF(AND(ISNUMBER(L715),L715&lt;&gt;0,ISNUMBER(M715)),100*M715/L715,"")</f>
        <v>93.3008425076401</v>
      </c>
      <c r="Q715" s="13" t="n">
        <f aca="false">IF(AND(ISNUMBER(F715),F715&lt;&gt;0,ISNUMBER(K715)),100*K715/F715,"")</f>
        <v>12.6230679305374</v>
      </c>
      <c r="R715" s="11" t="b">
        <f aca="false">AND(ISNUMBER(F715),F715&gt;0,ISNUMBER(G715),G715&gt;=0,ISNUMBER(H715),H715&gt;=0)</f>
        <v>1</v>
      </c>
      <c r="S715" s="13" t="n">
        <f aca="false">IF(R715,100*I715/F715,"")</f>
        <v>0.301110438997907</v>
      </c>
      <c r="T715" s="11" t="b">
        <f aca="false">NOT(AND(OR(AND(ISBLANK(RawFinancials!B715),ISBLANK(_RawBaseline!B712)),AND(ISNUMBER(RawFinancials!B715),ISNUMBER(_RawBaseline!B712),RawFinancials!B715=_RawBaseline!B712)),OR(AND(ISBLANK(RawFinancials!U715),ISBLANK(_RawBaseline!U712)),AND(ISNUMBER(RawFinancials!U715),ISNUMBER(_RawBaseline!U712),RawFinancials!U715=_RawBaseline!U712)),OR(AND(ISBLANK(RawFinancials!O715),ISBLANK(_RawBaseline!O712)),AND(ISNUMBER(RawFinancials!O715),ISNUMBER(_RawBaseline!O712),RawFinancials!O715=_RawBaseline!O712))))</f>
        <v>0</v>
      </c>
      <c r="U715" s="13" t="n">
        <f aca="false">IF(AND(D715=WF_START_PERIOD,R715,COUNTIFS($B$5:$B$750,B715,$D$5:$D$750,WF_END_PERIOD,$R$5:$R$750,TRUE())&gt;0),SUMIFS($S$5:$S$750,$B$5:$B$750,B715,$D$5:$D$750,WF_END_PERIOD,$R$5:$R$750,TRUE()),0)</f>
        <v>0</v>
      </c>
      <c r="V715" s="0" t="str">
        <f aca="false">IF(AND(D715=WF_START_PERIOD,COUNTIFS($B$5:$B$750,B715,$D$5:$D$750,WF_END_PERIOD)&gt;0),INDEX($E$5:$E$750,MATCH(B715&amp;"|"&amp;WF_END_PERIOD,$AC$5:$AC$750,0)),"")</f>
        <v/>
      </c>
      <c r="W715" s="11" t="b">
        <f aca="false">COUNTIFS($B$5:$B$750,B715,$D$5:$D$750,WF_START_PERIOD,$R$5:$R$750,TRUE())&gt;0</f>
        <v>1</v>
      </c>
      <c r="X715" s="11" t="b">
        <f aca="false">COUNTIFS($B$5:$B$750,B715,$D$5:$D$750,WF_END_PERIOD,$R$5:$R$750,TRUE())&gt;0</f>
        <v>1</v>
      </c>
      <c r="Y715" s="0" t="str">
        <f aca="false">IF(AND(D715=WF_END_PERIOD,COUNTIFS($B$5:$B$750,B715,$D$5:$D$750,WF_START_PERIOD)&gt;0),INDEX($E$5:$E$750,MATCH(B715&amp;"|"&amp;WF_START_PERIOD,$AC$5:$AC$750,0)),"")</f>
        <v>ME</v>
      </c>
      <c r="Z715" s="0" t="n">
        <f aca="false">IF(AND(D715=WF_END_PERIOD,R715),1+COUNTIFS($D$5:$D$750,WF_END_PERIOD,$E$5:$E$750,E715,$R$5:$R$750,TRUE(),$S$5:$S$750,"&gt;"&amp;S715)+COUNTIFS($D$5:$D$750,WF_END_PERIOD,$E$5:$E$750,E715,$R$5:$R$750,TRUE(),$S$5:$S$750,S715,$B$5:$B$750,"&lt;"&amp;B715),"")</f>
        <v>10</v>
      </c>
      <c r="AA715" s="0" t="n">
        <f aca="false">IF(AND(D715=WF_END_PERIOD,R715,Z715&lt;&gt;1),1+COUNTIFS($D$5:$D$750,WF_END_PERIOD,$R$5:$R$750,TRUE(),$Z$5:$Z$750,"&lt;&gt;1",$S$5:$S$750,"&gt;"&amp;S715)+COUNTIFS($D$5:$D$750,WF_END_PERIOD,$R$5:$R$750,TRUE(),$Z$5:$Z$750,"&lt;&gt;1",$S$5:$S$750,S715,$B$5:$B$750,"&lt;"&amp;B715),"")</f>
        <v>21</v>
      </c>
      <c r="AB715" s="11" t="b">
        <f aca="false">OR(D715=WF_START_PERIOD,D715=WF_END_PERIOD)</f>
        <v>1</v>
      </c>
      <c r="AC715" s="0" t="str">
        <f aca="false">B715&amp;"|"&amp;D715</f>
        <v>17897|20250630</v>
      </c>
    </row>
    <row r="716" customFormat="false" ht="15" hidden="false" customHeight="false" outlineLevel="0" collapsed="false">
      <c r="A716" s="0" t="n">
        <f aca="false">RawFinancials!A716</f>
        <v>713</v>
      </c>
      <c r="B716" s="0" t="n">
        <f aca="false">RawFinancials!C716</f>
        <v>17951</v>
      </c>
      <c r="C716" s="0" t="str">
        <f aca="false">RawFinancials!P716</f>
        <v>FRANKLIN SAVINGS BANK</v>
      </c>
      <c r="D716" s="0" t="n">
        <f aca="false">RawFinancials!W716</f>
        <v>20250630</v>
      </c>
      <c r="E716" s="0" t="str">
        <f aca="false">RawFinancials!Z716</f>
        <v>NH</v>
      </c>
      <c r="F716" s="0" t="n">
        <f aca="false">RawFinancials!B716</f>
        <v>905293</v>
      </c>
      <c r="G716" s="0" t="n">
        <f aca="false">RawFinancials!U716</f>
        <v>0</v>
      </c>
      <c r="H716" s="0" t="n">
        <f aca="false">RawFinancials!O716</f>
        <v>150</v>
      </c>
      <c r="I716" s="0" t="n">
        <f aca="false">IF(AND(ISNUMBER(G716),ISNUMBER(H716)),G716+H716,"")</f>
        <v>150</v>
      </c>
      <c r="J716" s="0" t="n">
        <f aca="false">RawFinancials!D716</f>
        <v>747263</v>
      </c>
      <c r="K716" s="0" t="n">
        <f aca="false">RawFinancials!F716</f>
        <v>70680</v>
      </c>
      <c r="L716" s="0" t="n">
        <f aca="false">RawFinancials!L716</f>
        <v>694645</v>
      </c>
      <c r="M716" s="0" t="n">
        <f aca="false">RawFinancials!N716</f>
        <v>636895</v>
      </c>
      <c r="N716" s="13" t="n">
        <f aca="false">RawFinancials!X716</f>
        <v>0.647365164184546</v>
      </c>
      <c r="O716" s="13" t="n">
        <f aca="false">RawFinancials!V716</f>
        <v>13.0942608216289</v>
      </c>
      <c r="P716" s="13" t="n">
        <f aca="false">IF(AND(ISNUMBER(L716),L716&lt;&gt;0,ISNUMBER(M716)),100*M716/L716,"")</f>
        <v>91.6864009674006</v>
      </c>
      <c r="Q716" s="13" t="n">
        <f aca="false">IF(AND(ISNUMBER(F716),F716&lt;&gt;0,ISNUMBER(K716)),100*K716/F716,"")</f>
        <v>7.80741704619388</v>
      </c>
      <c r="R716" s="11" t="b">
        <f aca="false">AND(ISNUMBER(F716),F716&gt;0,ISNUMBER(G716),G716&gt;=0,ISNUMBER(H716),H716&gt;=0)</f>
        <v>1</v>
      </c>
      <c r="S716" s="13" t="n">
        <f aca="false">IF(R716,100*I716/F716,"")</f>
        <v>0.0165692212355558</v>
      </c>
      <c r="T716" s="11" t="b">
        <f aca="false">NOT(AND(OR(AND(ISBLANK(RawFinancials!B716),ISBLANK(_RawBaseline!B713)),AND(ISNUMBER(RawFinancials!B716),ISNUMBER(_RawBaseline!B713),RawFinancials!B716=_RawBaseline!B713)),OR(AND(ISBLANK(RawFinancials!U716),ISBLANK(_RawBaseline!U713)),AND(ISNUMBER(RawFinancials!U716),ISNUMBER(_RawBaseline!U713),RawFinancials!U716=_RawBaseline!U713)),OR(AND(ISBLANK(RawFinancials!O716),ISBLANK(_RawBaseline!O713)),AND(ISNUMBER(RawFinancials!O716),ISNUMBER(_RawBaseline!O713),RawFinancials!O716=_RawBaseline!O713))))</f>
        <v>0</v>
      </c>
      <c r="U716" s="13" t="n">
        <f aca="false">IF(AND(D716=WF_START_PERIOD,R716,COUNTIFS($B$5:$B$750,B716,$D$5:$D$750,WF_END_PERIOD,$R$5:$R$750,TRUE())&gt;0),SUMIFS($S$5:$S$750,$B$5:$B$750,B716,$D$5:$D$750,WF_END_PERIOD,$R$5:$R$750,TRUE()),0)</f>
        <v>0</v>
      </c>
      <c r="V716" s="0" t="str">
        <f aca="false">IF(AND(D716=WF_START_PERIOD,COUNTIFS($B$5:$B$750,B716,$D$5:$D$750,WF_END_PERIOD)&gt;0),INDEX($E$5:$E$750,MATCH(B716&amp;"|"&amp;WF_END_PERIOD,$AC$5:$AC$750,0)),"")</f>
        <v/>
      </c>
      <c r="W716" s="11" t="b">
        <f aca="false">COUNTIFS($B$5:$B$750,B716,$D$5:$D$750,WF_START_PERIOD,$R$5:$R$750,TRUE())&gt;0</f>
        <v>1</v>
      </c>
      <c r="X716" s="11" t="b">
        <f aca="false">COUNTIFS($B$5:$B$750,B716,$D$5:$D$750,WF_END_PERIOD,$R$5:$R$750,TRUE())&gt;0</f>
        <v>1</v>
      </c>
      <c r="Y716" s="0" t="str">
        <f aca="false">IF(AND(D716=WF_END_PERIOD,COUNTIFS($B$5:$B$750,B716,$D$5:$D$750,WF_START_PERIOD)&gt;0),INDEX($E$5:$E$750,MATCH(B716&amp;"|"&amp;WF_START_PERIOD,$AC$5:$AC$750,0)),"")</f>
        <v>NH</v>
      </c>
      <c r="Z716" s="0" t="n">
        <f aca="false">IF(AND(D716=WF_END_PERIOD,R716),1+COUNTIFS($D$5:$D$750,WF_END_PERIOD,$E$5:$E$750,E716,$R$5:$R$750,TRUE(),$S$5:$S$750,"&gt;"&amp;S716)+COUNTIFS($D$5:$D$750,WF_END_PERIOD,$E$5:$E$750,E716,$R$5:$R$750,TRUE(),$S$5:$S$750,S716,$B$5:$B$750,"&lt;"&amp;B716),"")</f>
        <v>13</v>
      </c>
      <c r="AA716" s="0" t="n">
        <f aca="false">IF(AND(D716=WF_END_PERIOD,R716,Z716&lt;&gt;1),1+COUNTIFS($D$5:$D$750,WF_END_PERIOD,$R$5:$R$750,TRUE(),$Z$5:$Z$750,"&lt;&gt;1",$S$5:$S$750,"&gt;"&amp;S716)+COUNTIFS($D$5:$D$750,WF_END_PERIOD,$R$5:$R$750,TRUE(),$Z$5:$Z$750,"&lt;&gt;1",$S$5:$S$750,S716,$B$5:$B$750,"&lt;"&amp;B716),"")</f>
        <v>43</v>
      </c>
      <c r="AB716" s="11" t="b">
        <f aca="false">OR(D716=WF_START_PERIOD,D716=WF_END_PERIOD)</f>
        <v>1</v>
      </c>
      <c r="AC716" s="0" t="str">
        <f aca="false">B716&amp;"|"&amp;D716</f>
        <v>17951|20250630</v>
      </c>
    </row>
    <row r="717" customFormat="false" ht="15" hidden="false" customHeight="false" outlineLevel="0" collapsed="false">
      <c r="A717" s="0" t="n">
        <f aca="false">RawFinancials!A717</f>
        <v>714</v>
      </c>
      <c r="B717" s="0" t="n">
        <f aca="false">RawFinancials!C717</f>
        <v>17960</v>
      </c>
      <c r="C717" s="0" t="str">
        <f aca="false">RawFinancials!P717</f>
        <v>MERRIMACK COUNTY SAVINGS BANK</v>
      </c>
      <c r="D717" s="0" t="n">
        <f aca="false">RawFinancials!W717</f>
        <v>20250630</v>
      </c>
      <c r="E717" s="0" t="str">
        <f aca="false">RawFinancials!Z717</f>
        <v>NH</v>
      </c>
      <c r="F717" s="0" t="n">
        <f aca="false">RawFinancials!B717</f>
        <v>1351508</v>
      </c>
      <c r="G717" s="0" t="n">
        <f aca="false">RawFinancials!U717</f>
        <v>0</v>
      </c>
      <c r="H717" s="0" t="n">
        <f aca="false">RawFinancials!O717</f>
        <v>7677</v>
      </c>
      <c r="I717" s="0" t="n">
        <f aca="false">IF(AND(ISNUMBER(G717),ISNUMBER(H717)),G717+H717,"")</f>
        <v>7677</v>
      </c>
      <c r="J717" s="0" t="n">
        <f aca="false">RawFinancials!D717</f>
        <v>1099933</v>
      </c>
      <c r="K717" s="0" t="n">
        <f aca="false">RawFinancials!F717</f>
        <v>119316</v>
      </c>
      <c r="L717" s="0" t="n">
        <f aca="false">RawFinancials!L717</f>
        <v>1146687</v>
      </c>
      <c r="M717" s="0" t="n">
        <f aca="false">RawFinancials!N717</f>
        <v>807602</v>
      </c>
      <c r="N717" s="13" t="n">
        <f aca="false">RawFinancials!X717</f>
        <v>0.262782180471353</v>
      </c>
      <c r="O717" s="13" t="n">
        <f aca="false">RawFinancials!V717</f>
        <v>13.7977129571644</v>
      </c>
      <c r="P717" s="13" t="n">
        <f aca="false">IF(AND(ISNUMBER(L717),L717&lt;&gt;0,ISNUMBER(M717)),100*M717/L717,"")</f>
        <v>70.4291580876037</v>
      </c>
      <c r="Q717" s="13" t="n">
        <f aca="false">IF(AND(ISNUMBER(F717),F717&lt;&gt;0,ISNUMBER(K717)),100*K717/F717,"")</f>
        <v>8.82836061643734</v>
      </c>
      <c r="R717" s="11" t="b">
        <f aca="false">AND(ISNUMBER(F717),F717&gt;0,ISNUMBER(G717),G717&gt;=0,ISNUMBER(H717),H717&gt;=0)</f>
        <v>1</v>
      </c>
      <c r="S717" s="13" t="n">
        <f aca="false">IF(R717,100*I717/F717,"")</f>
        <v>0.568032153712742</v>
      </c>
      <c r="T717" s="11" t="b">
        <f aca="false">NOT(AND(OR(AND(ISBLANK(RawFinancials!B717),ISBLANK(_RawBaseline!B714)),AND(ISNUMBER(RawFinancials!B717),ISNUMBER(_RawBaseline!B714),RawFinancials!B717=_RawBaseline!B714)),OR(AND(ISBLANK(RawFinancials!U717),ISBLANK(_RawBaseline!U714)),AND(ISNUMBER(RawFinancials!U717),ISNUMBER(_RawBaseline!U714),RawFinancials!U717=_RawBaseline!U714)),OR(AND(ISBLANK(RawFinancials!O717),ISBLANK(_RawBaseline!O714)),AND(ISNUMBER(RawFinancials!O717),ISNUMBER(_RawBaseline!O714),RawFinancials!O717=_RawBaseline!O714))))</f>
        <v>0</v>
      </c>
      <c r="U717" s="13" t="n">
        <f aca="false">IF(AND(D717=WF_START_PERIOD,R717,COUNTIFS($B$5:$B$750,B717,$D$5:$D$750,WF_END_PERIOD,$R$5:$R$750,TRUE())&gt;0),SUMIFS($S$5:$S$750,$B$5:$B$750,B717,$D$5:$D$750,WF_END_PERIOD,$R$5:$R$750,TRUE()),0)</f>
        <v>0</v>
      </c>
      <c r="V717" s="0" t="str">
        <f aca="false">IF(AND(D717=WF_START_PERIOD,COUNTIFS($B$5:$B$750,B717,$D$5:$D$750,WF_END_PERIOD)&gt;0),INDEX($E$5:$E$750,MATCH(B717&amp;"|"&amp;WF_END_PERIOD,$AC$5:$AC$750,0)),"")</f>
        <v/>
      </c>
      <c r="W717" s="11" t="b">
        <f aca="false">COUNTIFS($B$5:$B$750,B717,$D$5:$D$750,WF_START_PERIOD,$R$5:$R$750,TRUE())&gt;0</f>
        <v>1</v>
      </c>
      <c r="X717" s="11" t="b">
        <f aca="false">COUNTIFS($B$5:$B$750,B717,$D$5:$D$750,WF_END_PERIOD,$R$5:$R$750,TRUE())&gt;0</f>
        <v>1</v>
      </c>
      <c r="Y717" s="0" t="str">
        <f aca="false">IF(AND(D717=WF_END_PERIOD,COUNTIFS($B$5:$B$750,B717,$D$5:$D$750,WF_START_PERIOD)&gt;0),INDEX($E$5:$E$750,MATCH(B717&amp;"|"&amp;WF_START_PERIOD,$AC$5:$AC$750,0)),"")</f>
        <v>NH</v>
      </c>
      <c r="Z717" s="0" t="n">
        <f aca="false">IF(AND(D717=WF_END_PERIOD,R717),1+COUNTIFS($D$5:$D$750,WF_END_PERIOD,$E$5:$E$750,E717,$R$5:$R$750,TRUE(),$S$5:$S$750,"&gt;"&amp;S717)+COUNTIFS($D$5:$D$750,WF_END_PERIOD,$E$5:$E$750,E717,$R$5:$R$750,TRUE(),$S$5:$S$750,S717,$B$5:$B$750,"&lt;"&amp;B717),"")</f>
        <v>4</v>
      </c>
      <c r="AA717" s="0" t="n">
        <f aca="false">IF(AND(D717=WF_END_PERIOD,R717,Z717&lt;&gt;1),1+COUNTIFS($D$5:$D$750,WF_END_PERIOD,$R$5:$R$750,TRUE(),$Z$5:$Z$750,"&lt;&gt;1",$S$5:$S$750,"&gt;"&amp;S717)+COUNTIFS($D$5:$D$750,WF_END_PERIOD,$R$5:$R$750,TRUE(),$Z$5:$Z$750,"&lt;&gt;1",$S$5:$S$750,S717,$B$5:$B$750,"&lt;"&amp;B717),"")</f>
        <v>8</v>
      </c>
      <c r="AB717" s="11" t="b">
        <f aca="false">OR(D717=WF_START_PERIOD,D717=WF_END_PERIOD)</f>
        <v>1</v>
      </c>
      <c r="AC717" s="0" t="str">
        <f aca="false">B717&amp;"|"&amp;D717</f>
        <v>17960|20250630</v>
      </c>
    </row>
    <row r="718" customFormat="false" ht="15" hidden="false" customHeight="false" outlineLevel="0" collapsed="false">
      <c r="A718" s="0" t="n">
        <f aca="false">RawFinancials!A718</f>
        <v>715</v>
      </c>
      <c r="B718" s="0" t="n">
        <f aca="false">RawFinancials!C718</f>
        <v>18012</v>
      </c>
      <c r="C718" s="0" t="str">
        <f aca="false">RawFinancials!P718</f>
        <v>BANK OF NEW HAMPSHIRE</v>
      </c>
      <c r="D718" s="0" t="n">
        <f aca="false">RawFinancials!W718</f>
        <v>20250630</v>
      </c>
      <c r="E718" s="0" t="str">
        <f aca="false">RawFinancials!Z718</f>
        <v>NH</v>
      </c>
      <c r="F718" s="0" t="n">
        <f aca="false">RawFinancials!B718</f>
        <v>2642289</v>
      </c>
      <c r="G718" s="0" t="n">
        <f aca="false">RawFinancials!U718</f>
        <v>0</v>
      </c>
      <c r="H718" s="0" t="n">
        <f aca="false">RawFinancials!O718</f>
        <v>1020</v>
      </c>
      <c r="I718" s="0" t="n">
        <f aca="false">IF(AND(ISNUMBER(G718),ISNUMBER(H718)),G718+H718,"")</f>
        <v>1020</v>
      </c>
      <c r="J718" s="0" t="n">
        <f aca="false">RawFinancials!D718</f>
        <v>2262357</v>
      </c>
      <c r="K718" s="0" t="n">
        <f aca="false">RawFinancials!F718</f>
        <v>301653</v>
      </c>
      <c r="L718" s="0" t="n">
        <f aca="false">RawFinancials!L718</f>
        <v>2150865</v>
      </c>
      <c r="M718" s="0" t="n">
        <f aca="false">RawFinancials!N718</f>
        <v>2050812</v>
      </c>
      <c r="N718" s="13" t="n">
        <f aca="false">RawFinancials!X718</f>
        <v>0.790802552231915</v>
      </c>
      <c r="O718" s="13" t="n">
        <f aca="false">RawFinancials!V718</f>
        <v>13.9483203193009</v>
      </c>
      <c r="P718" s="13" t="n">
        <f aca="false">IF(AND(ISNUMBER(L718),L718&lt;&gt;0,ISNUMBER(M718)),100*M718/L718,"")</f>
        <v>95.3482436136159</v>
      </c>
      <c r="Q718" s="13" t="n">
        <f aca="false">IF(AND(ISNUMBER(F718),F718&lt;&gt;0,ISNUMBER(K718)),100*K718/F718,"")</f>
        <v>11.4163515043207</v>
      </c>
      <c r="R718" s="11" t="b">
        <f aca="false">AND(ISNUMBER(F718),F718&gt;0,ISNUMBER(G718),G718&gt;=0,ISNUMBER(H718),H718&gt;=0)</f>
        <v>1</v>
      </c>
      <c r="S718" s="13" t="n">
        <f aca="false">IF(R718,100*I718/F718,"")</f>
        <v>0.0386028931733054</v>
      </c>
      <c r="T718" s="11" t="b">
        <f aca="false">NOT(AND(OR(AND(ISBLANK(RawFinancials!B718),ISBLANK(_RawBaseline!B715)),AND(ISNUMBER(RawFinancials!B718),ISNUMBER(_RawBaseline!B715),RawFinancials!B718=_RawBaseline!B715)),OR(AND(ISBLANK(RawFinancials!U718),ISBLANK(_RawBaseline!U715)),AND(ISNUMBER(RawFinancials!U718),ISNUMBER(_RawBaseline!U715),RawFinancials!U718=_RawBaseline!U715)),OR(AND(ISBLANK(RawFinancials!O718),ISBLANK(_RawBaseline!O715)),AND(ISNUMBER(RawFinancials!O718),ISNUMBER(_RawBaseline!O715),RawFinancials!O718=_RawBaseline!O715))))</f>
        <v>0</v>
      </c>
      <c r="U718" s="13" t="n">
        <f aca="false">IF(AND(D718=WF_START_PERIOD,R718,COUNTIFS($B$5:$B$750,B718,$D$5:$D$750,WF_END_PERIOD,$R$5:$R$750,TRUE())&gt;0),SUMIFS($S$5:$S$750,$B$5:$B$750,B718,$D$5:$D$750,WF_END_PERIOD,$R$5:$R$750,TRUE()),0)</f>
        <v>0</v>
      </c>
      <c r="V718" s="0" t="str">
        <f aca="false">IF(AND(D718=WF_START_PERIOD,COUNTIFS($B$5:$B$750,B718,$D$5:$D$750,WF_END_PERIOD)&gt;0),INDEX($E$5:$E$750,MATCH(B718&amp;"|"&amp;WF_END_PERIOD,$AC$5:$AC$750,0)),"")</f>
        <v/>
      </c>
      <c r="W718" s="11" t="b">
        <f aca="false">COUNTIFS($B$5:$B$750,B718,$D$5:$D$750,WF_START_PERIOD,$R$5:$R$750,TRUE())&gt;0</f>
        <v>1</v>
      </c>
      <c r="X718" s="11" t="b">
        <f aca="false">COUNTIFS($B$5:$B$750,B718,$D$5:$D$750,WF_END_PERIOD,$R$5:$R$750,TRUE())&gt;0</f>
        <v>1</v>
      </c>
      <c r="Y718" s="0" t="str">
        <f aca="false">IF(AND(D718=WF_END_PERIOD,COUNTIFS($B$5:$B$750,B718,$D$5:$D$750,WF_START_PERIOD)&gt;0),INDEX($E$5:$E$750,MATCH(B718&amp;"|"&amp;WF_START_PERIOD,$AC$5:$AC$750,0)),"")</f>
        <v>NH</v>
      </c>
      <c r="Z718" s="0" t="n">
        <f aca="false">IF(AND(D718=WF_END_PERIOD,R718),1+COUNTIFS($D$5:$D$750,WF_END_PERIOD,$E$5:$E$750,E718,$R$5:$R$750,TRUE(),$S$5:$S$750,"&gt;"&amp;S718)+COUNTIFS($D$5:$D$750,WF_END_PERIOD,$E$5:$E$750,E718,$R$5:$R$750,TRUE(),$S$5:$S$750,S718,$B$5:$B$750,"&lt;"&amp;B718),"")</f>
        <v>12</v>
      </c>
      <c r="AA718" s="0" t="n">
        <f aca="false">IF(AND(D718=WF_END_PERIOD,R718,Z718&lt;&gt;1),1+COUNTIFS($D$5:$D$750,WF_END_PERIOD,$R$5:$R$750,TRUE(),$Z$5:$Z$750,"&lt;&gt;1",$S$5:$S$750,"&gt;"&amp;S718)+COUNTIFS($D$5:$D$750,WF_END_PERIOD,$R$5:$R$750,TRUE(),$Z$5:$Z$750,"&lt;&gt;1",$S$5:$S$750,S718,$B$5:$B$750,"&lt;"&amp;B718),"")</f>
        <v>41</v>
      </c>
      <c r="AB718" s="11" t="b">
        <f aca="false">OR(D718=WF_START_PERIOD,D718=WF_END_PERIOD)</f>
        <v>1</v>
      </c>
      <c r="AC718" s="0" t="str">
        <f aca="false">B718&amp;"|"&amp;D718</f>
        <v>18012|20250630</v>
      </c>
    </row>
    <row r="719" customFormat="false" ht="15" hidden="false" customHeight="false" outlineLevel="0" collapsed="false">
      <c r="A719" s="0" t="n">
        <f aca="false">RawFinancials!A719</f>
        <v>716</v>
      </c>
      <c r="B719" s="0" t="n">
        <f aca="false">RawFinancials!C719</f>
        <v>18013</v>
      </c>
      <c r="C719" s="0" t="str">
        <f aca="false">RawFinancials!P719</f>
        <v>MASCOMA BANK</v>
      </c>
      <c r="D719" s="0" t="n">
        <f aca="false">RawFinancials!W719</f>
        <v>20250630</v>
      </c>
      <c r="E719" s="0" t="str">
        <f aca="false">RawFinancials!Z719</f>
        <v>NH</v>
      </c>
      <c r="F719" s="0" t="n">
        <f aca="false">RawFinancials!B719</f>
        <v>2896306</v>
      </c>
      <c r="G719" s="0" t="n">
        <f aca="false">RawFinancials!U719</f>
        <v>153</v>
      </c>
      <c r="H719" s="0" t="n">
        <f aca="false">RawFinancials!O719</f>
        <v>1401</v>
      </c>
      <c r="I719" s="0" t="n">
        <f aca="false">IF(AND(ISNUMBER(G719),ISNUMBER(H719)),G719+H719,"")</f>
        <v>1554</v>
      </c>
      <c r="J719" s="0" t="n">
        <f aca="false">RawFinancials!D719</f>
        <v>2573471</v>
      </c>
      <c r="K719" s="0" t="n">
        <f aca="false">RawFinancials!F719</f>
        <v>235044</v>
      </c>
      <c r="L719" s="0" t="n">
        <f aca="false">RawFinancials!L719</f>
        <v>2423167</v>
      </c>
      <c r="M719" s="0" t="n">
        <f aca="false">RawFinancials!N719</f>
        <v>2224117</v>
      </c>
      <c r="N719" s="13" t="n">
        <f aca="false">RawFinancials!X719</f>
        <v>0.336164972529288</v>
      </c>
      <c r="O719" s="13" t="n">
        <f aca="false">RawFinancials!V719</f>
        <v>12.6358689440193</v>
      </c>
      <c r="P719" s="13" t="n">
        <f aca="false">IF(AND(ISNUMBER(L719),L719&lt;&gt;0,ISNUMBER(M719)),100*M719/L719,"")</f>
        <v>91.7855434644001</v>
      </c>
      <c r="Q719" s="13" t="n">
        <f aca="false">IF(AND(ISNUMBER(F719),F719&lt;&gt;0,ISNUMBER(K719)),100*K719/F719,"")</f>
        <v>8.11530273389621</v>
      </c>
      <c r="R719" s="11" t="b">
        <f aca="false">AND(ISNUMBER(F719),F719&gt;0,ISNUMBER(G719),G719&gt;=0,ISNUMBER(H719),H719&gt;=0)</f>
        <v>1</v>
      </c>
      <c r="S719" s="13" t="n">
        <f aca="false">IF(R719,100*I719/F719,"")</f>
        <v>0.0536545516944688</v>
      </c>
      <c r="T719" s="11" t="b">
        <f aca="false">NOT(AND(OR(AND(ISBLANK(RawFinancials!B719),ISBLANK(_RawBaseline!B716)),AND(ISNUMBER(RawFinancials!B719),ISNUMBER(_RawBaseline!B716),RawFinancials!B719=_RawBaseline!B716)),OR(AND(ISBLANK(RawFinancials!U719),ISBLANK(_RawBaseline!U716)),AND(ISNUMBER(RawFinancials!U719),ISNUMBER(_RawBaseline!U716),RawFinancials!U719=_RawBaseline!U716)),OR(AND(ISBLANK(RawFinancials!O719),ISBLANK(_RawBaseline!O716)),AND(ISNUMBER(RawFinancials!O719),ISNUMBER(_RawBaseline!O716),RawFinancials!O719=_RawBaseline!O716))))</f>
        <v>0</v>
      </c>
      <c r="U719" s="13" t="n">
        <f aca="false">IF(AND(D719=WF_START_PERIOD,R719,COUNTIFS($B$5:$B$750,B719,$D$5:$D$750,WF_END_PERIOD,$R$5:$R$750,TRUE())&gt;0),SUMIFS($S$5:$S$750,$B$5:$B$750,B719,$D$5:$D$750,WF_END_PERIOD,$R$5:$R$750,TRUE()),0)</f>
        <v>0</v>
      </c>
      <c r="V719" s="0" t="str">
        <f aca="false">IF(AND(D719=WF_START_PERIOD,COUNTIFS($B$5:$B$750,B719,$D$5:$D$750,WF_END_PERIOD)&gt;0),INDEX($E$5:$E$750,MATCH(B719&amp;"|"&amp;WF_END_PERIOD,$AC$5:$AC$750,0)),"")</f>
        <v/>
      </c>
      <c r="W719" s="11" t="b">
        <f aca="false">COUNTIFS($B$5:$B$750,B719,$D$5:$D$750,WF_START_PERIOD,$R$5:$R$750,TRUE())&gt;0</f>
        <v>1</v>
      </c>
      <c r="X719" s="11" t="b">
        <f aca="false">COUNTIFS($B$5:$B$750,B719,$D$5:$D$750,WF_END_PERIOD,$R$5:$R$750,TRUE())&gt;0</f>
        <v>1</v>
      </c>
      <c r="Y719" s="0" t="str">
        <f aca="false">IF(AND(D719=WF_END_PERIOD,COUNTIFS($B$5:$B$750,B719,$D$5:$D$750,WF_START_PERIOD)&gt;0),INDEX($E$5:$E$750,MATCH(B719&amp;"|"&amp;WF_START_PERIOD,$AC$5:$AC$750,0)),"")</f>
        <v>NH</v>
      </c>
      <c r="Z719" s="0" t="n">
        <f aca="false">IF(AND(D719=WF_END_PERIOD,R719),1+COUNTIFS($D$5:$D$750,WF_END_PERIOD,$E$5:$E$750,E719,$R$5:$R$750,TRUE(),$S$5:$S$750,"&gt;"&amp;S719)+COUNTIFS($D$5:$D$750,WF_END_PERIOD,$E$5:$E$750,E719,$R$5:$R$750,TRUE(),$S$5:$S$750,S719,$B$5:$B$750,"&lt;"&amp;B719),"")</f>
        <v>11</v>
      </c>
      <c r="AA719" s="0" t="n">
        <f aca="false">IF(AND(D719=WF_END_PERIOD,R719,Z719&lt;&gt;1),1+COUNTIFS($D$5:$D$750,WF_END_PERIOD,$R$5:$R$750,TRUE(),$Z$5:$Z$750,"&lt;&gt;1",$S$5:$S$750,"&gt;"&amp;S719)+COUNTIFS($D$5:$D$750,WF_END_PERIOD,$R$5:$R$750,TRUE(),$Z$5:$Z$750,"&lt;&gt;1",$S$5:$S$750,S719,$B$5:$B$750,"&lt;"&amp;B719),"")</f>
        <v>40</v>
      </c>
      <c r="AB719" s="11" t="b">
        <f aca="false">OR(D719=WF_START_PERIOD,D719=WF_END_PERIOD)</f>
        <v>1</v>
      </c>
      <c r="AC719" s="0" t="str">
        <f aca="false">B719&amp;"|"&amp;D719</f>
        <v>18013|20250630</v>
      </c>
    </row>
    <row r="720" customFormat="false" ht="15" hidden="false" customHeight="false" outlineLevel="0" collapsed="false">
      <c r="A720" s="0" t="n">
        <f aca="false">RawFinancials!A720</f>
        <v>717</v>
      </c>
      <c r="B720" s="0" t="n">
        <f aca="false">RawFinancials!C720</f>
        <v>18028</v>
      </c>
      <c r="C720" s="0" t="str">
        <f aca="false">RawFinancials!P720</f>
        <v>SUGAR RIVER BANK</v>
      </c>
      <c r="D720" s="0" t="n">
        <f aca="false">RawFinancials!W720</f>
        <v>20250630</v>
      </c>
      <c r="E720" s="0" t="str">
        <f aca="false">RawFinancials!Z720</f>
        <v>NH</v>
      </c>
      <c r="F720" s="0" t="n">
        <f aca="false">RawFinancials!B720</f>
        <v>404550</v>
      </c>
      <c r="G720" s="0" t="n">
        <f aca="false">RawFinancials!U720</f>
        <v>65</v>
      </c>
      <c r="H720" s="0" t="n">
        <f aca="false">RawFinancials!O720</f>
        <v>1323</v>
      </c>
      <c r="I720" s="0" t="n">
        <f aca="false">IF(AND(ISNUMBER(G720),ISNUMBER(H720)),G720+H720,"")</f>
        <v>1388</v>
      </c>
      <c r="J720" s="0" t="n">
        <f aca="false">RawFinancials!D720</f>
        <v>343782</v>
      </c>
      <c r="K720" s="0" t="n">
        <f aca="false">RawFinancials!F720</f>
        <v>44056</v>
      </c>
      <c r="L720" s="0" t="n">
        <f aca="false">RawFinancials!L720</f>
        <v>278902</v>
      </c>
      <c r="M720" s="0" t="n">
        <f aca="false">RawFinancials!N720</f>
        <v>256176</v>
      </c>
      <c r="N720" s="13" t="n">
        <f aca="false">RawFinancials!X720</f>
        <v>0.514962579054543</v>
      </c>
      <c r="O720" s="13" t="n">
        <f aca="false">RawFinancials!V720</f>
        <v>0</v>
      </c>
      <c r="P720" s="13" t="n">
        <f aca="false">IF(AND(ISNUMBER(L720),L720&lt;&gt;0,ISNUMBER(M720)),100*M720/L720,"")</f>
        <v>91.8516181310998</v>
      </c>
      <c r="Q720" s="13" t="n">
        <f aca="false">IF(AND(ISNUMBER(F720),F720&lt;&gt;0,ISNUMBER(K720)),100*K720/F720,"")</f>
        <v>10.8901248300581</v>
      </c>
      <c r="R720" s="11" t="b">
        <f aca="false">AND(ISNUMBER(F720),F720&gt;0,ISNUMBER(G720),G720&gt;=0,ISNUMBER(H720),H720&gt;=0)</f>
        <v>1</v>
      </c>
      <c r="S720" s="13" t="n">
        <f aca="false">IF(R720,100*I720/F720,"")</f>
        <v>0.343097268570016</v>
      </c>
      <c r="T720" s="11" t="b">
        <f aca="false">NOT(AND(OR(AND(ISBLANK(RawFinancials!B720),ISBLANK(_RawBaseline!B717)),AND(ISNUMBER(RawFinancials!B720),ISNUMBER(_RawBaseline!B717),RawFinancials!B720=_RawBaseline!B717)),OR(AND(ISBLANK(RawFinancials!U720),ISBLANK(_RawBaseline!U717)),AND(ISNUMBER(RawFinancials!U720),ISNUMBER(_RawBaseline!U717),RawFinancials!U720=_RawBaseline!U717)),OR(AND(ISBLANK(RawFinancials!O720),ISBLANK(_RawBaseline!O717)),AND(ISNUMBER(RawFinancials!O720),ISNUMBER(_RawBaseline!O717),RawFinancials!O720=_RawBaseline!O717))))</f>
        <v>0</v>
      </c>
      <c r="U720" s="13" t="n">
        <f aca="false">IF(AND(D720=WF_START_PERIOD,R720,COUNTIFS($B$5:$B$750,B720,$D$5:$D$750,WF_END_PERIOD,$R$5:$R$750,TRUE())&gt;0),SUMIFS($S$5:$S$750,$B$5:$B$750,B720,$D$5:$D$750,WF_END_PERIOD,$R$5:$R$750,TRUE()),0)</f>
        <v>0</v>
      </c>
      <c r="V720" s="0" t="str">
        <f aca="false">IF(AND(D720=WF_START_PERIOD,COUNTIFS($B$5:$B$750,B720,$D$5:$D$750,WF_END_PERIOD)&gt;0),INDEX($E$5:$E$750,MATCH(B720&amp;"|"&amp;WF_END_PERIOD,$AC$5:$AC$750,0)),"")</f>
        <v/>
      </c>
      <c r="W720" s="11" t="b">
        <f aca="false">COUNTIFS($B$5:$B$750,B720,$D$5:$D$750,WF_START_PERIOD,$R$5:$R$750,TRUE())&gt;0</f>
        <v>1</v>
      </c>
      <c r="X720" s="11" t="b">
        <f aca="false">COUNTIFS($B$5:$B$750,B720,$D$5:$D$750,WF_END_PERIOD,$R$5:$R$750,TRUE())&gt;0</f>
        <v>1</v>
      </c>
      <c r="Y720" s="0" t="str">
        <f aca="false">IF(AND(D720=WF_END_PERIOD,COUNTIFS($B$5:$B$750,B720,$D$5:$D$750,WF_START_PERIOD)&gt;0),INDEX($E$5:$E$750,MATCH(B720&amp;"|"&amp;WF_START_PERIOD,$AC$5:$AC$750,0)),"")</f>
        <v>NH</v>
      </c>
      <c r="Z720" s="0" t="n">
        <f aca="false">IF(AND(D720=WF_END_PERIOD,R720),1+COUNTIFS($D$5:$D$750,WF_END_PERIOD,$E$5:$E$750,E720,$R$5:$R$750,TRUE(),$S$5:$S$750,"&gt;"&amp;S720)+COUNTIFS($D$5:$D$750,WF_END_PERIOD,$E$5:$E$750,E720,$R$5:$R$750,TRUE(),$S$5:$S$750,S720,$B$5:$B$750,"&lt;"&amp;B720),"")</f>
        <v>7</v>
      </c>
      <c r="AA720" s="0" t="n">
        <f aca="false">IF(AND(D720=WF_END_PERIOD,R720,Z720&lt;&gt;1),1+COUNTIFS($D$5:$D$750,WF_END_PERIOD,$R$5:$R$750,TRUE(),$Z$5:$Z$750,"&lt;&gt;1",$S$5:$S$750,"&gt;"&amp;S720)+COUNTIFS($D$5:$D$750,WF_END_PERIOD,$R$5:$R$750,TRUE(),$Z$5:$Z$750,"&lt;&gt;1",$S$5:$S$750,S720,$B$5:$B$750,"&lt;"&amp;B720),"")</f>
        <v>17</v>
      </c>
      <c r="AB720" s="11" t="b">
        <f aca="false">OR(D720=WF_START_PERIOD,D720=WF_END_PERIOD)</f>
        <v>1</v>
      </c>
      <c r="AC720" s="0" t="str">
        <f aca="false">B720&amp;"|"&amp;D720</f>
        <v>18028|20250630</v>
      </c>
    </row>
    <row r="721" customFormat="false" ht="15" hidden="false" customHeight="false" outlineLevel="0" collapsed="false">
      <c r="A721" s="0" t="n">
        <f aca="false">RawFinancials!A721</f>
        <v>718</v>
      </c>
      <c r="B721" s="0" t="n">
        <f aca="false">RawFinancials!C721</f>
        <v>18030</v>
      </c>
      <c r="C721" s="0" t="str">
        <f aca="false">RawFinancials!P721</f>
        <v>SAVINGS BANK OF WALPOLE</v>
      </c>
      <c r="D721" s="0" t="n">
        <f aca="false">RawFinancials!W721</f>
        <v>20250630</v>
      </c>
      <c r="E721" s="0" t="str">
        <f aca="false">RawFinancials!Z721</f>
        <v>NH</v>
      </c>
      <c r="F721" s="0" t="n">
        <f aca="false">RawFinancials!B721</f>
        <v>805858</v>
      </c>
      <c r="G721" s="0" t="n">
        <f aca="false">RawFinancials!U721</f>
        <v>0</v>
      </c>
      <c r="H721" s="0" t="n">
        <f aca="false">RawFinancials!O721</f>
        <v>1404</v>
      </c>
      <c r="I721" s="0" t="n">
        <f aca="false">IF(AND(ISNUMBER(G721),ISNUMBER(H721)),G721+H721,"")</f>
        <v>1404</v>
      </c>
      <c r="J721" s="0" t="n">
        <f aca="false">RawFinancials!D721</f>
        <v>738321</v>
      </c>
      <c r="K721" s="0" t="n">
        <f aca="false">RawFinancials!F721</f>
        <v>58470</v>
      </c>
      <c r="L721" s="0" t="n">
        <f aca="false">RawFinancials!L721</f>
        <v>601715</v>
      </c>
      <c r="M721" s="0" t="n">
        <f aca="false">RawFinancials!N721</f>
        <v>463695</v>
      </c>
      <c r="N721" s="13" t="n">
        <f aca="false">RawFinancials!X721</f>
        <v>0.71837995883469</v>
      </c>
      <c r="O721" s="13" t="n">
        <f aca="false">RawFinancials!V721</f>
        <v>14.1416681477336</v>
      </c>
      <c r="P721" s="13" t="n">
        <f aca="false">IF(AND(ISNUMBER(L721),L721&lt;&gt;0,ISNUMBER(M721)),100*M721/L721,"")</f>
        <v>77.0622304579411</v>
      </c>
      <c r="Q721" s="13" t="n">
        <f aca="false">IF(AND(ISNUMBER(F721),F721&lt;&gt;0,ISNUMBER(K721)),100*K721/F721,"")</f>
        <v>7.25562071729759</v>
      </c>
      <c r="R721" s="11" t="b">
        <f aca="false">AND(ISNUMBER(F721),F721&gt;0,ISNUMBER(G721),G721&gt;=0,ISNUMBER(H721),H721&gt;=0)</f>
        <v>1</v>
      </c>
      <c r="S721" s="13" t="n">
        <f aca="false">IF(R721,100*I721/F721,"")</f>
        <v>0.174224242980773</v>
      </c>
      <c r="T721" s="11" t="b">
        <f aca="false">NOT(AND(OR(AND(ISBLANK(RawFinancials!B721),ISBLANK(_RawBaseline!B718)),AND(ISNUMBER(RawFinancials!B721),ISNUMBER(_RawBaseline!B718),RawFinancials!B721=_RawBaseline!B718)),OR(AND(ISBLANK(RawFinancials!U721),ISBLANK(_RawBaseline!U718)),AND(ISNUMBER(RawFinancials!U721),ISNUMBER(_RawBaseline!U718),RawFinancials!U721=_RawBaseline!U718)),OR(AND(ISBLANK(RawFinancials!O721),ISBLANK(_RawBaseline!O718)),AND(ISNUMBER(RawFinancials!O721),ISNUMBER(_RawBaseline!O718),RawFinancials!O721=_RawBaseline!O718))))</f>
        <v>0</v>
      </c>
      <c r="U721" s="13" t="n">
        <f aca="false">IF(AND(D721=WF_START_PERIOD,R721,COUNTIFS($B$5:$B$750,B721,$D$5:$D$750,WF_END_PERIOD,$R$5:$R$750,TRUE())&gt;0),SUMIFS($S$5:$S$750,$B$5:$B$750,B721,$D$5:$D$750,WF_END_PERIOD,$R$5:$R$750,TRUE()),0)</f>
        <v>0</v>
      </c>
      <c r="V721" s="0" t="str">
        <f aca="false">IF(AND(D721=WF_START_PERIOD,COUNTIFS($B$5:$B$750,B721,$D$5:$D$750,WF_END_PERIOD)&gt;0),INDEX($E$5:$E$750,MATCH(B721&amp;"|"&amp;WF_END_PERIOD,$AC$5:$AC$750,0)),"")</f>
        <v/>
      </c>
      <c r="W721" s="11" t="b">
        <f aca="false">COUNTIFS($B$5:$B$750,B721,$D$5:$D$750,WF_START_PERIOD,$R$5:$R$750,TRUE())&gt;0</f>
        <v>1</v>
      </c>
      <c r="X721" s="11" t="b">
        <f aca="false">COUNTIFS($B$5:$B$750,B721,$D$5:$D$750,WF_END_PERIOD,$R$5:$R$750,TRUE())&gt;0</f>
        <v>1</v>
      </c>
      <c r="Y721" s="0" t="str">
        <f aca="false">IF(AND(D721=WF_END_PERIOD,COUNTIFS($B$5:$B$750,B721,$D$5:$D$750,WF_START_PERIOD)&gt;0),INDEX($E$5:$E$750,MATCH(B721&amp;"|"&amp;WF_START_PERIOD,$AC$5:$AC$750,0)),"")</f>
        <v>NH</v>
      </c>
      <c r="Z721" s="0" t="n">
        <f aca="false">IF(AND(D721=WF_END_PERIOD,R721),1+COUNTIFS($D$5:$D$750,WF_END_PERIOD,$E$5:$E$750,E721,$R$5:$R$750,TRUE(),$S$5:$S$750,"&gt;"&amp;S721)+COUNTIFS($D$5:$D$750,WF_END_PERIOD,$E$5:$E$750,E721,$R$5:$R$750,TRUE(),$S$5:$S$750,S721,$B$5:$B$750,"&lt;"&amp;B721),"")</f>
        <v>9</v>
      </c>
      <c r="AA721" s="0" t="n">
        <f aca="false">IF(AND(D721=WF_END_PERIOD,R721,Z721&lt;&gt;1),1+COUNTIFS($D$5:$D$750,WF_END_PERIOD,$R$5:$R$750,TRUE(),$Z$5:$Z$750,"&lt;&gt;1",$S$5:$S$750,"&gt;"&amp;S721)+COUNTIFS($D$5:$D$750,WF_END_PERIOD,$R$5:$R$750,TRUE(),$Z$5:$Z$750,"&lt;&gt;1",$S$5:$S$750,S721,$B$5:$B$750,"&lt;"&amp;B721),"")</f>
        <v>29</v>
      </c>
      <c r="AB721" s="11" t="b">
        <f aca="false">OR(D721=WF_START_PERIOD,D721=WF_END_PERIOD)</f>
        <v>1</v>
      </c>
      <c r="AC721" s="0" t="str">
        <f aca="false">B721&amp;"|"&amp;D721</f>
        <v>18030|20250630</v>
      </c>
    </row>
    <row r="722" customFormat="false" ht="15" hidden="false" customHeight="false" outlineLevel="0" collapsed="false">
      <c r="A722" s="0" t="n">
        <f aca="false">RawFinancials!A722</f>
        <v>719</v>
      </c>
      <c r="B722" s="0" t="n">
        <f aca="false">RawFinancials!C722</f>
        <v>18031</v>
      </c>
      <c r="C722" s="0" t="str">
        <f aca="false">RawFinancials!P722</f>
        <v>WOODSVILLE GUARANTY SAVINGS BANK</v>
      </c>
      <c r="D722" s="0" t="n">
        <f aca="false">RawFinancials!W722</f>
        <v>20250630</v>
      </c>
      <c r="E722" s="0" t="str">
        <f aca="false">RawFinancials!Z722</f>
        <v>NH</v>
      </c>
      <c r="F722" s="0" t="n">
        <f aca="false">RawFinancials!B722</f>
        <v>669249</v>
      </c>
      <c r="G722" s="0" t="n">
        <f aca="false">RawFinancials!U722</f>
        <v>4</v>
      </c>
      <c r="H722" s="0" t="n">
        <f aca="false">RawFinancials!O722</f>
        <v>562</v>
      </c>
      <c r="I722" s="0" t="n">
        <f aca="false">IF(AND(ISNUMBER(G722),ISNUMBER(H722)),G722+H722,"")</f>
        <v>566</v>
      </c>
      <c r="J722" s="0" t="n">
        <f aca="false">RawFinancials!D722</f>
        <v>526372</v>
      </c>
      <c r="K722" s="0" t="n">
        <f aca="false">RawFinancials!F722</f>
        <v>40753</v>
      </c>
      <c r="L722" s="0" t="n">
        <f aca="false">RawFinancials!L722</f>
        <v>452465</v>
      </c>
      <c r="M722" s="0" t="n">
        <f aca="false">RawFinancials!N722</f>
        <v>416232</v>
      </c>
      <c r="N722" s="13" t="n">
        <f aca="false">RawFinancials!X722</f>
        <v>0.193008984250507</v>
      </c>
      <c r="O722" s="13" t="n">
        <f aca="false">RawFinancials!V722</f>
        <v>16.9548375809498</v>
      </c>
      <c r="P722" s="13" t="n">
        <f aca="false">IF(AND(ISNUMBER(L722),L722&lt;&gt;0,ISNUMBER(M722)),100*M722/L722,"")</f>
        <v>91.9920877857956</v>
      </c>
      <c r="Q722" s="13" t="n">
        <f aca="false">IF(AND(ISNUMBER(F722),F722&lt;&gt;0,ISNUMBER(K722)),100*K722/F722,"")</f>
        <v>6.08936285298895</v>
      </c>
      <c r="R722" s="11" t="b">
        <f aca="false">AND(ISNUMBER(F722),F722&gt;0,ISNUMBER(G722),G722&gt;=0,ISNUMBER(H722),H722&gt;=0)</f>
        <v>1</v>
      </c>
      <c r="S722" s="13" t="n">
        <f aca="false">IF(R722,100*I722/F722,"")</f>
        <v>0.0845724087746115</v>
      </c>
      <c r="T722" s="11" t="b">
        <f aca="false">NOT(AND(OR(AND(ISBLANK(RawFinancials!B722),ISBLANK(_RawBaseline!B719)),AND(ISNUMBER(RawFinancials!B722),ISNUMBER(_RawBaseline!B719),RawFinancials!B722=_RawBaseline!B719)),OR(AND(ISBLANK(RawFinancials!U722),ISBLANK(_RawBaseline!U719)),AND(ISNUMBER(RawFinancials!U722),ISNUMBER(_RawBaseline!U719),RawFinancials!U722=_RawBaseline!U719)),OR(AND(ISBLANK(RawFinancials!O722),ISBLANK(_RawBaseline!O719)),AND(ISNUMBER(RawFinancials!O722),ISNUMBER(_RawBaseline!O719),RawFinancials!O722=_RawBaseline!O719))))</f>
        <v>0</v>
      </c>
      <c r="U722" s="13" t="n">
        <f aca="false">IF(AND(D722=WF_START_PERIOD,R722,COUNTIFS($B$5:$B$750,B722,$D$5:$D$750,WF_END_PERIOD,$R$5:$R$750,TRUE())&gt;0),SUMIFS($S$5:$S$750,$B$5:$B$750,B722,$D$5:$D$750,WF_END_PERIOD,$R$5:$R$750,TRUE()),0)</f>
        <v>0</v>
      </c>
      <c r="V722" s="0" t="str">
        <f aca="false">IF(AND(D722=WF_START_PERIOD,COUNTIFS($B$5:$B$750,B722,$D$5:$D$750,WF_END_PERIOD)&gt;0),INDEX($E$5:$E$750,MATCH(B722&amp;"|"&amp;WF_END_PERIOD,$AC$5:$AC$750,0)),"")</f>
        <v/>
      </c>
      <c r="W722" s="11" t="b">
        <f aca="false">COUNTIFS($B$5:$B$750,B722,$D$5:$D$750,WF_START_PERIOD,$R$5:$R$750,TRUE())&gt;0</f>
        <v>1</v>
      </c>
      <c r="X722" s="11" t="b">
        <f aca="false">COUNTIFS($B$5:$B$750,B722,$D$5:$D$750,WF_END_PERIOD,$R$5:$R$750,TRUE())&gt;0</f>
        <v>1</v>
      </c>
      <c r="Y722" s="0" t="str">
        <f aca="false">IF(AND(D722=WF_END_PERIOD,COUNTIFS($B$5:$B$750,B722,$D$5:$D$750,WF_START_PERIOD)&gt;0),INDEX($E$5:$E$750,MATCH(B722&amp;"|"&amp;WF_START_PERIOD,$AC$5:$AC$750,0)),"")</f>
        <v>NH</v>
      </c>
      <c r="Z722" s="0" t="n">
        <f aca="false">IF(AND(D722=WF_END_PERIOD,R722),1+COUNTIFS($D$5:$D$750,WF_END_PERIOD,$E$5:$E$750,E722,$R$5:$R$750,TRUE(),$S$5:$S$750,"&gt;"&amp;S722)+COUNTIFS($D$5:$D$750,WF_END_PERIOD,$E$5:$E$750,E722,$R$5:$R$750,TRUE(),$S$5:$S$750,S722,$B$5:$B$750,"&lt;"&amp;B722),"")</f>
        <v>10</v>
      </c>
      <c r="AA722" s="0" t="n">
        <f aca="false">IF(AND(D722=WF_END_PERIOD,R722,Z722&lt;&gt;1),1+COUNTIFS($D$5:$D$750,WF_END_PERIOD,$R$5:$R$750,TRUE(),$Z$5:$Z$750,"&lt;&gt;1",$S$5:$S$750,"&gt;"&amp;S722)+COUNTIFS($D$5:$D$750,WF_END_PERIOD,$R$5:$R$750,TRUE(),$Z$5:$Z$750,"&lt;&gt;1",$S$5:$S$750,S722,$B$5:$B$750,"&lt;"&amp;B722),"")</f>
        <v>39</v>
      </c>
      <c r="AB722" s="11" t="b">
        <f aca="false">OR(D722=WF_START_PERIOD,D722=WF_END_PERIOD)</f>
        <v>1</v>
      </c>
      <c r="AC722" s="0" t="str">
        <f aca="false">B722&amp;"|"&amp;D722</f>
        <v>18031|20250630</v>
      </c>
    </row>
    <row r="723" customFormat="false" ht="15" hidden="false" customHeight="false" outlineLevel="0" collapsed="false">
      <c r="A723" s="0" t="n">
        <f aca="false">RawFinancials!A723</f>
        <v>720</v>
      </c>
      <c r="B723" s="0" t="n">
        <f aca="false">RawFinancials!C723</f>
        <v>18038</v>
      </c>
      <c r="C723" s="0" t="str">
        <f aca="false">RawFinancials!P723</f>
        <v>CLAREMONT SAVINGS BANK</v>
      </c>
      <c r="D723" s="0" t="n">
        <f aca="false">RawFinancials!W723</f>
        <v>20250630</v>
      </c>
      <c r="E723" s="0" t="str">
        <f aca="false">RawFinancials!Z723</f>
        <v>NH</v>
      </c>
      <c r="F723" s="0" t="n">
        <f aca="false">RawFinancials!B723</f>
        <v>597834</v>
      </c>
      <c r="G723" s="0" t="n">
        <f aca="false">RawFinancials!U723</f>
        <v>0</v>
      </c>
      <c r="H723" s="0" t="n">
        <f aca="false">RawFinancials!O723</f>
        <v>2194</v>
      </c>
      <c r="I723" s="0" t="n">
        <f aca="false">IF(AND(ISNUMBER(G723),ISNUMBER(H723)),G723+H723,"")</f>
        <v>2194</v>
      </c>
      <c r="J723" s="0" t="n">
        <f aca="false">RawFinancials!D723</f>
        <v>447963</v>
      </c>
      <c r="K723" s="0" t="n">
        <f aca="false">RawFinancials!F723</f>
        <v>69475</v>
      </c>
      <c r="L723" s="0" t="n">
        <f aca="false">RawFinancials!L723</f>
        <v>458530</v>
      </c>
      <c r="M723" s="0" t="n">
        <f aca="false">RawFinancials!N723</f>
        <v>420497</v>
      </c>
      <c r="N723" s="13" t="n">
        <f aca="false">RawFinancials!X723</f>
        <v>0.425956323893033</v>
      </c>
      <c r="O723" s="13" t="n">
        <f aca="false">RawFinancials!V723</f>
        <v>0</v>
      </c>
      <c r="P723" s="13" t="n">
        <f aca="false">IF(AND(ISNUMBER(L723),L723&lt;&gt;0,ISNUMBER(M723)),100*M723/L723,"")</f>
        <v>91.7054500250802</v>
      </c>
      <c r="Q723" s="13" t="n">
        <f aca="false">IF(AND(ISNUMBER(F723),F723&lt;&gt;0,ISNUMBER(K723)),100*K723/F723,"")</f>
        <v>11.621118905917</v>
      </c>
      <c r="R723" s="11" t="b">
        <f aca="false">AND(ISNUMBER(F723),F723&gt;0,ISNUMBER(G723),G723&gt;=0,ISNUMBER(H723),H723&gt;=0)</f>
        <v>1</v>
      </c>
      <c r="S723" s="13" t="n">
        <f aca="false">IF(R723,100*I723/F723,"")</f>
        <v>0.366991506003339</v>
      </c>
      <c r="T723" s="11" t="b">
        <f aca="false">NOT(AND(OR(AND(ISBLANK(RawFinancials!B723),ISBLANK(_RawBaseline!B720)),AND(ISNUMBER(RawFinancials!B723),ISNUMBER(_RawBaseline!B720),RawFinancials!B723=_RawBaseline!B720)),OR(AND(ISBLANK(RawFinancials!U723),ISBLANK(_RawBaseline!U720)),AND(ISNUMBER(RawFinancials!U723),ISNUMBER(_RawBaseline!U720),RawFinancials!U723=_RawBaseline!U720)),OR(AND(ISBLANK(RawFinancials!O723),ISBLANK(_RawBaseline!O720)),AND(ISNUMBER(RawFinancials!O723),ISNUMBER(_RawBaseline!O720),RawFinancials!O723=_RawBaseline!O720))))</f>
        <v>0</v>
      </c>
      <c r="U723" s="13" t="n">
        <f aca="false">IF(AND(D723=WF_START_PERIOD,R723,COUNTIFS($B$5:$B$750,B723,$D$5:$D$750,WF_END_PERIOD,$R$5:$R$750,TRUE())&gt;0),SUMIFS($S$5:$S$750,$B$5:$B$750,B723,$D$5:$D$750,WF_END_PERIOD,$R$5:$R$750,TRUE()),0)</f>
        <v>0</v>
      </c>
      <c r="V723" s="0" t="str">
        <f aca="false">IF(AND(D723=WF_START_PERIOD,COUNTIFS($B$5:$B$750,B723,$D$5:$D$750,WF_END_PERIOD)&gt;0),INDEX($E$5:$E$750,MATCH(B723&amp;"|"&amp;WF_END_PERIOD,$AC$5:$AC$750,0)),"")</f>
        <v/>
      </c>
      <c r="W723" s="11" t="b">
        <f aca="false">COUNTIFS($B$5:$B$750,B723,$D$5:$D$750,WF_START_PERIOD,$R$5:$R$750,TRUE())&gt;0</f>
        <v>1</v>
      </c>
      <c r="X723" s="11" t="b">
        <f aca="false">COUNTIFS($B$5:$B$750,B723,$D$5:$D$750,WF_END_PERIOD,$R$5:$R$750,TRUE())&gt;0</f>
        <v>1</v>
      </c>
      <c r="Y723" s="0" t="str">
        <f aca="false">IF(AND(D723=WF_END_PERIOD,COUNTIFS($B$5:$B$750,B723,$D$5:$D$750,WF_START_PERIOD)&gt;0),INDEX($E$5:$E$750,MATCH(B723&amp;"|"&amp;WF_START_PERIOD,$AC$5:$AC$750,0)),"")</f>
        <v>NH</v>
      </c>
      <c r="Z723" s="0" t="n">
        <f aca="false">IF(AND(D723=WF_END_PERIOD,R723),1+COUNTIFS($D$5:$D$750,WF_END_PERIOD,$E$5:$E$750,E723,$R$5:$R$750,TRUE(),$S$5:$S$750,"&gt;"&amp;S723)+COUNTIFS($D$5:$D$750,WF_END_PERIOD,$E$5:$E$750,E723,$R$5:$R$750,TRUE(),$S$5:$S$750,S723,$B$5:$B$750,"&lt;"&amp;B723),"")</f>
        <v>5</v>
      </c>
      <c r="AA723" s="0" t="n">
        <f aca="false">IF(AND(D723=WF_END_PERIOD,R723,Z723&lt;&gt;1),1+COUNTIFS($D$5:$D$750,WF_END_PERIOD,$R$5:$R$750,TRUE(),$Z$5:$Z$750,"&lt;&gt;1",$S$5:$S$750,"&gt;"&amp;S723)+COUNTIFS($D$5:$D$750,WF_END_PERIOD,$R$5:$R$750,TRUE(),$Z$5:$Z$750,"&lt;&gt;1",$S$5:$S$750,S723,$B$5:$B$750,"&lt;"&amp;B723),"")</f>
        <v>15</v>
      </c>
      <c r="AB723" s="11" t="b">
        <f aca="false">OR(D723=WF_START_PERIOD,D723=WF_END_PERIOD)</f>
        <v>1</v>
      </c>
      <c r="AC723" s="0" t="str">
        <f aca="false">B723&amp;"|"&amp;D723</f>
        <v>18038|20250630</v>
      </c>
    </row>
    <row r="724" customFormat="false" ht="15" hidden="false" customHeight="false" outlineLevel="0" collapsed="false">
      <c r="A724" s="0" t="n">
        <f aca="false">RawFinancials!A724</f>
        <v>721</v>
      </c>
      <c r="B724" s="0" t="n">
        <f aca="false">RawFinancials!C724</f>
        <v>18408</v>
      </c>
      <c r="C724" s="0" t="str">
        <f aca="false">RawFinancials!P724</f>
        <v>BANGOR SAVINGS BANK</v>
      </c>
      <c r="D724" s="0" t="n">
        <f aca="false">RawFinancials!W724</f>
        <v>20250630</v>
      </c>
      <c r="E724" s="0" t="str">
        <f aca="false">RawFinancials!Z724</f>
        <v>ME</v>
      </c>
      <c r="F724" s="0" t="n">
        <f aca="false">RawFinancials!B724</f>
        <v>7335916</v>
      </c>
      <c r="G724" s="0" t="n">
        <f aca="false">RawFinancials!U724</f>
        <v>0</v>
      </c>
      <c r="H724" s="0" t="n">
        <f aca="false">RawFinancials!O724</f>
        <v>33535</v>
      </c>
      <c r="I724" s="0" t="n">
        <f aca="false">IF(AND(ISNUMBER(G724),ISNUMBER(H724)),G724+H724,"")</f>
        <v>33535</v>
      </c>
      <c r="J724" s="0" t="n">
        <f aca="false">RawFinancials!D724</f>
        <v>5915806</v>
      </c>
      <c r="K724" s="0" t="n">
        <f aca="false">RawFinancials!F724</f>
        <v>467639</v>
      </c>
      <c r="L724" s="0" t="n">
        <f aca="false">RawFinancials!L724</f>
        <v>5070574</v>
      </c>
      <c r="M724" s="0" t="n">
        <f aca="false">RawFinancials!N724</f>
        <v>4566132</v>
      </c>
      <c r="N724" s="13" t="n">
        <f aca="false">RawFinancials!X724</f>
        <v>0.106277541750663</v>
      </c>
      <c r="O724" s="13" t="n">
        <f aca="false">RawFinancials!V724</f>
        <v>11.148900251832</v>
      </c>
      <c r="P724" s="13" t="n">
        <f aca="false">IF(AND(ISNUMBER(L724),L724&lt;&gt;0,ISNUMBER(M724)),100*M724/L724,"")</f>
        <v>90.051579959192</v>
      </c>
      <c r="Q724" s="13" t="n">
        <f aca="false">IF(AND(ISNUMBER(F724),F724&lt;&gt;0,ISNUMBER(K724)),100*K724/F724,"")</f>
        <v>6.37465041857077</v>
      </c>
      <c r="R724" s="11" t="b">
        <f aca="false">AND(ISNUMBER(F724),F724&gt;0,ISNUMBER(G724),G724&gt;=0,ISNUMBER(H724),H724&gt;=0)</f>
        <v>1</v>
      </c>
      <c r="S724" s="13" t="n">
        <f aca="false">IF(R724,100*I724/F724,"")</f>
        <v>0.457134460100143</v>
      </c>
      <c r="T724" s="11" t="b">
        <f aca="false">NOT(AND(OR(AND(ISBLANK(RawFinancials!B724),ISBLANK(_RawBaseline!B721)),AND(ISNUMBER(RawFinancials!B724),ISNUMBER(_RawBaseline!B721),RawFinancials!B724=_RawBaseline!B721)),OR(AND(ISBLANK(RawFinancials!U724),ISBLANK(_RawBaseline!U721)),AND(ISNUMBER(RawFinancials!U724),ISNUMBER(_RawBaseline!U721),RawFinancials!U724=_RawBaseline!U721)),OR(AND(ISBLANK(RawFinancials!O724),ISBLANK(_RawBaseline!O721)),AND(ISNUMBER(RawFinancials!O724),ISNUMBER(_RawBaseline!O721),RawFinancials!O724=_RawBaseline!O721))))</f>
        <v>0</v>
      </c>
      <c r="U724" s="13" t="n">
        <f aca="false">IF(AND(D724=WF_START_PERIOD,R724,COUNTIFS($B$5:$B$750,B724,$D$5:$D$750,WF_END_PERIOD,$R$5:$R$750,TRUE())&gt;0),SUMIFS($S$5:$S$750,$B$5:$B$750,B724,$D$5:$D$750,WF_END_PERIOD,$R$5:$R$750,TRUE()),0)</f>
        <v>0</v>
      </c>
      <c r="V724" s="0" t="str">
        <f aca="false">IF(AND(D724=WF_START_PERIOD,COUNTIFS($B$5:$B$750,B724,$D$5:$D$750,WF_END_PERIOD)&gt;0),INDEX($E$5:$E$750,MATCH(B724&amp;"|"&amp;WF_END_PERIOD,$AC$5:$AC$750,0)),"")</f>
        <v/>
      </c>
      <c r="W724" s="11" t="b">
        <f aca="false">COUNTIFS($B$5:$B$750,B724,$D$5:$D$750,WF_START_PERIOD,$R$5:$R$750,TRUE())&gt;0</f>
        <v>1</v>
      </c>
      <c r="X724" s="11" t="b">
        <f aca="false">COUNTIFS($B$5:$B$750,B724,$D$5:$D$750,WF_END_PERIOD,$R$5:$R$750,TRUE())&gt;0</f>
        <v>1</v>
      </c>
      <c r="Y724" s="0" t="str">
        <f aca="false">IF(AND(D724=WF_END_PERIOD,COUNTIFS($B$5:$B$750,B724,$D$5:$D$750,WF_START_PERIOD)&gt;0),INDEX($E$5:$E$750,MATCH(B724&amp;"|"&amp;WF_START_PERIOD,$AC$5:$AC$750,0)),"")</f>
        <v>ME</v>
      </c>
      <c r="Z724" s="0" t="n">
        <f aca="false">IF(AND(D724=WF_END_PERIOD,R724),1+COUNTIFS($D$5:$D$750,WF_END_PERIOD,$E$5:$E$750,E724,$R$5:$R$750,TRUE(),$S$5:$S$750,"&gt;"&amp;S724)+COUNTIFS($D$5:$D$750,WF_END_PERIOD,$E$5:$E$750,E724,$R$5:$R$750,TRUE(),$S$5:$S$750,S724,$B$5:$B$750,"&lt;"&amp;B724),"")</f>
        <v>7</v>
      </c>
      <c r="AA724" s="0" t="n">
        <f aca="false">IF(AND(D724=WF_END_PERIOD,R724,Z724&lt;&gt;1),1+COUNTIFS($D$5:$D$750,WF_END_PERIOD,$R$5:$R$750,TRUE(),$Z$5:$Z$750,"&lt;&gt;1",$S$5:$S$750,"&gt;"&amp;S724)+COUNTIFS($D$5:$D$750,WF_END_PERIOD,$R$5:$R$750,TRUE(),$Z$5:$Z$750,"&lt;&gt;1",$S$5:$S$750,S724,$B$5:$B$750,"&lt;"&amp;B724),"")</f>
        <v>12</v>
      </c>
      <c r="AB724" s="11" t="b">
        <f aca="false">OR(D724=WF_START_PERIOD,D724=WF_END_PERIOD)</f>
        <v>1</v>
      </c>
      <c r="AC724" s="0" t="str">
        <f aca="false">B724&amp;"|"&amp;D724</f>
        <v>18408|20250630</v>
      </c>
    </row>
    <row r="725" customFormat="false" ht="15" hidden="false" customHeight="false" outlineLevel="0" collapsed="false">
      <c r="A725" s="0" t="n">
        <f aca="false">RawFinancials!A725</f>
        <v>722</v>
      </c>
      <c r="B725" s="0" t="n">
        <f aca="false">RawFinancials!C725</f>
        <v>19531</v>
      </c>
      <c r="C725" s="0" t="str">
        <f aca="false">RawFinancials!P725</f>
        <v>MACHIAS SAVINGS BANK</v>
      </c>
      <c r="D725" s="0" t="n">
        <f aca="false">RawFinancials!W725</f>
        <v>20250630</v>
      </c>
      <c r="E725" s="0" t="str">
        <f aca="false">RawFinancials!Z725</f>
        <v>ME</v>
      </c>
      <c r="F725" s="0" t="n">
        <f aca="false">RawFinancials!B725</f>
        <v>2611219</v>
      </c>
      <c r="G725" s="0" t="n">
        <f aca="false">RawFinancials!U725</f>
        <v>5</v>
      </c>
      <c r="H725" s="0" t="n">
        <f aca="false">RawFinancials!O725</f>
        <v>9735</v>
      </c>
      <c r="I725" s="0" t="n">
        <f aca="false">IF(AND(ISNUMBER(G725),ISNUMBER(H725)),G725+H725,"")</f>
        <v>9740</v>
      </c>
      <c r="J725" s="0" t="n">
        <f aca="false">RawFinancials!D725</f>
        <v>2294497</v>
      </c>
      <c r="K725" s="0" t="n">
        <f aca="false">RawFinancials!F725</f>
        <v>275708</v>
      </c>
      <c r="L725" s="0" t="n">
        <f aca="false">RawFinancials!L725</f>
        <v>2215644</v>
      </c>
      <c r="M725" s="0" t="n">
        <f aca="false">RawFinancials!N725</f>
        <v>1826881</v>
      </c>
      <c r="N725" s="13" t="n">
        <f aca="false">RawFinancials!X725</f>
        <v>0.844947020319184</v>
      </c>
      <c r="O725" s="13" t="n">
        <f aca="false">RawFinancials!V725</f>
        <v>14.1532975883845</v>
      </c>
      <c r="P725" s="13" t="n">
        <f aca="false">IF(AND(ISNUMBER(L725),L725&lt;&gt;0,ISNUMBER(M725)),100*M725/L725,"")</f>
        <v>82.4537245153102</v>
      </c>
      <c r="Q725" s="13" t="n">
        <f aca="false">IF(AND(ISNUMBER(F725),F725&lt;&gt;0,ISNUMBER(K725)),100*K725/F725,"")</f>
        <v>10.558593515136</v>
      </c>
      <c r="R725" s="11" t="b">
        <f aca="false">AND(ISNUMBER(F725),F725&gt;0,ISNUMBER(G725),G725&gt;=0,ISNUMBER(H725),H725&gt;=0)</f>
        <v>1</v>
      </c>
      <c r="S725" s="13" t="n">
        <f aca="false">IF(R725,100*I725/F725,"")</f>
        <v>0.373005864310883</v>
      </c>
      <c r="T725" s="11" t="b">
        <f aca="false">NOT(AND(OR(AND(ISBLANK(RawFinancials!B725),ISBLANK(_RawBaseline!B722)),AND(ISNUMBER(RawFinancials!B725),ISNUMBER(_RawBaseline!B722),RawFinancials!B725=_RawBaseline!B722)),OR(AND(ISBLANK(RawFinancials!U725),ISBLANK(_RawBaseline!U722)),AND(ISNUMBER(RawFinancials!U725),ISNUMBER(_RawBaseline!U722),RawFinancials!U725=_RawBaseline!U722)),OR(AND(ISBLANK(RawFinancials!O725),ISBLANK(_RawBaseline!O722)),AND(ISNUMBER(RawFinancials!O725),ISNUMBER(_RawBaseline!O722),RawFinancials!O725=_RawBaseline!O722))))</f>
        <v>0</v>
      </c>
      <c r="U725" s="13" t="n">
        <f aca="false">IF(AND(D725=WF_START_PERIOD,R725,COUNTIFS($B$5:$B$750,B725,$D$5:$D$750,WF_END_PERIOD,$R$5:$R$750,TRUE())&gt;0),SUMIFS($S$5:$S$750,$B$5:$B$750,B725,$D$5:$D$750,WF_END_PERIOD,$R$5:$R$750,TRUE()),0)</f>
        <v>0</v>
      </c>
      <c r="V725" s="0" t="str">
        <f aca="false">IF(AND(D725=WF_START_PERIOD,COUNTIFS($B$5:$B$750,B725,$D$5:$D$750,WF_END_PERIOD)&gt;0),INDEX($E$5:$E$750,MATCH(B725&amp;"|"&amp;WF_END_PERIOD,$AC$5:$AC$750,0)),"")</f>
        <v/>
      </c>
      <c r="W725" s="11" t="b">
        <f aca="false">COUNTIFS($B$5:$B$750,B725,$D$5:$D$750,WF_START_PERIOD,$R$5:$R$750,TRUE())&gt;0</f>
        <v>1</v>
      </c>
      <c r="X725" s="11" t="b">
        <f aca="false">COUNTIFS($B$5:$B$750,B725,$D$5:$D$750,WF_END_PERIOD,$R$5:$R$750,TRUE())&gt;0</f>
        <v>1</v>
      </c>
      <c r="Y725" s="0" t="str">
        <f aca="false">IF(AND(D725=WF_END_PERIOD,COUNTIFS($B$5:$B$750,B725,$D$5:$D$750,WF_START_PERIOD)&gt;0),INDEX($E$5:$E$750,MATCH(B725&amp;"|"&amp;WF_START_PERIOD,$AC$5:$AC$750,0)),"")</f>
        <v>ME</v>
      </c>
      <c r="Z725" s="0" t="n">
        <f aca="false">IF(AND(D725=WF_END_PERIOD,R725),1+COUNTIFS($D$5:$D$750,WF_END_PERIOD,$E$5:$E$750,E725,$R$5:$R$750,TRUE(),$S$5:$S$750,"&gt;"&amp;S725)+COUNTIFS($D$5:$D$750,WF_END_PERIOD,$E$5:$E$750,E725,$R$5:$R$750,TRUE(),$S$5:$S$750,S725,$B$5:$B$750,"&lt;"&amp;B725),"")</f>
        <v>8</v>
      </c>
      <c r="AA725" s="0" t="n">
        <f aca="false">IF(AND(D725=WF_END_PERIOD,R725,Z725&lt;&gt;1),1+COUNTIFS($D$5:$D$750,WF_END_PERIOD,$R$5:$R$750,TRUE(),$Z$5:$Z$750,"&lt;&gt;1",$S$5:$S$750,"&gt;"&amp;S725)+COUNTIFS($D$5:$D$750,WF_END_PERIOD,$R$5:$R$750,TRUE(),$Z$5:$Z$750,"&lt;&gt;1",$S$5:$S$750,S725,$B$5:$B$750,"&lt;"&amp;B725),"")</f>
        <v>14</v>
      </c>
      <c r="AB725" s="11" t="b">
        <f aca="false">OR(D725=WF_START_PERIOD,D725=WF_END_PERIOD)</f>
        <v>1</v>
      </c>
      <c r="AC725" s="0" t="str">
        <f aca="false">B725&amp;"|"&amp;D725</f>
        <v>19531|20250630</v>
      </c>
    </row>
    <row r="726" customFormat="false" ht="15" hidden="false" customHeight="false" outlineLevel="0" collapsed="false">
      <c r="A726" s="0" t="n">
        <f aca="false">RawFinancials!A726</f>
        <v>723</v>
      </c>
      <c r="B726" s="0" t="n">
        <f aca="false">RawFinancials!C726</f>
        <v>19532</v>
      </c>
      <c r="C726" s="0" t="str">
        <f aca="false">RawFinancials!P726</f>
        <v>SKOWHEGAN SAVINGS BANK</v>
      </c>
      <c r="D726" s="0" t="n">
        <f aca="false">RawFinancials!W726</f>
        <v>20250630</v>
      </c>
      <c r="E726" s="0" t="str">
        <f aca="false">RawFinancials!Z726</f>
        <v>ME</v>
      </c>
      <c r="F726" s="0" t="n">
        <f aca="false">RawFinancials!B726</f>
        <v>843145</v>
      </c>
      <c r="G726" s="0" t="n">
        <f aca="false">RawFinancials!U726</f>
        <v>189</v>
      </c>
      <c r="H726" s="0" t="n">
        <f aca="false">RawFinancials!O726</f>
        <v>1705</v>
      </c>
      <c r="I726" s="0" t="n">
        <f aca="false">IF(AND(ISNUMBER(G726),ISNUMBER(H726)),G726+H726,"")</f>
        <v>1894</v>
      </c>
      <c r="J726" s="0" t="n">
        <f aca="false">RawFinancials!D726</f>
        <v>706708</v>
      </c>
      <c r="K726" s="0" t="n">
        <f aca="false">RawFinancials!F726</f>
        <v>110106</v>
      </c>
      <c r="L726" s="0" t="n">
        <f aca="false">RawFinancials!L726</f>
        <v>617669</v>
      </c>
      <c r="M726" s="0" t="n">
        <f aca="false">RawFinancials!N726</f>
        <v>511357</v>
      </c>
      <c r="N726" s="13" t="n">
        <f aca="false">RawFinancials!X726</f>
        <v>0.98381360720577</v>
      </c>
      <c r="O726" s="13" t="n">
        <f aca="false">RawFinancials!V726</f>
        <v>21.8705548239072</v>
      </c>
      <c r="P726" s="13" t="n">
        <f aca="false">IF(AND(ISNUMBER(L726),L726&lt;&gt;0,ISNUMBER(M726)),100*M726/L726,"")</f>
        <v>82.7881923813564</v>
      </c>
      <c r="Q726" s="13" t="n">
        <f aca="false">IF(AND(ISNUMBER(F726),F726&lt;&gt;0,ISNUMBER(K726)),100*K726/F726,"")</f>
        <v>13.0589637606817</v>
      </c>
      <c r="R726" s="11" t="b">
        <f aca="false">AND(ISNUMBER(F726),F726&gt;0,ISNUMBER(G726),G726&gt;=0,ISNUMBER(H726),H726&gt;=0)</f>
        <v>1</v>
      </c>
      <c r="S726" s="13" t="n">
        <f aca="false">IF(R726,100*I726/F726,"")</f>
        <v>0.224635145793428</v>
      </c>
      <c r="T726" s="11" t="b">
        <f aca="false">NOT(AND(OR(AND(ISBLANK(RawFinancials!B726),ISBLANK(_RawBaseline!B723)),AND(ISNUMBER(RawFinancials!B726),ISNUMBER(_RawBaseline!B723),RawFinancials!B726=_RawBaseline!B723)),OR(AND(ISBLANK(RawFinancials!U726),ISBLANK(_RawBaseline!U723)),AND(ISNUMBER(RawFinancials!U726),ISNUMBER(_RawBaseline!U723),RawFinancials!U726=_RawBaseline!U723)),OR(AND(ISBLANK(RawFinancials!O726),ISBLANK(_RawBaseline!O723)),AND(ISNUMBER(RawFinancials!O726),ISNUMBER(_RawBaseline!O723),RawFinancials!O726=_RawBaseline!O723))))</f>
        <v>0</v>
      </c>
      <c r="U726" s="13" t="n">
        <f aca="false">IF(AND(D726=WF_START_PERIOD,R726,COUNTIFS($B$5:$B$750,B726,$D$5:$D$750,WF_END_PERIOD,$R$5:$R$750,TRUE())&gt;0),SUMIFS($S$5:$S$750,$B$5:$B$750,B726,$D$5:$D$750,WF_END_PERIOD,$R$5:$R$750,TRUE()),0)</f>
        <v>0</v>
      </c>
      <c r="V726" s="0" t="str">
        <f aca="false">IF(AND(D726=WF_START_PERIOD,COUNTIFS($B$5:$B$750,B726,$D$5:$D$750,WF_END_PERIOD)&gt;0),INDEX($E$5:$E$750,MATCH(B726&amp;"|"&amp;WF_END_PERIOD,$AC$5:$AC$750,0)),"")</f>
        <v/>
      </c>
      <c r="W726" s="11" t="b">
        <f aca="false">COUNTIFS($B$5:$B$750,B726,$D$5:$D$750,WF_START_PERIOD,$R$5:$R$750,TRUE())&gt;0</f>
        <v>1</v>
      </c>
      <c r="X726" s="11" t="b">
        <f aca="false">COUNTIFS($B$5:$B$750,B726,$D$5:$D$750,WF_END_PERIOD,$R$5:$R$750,TRUE())&gt;0</f>
        <v>1</v>
      </c>
      <c r="Y726" s="0" t="str">
        <f aca="false">IF(AND(D726=WF_END_PERIOD,COUNTIFS($B$5:$B$750,B726,$D$5:$D$750,WF_START_PERIOD)&gt;0),INDEX($E$5:$E$750,MATCH(B726&amp;"|"&amp;WF_START_PERIOD,$AC$5:$AC$750,0)),"")</f>
        <v>ME</v>
      </c>
      <c r="Z726" s="0" t="n">
        <f aca="false">IF(AND(D726=WF_END_PERIOD,R726),1+COUNTIFS($D$5:$D$750,WF_END_PERIOD,$E$5:$E$750,E726,$R$5:$R$750,TRUE(),$S$5:$S$750,"&gt;"&amp;S726)+COUNTIFS($D$5:$D$750,WF_END_PERIOD,$E$5:$E$750,E726,$R$5:$R$750,TRUE(),$S$5:$S$750,S726,$B$5:$B$750,"&lt;"&amp;B726),"")</f>
        <v>14</v>
      </c>
      <c r="AA726" s="0" t="n">
        <f aca="false">IF(AND(D726=WF_END_PERIOD,R726,Z726&lt;&gt;1),1+COUNTIFS($D$5:$D$750,WF_END_PERIOD,$R$5:$R$750,TRUE(),$Z$5:$Z$750,"&lt;&gt;1",$S$5:$S$750,"&gt;"&amp;S726)+COUNTIFS($D$5:$D$750,WF_END_PERIOD,$R$5:$R$750,TRUE(),$Z$5:$Z$750,"&lt;&gt;1",$S$5:$S$750,S726,$B$5:$B$750,"&lt;"&amp;B726),"")</f>
        <v>27</v>
      </c>
      <c r="AB726" s="11" t="b">
        <f aca="false">OR(D726=WF_START_PERIOD,D726=WF_END_PERIOD)</f>
        <v>1</v>
      </c>
      <c r="AC726" s="0" t="str">
        <f aca="false">B726&amp;"|"&amp;D726</f>
        <v>19532|20250630</v>
      </c>
    </row>
    <row r="727" customFormat="false" ht="15" hidden="false" customHeight="false" outlineLevel="0" collapsed="false">
      <c r="A727" s="0" t="n">
        <f aca="false">RawFinancials!A727</f>
        <v>724</v>
      </c>
      <c r="B727" s="0" t="n">
        <f aca="false">RawFinancials!C727</f>
        <v>19690</v>
      </c>
      <c r="C727" s="0" t="str">
        <f aca="false">RawFinancials!P727</f>
        <v>NORTHEAST BANK</v>
      </c>
      <c r="D727" s="0" t="n">
        <f aca="false">RawFinancials!W727</f>
        <v>20250630</v>
      </c>
      <c r="E727" s="0" t="str">
        <f aca="false">RawFinancials!Z727</f>
        <v>ME</v>
      </c>
      <c r="F727" s="0" t="n">
        <f aca="false">RawFinancials!B727</f>
        <v>4279069</v>
      </c>
      <c r="G727" s="0" t="n">
        <f aca="false">RawFinancials!U727</f>
        <v>0</v>
      </c>
      <c r="H727" s="0" t="n">
        <f aca="false">RawFinancials!O727</f>
        <v>35011</v>
      </c>
      <c r="I727" s="0" t="n">
        <f aca="false">IF(AND(ISNUMBER(G727),ISNUMBER(H727)),G727+H727,"")</f>
        <v>35011</v>
      </c>
      <c r="J727" s="0" t="n">
        <f aca="false">RawFinancials!D727</f>
        <v>3405883</v>
      </c>
      <c r="K727" s="0" t="n">
        <f aca="false">RawFinancials!F727</f>
        <v>494286</v>
      </c>
      <c r="L727" s="0" t="n">
        <f aca="false">RawFinancials!L727</f>
        <v>3790157</v>
      </c>
      <c r="M727" s="0" t="n">
        <f aca="false">RawFinancials!N727</f>
        <v>2852951</v>
      </c>
      <c r="N727" s="13" t="n">
        <f aca="false">RawFinancials!X727</f>
        <v>2.09184214445272</v>
      </c>
      <c r="O727" s="13" t="n">
        <f aca="false">RawFinancials!V727</f>
        <v>14.6965811023661</v>
      </c>
      <c r="P727" s="13" t="n">
        <f aca="false">IF(AND(ISNUMBER(L727),L727&lt;&gt;0,ISNUMBER(M727)),100*M727/L727,"")</f>
        <v>75.2726338249313</v>
      </c>
      <c r="Q727" s="13" t="n">
        <f aca="false">IF(AND(ISNUMBER(F727),F727&lt;&gt;0,ISNUMBER(K727)),100*K727/F727,"")</f>
        <v>11.5512509847352</v>
      </c>
      <c r="R727" s="11" t="b">
        <f aca="false">AND(ISNUMBER(F727),F727&gt;0,ISNUMBER(G727),G727&gt;=0,ISNUMBER(H727),H727&gt;=0)</f>
        <v>1</v>
      </c>
      <c r="S727" s="13" t="n">
        <f aca="false">IF(R727,100*I727/F727,"")</f>
        <v>0.818191994567043</v>
      </c>
      <c r="T727" s="11" t="b">
        <f aca="false">NOT(AND(OR(AND(ISBLANK(RawFinancials!B727),ISBLANK(_RawBaseline!B724)),AND(ISNUMBER(RawFinancials!B727),ISNUMBER(_RawBaseline!B724),RawFinancials!B727=_RawBaseline!B724)),OR(AND(ISBLANK(RawFinancials!U727),ISBLANK(_RawBaseline!U724)),AND(ISNUMBER(RawFinancials!U727),ISNUMBER(_RawBaseline!U724),RawFinancials!U727=_RawBaseline!U724)),OR(AND(ISBLANK(RawFinancials!O727),ISBLANK(_RawBaseline!O724)),AND(ISNUMBER(RawFinancials!O727),ISNUMBER(_RawBaseline!O724),RawFinancials!O727=_RawBaseline!O724))))</f>
        <v>0</v>
      </c>
      <c r="U727" s="13" t="n">
        <f aca="false">IF(AND(D727=WF_START_PERIOD,R727,COUNTIFS($B$5:$B$750,B727,$D$5:$D$750,WF_END_PERIOD,$R$5:$R$750,TRUE())&gt;0),SUMIFS($S$5:$S$750,$B$5:$B$750,B727,$D$5:$D$750,WF_END_PERIOD,$R$5:$R$750,TRUE()),0)</f>
        <v>0</v>
      </c>
      <c r="V727" s="0" t="str">
        <f aca="false">IF(AND(D727=WF_START_PERIOD,COUNTIFS($B$5:$B$750,B727,$D$5:$D$750,WF_END_PERIOD)&gt;0),INDEX($E$5:$E$750,MATCH(B727&amp;"|"&amp;WF_END_PERIOD,$AC$5:$AC$750,0)),"")</f>
        <v/>
      </c>
      <c r="W727" s="11" t="b">
        <f aca="false">COUNTIFS($B$5:$B$750,B727,$D$5:$D$750,WF_START_PERIOD,$R$5:$R$750,TRUE())&gt;0</f>
        <v>1</v>
      </c>
      <c r="X727" s="11" t="b">
        <f aca="false">COUNTIFS($B$5:$B$750,B727,$D$5:$D$750,WF_END_PERIOD,$R$5:$R$750,TRUE())&gt;0</f>
        <v>1</v>
      </c>
      <c r="Y727" s="0" t="str">
        <f aca="false">IF(AND(D727=WF_END_PERIOD,COUNTIFS($B$5:$B$750,B727,$D$5:$D$750,WF_START_PERIOD)&gt;0),INDEX($E$5:$E$750,MATCH(B727&amp;"|"&amp;WF_START_PERIOD,$AC$5:$AC$750,0)),"")</f>
        <v>ME</v>
      </c>
      <c r="Z727" s="0" t="n">
        <f aca="false">IF(AND(D727=WF_END_PERIOD,R727),1+COUNTIFS($D$5:$D$750,WF_END_PERIOD,$E$5:$E$750,E727,$R$5:$R$750,TRUE(),$S$5:$S$750,"&gt;"&amp;S727)+COUNTIFS($D$5:$D$750,WF_END_PERIOD,$E$5:$E$750,E727,$R$5:$R$750,TRUE(),$S$5:$S$750,S727,$B$5:$B$750,"&lt;"&amp;B727),"")</f>
        <v>4</v>
      </c>
      <c r="AA727" s="0" t="n">
        <f aca="false">IF(AND(D727=WF_END_PERIOD,R727,Z727&lt;&gt;1),1+COUNTIFS($D$5:$D$750,WF_END_PERIOD,$R$5:$R$750,TRUE(),$Z$5:$Z$750,"&lt;&gt;1",$S$5:$S$750,"&gt;"&amp;S727)+COUNTIFS($D$5:$D$750,WF_END_PERIOD,$R$5:$R$750,TRUE(),$Z$5:$Z$750,"&lt;&gt;1",$S$5:$S$750,S727,$B$5:$B$750,"&lt;"&amp;B727),"")</f>
        <v>5</v>
      </c>
      <c r="AB727" s="11" t="b">
        <f aca="false">OR(D727=WF_START_PERIOD,D727=WF_END_PERIOD)</f>
        <v>1</v>
      </c>
      <c r="AC727" s="0" t="str">
        <f aca="false">B727&amp;"|"&amp;D727</f>
        <v>19690|20250630</v>
      </c>
    </row>
    <row r="728" customFormat="false" ht="15" hidden="false" customHeight="false" outlineLevel="0" collapsed="false">
      <c r="A728" s="0" t="n">
        <f aca="false">RawFinancials!A728</f>
        <v>725</v>
      </c>
      <c r="B728" s="0" t="n">
        <f aca="false">RawFinancials!C728</f>
        <v>19836</v>
      </c>
      <c r="C728" s="0" t="str">
        <f aca="false">RawFinancials!P728</f>
        <v>FRANKLIN SAVINGS BANK</v>
      </c>
      <c r="D728" s="0" t="n">
        <f aca="false">RawFinancials!W728</f>
        <v>20250630</v>
      </c>
      <c r="E728" s="0" t="str">
        <f aca="false">RawFinancials!Z728</f>
        <v>ME</v>
      </c>
      <c r="F728" s="0" t="n">
        <f aca="false">RawFinancials!B728</f>
        <v>755186</v>
      </c>
      <c r="G728" s="0" t="n">
        <f aca="false">RawFinancials!U728</f>
        <v>141</v>
      </c>
      <c r="H728" s="0" t="n">
        <f aca="false">RawFinancials!O728</f>
        <v>8281</v>
      </c>
      <c r="I728" s="0" t="n">
        <f aca="false">IF(AND(ISNUMBER(G728),ISNUMBER(H728)),G728+H728,"")</f>
        <v>8422</v>
      </c>
      <c r="J728" s="0" t="n">
        <f aca="false">RawFinancials!D728</f>
        <v>587526</v>
      </c>
      <c r="K728" s="0" t="n">
        <f aca="false">RawFinancials!F728</f>
        <v>130465</v>
      </c>
      <c r="L728" s="0" t="n">
        <f aca="false">RawFinancials!L728</f>
        <v>643156</v>
      </c>
      <c r="M728" s="0" t="n">
        <f aca="false">RawFinancials!N728</f>
        <v>587491</v>
      </c>
      <c r="N728" s="13" t="n">
        <f aca="false">RawFinancials!X728</f>
        <v>0.839541245838753</v>
      </c>
      <c r="O728" s="13" t="n">
        <f aca="false">RawFinancials!V728</f>
        <v>23.0548516374529</v>
      </c>
      <c r="P728" s="13" t="n">
        <f aca="false">IF(AND(ISNUMBER(L728),L728&lt;&gt;0,ISNUMBER(M728)),100*M728/L728,"")</f>
        <v>91.3450236023609</v>
      </c>
      <c r="Q728" s="13" t="n">
        <f aca="false">IF(AND(ISNUMBER(F728),F728&lt;&gt;0,ISNUMBER(K728)),100*K728/F728,"")</f>
        <v>17.2758764066071</v>
      </c>
      <c r="R728" s="11" t="b">
        <f aca="false">AND(ISNUMBER(F728),F728&gt;0,ISNUMBER(G728),G728&gt;=0,ISNUMBER(H728),H728&gt;=0)</f>
        <v>1</v>
      </c>
      <c r="S728" s="13" t="n">
        <f aca="false">IF(R728,100*I728/F728,"")</f>
        <v>1.11522194532208</v>
      </c>
      <c r="T728" s="11" t="b">
        <f aca="false">NOT(AND(OR(AND(ISBLANK(RawFinancials!B728),ISBLANK(_RawBaseline!B725)),AND(ISNUMBER(RawFinancials!B728),ISNUMBER(_RawBaseline!B725),RawFinancials!B728=_RawBaseline!B725)),OR(AND(ISBLANK(RawFinancials!U728),ISBLANK(_RawBaseline!U725)),AND(ISNUMBER(RawFinancials!U728),ISNUMBER(_RawBaseline!U725),RawFinancials!U728=_RawBaseline!U725)),OR(AND(ISBLANK(RawFinancials!O728),ISBLANK(_RawBaseline!O725)),AND(ISNUMBER(RawFinancials!O728),ISNUMBER(_RawBaseline!O725),RawFinancials!O728=_RawBaseline!O725))))</f>
        <v>0</v>
      </c>
      <c r="U728" s="13" t="n">
        <f aca="false">IF(AND(D728=WF_START_PERIOD,R728,COUNTIFS($B$5:$B$750,B728,$D$5:$D$750,WF_END_PERIOD,$R$5:$R$750,TRUE())&gt;0),SUMIFS($S$5:$S$750,$B$5:$B$750,B728,$D$5:$D$750,WF_END_PERIOD,$R$5:$R$750,TRUE()),0)</f>
        <v>0</v>
      </c>
      <c r="V728" s="0" t="str">
        <f aca="false">IF(AND(D728=WF_START_PERIOD,COUNTIFS($B$5:$B$750,B728,$D$5:$D$750,WF_END_PERIOD)&gt;0),INDEX($E$5:$E$750,MATCH(B728&amp;"|"&amp;WF_END_PERIOD,$AC$5:$AC$750,0)),"")</f>
        <v/>
      </c>
      <c r="W728" s="11" t="b">
        <f aca="false">COUNTIFS($B$5:$B$750,B728,$D$5:$D$750,WF_START_PERIOD,$R$5:$R$750,TRUE())&gt;0</f>
        <v>1</v>
      </c>
      <c r="X728" s="11" t="b">
        <f aca="false">COUNTIFS($B$5:$B$750,B728,$D$5:$D$750,WF_END_PERIOD,$R$5:$R$750,TRUE())&gt;0</f>
        <v>1</v>
      </c>
      <c r="Y728" s="0" t="str">
        <f aca="false">IF(AND(D728=WF_END_PERIOD,COUNTIFS($B$5:$B$750,B728,$D$5:$D$750,WF_START_PERIOD)&gt;0),INDEX($E$5:$E$750,MATCH(B728&amp;"|"&amp;WF_START_PERIOD,$AC$5:$AC$750,0)),"")</f>
        <v>ME</v>
      </c>
      <c r="Z728" s="0" t="n">
        <f aca="false">IF(AND(D728=WF_END_PERIOD,R728),1+COUNTIFS($D$5:$D$750,WF_END_PERIOD,$E$5:$E$750,E728,$R$5:$R$750,TRUE(),$S$5:$S$750,"&gt;"&amp;S728)+COUNTIFS($D$5:$D$750,WF_END_PERIOD,$E$5:$E$750,E728,$R$5:$R$750,TRUE(),$S$5:$S$750,S728,$B$5:$B$750,"&lt;"&amp;B728),"")</f>
        <v>3</v>
      </c>
      <c r="AA728" s="0" t="n">
        <f aca="false">IF(AND(D728=WF_END_PERIOD,R728,Z728&lt;&gt;1),1+COUNTIFS($D$5:$D$750,WF_END_PERIOD,$R$5:$R$750,TRUE(),$Z$5:$Z$750,"&lt;&gt;1",$S$5:$S$750,"&gt;"&amp;S728)+COUNTIFS($D$5:$D$750,WF_END_PERIOD,$R$5:$R$750,TRUE(),$Z$5:$Z$750,"&lt;&gt;1",$S$5:$S$750,S728,$B$5:$B$750,"&lt;"&amp;B728),"")</f>
        <v>3</v>
      </c>
      <c r="AB728" s="11" t="b">
        <f aca="false">OR(D728=WF_START_PERIOD,D728=WF_END_PERIOD)</f>
        <v>1</v>
      </c>
      <c r="AC728" s="0" t="str">
        <f aca="false">B728&amp;"|"&amp;D728</f>
        <v>19836|20250630</v>
      </c>
    </row>
    <row r="729" customFormat="false" ht="15" hidden="false" customHeight="false" outlineLevel="0" collapsed="false">
      <c r="A729" s="0" t="n">
        <f aca="false">RawFinancials!A729</f>
        <v>726</v>
      </c>
      <c r="B729" s="0" t="n">
        <f aca="false">RawFinancials!C729</f>
        <v>24540</v>
      </c>
      <c r="C729" s="0" t="str">
        <f aca="false">RawFinancials!P729</f>
        <v>BANK OF NEW ENGLAND</v>
      </c>
      <c r="D729" s="0" t="n">
        <f aca="false">RawFinancials!W729</f>
        <v>20250630</v>
      </c>
      <c r="E729" s="0" t="str">
        <f aca="false">RawFinancials!Z729</f>
        <v>NH</v>
      </c>
      <c r="F729" s="0" t="n">
        <f aca="false">RawFinancials!B729</f>
        <v>1748522</v>
      </c>
      <c r="G729" s="0" t="n">
        <f aca="false">RawFinancials!U729</f>
        <v>0</v>
      </c>
      <c r="H729" s="0" t="n">
        <f aca="false">RawFinancials!O729</f>
        <v>11424</v>
      </c>
      <c r="I729" s="0" t="n">
        <f aca="false">IF(AND(ISNUMBER(G729),ISNUMBER(H729)),G729+H729,"")</f>
        <v>11424</v>
      </c>
      <c r="J729" s="0" t="n">
        <f aca="false">RawFinancials!D729</f>
        <v>1440031</v>
      </c>
      <c r="K729" s="0" t="n">
        <f aca="false">RawFinancials!F729</f>
        <v>282051</v>
      </c>
      <c r="L729" s="0" t="n">
        <f aca="false">RawFinancials!L729</f>
        <v>1549557</v>
      </c>
      <c r="M729" s="0" t="n">
        <f aca="false">RawFinancials!N729</f>
        <v>1506054</v>
      </c>
      <c r="N729" s="13" t="n">
        <f aca="false">RawFinancials!X729</f>
        <v>2.05176886595267</v>
      </c>
      <c r="O729" s="13" t="n">
        <f aca="false">RawFinancials!V729</f>
        <v>0</v>
      </c>
      <c r="P729" s="13" t="n">
        <f aca="false">IF(AND(ISNUMBER(L729),L729&lt;&gt;0,ISNUMBER(M729)),100*M729/L729,"")</f>
        <v>97.1925524520879</v>
      </c>
      <c r="Q729" s="13" t="n">
        <f aca="false">IF(AND(ISNUMBER(F729),F729&lt;&gt;0,ISNUMBER(K729)),100*K729/F729,"")</f>
        <v>16.1308236327596</v>
      </c>
      <c r="R729" s="11" t="b">
        <f aca="false">AND(ISNUMBER(F729),F729&gt;0,ISNUMBER(G729),G729&gt;=0,ISNUMBER(H729),H729&gt;=0)</f>
        <v>1</v>
      </c>
      <c r="S729" s="13" t="n">
        <f aca="false">IF(R729,100*I729/F729,"")</f>
        <v>0.653351802264999</v>
      </c>
      <c r="T729" s="11" t="b">
        <f aca="false">NOT(AND(OR(AND(ISBLANK(RawFinancials!B729),ISBLANK(_RawBaseline!B726)),AND(ISNUMBER(RawFinancials!B729),ISNUMBER(_RawBaseline!B726),RawFinancials!B729=_RawBaseline!B726)),OR(AND(ISBLANK(RawFinancials!U729),ISBLANK(_RawBaseline!U726)),AND(ISNUMBER(RawFinancials!U729),ISNUMBER(_RawBaseline!U726),RawFinancials!U729=_RawBaseline!U726)),OR(AND(ISBLANK(RawFinancials!O729),ISBLANK(_RawBaseline!O726)),AND(ISNUMBER(RawFinancials!O729),ISNUMBER(_RawBaseline!O726),RawFinancials!O729=_RawBaseline!O726))))</f>
        <v>0</v>
      </c>
      <c r="U729" s="13" t="n">
        <f aca="false">IF(AND(D729=WF_START_PERIOD,R729,COUNTIFS($B$5:$B$750,B729,$D$5:$D$750,WF_END_PERIOD,$R$5:$R$750,TRUE())&gt;0),SUMIFS($S$5:$S$750,$B$5:$B$750,B729,$D$5:$D$750,WF_END_PERIOD,$R$5:$R$750,TRUE()),0)</f>
        <v>0</v>
      </c>
      <c r="V729" s="0" t="str">
        <f aca="false">IF(AND(D729=WF_START_PERIOD,COUNTIFS($B$5:$B$750,B729,$D$5:$D$750,WF_END_PERIOD)&gt;0),INDEX($E$5:$E$750,MATCH(B729&amp;"|"&amp;WF_END_PERIOD,$AC$5:$AC$750,0)),"")</f>
        <v/>
      </c>
      <c r="W729" s="11" t="b">
        <f aca="false">COUNTIFS($B$5:$B$750,B729,$D$5:$D$750,WF_START_PERIOD,$R$5:$R$750,TRUE())&gt;0</f>
        <v>1</v>
      </c>
      <c r="X729" s="11" t="b">
        <f aca="false">COUNTIFS($B$5:$B$750,B729,$D$5:$D$750,WF_END_PERIOD,$R$5:$R$750,TRUE())&gt;0</f>
        <v>1</v>
      </c>
      <c r="Y729" s="0" t="str">
        <f aca="false">IF(AND(D729=WF_END_PERIOD,COUNTIFS($B$5:$B$750,B729,$D$5:$D$750,WF_START_PERIOD)&gt;0),INDEX($E$5:$E$750,MATCH(B729&amp;"|"&amp;WF_START_PERIOD,$AC$5:$AC$750,0)),"")</f>
        <v>NH</v>
      </c>
      <c r="Z729" s="0" t="n">
        <f aca="false">IF(AND(D729=WF_END_PERIOD,R729),1+COUNTIFS($D$5:$D$750,WF_END_PERIOD,$E$5:$E$750,E729,$R$5:$R$750,TRUE(),$S$5:$S$750,"&gt;"&amp;S729)+COUNTIFS($D$5:$D$750,WF_END_PERIOD,$E$5:$E$750,E729,$R$5:$R$750,TRUE(),$S$5:$S$750,S729,$B$5:$B$750,"&lt;"&amp;B729),"")</f>
        <v>3</v>
      </c>
      <c r="AA729" s="0" t="n">
        <f aca="false">IF(AND(D729=WF_END_PERIOD,R729,Z729&lt;&gt;1),1+COUNTIFS($D$5:$D$750,WF_END_PERIOD,$R$5:$R$750,TRUE(),$Z$5:$Z$750,"&lt;&gt;1",$S$5:$S$750,"&gt;"&amp;S729)+COUNTIFS($D$5:$D$750,WF_END_PERIOD,$R$5:$R$750,TRUE(),$Z$5:$Z$750,"&lt;&gt;1",$S$5:$S$750,S729,$B$5:$B$750,"&lt;"&amp;B729),"")</f>
        <v>7</v>
      </c>
      <c r="AB729" s="11" t="b">
        <f aca="false">OR(D729=WF_START_PERIOD,D729=WF_END_PERIOD)</f>
        <v>1</v>
      </c>
      <c r="AC729" s="0" t="str">
        <f aca="false">B729&amp;"|"&amp;D729</f>
        <v>24540|20250630</v>
      </c>
    </row>
    <row r="730" customFormat="false" ht="15" hidden="false" customHeight="false" outlineLevel="0" collapsed="false">
      <c r="A730" s="0" t="n">
        <f aca="false">RawFinancials!A730</f>
        <v>727</v>
      </c>
      <c r="B730" s="0" t="n">
        <f aca="false">RawFinancials!C730</f>
        <v>27824</v>
      </c>
      <c r="C730" s="0" t="str">
        <f aca="false">RawFinancials!P730</f>
        <v>SALEM CO-OPERATIVE BANK</v>
      </c>
      <c r="D730" s="0" t="n">
        <f aca="false">RawFinancials!W730</f>
        <v>20250630</v>
      </c>
      <c r="E730" s="0" t="str">
        <f aca="false">RawFinancials!Z730</f>
        <v>NH</v>
      </c>
      <c r="F730" s="0" t="n">
        <f aca="false">RawFinancials!B730</f>
        <v>571650</v>
      </c>
      <c r="G730" s="0" t="n">
        <f aca="false">RawFinancials!U730</f>
        <v>0</v>
      </c>
      <c r="H730" s="0" t="n">
        <f aca="false">RawFinancials!O730</f>
        <v>2044</v>
      </c>
      <c r="I730" s="0" t="n">
        <f aca="false">IF(AND(ISNUMBER(G730),ISNUMBER(H730)),G730+H730,"")</f>
        <v>2044</v>
      </c>
      <c r="J730" s="0" t="n">
        <f aca="false">RawFinancials!D730</f>
        <v>388196</v>
      </c>
      <c r="K730" s="0" t="n">
        <f aca="false">RawFinancials!F730</f>
        <v>62136</v>
      </c>
      <c r="L730" s="0" t="n">
        <f aca="false">RawFinancials!L730</f>
        <v>471430</v>
      </c>
      <c r="M730" s="0" t="n">
        <f aca="false">RawFinancials!N730</f>
        <v>421364</v>
      </c>
      <c r="N730" s="13" t="n">
        <f aca="false">RawFinancials!X730</f>
        <v>-0.305904588568829</v>
      </c>
      <c r="O730" s="13" t="n">
        <f aca="false">RawFinancials!V730</f>
        <v>18.9590144003458</v>
      </c>
      <c r="P730" s="13" t="n">
        <f aca="false">IF(AND(ISNUMBER(L730),L730&lt;&gt;0,ISNUMBER(M730)),100*M730/L730,"")</f>
        <v>89.3799715758437</v>
      </c>
      <c r="Q730" s="13" t="n">
        <f aca="false">IF(AND(ISNUMBER(F730),F730&lt;&gt;0,ISNUMBER(K730)),100*K730/F730,"")</f>
        <v>10.8695880346366</v>
      </c>
      <c r="R730" s="11" t="b">
        <f aca="false">AND(ISNUMBER(F730),F730&gt;0,ISNUMBER(G730),G730&gt;=0,ISNUMBER(H730),H730&gt;=0)</f>
        <v>1</v>
      </c>
      <c r="S730" s="13" t="n">
        <f aca="false">IF(R730,100*I730/F730,"")</f>
        <v>0.357561444940086</v>
      </c>
      <c r="T730" s="11" t="b">
        <f aca="false">NOT(AND(OR(AND(ISBLANK(RawFinancials!B730),ISBLANK(_RawBaseline!B727)),AND(ISNUMBER(RawFinancials!B730),ISNUMBER(_RawBaseline!B727),RawFinancials!B730=_RawBaseline!B727)),OR(AND(ISBLANK(RawFinancials!U730),ISBLANK(_RawBaseline!U727)),AND(ISNUMBER(RawFinancials!U730),ISNUMBER(_RawBaseline!U727),RawFinancials!U730=_RawBaseline!U727)),OR(AND(ISBLANK(RawFinancials!O730),ISBLANK(_RawBaseline!O727)),AND(ISNUMBER(RawFinancials!O730),ISNUMBER(_RawBaseline!O727),RawFinancials!O730=_RawBaseline!O727))))</f>
        <v>0</v>
      </c>
      <c r="U730" s="13" t="n">
        <f aca="false">IF(AND(D730=WF_START_PERIOD,R730,COUNTIFS($B$5:$B$750,B730,$D$5:$D$750,WF_END_PERIOD,$R$5:$R$750,TRUE())&gt;0),SUMIFS($S$5:$S$750,$B$5:$B$750,B730,$D$5:$D$750,WF_END_PERIOD,$R$5:$R$750,TRUE()),0)</f>
        <v>0</v>
      </c>
      <c r="V730" s="0" t="str">
        <f aca="false">IF(AND(D730=WF_START_PERIOD,COUNTIFS($B$5:$B$750,B730,$D$5:$D$750,WF_END_PERIOD)&gt;0),INDEX($E$5:$E$750,MATCH(B730&amp;"|"&amp;WF_END_PERIOD,$AC$5:$AC$750,0)),"")</f>
        <v/>
      </c>
      <c r="W730" s="11" t="b">
        <f aca="false">COUNTIFS($B$5:$B$750,B730,$D$5:$D$750,WF_START_PERIOD,$R$5:$R$750,TRUE())&gt;0</f>
        <v>1</v>
      </c>
      <c r="X730" s="11" t="b">
        <f aca="false">COUNTIFS($B$5:$B$750,B730,$D$5:$D$750,WF_END_PERIOD,$R$5:$R$750,TRUE())&gt;0</f>
        <v>1</v>
      </c>
      <c r="Y730" s="0" t="str">
        <f aca="false">IF(AND(D730=WF_END_PERIOD,COUNTIFS($B$5:$B$750,B730,$D$5:$D$750,WF_START_PERIOD)&gt;0),INDEX($E$5:$E$750,MATCH(B730&amp;"|"&amp;WF_START_PERIOD,$AC$5:$AC$750,0)),"")</f>
        <v>NH</v>
      </c>
      <c r="Z730" s="0" t="n">
        <f aca="false">IF(AND(D730=WF_END_PERIOD,R730),1+COUNTIFS($D$5:$D$750,WF_END_PERIOD,$E$5:$E$750,E730,$R$5:$R$750,TRUE(),$S$5:$S$750,"&gt;"&amp;S730)+COUNTIFS($D$5:$D$750,WF_END_PERIOD,$E$5:$E$750,E730,$R$5:$R$750,TRUE(),$S$5:$S$750,S730,$B$5:$B$750,"&lt;"&amp;B730),"")</f>
        <v>6</v>
      </c>
      <c r="AA730" s="0" t="n">
        <f aca="false">IF(AND(D730=WF_END_PERIOD,R730,Z730&lt;&gt;1),1+COUNTIFS($D$5:$D$750,WF_END_PERIOD,$R$5:$R$750,TRUE(),$Z$5:$Z$750,"&lt;&gt;1",$S$5:$S$750,"&gt;"&amp;S730)+COUNTIFS($D$5:$D$750,WF_END_PERIOD,$R$5:$R$750,TRUE(),$Z$5:$Z$750,"&lt;&gt;1",$S$5:$S$750,S730,$B$5:$B$750,"&lt;"&amp;B730),"")</f>
        <v>16</v>
      </c>
      <c r="AB730" s="11" t="b">
        <f aca="false">OR(D730=WF_START_PERIOD,D730=WF_END_PERIOD)</f>
        <v>1</v>
      </c>
      <c r="AC730" s="0" t="str">
        <f aca="false">B730&amp;"|"&amp;D730</f>
        <v>27824|20250630</v>
      </c>
    </row>
    <row r="731" customFormat="false" ht="15" hidden="false" customHeight="false" outlineLevel="0" collapsed="false">
      <c r="A731" s="0" t="n">
        <f aca="false">RawFinancials!A731</f>
        <v>728</v>
      </c>
      <c r="B731" s="0" t="n">
        <f aca="false">RawFinancials!C731</f>
        <v>28155</v>
      </c>
      <c r="C731" s="0" t="str">
        <f aca="false">RawFinancials!P731</f>
        <v>PROFILE BANK</v>
      </c>
      <c r="D731" s="0" t="n">
        <f aca="false">RawFinancials!W731</f>
        <v>20250630</v>
      </c>
      <c r="E731" s="0" t="str">
        <f aca="false">RawFinancials!Z731</f>
        <v>NH</v>
      </c>
      <c r="F731" s="0" t="n">
        <f aca="false">RawFinancials!B731</f>
        <v>317001</v>
      </c>
      <c r="G731" s="0" t="n">
        <f aca="false">RawFinancials!U731</f>
        <v>0</v>
      </c>
      <c r="H731" s="0" t="n">
        <f aca="false">RawFinancials!O731</f>
        <v>0</v>
      </c>
      <c r="I731" s="0" t="n">
        <f aca="false">IF(AND(ISNUMBER(G731),ISNUMBER(H731)),G731+H731,"")</f>
        <v>0</v>
      </c>
      <c r="J731" s="0" t="n">
        <f aca="false">RawFinancials!D731</f>
        <v>287929</v>
      </c>
      <c r="K731" s="0" t="n">
        <f aca="false">RawFinancials!F731</f>
        <v>27470</v>
      </c>
      <c r="L731" s="0" t="n">
        <f aca="false">RawFinancials!L731</f>
        <v>180807</v>
      </c>
      <c r="M731" s="0" t="n">
        <f aca="false">RawFinancials!N731</f>
        <v>165552</v>
      </c>
      <c r="N731" s="13" t="n">
        <f aca="false">RawFinancials!X731</f>
        <v>-0.0309202389410805</v>
      </c>
      <c r="O731" s="13" t="n">
        <f aca="false">RawFinancials!V731</f>
        <v>17.1811647071488</v>
      </c>
      <c r="P731" s="13" t="n">
        <f aca="false">IF(AND(ISNUMBER(L731),L731&lt;&gt;0,ISNUMBER(M731)),100*M731/L731,"")</f>
        <v>91.5628266604722</v>
      </c>
      <c r="Q731" s="13" t="n">
        <f aca="false">IF(AND(ISNUMBER(F731),F731&lt;&gt;0,ISNUMBER(K731)),100*K731/F731,"")</f>
        <v>8.6655878057167</v>
      </c>
      <c r="R731" s="11" t="b">
        <f aca="false">AND(ISNUMBER(F731),F731&gt;0,ISNUMBER(G731),G731&gt;=0,ISNUMBER(H731),H731&gt;=0)</f>
        <v>1</v>
      </c>
      <c r="S731" s="13" t="n">
        <f aca="false">IF(R731,100*I731/F731,"")</f>
        <v>0</v>
      </c>
      <c r="T731" s="11" t="b">
        <f aca="false">NOT(AND(OR(AND(ISBLANK(RawFinancials!B731),ISBLANK(_RawBaseline!B728)),AND(ISNUMBER(RawFinancials!B731),ISNUMBER(_RawBaseline!B728),RawFinancials!B731=_RawBaseline!B728)),OR(AND(ISBLANK(RawFinancials!U731),ISBLANK(_RawBaseline!U728)),AND(ISNUMBER(RawFinancials!U731),ISNUMBER(_RawBaseline!U728),RawFinancials!U731=_RawBaseline!U728)),OR(AND(ISBLANK(RawFinancials!O731),ISBLANK(_RawBaseline!O728)),AND(ISNUMBER(RawFinancials!O731),ISNUMBER(_RawBaseline!O728),RawFinancials!O731=_RawBaseline!O728))))</f>
        <v>0</v>
      </c>
      <c r="U731" s="13" t="n">
        <f aca="false">IF(AND(D731=WF_START_PERIOD,R731,COUNTIFS($B$5:$B$750,B731,$D$5:$D$750,WF_END_PERIOD,$R$5:$R$750,TRUE())&gt;0),SUMIFS($S$5:$S$750,$B$5:$B$750,B731,$D$5:$D$750,WF_END_PERIOD,$R$5:$R$750,TRUE()),0)</f>
        <v>0</v>
      </c>
      <c r="V731" s="0" t="str">
        <f aca="false">IF(AND(D731=WF_START_PERIOD,COUNTIFS($B$5:$B$750,B731,$D$5:$D$750,WF_END_PERIOD)&gt;0),INDEX($E$5:$E$750,MATCH(B731&amp;"|"&amp;WF_END_PERIOD,$AC$5:$AC$750,0)),"")</f>
        <v/>
      </c>
      <c r="W731" s="11" t="b">
        <f aca="false">COUNTIFS($B$5:$B$750,B731,$D$5:$D$750,WF_START_PERIOD,$R$5:$R$750,TRUE())&gt;0</f>
        <v>1</v>
      </c>
      <c r="X731" s="11" t="b">
        <f aca="false">COUNTIFS($B$5:$B$750,B731,$D$5:$D$750,WF_END_PERIOD,$R$5:$R$750,TRUE())&gt;0</f>
        <v>1</v>
      </c>
      <c r="Y731" s="0" t="str">
        <f aca="false">IF(AND(D731=WF_END_PERIOD,COUNTIFS($B$5:$B$750,B731,$D$5:$D$750,WF_START_PERIOD)&gt;0),INDEX($E$5:$E$750,MATCH(B731&amp;"|"&amp;WF_START_PERIOD,$AC$5:$AC$750,0)),"")</f>
        <v>NH</v>
      </c>
      <c r="Z731" s="0" t="n">
        <f aca="false">IF(AND(D731=WF_END_PERIOD,R731),1+COUNTIFS($D$5:$D$750,WF_END_PERIOD,$E$5:$E$750,E731,$R$5:$R$750,TRUE(),$S$5:$S$750,"&gt;"&amp;S731)+COUNTIFS($D$5:$D$750,WF_END_PERIOD,$E$5:$E$750,E731,$R$5:$R$750,TRUE(),$S$5:$S$750,S731,$B$5:$B$750,"&lt;"&amp;B731),"")</f>
        <v>16</v>
      </c>
      <c r="AA731" s="0" t="n">
        <f aca="false">IF(AND(D731=WF_END_PERIOD,R731,Z731&lt;&gt;1),1+COUNTIFS($D$5:$D$750,WF_END_PERIOD,$R$5:$R$750,TRUE(),$Z$5:$Z$750,"&lt;&gt;1",$S$5:$S$750,"&gt;"&amp;S731)+COUNTIFS($D$5:$D$750,WF_END_PERIOD,$R$5:$R$750,TRUE(),$Z$5:$Z$750,"&lt;&gt;1",$S$5:$S$750,S731,$B$5:$B$750,"&lt;"&amp;B731),"")</f>
        <v>46</v>
      </c>
      <c r="AB731" s="11" t="b">
        <f aca="false">OR(D731=WF_START_PERIOD,D731=WF_END_PERIOD)</f>
        <v>1</v>
      </c>
      <c r="AC731" s="0" t="str">
        <f aca="false">B731&amp;"|"&amp;D731</f>
        <v>28155|20250630</v>
      </c>
    </row>
    <row r="732" customFormat="false" ht="15" hidden="false" customHeight="false" outlineLevel="0" collapsed="false">
      <c r="A732" s="0" t="n">
        <f aca="false">RawFinancials!A732</f>
        <v>729</v>
      </c>
      <c r="B732" s="0" t="n">
        <f aca="false">RawFinancials!C732</f>
        <v>28288</v>
      </c>
      <c r="C732" s="0" t="str">
        <f aca="false">RawFinancials!P732</f>
        <v>AUBURN SAVINGS BANK, FSB</v>
      </c>
      <c r="D732" s="0" t="n">
        <f aca="false">RawFinancials!W732</f>
        <v>20250630</v>
      </c>
      <c r="E732" s="0" t="str">
        <f aca="false">RawFinancials!Z732</f>
        <v>ME</v>
      </c>
      <c r="F732" s="0" t="n">
        <f aca="false">RawFinancials!B732</f>
        <v>102731</v>
      </c>
      <c r="G732" s="0" t="n">
        <f aca="false">RawFinancials!U732</f>
        <v>0</v>
      </c>
      <c r="H732" s="0" t="n">
        <f aca="false">RawFinancials!O732</f>
        <v>99</v>
      </c>
      <c r="I732" s="0" t="n">
        <f aca="false">IF(AND(ISNUMBER(G732),ISNUMBER(H732)),G732+H732,"")</f>
        <v>99</v>
      </c>
      <c r="J732" s="0" t="n">
        <f aca="false">RawFinancials!D732</f>
        <v>76453</v>
      </c>
      <c r="K732" s="0" t="n">
        <f aca="false">RawFinancials!F732</f>
        <v>6269</v>
      </c>
      <c r="L732" s="0" t="n">
        <f aca="false">RawFinancials!L732</f>
        <v>82436</v>
      </c>
      <c r="M732" s="0" t="n">
        <f aca="false">RawFinancials!N732</f>
        <v>74872</v>
      </c>
      <c r="N732" s="13" t="n">
        <f aca="false">RawFinancials!X732</f>
        <v>0.2469079353467</v>
      </c>
      <c r="O732" s="13" t="n">
        <f aca="false">RawFinancials!V732</f>
        <v>13.1832466884013</v>
      </c>
      <c r="P732" s="13" t="n">
        <f aca="false">IF(AND(ISNUMBER(L732),L732&lt;&gt;0,ISNUMBER(M732)),100*M732/L732,"")</f>
        <v>90.8243971080596</v>
      </c>
      <c r="Q732" s="13" t="n">
        <f aca="false">IF(AND(ISNUMBER(F732),F732&lt;&gt;0,ISNUMBER(K732)),100*K732/F732,"")</f>
        <v>6.1023449591652</v>
      </c>
      <c r="R732" s="11" t="b">
        <f aca="false">AND(ISNUMBER(F732),F732&gt;0,ISNUMBER(G732),G732&gt;=0,ISNUMBER(H732),H732&gt;=0)</f>
        <v>1</v>
      </c>
      <c r="S732" s="13" t="n">
        <f aca="false">IF(R732,100*I732/F732,"")</f>
        <v>0.0963681848711684</v>
      </c>
      <c r="T732" s="11" t="b">
        <f aca="false">NOT(AND(OR(AND(ISBLANK(RawFinancials!B732),ISBLANK(_RawBaseline!B729)),AND(ISNUMBER(RawFinancials!B732),ISNUMBER(_RawBaseline!B729),RawFinancials!B732=_RawBaseline!B729)),OR(AND(ISBLANK(RawFinancials!U732),ISBLANK(_RawBaseline!U729)),AND(ISNUMBER(RawFinancials!U732),ISNUMBER(_RawBaseline!U729),RawFinancials!U732=_RawBaseline!U729)),OR(AND(ISBLANK(RawFinancials!O732),ISBLANK(_RawBaseline!O729)),AND(ISNUMBER(RawFinancials!O732),ISNUMBER(_RawBaseline!O729),RawFinancials!O732=_RawBaseline!O729))))</f>
        <v>0</v>
      </c>
      <c r="U732" s="13" t="n">
        <f aca="false">IF(AND(D732=WF_START_PERIOD,R732,COUNTIFS($B$5:$B$750,B732,$D$5:$D$750,WF_END_PERIOD,$R$5:$R$750,TRUE())&gt;0),SUMIFS($S$5:$S$750,$B$5:$B$750,B732,$D$5:$D$750,WF_END_PERIOD,$R$5:$R$750,TRUE()),0)</f>
        <v>0</v>
      </c>
      <c r="V732" s="0" t="str">
        <f aca="false">IF(AND(D732=WF_START_PERIOD,COUNTIFS($B$5:$B$750,B732,$D$5:$D$750,WF_END_PERIOD)&gt;0),INDEX($E$5:$E$750,MATCH(B732&amp;"|"&amp;WF_END_PERIOD,$AC$5:$AC$750,0)),"")</f>
        <v/>
      </c>
      <c r="W732" s="11" t="b">
        <f aca="false">COUNTIFS($B$5:$B$750,B732,$D$5:$D$750,WF_START_PERIOD,$R$5:$R$750,TRUE())&gt;0</f>
        <v>1</v>
      </c>
      <c r="X732" s="11" t="b">
        <f aca="false">COUNTIFS($B$5:$B$750,B732,$D$5:$D$750,WF_END_PERIOD,$R$5:$R$750,TRUE())&gt;0</f>
        <v>1</v>
      </c>
      <c r="Y732" s="0" t="str">
        <f aca="false">IF(AND(D732=WF_END_PERIOD,COUNTIFS($B$5:$B$750,B732,$D$5:$D$750,WF_START_PERIOD)&gt;0),INDEX($E$5:$E$750,MATCH(B732&amp;"|"&amp;WF_START_PERIOD,$AC$5:$AC$750,0)),"")</f>
        <v>ME</v>
      </c>
      <c r="Z732" s="0" t="n">
        <f aca="false">IF(AND(D732=WF_END_PERIOD,R732),1+COUNTIFS($D$5:$D$750,WF_END_PERIOD,$E$5:$E$750,E732,$R$5:$R$750,TRUE(),$S$5:$S$750,"&gt;"&amp;S732)+COUNTIFS($D$5:$D$750,WF_END_PERIOD,$E$5:$E$750,E732,$R$5:$R$750,TRUE(),$S$5:$S$750,S732,$B$5:$B$750,"&lt;"&amp;B732),"")</f>
        <v>19</v>
      </c>
      <c r="AA732" s="0" t="n">
        <f aca="false">IF(AND(D732=WF_END_PERIOD,R732,Z732&lt;&gt;1),1+COUNTIFS($D$5:$D$750,WF_END_PERIOD,$R$5:$R$750,TRUE(),$Z$5:$Z$750,"&lt;&gt;1",$S$5:$S$750,"&gt;"&amp;S732)+COUNTIFS($D$5:$D$750,WF_END_PERIOD,$R$5:$R$750,TRUE(),$Z$5:$Z$750,"&lt;&gt;1",$S$5:$S$750,S732,$B$5:$B$750,"&lt;"&amp;B732),"")</f>
        <v>36</v>
      </c>
      <c r="AB732" s="11" t="b">
        <f aca="false">OR(D732=WF_START_PERIOD,D732=WF_END_PERIOD)</f>
        <v>1</v>
      </c>
      <c r="AC732" s="0" t="str">
        <f aca="false">B732&amp;"|"&amp;D732</f>
        <v>28288|20250630</v>
      </c>
    </row>
    <row r="733" customFormat="false" ht="15" hidden="false" customHeight="false" outlineLevel="0" collapsed="false">
      <c r="A733" s="0" t="n">
        <f aca="false">RawFinancials!A733</f>
        <v>730</v>
      </c>
      <c r="B733" s="0" t="n">
        <f aca="false">RawFinancials!C733</f>
        <v>28369</v>
      </c>
      <c r="C733" s="0" t="str">
        <f aca="false">RawFinancials!P733</f>
        <v>ROCKLAND SAVINGS BANK, FSB</v>
      </c>
      <c r="D733" s="0" t="n">
        <f aca="false">RawFinancials!W733</f>
        <v>20250630</v>
      </c>
      <c r="E733" s="0" t="str">
        <f aca="false">RawFinancials!Z733</f>
        <v>ME</v>
      </c>
      <c r="F733" s="0" t="n">
        <f aca="false">RawFinancials!B733</f>
        <v>93177</v>
      </c>
      <c r="G733" s="0" t="n">
        <f aca="false">RawFinancials!U733</f>
        <v>0</v>
      </c>
      <c r="H733" s="0" t="n">
        <f aca="false">RawFinancials!O733</f>
        <v>86</v>
      </c>
      <c r="I733" s="0" t="n">
        <f aca="false">IF(AND(ISNUMBER(G733),ISNUMBER(H733)),G733+H733,"")</f>
        <v>86</v>
      </c>
      <c r="J733" s="0" t="n">
        <f aca="false">RawFinancials!D733</f>
        <v>73160</v>
      </c>
      <c r="K733" s="0" t="n">
        <f aca="false">RawFinancials!F733</f>
        <v>9091</v>
      </c>
      <c r="L733" s="0" t="n">
        <f aca="false">RawFinancials!L733</f>
        <v>79992</v>
      </c>
      <c r="M733" s="0" t="n">
        <f aca="false">RawFinancials!N733</f>
        <v>66764</v>
      </c>
      <c r="N733" s="13" t="n">
        <f aca="false">RawFinancials!X733</f>
        <v>0.102707117103945</v>
      </c>
      <c r="O733" s="13" t="n">
        <f aca="false">RawFinancials!V733</f>
        <v>14.1380843593321</v>
      </c>
      <c r="P733" s="13" t="n">
        <f aca="false">IF(AND(ISNUMBER(L733),L733&lt;&gt;0,ISNUMBER(M733)),100*M733/L733,"")</f>
        <v>83.4633463346335</v>
      </c>
      <c r="Q733" s="13" t="n">
        <f aca="false">IF(AND(ISNUMBER(F733),F733&lt;&gt;0,ISNUMBER(K733)),100*K733/F733,"")</f>
        <v>9.75669961471179</v>
      </c>
      <c r="R733" s="11" t="b">
        <f aca="false">AND(ISNUMBER(F733),F733&gt;0,ISNUMBER(G733),G733&gt;=0,ISNUMBER(H733),H733&gt;=0)</f>
        <v>1</v>
      </c>
      <c r="S733" s="13" t="n">
        <f aca="false">IF(R733,100*I733/F733,"")</f>
        <v>0.0922974553806197</v>
      </c>
      <c r="T733" s="11" t="b">
        <f aca="false">NOT(AND(OR(AND(ISBLANK(RawFinancials!B733),ISBLANK(_RawBaseline!B730)),AND(ISNUMBER(RawFinancials!B733),ISNUMBER(_RawBaseline!B730),RawFinancials!B733=_RawBaseline!B730)),OR(AND(ISBLANK(RawFinancials!U733),ISBLANK(_RawBaseline!U730)),AND(ISNUMBER(RawFinancials!U733),ISNUMBER(_RawBaseline!U730),RawFinancials!U733=_RawBaseline!U730)),OR(AND(ISBLANK(RawFinancials!O733),ISBLANK(_RawBaseline!O730)),AND(ISNUMBER(RawFinancials!O733),ISNUMBER(_RawBaseline!O730),RawFinancials!O733=_RawBaseline!O730))))</f>
        <v>0</v>
      </c>
      <c r="U733" s="13" t="n">
        <f aca="false">IF(AND(D733=WF_START_PERIOD,R733,COUNTIFS($B$5:$B$750,B733,$D$5:$D$750,WF_END_PERIOD,$R$5:$R$750,TRUE())&gt;0),SUMIFS($S$5:$S$750,$B$5:$B$750,B733,$D$5:$D$750,WF_END_PERIOD,$R$5:$R$750,TRUE()),0)</f>
        <v>0</v>
      </c>
      <c r="V733" s="0" t="str">
        <f aca="false">IF(AND(D733=WF_START_PERIOD,COUNTIFS($B$5:$B$750,B733,$D$5:$D$750,WF_END_PERIOD)&gt;0),INDEX($E$5:$E$750,MATCH(B733&amp;"|"&amp;WF_END_PERIOD,$AC$5:$AC$750,0)),"")</f>
        <v/>
      </c>
      <c r="W733" s="11" t="b">
        <f aca="false">COUNTIFS($B$5:$B$750,B733,$D$5:$D$750,WF_START_PERIOD,$R$5:$R$750,TRUE())&gt;0</f>
        <v>1</v>
      </c>
      <c r="X733" s="11" t="b">
        <f aca="false">COUNTIFS($B$5:$B$750,B733,$D$5:$D$750,WF_END_PERIOD,$R$5:$R$750,TRUE())&gt;0</f>
        <v>1</v>
      </c>
      <c r="Y733" s="0" t="str">
        <f aca="false">IF(AND(D733=WF_END_PERIOD,COUNTIFS($B$5:$B$750,B733,$D$5:$D$750,WF_START_PERIOD)&gt;0),INDEX($E$5:$E$750,MATCH(B733&amp;"|"&amp;WF_START_PERIOD,$AC$5:$AC$750,0)),"")</f>
        <v>ME</v>
      </c>
      <c r="Z733" s="0" t="n">
        <f aca="false">IF(AND(D733=WF_END_PERIOD,R733),1+COUNTIFS($D$5:$D$750,WF_END_PERIOD,$E$5:$E$750,E733,$R$5:$R$750,TRUE(),$S$5:$S$750,"&gt;"&amp;S733)+COUNTIFS($D$5:$D$750,WF_END_PERIOD,$E$5:$E$750,E733,$R$5:$R$750,TRUE(),$S$5:$S$750,S733,$B$5:$B$750,"&lt;"&amp;B733),"")</f>
        <v>21</v>
      </c>
      <c r="AA733" s="0" t="n">
        <f aca="false">IF(AND(D733=WF_END_PERIOD,R733,Z733&lt;&gt;1),1+COUNTIFS($D$5:$D$750,WF_END_PERIOD,$R$5:$R$750,TRUE(),$Z$5:$Z$750,"&lt;&gt;1",$S$5:$S$750,"&gt;"&amp;S733)+COUNTIFS($D$5:$D$750,WF_END_PERIOD,$R$5:$R$750,TRUE(),$Z$5:$Z$750,"&lt;&gt;1",$S$5:$S$750,S733,$B$5:$B$750,"&lt;"&amp;B733),"")</f>
        <v>38</v>
      </c>
      <c r="AB733" s="11" t="b">
        <f aca="false">OR(D733=WF_START_PERIOD,D733=WF_END_PERIOD)</f>
        <v>1</v>
      </c>
      <c r="AC733" s="0" t="str">
        <f aca="false">B733&amp;"|"&amp;D733</f>
        <v>28369|20250630</v>
      </c>
    </row>
    <row r="734" customFormat="false" ht="15" hidden="false" customHeight="false" outlineLevel="0" collapsed="false">
      <c r="A734" s="0" t="n">
        <f aca="false">RawFinancials!A734</f>
        <v>731</v>
      </c>
      <c r="B734" s="0" t="n">
        <f aca="false">RawFinancials!C734</f>
        <v>28837</v>
      </c>
      <c r="C734" s="0" t="str">
        <f aca="false">RawFinancials!P734</f>
        <v>THE BRATTLEBORO SAVINGS AND LOAN ASSOCIATION</v>
      </c>
      <c r="D734" s="0" t="n">
        <f aca="false">RawFinancials!W734</f>
        <v>20250630</v>
      </c>
      <c r="E734" s="0" t="str">
        <f aca="false">RawFinancials!Z734</f>
        <v>VT</v>
      </c>
      <c r="F734" s="0" t="n">
        <f aca="false">RawFinancials!B734</f>
        <v>279103</v>
      </c>
      <c r="G734" s="0" t="n">
        <f aca="false">RawFinancials!U734</f>
        <v>71</v>
      </c>
      <c r="H734" s="0" t="n">
        <f aca="false">RawFinancials!O734</f>
        <v>253</v>
      </c>
      <c r="I734" s="0" t="n">
        <f aca="false">IF(AND(ISNUMBER(G734),ISNUMBER(H734)),G734+H734,"")</f>
        <v>324</v>
      </c>
      <c r="J734" s="0" t="n">
        <f aca="false">RawFinancials!D734</f>
        <v>248250</v>
      </c>
      <c r="K734" s="0" t="n">
        <f aca="false">RawFinancials!F734</f>
        <v>28295</v>
      </c>
      <c r="L734" s="0" t="n">
        <f aca="false">RawFinancials!L734</f>
        <v>208887</v>
      </c>
      <c r="M734" s="0" t="n">
        <f aca="false">RawFinancials!N734</f>
        <v>199905</v>
      </c>
      <c r="N734" s="13" t="n">
        <f aca="false">RawFinancials!X734</f>
        <v>-0.326447120470196</v>
      </c>
      <c r="O734" s="13" t="n">
        <f aca="false">RawFinancials!V734</f>
        <v>17.9895121488231</v>
      </c>
      <c r="P734" s="13" t="n">
        <f aca="false">IF(AND(ISNUMBER(L734),L734&lt;&gt;0,ISNUMBER(M734)),100*M734/L734,"")</f>
        <v>95.7000675006104</v>
      </c>
      <c r="Q734" s="13" t="n">
        <f aca="false">IF(AND(ISNUMBER(F734),F734&lt;&gt;0,ISNUMBER(K734)),100*K734/F734,"")</f>
        <v>10.1378344195512</v>
      </c>
      <c r="R734" s="11" t="b">
        <f aca="false">AND(ISNUMBER(F734),F734&gt;0,ISNUMBER(G734),G734&gt;=0,ISNUMBER(H734),H734&gt;=0)</f>
        <v>1</v>
      </c>
      <c r="S734" s="13" t="n">
        <f aca="false">IF(R734,100*I734/F734,"")</f>
        <v>0.1160861760712</v>
      </c>
      <c r="T734" s="11" t="b">
        <f aca="false">NOT(AND(OR(AND(ISBLANK(RawFinancials!B734),ISBLANK(_RawBaseline!B731)),AND(ISNUMBER(RawFinancials!B734),ISNUMBER(_RawBaseline!B731),RawFinancials!B734=_RawBaseline!B731)),OR(AND(ISBLANK(RawFinancials!U734),ISBLANK(_RawBaseline!U731)),AND(ISNUMBER(RawFinancials!U734),ISNUMBER(_RawBaseline!U731),RawFinancials!U734=_RawBaseline!U731)),OR(AND(ISBLANK(RawFinancials!O734),ISBLANK(_RawBaseline!O731)),AND(ISNUMBER(RawFinancials!O734),ISNUMBER(_RawBaseline!O731),RawFinancials!O734=_RawBaseline!O731))))</f>
        <v>0</v>
      </c>
      <c r="U734" s="13" t="n">
        <f aca="false">IF(AND(D734=WF_START_PERIOD,R734,COUNTIFS($B$5:$B$750,B734,$D$5:$D$750,WF_END_PERIOD,$R$5:$R$750,TRUE())&gt;0),SUMIFS($S$5:$S$750,$B$5:$B$750,B734,$D$5:$D$750,WF_END_PERIOD,$R$5:$R$750,TRUE()),0)</f>
        <v>0</v>
      </c>
      <c r="V734" s="0" t="str">
        <f aca="false">IF(AND(D734=WF_START_PERIOD,COUNTIFS($B$5:$B$750,B734,$D$5:$D$750,WF_END_PERIOD)&gt;0),INDEX($E$5:$E$750,MATCH(B734&amp;"|"&amp;WF_END_PERIOD,$AC$5:$AC$750,0)),"")</f>
        <v/>
      </c>
      <c r="W734" s="11" t="b">
        <f aca="false">COUNTIFS($B$5:$B$750,B734,$D$5:$D$750,WF_START_PERIOD,$R$5:$R$750,TRUE())&gt;0</f>
        <v>1</v>
      </c>
      <c r="X734" s="11" t="b">
        <f aca="false">COUNTIFS($B$5:$B$750,B734,$D$5:$D$750,WF_END_PERIOD,$R$5:$R$750,TRUE())&gt;0</f>
        <v>1</v>
      </c>
      <c r="Y734" s="0" t="str">
        <f aca="false">IF(AND(D734=WF_END_PERIOD,COUNTIFS($B$5:$B$750,B734,$D$5:$D$750,WF_START_PERIOD)&gt;0),INDEX($E$5:$E$750,MATCH(B734&amp;"|"&amp;WF_START_PERIOD,$AC$5:$AC$750,0)),"")</f>
        <v>VT</v>
      </c>
      <c r="Z734" s="0" t="n">
        <f aca="false">IF(AND(D734=WF_END_PERIOD,R734),1+COUNTIFS($D$5:$D$750,WF_END_PERIOD,$E$5:$E$750,E734,$R$5:$R$750,TRUE(),$S$5:$S$750,"&gt;"&amp;S734)+COUNTIFS($D$5:$D$750,WF_END_PERIOD,$E$5:$E$750,E734,$R$5:$R$750,TRUE(),$S$5:$S$750,S734,$B$5:$B$750,"&lt;"&amp;B734),"")</f>
        <v>11</v>
      </c>
      <c r="AA734" s="0" t="n">
        <f aca="false">IF(AND(D734=WF_END_PERIOD,R734,Z734&lt;&gt;1),1+COUNTIFS($D$5:$D$750,WF_END_PERIOD,$R$5:$R$750,TRUE(),$Z$5:$Z$750,"&lt;&gt;1",$S$5:$S$750,"&gt;"&amp;S734)+COUNTIFS($D$5:$D$750,WF_END_PERIOD,$R$5:$R$750,TRUE(),$Z$5:$Z$750,"&lt;&gt;1",$S$5:$S$750,S734,$B$5:$B$750,"&lt;"&amp;B734),"")</f>
        <v>35</v>
      </c>
      <c r="AB734" s="11" t="b">
        <f aca="false">OR(D734=WF_START_PERIOD,D734=WF_END_PERIOD)</f>
        <v>1</v>
      </c>
      <c r="AC734" s="0" t="str">
        <f aca="false">B734&amp;"|"&amp;D734</f>
        <v>28837|20250630</v>
      </c>
    </row>
    <row r="735" customFormat="false" ht="15" hidden="false" customHeight="false" outlineLevel="0" collapsed="false">
      <c r="A735" s="0" t="n">
        <f aca="false">RawFinancials!A735</f>
        <v>732</v>
      </c>
      <c r="B735" s="0" t="n">
        <f aca="false">RawFinancials!C735</f>
        <v>29636</v>
      </c>
      <c r="C735" s="0" t="str">
        <f aca="false">RawFinancials!P735</f>
        <v>FIRST FEDERAL SAVINGS AND LOAN ASSOCIATION OF BATH</v>
      </c>
      <c r="D735" s="0" t="n">
        <f aca="false">RawFinancials!W735</f>
        <v>20250630</v>
      </c>
      <c r="E735" s="0" t="str">
        <f aca="false">RawFinancials!Z735</f>
        <v>ME</v>
      </c>
      <c r="F735" s="0" t="n">
        <f aca="false">RawFinancials!B735</f>
        <v>185573</v>
      </c>
      <c r="G735" s="0" t="n">
        <f aca="false">RawFinancials!U735</f>
        <v>0</v>
      </c>
      <c r="H735" s="0" t="n">
        <f aca="false">RawFinancials!O735</f>
        <v>3102</v>
      </c>
      <c r="I735" s="0" t="n">
        <f aca="false">IF(AND(ISNUMBER(G735),ISNUMBER(H735)),G735+H735,"")</f>
        <v>3102</v>
      </c>
      <c r="J735" s="0" t="n">
        <f aca="false">RawFinancials!D735</f>
        <v>139676</v>
      </c>
      <c r="K735" s="0" t="n">
        <f aca="false">RawFinancials!F735</f>
        <v>27646</v>
      </c>
      <c r="L735" s="0" t="n">
        <f aca="false">RawFinancials!L735</f>
        <v>146916</v>
      </c>
      <c r="M735" s="0" t="n">
        <f aca="false">RawFinancials!N735</f>
        <v>143630</v>
      </c>
      <c r="N735" s="13" t="n">
        <f aca="false">RawFinancials!X735</f>
        <v>0.234619113348782</v>
      </c>
      <c r="O735" s="13" t="n">
        <f aca="false">RawFinancials!V735</f>
        <v>27.1672138701688</v>
      </c>
      <c r="P735" s="13" t="n">
        <f aca="false">IF(AND(ISNUMBER(L735),L735&lt;&gt;0,ISNUMBER(M735)),100*M735/L735,"")</f>
        <v>97.7633477633478</v>
      </c>
      <c r="Q735" s="13" t="n">
        <f aca="false">IF(AND(ISNUMBER(F735),F735&lt;&gt;0,ISNUMBER(K735)),100*K735/F735,"")</f>
        <v>14.897641359465</v>
      </c>
      <c r="R735" s="11" t="b">
        <f aca="false">AND(ISNUMBER(F735),F735&gt;0,ISNUMBER(G735),G735&gt;=0,ISNUMBER(H735),H735&gt;=0)</f>
        <v>1</v>
      </c>
      <c r="S735" s="13" t="n">
        <f aca="false">IF(R735,100*I735/F735,"")</f>
        <v>1.67157937846562</v>
      </c>
      <c r="T735" s="11" t="b">
        <f aca="false">NOT(AND(OR(AND(ISBLANK(RawFinancials!B735),ISBLANK(_RawBaseline!B732)),AND(ISNUMBER(RawFinancials!B735),ISNUMBER(_RawBaseline!B732),RawFinancials!B735=_RawBaseline!B732)),OR(AND(ISBLANK(RawFinancials!U735),ISBLANK(_RawBaseline!U732)),AND(ISNUMBER(RawFinancials!U735),ISNUMBER(_RawBaseline!U732),RawFinancials!U735=_RawBaseline!U732)),OR(AND(ISBLANK(RawFinancials!O735),ISBLANK(_RawBaseline!O732)),AND(ISNUMBER(RawFinancials!O735),ISNUMBER(_RawBaseline!O732),RawFinancials!O735=_RawBaseline!O732))))</f>
        <v>0</v>
      </c>
      <c r="U735" s="13" t="n">
        <f aca="false">IF(AND(D735=WF_START_PERIOD,R735,COUNTIFS($B$5:$B$750,B735,$D$5:$D$750,WF_END_PERIOD,$R$5:$R$750,TRUE())&gt;0),SUMIFS($S$5:$S$750,$B$5:$B$750,B735,$D$5:$D$750,WF_END_PERIOD,$R$5:$R$750,TRUE()),0)</f>
        <v>0</v>
      </c>
      <c r="V735" s="0" t="str">
        <f aca="false">IF(AND(D735=WF_START_PERIOD,COUNTIFS($B$5:$B$750,B735,$D$5:$D$750,WF_END_PERIOD)&gt;0),INDEX($E$5:$E$750,MATCH(B735&amp;"|"&amp;WF_END_PERIOD,$AC$5:$AC$750,0)),"")</f>
        <v/>
      </c>
      <c r="W735" s="11" t="b">
        <f aca="false">COUNTIFS($B$5:$B$750,B735,$D$5:$D$750,WF_START_PERIOD,$R$5:$R$750,TRUE())&gt;0</f>
        <v>1</v>
      </c>
      <c r="X735" s="11" t="b">
        <f aca="false">COUNTIFS($B$5:$B$750,B735,$D$5:$D$750,WF_END_PERIOD,$R$5:$R$750,TRUE())&gt;0</f>
        <v>1</v>
      </c>
      <c r="Y735" s="0" t="str">
        <f aca="false">IF(AND(D735=WF_END_PERIOD,COUNTIFS($B$5:$B$750,B735,$D$5:$D$750,WF_START_PERIOD)&gt;0),INDEX($E$5:$E$750,MATCH(B735&amp;"|"&amp;WF_START_PERIOD,$AC$5:$AC$750,0)),"")</f>
        <v>ME</v>
      </c>
      <c r="Z735" s="0" t="n">
        <f aca="false">IF(AND(D735=WF_END_PERIOD,R735),1+COUNTIFS($D$5:$D$750,WF_END_PERIOD,$E$5:$E$750,E735,$R$5:$R$750,TRUE(),$S$5:$S$750,"&gt;"&amp;S735)+COUNTIFS($D$5:$D$750,WF_END_PERIOD,$E$5:$E$750,E735,$R$5:$R$750,TRUE(),$S$5:$S$750,S735,$B$5:$B$750,"&lt;"&amp;B735),"")</f>
        <v>1</v>
      </c>
      <c r="AA735" s="0" t="str">
        <f aca="false">IF(AND(D735=WF_END_PERIOD,R735,Z735&lt;&gt;1),1+COUNTIFS($D$5:$D$750,WF_END_PERIOD,$R$5:$R$750,TRUE(),$Z$5:$Z$750,"&lt;&gt;1",$S$5:$S$750,"&gt;"&amp;S735)+COUNTIFS($D$5:$D$750,WF_END_PERIOD,$R$5:$R$750,TRUE(),$Z$5:$Z$750,"&lt;&gt;1",$S$5:$S$750,S735,$B$5:$B$750,"&lt;"&amp;B735),"")</f>
        <v/>
      </c>
      <c r="AB735" s="11" t="b">
        <f aca="false">OR(D735=WF_START_PERIOD,D735=WF_END_PERIOD)</f>
        <v>1</v>
      </c>
      <c r="AC735" s="0" t="str">
        <f aca="false">B735&amp;"|"&amp;D735</f>
        <v>29636|20250630</v>
      </c>
    </row>
    <row r="736" customFormat="false" ht="15" hidden="false" customHeight="false" outlineLevel="0" collapsed="false">
      <c r="A736" s="0" t="n">
        <f aca="false">RawFinancials!A736</f>
        <v>733</v>
      </c>
      <c r="B736" s="0" t="n">
        <f aca="false">RawFinancials!C736</f>
        <v>29743</v>
      </c>
      <c r="C736" s="0" t="str">
        <f aca="false">RawFinancials!P736</f>
        <v>AROOSTOOK COUNTY FEDERAL SAVINGS AND LOAN ASSOCIATION</v>
      </c>
      <c r="D736" s="0" t="n">
        <f aca="false">RawFinancials!W736</f>
        <v>20250630</v>
      </c>
      <c r="E736" s="0" t="str">
        <f aca="false">RawFinancials!Z736</f>
        <v>ME</v>
      </c>
      <c r="F736" s="0" t="n">
        <f aca="false">RawFinancials!B736</f>
        <v>200783</v>
      </c>
      <c r="G736" s="0" t="n">
        <f aca="false">RawFinancials!U736</f>
        <v>0</v>
      </c>
      <c r="H736" s="0" t="n">
        <f aca="false">RawFinancials!O736</f>
        <v>662</v>
      </c>
      <c r="I736" s="0" t="n">
        <f aca="false">IF(AND(ISNUMBER(G736),ISNUMBER(H736)),G736+H736,"")</f>
        <v>662</v>
      </c>
      <c r="J736" s="0" t="n">
        <f aca="false">RawFinancials!D736</f>
        <v>176912</v>
      </c>
      <c r="K736" s="0" t="n">
        <f aca="false">RawFinancials!F736</f>
        <v>19214</v>
      </c>
      <c r="L736" s="0" t="n">
        <f aca="false">RawFinancials!L736</f>
        <v>140338</v>
      </c>
      <c r="M736" s="0" t="n">
        <f aca="false">RawFinancials!N736</f>
        <v>89612</v>
      </c>
      <c r="N736" s="13" t="n">
        <f aca="false">RawFinancials!X736</f>
        <v>0.538521901715605</v>
      </c>
      <c r="O736" s="13" t="n">
        <f aca="false">RawFinancials!V736</f>
        <v>18.1286751690254</v>
      </c>
      <c r="P736" s="13" t="n">
        <f aca="false">IF(AND(ISNUMBER(L736),L736&lt;&gt;0,ISNUMBER(M736)),100*M736/L736,"")</f>
        <v>63.8544086419929</v>
      </c>
      <c r="Q736" s="13" t="n">
        <f aca="false">IF(AND(ISNUMBER(F736),F736&lt;&gt;0,ISNUMBER(K736)),100*K736/F736,"")</f>
        <v>9.56953526942022</v>
      </c>
      <c r="R736" s="11" t="b">
        <f aca="false">AND(ISNUMBER(F736),F736&gt;0,ISNUMBER(G736),G736&gt;=0,ISNUMBER(H736),H736&gt;=0)</f>
        <v>1</v>
      </c>
      <c r="S736" s="13" t="n">
        <f aca="false">IF(R736,100*I736/F736,"")</f>
        <v>0.329709188526917</v>
      </c>
      <c r="T736" s="11" t="b">
        <f aca="false">NOT(AND(OR(AND(ISBLANK(RawFinancials!B736),ISBLANK(_RawBaseline!B733)),AND(ISNUMBER(RawFinancials!B736),ISNUMBER(_RawBaseline!B733),RawFinancials!B736=_RawBaseline!B733)),OR(AND(ISBLANK(RawFinancials!U736),ISBLANK(_RawBaseline!U733)),AND(ISNUMBER(RawFinancials!U736),ISNUMBER(_RawBaseline!U733),RawFinancials!U736=_RawBaseline!U733)),OR(AND(ISBLANK(RawFinancials!O736),ISBLANK(_RawBaseline!O733)),AND(ISNUMBER(RawFinancials!O736),ISNUMBER(_RawBaseline!O733),RawFinancials!O736=_RawBaseline!O733))))</f>
        <v>0</v>
      </c>
      <c r="U736" s="13" t="n">
        <f aca="false">IF(AND(D736=WF_START_PERIOD,R736,COUNTIFS($B$5:$B$750,B736,$D$5:$D$750,WF_END_PERIOD,$R$5:$R$750,TRUE())&gt;0),SUMIFS($S$5:$S$750,$B$5:$B$750,B736,$D$5:$D$750,WF_END_PERIOD,$R$5:$R$750,TRUE()),0)</f>
        <v>0</v>
      </c>
      <c r="V736" s="0" t="str">
        <f aca="false">IF(AND(D736=WF_START_PERIOD,COUNTIFS($B$5:$B$750,B736,$D$5:$D$750,WF_END_PERIOD)&gt;0),INDEX($E$5:$E$750,MATCH(B736&amp;"|"&amp;WF_END_PERIOD,$AC$5:$AC$750,0)),"")</f>
        <v/>
      </c>
      <c r="W736" s="11" t="b">
        <f aca="false">COUNTIFS($B$5:$B$750,B736,$D$5:$D$750,WF_START_PERIOD,$R$5:$R$750,TRUE())&gt;0</f>
        <v>1</v>
      </c>
      <c r="X736" s="11" t="b">
        <f aca="false">COUNTIFS($B$5:$B$750,B736,$D$5:$D$750,WF_END_PERIOD,$R$5:$R$750,TRUE())&gt;0</f>
        <v>1</v>
      </c>
      <c r="Y736" s="0" t="str">
        <f aca="false">IF(AND(D736=WF_END_PERIOD,COUNTIFS($B$5:$B$750,B736,$D$5:$D$750,WF_START_PERIOD)&gt;0),INDEX($E$5:$E$750,MATCH(B736&amp;"|"&amp;WF_START_PERIOD,$AC$5:$AC$750,0)),"")</f>
        <v>ME</v>
      </c>
      <c r="Z736" s="0" t="n">
        <f aca="false">IF(AND(D736=WF_END_PERIOD,R736),1+COUNTIFS($D$5:$D$750,WF_END_PERIOD,$E$5:$E$750,E736,$R$5:$R$750,TRUE(),$S$5:$S$750,"&gt;"&amp;S736)+COUNTIFS($D$5:$D$750,WF_END_PERIOD,$E$5:$E$750,E736,$R$5:$R$750,TRUE(),$S$5:$S$750,S736,$B$5:$B$750,"&lt;"&amp;B736),"")</f>
        <v>9</v>
      </c>
      <c r="AA736" s="0" t="n">
        <f aca="false">IF(AND(D736=WF_END_PERIOD,R736,Z736&lt;&gt;1),1+COUNTIFS($D$5:$D$750,WF_END_PERIOD,$R$5:$R$750,TRUE(),$Z$5:$Z$750,"&lt;&gt;1",$S$5:$S$750,"&gt;"&amp;S736)+COUNTIFS($D$5:$D$750,WF_END_PERIOD,$R$5:$R$750,TRUE(),$Z$5:$Z$750,"&lt;&gt;1",$S$5:$S$750,S736,$B$5:$B$750,"&lt;"&amp;B736),"")</f>
        <v>18</v>
      </c>
      <c r="AB736" s="11" t="b">
        <f aca="false">OR(D736=WF_START_PERIOD,D736=WF_END_PERIOD)</f>
        <v>1</v>
      </c>
      <c r="AC736" s="0" t="str">
        <f aca="false">B736&amp;"|"&amp;D736</f>
        <v>29743|20250630</v>
      </c>
    </row>
    <row r="737" customFormat="false" ht="15" hidden="false" customHeight="false" outlineLevel="0" collapsed="false">
      <c r="A737" s="0" t="n">
        <f aca="false">RawFinancials!A737</f>
        <v>734</v>
      </c>
      <c r="B737" s="0" t="n">
        <f aca="false">RawFinancials!C737</f>
        <v>29744</v>
      </c>
      <c r="C737" s="0" t="str">
        <f aca="false">RawFinancials!P737</f>
        <v>FIRST SEACOAST BANK</v>
      </c>
      <c r="D737" s="0" t="n">
        <f aca="false">RawFinancials!W737</f>
        <v>20250630</v>
      </c>
      <c r="E737" s="0" t="str">
        <f aca="false">RawFinancials!Z737</f>
        <v>NH</v>
      </c>
      <c r="F737" s="0" t="n">
        <f aca="false">RawFinancials!B737</f>
        <v>605109</v>
      </c>
      <c r="G737" s="0" t="n">
        <f aca="false">RawFinancials!U737</f>
        <v>0</v>
      </c>
      <c r="H737" s="0" t="n">
        <f aca="false">RawFinancials!O737</f>
        <v>14</v>
      </c>
      <c r="I737" s="0" t="n">
        <f aca="false">IF(AND(ISNUMBER(G737),ISNUMBER(H737)),G737+H737,"")</f>
        <v>14</v>
      </c>
      <c r="J737" s="0" t="n">
        <f aca="false">RawFinancials!D737</f>
        <v>489906</v>
      </c>
      <c r="K737" s="0" t="n">
        <f aca="false">RawFinancials!F737</f>
        <v>44554</v>
      </c>
      <c r="L737" s="0" t="n">
        <f aca="false">RawFinancials!L737</f>
        <v>439729</v>
      </c>
      <c r="M737" s="0" t="n">
        <f aca="false">RawFinancials!N737</f>
        <v>402053</v>
      </c>
      <c r="N737" s="13" t="n">
        <f aca="false">RawFinancials!X737</f>
        <v>-0.385522175114088</v>
      </c>
      <c r="O737" s="13" t="n">
        <f aca="false">RawFinancials!V737</f>
        <v>15.2305620070175</v>
      </c>
      <c r="P737" s="13" t="n">
        <f aca="false">IF(AND(ISNUMBER(L737),L737&lt;&gt;0,ISNUMBER(M737)),100*M737/L737,"")</f>
        <v>91.4319956154814</v>
      </c>
      <c r="Q737" s="13" t="n">
        <f aca="false">IF(AND(ISNUMBER(F737),F737&lt;&gt;0,ISNUMBER(K737)),100*K737/F737,"")</f>
        <v>7.36297096886677</v>
      </c>
      <c r="R737" s="11" t="b">
        <f aca="false">AND(ISNUMBER(F737),F737&gt;0,ISNUMBER(G737),G737&gt;=0,ISNUMBER(H737),H737&gt;=0)</f>
        <v>1</v>
      </c>
      <c r="S737" s="13" t="n">
        <f aca="false">IF(R737,100*I737/F737,"")</f>
        <v>0.00231363275046314</v>
      </c>
      <c r="T737" s="11" t="b">
        <f aca="false">NOT(AND(OR(AND(ISBLANK(RawFinancials!B737),ISBLANK(_RawBaseline!B734)),AND(ISNUMBER(RawFinancials!B737),ISNUMBER(_RawBaseline!B734),RawFinancials!B737=_RawBaseline!B734)),OR(AND(ISBLANK(RawFinancials!U737),ISBLANK(_RawBaseline!U734)),AND(ISNUMBER(RawFinancials!U737),ISNUMBER(_RawBaseline!U734),RawFinancials!U737=_RawBaseline!U734)),OR(AND(ISBLANK(RawFinancials!O737),ISBLANK(_RawBaseline!O734)),AND(ISNUMBER(RawFinancials!O737),ISNUMBER(_RawBaseline!O734),RawFinancials!O737=_RawBaseline!O734))))</f>
        <v>0</v>
      </c>
      <c r="U737" s="13" t="n">
        <f aca="false">IF(AND(D737=WF_START_PERIOD,R737,COUNTIFS($B$5:$B$750,B737,$D$5:$D$750,WF_END_PERIOD,$R$5:$R$750,TRUE())&gt;0),SUMIFS($S$5:$S$750,$B$5:$B$750,B737,$D$5:$D$750,WF_END_PERIOD,$R$5:$R$750,TRUE()),0)</f>
        <v>0</v>
      </c>
      <c r="V737" s="0" t="str">
        <f aca="false">IF(AND(D737=WF_START_PERIOD,COUNTIFS($B$5:$B$750,B737,$D$5:$D$750,WF_END_PERIOD)&gt;0),INDEX($E$5:$E$750,MATCH(B737&amp;"|"&amp;WF_END_PERIOD,$AC$5:$AC$750,0)),"")</f>
        <v/>
      </c>
      <c r="W737" s="11" t="b">
        <f aca="false">COUNTIFS($B$5:$B$750,B737,$D$5:$D$750,WF_START_PERIOD,$R$5:$R$750,TRUE())&gt;0</f>
        <v>1</v>
      </c>
      <c r="X737" s="11" t="b">
        <f aca="false">COUNTIFS($B$5:$B$750,B737,$D$5:$D$750,WF_END_PERIOD,$R$5:$R$750,TRUE())&gt;0</f>
        <v>1</v>
      </c>
      <c r="Y737" s="0" t="str">
        <f aca="false">IF(AND(D737=WF_END_PERIOD,COUNTIFS($B$5:$B$750,B737,$D$5:$D$750,WF_START_PERIOD)&gt;0),INDEX($E$5:$E$750,MATCH(B737&amp;"|"&amp;WF_START_PERIOD,$AC$5:$AC$750,0)),"")</f>
        <v>NH</v>
      </c>
      <c r="Z737" s="0" t="n">
        <f aca="false">IF(AND(D737=WF_END_PERIOD,R737),1+COUNTIFS($D$5:$D$750,WF_END_PERIOD,$E$5:$E$750,E737,$R$5:$R$750,TRUE(),$S$5:$S$750,"&gt;"&amp;S737)+COUNTIFS($D$5:$D$750,WF_END_PERIOD,$E$5:$E$750,E737,$R$5:$R$750,TRUE(),$S$5:$S$750,S737,$B$5:$B$750,"&lt;"&amp;B737),"")</f>
        <v>15</v>
      </c>
      <c r="AA737" s="0" t="n">
        <f aca="false">IF(AND(D737=WF_END_PERIOD,R737,Z737&lt;&gt;1),1+COUNTIFS($D$5:$D$750,WF_END_PERIOD,$R$5:$R$750,TRUE(),$Z$5:$Z$750,"&lt;&gt;1",$S$5:$S$750,"&gt;"&amp;S737)+COUNTIFS($D$5:$D$750,WF_END_PERIOD,$R$5:$R$750,TRUE(),$Z$5:$Z$750,"&lt;&gt;1",$S$5:$S$750,S737,$B$5:$B$750,"&lt;"&amp;B737),"")</f>
        <v>45</v>
      </c>
      <c r="AB737" s="11" t="b">
        <f aca="false">OR(D737=WF_START_PERIOD,D737=WF_END_PERIOD)</f>
        <v>1</v>
      </c>
      <c r="AC737" s="0" t="str">
        <f aca="false">B737&amp;"|"&amp;D737</f>
        <v>29744|20250630</v>
      </c>
    </row>
    <row r="738" customFormat="false" ht="15" hidden="false" customHeight="false" outlineLevel="0" collapsed="false">
      <c r="A738" s="0" t="n">
        <f aca="false">RawFinancials!A738</f>
        <v>735</v>
      </c>
      <c r="B738" s="0" t="n">
        <f aca="false">RawFinancials!C738</f>
        <v>30350</v>
      </c>
      <c r="C738" s="0" t="str">
        <f aca="false">RawFinancials!P738</f>
        <v>THE BANK OF BENNINGTON</v>
      </c>
      <c r="D738" s="0" t="n">
        <f aca="false">RawFinancials!W738</f>
        <v>20250630</v>
      </c>
      <c r="E738" s="0" t="str">
        <f aca="false">RawFinancials!Z738</f>
        <v>VT</v>
      </c>
      <c r="F738" s="0" t="n">
        <f aca="false">RawFinancials!B738</f>
        <v>621434</v>
      </c>
      <c r="G738" s="0" t="n">
        <f aca="false">RawFinancials!U738</f>
        <v>0</v>
      </c>
      <c r="H738" s="0" t="n">
        <f aca="false">RawFinancials!O738</f>
        <v>1787</v>
      </c>
      <c r="I738" s="0" t="n">
        <f aca="false">IF(AND(ISNUMBER(G738),ISNUMBER(H738)),G738+H738,"")</f>
        <v>1787</v>
      </c>
      <c r="J738" s="0" t="n">
        <f aca="false">RawFinancials!D738</f>
        <v>477487</v>
      </c>
      <c r="K738" s="0" t="n">
        <f aca="false">RawFinancials!F738</f>
        <v>64425</v>
      </c>
      <c r="L738" s="0" t="n">
        <f aca="false">RawFinancials!L738</f>
        <v>479059</v>
      </c>
      <c r="M738" s="0" t="n">
        <f aca="false">RawFinancials!N738</f>
        <v>461052</v>
      </c>
      <c r="N738" s="13" t="n">
        <f aca="false">RawFinancials!X738</f>
        <v>0.75252389871844</v>
      </c>
      <c r="O738" s="13" t="n">
        <f aca="false">RawFinancials!V738</f>
        <v>20.0140311414907</v>
      </c>
      <c r="P738" s="13" t="n">
        <f aca="false">IF(AND(ISNUMBER(L738),L738&lt;&gt;0,ISNUMBER(M738)),100*M738/L738,"")</f>
        <v>96.2411727991751</v>
      </c>
      <c r="Q738" s="13" t="n">
        <f aca="false">IF(AND(ISNUMBER(F738),F738&lt;&gt;0,ISNUMBER(K738)),100*K738/F738,"")</f>
        <v>10.367150815694</v>
      </c>
      <c r="R738" s="11" t="b">
        <f aca="false">AND(ISNUMBER(F738),F738&gt;0,ISNUMBER(G738),G738&gt;=0,ISNUMBER(H738),H738&gt;=0)</f>
        <v>1</v>
      </c>
      <c r="S738" s="13" t="n">
        <f aca="false">IF(R738,100*I738/F738,"")</f>
        <v>0.287560706366243</v>
      </c>
      <c r="T738" s="11" t="b">
        <f aca="false">NOT(AND(OR(AND(ISBLANK(RawFinancials!B738),ISBLANK(_RawBaseline!B735)),AND(ISNUMBER(RawFinancials!B738),ISNUMBER(_RawBaseline!B735),RawFinancials!B738=_RawBaseline!B735)),OR(AND(ISBLANK(RawFinancials!U738),ISBLANK(_RawBaseline!U735)),AND(ISNUMBER(RawFinancials!U738),ISNUMBER(_RawBaseline!U735),RawFinancials!U738=_RawBaseline!U735)),OR(AND(ISBLANK(RawFinancials!O738),ISBLANK(_RawBaseline!O735)),AND(ISNUMBER(RawFinancials!O738),ISNUMBER(_RawBaseline!O735),RawFinancials!O738=_RawBaseline!O735))))</f>
        <v>0</v>
      </c>
      <c r="U738" s="13" t="n">
        <f aca="false">IF(AND(D738=WF_START_PERIOD,R738,COUNTIFS($B$5:$B$750,B738,$D$5:$D$750,WF_END_PERIOD,$R$5:$R$750,TRUE())&gt;0),SUMIFS($S$5:$S$750,$B$5:$B$750,B738,$D$5:$D$750,WF_END_PERIOD,$R$5:$R$750,TRUE()),0)</f>
        <v>0</v>
      </c>
      <c r="V738" s="0" t="str">
        <f aca="false">IF(AND(D738=WF_START_PERIOD,COUNTIFS($B$5:$B$750,B738,$D$5:$D$750,WF_END_PERIOD)&gt;0),INDEX($E$5:$E$750,MATCH(B738&amp;"|"&amp;WF_END_PERIOD,$AC$5:$AC$750,0)),"")</f>
        <v/>
      </c>
      <c r="W738" s="11" t="b">
        <f aca="false">COUNTIFS($B$5:$B$750,B738,$D$5:$D$750,WF_START_PERIOD,$R$5:$R$750,TRUE())&gt;0</f>
        <v>1</v>
      </c>
      <c r="X738" s="11" t="b">
        <f aca="false">COUNTIFS($B$5:$B$750,B738,$D$5:$D$750,WF_END_PERIOD,$R$5:$R$750,TRUE())&gt;0</f>
        <v>1</v>
      </c>
      <c r="Y738" s="0" t="str">
        <f aca="false">IF(AND(D738=WF_END_PERIOD,COUNTIFS($B$5:$B$750,B738,$D$5:$D$750,WF_START_PERIOD)&gt;0),INDEX($E$5:$E$750,MATCH(B738&amp;"|"&amp;WF_START_PERIOD,$AC$5:$AC$750,0)),"")</f>
        <v>VT</v>
      </c>
      <c r="Z738" s="0" t="n">
        <f aca="false">IF(AND(D738=WF_END_PERIOD,R738),1+COUNTIFS($D$5:$D$750,WF_END_PERIOD,$E$5:$E$750,E738,$R$5:$R$750,TRUE(),$S$5:$S$750,"&gt;"&amp;S738)+COUNTIFS($D$5:$D$750,WF_END_PERIOD,$E$5:$E$750,E738,$R$5:$R$750,TRUE(),$S$5:$S$750,S738,$B$5:$B$750,"&lt;"&amp;B738),"")</f>
        <v>7</v>
      </c>
      <c r="AA738" s="0" t="n">
        <f aca="false">IF(AND(D738=WF_END_PERIOD,R738,Z738&lt;&gt;1),1+COUNTIFS($D$5:$D$750,WF_END_PERIOD,$R$5:$R$750,TRUE(),$Z$5:$Z$750,"&lt;&gt;1",$S$5:$S$750,"&gt;"&amp;S738)+COUNTIFS($D$5:$D$750,WF_END_PERIOD,$R$5:$R$750,TRUE(),$Z$5:$Z$750,"&lt;&gt;1",$S$5:$S$750,S738,$B$5:$B$750,"&lt;"&amp;B738),"")</f>
        <v>22</v>
      </c>
      <c r="AB738" s="11" t="b">
        <f aca="false">OR(D738=WF_START_PERIOD,D738=WF_END_PERIOD)</f>
        <v>1</v>
      </c>
      <c r="AC738" s="0" t="str">
        <f aca="false">B738&amp;"|"&amp;D738</f>
        <v>30350|20250630</v>
      </c>
    </row>
    <row r="739" customFormat="false" ht="15" hidden="false" customHeight="false" outlineLevel="0" collapsed="false">
      <c r="A739" s="0" t="n">
        <f aca="false">RawFinancials!A739</f>
        <v>736</v>
      </c>
      <c r="B739" s="0" t="n">
        <f aca="false">RawFinancials!C739</f>
        <v>30878</v>
      </c>
      <c r="C739" s="0" t="str">
        <f aca="false">RawFinancials!P739</f>
        <v>BAR HARBOR SAVINGS AND LOAN ASSOCIATION</v>
      </c>
      <c r="D739" s="0" t="n">
        <f aca="false">RawFinancials!W739</f>
        <v>20250630</v>
      </c>
      <c r="E739" s="0" t="str">
        <f aca="false">RawFinancials!Z739</f>
        <v>ME</v>
      </c>
      <c r="F739" s="0" t="n">
        <f aca="false">RawFinancials!B739</f>
        <v>98909</v>
      </c>
      <c r="G739" s="0" t="n">
        <f aca="false">RawFinancials!U739</f>
        <v>0</v>
      </c>
      <c r="H739" s="0" t="n">
        <f aca="false">RawFinancials!O739</f>
        <v>1353</v>
      </c>
      <c r="I739" s="0" t="n">
        <f aca="false">IF(AND(ISNUMBER(G739),ISNUMBER(H739)),G739+H739,"")</f>
        <v>1353</v>
      </c>
      <c r="J739" s="0" t="n">
        <f aca="false">RawFinancials!D739</f>
        <v>72725</v>
      </c>
      <c r="K739" s="0" t="n">
        <f aca="false">RawFinancials!F739</f>
        <v>11891</v>
      </c>
      <c r="L739" s="0" t="n">
        <f aca="false">RawFinancials!L739</f>
        <v>86036</v>
      </c>
      <c r="M739" s="0" t="n">
        <f aca="false">RawFinancials!N739</f>
        <v>85860</v>
      </c>
      <c r="N739" s="13" t="n">
        <f aca="false">RawFinancials!X739</f>
        <v>0.00201541794729682</v>
      </c>
      <c r="O739" s="13" t="n">
        <f aca="false">RawFinancials!V739</f>
        <v>0</v>
      </c>
      <c r="P739" s="13" t="n">
        <f aca="false">IF(AND(ISNUMBER(L739),L739&lt;&gt;0,ISNUMBER(M739)),100*M739/L739,"")</f>
        <v>99.7954344692919</v>
      </c>
      <c r="Q739" s="13" t="n">
        <f aca="false">IF(AND(ISNUMBER(F739),F739&lt;&gt;0,ISNUMBER(K739)),100*K739/F739,"")</f>
        <v>12.0221617850752</v>
      </c>
      <c r="R739" s="11" t="b">
        <f aca="false">AND(ISNUMBER(F739),F739&gt;0,ISNUMBER(G739),G739&gt;=0,ISNUMBER(H739),H739&gt;=0)</f>
        <v>1</v>
      </c>
      <c r="S739" s="13" t="n">
        <f aca="false">IF(R739,100*I739/F739,"")</f>
        <v>1.36792405140078</v>
      </c>
      <c r="T739" s="11" t="b">
        <f aca="false">NOT(AND(OR(AND(ISBLANK(RawFinancials!B739),ISBLANK(_RawBaseline!B736)),AND(ISNUMBER(RawFinancials!B739),ISNUMBER(_RawBaseline!B736),RawFinancials!B739=_RawBaseline!B736)),OR(AND(ISBLANK(RawFinancials!U739),ISBLANK(_RawBaseline!U736)),AND(ISNUMBER(RawFinancials!U739),ISNUMBER(_RawBaseline!U736),RawFinancials!U739=_RawBaseline!U736)),OR(AND(ISBLANK(RawFinancials!O739),ISBLANK(_RawBaseline!O736)),AND(ISNUMBER(RawFinancials!O739),ISNUMBER(_RawBaseline!O736),RawFinancials!O739=_RawBaseline!O736))))</f>
        <v>0</v>
      </c>
      <c r="U739" s="13" t="n">
        <f aca="false">IF(AND(D739=WF_START_PERIOD,R739,COUNTIFS($B$5:$B$750,B739,$D$5:$D$750,WF_END_PERIOD,$R$5:$R$750,TRUE())&gt;0),SUMIFS($S$5:$S$750,$B$5:$B$750,B739,$D$5:$D$750,WF_END_PERIOD,$R$5:$R$750,TRUE()),0)</f>
        <v>0</v>
      </c>
      <c r="V739" s="0" t="str">
        <f aca="false">IF(AND(D739=WF_START_PERIOD,COUNTIFS($B$5:$B$750,B739,$D$5:$D$750,WF_END_PERIOD)&gt;0),INDEX($E$5:$E$750,MATCH(B739&amp;"|"&amp;WF_END_PERIOD,$AC$5:$AC$750,0)),"")</f>
        <v/>
      </c>
      <c r="W739" s="11" t="b">
        <f aca="false">COUNTIFS($B$5:$B$750,B739,$D$5:$D$750,WF_START_PERIOD,$R$5:$R$750,TRUE())&gt;0</f>
        <v>1</v>
      </c>
      <c r="X739" s="11" t="b">
        <f aca="false">COUNTIFS($B$5:$B$750,B739,$D$5:$D$750,WF_END_PERIOD,$R$5:$R$750,TRUE())&gt;0</f>
        <v>1</v>
      </c>
      <c r="Y739" s="0" t="str">
        <f aca="false">IF(AND(D739=WF_END_PERIOD,COUNTIFS($B$5:$B$750,B739,$D$5:$D$750,WF_START_PERIOD)&gt;0),INDEX($E$5:$E$750,MATCH(B739&amp;"|"&amp;WF_START_PERIOD,$AC$5:$AC$750,0)),"")</f>
        <v>ME</v>
      </c>
      <c r="Z739" s="0" t="n">
        <f aca="false">IF(AND(D739=WF_END_PERIOD,R739),1+COUNTIFS($D$5:$D$750,WF_END_PERIOD,$E$5:$E$750,E739,$R$5:$R$750,TRUE(),$S$5:$S$750,"&gt;"&amp;S739)+COUNTIFS($D$5:$D$750,WF_END_PERIOD,$E$5:$E$750,E739,$R$5:$R$750,TRUE(),$S$5:$S$750,S739,$B$5:$B$750,"&lt;"&amp;B739),"")</f>
        <v>2</v>
      </c>
      <c r="AA739" s="0" t="n">
        <f aca="false">IF(AND(D739=WF_END_PERIOD,R739,Z739&lt;&gt;1),1+COUNTIFS($D$5:$D$750,WF_END_PERIOD,$R$5:$R$750,TRUE(),$Z$5:$Z$750,"&lt;&gt;1",$S$5:$S$750,"&gt;"&amp;S739)+COUNTIFS($D$5:$D$750,WF_END_PERIOD,$R$5:$R$750,TRUE(),$Z$5:$Z$750,"&lt;&gt;1",$S$5:$S$750,S739,$B$5:$B$750,"&lt;"&amp;B739),"")</f>
        <v>2</v>
      </c>
      <c r="AB739" s="11" t="b">
        <f aca="false">OR(D739=WF_START_PERIOD,D739=WF_END_PERIOD)</f>
        <v>1</v>
      </c>
      <c r="AC739" s="0" t="str">
        <f aca="false">B739&amp;"|"&amp;D739</f>
        <v>30878|20250630</v>
      </c>
    </row>
    <row r="740" customFormat="false" ht="15" hidden="false" customHeight="false" outlineLevel="0" collapsed="false">
      <c r="A740" s="0" t="n">
        <f aca="false">RawFinancials!A740</f>
        <v>737</v>
      </c>
      <c r="B740" s="0" t="n">
        <f aca="false">RawFinancials!C740</f>
        <v>33418</v>
      </c>
      <c r="C740" s="0" t="str">
        <f aca="false">RawFinancials!P740</f>
        <v>LEDYARD NATIONAL BANK</v>
      </c>
      <c r="D740" s="0" t="n">
        <f aca="false">RawFinancials!W740</f>
        <v>20250630</v>
      </c>
      <c r="E740" s="0" t="str">
        <f aca="false">RawFinancials!Z740</f>
        <v>VT</v>
      </c>
      <c r="F740" s="0" t="n">
        <f aca="false">RawFinancials!B740</f>
        <v>993609</v>
      </c>
      <c r="G740" s="0" t="n">
        <f aca="false">RawFinancials!U740</f>
        <v>0</v>
      </c>
      <c r="H740" s="0" t="n">
        <f aca="false">RawFinancials!O740</f>
        <v>1191</v>
      </c>
      <c r="I740" s="0" t="n">
        <f aca="false">IF(AND(ISNUMBER(G740),ISNUMBER(H740)),G740+H740,"")</f>
        <v>1191</v>
      </c>
      <c r="J740" s="0" t="n">
        <f aca="false">RawFinancials!D740</f>
        <v>817518</v>
      </c>
      <c r="K740" s="0" t="n">
        <f aca="false">RawFinancials!F740</f>
        <v>69945</v>
      </c>
      <c r="L740" s="0" t="n">
        <f aca="false">RawFinancials!L740</f>
        <v>629355</v>
      </c>
      <c r="M740" s="0" t="n">
        <f aca="false">RawFinancials!N740</f>
        <v>528008</v>
      </c>
      <c r="N740" s="13" t="n">
        <f aca="false">RawFinancials!X740</f>
        <v>0.618819302365185</v>
      </c>
      <c r="O740" s="13" t="n">
        <f aca="false">RawFinancials!V740</f>
        <v>12.4261039075517</v>
      </c>
      <c r="P740" s="13" t="n">
        <f aca="false">IF(AND(ISNUMBER(L740),L740&lt;&gt;0,ISNUMBER(M740)),100*M740/L740,"")</f>
        <v>83.8966878788601</v>
      </c>
      <c r="Q740" s="13" t="n">
        <f aca="false">IF(AND(ISNUMBER(F740),F740&lt;&gt;0,ISNUMBER(K740)),100*K740/F740,"")</f>
        <v>7.03948937660589</v>
      </c>
      <c r="R740" s="11" t="b">
        <f aca="false">AND(ISNUMBER(F740),F740&gt;0,ISNUMBER(G740),G740&gt;=0,ISNUMBER(H740),H740&gt;=0)</f>
        <v>1</v>
      </c>
      <c r="S740" s="13" t="n">
        <f aca="false">IF(R740,100*I740/F740,"")</f>
        <v>0.119866064015121</v>
      </c>
      <c r="T740" s="11" t="b">
        <f aca="false">NOT(AND(OR(AND(ISBLANK(RawFinancials!B740),ISBLANK(_RawBaseline!B737)),AND(ISNUMBER(RawFinancials!B740),ISNUMBER(_RawBaseline!B737),RawFinancials!B740=_RawBaseline!B737)),OR(AND(ISBLANK(RawFinancials!U740),ISBLANK(_RawBaseline!U737)),AND(ISNUMBER(RawFinancials!U740),ISNUMBER(_RawBaseline!U737),RawFinancials!U740=_RawBaseline!U737)),OR(AND(ISBLANK(RawFinancials!O740),ISBLANK(_RawBaseline!O737)),AND(ISNUMBER(RawFinancials!O740),ISNUMBER(_RawBaseline!O737),RawFinancials!O740=_RawBaseline!O737))))</f>
        <v>0</v>
      </c>
      <c r="U740" s="13" t="n">
        <f aca="false">IF(AND(D740=WF_START_PERIOD,R740,COUNTIFS($B$5:$B$750,B740,$D$5:$D$750,WF_END_PERIOD,$R$5:$R$750,TRUE())&gt;0),SUMIFS($S$5:$S$750,$B$5:$B$750,B740,$D$5:$D$750,WF_END_PERIOD,$R$5:$R$750,TRUE()),0)</f>
        <v>0</v>
      </c>
      <c r="V740" s="0" t="str">
        <f aca="false">IF(AND(D740=WF_START_PERIOD,COUNTIFS($B$5:$B$750,B740,$D$5:$D$750,WF_END_PERIOD)&gt;0),INDEX($E$5:$E$750,MATCH(B740&amp;"|"&amp;WF_END_PERIOD,$AC$5:$AC$750,0)),"")</f>
        <v/>
      </c>
      <c r="W740" s="11" t="b">
        <f aca="false">COUNTIFS($B$5:$B$750,B740,$D$5:$D$750,WF_START_PERIOD,$R$5:$R$750,TRUE())&gt;0</f>
        <v>1</v>
      </c>
      <c r="X740" s="11" t="b">
        <f aca="false">COUNTIFS($B$5:$B$750,B740,$D$5:$D$750,WF_END_PERIOD,$R$5:$R$750,TRUE())&gt;0</f>
        <v>1</v>
      </c>
      <c r="Y740" s="0" t="str">
        <f aca="false">IF(AND(D740=WF_END_PERIOD,COUNTIFS($B$5:$B$750,B740,$D$5:$D$750,WF_START_PERIOD)&gt;0),INDEX($E$5:$E$750,MATCH(B740&amp;"|"&amp;WF_START_PERIOD,$AC$5:$AC$750,0)),"")</f>
        <v>VT</v>
      </c>
      <c r="Z740" s="0" t="n">
        <f aca="false">IF(AND(D740=WF_END_PERIOD,R740),1+COUNTIFS($D$5:$D$750,WF_END_PERIOD,$E$5:$E$750,E740,$R$5:$R$750,TRUE(),$S$5:$S$750,"&gt;"&amp;S740)+COUNTIFS($D$5:$D$750,WF_END_PERIOD,$E$5:$E$750,E740,$R$5:$R$750,TRUE(),$S$5:$S$750,S740,$B$5:$B$750,"&lt;"&amp;B740),"")</f>
        <v>9</v>
      </c>
      <c r="AA740" s="0" t="n">
        <f aca="false">IF(AND(D740=WF_END_PERIOD,R740,Z740&lt;&gt;1),1+COUNTIFS($D$5:$D$750,WF_END_PERIOD,$R$5:$R$750,TRUE(),$Z$5:$Z$750,"&lt;&gt;1",$S$5:$S$750,"&gt;"&amp;S740)+COUNTIFS($D$5:$D$750,WF_END_PERIOD,$R$5:$R$750,TRUE(),$Z$5:$Z$750,"&lt;&gt;1",$S$5:$S$750,S740,$B$5:$B$750,"&lt;"&amp;B740),"")</f>
        <v>33</v>
      </c>
      <c r="AB740" s="11" t="b">
        <f aca="false">OR(D740=WF_START_PERIOD,D740=WF_END_PERIOD)</f>
        <v>1</v>
      </c>
      <c r="AC740" s="0" t="str">
        <f aca="false">B740&amp;"|"&amp;D740</f>
        <v>33418|20250630</v>
      </c>
    </row>
    <row r="741" customFormat="false" ht="15" hidden="false" customHeight="false" outlineLevel="0" collapsed="false">
      <c r="A741" s="0" t="n">
        <f aca="false">RawFinancials!A741</f>
        <v>738</v>
      </c>
      <c r="B741" s="0" t="n">
        <f aca="false">RawFinancials!C741</f>
        <v>35206</v>
      </c>
      <c r="C741" s="0" t="str">
        <f aca="false">RawFinancials!P741</f>
        <v>FIDELITY PERSONAL TRUST COMPANY, FSB</v>
      </c>
      <c r="D741" s="0" t="n">
        <f aca="false">RawFinancials!W741</f>
        <v>20250630</v>
      </c>
      <c r="E741" s="0" t="str">
        <f aca="false">RawFinancials!Z741</f>
        <v>NH</v>
      </c>
      <c r="F741" s="0" t="n">
        <f aca="false">RawFinancials!B741</f>
        <v>72604</v>
      </c>
      <c r="G741" s="0" t="n">
        <f aca="false">RawFinancials!U741</f>
        <v>0</v>
      </c>
      <c r="H741" s="0" t="n">
        <f aca="false">RawFinancials!O741</f>
        <v>0</v>
      </c>
      <c r="I741" s="0" t="n">
        <f aca="false">IF(AND(ISNUMBER(G741),ISNUMBER(H741)),G741+H741,"")</f>
        <v>0</v>
      </c>
      <c r="J741" s="0" t="n">
        <f aca="false">RawFinancials!D741</f>
        <v>500</v>
      </c>
      <c r="K741" s="0" t="n">
        <f aca="false">RawFinancials!F741</f>
        <v>70119</v>
      </c>
      <c r="L741" s="0" t="n">
        <f aca="false">RawFinancials!L741</f>
        <v>0</v>
      </c>
      <c r="M741" s="0" t="n">
        <f aca="false">RawFinancials!N741</f>
        <v>0</v>
      </c>
      <c r="N741" s="13" t="n">
        <f aca="false">RawFinancials!X741</f>
        <v>28.4880056721944</v>
      </c>
      <c r="O741" s="13" t="n">
        <f aca="false">RawFinancials!V741</f>
        <v>0</v>
      </c>
      <c r="P741" s="13" t="str">
        <f aca="false">IF(AND(ISNUMBER(L741),L741&lt;&gt;0,ISNUMBER(M741)),100*M741/L741,"")</f>
        <v/>
      </c>
      <c r="Q741" s="13" t="n">
        <f aca="false">IF(AND(ISNUMBER(F741),F741&lt;&gt;0,ISNUMBER(K741)),100*K741/F741,"")</f>
        <v>96.57732356344</v>
      </c>
      <c r="R741" s="11" t="b">
        <f aca="false">AND(ISNUMBER(F741),F741&gt;0,ISNUMBER(G741),G741&gt;=0,ISNUMBER(H741),H741&gt;=0)</f>
        <v>1</v>
      </c>
      <c r="S741" s="13" t="n">
        <f aca="false">IF(R741,100*I741/F741,"")</f>
        <v>0</v>
      </c>
      <c r="T741" s="11" t="b">
        <f aca="false">NOT(AND(OR(AND(ISBLANK(RawFinancials!B741),ISBLANK(_RawBaseline!B738)),AND(ISNUMBER(RawFinancials!B741),ISNUMBER(_RawBaseline!B738),RawFinancials!B741=_RawBaseline!B738)),OR(AND(ISBLANK(RawFinancials!U741),ISBLANK(_RawBaseline!U738)),AND(ISNUMBER(RawFinancials!U741),ISNUMBER(_RawBaseline!U738),RawFinancials!U741=_RawBaseline!U738)),OR(AND(ISBLANK(RawFinancials!O741),ISBLANK(_RawBaseline!O738)),AND(ISNUMBER(RawFinancials!O741),ISNUMBER(_RawBaseline!O738),RawFinancials!O741=_RawBaseline!O738))))</f>
        <v>0</v>
      </c>
      <c r="U741" s="13" t="n">
        <f aca="false">IF(AND(D741=WF_START_PERIOD,R741,COUNTIFS($B$5:$B$750,B741,$D$5:$D$750,WF_END_PERIOD,$R$5:$R$750,TRUE())&gt;0),SUMIFS($S$5:$S$750,$B$5:$B$750,B741,$D$5:$D$750,WF_END_PERIOD,$R$5:$R$750,TRUE()),0)</f>
        <v>0</v>
      </c>
      <c r="V741" s="0" t="str">
        <f aca="false">IF(AND(D741=WF_START_PERIOD,COUNTIFS($B$5:$B$750,B741,$D$5:$D$750,WF_END_PERIOD)&gt;0),INDEX($E$5:$E$750,MATCH(B741&amp;"|"&amp;WF_END_PERIOD,$AC$5:$AC$750,0)),"")</f>
        <v/>
      </c>
      <c r="W741" s="11" t="b">
        <f aca="false">COUNTIFS($B$5:$B$750,B741,$D$5:$D$750,WF_START_PERIOD,$R$5:$R$750,TRUE())&gt;0</f>
        <v>1</v>
      </c>
      <c r="X741" s="11" t="b">
        <f aca="false">COUNTIFS($B$5:$B$750,B741,$D$5:$D$750,WF_END_PERIOD,$R$5:$R$750,TRUE())&gt;0</f>
        <v>1</v>
      </c>
      <c r="Y741" s="0" t="str">
        <f aca="false">IF(AND(D741=WF_END_PERIOD,COUNTIFS($B$5:$B$750,B741,$D$5:$D$750,WF_START_PERIOD)&gt;0),INDEX($E$5:$E$750,MATCH(B741&amp;"|"&amp;WF_START_PERIOD,$AC$5:$AC$750,0)),"")</f>
        <v>NH</v>
      </c>
      <c r="Z741" s="0" t="n">
        <f aca="false">IF(AND(D741=WF_END_PERIOD,R741),1+COUNTIFS($D$5:$D$750,WF_END_PERIOD,$E$5:$E$750,E741,$R$5:$R$750,TRUE(),$S$5:$S$750,"&gt;"&amp;S741)+COUNTIFS($D$5:$D$750,WF_END_PERIOD,$E$5:$E$750,E741,$R$5:$R$750,TRUE(),$S$5:$S$750,S741,$B$5:$B$750,"&lt;"&amp;B741),"")</f>
        <v>17</v>
      </c>
      <c r="AA741" s="0" t="n">
        <f aca="false">IF(AND(D741=WF_END_PERIOD,R741,Z741&lt;&gt;1),1+COUNTIFS($D$5:$D$750,WF_END_PERIOD,$R$5:$R$750,TRUE(),$Z$5:$Z$750,"&lt;&gt;1",$S$5:$S$750,"&gt;"&amp;S741)+COUNTIFS($D$5:$D$750,WF_END_PERIOD,$R$5:$R$750,TRUE(),$Z$5:$Z$750,"&lt;&gt;1",$S$5:$S$750,S741,$B$5:$B$750,"&lt;"&amp;B741),"")</f>
        <v>47</v>
      </c>
      <c r="AB741" s="11" t="b">
        <f aca="false">OR(D741=WF_START_PERIOD,D741=WF_END_PERIOD)</f>
        <v>1</v>
      </c>
      <c r="AC741" s="0" t="str">
        <f aca="false">B741&amp;"|"&amp;D741</f>
        <v>35206|20250630</v>
      </c>
    </row>
    <row r="742" customFormat="false" ht="15" hidden="false" customHeight="false" outlineLevel="0" collapsed="false">
      <c r="A742" s="0" t="n">
        <f aca="false">RawFinancials!A742</f>
        <v>739</v>
      </c>
      <c r="B742" s="0" t="n">
        <f aca="false">RawFinancials!C742</f>
        <v>4255</v>
      </c>
      <c r="C742" s="0" t="str">
        <f aca="false">RawFinancials!P742</f>
        <v>THE CAMDEN NATIONAL BANK</v>
      </c>
      <c r="D742" s="0" t="n">
        <f aca="false">RawFinancials!W742</f>
        <v>20250630</v>
      </c>
      <c r="E742" s="0" t="str">
        <f aca="false">RawFinancials!Z742</f>
        <v>ME</v>
      </c>
      <c r="F742" s="0" t="n">
        <f aca="false">RawFinancials!B742</f>
        <v>6902692</v>
      </c>
      <c r="G742" s="0" t="n">
        <f aca="false">RawFinancials!U742</f>
        <v>0</v>
      </c>
      <c r="H742" s="0" t="n">
        <f aca="false">RawFinancials!O742</f>
        <v>18177</v>
      </c>
      <c r="I742" s="0" t="n">
        <f aca="false">IF(AND(ISNUMBER(G742),ISNUMBER(H742)),G742+H742,"")</f>
        <v>18177</v>
      </c>
      <c r="J742" s="0" t="n">
        <f aca="false">RawFinancials!D742</f>
        <v>5545916</v>
      </c>
      <c r="K742" s="0" t="n">
        <f aca="false">RawFinancials!F742</f>
        <v>687541</v>
      </c>
      <c r="L742" s="0" t="n">
        <f aca="false">RawFinancials!L742</f>
        <v>4953936</v>
      </c>
      <c r="M742" s="0" t="n">
        <f aca="false">RawFinancials!N742</f>
        <v>4456325</v>
      </c>
      <c r="N742" s="13" t="n">
        <f aca="false">RawFinancials!X742</f>
        <v>0.719073888795519</v>
      </c>
      <c r="O742" s="13" t="n">
        <f aca="false">RawFinancials!V742</f>
        <v>12.8539272598033</v>
      </c>
      <c r="P742" s="13" t="n">
        <f aca="false">IF(AND(ISNUMBER(L742),L742&lt;&gt;0,ISNUMBER(M742)),100*M742/L742,"")</f>
        <v>89.9552396316787</v>
      </c>
      <c r="Q742" s="13" t="n">
        <f aca="false">IF(AND(ISNUMBER(F742),F742&lt;&gt;0,ISNUMBER(K742)),100*K742/F742,"")</f>
        <v>9.96047628954037</v>
      </c>
      <c r="R742" s="11" t="b">
        <f aca="false">AND(ISNUMBER(F742),F742&gt;0,ISNUMBER(G742),G742&gt;=0,ISNUMBER(H742),H742&gt;=0)</f>
        <v>1</v>
      </c>
      <c r="S742" s="13" t="n">
        <f aca="false">IF(R742,100*I742/F742,"")</f>
        <v>0.263332044947102</v>
      </c>
      <c r="T742" s="11" t="b">
        <f aca="false">NOT(AND(OR(AND(ISBLANK(RawFinancials!B742),ISBLANK(_RawBaseline!B739)),AND(ISNUMBER(RawFinancials!B742),ISNUMBER(_RawBaseline!B739),RawFinancials!B742=_RawBaseline!B739)),OR(AND(ISBLANK(RawFinancials!U742),ISBLANK(_RawBaseline!U739)),AND(ISNUMBER(RawFinancials!U742),ISNUMBER(_RawBaseline!U739),RawFinancials!U742=_RawBaseline!U739)),OR(AND(ISBLANK(RawFinancials!O742),ISBLANK(_RawBaseline!O739)),AND(ISNUMBER(RawFinancials!O742),ISNUMBER(_RawBaseline!O739),RawFinancials!O742=_RawBaseline!O739))))</f>
        <v>0</v>
      </c>
      <c r="U742" s="13" t="n">
        <f aca="false">IF(AND(D742=WF_START_PERIOD,R742,COUNTIFS($B$5:$B$750,B742,$D$5:$D$750,WF_END_PERIOD,$R$5:$R$750,TRUE())&gt;0),SUMIFS($S$5:$S$750,$B$5:$B$750,B742,$D$5:$D$750,WF_END_PERIOD,$R$5:$R$750,TRUE()),0)</f>
        <v>0</v>
      </c>
      <c r="V742" s="0" t="str">
        <f aca="false">IF(AND(D742=WF_START_PERIOD,COUNTIFS($B$5:$B$750,B742,$D$5:$D$750,WF_END_PERIOD)&gt;0),INDEX($E$5:$E$750,MATCH(B742&amp;"|"&amp;WF_END_PERIOD,$AC$5:$AC$750,0)),"")</f>
        <v/>
      </c>
      <c r="W742" s="11" t="b">
        <f aca="false">COUNTIFS($B$5:$B$750,B742,$D$5:$D$750,WF_START_PERIOD,$R$5:$R$750,TRUE())&gt;0</f>
        <v>1</v>
      </c>
      <c r="X742" s="11" t="b">
        <f aca="false">COUNTIFS($B$5:$B$750,B742,$D$5:$D$750,WF_END_PERIOD,$R$5:$R$750,TRUE())&gt;0</f>
        <v>1</v>
      </c>
      <c r="Y742" s="0" t="str">
        <f aca="false">IF(AND(D742=WF_END_PERIOD,COUNTIFS($B$5:$B$750,B742,$D$5:$D$750,WF_START_PERIOD)&gt;0),INDEX($E$5:$E$750,MATCH(B742&amp;"|"&amp;WF_START_PERIOD,$AC$5:$AC$750,0)),"")</f>
        <v>ME</v>
      </c>
      <c r="Z742" s="0" t="n">
        <f aca="false">IF(AND(D742=WF_END_PERIOD,R742),1+COUNTIFS($D$5:$D$750,WF_END_PERIOD,$E$5:$E$750,E742,$R$5:$R$750,TRUE(),$S$5:$S$750,"&gt;"&amp;S742)+COUNTIFS($D$5:$D$750,WF_END_PERIOD,$E$5:$E$750,E742,$R$5:$R$750,TRUE(),$S$5:$S$750,S742,$B$5:$B$750,"&lt;"&amp;B742),"")</f>
        <v>11</v>
      </c>
      <c r="AA742" s="0" t="n">
        <f aca="false">IF(AND(D742=WF_END_PERIOD,R742,Z742&lt;&gt;1),1+COUNTIFS($D$5:$D$750,WF_END_PERIOD,$R$5:$R$750,TRUE(),$Z$5:$Z$750,"&lt;&gt;1",$S$5:$S$750,"&gt;"&amp;S742)+COUNTIFS($D$5:$D$750,WF_END_PERIOD,$R$5:$R$750,TRUE(),$Z$5:$Z$750,"&lt;&gt;1",$S$5:$S$750,S742,$B$5:$B$750,"&lt;"&amp;B742),"")</f>
        <v>24</v>
      </c>
      <c r="AB742" s="11" t="b">
        <f aca="false">OR(D742=WF_START_PERIOD,D742=WF_END_PERIOD)</f>
        <v>1</v>
      </c>
      <c r="AC742" s="0" t="str">
        <f aca="false">B742&amp;"|"&amp;D742</f>
        <v>4255|20250630</v>
      </c>
    </row>
    <row r="743" customFormat="false" ht="15" hidden="false" customHeight="false" outlineLevel="0" collapsed="false">
      <c r="A743" s="0" t="n">
        <f aca="false">RawFinancials!A743</f>
        <v>740</v>
      </c>
      <c r="B743" s="0" t="n">
        <f aca="false">RawFinancials!C743</f>
        <v>4256</v>
      </c>
      <c r="C743" s="0" t="str">
        <f aca="false">RawFinancials!P743</f>
        <v>FIRST NATIONAL BANK</v>
      </c>
      <c r="D743" s="0" t="n">
        <f aca="false">RawFinancials!W743</f>
        <v>20250630</v>
      </c>
      <c r="E743" s="0" t="str">
        <f aca="false">RawFinancials!Z743</f>
        <v>ME</v>
      </c>
      <c r="F743" s="0" t="n">
        <f aca="false">RawFinancials!B743</f>
        <v>3164056</v>
      </c>
      <c r="G743" s="0" t="n">
        <f aca="false">RawFinancials!U743</f>
        <v>457</v>
      </c>
      <c r="H743" s="0" t="n">
        <f aca="false">RawFinancials!O743</f>
        <v>6039</v>
      </c>
      <c r="I743" s="0" t="n">
        <f aca="false">IF(AND(ISNUMBER(G743),ISNUMBER(H743)),G743+H743,"")</f>
        <v>6496</v>
      </c>
      <c r="J743" s="0" t="n">
        <f aca="false">RawFinancials!D743</f>
        <v>2706351</v>
      </c>
      <c r="K743" s="0" t="n">
        <f aca="false">RawFinancials!F743</f>
        <v>236733</v>
      </c>
      <c r="L743" s="0" t="n">
        <f aca="false">RawFinancials!L743</f>
        <v>2394007</v>
      </c>
      <c r="M743" s="0" t="n">
        <f aca="false">RawFinancials!N743</f>
        <v>1881786</v>
      </c>
      <c r="N743" s="13" t="n">
        <f aca="false">RawFinancials!X743</f>
        <v>1.00147521350966</v>
      </c>
      <c r="O743" s="13" t="n">
        <f aca="false">RawFinancials!V743</f>
        <v>13.2562418882408</v>
      </c>
      <c r="P743" s="13" t="n">
        <f aca="false">IF(AND(ISNUMBER(L743),L743&lt;&gt;0,ISNUMBER(M743)),100*M743/L743,"")</f>
        <v>78.6040308152817</v>
      </c>
      <c r="Q743" s="13" t="n">
        <f aca="false">IF(AND(ISNUMBER(F743),F743&lt;&gt;0,ISNUMBER(K743)),100*K743/F743,"")</f>
        <v>7.48194722217306</v>
      </c>
      <c r="R743" s="11" t="b">
        <f aca="false">AND(ISNUMBER(F743),F743&gt;0,ISNUMBER(G743),G743&gt;=0,ISNUMBER(H743),H743&gt;=0)</f>
        <v>1</v>
      </c>
      <c r="S743" s="13" t="n">
        <f aca="false">IF(R743,100*I743/F743,"")</f>
        <v>0.205306100776977</v>
      </c>
      <c r="T743" s="11" t="b">
        <f aca="false">NOT(AND(OR(AND(ISBLANK(RawFinancials!B743),ISBLANK(_RawBaseline!B740)),AND(ISNUMBER(RawFinancials!B743),ISNUMBER(_RawBaseline!B740),RawFinancials!B743=_RawBaseline!B740)),OR(AND(ISBLANK(RawFinancials!U743),ISBLANK(_RawBaseline!U740)),AND(ISNUMBER(RawFinancials!U743),ISNUMBER(_RawBaseline!U740),RawFinancials!U743=_RawBaseline!U740)),OR(AND(ISBLANK(RawFinancials!O743),ISBLANK(_RawBaseline!O740)),AND(ISNUMBER(RawFinancials!O743),ISNUMBER(_RawBaseline!O740),RawFinancials!O743=_RawBaseline!O740))))</f>
        <v>0</v>
      </c>
      <c r="U743" s="13" t="n">
        <f aca="false">IF(AND(D743=WF_START_PERIOD,R743,COUNTIFS($B$5:$B$750,B743,$D$5:$D$750,WF_END_PERIOD,$R$5:$R$750,TRUE())&gt;0),SUMIFS($S$5:$S$750,$B$5:$B$750,B743,$D$5:$D$750,WF_END_PERIOD,$R$5:$R$750,TRUE()),0)</f>
        <v>0</v>
      </c>
      <c r="V743" s="0" t="str">
        <f aca="false">IF(AND(D743=WF_START_PERIOD,COUNTIFS($B$5:$B$750,B743,$D$5:$D$750,WF_END_PERIOD)&gt;0),INDEX($E$5:$E$750,MATCH(B743&amp;"|"&amp;WF_END_PERIOD,$AC$5:$AC$750,0)),"")</f>
        <v/>
      </c>
      <c r="W743" s="11" t="b">
        <f aca="false">COUNTIFS($B$5:$B$750,B743,$D$5:$D$750,WF_START_PERIOD,$R$5:$R$750,TRUE())&gt;0</f>
        <v>1</v>
      </c>
      <c r="X743" s="11" t="b">
        <f aca="false">COUNTIFS($B$5:$B$750,B743,$D$5:$D$750,WF_END_PERIOD,$R$5:$R$750,TRUE())&gt;0</f>
        <v>1</v>
      </c>
      <c r="Y743" s="0" t="str">
        <f aca="false">IF(AND(D743=WF_END_PERIOD,COUNTIFS($B$5:$B$750,B743,$D$5:$D$750,WF_START_PERIOD)&gt;0),INDEX($E$5:$E$750,MATCH(B743&amp;"|"&amp;WF_START_PERIOD,$AC$5:$AC$750,0)),"")</f>
        <v>ME</v>
      </c>
      <c r="Z743" s="0" t="n">
        <f aca="false">IF(AND(D743=WF_END_PERIOD,R743),1+COUNTIFS($D$5:$D$750,WF_END_PERIOD,$E$5:$E$750,E743,$R$5:$R$750,TRUE(),$S$5:$S$750,"&gt;"&amp;S743)+COUNTIFS($D$5:$D$750,WF_END_PERIOD,$E$5:$E$750,E743,$R$5:$R$750,TRUE(),$S$5:$S$750,S743,$B$5:$B$750,"&lt;"&amp;B743),"")</f>
        <v>15</v>
      </c>
      <c r="AA743" s="0" t="n">
        <f aca="false">IF(AND(D743=WF_END_PERIOD,R743,Z743&lt;&gt;1),1+COUNTIFS($D$5:$D$750,WF_END_PERIOD,$R$5:$R$750,TRUE(),$Z$5:$Z$750,"&lt;&gt;1",$S$5:$S$750,"&gt;"&amp;S743)+COUNTIFS($D$5:$D$750,WF_END_PERIOD,$R$5:$R$750,TRUE(),$Z$5:$Z$750,"&lt;&gt;1",$S$5:$S$750,S743,$B$5:$B$750,"&lt;"&amp;B743),"")</f>
        <v>28</v>
      </c>
      <c r="AB743" s="11" t="b">
        <f aca="false">OR(D743=WF_START_PERIOD,D743=WF_END_PERIOD)</f>
        <v>1</v>
      </c>
      <c r="AC743" s="0" t="str">
        <f aca="false">B743&amp;"|"&amp;D743</f>
        <v>4256|20250630</v>
      </c>
    </row>
    <row r="744" customFormat="false" ht="15" hidden="false" customHeight="false" outlineLevel="0" collapsed="false">
      <c r="A744" s="0" t="n">
        <f aca="false">RawFinancials!A744</f>
        <v>741</v>
      </c>
      <c r="B744" s="0" t="n">
        <f aca="false">RawFinancials!C744</f>
        <v>59086</v>
      </c>
      <c r="C744" s="0" t="str">
        <f aca="false">RawFinancials!P744</f>
        <v>PRIMARY BANK</v>
      </c>
      <c r="D744" s="0" t="n">
        <f aca="false">RawFinancials!W744</f>
        <v>20250630</v>
      </c>
      <c r="E744" s="0" t="str">
        <f aca="false">RawFinancials!Z744</f>
        <v>NH</v>
      </c>
      <c r="F744" s="0" t="n">
        <f aca="false">RawFinancials!B744</f>
        <v>724753</v>
      </c>
      <c r="G744" s="0" t="n">
        <f aca="false">RawFinancials!U744</f>
        <v>7830</v>
      </c>
      <c r="H744" s="0" t="n">
        <f aca="false">RawFinancials!O744</f>
        <v>5998</v>
      </c>
      <c r="I744" s="0" t="n">
        <f aca="false">IF(AND(ISNUMBER(G744),ISNUMBER(H744)),G744+H744,"")</f>
        <v>13828</v>
      </c>
      <c r="J744" s="0" t="n">
        <f aca="false">RawFinancials!D744</f>
        <v>612986</v>
      </c>
      <c r="K744" s="0" t="n">
        <f aca="false">RawFinancials!F744</f>
        <v>105815</v>
      </c>
      <c r="L744" s="0" t="n">
        <f aca="false">RawFinancials!L744</f>
        <v>619103</v>
      </c>
      <c r="M744" s="0" t="n">
        <f aca="false">RawFinancials!N744</f>
        <v>495338</v>
      </c>
      <c r="N744" s="13" t="n">
        <f aca="false">RawFinancials!X744</f>
        <v>1.55691795515022</v>
      </c>
      <c r="O744" s="13" t="n">
        <f aca="false">RawFinancials!V744</f>
        <v>16.7805900658004</v>
      </c>
      <c r="P744" s="13" t="n">
        <f aca="false">IF(AND(ISNUMBER(L744),L744&lt;&gt;0,ISNUMBER(M744)),100*M744/L744,"")</f>
        <v>80.0089807350312</v>
      </c>
      <c r="Q744" s="13" t="n">
        <f aca="false">IF(AND(ISNUMBER(F744),F744&lt;&gt;0,ISNUMBER(K744)),100*K744/F744,"")</f>
        <v>14.6001465326808</v>
      </c>
      <c r="R744" s="11" t="b">
        <f aca="false">AND(ISNUMBER(F744),F744&gt;0,ISNUMBER(G744),G744&gt;=0,ISNUMBER(H744),H744&gt;=0)</f>
        <v>1</v>
      </c>
      <c r="S744" s="13" t="n">
        <f aca="false">IF(R744,100*I744/F744,"")</f>
        <v>1.90796036718717</v>
      </c>
      <c r="T744" s="11" t="b">
        <f aca="false">NOT(AND(OR(AND(ISBLANK(RawFinancials!B744),ISBLANK(_RawBaseline!B741)),AND(ISNUMBER(RawFinancials!B744),ISNUMBER(_RawBaseline!B741),RawFinancials!B744=_RawBaseline!B741)),OR(AND(ISBLANK(RawFinancials!U744),ISBLANK(_RawBaseline!U741)),AND(ISNUMBER(RawFinancials!U744),ISNUMBER(_RawBaseline!U741),RawFinancials!U744=_RawBaseline!U741)),OR(AND(ISBLANK(RawFinancials!O744),ISBLANK(_RawBaseline!O741)),AND(ISNUMBER(RawFinancials!O744),ISNUMBER(_RawBaseline!O741),RawFinancials!O744=_RawBaseline!O741))))</f>
        <v>0</v>
      </c>
      <c r="U744" s="13" t="n">
        <f aca="false">IF(AND(D744=WF_START_PERIOD,R744,COUNTIFS($B$5:$B$750,B744,$D$5:$D$750,WF_END_PERIOD,$R$5:$R$750,TRUE())&gt;0),SUMIFS($S$5:$S$750,$B$5:$B$750,B744,$D$5:$D$750,WF_END_PERIOD,$R$5:$R$750,TRUE()),0)</f>
        <v>0</v>
      </c>
      <c r="V744" s="0" t="str">
        <f aca="false">IF(AND(D744=WF_START_PERIOD,COUNTIFS($B$5:$B$750,B744,$D$5:$D$750,WF_END_PERIOD)&gt;0),INDEX($E$5:$E$750,MATCH(B744&amp;"|"&amp;WF_END_PERIOD,$AC$5:$AC$750,0)),"")</f>
        <v/>
      </c>
      <c r="W744" s="11" t="b">
        <f aca="false">COUNTIFS($B$5:$B$750,B744,$D$5:$D$750,WF_START_PERIOD,$R$5:$R$750,TRUE())&gt;0</f>
        <v>1</v>
      </c>
      <c r="X744" s="11" t="b">
        <f aca="false">COUNTIFS($B$5:$B$750,B744,$D$5:$D$750,WF_END_PERIOD,$R$5:$R$750,TRUE())&gt;0</f>
        <v>1</v>
      </c>
      <c r="Y744" s="0" t="str">
        <f aca="false">IF(AND(D744=WF_END_PERIOD,COUNTIFS($B$5:$B$750,B744,$D$5:$D$750,WF_START_PERIOD)&gt;0),INDEX($E$5:$E$750,MATCH(B744&amp;"|"&amp;WF_START_PERIOD,$AC$5:$AC$750,0)),"")</f>
        <v>NH</v>
      </c>
      <c r="Z744" s="0" t="n">
        <f aca="false">IF(AND(D744=WF_END_PERIOD,R744),1+COUNTIFS($D$5:$D$750,WF_END_PERIOD,$E$5:$E$750,E744,$R$5:$R$750,TRUE(),$S$5:$S$750,"&gt;"&amp;S744)+COUNTIFS($D$5:$D$750,WF_END_PERIOD,$E$5:$E$750,E744,$R$5:$R$750,TRUE(),$S$5:$S$750,S744,$B$5:$B$750,"&lt;"&amp;B744),"")</f>
        <v>2</v>
      </c>
      <c r="AA744" s="0" t="n">
        <f aca="false">IF(AND(D744=WF_END_PERIOD,R744,Z744&lt;&gt;1),1+COUNTIFS($D$5:$D$750,WF_END_PERIOD,$R$5:$R$750,TRUE(),$Z$5:$Z$750,"&lt;&gt;1",$S$5:$S$750,"&gt;"&amp;S744)+COUNTIFS($D$5:$D$750,WF_END_PERIOD,$R$5:$R$750,TRUE(),$Z$5:$Z$750,"&lt;&gt;1",$S$5:$S$750,S744,$B$5:$B$750,"&lt;"&amp;B744),"")</f>
        <v>1</v>
      </c>
      <c r="AB744" s="11" t="b">
        <f aca="false">OR(D744=WF_START_PERIOD,D744=WF_END_PERIOD)</f>
        <v>1</v>
      </c>
      <c r="AC744" s="0" t="str">
        <f aca="false">B744&amp;"|"&amp;D744</f>
        <v>59086|20250630</v>
      </c>
    </row>
    <row r="745" customFormat="false" ht="15" hidden="false" customHeight="false" outlineLevel="0" collapsed="false">
      <c r="A745" s="0" t="n">
        <f aca="false">RawFinancials!A745</f>
        <v>742</v>
      </c>
      <c r="B745" s="0" t="n">
        <f aca="false">RawFinancials!C745</f>
        <v>59176</v>
      </c>
      <c r="C745" s="0" t="str">
        <f aca="false">RawFinancials!P745</f>
        <v>THE MILLYARD BANK</v>
      </c>
      <c r="D745" s="0" t="n">
        <f aca="false">RawFinancials!W745</f>
        <v>20250630</v>
      </c>
      <c r="E745" s="0" t="str">
        <f aca="false">RawFinancials!Z745</f>
        <v>NH</v>
      </c>
      <c r="F745" s="0" t="n">
        <f aca="false">RawFinancials!B745</f>
        <v>279006</v>
      </c>
      <c r="G745" s="0" t="n">
        <f aca="false">RawFinancials!U745</f>
        <v>0</v>
      </c>
      <c r="H745" s="0" t="n">
        <f aca="false">RawFinancials!O745</f>
        <v>0</v>
      </c>
      <c r="I745" s="0" t="n">
        <f aca="false">IF(AND(ISNUMBER(G745),ISNUMBER(H745)),G745+H745,"")</f>
        <v>0</v>
      </c>
      <c r="J745" s="0" t="n">
        <f aca="false">RawFinancials!D745</f>
        <v>229104</v>
      </c>
      <c r="K745" s="0" t="n">
        <f aca="false">RawFinancials!F745</f>
        <v>28607</v>
      </c>
      <c r="L745" s="0" t="n">
        <f aca="false">RawFinancials!L745</f>
        <v>209550</v>
      </c>
      <c r="M745" s="0" t="n">
        <f aca="false">RawFinancials!N745</f>
        <v>180172</v>
      </c>
      <c r="N745" s="13" t="n">
        <f aca="false">RawFinancials!X745</f>
        <v>0.168301196808511</v>
      </c>
      <c r="O745" s="13" t="n">
        <f aca="false">RawFinancials!V745</f>
        <v>0</v>
      </c>
      <c r="P745" s="13" t="n">
        <f aca="false">IF(AND(ISNUMBER(L745),L745&lt;&gt;0,ISNUMBER(M745)),100*M745/L745,"")</f>
        <v>85.9804342638988</v>
      </c>
      <c r="Q745" s="13" t="n">
        <f aca="false">IF(AND(ISNUMBER(F745),F745&lt;&gt;0,ISNUMBER(K745)),100*K745/F745,"")</f>
        <v>10.2531845193293</v>
      </c>
      <c r="R745" s="11" t="b">
        <f aca="false">AND(ISNUMBER(F745),F745&gt;0,ISNUMBER(G745),G745&gt;=0,ISNUMBER(H745),H745&gt;=0)</f>
        <v>1</v>
      </c>
      <c r="S745" s="13" t="n">
        <f aca="false">IF(R745,100*I745/F745,"")</f>
        <v>0</v>
      </c>
      <c r="T745" s="11" t="b">
        <f aca="false">NOT(AND(OR(AND(ISBLANK(RawFinancials!B745),ISBLANK(_RawBaseline!B742)),AND(ISNUMBER(RawFinancials!B745),ISNUMBER(_RawBaseline!B742),RawFinancials!B745=_RawBaseline!B742)),OR(AND(ISBLANK(RawFinancials!U745),ISBLANK(_RawBaseline!U742)),AND(ISNUMBER(RawFinancials!U745),ISNUMBER(_RawBaseline!U742),RawFinancials!U745=_RawBaseline!U742)),OR(AND(ISBLANK(RawFinancials!O745),ISBLANK(_RawBaseline!O742)),AND(ISNUMBER(RawFinancials!O745),ISNUMBER(_RawBaseline!O742),RawFinancials!O745=_RawBaseline!O742))))</f>
        <v>0</v>
      </c>
      <c r="U745" s="13" t="n">
        <f aca="false">IF(AND(D745=WF_START_PERIOD,R745,COUNTIFS($B$5:$B$750,B745,$D$5:$D$750,WF_END_PERIOD,$R$5:$R$750,TRUE())&gt;0),SUMIFS($S$5:$S$750,$B$5:$B$750,B745,$D$5:$D$750,WF_END_PERIOD,$R$5:$R$750,TRUE()),0)</f>
        <v>0</v>
      </c>
      <c r="V745" s="0" t="str">
        <f aca="false">IF(AND(D745=WF_START_PERIOD,COUNTIFS($B$5:$B$750,B745,$D$5:$D$750,WF_END_PERIOD)&gt;0),INDEX($E$5:$E$750,MATCH(B745&amp;"|"&amp;WF_END_PERIOD,$AC$5:$AC$750,0)),"")</f>
        <v/>
      </c>
      <c r="W745" s="11" t="b">
        <f aca="false">COUNTIFS($B$5:$B$750,B745,$D$5:$D$750,WF_START_PERIOD,$R$5:$R$750,TRUE())&gt;0</f>
        <v>1</v>
      </c>
      <c r="X745" s="11" t="b">
        <f aca="false">COUNTIFS($B$5:$B$750,B745,$D$5:$D$750,WF_END_PERIOD,$R$5:$R$750,TRUE())&gt;0</f>
        <v>1</v>
      </c>
      <c r="Y745" s="0" t="str">
        <f aca="false">IF(AND(D745=WF_END_PERIOD,COUNTIFS($B$5:$B$750,B745,$D$5:$D$750,WF_START_PERIOD)&gt;0),INDEX($E$5:$E$750,MATCH(B745&amp;"|"&amp;WF_START_PERIOD,$AC$5:$AC$750,0)),"")</f>
        <v>NH</v>
      </c>
      <c r="Z745" s="0" t="n">
        <f aca="false">IF(AND(D745=WF_END_PERIOD,R745),1+COUNTIFS($D$5:$D$750,WF_END_PERIOD,$E$5:$E$750,E745,$R$5:$R$750,TRUE(),$S$5:$S$750,"&gt;"&amp;S745)+COUNTIFS($D$5:$D$750,WF_END_PERIOD,$E$5:$E$750,E745,$R$5:$R$750,TRUE(),$S$5:$S$750,S745,$B$5:$B$750,"&lt;"&amp;B745),"")</f>
        <v>18</v>
      </c>
      <c r="AA745" s="0" t="n">
        <f aca="false">IF(AND(D745=WF_END_PERIOD,R745,Z745&lt;&gt;1),1+COUNTIFS($D$5:$D$750,WF_END_PERIOD,$R$5:$R$750,TRUE(),$Z$5:$Z$750,"&lt;&gt;1",$S$5:$S$750,"&gt;"&amp;S745)+COUNTIFS($D$5:$D$750,WF_END_PERIOD,$R$5:$R$750,TRUE(),$Z$5:$Z$750,"&lt;&gt;1",$S$5:$S$750,S745,$B$5:$B$750,"&lt;"&amp;B745),"")</f>
        <v>48</v>
      </c>
      <c r="AB745" s="11" t="b">
        <f aca="false">OR(D745=WF_START_PERIOD,D745=WF_END_PERIOD)</f>
        <v>1</v>
      </c>
      <c r="AC745" s="0" t="str">
        <f aca="false">B745&amp;"|"&amp;D745</f>
        <v>59176|20250630</v>
      </c>
    </row>
    <row r="746" customFormat="false" ht="15" hidden="false" customHeight="false" outlineLevel="0" collapsed="false">
      <c r="A746" s="0" t="n">
        <f aca="false">RawFinancials!A746</f>
        <v>743</v>
      </c>
      <c r="B746" s="0" t="n">
        <f aca="false">RawFinancials!C746</f>
        <v>59289</v>
      </c>
      <c r="C746" s="0" t="str">
        <f aca="false">RawFinancials!P746</f>
        <v>WALDEN MUTUAL BANK</v>
      </c>
      <c r="D746" s="0" t="n">
        <f aca="false">RawFinancials!W746</f>
        <v>20250630</v>
      </c>
      <c r="E746" s="0" t="str">
        <f aca="false">RawFinancials!Z746</f>
        <v>NH</v>
      </c>
      <c r="F746" s="0" t="n">
        <f aca="false">RawFinancials!B746</f>
        <v>145991</v>
      </c>
      <c r="G746" s="0" t="n">
        <f aca="false">RawFinancials!U746</f>
        <v>0</v>
      </c>
      <c r="H746" s="0" t="n">
        <f aca="false">RawFinancials!O746</f>
        <v>2835</v>
      </c>
      <c r="I746" s="0" t="n">
        <f aca="false">IF(AND(ISNUMBER(G746),ISNUMBER(H746)),G746+H746,"")</f>
        <v>2835</v>
      </c>
      <c r="J746" s="0" t="n">
        <f aca="false">RawFinancials!D746</f>
        <v>129078</v>
      </c>
      <c r="K746" s="0" t="n">
        <f aca="false">RawFinancials!F746</f>
        <v>15698</v>
      </c>
      <c r="L746" s="0" t="n">
        <f aca="false">RawFinancials!L746</f>
        <v>106204</v>
      </c>
      <c r="M746" s="0" t="n">
        <f aca="false">RawFinancials!N746</f>
        <v>38420</v>
      </c>
      <c r="N746" s="13" t="n">
        <f aca="false">RawFinancials!X746</f>
        <v>-0.239988600541474</v>
      </c>
      <c r="O746" s="13" t="n">
        <f aca="false">RawFinancials!V746</f>
        <v>0</v>
      </c>
      <c r="P746" s="13" t="n">
        <f aca="false">IF(AND(ISNUMBER(L746),L746&lt;&gt;0,ISNUMBER(M746)),100*M746/L746,"")</f>
        <v>36.1756619336372</v>
      </c>
      <c r="Q746" s="13" t="n">
        <f aca="false">IF(AND(ISNUMBER(F746),F746&lt;&gt;0,ISNUMBER(K746)),100*K746/F746,"")</f>
        <v>10.7527176332788</v>
      </c>
      <c r="R746" s="11" t="b">
        <f aca="false">AND(ISNUMBER(F746),F746&gt;0,ISNUMBER(G746),G746&gt;=0,ISNUMBER(H746),H746&gt;=0)</f>
        <v>1</v>
      </c>
      <c r="S746" s="13" t="n">
        <f aca="false">IF(R746,100*I746/F746,"")</f>
        <v>1.94190052811475</v>
      </c>
      <c r="T746" s="11" t="b">
        <f aca="false">NOT(AND(OR(AND(ISBLANK(RawFinancials!B746),ISBLANK(_RawBaseline!B743)),AND(ISNUMBER(RawFinancials!B746),ISNUMBER(_RawBaseline!B743),RawFinancials!B746=_RawBaseline!B743)),OR(AND(ISBLANK(RawFinancials!U746),ISBLANK(_RawBaseline!U743)),AND(ISNUMBER(RawFinancials!U746),ISNUMBER(_RawBaseline!U743),RawFinancials!U746=_RawBaseline!U743)),OR(AND(ISBLANK(RawFinancials!O746),ISBLANK(_RawBaseline!O743)),AND(ISNUMBER(RawFinancials!O746),ISNUMBER(_RawBaseline!O743),RawFinancials!O746=_RawBaseline!O743))))</f>
        <v>0</v>
      </c>
      <c r="U746" s="13" t="n">
        <f aca="false">IF(AND(D746=WF_START_PERIOD,R746,COUNTIFS($B$5:$B$750,B746,$D$5:$D$750,WF_END_PERIOD,$R$5:$R$750,TRUE())&gt;0),SUMIFS($S$5:$S$750,$B$5:$B$750,B746,$D$5:$D$750,WF_END_PERIOD,$R$5:$R$750,TRUE()),0)</f>
        <v>0</v>
      </c>
      <c r="V746" s="0" t="str">
        <f aca="false">IF(AND(D746=WF_START_PERIOD,COUNTIFS($B$5:$B$750,B746,$D$5:$D$750,WF_END_PERIOD)&gt;0),INDEX($E$5:$E$750,MATCH(B746&amp;"|"&amp;WF_END_PERIOD,$AC$5:$AC$750,0)),"")</f>
        <v/>
      </c>
      <c r="W746" s="11" t="b">
        <f aca="false">COUNTIFS($B$5:$B$750,B746,$D$5:$D$750,WF_START_PERIOD,$R$5:$R$750,TRUE())&gt;0</f>
        <v>1</v>
      </c>
      <c r="X746" s="11" t="b">
        <f aca="false">COUNTIFS($B$5:$B$750,B746,$D$5:$D$750,WF_END_PERIOD,$R$5:$R$750,TRUE())&gt;0</f>
        <v>1</v>
      </c>
      <c r="Y746" s="0" t="str">
        <f aca="false">IF(AND(D746=WF_END_PERIOD,COUNTIFS($B$5:$B$750,B746,$D$5:$D$750,WF_START_PERIOD)&gt;0),INDEX($E$5:$E$750,MATCH(B746&amp;"|"&amp;WF_START_PERIOD,$AC$5:$AC$750,0)),"")</f>
        <v>NH</v>
      </c>
      <c r="Z746" s="0" t="n">
        <f aca="false">IF(AND(D746=WF_END_PERIOD,R746),1+COUNTIFS($D$5:$D$750,WF_END_PERIOD,$E$5:$E$750,E746,$R$5:$R$750,TRUE(),$S$5:$S$750,"&gt;"&amp;S746)+COUNTIFS($D$5:$D$750,WF_END_PERIOD,$E$5:$E$750,E746,$R$5:$R$750,TRUE(),$S$5:$S$750,S746,$B$5:$B$750,"&lt;"&amp;B746),"")</f>
        <v>1</v>
      </c>
      <c r="AA746" s="0" t="str">
        <f aca="false">IF(AND(D746=WF_END_PERIOD,R746,Z746&lt;&gt;1),1+COUNTIFS($D$5:$D$750,WF_END_PERIOD,$R$5:$R$750,TRUE(),$Z$5:$Z$750,"&lt;&gt;1",$S$5:$S$750,"&gt;"&amp;S746)+COUNTIFS($D$5:$D$750,WF_END_PERIOD,$R$5:$R$750,TRUE(),$Z$5:$Z$750,"&lt;&gt;1",$S$5:$S$750,S746,$B$5:$B$750,"&lt;"&amp;B746),"")</f>
        <v/>
      </c>
      <c r="AB746" s="11" t="b">
        <f aca="false">OR(D746=WF_START_PERIOD,D746=WF_END_PERIOD)</f>
        <v>1</v>
      </c>
      <c r="AC746" s="0" t="str">
        <f aca="false">B746&amp;"|"&amp;D746</f>
        <v>59289|20250630</v>
      </c>
    </row>
    <row r="747" customFormat="false" ht="15" hidden="false" customHeight="false" outlineLevel="0" collapsed="false">
      <c r="A747" s="0" t="n">
        <f aca="false">RawFinancials!A747</f>
        <v>744</v>
      </c>
      <c r="B747" s="0" t="n">
        <f aca="false">RawFinancials!C747</f>
        <v>59298</v>
      </c>
      <c r="C747" s="0" t="str">
        <f aca="false">RawFinancials!P747</f>
        <v>BANK OF BURLINGTON</v>
      </c>
      <c r="D747" s="0" t="n">
        <f aca="false">RawFinancials!W747</f>
        <v>20250630</v>
      </c>
      <c r="E747" s="0" t="str">
        <f aca="false">RawFinancials!Z747</f>
        <v>VT</v>
      </c>
      <c r="F747" s="0" t="n">
        <f aca="false">RawFinancials!B747</f>
        <v>269483</v>
      </c>
      <c r="G747" s="0" t="n">
        <f aca="false">RawFinancials!U747</f>
        <v>0</v>
      </c>
      <c r="H747" s="0" t="n">
        <f aca="false">RawFinancials!O747</f>
        <v>0</v>
      </c>
      <c r="I747" s="0" t="n">
        <f aca="false">IF(AND(ISNUMBER(G747),ISNUMBER(H747)),G747+H747,"")</f>
        <v>0</v>
      </c>
      <c r="J747" s="0" t="n">
        <f aca="false">RawFinancials!D747</f>
        <v>242655</v>
      </c>
      <c r="K747" s="0" t="n">
        <f aca="false">RawFinancials!F747</f>
        <v>25838</v>
      </c>
      <c r="L747" s="0" t="n">
        <f aca="false">RawFinancials!L747</f>
        <v>150271</v>
      </c>
      <c r="M747" s="0" t="n">
        <f aca="false">RawFinancials!N747</f>
        <v>114258</v>
      </c>
      <c r="N747" s="13" t="n">
        <f aca="false">RawFinancials!X747</f>
        <v>0.0611768333776824</v>
      </c>
      <c r="O747" s="13" t="n">
        <f aca="false">RawFinancials!V747</f>
        <v>16.8779498144312</v>
      </c>
      <c r="P747" s="13" t="n">
        <f aca="false">IF(AND(ISNUMBER(L747),L747&lt;&gt;0,ISNUMBER(M747)),100*M747/L747,"")</f>
        <v>76.0346307670808</v>
      </c>
      <c r="Q747" s="13" t="n">
        <f aca="false">IF(AND(ISNUMBER(F747),F747&lt;&gt;0,ISNUMBER(K747)),100*K747/F747,"")</f>
        <v>9.58798885272912</v>
      </c>
      <c r="R747" s="11" t="b">
        <f aca="false">AND(ISNUMBER(F747),F747&gt;0,ISNUMBER(G747),G747&gt;=0,ISNUMBER(H747),H747&gt;=0)</f>
        <v>1</v>
      </c>
      <c r="S747" s="13" t="n">
        <f aca="false">IF(R747,100*I747/F747,"")</f>
        <v>0</v>
      </c>
      <c r="T747" s="11" t="b">
        <f aca="false">NOT(AND(OR(AND(ISBLANK(RawFinancials!B747),ISBLANK(_RawBaseline!B744)),AND(ISNUMBER(RawFinancials!B747),ISNUMBER(_RawBaseline!B744),RawFinancials!B747=_RawBaseline!B744)),OR(AND(ISBLANK(RawFinancials!U747),ISBLANK(_RawBaseline!U744)),AND(ISNUMBER(RawFinancials!U747),ISNUMBER(_RawBaseline!U744),RawFinancials!U747=_RawBaseline!U744)),OR(AND(ISBLANK(RawFinancials!O747),ISBLANK(_RawBaseline!O744)),AND(ISNUMBER(RawFinancials!O747),ISNUMBER(_RawBaseline!O744),RawFinancials!O747=_RawBaseline!O744))))</f>
        <v>0</v>
      </c>
      <c r="U747" s="13" t="n">
        <f aca="false">IF(AND(D747=WF_START_PERIOD,R747,COUNTIFS($B$5:$B$750,B747,$D$5:$D$750,WF_END_PERIOD,$R$5:$R$750,TRUE())&gt;0),SUMIFS($S$5:$S$750,$B$5:$B$750,B747,$D$5:$D$750,WF_END_PERIOD,$R$5:$R$750,TRUE()),0)</f>
        <v>0</v>
      </c>
      <c r="V747" s="0" t="str">
        <f aca="false">IF(AND(D747=WF_START_PERIOD,COUNTIFS($B$5:$B$750,B747,$D$5:$D$750,WF_END_PERIOD)&gt;0),INDEX($E$5:$E$750,MATCH(B747&amp;"|"&amp;WF_END_PERIOD,$AC$5:$AC$750,0)),"")</f>
        <v/>
      </c>
      <c r="W747" s="11" t="b">
        <f aca="false">COUNTIFS($B$5:$B$750,B747,$D$5:$D$750,WF_START_PERIOD,$R$5:$R$750,TRUE())&gt;0</f>
        <v>1</v>
      </c>
      <c r="X747" s="11" t="b">
        <f aca="false">COUNTIFS($B$5:$B$750,B747,$D$5:$D$750,WF_END_PERIOD,$R$5:$R$750,TRUE())&gt;0</f>
        <v>1</v>
      </c>
      <c r="Y747" s="0" t="str">
        <f aca="false">IF(AND(D747=WF_END_PERIOD,COUNTIFS($B$5:$B$750,B747,$D$5:$D$750,WF_START_PERIOD)&gt;0),INDEX($E$5:$E$750,MATCH(B747&amp;"|"&amp;WF_START_PERIOD,$AC$5:$AC$750,0)),"")</f>
        <v>VT</v>
      </c>
      <c r="Z747" s="0" t="n">
        <f aca="false">IF(AND(D747=WF_END_PERIOD,R747),1+COUNTIFS($D$5:$D$750,WF_END_PERIOD,$E$5:$E$750,E747,$R$5:$R$750,TRUE(),$S$5:$S$750,"&gt;"&amp;S747)+COUNTIFS($D$5:$D$750,WF_END_PERIOD,$E$5:$E$750,E747,$R$5:$R$750,TRUE(),$S$5:$S$750,S747,$B$5:$B$750,"&lt;"&amp;B747),"")</f>
        <v>12</v>
      </c>
      <c r="AA747" s="0" t="n">
        <f aca="false">IF(AND(D747=WF_END_PERIOD,R747,Z747&lt;&gt;1),1+COUNTIFS($D$5:$D$750,WF_END_PERIOD,$R$5:$R$750,TRUE(),$Z$5:$Z$750,"&lt;&gt;1",$S$5:$S$750,"&gt;"&amp;S747)+COUNTIFS($D$5:$D$750,WF_END_PERIOD,$R$5:$R$750,TRUE(),$Z$5:$Z$750,"&lt;&gt;1",$S$5:$S$750,S747,$B$5:$B$750,"&lt;"&amp;B747),"")</f>
        <v>49</v>
      </c>
      <c r="AB747" s="11" t="b">
        <f aca="false">OR(D747=WF_START_PERIOD,D747=WF_END_PERIOD)</f>
        <v>1</v>
      </c>
      <c r="AC747" s="0" t="str">
        <f aca="false">B747&amp;"|"&amp;D747</f>
        <v>59298|20250630</v>
      </c>
    </row>
    <row r="748" customFormat="false" ht="15" hidden="false" customHeight="false" outlineLevel="0" collapsed="false">
      <c r="A748" s="0" t="n">
        <f aca="false">RawFinancials!A748</f>
        <v>745</v>
      </c>
      <c r="B748" s="0" t="n">
        <f aca="false">RawFinancials!C748</f>
        <v>6271</v>
      </c>
      <c r="C748" s="0" t="str">
        <f aca="false">RawFinancials!P748</f>
        <v>COMMUNITY NATIONAL BANK</v>
      </c>
      <c r="D748" s="0" t="n">
        <f aca="false">RawFinancials!W748</f>
        <v>20250630</v>
      </c>
      <c r="E748" s="0" t="str">
        <f aca="false">RawFinancials!Z748</f>
        <v>VT</v>
      </c>
      <c r="F748" s="0" t="n">
        <f aca="false">RawFinancials!B748</f>
        <v>1166044</v>
      </c>
      <c r="G748" s="0" t="n">
        <f aca="false">RawFinancials!U748</f>
        <v>557</v>
      </c>
      <c r="H748" s="0" t="n">
        <f aca="false">RawFinancials!O748</f>
        <v>8674</v>
      </c>
      <c r="I748" s="0" t="n">
        <f aca="false">IF(AND(ISNUMBER(G748),ISNUMBER(H748)),G748+H748,"")</f>
        <v>9231</v>
      </c>
      <c r="J748" s="0" t="n">
        <f aca="false">RawFinancials!D748</f>
        <v>934460</v>
      </c>
      <c r="K748" s="0" t="n">
        <f aca="false">RawFinancials!F748</f>
        <v>118181</v>
      </c>
      <c r="L748" s="0" t="n">
        <f aca="false">RawFinancials!L748</f>
        <v>943328</v>
      </c>
      <c r="M748" s="0" t="n">
        <f aca="false">RawFinancials!N748</f>
        <v>758237</v>
      </c>
      <c r="N748" s="13" t="n">
        <f aca="false">RawFinancials!X748</f>
        <v>1.3603757386888</v>
      </c>
      <c r="O748" s="13" t="n">
        <f aca="false">RawFinancials!V748</f>
        <v>14.8461580612902</v>
      </c>
      <c r="P748" s="13" t="n">
        <f aca="false">IF(AND(ISNUMBER(L748),L748&lt;&gt;0,ISNUMBER(M748)),100*M748/L748,"")</f>
        <v>80.3789350045795</v>
      </c>
      <c r="Q748" s="13" t="n">
        <f aca="false">IF(AND(ISNUMBER(F748),F748&lt;&gt;0,ISNUMBER(K748)),100*K748/F748,"")</f>
        <v>10.1352093059953</v>
      </c>
      <c r="R748" s="11" t="b">
        <f aca="false">AND(ISNUMBER(F748),F748&gt;0,ISNUMBER(G748),G748&gt;=0,ISNUMBER(H748),H748&gt;=0)</f>
        <v>1</v>
      </c>
      <c r="S748" s="13" t="n">
        <f aca="false">IF(R748,100*I748/F748,"")</f>
        <v>0.791651086922964</v>
      </c>
      <c r="T748" s="11" t="b">
        <f aca="false">NOT(AND(OR(AND(ISBLANK(RawFinancials!B748),ISBLANK(_RawBaseline!B745)),AND(ISNUMBER(RawFinancials!B748),ISNUMBER(_RawBaseline!B745),RawFinancials!B748=_RawBaseline!B745)),OR(AND(ISBLANK(RawFinancials!U748),ISBLANK(_RawBaseline!U745)),AND(ISNUMBER(RawFinancials!U748),ISNUMBER(_RawBaseline!U745),RawFinancials!U748=_RawBaseline!U745)),OR(AND(ISBLANK(RawFinancials!O748),ISBLANK(_RawBaseline!O745)),AND(ISNUMBER(RawFinancials!O748),ISNUMBER(_RawBaseline!O745),RawFinancials!O748=_RawBaseline!O745))))</f>
        <v>0</v>
      </c>
      <c r="U748" s="13" t="n">
        <f aca="false">IF(AND(D748=WF_START_PERIOD,R748,COUNTIFS($B$5:$B$750,B748,$D$5:$D$750,WF_END_PERIOD,$R$5:$R$750,TRUE())&gt;0),SUMIFS($S$5:$S$750,$B$5:$B$750,B748,$D$5:$D$750,WF_END_PERIOD,$R$5:$R$750,TRUE()),0)</f>
        <v>0</v>
      </c>
      <c r="V748" s="0" t="str">
        <f aca="false">IF(AND(D748=WF_START_PERIOD,COUNTIFS($B$5:$B$750,B748,$D$5:$D$750,WF_END_PERIOD)&gt;0),INDEX($E$5:$E$750,MATCH(B748&amp;"|"&amp;WF_END_PERIOD,$AC$5:$AC$750,0)),"")</f>
        <v/>
      </c>
      <c r="W748" s="11" t="b">
        <f aca="false">COUNTIFS($B$5:$B$750,B748,$D$5:$D$750,WF_START_PERIOD,$R$5:$R$750,TRUE())&gt;0</f>
        <v>1</v>
      </c>
      <c r="X748" s="11" t="b">
        <f aca="false">COUNTIFS($B$5:$B$750,B748,$D$5:$D$750,WF_END_PERIOD,$R$5:$R$750,TRUE())&gt;0</f>
        <v>1</v>
      </c>
      <c r="Y748" s="0" t="str">
        <f aca="false">IF(AND(D748=WF_END_PERIOD,COUNTIFS($B$5:$B$750,B748,$D$5:$D$750,WF_START_PERIOD)&gt;0),INDEX($E$5:$E$750,MATCH(B748&amp;"|"&amp;WF_START_PERIOD,$AC$5:$AC$750,0)),"")</f>
        <v>VT</v>
      </c>
      <c r="Z748" s="0" t="n">
        <f aca="false">IF(AND(D748=WF_END_PERIOD,R748),1+COUNTIFS($D$5:$D$750,WF_END_PERIOD,$E$5:$E$750,E748,$R$5:$R$750,TRUE(),$S$5:$S$750,"&gt;"&amp;S748)+COUNTIFS($D$5:$D$750,WF_END_PERIOD,$E$5:$E$750,E748,$R$5:$R$750,TRUE(),$S$5:$S$750,S748,$B$5:$B$750,"&lt;"&amp;B748),"")</f>
        <v>3</v>
      </c>
      <c r="AA748" s="0" t="n">
        <f aca="false">IF(AND(D748=WF_END_PERIOD,R748,Z748&lt;&gt;1),1+COUNTIFS($D$5:$D$750,WF_END_PERIOD,$R$5:$R$750,TRUE(),$Z$5:$Z$750,"&lt;&gt;1",$S$5:$S$750,"&gt;"&amp;S748)+COUNTIFS($D$5:$D$750,WF_END_PERIOD,$R$5:$R$750,TRUE(),$Z$5:$Z$750,"&lt;&gt;1",$S$5:$S$750,S748,$B$5:$B$750,"&lt;"&amp;B748),"")</f>
        <v>6</v>
      </c>
      <c r="AB748" s="11" t="b">
        <f aca="false">OR(D748=WF_START_PERIOD,D748=WF_END_PERIOD)</f>
        <v>1</v>
      </c>
      <c r="AC748" s="0" t="str">
        <f aca="false">B748&amp;"|"&amp;D748</f>
        <v>6271|20250630</v>
      </c>
    </row>
    <row r="749" customFormat="false" ht="15" hidden="false" customHeight="false" outlineLevel="0" collapsed="false">
      <c r="A749" s="0" t="n">
        <f aca="false">RawFinancials!A749</f>
        <v>746</v>
      </c>
      <c r="B749" s="0" t="n">
        <f aca="false">RawFinancials!C749</f>
        <v>6275</v>
      </c>
      <c r="C749" s="0" t="str">
        <f aca="false">RawFinancials!P749</f>
        <v>THE NATIONAL BANK OF MIDDLEBURY</v>
      </c>
      <c r="D749" s="0" t="n">
        <f aca="false">RawFinancials!W749</f>
        <v>20250630</v>
      </c>
      <c r="E749" s="0" t="str">
        <f aca="false">RawFinancials!Z749</f>
        <v>VT</v>
      </c>
      <c r="F749" s="0" t="n">
        <f aca="false">RawFinancials!B749</f>
        <v>552605</v>
      </c>
      <c r="G749" s="0" t="n">
        <f aca="false">RawFinancials!U749</f>
        <v>0</v>
      </c>
      <c r="H749" s="0" t="n">
        <f aca="false">RawFinancials!O749</f>
        <v>652</v>
      </c>
      <c r="I749" s="0" t="n">
        <f aca="false">IF(AND(ISNUMBER(G749),ISNUMBER(H749)),G749+H749,"")</f>
        <v>652</v>
      </c>
      <c r="J749" s="0" t="n">
        <f aca="false">RawFinancials!D749</f>
        <v>506456</v>
      </c>
      <c r="K749" s="0" t="n">
        <f aca="false">RawFinancials!F749</f>
        <v>38291</v>
      </c>
      <c r="L749" s="0" t="n">
        <f aca="false">RawFinancials!L749</f>
        <v>349565</v>
      </c>
      <c r="M749" s="0" t="n">
        <f aca="false">RawFinancials!N749</f>
        <v>299164</v>
      </c>
      <c r="N749" s="13" t="n">
        <f aca="false">RawFinancials!X749</f>
        <v>0.80927276534914</v>
      </c>
      <c r="O749" s="13" t="n">
        <f aca="false">RawFinancials!V749</f>
        <v>15.9807175065868</v>
      </c>
      <c r="P749" s="13" t="n">
        <f aca="false">IF(AND(ISNUMBER(L749),L749&lt;&gt;0,ISNUMBER(M749)),100*M749/L749,"")</f>
        <v>85.5817945160414</v>
      </c>
      <c r="Q749" s="13" t="n">
        <f aca="false">IF(AND(ISNUMBER(F749),F749&lt;&gt;0,ISNUMBER(K749)),100*K749/F749,"")</f>
        <v>6.92918087965183</v>
      </c>
      <c r="R749" s="11" t="b">
        <f aca="false">AND(ISNUMBER(F749),F749&gt;0,ISNUMBER(G749),G749&gt;=0,ISNUMBER(H749),H749&gt;=0)</f>
        <v>1</v>
      </c>
      <c r="S749" s="13" t="n">
        <f aca="false">IF(R749,100*I749/F749,"")</f>
        <v>0.117986626975869</v>
      </c>
      <c r="T749" s="11" t="b">
        <f aca="false">NOT(AND(OR(AND(ISBLANK(RawFinancials!B749),ISBLANK(_RawBaseline!B746)),AND(ISNUMBER(RawFinancials!B749),ISNUMBER(_RawBaseline!B746),RawFinancials!B749=_RawBaseline!B746)),OR(AND(ISBLANK(RawFinancials!U749),ISBLANK(_RawBaseline!U746)),AND(ISNUMBER(RawFinancials!U749),ISNUMBER(_RawBaseline!U746),RawFinancials!U749=_RawBaseline!U746)),OR(AND(ISBLANK(RawFinancials!O749),ISBLANK(_RawBaseline!O746)),AND(ISNUMBER(RawFinancials!O749),ISNUMBER(_RawBaseline!O746),RawFinancials!O749=_RawBaseline!O746))))</f>
        <v>0</v>
      </c>
      <c r="U749" s="13" t="n">
        <f aca="false">IF(AND(D749=WF_START_PERIOD,R749,COUNTIFS($B$5:$B$750,B749,$D$5:$D$750,WF_END_PERIOD,$R$5:$R$750,TRUE())&gt;0),SUMIFS($S$5:$S$750,$B$5:$B$750,B749,$D$5:$D$750,WF_END_PERIOD,$R$5:$R$750,TRUE()),0)</f>
        <v>0</v>
      </c>
      <c r="V749" s="0" t="str">
        <f aca="false">IF(AND(D749=WF_START_PERIOD,COUNTIFS($B$5:$B$750,B749,$D$5:$D$750,WF_END_PERIOD)&gt;0),INDEX($E$5:$E$750,MATCH(B749&amp;"|"&amp;WF_END_PERIOD,$AC$5:$AC$750,0)),"")</f>
        <v/>
      </c>
      <c r="W749" s="11" t="b">
        <f aca="false">COUNTIFS($B$5:$B$750,B749,$D$5:$D$750,WF_START_PERIOD,$R$5:$R$750,TRUE())&gt;0</f>
        <v>1</v>
      </c>
      <c r="X749" s="11" t="b">
        <f aca="false">COUNTIFS($B$5:$B$750,B749,$D$5:$D$750,WF_END_PERIOD,$R$5:$R$750,TRUE())&gt;0</f>
        <v>1</v>
      </c>
      <c r="Y749" s="0" t="str">
        <f aca="false">IF(AND(D749=WF_END_PERIOD,COUNTIFS($B$5:$B$750,B749,$D$5:$D$750,WF_START_PERIOD)&gt;0),INDEX($E$5:$E$750,MATCH(B749&amp;"|"&amp;WF_START_PERIOD,$AC$5:$AC$750,0)),"")</f>
        <v>VT</v>
      </c>
      <c r="Z749" s="0" t="n">
        <f aca="false">IF(AND(D749=WF_END_PERIOD,R749),1+COUNTIFS($D$5:$D$750,WF_END_PERIOD,$E$5:$E$750,E749,$R$5:$R$750,TRUE(),$S$5:$S$750,"&gt;"&amp;S749)+COUNTIFS($D$5:$D$750,WF_END_PERIOD,$E$5:$E$750,E749,$R$5:$R$750,TRUE(),$S$5:$S$750,S749,$B$5:$B$750,"&lt;"&amp;B749),"")</f>
        <v>10</v>
      </c>
      <c r="AA749" s="0" t="n">
        <f aca="false">IF(AND(D749=WF_END_PERIOD,R749,Z749&lt;&gt;1),1+COUNTIFS($D$5:$D$750,WF_END_PERIOD,$R$5:$R$750,TRUE(),$Z$5:$Z$750,"&lt;&gt;1",$S$5:$S$750,"&gt;"&amp;S749)+COUNTIFS($D$5:$D$750,WF_END_PERIOD,$R$5:$R$750,TRUE(),$Z$5:$Z$750,"&lt;&gt;1",$S$5:$S$750,S749,$B$5:$B$750,"&lt;"&amp;B749),"")</f>
        <v>34</v>
      </c>
      <c r="AB749" s="11" t="b">
        <f aca="false">OR(D749=WF_START_PERIOD,D749=WF_END_PERIOD)</f>
        <v>1</v>
      </c>
      <c r="AC749" s="0" t="str">
        <f aca="false">B749&amp;"|"&amp;D749</f>
        <v>6275|20250630</v>
      </c>
    </row>
    <row r="750" customFormat="false" ht="15" hidden="false" customHeight="false" outlineLevel="0" collapsed="false">
      <c r="A750" s="0" t="n">
        <f aca="false">RawFinancials!A750</f>
        <v>747</v>
      </c>
      <c r="B750" s="0" t="n">
        <f aca="false">RawFinancials!C750</f>
        <v>6280</v>
      </c>
      <c r="C750" s="0" t="str">
        <f aca="false">RawFinancials!P750</f>
        <v>THE FIRST NATIONAL BANK OF ORWELL</v>
      </c>
      <c r="D750" s="0" t="n">
        <f aca="false">RawFinancials!W750</f>
        <v>20250630</v>
      </c>
      <c r="E750" s="0" t="str">
        <f aca="false">RawFinancials!Z750</f>
        <v>VT</v>
      </c>
      <c r="F750" s="0" t="n">
        <f aca="false">RawFinancials!B750</f>
        <v>87770</v>
      </c>
      <c r="G750" s="0" t="n">
        <f aca="false">RawFinancials!U750</f>
        <v>0</v>
      </c>
      <c r="H750" s="0" t="n">
        <f aca="false">RawFinancials!O750</f>
        <v>1455</v>
      </c>
      <c r="I750" s="0" t="n">
        <f aca="false">IF(AND(ISNUMBER(G750),ISNUMBER(H750)),G750+H750,"")</f>
        <v>1455</v>
      </c>
      <c r="J750" s="0" t="n">
        <f aca="false">RawFinancials!D750</f>
        <v>77256</v>
      </c>
      <c r="K750" s="0" t="n">
        <f aca="false">RawFinancials!F750</f>
        <v>9949</v>
      </c>
      <c r="L750" s="0" t="n">
        <f aca="false">RawFinancials!L750</f>
        <v>73100</v>
      </c>
      <c r="M750" s="0" t="n">
        <f aca="false">RawFinancials!N750</f>
        <v>64947</v>
      </c>
      <c r="N750" s="13" t="n">
        <f aca="false">RawFinancials!X750</f>
        <v>1.36654026169246</v>
      </c>
      <c r="O750" s="13" t="n">
        <f aca="false">RawFinancials!V750</f>
        <v>0</v>
      </c>
      <c r="P750" s="13" t="n">
        <f aca="false">IF(AND(ISNUMBER(L750),L750&lt;&gt;0,ISNUMBER(M750)),100*M750/L750,"")</f>
        <v>88.8467852257182</v>
      </c>
      <c r="Q750" s="13" t="n">
        <f aca="false">IF(AND(ISNUMBER(F750),F750&lt;&gt;0,ISNUMBER(K750)),100*K750/F750,"")</f>
        <v>11.3353081918651</v>
      </c>
      <c r="R750" s="11" t="b">
        <f aca="false">AND(ISNUMBER(F750),F750&gt;0,ISNUMBER(G750),G750&gt;=0,ISNUMBER(H750),H750&gt;=0)</f>
        <v>1</v>
      </c>
      <c r="S750" s="13" t="n">
        <f aca="false">IF(R750,100*I750/F750,"")</f>
        <v>1.65774182522502</v>
      </c>
      <c r="T750" s="11" t="b">
        <f aca="false">NOT(AND(OR(AND(ISBLANK(RawFinancials!B750),ISBLANK(_RawBaseline!B747)),AND(ISNUMBER(RawFinancials!B750),ISNUMBER(_RawBaseline!B747),RawFinancials!B750=_RawBaseline!B747)),OR(AND(ISBLANK(RawFinancials!U750),ISBLANK(_RawBaseline!U747)),AND(ISNUMBER(RawFinancials!U750),ISNUMBER(_RawBaseline!U747),RawFinancials!U750=_RawBaseline!U747)),OR(AND(ISBLANK(RawFinancials!O750),ISBLANK(_RawBaseline!O747)),AND(ISNUMBER(RawFinancials!O750),ISNUMBER(_RawBaseline!O747),RawFinancials!O750=_RawBaseline!O747))))</f>
        <v>0</v>
      </c>
      <c r="U750" s="13" t="n">
        <f aca="false">IF(AND(D750=WF_START_PERIOD,R750,COUNTIFS($B$5:$B$750,B750,$D$5:$D$750,WF_END_PERIOD,$R$5:$R$750,TRUE())&gt;0),SUMIFS($S$5:$S$750,$B$5:$B$750,B750,$D$5:$D$750,WF_END_PERIOD,$R$5:$R$750,TRUE()),0)</f>
        <v>0</v>
      </c>
      <c r="V750" s="0" t="str">
        <f aca="false">IF(AND(D750=WF_START_PERIOD,COUNTIFS($B$5:$B$750,B750,$D$5:$D$750,WF_END_PERIOD)&gt;0),INDEX($E$5:$E$750,MATCH(B750&amp;"|"&amp;WF_END_PERIOD,$AC$5:$AC$750,0)),"")</f>
        <v/>
      </c>
      <c r="W750" s="11" t="b">
        <f aca="false">COUNTIFS($B$5:$B$750,B750,$D$5:$D$750,WF_START_PERIOD,$R$5:$R$750,TRUE())&gt;0</f>
        <v>1</v>
      </c>
      <c r="X750" s="11" t="b">
        <f aca="false">COUNTIFS($B$5:$B$750,B750,$D$5:$D$750,WF_END_PERIOD,$R$5:$R$750,TRUE())&gt;0</f>
        <v>1</v>
      </c>
      <c r="Y750" s="0" t="str">
        <f aca="false">IF(AND(D750=WF_END_PERIOD,COUNTIFS($B$5:$B$750,B750,$D$5:$D$750,WF_START_PERIOD)&gt;0),INDEX($E$5:$E$750,MATCH(B750&amp;"|"&amp;WF_START_PERIOD,$AC$5:$AC$750,0)),"")</f>
        <v>VT</v>
      </c>
      <c r="Z750" s="0" t="n">
        <f aca="false">IF(AND(D750=WF_END_PERIOD,R750),1+COUNTIFS($D$5:$D$750,WF_END_PERIOD,$E$5:$E$750,E750,$R$5:$R$750,TRUE(),$S$5:$S$750,"&gt;"&amp;S750)+COUNTIFS($D$5:$D$750,WF_END_PERIOD,$E$5:$E$750,E750,$R$5:$R$750,TRUE(),$S$5:$S$750,S750,$B$5:$B$750,"&lt;"&amp;B750),"")</f>
        <v>1</v>
      </c>
      <c r="AA750" s="0" t="str">
        <f aca="false">IF(AND(D750=WF_END_PERIOD,R750,Z750&lt;&gt;1),1+COUNTIFS($D$5:$D$750,WF_END_PERIOD,$R$5:$R$750,TRUE(),$Z$5:$Z$750,"&lt;&gt;1",$S$5:$S$750,"&gt;"&amp;S750)+COUNTIFS($D$5:$D$750,WF_END_PERIOD,$R$5:$R$750,TRUE(),$Z$5:$Z$750,"&lt;&gt;1",$S$5:$S$750,S750,$B$5:$B$750,"&lt;"&amp;B750),"")</f>
        <v/>
      </c>
      <c r="AB750" s="11" t="b">
        <f aca="false">OR(D750=WF_START_PERIOD,D750=WF_END_PERIOD)</f>
        <v>1</v>
      </c>
      <c r="AC750" s="0" t="str">
        <f aca="false">B750&amp;"|"&amp;D750</f>
        <v>6280|20250630</v>
      </c>
    </row>
  </sheetData>
  <autoFilter ref="A4:AC750"/>
  <mergeCells count="2">
    <mergeCell ref="A1:AC1"/>
    <mergeCell ref="A2:AC2"/>
  </mergeCells>
  <conditionalFormatting sqref="T5:T750">
    <cfRule type="expression" priority="2" aboveAverage="0" equalAverage="0" bottom="0" percent="0" rank="0" text="" dxfId="5">
      <formula>T5=1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6" min="4" style="0" width="10"/>
    <col collapsed="false" customWidth="true" hidden="false" outlineLevel="0" max="7" min="7" style="0" width="22"/>
    <col collapsed="false" customWidth="true" hidden="false" outlineLevel="0" max="11" min="8" style="0" width="18"/>
  </cols>
  <sheetData>
    <row r="1" customFormat="false" ht="27.75" hidden="false" customHeight="true" outlineLevel="0" collapsed="false">
      <c r="A1" s="1" t="s">
        <v>8336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8337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8338</v>
      </c>
      <c r="B4" s="3" t="s">
        <v>8339</v>
      </c>
      <c r="C4" s="3" t="s">
        <v>17</v>
      </c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4" t="s">
        <v>8340</v>
      </c>
      <c r="B5" s="4" t="n">
        <v>746</v>
      </c>
      <c r="C5" s="4" t="s">
        <v>8341</v>
      </c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4" t="s">
        <v>8342</v>
      </c>
      <c r="B6" s="4" t="n">
        <v>25</v>
      </c>
      <c r="C6" s="4" t="s">
        <v>8343</v>
      </c>
      <c r="D6" s="4"/>
      <c r="E6" s="4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4" t="s">
        <v>8344</v>
      </c>
      <c r="B7" s="4" t="n">
        <v>54</v>
      </c>
      <c r="C7" s="4" t="s">
        <v>8345</v>
      </c>
      <c r="D7" s="4"/>
      <c r="E7" s="4"/>
      <c r="F7" s="4"/>
      <c r="G7" s="4"/>
      <c r="H7" s="4"/>
      <c r="I7" s="4"/>
      <c r="J7" s="4"/>
      <c r="K7" s="4"/>
    </row>
    <row r="8" customFormat="false" ht="15" hidden="false" customHeight="false" outlineLevel="0" collapsed="false">
      <c r="A8" s="4" t="s">
        <v>8346</v>
      </c>
      <c r="B8" s="4" t="n">
        <v>14</v>
      </c>
      <c r="C8" s="4" t="s">
        <v>8347</v>
      </c>
      <c r="D8" s="4"/>
      <c r="E8" s="4"/>
      <c r="F8" s="4"/>
      <c r="G8" s="4"/>
      <c r="H8" s="4"/>
      <c r="I8" s="4"/>
      <c r="J8" s="4"/>
      <c r="K8" s="4"/>
    </row>
    <row r="9" customFormat="false" ht="15" hidden="false" customHeight="false" outlineLevel="0" collapsed="false">
      <c r="A9" s="4" t="s">
        <v>8348</v>
      </c>
      <c r="B9" s="4" t="n">
        <v>0</v>
      </c>
      <c r="C9" s="4" t="s">
        <v>8349</v>
      </c>
      <c r="D9" s="4"/>
      <c r="E9" s="4"/>
      <c r="F9" s="4"/>
      <c r="G9" s="4"/>
      <c r="H9" s="4"/>
      <c r="I9" s="4"/>
      <c r="J9" s="4"/>
      <c r="K9" s="4"/>
    </row>
    <row r="10" customFormat="false" ht="15" hidden="false" customHeight="false" outlineLevel="0" collapsed="false">
      <c r="A10" s="4" t="s">
        <v>8350</v>
      </c>
      <c r="B10" s="4" t="n">
        <v>355</v>
      </c>
      <c r="C10" s="4" t="s">
        <v>8351</v>
      </c>
      <c r="D10" s="4"/>
      <c r="E10" s="4"/>
      <c r="F10" s="4"/>
      <c r="G10" s="4"/>
      <c r="H10" s="4"/>
      <c r="I10" s="4"/>
      <c r="J10" s="4"/>
      <c r="K10" s="4"/>
    </row>
    <row r="11" customFormat="false" ht="15" hidden="false" customHeight="false" outlineLevel="0" collapsed="false">
      <c r="A11" s="4" t="s">
        <v>8352</v>
      </c>
      <c r="B11" s="4" t="n">
        <v>0</v>
      </c>
      <c r="C11" s="4" t="s">
        <v>8353</v>
      </c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4" t="s">
        <v>8354</v>
      </c>
      <c r="B12" s="4" t="n">
        <v>746</v>
      </c>
      <c r="C12" s="4" t="s">
        <v>8355</v>
      </c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4" t="s">
        <v>8356</v>
      </c>
      <c r="B13" s="4" t="n">
        <v>0</v>
      </c>
      <c r="C13" s="4" t="s">
        <v>8349</v>
      </c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4" t="s">
        <v>8357</v>
      </c>
      <c r="B14" s="4" t="n">
        <v>301</v>
      </c>
      <c r="C14" s="4" t="s">
        <v>8358</v>
      </c>
      <c r="D14" s="4"/>
      <c r="E14" s="4"/>
      <c r="F14" s="4"/>
      <c r="G14" s="4"/>
      <c r="H14" s="4"/>
      <c r="I14" s="4"/>
      <c r="J14" s="4"/>
      <c r="K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7" t="s">
        <v>8359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customFormat="false" ht="30" hidden="false" customHeight="true" outlineLevel="0" collapsed="false">
      <c r="A18" s="3" t="s">
        <v>43</v>
      </c>
      <c r="B18" s="3" t="s">
        <v>8360</v>
      </c>
      <c r="C18" s="3" t="s">
        <v>8361</v>
      </c>
      <c r="D18" s="3" t="s">
        <v>98</v>
      </c>
      <c r="E18" s="3" t="s">
        <v>158</v>
      </c>
      <c r="F18" s="3" t="s">
        <v>60</v>
      </c>
      <c r="G18" s="3" t="s">
        <v>8362</v>
      </c>
      <c r="H18" s="3" t="s">
        <v>8363</v>
      </c>
      <c r="I18" s="3" t="s">
        <v>8364</v>
      </c>
      <c r="J18" s="3" t="s">
        <v>8365</v>
      </c>
      <c r="K18" s="3" t="s">
        <v>8366</v>
      </c>
    </row>
    <row r="19" customFormat="false" ht="15" hidden="false" customHeight="false" outlineLevel="0" collapsed="false">
      <c r="A19" s="4" t="n">
        <v>20220331</v>
      </c>
      <c r="B19" s="4" t="n">
        <f aca="false">COUNTIF(BankQuarter!$D$5:$D$750,A19)</f>
        <v>51</v>
      </c>
      <c r="C19" s="4" t="n">
        <f aca="false">COUNTIF(BankQuarter!$D$5:$D$750,A19)</f>
        <v>51</v>
      </c>
      <c r="D19" s="4" t="n">
        <f aca="false">COUNTIFS(BankQuarter!$D$5:$D$750,$A19,BankQuarter!$E$5:$E$750,"VT")</f>
        <v>11</v>
      </c>
      <c r="E19" s="4" t="n">
        <f aca="false">COUNTIFS(BankQuarter!$D$5:$D$750,$A19,BankQuarter!$E$5:$E$750,"NH")</f>
        <v>17</v>
      </c>
      <c r="F19" s="4" t="n">
        <f aca="false">COUNTIFS(BankQuarter!$D$5:$D$750,$A19,BankQuarter!$E$5:$E$750,"ME")</f>
        <v>23</v>
      </c>
      <c r="G19" s="4" t="n">
        <f aca="false">54-C19</f>
        <v>3</v>
      </c>
      <c r="H19" s="4" t="n">
        <f aca="false">COUNTIFS(BankQuarter!$D$5:$D$750,$A19,BankQuarter!$F$5:$F$750,"&lt;=0")+COUNTIFS(BankQuarter!$D$5:$D$750,$A19,BankQuarter!$F$5:$F$750,"")</f>
        <v>0</v>
      </c>
      <c r="I19" s="4" t="n">
        <f aca="false">COUNTIFS(BankQuarter!$D$5:$D$750,$A19,BankQuarter!$G$5:$G$750,"")</f>
        <v>0</v>
      </c>
      <c r="J19" s="4" t="n">
        <f aca="false">COUNTIFS(BankQuarter!$D$5:$D$750,$A19,BankQuarter!$H$5:$H$750,"")</f>
        <v>0</v>
      </c>
      <c r="K19" s="4" t="n">
        <f aca="false">COUNTIFS(BankQuarter!$D$5:$D$750,$A19,BankQuarter!$R$5:$R$750,FALSE())</f>
        <v>0</v>
      </c>
    </row>
    <row r="20" customFormat="false" ht="15" hidden="false" customHeight="false" outlineLevel="0" collapsed="false">
      <c r="A20" s="4" t="n">
        <v>20220630</v>
      </c>
      <c r="B20" s="4" t="n">
        <f aca="false">COUNTIF(BankQuarter!$D$5:$D$750,A20)</f>
        <v>52</v>
      </c>
      <c r="C20" s="4" t="n">
        <f aca="false">COUNTIF(BankQuarter!$D$5:$D$750,A20)</f>
        <v>52</v>
      </c>
      <c r="D20" s="4" t="n">
        <f aca="false">COUNTIFS(BankQuarter!$D$5:$D$750,$A20,BankQuarter!$E$5:$E$750,"VT")</f>
        <v>11</v>
      </c>
      <c r="E20" s="4" t="n">
        <f aca="false">COUNTIFS(BankQuarter!$D$5:$D$750,$A20,BankQuarter!$E$5:$E$750,"NH")</f>
        <v>18</v>
      </c>
      <c r="F20" s="4" t="n">
        <f aca="false">COUNTIFS(BankQuarter!$D$5:$D$750,$A20,BankQuarter!$E$5:$E$750,"ME")</f>
        <v>23</v>
      </c>
      <c r="G20" s="4" t="n">
        <f aca="false">54-C20</f>
        <v>2</v>
      </c>
      <c r="H20" s="4" t="n">
        <f aca="false">COUNTIFS(BankQuarter!$D$5:$D$750,$A20,BankQuarter!$F$5:$F$750,"&lt;=0")+COUNTIFS(BankQuarter!$D$5:$D$750,$A20,BankQuarter!$F$5:$F$750,"")</f>
        <v>0</v>
      </c>
      <c r="I20" s="4" t="n">
        <f aca="false">COUNTIFS(BankQuarter!$D$5:$D$750,$A20,BankQuarter!$G$5:$G$750,"")</f>
        <v>0</v>
      </c>
      <c r="J20" s="4" t="n">
        <f aca="false">COUNTIFS(BankQuarter!$D$5:$D$750,$A20,BankQuarter!$H$5:$H$750,"")</f>
        <v>0</v>
      </c>
      <c r="K20" s="4" t="n">
        <f aca="false">COUNTIFS(BankQuarter!$D$5:$D$750,$A20,BankQuarter!$R$5:$R$750,FALSE())</f>
        <v>0</v>
      </c>
    </row>
    <row r="21" customFormat="false" ht="15" hidden="false" customHeight="false" outlineLevel="0" collapsed="false">
      <c r="A21" s="0" t="n">
        <v>20220930</v>
      </c>
      <c r="B21" s="0" t="n">
        <f aca="false">COUNTIF(BankQuarter!$D$5:$D$750,A21)</f>
        <v>53</v>
      </c>
      <c r="C21" s="0" t="n">
        <f aca="false">COUNTIF(BankQuarter!$D$5:$D$750,A21)</f>
        <v>53</v>
      </c>
      <c r="D21" s="0" t="n">
        <f aca="false">COUNTIFS(BankQuarter!$D$5:$D$750,$A21,BankQuarter!$E$5:$E$750,"VT")</f>
        <v>12</v>
      </c>
      <c r="E21" s="0" t="n">
        <f aca="false">COUNTIFS(BankQuarter!$D$5:$D$750,$A21,BankQuarter!$E$5:$E$750,"NH")</f>
        <v>18</v>
      </c>
      <c r="F21" s="0" t="n">
        <f aca="false">COUNTIFS(BankQuarter!$D$5:$D$750,$A21,BankQuarter!$E$5:$E$750,"ME")</f>
        <v>23</v>
      </c>
      <c r="G21" s="0" t="n">
        <f aca="false">54-C21</f>
        <v>1</v>
      </c>
      <c r="H21" s="0" t="n">
        <f aca="false">COUNTIFS(BankQuarter!$D$5:$D$750,$A21,BankQuarter!$F$5:$F$750,"&lt;=0")+COUNTIFS(BankQuarter!$D$5:$D$750,$A21,BankQuarter!$F$5:$F$750,"")</f>
        <v>0</v>
      </c>
      <c r="I21" s="0" t="n">
        <f aca="false">COUNTIFS(BankQuarter!$D$5:$D$750,$A21,BankQuarter!$G$5:$G$750,"")</f>
        <v>0</v>
      </c>
      <c r="J21" s="0" t="n">
        <f aca="false">COUNTIFS(BankQuarter!$D$5:$D$750,$A21,BankQuarter!$H$5:$H$750,"")</f>
        <v>0</v>
      </c>
      <c r="K21" s="0" t="n">
        <f aca="false">COUNTIFS(BankQuarter!$D$5:$D$750,$A21,BankQuarter!$R$5:$R$750,FALSE())</f>
        <v>0</v>
      </c>
    </row>
    <row r="22" customFormat="false" ht="15" hidden="false" customHeight="false" outlineLevel="0" collapsed="false">
      <c r="A22" s="0" t="n">
        <v>20221231</v>
      </c>
      <c r="B22" s="0" t="n">
        <f aca="false">COUNTIF(BankQuarter!$D$5:$D$750,A22)</f>
        <v>54</v>
      </c>
      <c r="C22" s="0" t="n">
        <f aca="false">COUNTIF(BankQuarter!$D$5:$D$750,A22)</f>
        <v>54</v>
      </c>
      <c r="D22" s="0" t="n">
        <f aca="false">COUNTIFS(BankQuarter!$D$5:$D$750,$A22,BankQuarter!$E$5:$E$750,"VT")</f>
        <v>12</v>
      </c>
      <c r="E22" s="0" t="n">
        <f aca="false">COUNTIFS(BankQuarter!$D$5:$D$750,$A22,BankQuarter!$E$5:$E$750,"NH")</f>
        <v>19</v>
      </c>
      <c r="F22" s="0" t="n">
        <f aca="false">COUNTIFS(BankQuarter!$D$5:$D$750,$A22,BankQuarter!$E$5:$E$750,"ME")</f>
        <v>23</v>
      </c>
      <c r="G22" s="0" t="n">
        <f aca="false">54-C22</f>
        <v>0</v>
      </c>
      <c r="H22" s="0" t="n">
        <f aca="false">COUNTIFS(BankQuarter!$D$5:$D$750,$A22,BankQuarter!$F$5:$F$750,"&lt;=0")+COUNTIFS(BankQuarter!$D$5:$D$750,$A22,BankQuarter!$F$5:$F$750,"")</f>
        <v>0</v>
      </c>
      <c r="I22" s="0" t="n">
        <f aca="false">COUNTIFS(BankQuarter!$D$5:$D$750,$A22,BankQuarter!$G$5:$G$750,"")</f>
        <v>0</v>
      </c>
      <c r="J22" s="0" t="n">
        <f aca="false">COUNTIFS(BankQuarter!$D$5:$D$750,$A22,BankQuarter!$H$5:$H$750,"")</f>
        <v>0</v>
      </c>
      <c r="K22" s="0" t="n">
        <f aca="false">COUNTIFS(BankQuarter!$D$5:$D$750,$A22,BankQuarter!$R$5:$R$750,FALSE())</f>
        <v>0</v>
      </c>
    </row>
    <row r="23" customFormat="false" ht="15" hidden="false" customHeight="false" outlineLevel="0" collapsed="false">
      <c r="A23" s="0" t="n">
        <v>20230331</v>
      </c>
      <c r="B23" s="0" t="n">
        <f aca="false">COUNTIF(BankQuarter!$D$5:$D$750,A23)</f>
        <v>54</v>
      </c>
      <c r="C23" s="0" t="n">
        <f aca="false">COUNTIF(BankQuarter!$D$5:$D$750,A23)</f>
        <v>54</v>
      </c>
      <c r="D23" s="0" t="n">
        <f aca="false">COUNTIFS(BankQuarter!$D$5:$D$750,$A23,BankQuarter!$E$5:$E$750,"VT")</f>
        <v>12</v>
      </c>
      <c r="E23" s="0" t="n">
        <f aca="false">COUNTIFS(BankQuarter!$D$5:$D$750,$A23,BankQuarter!$E$5:$E$750,"NH")</f>
        <v>19</v>
      </c>
      <c r="F23" s="0" t="n">
        <f aca="false">COUNTIFS(BankQuarter!$D$5:$D$750,$A23,BankQuarter!$E$5:$E$750,"ME")</f>
        <v>23</v>
      </c>
      <c r="G23" s="0" t="n">
        <f aca="false">54-C23</f>
        <v>0</v>
      </c>
      <c r="H23" s="0" t="n">
        <f aca="false">COUNTIFS(BankQuarter!$D$5:$D$750,$A23,BankQuarter!$F$5:$F$750,"&lt;=0")+COUNTIFS(BankQuarter!$D$5:$D$750,$A23,BankQuarter!$F$5:$F$750,"")</f>
        <v>0</v>
      </c>
      <c r="I23" s="0" t="n">
        <f aca="false">COUNTIFS(BankQuarter!$D$5:$D$750,$A23,BankQuarter!$G$5:$G$750,"")</f>
        <v>0</v>
      </c>
      <c r="J23" s="0" t="n">
        <f aca="false">COUNTIFS(BankQuarter!$D$5:$D$750,$A23,BankQuarter!$H$5:$H$750,"")</f>
        <v>0</v>
      </c>
      <c r="K23" s="0" t="n">
        <f aca="false">COUNTIFS(BankQuarter!$D$5:$D$750,$A23,BankQuarter!$R$5:$R$750,FALSE())</f>
        <v>0</v>
      </c>
    </row>
    <row r="24" customFormat="false" ht="15" hidden="false" customHeight="false" outlineLevel="0" collapsed="false">
      <c r="A24" s="0" t="n">
        <v>20230630</v>
      </c>
      <c r="B24" s="0" t="n">
        <f aca="false">COUNTIF(BankQuarter!$D$5:$D$750,A24)</f>
        <v>54</v>
      </c>
      <c r="C24" s="0" t="n">
        <f aca="false">COUNTIF(BankQuarter!$D$5:$D$750,A24)</f>
        <v>54</v>
      </c>
      <c r="D24" s="0" t="n">
        <f aca="false">COUNTIFS(BankQuarter!$D$5:$D$750,$A24,BankQuarter!$E$5:$E$750,"VT")</f>
        <v>12</v>
      </c>
      <c r="E24" s="0" t="n">
        <f aca="false">COUNTIFS(BankQuarter!$D$5:$D$750,$A24,BankQuarter!$E$5:$E$750,"NH")</f>
        <v>19</v>
      </c>
      <c r="F24" s="0" t="n">
        <f aca="false">COUNTIFS(BankQuarter!$D$5:$D$750,$A24,BankQuarter!$E$5:$E$750,"ME")</f>
        <v>23</v>
      </c>
      <c r="G24" s="0" t="n">
        <f aca="false">54-C24</f>
        <v>0</v>
      </c>
      <c r="H24" s="0" t="n">
        <f aca="false">COUNTIFS(BankQuarter!$D$5:$D$750,$A24,BankQuarter!$F$5:$F$750,"&lt;=0")+COUNTIFS(BankQuarter!$D$5:$D$750,$A24,BankQuarter!$F$5:$F$750,"")</f>
        <v>0</v>
      </c>
      <c r="I24" s="0" t="n">
        <f aca="false">COUNTIFS(BankQuarter!$D$5:$D$750,$A24,BankQuarter!$G$5:$G$750,"")</f>
        <v>0</v>
      </c>
      <c r="J24" s="0" t="n">
        <f aca="false">COUNTIFS(BankQuarter!$D$5:$D$750,$A24,BankQuarter!$H$5:$H$750,"")</f>
        <v>0</v>
      </c>
      <c r="K24" s="0" t="n">
        <f aca="false">COUNTIFS(BankQuarter!$D$5:$D$750,$A24,BankQuarter!$R$5:$R$750,FALSE())</f>
        <v>0</v>
      </c>
    </row>
    <row r="25" customFormat="false" ht="15" hidden="false" customHeight="false" outlineLevel="0" collapsed="false">
      <c r="A25" s="0" t="n">
        <v>20230930</v>
      </c>
      <c r="B25" s="0" t="n">
        <f aca="false">COUNTIF(BankQuarter!$D$5:$D$750,A25)</f>
        <v>54</v>
      </c>
      <c r="C25" s="0" t="n">
        <f aca="false">COUNTIF(BankQuarter!$D$5:$D$750,A25)</f>
        <v>54</v>
      </c>
      <c r="D25" s="0" t="n">
        <f aca="false">COUNTIFS(BankQuarter!$D$5:$D$750,$A25,BankQuarter!$E$5:$E$750,"VT")</f>
        <v>12</v>
      </c>
      <c r="E25" s="0" t="n">
        <f aca="false">COUNTIFS(BankQuarter!$D$5:$D$750,$A25,BankQuarter!$E$5:$E$750,"NH")</f>
        <v>19</v>
      </c>
      <c r="F25" s="0" t="n">
        <f aca="false">COUNTIFS(BankQuarter!$D$5:$D$750,$A25,BankQuarter!$E$5:$E$750,"ME")</f>
        <v>23</v>
      </c>
      <c r="G25" s="0" t="n">
        <f aca="false">54-C25</f>
        <v>0</v>
      </c>
      <c r="H25" s="0" t="n">
        <f aca="false">COUNTIFS(BankQuarter!$D$5:$D$750,$A25,BankQuarter!$F$5:$F$750,"&lt;=0")+COUNTIFS(BankQuarter!$D$5:$D$750,$A25,BankQuarter!$F$5:$F$750,"")</f>
        <v>0</v>
      </c>
      <c r="I25" s="0" t="n">
        <f aca="false">COUNTIFS(BankQuarter!$D$5:$D$750,$A25,BankQuarter!$G$5:$G$750,"")</f>
        <v>0</v>
      </c>
      <c r="J25" s="0" t="n">
        <f aca="false">COUNTIFS(BankQuarter!$D$5:$D$750,$A25,BankQuarter!$H$5:$H$750,"")</f>
        <v>0</v>
      </c>
      <c r="K25" s="0" t="n">
        <f aca="false">COUNTIFS(BankQuarter!$D$5:$D$750,$A25,BankQuarter!$R$5:$R$750,FALSE())</f>
        <v>0</v>
      </c>
    </row>
    <row r="26" customFormat="false" ht="15" hidden="false" customHeight="false" outlineLevel="0" collapsed="false">
      <c r="A26" s="0" t="n">
        <v>20231231</v>
      </c>
      <c r="B26" s="0" t="n">
        <f aca="false">COUNTIF(BankQuarter!$D$5:$D$750,A26)</f>
        <v>54</v>
      </c>
      <c r="C26" s="0" t="n">
        <f aca="false">COUNTIF(BankQuarter!$D$5:$D$750,A26)</f>
        <v>54</v>
      </c>
      <c r="D26" s="0" t="n">
        <f aca="false">COUNTIFS(BankQuarter!$D$5:$D$750,$A26,BankQuarter!$E$5:$E$750,"VT")</f>
        <v>12</v>
      </c>
      <c r="E26" s="0" t="n">
        <f aca="false">COUNTIFS(BankQuarter!$D$5:$D$750,$A26,BankQuarter!$E$5:$E$750,"NH")</f>
        <v>19</v>
      </c>
      <c r="F26" s="0" t="n">
        <f aca="false">COUNTIFS(BankQuarter!$D$5:$D$750,$A26,BankQuarter!$E$5:$E$750,"ME")</f>
        <v>23</v>
      </c>
      <c r="G26" s="0" t="n">
        <f aca="false">54-C26</f>
        <v>0</v>
      </c>
      <c r="H26" s="0" t="n">
        <f aca="false">COUNTIFS(BankQuarter!$D$5:$D$750,$A26,BankQuarter!$F$5:$F$750,"&lt;=0")+COUNTIFS(BankQuarter!$D$5:$D$750,$A26,BankQuarter!$F$5:$F$750,"")</f>
        <v>0</v>
      </c>
      <c r="I26" s="0" t="n">
        <f aca="false">COUNTIFS(BankQuarter!$D$5:$D$750,$A26,BankQuarter!$G$5:$G$750,"")</f>
        <v>0</v>
      </c>
      <c r="J26" s="0" t="n">
        <f aca="false">COUNTIFS(BankQuarter!$D$5:$D$750,$A26,BankQuarter!$H$5:$H$750,"")</f>
        <v>0</v>
      </c>
      <c r="K26" s="0" t="n">
        <f aca="false">COUNTIFS(BankQuarter!$D$5:$D$750,$A26,BankQuarter!$R$5:$R$750,FALSE())</f>
        <v>0</v>
      </c>
    </row>
    <row r="27" customFormat="false" ht="15" hidden="false" customHeight="false" outlineLevel="0" collapsed="false">
      <c r="A27" s="0" t="n">
        <v>20240331</v>
      </c>
      <c r="B27" s="0" t="n">
        <f aca="false">COUNTIF(BankQuarter!$D$5:$D$750,A27)</f>
        <v>54</v>
      </c>
      <c r="C27" s="0" t="n">
        <f aca="false">COUNTIF(BankQuarter!$D$5:$D$750,A27)</f>
        <v>54</v>
      </c>
      <c r="D27" s="0" t="n">
        <f aca="false">COUNTIFS(BankQuarter!$D$5:$D$750,$A27,BankQuarter!$E$5:$E$750,"VT")</f>
        <v>12</v>
      </c>
      <c r="E27" s="0" t="n">
        <f aca="false">COUNTIFS(BankQuarter!$D$5:$D$750,$A27,BankQuarter!$E$5:$E$750,"NH")</f>
        <v>19</v>
      </c>
      <c r="F27" s="0" t="n">
        <f aca="false">COUNTIFS(BankQuarter!$D$5:$D$750,$A27,BankQuarter!$E$5:$E$750,"ME")</f>
        <v>23</v>
      </c>
      <c r="G27" s="0" t="n">
        <f aca="false">54-C27</f>
        <v>0</v>
      </c>
      <c r="H27" s="0" t="n">
        <f aca="false">COUNTIFS(BankQuarter!$D$5:$D$750,$A27,BankQuarter!$F$5:$F$750,"&lt;=0")+COUNTIFS(BankQuarter!$D$5:$D$750,$A27,BankQuarter!$F$5:$F$750,"")</f>
        <v>0</v>
      </c>
      <c r="I27" s="0" t="n">
        <f aca="false">COUNTIFS(BankQuarter!$D$5:$D$750,$A27,BankQuarter!$G$5:$G$750,"")</f>
        <v>0</v>
      </c>
      <c r="J27" s="0" t="n">
        <f aca="false">COUNTIFS(BankQuarter!$D$5:$D$750,$A27,BankQuarter!$H$5:$H$750,"")</f>
        <v>0</v>
      </c>
      <c r="K27" s="0" t="n">
        <f aca="false">COUNTIFS(BankQuarter!$D$5:$D$750,$A27,BankQuarter!$R$5:$R$750,FALSE())</f>
        <v>0</v>
      </c>
    </row>
    <row r="28" customFormat="false" ht="15" hidden="false" customHeight="false" outlineLevel="0" collapsed="false">
      <c r="A28" s="0" t="n">
        <v>20240630</v>
      </c>
      <c r="B28" s="0" t="n">
        <f aca="false">COUNTIF(BankQuarter!$D$5:$D$750,A28)</f>
        <v>54</v>
      </c>
      <c r="C28" s="0" t="n">
        <f aca="false">COUNTIF(BankQuarter!$D$5:$D$750,A28)</f>
        <v>54</v>
      </c>
      <c r="D28" s="0" t="n">
        <f aca="false">COUNTIFS(BankQuarter!$D$5:$D$750,$A28,BankQuarter!$E$5:$E$750,"VT")</f>
        <v>12</v>
      </c>
      <c r="E28" s="0" t="n">
        <f aca="false">COUNTIFS(BankQuarter!$D$5:$D$750,$A28,BankQuarter!$E$5:$E$750,"NH")</f>
        <v>19</v>
      </c>
      <c r="F28" s="0" t="n">
        <f aca="false">COUNTIFS(BankQuarter!$D$5:$D$750,$A28,BankQuarter!$E$5:$E$750,"ME")</f>
        <v>23</v>
      </c>
      <c r="G28" s="0" t="n">
        <f aca="false">54-C28</f>
        <v>0</v>
      </c>
      <c r="H28" s="0" t="n">
        <f aca="false">COUNTIFS(BankQuarter!$D$5:$D$750,$A28,BankQuarter!$F$5:$F$750,"&lt;=0")+COUNTIFS(BankQuarter!$D$5:$D$750,$A28,BankQuarter!$F$5:$F$750,"")</f>
        <v>0</v>
      </c>
      <c r="I28" s="0" t="n">
        <f aca="false">COUNTIFS(BankQuarter!$D$5:$D$750,$A28,BankQuarter!$G$5:$G$750,"")</f>
        <v>0</v>
      </c>
      <c r="J28" s="0" t="n">
        <f aca="false">COUNTIFS(BankQuarter!$D$5:$D$750,$A28,BankQuarter!$H$5:$H$750,"")</f>
        <v>0</v>
      </c>
      <c r="K28" s="0" t="n">
        <f aca="false">COUNTIFS(BankQuarter!$D$5:$D$750,$A28,BankQuarter!$R$5:$R$750,FALSE())</f>
        <v>0</v>
      </c>
    </row>
    <row r="29" customFormat="false" ht="15" hidden="false" customHeight="false" outlineLevel="0" collapsed="false">
      <c r="A29" s="0" t="n">
        <v>20240930</v>
      </c>
      <c r="B29" s="0" t="n">
        <f aca="false">COUNTIF(BankQuarter!$D$5:$D$750,A29)</f>
        <v>54</v>
      </c>
      <c r="C29" s="0" t="n">
        <f aca="false">COUNTIF(BankQuarter!$D$5:$D$750,A29)</f>
        <v>54</v>
      </c>
      <c r="D29" s="0" t="n">
        <f aca="false">COUNTIFS(BankQuarter!$D$5:$D$750,$A29,BankQuarter!$E$5:$E$750,"VT")</f>
        <v>12</v>
      </c>
      <c r="E29" s="0" t="n">
        <f aca="false">COUNTIFS(BankQuarter!$D$5:$D$750,$A29,BankQuarter!$E$5:$E$750,"NH")</f>
        <v>19</v>
      </c>
      <c r="F29" s="0" t="n">
        <f aca="false">COUNTIFS(BankQuarter!$D$5:$D$750,$A29,BankQuarter!$E$5:$E$750,"ME")</f>
        <v>23</v>
      </c>
      <c r="G29" s="0" t="n">
        <f aca="false">54-C29</f>
        <v>0</v>
      </c>
      <c r="H29" s="0" t="n">
        <f aca="false">COUNTIFS(BankQuarter!$D$5:$D$750,$A29,BankQuarter!$F$5:$F$750,"&lt;=0")+COUNTIFS(BankQuarter!$D$5:$D$750,$A29,BankQuarter!$F$5:$F$750,"")</f>
        <v>0</v>
      </c>
      <c r="I29" s="0" t="n">
        <f aca="false">COUNTIFS(BankQuarter!$D$5:$D$750,$A29,BankQuarter!$G$5:$G$750,"")</f>
        <v>0</v>
      </c>
      <c r="J29" s="0" t="n">
        <f aca="false">COUNTIFS(BankQuarter!$D$5:$D$750,$A29,BankQuarter!$H$5:$H$750,"")</f>
        <v>0</v>
      </c>
      <c r="K29" s="0" t="n">
        <f aca="false">COUNTIFS(BankQuarter!$D$5:$D$750,$A29,BankQuarter!$R$5:$R$750,FALSE())</f>
        <v>0</v>
      </c>
    </row>
    <row r="30" customFormat="false" ht="15" hidden="false" customHeight="false" outlineLevel="0" collapsed="false">
      <c r="A30" s="0" t="n">
        <v>20241231</v>
      </c>
      <c r="B30" s="0" t="n">
        <f aca="false">COUNTIF(BankQuarter!$D$5:$D$750,A30)</f>
        <v>54</v>
      </c>
      <c r="C30" s="0" t="n">
        <f aca="false">COUNTIF(BankQuarter!$D$5:$D$750,A30)</f>
        <v>54</v>
      </c>
      <c r="D30" s="0" t="n">
        <f aca="false">COUNTIFS(BankQuarter!$D$5:$D$750,$A30,BankQuarter!$E$5:$E$750,"VT")</f>
        <v>12</v>
      </c>
      <c r="E30" s="0" t="n">
        <f aca="false">COUNTIFS(BankQuarter!$D$5:$D$750,$A30,BankQuarter!$E$5:$E$750,"NH")</f>
        <v>19</v>
      </c>
      <c r="F30" s="0" t="n">
        <f aca="false">COUNTIFS(BankQuarter!$D$5:$D$750,$A30,BankQuarter!$E$5:$E$750,"ME")</f>
        <v>23</v>
      </c>
      <c r="G30" s="0" t="n">
        <f aca="false">54-C30</f>
        <v>0</v>
      </c>
      <c r="H30" s="0" t="n">
        <f aca="false">COUNTIFS(BankQuarter!$D$5:$D$750,$A30,BankQuarter!$F$5:$F$750,"&lt;=0")+COUNTIFS(BankQuarter!$D$5:$D$750,$A30,BankQuarter!$F$5:$F$750,"")</f>
        <v>0</v>
      </c>
      <c r="I30" s="0" t="n">
        <f aca="false">COUNTIFS(BankQuarter!$D$5:$D$750,$A30,BankQuarter!$G$5:$G$750,"")</f>
        <v>0</v>
      </c>
      <c r="J30" s="0" t="n">
        <f aca="false">COUNTIFS(BankQuarter!$D$5:$D$750,$A30,BankQuarter!$H$5:$H$750,"")</f>
        <v>0</v>
      </c>
      <c r="K30" s="0" t="n">
        <f aca="false">COUNTIFS(BankQuarter!$D$5:$D$750,$A30,BankQuarter!$R$5:$R$750,FALSE())</f>
        <v>0</v>
      </c>
    </row>
    <row r="31" customFormat="false" ht="15" hidden="false" customHeight="false" outlineLevel="0" collapsed="false">
      <c r="A31" s="0" t="n">
        <v>20250331</v>
      </c>
      <c r="B31" s="0" t="n">
        <f aca="false">COUNTIF(BankQuarter!$D$5:$D$750,A31)</f>
        <v>52</v>
      </c>
      <c r="C31" s="0" t="n">
        <f aca="false">COUNTIF(BankQuarter!$D$5:$D$750,A31)</f>
        <v>52</v>
      </c>
      <c r="D31" s="0" t="n">
        <f aca="false">COUNTIFS(BankQuarter!$D$5:$D$750,$A31,BankQuarter!$E$5:$E$750,"VT")</f>
        <v>12</v>
      </c>
      <c r="E31" s="0" t="n">
        <f aca="false">COUNTIFS(BankQuarter!$D$5:$D$750,$A31,BankQuarter!$E$5:$E$750,"NH")</f>
        <v>18</v>
      </c>
      <c r="F31" s="0" t="n">
        <f aca="false">COUNTIFS(BankQuarter!$D$5:$D$750,$A31,BankQuarter!$E$5:$E$750,"ME")</f>
        <v>22</v>
      </c>
      <c r="G31" s="0" t="n">
        <f aca="false">54-C31</f>
        <v>2</v>
      </c>
      <c r="H31" s="0" t="n">
        <f aca="false">COUNTIFS(BankQuarter!$D$5:$D$750,$A31,BankQuarter!$F$5:$F$750,"&lt;=0")+COUNTIFS(BankQuarter!$D$5:$D$750,$A31,BankQuarter!$F$5:$F$750,"")</f>
        <v>0</v>
      </c>
      <c r="I31" s="0" t="n">
        <f aca="false">COUNTIFS(BankQuarter!$D$5:$D$750,$A31,BankQuarter!$G$5:$G$750,"")</f>
        <v>0</v>
      </c>
      <c r="J31" s="0" t="n">
        <f aca="false">COUNTIFS(BankQuarter!$D$5:$D$750,$A31,BankQuarter!$H$5:$H$750,"")</f>
        <v>0</v>
      </c>
      <c r="K31" s="0" t="n">
        <f aca="false">COUNTIFS(BankQuarter!$D$5:$D$750,$A31,BankQuarter!$R$5:$R$750,FALSE())</f>
        <v>0</v>
      </c>
    </row>
    <row r="32" customFormat="false" ht="15" hidden="false" customHeight="false" outlineLevel="0" collapsed="false">
      <c r="A32" s="0" t="n">
        <v>20250630</v>
      </c>
      <c r="B32" s="0" t="n">
        <f aca="false">COUNTIF(BankQuarter!$D$5:$D$750,A32)</f>
        <v>52</v>
      </c>
      <c r="C32" s="0" t="n">
        <f aca="false">COUNTIF(BankQuarter!$D$5:$D$750,A32)</f>
        <v>52</v>
      </c>
      <c r="D32" s="0" t="n">
        <f aca="false">COUNTIFS(BankQuarter!$D$5:$D$750,$A32,BankQuarter!$E$5:$E$750,"VT")</f>
        <v>12</v>
      </c>
      <c r="E32" s="0" t="n">
        <f aca="false">COUNTIFS(BankQuarter!$D$5:$D$750,$A32,BankQuarter!$E$5:$E$750,"NH")</f>
        <v>18</v>
      </c>
      <c r="F32" s="0" t="n">
        <f aca="false">COUNTIFS(BankQuarter!$D$5:$D$750,$A32,BankQuarter!$E$5:$E$750,"ME")</f>
        <v>22</v>
      </c>
      <c r="G32" s="0" t="n">
        <f aca="false">54-C32</f>
        <v>2</v>
      </c>
      <c r="H32" s="0" t="n">
        <f aca="false">COUNTIFS(BankQuarter!$D$5:$D$750,$A32,BankQuarter!$F$5:$F$750,"&lt;=0")+COUNTIFS(BankQuarter!$D$5:$D$750,$A32,BankQuarter!$F$5:$F$750,"")</f>
        <v>0</v>
      </c>
      <c r="I32" s="0" t="n">
        <f aca="false">COUNTIFS(BankQuarter!$D$5:$D$750,$A32,BankQuarter!$G$5:$G$750,"")</f>
        <v>0</v>
      </c>
      <c r="J32" s="0" t="n">
        <f aca="false">COUNTIFS(BankQuarter!$D$5:$D$750,$A32,BankQuarter!$H$5:$H$750,"")</f>
        <v>0</v>
      </c>
      <c r="K32" s="0" t="n">
        <f aca="false">COUNTIFS(BankQuarter!$D$5:$D$750,$A32,BankQuarter!$R$5:$R$750,FALSE())</f>
        <v>0</v>
      </c>
    </row>
    <row r="35" customFormat="false" ht="15" hidden="false" customHeight="false" outlineLevel="0" collapsed="false">
      <c r="A35" s="14" t="s">
        <v>8367</v>
      </c>
    </row>
    <row r="36" customFormat="false" ht="15" hidden="false" customHeight="false" outlineLevel="0" collapsed="false">
      <c r="A36" s="0" t="s">
        <v>8368</v>
      </c>
      <c r="B36" s="11" t="b">
        <f aca="false">COUNTIF(BankQuarter!$D$5:$D$750,WF_START_PERIOD)&gt;0</f>
        <v>1</v>
      </c>
    </row>
    <row r="37" customFormat="false" ht="15" hidden="false" customHeight="false" outlineLevel="0" collapsed="false">
      <c r="A37" s="0" t="s">
        <v>8369</v>
      </c>
      <c r="B37" s="11" t="b">
        <f aca="false">COUNTIF(BankQuarter!$D$5:$D$750,WF_END_PERIOD)&gt;0</f>
        <v>1</v>
      </c>
    </row>
    <row r="38" customFormat="false" ht="15" hidden="false" customHeight="false" outlineLevel="0" collapsed="false">
      <c r="A38" s="0" t="s">
        <v>8370</v>
      </c>
      <c r="B38" s="11" t="b">
        <f aca="false">WF_START_PERIOD&lt;WF_END_PERIOD</f>
        <v>1</v>
      </c>
    </row>
    <row r="39" customFormat="false" ht="15" hidden="false" customHeight="false" outlineLevel="0" collapsed="false">
      <c r="A39" s="0" t="s">
        <v>8371</v>
      </c>
      <c r="B39" s="11" t="b">
        <f aca="false">AND(ISNUMBER(WF_REVIEW_SLOTS),WF_REVIEW_SLOTS=INT(WF_REVIEW_SLOTS),WF_REVIEW_SLOTS&gt;=3,WF_REVIEW_SLOTS&lt;=12)</f>
        <v>1</v>
      </c>
    </row>
    <row r="40" customFormat="false" ht="15" hidden="false" customHeight="false" outlineLevel="0" collapsed="false">
      <c r="A40" s="0" t="s">
        <v>8372</v>
      </c>
      <c r="B40" s="0" t="n">
        <f aca="false">COUNTIFS(BankQuarter!$D$5:$D$750,WF_END_PERIOD,BankQuarter!$R$5:$R$750,TRUE())</f>
        <v>52</v>
      </c>
    </row>
    <row r="41" customFormat="false" ht="15" hidden="false" customHeight="false" outlineLevel="0" collapsed="false">
      <c r="A41" s="0" t="s">
        <v>8373</v>
      </c>
      <c r="B41" s="0" t="n">
        <f aca="false">COUNTIFS(BankQuarter!$D$5:$D$750,WF_END_PERIOD,BankQuarter!$R$5:$R$750,FALSE())</f>
        <v>0</v>
      </c>
    </row>
    <row r="42" customFormat="false" ht="15" hidden="false" customHeight="false" outlineLevel="0" collapsed="false">
      <c r="A42" s="0" t="s">
        <v>8374</v>
      </c>
      <c r="B42" s="0" t="str">
        <f aca="false">COUNTIFS(BankQuarter!$D$5:$D$750,WF_END_PERIOD,BankQuarter!$E$5:$E$750,"VT",BankQuarter!$R$5:$R$750,TRUE())&amp;" / "&amp;COUNTIFS(BankQuarter!$D$5:$D$750,WF_END_PERIOD,BankQuarter!$E$5:$E$750,"NH",BankQuarter!$R$5:$R$750,TRUE())&amp;" / "&amp;COUNTIFS(BankQuarter!$D$5:$D$750,WF_END_PERIOD,BankQuarter!$E$5:$E$750,"ME",BankQuarter!$R$5:$R$750,TRUE())</f>
        <v>12 / 18 / 22</v>
      </c>
    </row>
    <row r="43" customFormat="false" ht="15" hidden="false" customHeight="false" outlineLevel="0" collapsed="false">
      <c r="A43" s="0" t="s">
        <v>11</v>
      </c>
      <c r="B43" s="11" t="b">
        <f aca="false">WF_MODEL_VALID</f>
        <v>1</v>
      </c>
    </row>
    <row r="44" customFormat="false" ht="15" hidden="false" customHeight="false" outlineLevel="0" collapsed="false">
      <c r="A44" s="0" t="s">
        <v>8375</v>
      </c>
      <c r="B44" s="11" t="b">
        <f aca="false">WF_RAW_UNCHANGED</f>
        <v>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1" t="s">
        <v>8376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8377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43</v>
      </c>
      <c r="B4" s="3" t="s">
        <v>8378</v>
      </c>
      <c r="C4" s="3" t="s">
        <v>8379</v>
      </c>
      <c r="D4" s="3" t="s">
        <v>8380</v>
      </c>
      <c r="E4" s="3" t="s">
        <v>8381</v>
      </c>
      <c r="F4" s="3" t="s">
        <v>8325</v>
      </c>
      <c r="G4" s="3" t="s">
        <v>8382</v>
      </c>
    </row>
    <row r="5" customFormat="false" ht="15" hidden="false" customHeight="false" outlineLevel="0" collapsed="false">
      <c r="A5" s="4" t="n">
        <v>20220331</v>
      </c>
      <c r="B5" s="4" t="s">
        <v>8383</v>
      </c>
      <c r="C5" s="4" t="n">
        <f aca="false">COUNTIFS(BankQuarter!$D$5:$D$750,A5,BankQuarter!$R$5:$R$750,TRUE())</f>
        <v>51</v>
      </c>
      <c r="D5" s="4" t="n">
        <f aca="false">SUMIFS(BankQuarter!$F$5:$F$750,BankQuarter!$D$5:$D$750,A5,BankQuarter!$R$5:$R$750,TRUE())</f>
        <v>59852474</v>
      </c>
      <c r="E5" s="4" t="n">
        <f aca="false">SUMIFS(BankQuarter!$I$5:$I$750,BankQuarter!$D$5:$D$750,A5,BankQuarter!$R$5:$R$750,TRUE())</f>
        <v>136841</v>
      </c>
      <c r="F5" s="12" t="n">
        <f aca="false">IFERROR(100*E5/D5,"")</f>
        <v>0.228630482342301</v>
      </c>
      <c r="G5" s="4" t="n">
        <f aca="false">COUNTIFS(BankQuarter!$D$5:$D$750,A5,BankQuarter!$R$5:$R$750,FALSE())</f>
        <v>0</v>
      </c>
    </row>
    <row r="6" customFormat="false" ht="15" hidden="false" customHeight="false" outlineLevel="0" collapsed="false">
      <c r="A6" s="4" t="n">
        <v>20220331</v>
      </c>
      <c r="B6" s="4" t="s">
        <v>60</v>
      </c>
      <c r="C6" s="4" t="n">
        <f aca="false">COUNTIFS(BankQuarter!$D$5:$D$750,A6,BankQuarter!$R$5:$R$750,TRUE(),BankQuarter!$E$5:$E$750,B6)</f>
        <v>23</v>
      </c>
      <c r="D6" s="4" t="n">
        <f aca="false">SUMIFS(BankQuarter!$F$5:$F$750,BankQuarter!$D$5:$D$750,A6,BankQuarter!$R$5:$R$750,TRUE(),BankQuarter!$E$5:$E$750,B6)</f>
        <v>37324757</v>
      </c>
      <c r="E6" s="4" t="n">
        <f aca="false">SUMIFS(BankQuarter!$I$5:$I$750,BankQuarter!$D$5:$D$750,A6,BankQuarter!$R$5:$R$750,TRUE(),BankQuarter!$E$5:$E$750,B6)</f>
        <v>79744</v>
      </c>
      <c r="F6" s="12" t="n">
        <f aca="false">IFERROR(100*E6/D6,"")</f>
        <v>0.213649080153422</v>
      </c>
      <c r="G6" s="4" t="n">
        <f aca="false">COUNTIFS(BankQuarter!$D$5:$D$750,A6,BankQuarter!$R$5:$R$750,FALSE(),BankQuarter!$E$5:$E$750,B6)</f>
        <v>0</v>
      </c>
    </row>
    <row r="7" customFormat="false" ht="15" hidden="false" customHeight="false" outlineLevel="0" collapsed="false">
      <c r="A7" s="4" t="n">
        <v>20220331</v>
      </c>
      <c r="B7" s="4" t="s">
        <v>158</v>
      </c>
      <c r="C7" s="4" t="n">
        <f aca="false">COUNTIFS(BankQuarter!$D$5:$D$750,A7,BankQuarter!$R$5:$R$750,TRUE(),BankQuarter!$E$5:$E$750,B7)</f>
        <v>17</v>
      </c>
      <c r="D7" s="4" t="n">
        <f aca="false">SUMIFS(BankQuarter!$F$5:$F$750,BankQuarter!$D$5:$D$750,A7,BankQuarter!$R$5:$R$750,TRUE(),BankQuarter!$E$5:$E$750,B7)</f>
        <v>15167858</v>
      </c>
      <c r="E7" s="4" t="n">
        <f aca="false">SUMIFS(BankQuarter!$I$5:$I$750,BankQuarter!$D$5:$D$750,A7,BankQuarter!$R$5:$R$750,TRUE(),BankQuarter!$E$5:$E$750,B7)</f>
        <v>23673</v>
      </c>
      <c r="F7" s="12" t="n">
        <f aca="false">IFERROR(100*E7/D7,"")</f>
        <v>0.156073454801594</v>
      </c>
      <c r="G7" s="4" t="n">
        <f aca="false">COUNTIFS(BankQuarter!$D$5:$D$750,A7,BankQuarter!$R$5:$R$750,FALSE(),BankQuarter!$E$5:$E$750,B7)</f>
        <v>0</v>
      </c>
    </row>
    <row r="8" customFormat="false" ht="15" hidden="false" customHeight="false" outlineLevel="0" collapsed="false">
      <c r="A8" s="4" t="n">
        <v>20220331</v>
      </c>
      <c r="B8" s="4" t="s">
        <v>98</v>
      </c>
      <c r="C8" s="4" t="n">
        <f aca="false">COUNTIFS(BankQuarter!$D$5:$D$750,A8,BankQuarter!$R$5:$R$750,TRUE(),BankQuarter!$E$5:$E$750,B8)</f>
        <v>11</v>
      </c>
      <c r="D8" s="4" t="n">
        <f aca="false">SUMIFS(BankQuarter!$F$5:$F$750,BankQuarter!$D$5:$D$750,A8,BankQuarter!$R$5:$R$750,TRUE(),BankQuarter!$E$5:$E$750,B8)</f>
        <v>7359859</v>
      </c>
      <c r="E8" s="4" t="n">
        <f aca="false">SUMIFS(BankQuarter!$I$5:$I$750,BankQuarter!$D$5:$D$750,A8,BankQuarter!$R$5:$R$750,TRUE(),BankQuarter!$E$5:$E$750,B8)</f>
        <v>33424</v>
      </c>
      <c r="F8" s="12" t="n">
        <f aca="false">IFERROR(100*E8/D8,"")</f>
        <v>0.45413913500245</v>
      </c>
      <c r="G8" s="4" t="n">
        <f aca="false">COUNTIFS(BankQuarter!$D$5:$D$750,A8,BankQuarter!$R$5:$R$750,FALSE(),BankQuarter!$E$5:$E$750,B8)</f>
        <v>0</v>
      </c>
    </row>
    <row r="9" customFormat="false" ht="15" hidden="false" customHeight="false" outlineLevel="0" collapsed="false">
      <c r="A9" s="4" t="n">
        <v>20220630</v>
      </c>
      <c r="B9" s="4" t="s">
        <v>8383</v>
      </c>
      <c r="C9" s="4" t="n">
        <f aca="false">COUNTIFS(BankQuarter!$D$5:$D$750,A9,BankQuarter!$R$5:$R$750,TRUE())</f>
        <v>52</v>
      </c>
      <c r="D9" s="4" t="n">
        <f aca="false">SUMIFS(BankQuarter!$F$5:$F$750,BankQuarter!$D$5:$D$750,A9,BankQuarter!$R$5:$R$750,TRUE())</f>
        <v>60747875</v>
      </c>
      <c r="E9" s="4" t="n">
        <f aca="false">SUMIFS(BankQuarter!$I$5:$I$750,BankQuarter!$D$5:$D$750,A9,BankQuarter!$R$5:$R$750,TRUE())</f>
        <v>116533</v>
      </c>
      <c r="F9" s="12" t="n">
        <f aca="false">IFERROR(100*E9/D9,"")</f>
        <v>0.191830578435871</v>
      </c>
      <c r="G9" s="4" t="n">
        <f aca="false">COUNTIFS(BankQuarter!$D$5:$D$750,A9,BankQuarter!$R$5:$R$750,FALSE())</f>
        <v>0</v>
      </c>
    </row>
    <row r="10" customFormat="false" ht="15" hidden="false" customHeight="false" outlineLevel="0" collapsed="false">
      <c r="A10" s="4" t="n">
        <v>20220630</v>
      </c>
      <c r="B10" s="4" t="s">
        <v>60</v>
      </c>
      <c r="C10" s="4" t="n">
        <f aca="false">COUNTIFS(BankQuarter!$D$5:$D$750,A10,BankQuarter!$R$5:$R$750,TRUE(),BankQuarter!$E$5:$E$750,B10)</f>
        <v>23</v>
      </c>
      <c r="D10" s="4" t="n">
        <f aca="false">SUMIFS(BankQuarter!$F$5:$F$750,BankQuarter!$D$5:$D$750,A10,BankQuarter!$R$5:$R$750,TRUE(),BankQuarter!$E$5:$E$750,B10)</f>
        <v>38015500</v>
      </c>
      <c r="E10" s="4" t="n">
        <f aca="false">SUMIFS(BankQuarter!$I$5:$I$750,BankQuarter!$D$5:$D$750,A10,BankQuarter!$R$5:$R$750,TRUE(),BankQuarter!$E$5:$E$750,B10)</f>
        <v>66628</v>
      </c>
      <c r="F10" s="12" t="n">
        <f aca="false">IFERROR(100*E10/D10,"")</f>
        <v>0.175265352290513</v>
      </c>
      <c r="G10" s="4" t="n">
        <f aca="false">COUNTIFS(BankQuarter!$D$5:$D$750,A10,BankQuarter!$R$5:$R$750,FALSE(),BankQuarter!$E$5:$E$750,B10)</f>
        <v>0</v>
      </c>
    </row>
    <row r="11" customFormat="false" ht="15" hidden="false" customHeight="false" outlineLevel="0" collapsed="false">
      <c r="A11" s="4" t="n">
        <v>20220630</v>
      </c>
      <c r="B11" s="4" t="s">
        <v>158</v>
      </c>
      <c r="C11" s="4" t="n">
        <f aca="false">COUNTIFS(BankQuarter!$D$5:$D$750,A11,BankQuarter!$R$5:$R$750,TRUE(),BankQuarter!$E$5:$E$750,B11)</f>
        <v>18</v>
      </c>
      <c r="D11" s="4" t="n">
        <f aca="false">SUMIFS(BankQuarter!$F$5:$F$750,BankQuarter!$D$5:$D$750,A11,BankQuarter!$R$5:$R$750,TRUE(),BankQuarter!$E$5:$E$750,B11)</f>
        <v>15488639</v>
      </c>
      <c r="E11" s="4" t="n">
        <f aca="false">SUMIFS(BankQuarter!$I$5:$I$750,BankQuarter!$D$5:$D$750,A11,BankQuarter!$R$5:$R$750,TRUE(),BankQuarter!$E$5:$E$750,B11)</f>
        <v>22048</v>
      </c>
      <c r="F11" s="12" t="n">
        <f aca="false">IFERROR(100*E11/D11,"")</f>
        <v>0.142349498881083</v>
      </c>
      <c r="G11" s="4" t="n">
        <f aca="false">COUNTIFS(BankQuarter!$D$5:$D$750,A11,BankQuarter!$R$5:$R$750,FALSE(),BankQuarter!$E$5:$E$750,B11)</f>
        <v>0</v>
      </c>
    </row>
    <row r="12" customFormat="false" ht="15" hidden="false" customHeight="false" outlineLevel="0" collapsed="false">
      <c r="A12" s="4" t="n">
        <v>20220630</v>
      </c>
      <c r="B12" s="4" t="s">
        <v>98</v>
      </c>
      <c r="C12" s="4" t="n">
        <f aca="false">COUNTIFS(BankQuarter!$D$5:$D$750,A12,BankQuarter!$R$5:$R$750,TRUE(),BankQuarter!$E$5:$E$750,B12)</f>
        <v>11</v>
      </c>
      <c r="D12" s="4" t="n">
        <f aca="false">SUMIFS(BankQuarter!$F$5:$F$750,BankQuarter!$D$5:$D$750,A12,BankQuarter!$R$5:$R$750,TRUE(),BankQuarter!$E$5:$E$750,B12)</f>
        <v>7243736</v>
      </c>
      <c r="E12" s="4" t="n">
        <f aca="false">SUMIFS(BankQuarter!$I$5:$I$750,BankQuarter!$D$5:$D$750,A12,BankQuarter!$R$5:$R$750,TRUE(),BankQuarter!$E$5:$E$750,B12)</f>
        <v>27857</v>
      </c>
      <c r="F12" s="12" t="n">
        <f aca="false">IFERROR(100*E12/D12,"")</f>
        <v>0.384566748429264</v>
      </c>
      <c r="G12" s="4" t="n">
        <f aca="false">COUNTIFS(BankQuarter!$D$5:$D$750,A12,BankQuarter!$R$5:$R$750,FALSE(),BankQuarter!$E$5:$E$750,B12)</f>
        <v>0</v>
      </c>
    </row>
    <row r="13" customFormat="false" ht="15" hidden="false" customHeight="false" outlineLevel="0" collapsed="false">
      <c r="A13" s="4" t="n">
        <v>20220930</v>
      </c>
      <c r="B13" s="4" t="s">
        <v>8383</v>
      </c>
      <c r="C13" s="4" t="n">
        <f aca="false">COUNTIFS(BankQuarter!$D$5:$D$750,A13,BankQuarter!$R$5:$R$750,TRUE())</f>
        <v>53</v>
      </c>
      <c r="D13" s="4" t="n">
        <f aca="false">SUMIFS(BankQuarter!$F$5:$F$750,BankQuarter!$D$5:$D$750,A13,BankQuarter!$R$5:$R$750,TRUE())</f>
        <v>62354271</v>
      </c>
      <c r="E13" s="4" t="n">
        <f aca="false">SUMIFS(BankQuarter!$I$5:$I$750,BankQuarter!$D$5:$D$750,A13,BankQuarter!$R$5:$R$750,TRUE())</f>
        <v>109246</v>
      </c>
      <c r="F13" s="12" t="n">
        <f aca="false">IFERROR(100*E13/D13,"")</f>
        <v>0.175202112458343</v>
      </c>
      <c r="G13" s="4" t="n">
        <f aca="false">COUNTIFS(BankQuarter!$D$5:$D$750,A13,BankQuarter!$R$5:$R$750,FALSE())</f>
        <v>0</v>
      </c>
    </row>
    <row r="14" customFormat="false" ht="15" hidden="false" customHeight="false" outlineLevel="0" collapsed="false">
      <c r="A14" s="4" t="n">
        <v>20220930</v>
      </c>
      <c r="B14" s="4" t="s">
        <v>60</v>
      </c>
      <c r="C14" s="4" t="n">
        <f aca="false">COUNTIFS(BankQuarter!$D$5:$D$750,A14,BankQuarter!$R$5:$R$750,TRUE(),BankQuarter!$E$5:$E$750,B14)</f>
        <v>23</v>
      </c>
      <c r="D14" s="4" t="n">
        <f aca="false">SUMIFS(BankQuarter!$F$5:$F$750,BankQuarter!$D$5:$D$750,A14,BankQuarter!$R$5:$R$750,TRUE(),BankQuarter!$E$5:$E$750,B14)</f>
        <v>38997566</v>
      </c>
      <c r="E14" s="4" t="n">
        <f aca="false">SUMIFS(BankQuarter!$I$5:$I$750,BankQuarter!$D$5:$D$750,A14,BankQuarter!$R$5:$R$750,TRUE(),BankQuarter!$E$5:$E$750,B14)</f>
        <v>58678</v>
      </c>
      <c r="F14" s="12" t="n">
        <f aca="false">IFERROR(100*E14/D14,"")</f>
        <v>0.150465800865623</v>
      </c>
      <c r="G14" s="4" t="n">
        <f aca="false">COUNTIFS(BankQuarter!$D$5:$D$750,A14,BankQuarter!$R$5:$R$750,FALSE(),BankQuarter!$E$5:$E$750,B14)</f>
        <v>0</v>
      </c>
    </row>
    <row r="15" customFormat="false" ht="15" hidden="false" customHeight="false" outlineLevel="0" collapsed="false">
      <c r="A15" s="4" t="n">
        <v>20220930</v>
      </c>
      <c r="B15" s="4" t="s">
        <v>158</v>
      </c>
      <c r="C15" s="4" t="n">
        <f aca="false">COUNTIFS(BankQuarter!$D$5:$D$750,A15,BankQuarter!$R$5:$R$750,TRUE(),BankQuarter!$E$5:$E$750,B15)</f>
        <v>18</v>
      </c>
      <c r="D15" s="4" t="n">
        <f aca="false">SUMIFS(BankQuarter!$F$5:$F$750,BankQuarter!$D$5:$D$750,A15,BankQuarter!$R$5:$R$750,TRUE(),BankQuarter!$E$5:$E$750,B15)</f>
        <v>15915289</v>
      </c>
      <c r="E15" s="4" t="n">
        <f aca="false">SUMIFS(BankQuarter!$I$5:$I$750,BankQuarter!$D$5:$D$750,A15,BankQuarter!$R$5:$R$750,TRUE(),BankQuarter!$E$5:$E$750,B15)</f>
        <v>21146</v>
      </c>
      <c r="F15" s="12" t="n">
        <f aca="false">IFERROR(100*E15/D15,"")</f>
        <v>0.132865950470645</v>
      </c>
      <c r="G15" s="4" t="n">
        <f aca="false">COUNTIFS(BankQuarter!$D$5:$D$750,A15,BankQuarter!$R$5:$R$750,FALSE(),BankQuarter!$E$5:$E$750,B15)</f>
        <v>0</v>
      </c>
    </row>
    <row r="16" customFormat="false" ht="15" hidden="false" customHeight="false" outlineLevel="0" collapsed="false">
      <c r="A16" s="4" t="n">
        <v>20220930</v>
      </c>
      <c r="B16" s="4" t="s">
        <v>98</v>
      </c>
      <c r="C16" s="4" t="n">
        <f aca="false">COUNTIFS(BankQuarter!$D$5:$D$750,A16,BankQuarter!$R$5:$R$750,TRUE(),BankQuarter!$E$5:$E$750,B16)</f>
        <v>12</v>
      </c>
      <c r="D16" s="4" t="n">
        <f aca="false">SUMIFS(BankQuarter!$F$5:$F$750,BankQuarter!$D$5:$D$750,A16,BankQuarter!$R$5:$R$750,TRUE(),BankQuarter!$E$5:$E$750,B16)</f>
        <v>7441416</v>
      </c>
      <c r="E16" s="4" t="n">
        <f aca="false">SUMIFS(BankQuarter!$I$5:$I$750,BankQuarter!$D$5:$D$750,A16,BankQuarter!$R$5:$R$750,TRUE(),BankQuarter!$E$5:$E$750,B16)</f>
        <v>29422</v>
      </c>
      <c r="F16" s="12" t="n">
        <f aca="false">IFERROR(100*E16/D16,"")</f>
        <v>0.395381739174372</v>
      </c>
      <c r="G16" s="4" t="n">
        <f aca="false">COUNTIFS(BankQuarter!$D$5:$D$750,A16,BankQuarter!$R$5:$R$750,FALSE(),BankQuarter!$E$5:$E$750,B16)</f>
        <v>0</v>
      </c>
    </row>
    <row r="17" customFormat="false" ht="15" hidden="false" customHeight="false" outlineLevel="0" collapsed="false">
      <c r="A17" s="4" t="n">
        <v>20221231</v>
      </c>
      <c r="B17" s="4" t="s">
        <v>8383</v>
      </c>
      <c r="C17" s="4" t="n">
        <f aca="false">COUNTIFS(BankQuarter!$D$5:$D$750,A17,BankQuarter!$R$5:$R$750,TRUE())</f>
        <v>54</v>
      </c>
      <c r="D17" s="4" t="n">
        <f aca="false">SUMIFS(BankQuarter!$F$5:$F$750,BankQuarter!$D$5:$D$750,A17,BankQuarter!$R$5:$R$750,TRUE())</f>
        <v>64502953</v>
      </c>
      <c r="E17" s="4" t="n">
        <f aca="false">SUMIFS(BankQuarter!$I$5:$I$750,BankQuarter!$D$5:$D$750,A17,BankQuarter!$R$5:$R$750,TRUE())</f>
        <v>123030</v>
      </c>
      <c r="F17" s="12" t="n">
        <f aca="false">IFERROR(100*E17/D17,"")</f>
        <v>0.190735453615589</v>
      </c>
      <c r="G17" s="4" t="n">
        <f aca="false">COUNTIFS(BankQuarter!$D$5:$D$750,A17,BankQuarter!$R$5:$R$750,FALSE())</f>
        <v>0</v>
      </c>
    </row>
    <row r="18" customFormat="false" ht="15" hidden="false" customHeight="false" outlineLevel="0" collapsed="false">
      <c r="A18" s="4" t="n">
        <v>20221231</v>
      </c>
      <c r="B18" s="4" t="s">
        <v>60</v>
      </c>
      <c r="C18" s="4" t="n">
        <f aca="false">COUNTIFS(BankQuarter!$D$5:$D$750,A18,BankQuarter!$R$5:$R$750,TRUE(),BankQuarter!$E$5:$E$750,B18)</f>
        <v>23</v>
      </c>
      <c r="D18" s="4" t="n">
        <f aca="false">SUMIFS(BankQuarter!$F$5:$F$750,BankQuarter!$D$5:$D$750,A18,BankQuarter!$R$5:$R$750,TRUE(),BankQuarter!$E$5:$E$750,B18)</f>
        <v>40711151</v>
      </c>
      <c r="E18" s="4" t="n">
        <f aca="false">SUMIFS(BankQuarter!$I$5:$I$750,BankQuarter!$D$5:$D$750,A18,BankQuarter!$R$5:$R$750,TRUE(),BankQuarter!$E$5:$E$750,B18)</f>
        <v>69279</v>
      </c>
      <c r="F18" s="12" t="n">
        <f aca="false">IFERROR(100*E18/D18,"")</f>
        <v>0.170172049422037</v>
      </c>
      <c r="G18" s="4" t="n">
        <f aca="false">COUNTIFS(BankQuarter!$D$5:$D$750,A18,BankQuarter!$R$5:$R$750,FALSE(),BankQuarter!$E$5:$E$750,B18)</f>
        <v>0</v>
      </c>
    </row>
    <row r="19" customFormat="false" ht="15" hidden="false" customHeight="false" outlineLevel="0" collapsed="false">
      <c r="A19" s="4" t="n">
        <v>20221231</v>
      </c>
      <c r="B19" s="4" t="s">
        <v>158</v>
      </c>
      <c r="C19" s="4" t="n">
        <f aca="false">COUNTIFS(BankQuarter!$D$5:$D$750,A19,BankQuarter!$R$5:$R$750,TRUE(),BankQuarter!$E$5:$E$750,B19)</f>
        <v>19</v>
      </c>
      <c r="D19" s="4" t="n">
        <f aca="false">SUMIFS(BankQuarter!$F$5:$F$750,BankQuarter!$D$5:$D$750,A19,BankQuarter!$R$5:$R$750,TRUE(),BankQuarter!$E$5:$E$750,B19)</f>
        <v>16241743</v>
      </c>
      <c r="E19" s="4" t="n">
        <f aca="false">SUMIFS(BankQuarter!$I$5:$I$750,BankQuarter!$D$5:$D$750,A19,BankQuarter!$R$5:$R$750,TRUE(),BankQuarter!$E$5:$E$750,B19)</f>
        <v>20482</v>
      </c>
      <c r="F19" s="12" t="n">
        <f aca="false">IFERROR(100*E19/D19,"")</f>
        <v>0.126107154878636</v>
      </c>
      <c r="G19" s="4" t="n">
        <f aca="false">COUNTIFS(BankQuarter!$D$5:$D$750,A19,BankQuarter!$R$5:$R$750,FALSE(),BankQuarter!$E$5:$E$750,B19)</f>
        <v>0</v>
      </c>
    </row>
    <row r="20" customFormat="false" ht="15" hidden="false" customHeight="false" outlineLevel="0" collapsed="false">
      <c r="A20" s="4" t="n">
        <v>20221231</v>
      </c>
      <c r="B20" s="4" t="s">
        <v>98</v>
      </c>
      <c r="C20" s="4" t="n">
        <f aca="false">COUNTIFS(BankQuarter!$D$5:$D$750,A20,BankQuarter!$R$5:$R$750,TRUE(),BankQuarter!$E$5:$E$750,B20)</f>
        <v>12</v>
      </c>
      <c r="D20" s="4" t="n">
        <f aca="false">SUMIFS(BankQuarter!$F$5:$F$750,BankQuarter!$D$5:$D$750,A20,BankQuarter!$R$5:$R$750,TRUE(),BankQuarter!$E$5:$E$750,B20)</f>
        <v>7550059</v>
      </c>
      <c r="E20" s="4" t="n">
        <f aca="false">SUMIFS(BankQuarter!$I$5:$I$750,BankQuarter!$D$5:$D$750,A20,BankQuarter!$R$5:$R$750,TRUE(),BankQuarter!$E$5:$E$750,B20)</f>
        <v>33269</v>
      </c>
      <c r="F20" s="12" t="n">
        <f aca="false">IFERROR(100*E20/D20,"")</f>
        <v>0.440645563167122</v>
      </c>
      <c r="G20" s="4" t="n">
        <f aca="false">COUNTIFS(BankQuarter!$D$5:$D$750,A20,BankQuarter!$R$5:$R$750,FALSE(),BankQuarter!$E$5:$E$750,B20)</f>
        <v>0</v>
      </c>
    </row>
    <row r="21" customFormat="false" ht="15" hidden="false" customHeight="false" outlineLevel="0" collapsed="false">
      <c r="A21" s="0" t="n">
        <v>20230331</v>
      </c>
      <c r="B21" s="0" t="s">
        <v>8383</v>
      </c>
      <c r="C21" s="0" t="n">
        <f aca="false">COUNTIFS(BankQuarter!$D$5:$D$750,A21,BankQuarter!$R$5:$R$750,TRUE())</f>
        <v>54</v>
      </c>
      <c r="D21" s="0" t="n">
        <f aca="false">SUMIFS(BankQuarter!$F$5:$F$750,BankQuarter!$D$5:$D$750,A21,BankQuarter!$R$5:$R$750,TRUE())</f>
        <v>65286835</v>
      </c>
      <c r="E21" s="0" t="n">
        <f aca="false">SUMIFS(BankQuarter!$I$5:$I$750,BankQuarter!$D$5:$D$750,A21,BankQuarter!$R$5:$R$750,TRUE())</f>
        <v>126451</v>
      </c>
      <c r="F21" s="13" t="n">
        <f aca="false">IFERROR(100*E21/D21,"")</f>
        <v>0.193685296583913</v>
      </c>
      <c r="G21" s="0" t="n">
        <f aca="false">COUNTIFS(BankQuarter!$D$5:$D$750,A21,BankQuarter!$R$5:$R$750,FALSE())</f>
        <v>0</v>
      </c>
    </row>
    <row r="22" customFormat="false" ht="15" hidden="false" customHeight="false" outlineLevel="0" collapsed="false">
      <c r="A22" s="0" t="n">
        <v>20230331</v>
      </c>
      <c r="B22" s="0" t="s">
        <v>60</v>
      </c>
      <c r="C22" s="0" t="n">
        <f aca="false">COUNTIFS(BankQuarter!$D$5:$D$750,A22,BankQuarter!$R$5:$R$750,TRUE(),BankQuarter!$E$5:$E$750,B22)</f>
        <v>23</v>
      </c>
      <c r="D22" s="0" t="n">
        <f aca="false">SUMIFS(BankQuarter!$F$5:$F$750,BankQuarter!$D$5:$D$750,A22,BankQuarter!$R$5:$R$750,TRUE(),BankQuarter!$E$5:$E$750,B22)</f>
        <v>41248817</v>
      </c>
      <c r="E22" s="0" t="n">
        <f aca="false">SUMIFS(BankQuarter!$I$5:$I$750,BankQuarter!$D$5:$D$750,A22,BankQuarter!$R$5:$R$750,TRUE(),BankQuarter!$E$5:$E$750,B22)</f>
        <v>72471</v>
      </c>
      <c r="F22" s="13" t="n">
        <f aca="false">IFERROR(100*E22/D22,"")</f>
        <v>0.175692311369802</v>
      </c>
      <c r="G22" s="0" t="n">
        <f aca="false">COUNTIFS(BankQuarter!$D$5:$D$750,A22,BankQuarter!$R$5:$R$750,FALSE(),BankQuarter!$E$5:$E$750,B22)</f>
        <v>0</v>
      </c>
    </row>
    <row r="23" customFormat="false" ht="15" hidden="false" customHeight="false" outlineLevel="0" collapsed="false">
      <c r="A23" s="0" t="n">
        <v>20230331</v>
      </c>
      <c r="B23" s="0" t="s">
        <v>158</v>
      </c>
      <c r="C23" s="0" t="n">
        <f aca="false">COUNTIFS(BankQuarter!$D$5:$D$750,A23,BankQuarter!$R$5:$R$750,TRUE(),BankQuarter!$E$5:$E$750,B23)</f>
        <v>19</v>
      </c>
      <c r="D23" s="0" t="n">
        <f aca="false">SUMIFS(BankQuarter!$F$5:$F$750,BankQuarter!$D$5:$D$750,A23,BankQuarter!$R$5:$R$750,TRUE(),BankQuarter!$E$5:$E$750,B23)</f>
        <v>16492351</v>
      </c>
      <c r="E23" s="0" t="n">
        <f aca="false">SUMIFS(BankQuarter!$I$5:$I$750,BankQuarter!$D$5:$D$750,A23,BankQuarter!$R$5:$R$750,TRUE(),BankQuarter!$E$5:$E$750,B23)</f>
        <v>21816</v>
      </c>
      <c r="F23" s="13" t="n">
        <f aca="false">IFERROR(100*E23/D23,"")</f>
        <v>0.132279503389177</v>
      </c>
      <c r="G23" s="0" t="n">
        <f aca="false">COUNTIFS(BankQuarter!$D$5:$D$750,A23,BankQuarter!$R$5:$R$750,FALSE(),BankQuarter!$E$5:$E$750,B23)</f>
        <v>0</v>
      </c>
    </row>
    <row r="24" customFormat="false" ht="15" hidden="false" customHeight="false" outlineLevel="0" collapsed="false">
      <c r="A24" s="0" t="n">
        <v>20230331</v>
      </c>
      <c r="B24" s="0" t="s">
        <v>98</v>
      </c>
      <c r="C24" s="0" t="n">
        <f aca="false">COUNTIFS(BankQuarter!$D$5:$D$750,A24,BankQuarter!$R$5:$R$750,TRUE(),BankQuarter!$E$5:$E$750,B24)</f>
        <v>12</v>
      </c>
      <c r="D24" s="0" t="n">
        <f aca="false">SUMIFS(BankQuarter!$F$5:$F$750,BankQuarter!$D$5:$D$750,A24,BankQuarter!$R$5:$R$750,TRUE(),BankQuarter!$E$5:$E$750,B24)</f>
        <v>7545667</v>
      </c>
      <c r="E24" s="0" t="n">
        <f aca="false">SUMIFS(BankQuarter!$I$5:$I$750,BankQuarter!$D$5:$D$750,A24,BankQuarter!$R$5:$R$750,TRUE(),BankQuarter!$E$5:$E$750,B24)</f>
        <v>32164</v>
      </c>
      <c r="F24" s="13" t="n">
        <f aca="false">IFERROR(100*E24/D24,"")</f>
        <v>0.426257877534219</v>
      </c>
      <c r="G24" s="0" t="n">
        <f aca="false">COUNTIFS(BankQuarter!$D$5:$D$750,A24,BankQuarter!$R$5:$R$750,FALSE(),BankQuarter!$E$5:$E$750,B24)</f>
        <v>0</v>
      </c>
    </row>
    <row r="25" customFormat="false" ht="15" hidden="false" customHeight="false" outlineLevel="0" collapsed="false">
      <c r="A25" s="0" t="n">
        <v>20230630</v>
      </c>
      <c r="B25" s="0" t="s">
        <v>8383</v>
      </c>
      <c r="C25" s="0" t="n">
        <f aca="false">COUNTIFS(BankQuarter!$D$5:$D$750,A25,BankQuarter!$R$5:$R$750,TRUE())</f>
        <v>54</v>
      </c>
      <c r="D25" s="0" t="n">
        <f aca="false">SUMIFS(BankQuarter!$F$5:$F$750,BankQuarter!$D$5:$D$750,A25,BankQuarter!$R$5:$R$750,TRUE())</f>
        <v>66103367</v>
      </c>
      <c r="E25" s="0" t="n">
        <f aca="false">SUMIFS(BankQuarter!$I$5:$I$750,BankQuarter!$D$5:$D$750,A25,BankQuarter!$R$5:$R$750,TRUE())</f>
        <v>138756</v>
      </c>
      <c r="F25" s="13" t="n">
        <f aca="false">IFERROR(100*E25/D25,"")</f>
        <v>0.209907613329288</v>
      </c>
      <c r="G25" s="0" t="n">
        <f aca="false">COUNTIFS(BankQuarter!$D$5:$D$750,A25,BankQuarter!$R$5:$R$750,FALSE())</f>
        <v>0</v>
      </c>
    </row>
    <row r="26" customFormat="false" ht="15" hidden="false" customHeight="false" outlineLevel="0" collapsed="false">
      <c r="A26" s="0" t="n">
        <v>20230630</v>
      </c>
      <c r="B26" s="0" t="s">
        <v>60</v>
      </c>
      <c r="C26" s="0" t="n">
        <f aca="false">COUNTIFS(BankQuarter!$D$5:$D$750,A26,BankQuarter!$R$5:$R$750,TRUE(),BankQuarter!$E$5:$E$750,B26)</f>
        <v>23</v>
      </c>
      <c r="D26" s="0" t="n">
        <f aca="false">SUMIFS(BankQuarter!$F$5:$F$750,BankQuarter!$D$5:$D$750,A26,BankQuarter!$R$5:$R$750,TRUE(),BankQuarter!$E$5:$E$750,B26)</f>
        <v>41636903</v>
      </c>
      <c r="E26" s="0" t="n">
        <f aca="false">SUMIFS(BankQuarter!$I$5:$I$750,BankQuarter!$D$5:$D$750,A26,BankQuarter!$R$5:$R$750,TRUE(),BankQuarter!$E$5:$E$750,B26)</f>
        <v>74941</v>
      </c>
      <c r="F26" s="13" t="n">
        <f aca="false">IFERROR(100*E26/D26,"")</f>
        <v>0.179986969732115</v>
      </c>
      <c r="G26" s="0" t="n">
        <f aca="false">COUNTIFS(BankQuarter!$D$5:$D$750,A26,BankQuarter!$R$5:$R$750,FALSE(),BankQuarter!$E$5:$E$750,B26)</f>
        <v>0</v>
      </c>
    </row>
    <row r="27" customFormat="false" ht="15" hidden="false" customHeight="false" outlineLevel="0" collapsed="false">
      <c r="A27" s="0" t="n">
        <v>20230630</v>
      </c>
      <c r="B27" s="0" t="s">
        <v>158</v>
      </c>
      <c r="C27" s="0" t="n">
        <f aca="false">COUNTIFS(BankQuarter!$D$5:$D$750,A27,BankQuarter!$R$5:$R$750,TRUE(),BankQuarter!$E$5:$E$750,B27)</f>
        <v>19</v>
      </c>
      <c r="D27" s="0" t="n">
        <f aca="false">SUMIFS(BankQuarter!$F$5:$F$750,BankQuarter!$D$5:$D$750,A27,BankQuarter!$R$5:$R$750,TRUE(),BankQuarter!$E$5:$E$750,B27)</f>
        <v>16868331</v>
      </c>
      <c r="E27" s="0" t="n">
        <f aca="false">SUMIFS(BankQuarter!$I$5:$I$750,BankQuarter!$D$5:$D$750,A27,BankQuarter!$R$5:$R$750,TRUE(),BankQuarter!$E$5:$E$750,B27)</f>
        <v>30872</v>
      </c>
      <c r="F27" s="13" t="n">
        <f aca="false">IFERROR(100*E27/D27,"")</f>
        <v>0.183017513706602</v>
      </c>
      <c r="G27" s="0" t="n">
        <f aca="false">COUNTIFS(BankQuarter!$D$5:$D$750,A27,BankQuarter!$R$5:$R$750,FALSE(),BankQuarter!$E$5:$E$750,B27)</f>
        <v>0</v>
      </c>
    </row>
    <row r="28" customFormat="false" ht="15" hidden="false" customHeight="false" outlineLevel="0" collapsed="false">
      <c r="A28" s="0" t="n">
        <v>20230630</v>
      </c>
      <c r="B28" s="0" t="s">
        <v>98</v>
      </c>
      <c r="C28" s="0" t="n">
        <f aca="false">COUNTIFS(BankQuarter!$D$5:$D$750,A28,BankQuarter!$R$5:$R$750,TRUE(),BankQuarter!$E$5:$E$750,B28)</f>
        <v>12</v>
      </c>
      <c r="D28" s="0" t="n">
        <f aca="false">SUMIFS(BankQuarter!$F$5:$F$750,BankQuarter!$D$5:$D$750,A28,BankQuarter!$R$5:$R$750,TRUE(),BankQuarter!$E$5:$E$750,B28)</f>
        <v>7598133</v>
      </c>
      <c r="E28" s="0" t="n">
        <f aca="false">SUMIFS(BankQuarter!$I$5:$I$750,BankQuarter!$D$5:$D$750,A28,BankQuarter!$R$5:$R$750,TRUE(),BankQuarter!$E$5:$E$750,B28)</f>
        <v>32943</v>
      </c>
      <c r="F28" s="13" t="n">
        <f aca="false">IFERROR(100*E28/D28,"")</f>
        <v>0.433567035480953</v>
      </c>
      <c r="G28" s="0" t="n">
        <f aca="false">COUNTIFS(BankQuarter!$D$5:$D$750,A28,BankQuarter!$R$5:$R$750,FALSE(),BankQuarter!$E$5:$E$750,B28)</f>
        <v>0</v>
      </c>
    </row>
    <row r="29" customFormat="false" ht="15" hidden="false" customHeight="false" outlineLevel="0" collapsed="false">
      <c r="A29" s="0" t="n">
        <v>20230930</v>
      </c>
      <c r="B29" s="0" t="s">
        <v>8383</v>
      </c>
      <c r="C29" s="0" t="n">
        <f aca="false">COUNTIFS(BankQuarter!$D$5:$D$750,A29,BankQuarter!$R$5:$R$750,TRUE())</f>
        <v>54</v>
      </c>
      <c r="D29" s="0" t="n">
        <f aca="false">SUMIFS(BankQuarter!$F$5:$F$750,BankQuarter!$D$5:$D$750,A29,BankQuarter!$R$5:$R$750,TRUE())</f>
        <v>66427421</v>
      </c>
      <c r="E29" s="0" t="n">
        <f aca="false">SUMIFS(BankQuarter!$I$5:$I$750,BankQuarter!$D$5:$D$750,A29,BankQuarter!$R$5:$R$750,TRUE())</f>
        <v>143883</v>
      </c>
      <c r="F29" s="13" t="n">
        <f aca="false">IFERROR(100*E29/D29,"")</f>
        <v>0.216601815686928</v>
      </c>
      <c r="G29" s="0" t="n">
        <f aca="false">COUNTIFS(BankQuarter!$D$5:$D$750,A29,BankQuarter!$R$5:$R$750,FALSE())</f>
        <v>0</v>
      </c>
    </row>
    <row r="30" customFormat="false" ht="15" hidden="false" customHeight="false" outlineLevel="0" collapsed="false">
      <c r="A30" s="0" t="n">
        <v>20230930</v>
      </c>
      <c r="B30" s="0" t="s">
        <v>60</v>
      </c>
      <c r="C30" s="0" t="n">
        <f aca="false">COUNTIFS(BankQuarter!$D$5:$D$750,A30,BankQuarter!$R$5:$R$750,TRUE(),BankQuarter!$E$5:$E$750,B30)</f>
        <v>23</v>
      </c>
      <c r="D30" s="0" t="n">
        <f aca="false">SUMIFS(BankQuarter!$F$5:$F$750,BankQuarter!$D$5:$D$750,A30,BankQuarter!$R$5:$R$750,TRUE(),BankQuarter!$E$5:$E$750,B30)</f>
        <v>41707922</v>
      </c>
      <c r="E30" s="0" t="n">
        <f aca="false">SUMIFS(BankQuarter!$I$5:$I$750,BankQuarter!$D$5:$D$750,A30,BankQuarter!$R$5:$R$750,TRUE(),BankQuarter!$E$5:$E$750,B30)</f>
        <v>76406</v>
      </c>
      <c r="F30" s="13" t="n">
        <f aca="false">IFERROR(100*E30/D30,"")</f>
        <v>0.183193015465983</v>
      </c>
      <c r="G30" s="0" t="n">
        <f aca="false">COUNTIFS(BankQuarter!$D$5:$D$750,A30,BankQuarter!$R$5:$R$750,FALSE(),BankQuarter!$E$5:$E$750,B30)</f>
        <v>0</v>
      </c>
    </row>
    <row r="31" customFormat="false" ht="15" hidden="false" customHeight="false" outlineLevel="0" collapsed="false">
      <c r="A31" s="0" t="n">
        <v>20230930</v>
      </c>
      <c r="B31" s="0" t="s">
        <v>158</v>
      </c>
      <c r="C31" s="0" t="n">
        <f aca="false">COUNTIFS(BankQuarter!$D$5:$D$750,A31,BankQuarter!$R$5:$R$750,TRUE(),BankQuarter!$E$5:$E$750,B31)</f>
        <v>19</v>
      </c>
      <c r="D31" s="0" t="n">
        <f aca="false">SUMIFS(BankQuarter!$F$5:$F$750,BankQuarter!$D$5:$D$750,A31,BankQuarter!$R$5:$R$750,TRUE(),BankQuarter!$E$5:$E$750,B31)</f>
        <v>16937411</v>
      </c>
      <c r="E31" s="0" t="n">
        <f aca="false">SUMIFS(BankQuarter!$I$5:$I$750,BankQuarter!$D$5:$D$750,A31,BankQuarter!$R$5:$R$750,TRUE(),BankQuarter!$E$5:$E$750,B31)</f>
        <v>33535</v>
      </c>
      <c r="F31" s="13" t="n">
        <f aca="false">IFERROR(100*E31/D31,"")</f>
        <v>0.197993660306171</v>
      </c>
      <c r="G31" s="0" t="n">
        <f aca="false">COUNTIFS(BankQuarter!$D$5:$D$750,A31,BankQuarter!$R$5:$R$750,FALSE(),BankQuarter!$E$5:$E$750,B31)</f>
        <v>0</v>
      </c>
    </row>
    <row r="32" customFormat="false" ht="15" hidden="false" customHeight="false" outlineLevel="0" collapsed="false">
      <c r="A32" s="0" t="n">
        <v>20230930</v>
      </c>
      <c r="B32" s="0" t="s">
        <v>98</v>
      </c>
      <c r="C32" s="0" t="n">
        <f aca="false">COUNTIFS(BankQuarter!$D$5:$D$750,A32,BankQuarter!$R$5:$R$750,TRUE(),BankQuarter!$E$5:$E$750,B32)</f>
        <v>12</v>
      </c>
      <c r="D32" s="0" t="n">
        <f aca="false">SUMIFS(BankQuarter!$F$5:$F$750,BankQuarter!$D$5:$D$750,A32,BankQuarter!$R$5:$R$750,TRUE(),BankQuarter!$E$5:$E$750,B32)</f>
        <v>7782088</v>
      </c>
      <c r="E32" s="0" t="n">
        <f aca="false">SUMIFS(BankQuarter!$I$5:$I$750,BankQuarter!$D$5:$D$750,A32,BankQuarter!$R$5:$R$750,TRUE(),BankQuarter!$E$5:$E$750,B32)</f>
        <v>33942</v>
      </c>
      <c r="F32" s="13" t="n">
        <f aca="false">IFERROR(100*E32/D32,"")</f>
        <v>0.436155437975001</v>
      </c>
      <c r="G32" s="0" t="n">
        <f aca="false">COUNTIFS(BankQuarter!$D$5:$D$750,A32,BankQuarter!$R$5:$R$750,FALSE(),BankQuarter!$E$5:$E$750,B32)</f>
        <v>0</v>
      </c>
    </row>
    <row r="33" customFormat="false" ht="15" hidden="false" customHeight="false" outlineLevel="0" collapsed="false">
      <c r="A33" s="0" t="n">
        <v>20231231</v>
      </c>
      <c r="B33" s="0" t="s">
        <v>8383</v>
      </c>
      <c r="C33" s="0" t="n">
        <f aca="false">COUNTIFS(BankQuarter!$D$5:$D$750,A33,BankQuarter!$R$5:$R$750,TRUE())</f>
        <v>54</v>
      </c>
      <c r="D33" s="0" t="n">
        <f aca="false">SUMIFS(BankQuarter!$F$5:$F$750,BankQuarter!$D$5:$D$750,A33,BankQuarter!$R$5:$R$750,TRUE())</f>
        <v>67228962</v>
      </c>
      <c r="E33" s="0" t="n">
        <f aca="false">SUMIFS(BankQuarter!$I$5:$I$750,BankQuarter!$D$5:$D$750,A33,BankQuarter!$R$5:$R$750,TRUE())</f>
        <v>158668</v>
      </c>
      <c r="F33" s="13" t="n">
        <f aca="false">IFERROR(100*E33/D33,"")</f>
        <v>0.23601137854843</v>
      </c>
      <c r="G33" s="0" t="n">
        <f aca="false">COUNTIFS(BankQuarter!$D$5:$D$750,A33,BankQuarter!$R$5:$R$750,FALSE())</f>
        <v>0</v>
      </c>
    </row>
    <row r="34" customFormat="false" ht="15" hidden="false" customHeight="false" outlineLevel="0" collapsed="false">
      <c r="A34" s="0" t="n">
        <v>20231231</v>
      </c>
      <c r="B34" s="0" t="s">
        <v>60</v>
      </c>
      <c r="C34" s="0" t="n">
        <f aca="false">COUNTIFS(BankQuarter!$D$5:$D$750,A34,BankQuarter!$R$5:$R$750,TRUE(),BankQuarter!$E$5:$E$750,B34)</f>
        <v>23</v>
      </c>
      <c r="D34" s="0" t="n">
        <f aca="false">SUMIFS(BankQuarter!$F$5:$F$750,BankQuarter!$D$5:$D$750,A34,BankQuarter!$R$5:$R$750,TRUE(),BankQuarter!$E$5:$E$750,B34)</f>
        <v>42110091</v>
      </c>
      <c r="E34" s="0" t="n">
        <f aca="false">SUMIFS(BankQuarter!$I$5:$I$750,BankQuarter!$D$5:$D$750,A34,BankQuarter!$R$5:$R$750,TRUE(),BankQuarter!$E$5:$E$750,B34)</f>
        <v>96144</v>
      </c>
      <c r="F34" s="13" t="n">
        <f aca="false">IFERROR(100*E34/D34,"")</f>
        <v>0.228315821022567</v>
      </c>
      <c r="G34" s="0" t="n">
        <f aca="false">COUNTIFS(BankQuarter!$D$5:$D$750,A34,BankQuarter!$R$5:$R$750,FALSE(),BankQuarter!$E$5:$E$750,B34)</f>
        <v>0</v>
      </c>
    </row>
    <row r="35" customFormat="false" ht="15" hidden="false" customHeight="false" outlineLevel="0" collapsed="false">
      <c r="A35" s="0" t="n">
        <v>20231231</v>
      </c>
      <c r="B35" s="0" t="s">
        <v>158</v>
      </c>
      <c r="C35" s="0" t="n">
        <f aca="false">COUNTIFS(BankQuarter!$D$5:$D$750,A35,BankQuarter!$R$5:$R$750,TRUE(),BankQuarter!$E$5:$E$750,B35)</f>
        <v>19</v>
      </c>
      <c r="D35" s="0" t="n">
        <f aca="false">SUMIFS(BankQuarter!$F$5:$F$750,BankQuarter!$D$5:$D$750,A35,BankQuarter!$R$5:$R$750,TRUE(),BankQuarter!$E$5:$E$750,B35)</f>
        <v>17110799</v>
      </c>
      <c r="E35" s="0" t="n">
        <f aca="false">SUMIFS(BankQuarter!$I$5:$I$750,BankQuarter!$D$5:$D$750,A35,BankQuarter!$R$5:$R$750,TRUE(),BankQuarter!$E$5:$E$750,B35)</f>
        <v>30295</v>
      </c>
      <c r="F35" s="13" t="n">
        <f aca="false">IFERROR(100*E35/D35,"")</f>
        <v>0.177051930771906</v>
      </c>
      <c r="G35" s="0" t="n">
        <f aca="false">COUNTIFS(BankQuarter!$D$5:$D$750,A35,BankQuarter!$R$5:$R$750,FALSE(),BankQuarter!$E$5:$E$750,B35)</f>
        <v>0</v>
      </c>
    </row>
    <row r="36" customFormat="false" ht="15" hidden="false" customHeight="false" outlineLevel="0" collapsed="false">
      <c r="A36" s="0" t="n">
        <v>20231231</v>
      </c>
      <c r="B36" s="0" t="s">
        <v>98</v>
      </c>
      <c r="C36" s="0" t="n">
        <f aca="false">COUNTIFS(BankQuarter!$D$5:$D$750,A36,BankQuarter!$R$5:$R$750,TRUE(),BankQuarter!$E$5:$E$750,B36)</f>
        <v>12</v>
      </c>
      <c r="D36" s="0" t="n">
        <f aca="false">SUMIFS(BankQuarter!$F$5:$F$750,BankQuarter!$D$5:$D$750,A36,BankQuarter!$R$5:$R$750,TRUE(),BankQuarter!$E$5:$E$750,B36)</f>
        <v>8008072</v>
      </c>
      <c r="E36" s="0" t="n">
        <f aca="false">SUMIFS(BankQuarter!$I$5:$I$750,BankQuarter!$D$5:$D$750,A36,BankQuarter!$R$5:$R$750,TRUE(),BankQuarter!$E$5:$E$750,B36)</f>
        <v>32229</v>
      </c>
      <c r="F36" s="13" t="n">
        <f aca="false">IFERROR(100*E36/D36,"")</f>
        <v>0.402456421470736</v>
      </c>
      <c r="G36" s="0" t="n">
        <f aca="false">COUNTIFS(BankQuarter!$D$5:$D$750,A36,BankQuarter!$R$5:$R$750,FALSE(),BankQuarter!$E$5:$E$750,B36)</f>
        <v>0</v>
      </c>
    </row>
    <row r="37" customFormat="false" ht="15" hidden="false" customHeight="false" outlineLevel="0" collapsed="false">
      <c r="A37" s="0" t="n">
        <v>20240331</v>
      </c>
      <c r="B37" s="0" t="s">
        <v>8383</v>
      </c>
      <c r="C37" s="0" t="n">
        <f aca="false">COUNTIFS(BankQuarter!$D$5:$D$750,A37,BankQuarter!$R$5:$R$750,TRUE())</f>
        <v>54</v>
      </c>
      <c r="D37" s="0" t="n">
        <f aca="false">SUMIFS(BankQuarter!$F$5:$F$750,BankQuarter!$D$5:$D$750,A37,BankQuarter!$R$5:$R$750,TRUE())</f>
        <v>67408258</v>
      </c>
      <c r="E37" s="0" t="n">
        <f aca="false">SUMIFS(BankQuarter!$I$5:$I$750,BankQuarter!$D$5:$D$750,A37,BankQuarter!$R$5:$R$750,TRUE())</f>
        <v>199761</v>
      </c>
      <c r="F37" s="13" t="n">
        <f aca="false">IFERROR(100*E37/D37,"")</f>
        <v>0.296344996780662</v>
      </c>
      <c r="G37" s="0" t="n">
        <f aca="false">COUNTIFS(BankQuarter!$D$5:$D$750,A37,BankQuarter!$R$5:$R$750,FALSE())</f>
        <v>0</v>
      </c>
    </row>
    <row r="38" customFormat="false" ht="15" hidden="false" customHeight="false" outlineLevel="0" collapsed="false">
      <c r="A38" s="0" t="n">
        <v>20240331</v>
      </c>
      <c r="B38" s="0" t="s">
        <v>60</v>
      </c>
      <c r="C38" s="0" t="n">
        <f aca="false">COUNTIFS(BankQuarter!$D$5:$D$750,A38,BankQuarter!$R$5:$R$750,TRUE(),BankQuarter!$E$5:$E$750,B38)</f>
        <v>23</v>
      </c>
      <c r="D38" s="0" t="n">
        <f aca="false">SUMIFS(BankQuarter!$F$5:$F$750,BankQuarter!$D$5:$D$750,A38,BankQuarter!$R$5:$R$750,TRUE(),BankQuarter!$E$5:$E$750,B38)</f>
        <v>42291921</v>
      </c>
      <c r="E38" s="0" t="n">
        <f aca="false">SUMIFS(BankQuarter!$I$5:$I$750,BankQuarter!$D$5:$D$750,A38,BankQuarter!$R$5:$R$750,TRUE(),BankQuarter!$E$5:$E$750,B38)</f>
        <v>103921</v>
      </c>
      <c r="F38" s="13" t="n">
        <f aca="false">IFERROR(100*E38/D38,"")</f>
        <v>0.245723054292095</v>
      </c>
      <c r="G38" s="0" t="n">
        <f aca="false">COUNTIFS(BankQuarter!$D$5:$D$750,A38,BankQuarter!$R$5:$R$750,FALSE(),BankQuarter!$E$5:$E$750,B38)</f>
        <v>0</v>
      </c>
    </row>
    <row r="39" customFormat="false" ht="15" hidden="false" customHeight="false" outlineLevel="0" collapsed="false">
      <c r="A39" s="0" t="n">
        <v>20240331</v>
      </c>
      <c r="B39" s="0" t="s">
        <v>158</v>
      </c>
      <c r="C39" s="0" t="n">
        <f aca="false">COUNTIFS(BankQuarter!$D$5:$D$750,A39,BankQuarter!$R$5:$R$750,TRUE(),BankQuarter!$E$5:$E$750,B39)</f>
        <v>19</v>
      </c>
      <c r="D39" s="0" t="n">
        <f aca="false">SUMIFS(BankQuarter!$F$5:$F$750,BankQuarter!$D$5:$D$750,A39,BankQuarter!$R$5:$R$750,TRUE(),BankQuarter!$E$5:$E$750,B39)</f>
        <v>17104248</v>
      </c>
      <c r="E39" s="0" t="n">
        <f aca="false">SUMIFS(BankQuarter!$I$5:$I$750,BankQuarter!$D$5:$D$750,A39,BankQuarter!$R$5:$R$750,TRUE(),BankQuarter!$E$5:$E$750,B39)</f>
        <v>62757</v>
      </c>
      <c r="F39" s="13" t="n">
        <f aca="false">IFERROR(100*E39/D39,"")</f>
        <v>0.366908852116737</v>
      </c>
      <c r="G39" s="0" t="n">
        <f aca="false">COUNTIFS(BankQuarter!$D$5:$D$750,A39,BankQuarter!$R$5:$R$750,FALSE(),BankQuarter!$E$5:$E$750,B39)</f>
        <v>0</v>
      </c>
    </row>
    <row r="40" customFormat="false" ht="15" hidden="false" customHeight="false" outlineLevel="0" collapsed="false">
      <c r="A40" s="0" t="n">
        <v>20240331</v>
      </c>
      <c r="B40" s="0" t="s">
        <v>98</v>
      </c>
      <c r="C40" s="0" t="n">
        <f aca="false">COUNTIFS(BankQuarter!$D$5:$D$750,A40,BankQuarter!$R$5:$R$750,TRUE(),BankQuarter!$E$5:$E$750,B40)</f>
        <v>12</v>
      </c>
      <c r="D40" s="0" t="n">
        <f aca="false">SUMIFS(BankQuarter!$F$5:$F$750,BankQuarter!$D$5:$D$750,A40,BankQuarter!$R$5:$R$750,TRUE(),BankQuarter!$E$5:$E$750,B40)</f>
        <v>8012089</v>
      </c>
      <c r="E40" s="0" t="n">
        <f aca="false">SUMIFS(BankQuarter!$I$5:$I$750,BankQuarter!$D$5:$D$750,A40,BankQuarter!$R$5:$R$750,TRUE(),BankQuarter!$E$5:$E$750,B40)</f>
        <v>33083</v>
      </c>
      <c r="F40" s="13" t="n">
        <f aca="false">IFERROR(100*E40/D40,"")</f>
        <v>0.412913536032862</v>
      </c>
      <c r="G40" s="0" t="n">
        <f aca="false">COUNTIFS(BankQuarter!$D$5:$D$750,A40,BankQuarter!$R$5:$R$750,FALSE(),BankQuarter!$E$5:$E$750,B40)</f>
        <v>0</v>
      </c>
    </row>
    <row r="41" customFormat="false" ht="15" hidden="false" customHeight="false" outlineLevel="0" collapsed="false">
      <c r="A41" s="0" t="n">
        <v>20240630</v>
      </c>
      <c r="B41" s="0" t="s">
        <v>8383</v>
      </c>
      <c r="C41" s="0" t="n">
        <f aca="false">COUNTIFS(BankQuarter!$D$5:$D$750,A41,BankQuarter!$R$5:$R$750,TRUE())</f>
        <v>54</v>
      </c>
      <c r="D41" s="0" t="n">
        <f aca="false">SUMIFS(BankQuarter!$F$5:$F$750,BankQuarter!$D$5:$D$750,A41,BankQuarter!$R$5:$R$750,TRUE())</f>
        <v>68174434</v>
      </c>
      <c r="E41" s="0" t="n">
        <f aca="false">SUMIFS(BankQuarter!$I$5:$I$750,BankQuarter!$D$5:$D$750,A41,BankQuarter!$R$5:$R$750,TRUE())</f>
        <v>203546</v>
      </c>
      <c r="F41" s="13" t="n">
        <f aca="false">IFERROR(100*E41/D41,"")</f>
        <v>0.298566468479958</v>
      </c>
      <c r="G41" s="0" t="n">
        <f aca="false">COUNTIFS(BankQuarter!$D$5:$D$750,A41,BankQuarter!$R$5:$R$750,FALSE())</f>
        <v>0</v>
      </c>
    </row>
    <row r="42" customFormat="false" ht="15" hidden="false" customHeight="false" outlineLevel="0" collapsed="false">
      <c r="A42" s="0" t="n">
        <v>20240630</v>
      </c>
      <c r="B42" s="0" t="s">
        <v>60</v>
      </c>
      <c r="C42" s="0" t="n">
        <f aca="false">COUNTIFS(BankQuarter!$D$5:$D$750,A42,BankQuarter!$R$5:$R$750,TRUE(),BankQuarter!$E$5:$E$750,B42)</f>
        <v>23</v>
      </c>
      <c r="D42" s="0" t="n">
        <f aca="false">SUMIFS(BankQuarter!$F$5:$F$750,BankQuarter!$D$5:$D$750,A42,BankQuarter!$R$5:$R$750,TRUE(),BankQuarter!$E$5:$E$750,B42)</f>
        <v>42836512</v>
      </c>
      <c r="E42" s="0" t="n">
        <f aca="false">SUMIFS(BankQuarter!$I$5:$I$750,BankQuarter!$D$5:$D$750,A42,BankQuarter!$R$5:$R$750,TRUE(),BankQuarter!$E$5:$E$750,B42)</f>
        <v>113174</v>
      </c>
      <c r="F42" s="13" t="n">
        <f aca="false">IFERROR(100*E42/D42,"")</f>
        <v>0.264199848951287</v>
      </c>
      <c r="G42" s="0" t="n">
        <f aca="false">COUNTIFS(BankQuarter!$D$5:$D$750,A42,BankQuarter!$R$5:$R$750,FALSE(),BankQuarter!$E$5:$E$750,B42)</f>
        <v>0</v>
      </c>
    </row>
    <row r="43" customFormat="false" ht="15" hidden="false" customHeight="false" outlineLevel="0" collapsed="false">
      <c r="A43" s="0" t="n">
        <v>20240630</v>
      </c>
      <c r="B43" s="0" t="s">
        <v>158</v>
      </c>
      <c r="C43" s="0" t="n">
        <f aca="false">COUNTIFS(BankQuarter!$D$5:$D$750,A43,BankQuarter!$R$5:$R$750,TRUE(),BankQuarter!$E$5:$E$750,B43)</f>
        <v>19</v>
      </c>
      <c r="D43" s="0" t="n">
        <f aca="false">SUMIFS(BankQuarter!$F$5:$F$750,BankQuarter!$D$5:$D$750,A43,BankQuarter!$R$5:$R$750,TRUE(),BankQuarter!$E$5:$E$750,B43)</f>
        <v>17279833</v>
      </c>
      <c r="E43" s="0" t="n">
        <f aca="false">SUMIFS(BankQuarter!$I$5:$I$750,BankQuarter!$D$5:$D$750,A43,BankQuarter!$R$5:$R$750,TRUE(),BankQuarter!$E$5:$E$750,B43)</f>
        <v>63087</v>
      </c>
      <c r="F43" s="13" t="n">
        <f aca="false">IFERROR(100*E43/D43,"")</f>
        <v>0.365090333917</v>
      </c>
      <c r="G43" s="0" t="n">
        <f aca="false">COUNTIFS(BankQuarter!$D$5:$D$750,A43,BankQuarter!$R$5:$R$750,FALSE(),BankQuarter!$E$5:$E$750,B43)</f>
        <v>0</v>
      </c>
    </row>
    <row r="44" customFormat="false" ht="15" hidden="false" customHeight="false" outlineLevel="0" collapsed="false">
      <c r="A44" s="0" t="n">
        <v>20240630</v>
      </c>
      <c r="B44" s="0" t="s">
        <v>98</v>
      </c>
      <c r="C44" s="0" t="n">
        <f aca="false">COUNTIFS(BankQuarter!$D$5:$D$750,A44,BankQuarter!$R$5:$R$750,TRUE(),BankQuarter!$E$5:$E$750,B44)</f>
        <v>12</v>
      </c>
      <c r="D44" s="0" t="n">
        <f aca="false">SUMIFS(BankQuarter!$F$5:$F$750,BankQuarter!$D$5:$D$750,A44,BankQuarter!$R$5:$R$750,TRUE(),BankQuarter!$E$5:$E$750,B44)</f>
        <v>8058089</v>
      </c>
      <c r="E44" s="0" t="n">
        <f aca="false">SUMIFS(BankQuarter!$I$5:$I$750,BankQuarter!$D$5:$D$750,A44,BankQuarter!$R$5:$R$750,TRUE(),BankQuarter!$E$5:$E$750,B44)</f>
        <v>27285</v>
      </c>
      <c r="F44" s="13" t="n">
        <f aca="false">IFERROR(100*E44/D44,"")</f>
        <v>0.338603855082762</v>
      </c>
      <c r="G44" s="0" t="n">
        <f aca="false">COUNTIFS(BankQuarter!$D$5:$D$750,A44,BankQuarter!$R$5:$R$750,FALSE(),BankQuarter!$E$5:$E$750,B44)</f>
        <v>0</v>
      </c>
    </row>
    <row r="45" customFormat="false" ht="15" hidden="false" customHeight="false" outlineLevel="0" collapsed="false">
      <c r="A45" s="0" t="n">
        <v>20240930</v>
      </c>
      <c r="B45" s="0" t="s">
        <v>8383</v>
      </c>
      <c r="C45" s="0" t="n">
        <f aca="false">COUNTIFS(BankQuarter!$D$5:$D$750,A45,BankQuarter!$R$5:$R$750,TRUE())</f>
        <v>54</v>
      </c>
      <c r="D45" s="0" t="n">
        <f aca="false">SUMIFS(BankQuarter!$F$5:$F$750,BankQuarter!$D$5:$D$750,A45,BankQuarter!$R$5:$R$750,TRUE())</f>
        <v>69727725</v>
      </c>
      <c r="E45" s="0" t="n">
        <f aca="false">SUMIFS(BankQuarter!$I$5:$I$750,BankQuarter!$D$5:$D$750,A45,BankQuarter!$R$5:$R$750,TRUE())</f>
        <v>202918</v>
      </c>
      <c r="F45" s="13" t="n">
        <f aca="false">IFERROR(100*E45/D45,"")</f>
        <v>0.29101480078405</v>
      </c>
      <c r="G45" s="0" t="n">
        <f aca="false">COUNTIFS(BankQuarter!$D$5:$D$750,A45,BankQuarter!$R$5:$R$750,FALSE())</f>
        <v>0</v>
      </c>
    </row>
    <row r="46" customFormat="false" ht="15" hidden="false" customHeight="false" outlineLevel="0" collapsed="false">
      <c r="A46" s="0" t="n">
        <v>20240930</v>
      </c>
      <c r="B46" s="0" t="s">
        <v>60</v>
      </c>
      <c r="C46" s="0" t="n">
        <f aca="false">COUNTIFS(BankQuarter!$D$5:$D$750,A46,BankQuarter!$R$5:$R$750,TRUE(),BankQuarter!$E$5:$E$750,B46)</f>
        <v>23</v>
      </c>
      <c r="D46" s="0" t="n">
        <f aca="false">SUMIFS(BankQuarter!$F$5:$F$750,BankQuarter!$D$5:$D$750,A46,BankQuarter!$R$5:$R$750,TRUE(),BankQuarter!$E$5:$E$750,B46)</f>
        <v>43857564</v>
      </c>
      <c r="E46" s="0" t="n">
        <f aca="false">SUMIFS(BankQuarter!$I$5:$I$750,BankQuarter!$D$5:$D$750,A46,BankQuarter!$R$5:$R$750,TRUE(),BankQuarter!$E$5:$E$750,B46)</f>
        <v>111386</v>
      </c>
      <c r="F46" s="13" t="n">
        <f aca="false">IFERROR(100*E46/D46,"")</f>
        <v>0.253972154039381</v>
      </c>
      <c r="G46" s="0" t="n">
        <f aca="false">COUNTIFS(BankQuarter!$D$5:$D$750,A46,BankQuarter!$R$5:$R$750,FALSE(),BankQuarter!$E$5:$E$750,B46)</f>
        <v>0</v>
      </c>
    </row>
    <row r="47" customFormat="false" ht="15" hidden="false" customHeight="false" outlineLevel="0" collapsed="false">
      <c r="A47" s="0" t="n">
        <v>20240930</v>
      </c>
      <c r="B47" s="0" t="s">
        <v>158</v>
      </c>
      <c r="C47" s="0" t="n">
        <f aca="false">COUNTIFS(BankQuarter!$D$5:$D$750,A47,BankQuarter!$R$5:$R$750,TRUE(),BankQuarter!$E$5:$E$750,B47)</f>
        <v>19</v>
      </c>
      <c r="D47" s="0" t="n">
        <f aca="false">SUMIFS(BankQuarter!$F$5:$F$750,BankQuarter!$D$5:$D$750,A47,BankQuarter!$R$5:$R$750,TRUE(),BankQuarter!$E$5:$E$750,B47)</f>
        <v>17448405</v>
      </c>
      <c r="E47" s="0" t="n">
        <f aca="false">SUMIFS(BankQuarter!$I$5:$I$750,BankQuarter!$D$5:$D$750,A47,BankQuarter!$R$5:$R$750,TRUE(),BankQuarter!$E$5:$E$750,B47)</f>
        <v>66699</v>
      </c>
      <c r="F47" s="13" t="n">
        <f aca="false">IFERROR(100*E47/D47,"")</f>
        <v>0.382264166839319</v>
      </c>
      <c r="G47" s="0" t="n">
        <f aca="false">COUNTIFS(BankQuarter!$D$5:$D$750,A47,BankQuarter!$R$5:$R$750,FALSE(),BankQuarter!$E$5:$E$750,B47)</f>
        <v>0</v>
      </c>
    </row>
    <row r="48" customFormat="false" ht="15" hidden="false" customHeight="false" outlineLevel="0" collapsed="false">
      <c r="A48" s="0" t="n">
        <v>20240930</v>
      </c>
      <c r="B48" s="0" t="s">
        <v>98</v>
      </c>
      <c r="C48" s="0" t="n">
        <f aca="false">COUNTIFS(BankQuarter!$D$5:$D$750,A48,BankQuarter!$R$5:$R$750,TRUE(),BankQuarter!$E$5:$E$750,B48)</f>
        <v>12</v>
      </c>
      <c r="D48" s="0" t="n">
        <f aca="false">SUMIFS(BankQuarter!$F$5:$F$750,BankQuarter!$D$5:$D$750,A48,BankQuarter!$R$5:$R$750,TRUE(),BankQuarter!$E$5:$E$750,B48)</f>
        <v>8421756</v>
      </c>
      <c r="E48" s="0" t="n">
        <f aca="false">SUMIFS(BankQuarter!$I$5:$I$750,BankQuarter!$D$5:$D$750,A48,BankQuarter!$R$5:$R$750,TRUE(),BankQuarter!$E$5:$E$750,B48)</f>
        <v>24833</v>
      </c>
      <c r="F48" s="13" t="n">
        <f aca="false">IFERROR(100*E48/D48,"")</f>
        <v>0.29486724621326</v>
      </c>
      <c r="G48" s="0" t="n">
        <f aca="false">COUNTIFS(BankQuarter!$D$5:$D$750,A48,BankQuarter!$R$5:$R$750,FALSE(),BankQuarter!$E$5:$E$750,B48)</f>
        <v>0</v>
      </c>
    </row>
    <row r="49" customFormat="false" ht="15" hidden="false" customHeight="false" outlineLevel="0" collapsed="false">
      <c r="A49" s="0" t="n">
        <v>20241231</v>
      </c>
      <c r="B49" s="0" t="s">
        <v>8383</v>
      </c>
      <c r="C49" s="0" t="n">
        <f aca="false">COUNTIFS(BankQuarter!$D$5:$D$750,A49,BankQuarter!$R$5:$R$750,TRUE())</f>
        <v>54</v>
      </c>
      <c r="D49" s="0" t="n">
        <f aca="false">SUMIFS(BankQuarter!$F$5:$F$750,BankQuarter!$D$5:$D$750,A49,BankQuarter!$R$5:$R$750,TRUE())</f>
        <v>70110166</v>
      </c>
      <c r="E49" s="0" t="n">
        <f aca="false">SUMIFS(BankQuarter!$I$5:$I$750,BankQuarter!$D$5:$D$750,A49,BankQuarter!$R$5:$R$750,TRUE())</f>
        <v>197476</v>
      </c>
      <c r="F49" s="13" t="n">
        <f aca="false">IFERROR(100*E49/D49,"")</f>
        <v>0.28166528660052</v>
      </c>
      <c r="G49" s="0" t="n">
        <f aca="false">COUNTIFS(BankQuarter!$D$5:$D$750,A49,BankQuarter!$R$5:$R$750,FALSE())</f>
        <v>0</v>
      </c>
    </row>
    <row r="50" customFormat="false" ht="15" hidden="false" customHeight="false" outlineLevel="0" collapsed="false">
      <c r="A50" s="0" t="n">
        <v>20241231</v>
      </c>
      <c r="B50" s="0" t="s">
        <v>60</v>
      </c>
      <c r="C50" s="0" t="n">
        <f aca="false">COUNTIFS(BankQuarter!$D$5:$D$750,A50,BankQuarter!$R$5:$R$750,TRUE(),BankQuarter!$E$5:$E$750,B50)</f>
        <v>23</v>
      </c>
      <c r="D50" s="0" t="n">
        <f aca="false">SUMIFS(BankQuarter!$F$5:$F$750,BankQuarter!$D$5:$D$750,A50,BankQuarter!$R$5:$R$750,TRUE(),BankQuarter!$E$5:$E$750,B50)</f>
        <v>44159558</v>
      </c>
      <c r="E50" s="0" t="n">
        <f aca="false">SUMIFS(BankQuarter!$I$5:$I$750,BankQuarter!$D$5:$D$750,A50,BankQuarter!$R$5:$R$750,TRUE(),BankQuarter!$E$5:$E$750,B50)</f>
        <v>105164</v>
      </c>
      <c r="F50" s="13" t="n">
        <f aca="false">IFERROR(100*E50/D50,"")</f>
        <v>0.23814549955414</v>
      </c>
      <c r="G50" s="0" t="n">
        <f aca="false">COUNTIFS(BankQuarter!$D$5:$D$750,A50,BankQuarter!$R$5:$R$750,FALSE(),BankQuarter!$E$5:$E$750,B50)</f>
        <v>0</v>
      </c>
    </row>
    <row r="51" customFormat="false" ht="15" hidden="false" customHeight="false" outlineLevel="0" collapsed="false">
      <c r="A51" s="0" t="n">
        <v>20241231</v>
      </c>
      <c r="B51" s="0" t="s">
        <v>158</v>
      </c>
      <c r="C51" s="0" t="n">
        <f aca="false">COUNTIFS(BankQuarter!$D$5:$D$750,A51,BankQuarter!$R$5:$R$750,TRUE(),BankQuarter!$E$5:$E$750,B51)</f>
        <v>19</v>
      </c>
      <c r="D51" s="0" t="n">
        <f aca="false">SUMIFS(BankQuarter!$F$5:$F$750,BankQuarter!$D$5:$D$750,A51,BankQuarter!$R$5:$R$750,TRUE(),BankQuarter!$E$5:$E$750,B51)</f>
        <v>17386962</v>
      </c>
      <c r="E51" s="0" t="n">
        <f aca="false">SUMIFS(BankQuarter!$I$5:$I$750,BankQuarter!$D$5:$D$750,A51,BankQuarter!$R$5:$R$750,TRUE(),BankQuarter!$E$5:$E$750,B51)</f>
        <v>64887</v>
      </c>
      <c r="F51" s="13" t="n">
        <f aca="false">IFERROR(100*E51/D51,"")</f>
        <v>0.37319343080177</v>
      </c>
      <c r="G51" s="0" t="n">
        <f aca="false">COUNTIFS(BankQuarter!$D$5:$D$750,A51,BankQuarter!$R$5:$R$750,FALSE(),BankQuarter!$E$5:$E$750,B51)</f>
        <v>0</v>
      </c>
    </row>
    <row r="52" customFormat="false" ht="15" hidden="false" customHeight="false" outlineLevel="0" collapsed="false">
      <c r="A52" s="0" t="n">
        <v>20241231</v>
      </c>
      <c r="B52" s="0" t="s">
        <v>98</v>
      </c>
      <c r="C52" s="0" t="n">
        <f aca="false">COUNTIFS(BankQuarter!$D$5:$D$750,A52,BankQuarter!$R$5:$R$750,TRUE(),BankQuarter!$E$5:$E$750,B52)</f>
        <v>12</v>
      </c>
      <c r="D52" s="0" t="n">
        <f aca="false">SUMIFS(BankQuarter!$F$5:$F$750,BankQuarter!$D$5:$D$750,A52,BankQuarter!$R$5:$R$750,TRUE(),BankQuarter!$E$5:$E$750,B52)</f>
        <v>8563646</v>
      </c>
      <c r="E52" s="0" t="n">
        <f aca="false">SUMIFS(BankQuarter!$I$5:$I$750,BankQuarter!$D$5:$D$750,A52,BankQuarter!$R$5:$R$750,TRUE(),BankQuarter!$E$5:$E$750,B52)</f>
        <v>27425</v>
      </c>
      <c r="F52" s="13" t="n">
        <f aca="false">IFERROR(100*E52/D52,"")</f>
        <v>0.320249108849198</v>
      </c>
      <c r="G52" s="0" t="n">
        <f aca="false">COUNTIFS(BankQuarter!$D$5:$D$750,A52,BankQuarter!$R$5:$R$750,FALSE(),BankQuarter!$E$5:$E$750,B52)</f>
        <v>0</v>
      </c>
    </row>
    <row r="53" customFormat="false" ht="15" hidden="false" customHeight="false" outlineLevel="0" collapsed="false">
      <c r="A53" s="0" t="n">
        <v>20250331</v>
      </c>
      <c r="B53" s="0" t="s">
        <v>8383</v>
      </c>
      <c r="C53" s="0" t="n">
        <f aca="false">COUNTIFS(BankQuarter!$D$5:$D$750,A53,BankQuarter!$R$5:$R$750,TRUE())</f>
        <v>52</v>
      </c>
      <c r="D53" s="0" t="n">
        <f aca="false">SUMIFS(BankQuarter!$F$5:$F$750,BankQuarter!$D$5:$D$750,A53,BankQuarter!$R$5:$R$750,TRUE())</f>
        <v>70509303</v>
      </c>
      <c r="E53" s="0" t="n">
        <f aca="false">SUMIFS(BankQuarter!$I$5:$I$750,BankQuarter!$D$5:$D$750,A53,BankQuarter!$R$5:$R$750,TRUE())</f>
        <v>206872</v>
      </c>
      <c r="F53" s="13" t="n">
        <f aca="false">IFERROR(100*E53/D53,"")</f>
        <v>0.293396745107522</v>
      </c>
      <c r="G53" s="0" t="n">
        <f aca="false">COUNTIFS(BankQuarter!$D$5:$D$750,A53,BankQuarter!$R$5:$R$750,FALSE())</f>
        <v>0</v>
      </c>
    </row>
    <row r="54" customFormat="false" ht="15" hidden="false" customHeight="false" outlineLevel="0" collapsed="false">
      <c r="A54" s="0" t="n">
        <v>20250331</v>
      </c>
      <c r="B54" s="0" t="s">
        <v>60</v>
      </c>
      <c r="C54" s="0" t="n">
        <f aca="false">COUNTIFS(BankQuarter!$D$5:$D$750,A54,BankQuarter!$R$5:$R$750,TRUE(),BankQuarter!$E$5:$E$750,B54)</f>
        <v>22</v>
      </c>
      <c r="D54" s="0" t="n">
        <f aca="false">SUMIFS(BankQuarter!$F$5:$F$750,BankQuarter!$D$5:$D$750,A54,BankQuarter!$R$5:$R$750,TRUE(),BankQuarter!$E$5:$E$750,B54)</f>
        <v>45509746</v>
      </c>
      <c r="E54" s="0" t="n">
        <f aca="false">SUMIFS(BankQuarter!$I$5:$I$750,BankQuarter!$D$5:$D$750,A54,BankQuarter!$R$5:$R$750,TRUE(),BankQuarter!$E$5:$E$750,B54)</f>
        <v>118037</v>
      </c>
      <c r="F54" s="13" t="n">
        <f aca="false">IFERROR(100*E54/D54,"")</f>
        <v>0.259366422304357</v>
      </c>
      <c r="G54" s="0" t="n">
        <f aca="false">COUNTIFS(BankQuarter!$D$5:$D$750,A54,BankQuarter!$R$5:$R$750,FALSE(),BankQuarter!$E$5:$E$750,B54)</f>
        <v>0</v>
      </c>
    </row>
    <row r="55" customFormat="false" ht="15" hidden="false" customHeight="false" outlineLevel="0" collapsed="false">
      <c r="A55" s="0" t="n">
        <v>20250331</v>
      </c>
      <c r="B55" s="0" t="s">
        <v>158</v>
      </c>
      <c r="C55" s="0" t="n">
        <f aca="false">COUNTIFS(BankQuarter!$D$5:$D$750,A55,BankQuarter!$R$5:$R$750,TRUE(),BankQuarter!$E$5:$E$750,B55)</f>
        <v>18</v>
      </c>
      <c r="D55" s="0" t="n">
        <f aca="false">SUMIFS(BankQuarter!$F$5:$F$750,BankQuarter!$D$5:$D$750,A55,BankQuarter!$R$5:$R$750,TRUE(),BankQuarter!$E$5:$E$750,B55)</f>
        <v>16458416</v>
      </c>
      <c r="E55" s="0" t="n">
        <f aca="false">SUMIFS(BankQuarter!$I$5:$I$750,BankQuarter!$D$5:$D$750,A55,BankQuarter!$R$5:$R$750,TRUE(),BankQuarter!$E$5:$E$750,B55)</f>
        <v>47401</v>
      </c>
      <c r="F55" s="13" t="n">
        <f aca="false">IFERROR(100*E55/D55,"")</f>
        <v>0.28800462936409</v>
      </c>
      <c r="G55" s="0" t="n">
        <f aca="false">COUNTIFS(BankQuarter!$D$5:$D$750,A55,BankQuarter!$R$5:$R$750,FALSE(),BankQuarter!$E$5:$E$750,B55)</f>
        <v>0</v>
      </c>
    </row>
    <row r="56" customFormat="false" ht="15" hidden="false" customHeight="false" outlineLevel="0" collapsed="false">
      <c r="A56" s="0" t="n">
        <v>20250331</v>
      </c>
      <c r="B56" s="0" t="s">
        <v>98</v>
      </c>
      <c r="C56" s="0" t="n">
        <f aca="false">COUNTIFS(BankQuarter!$D$5:$D$750,A56,BankQuarter!$R$5:$R$750,TRUE(),BankQuarter!$E$5:$E$750,B56)</f>
        <v>12</v>
      </c>
      <c r="D56" s="0" t="n">
        <f aca="false">SUMIFS(BankQuarter!$F$5:$F$750,BankQuarter!$D$5:$D$750,A56,BankQuarter!$R$5:$R$750,TRUE(),BankQuarter!$E$5:$E$750,B56)</f>
        <v>8541141</v>
      </c>
      <c r="E56" s="0" t="n">
        <f aca="false">SUMIFS(BankQuarter!$I$5:$I$750,BankQuarter!$D$5:$D$750,A56,BankQuarter!$R$5:$R$750,TRUE(),BankQuarter!$E$5:$E$750,B56)</f>
        <v>41434</v>
      </c>
      <c r="F56" s="13" t="n">
        <f aca="false">IFERROR(100*E56/D56,"")</f>
        <v>0.485110830040155</v>
      </c>
      <c r="G56" s="0" t="n">
        <f aca="false">COUNTIFS(BankQuarter!$D$5:$D$750,A56,BankQuarter!$R$5:$R$750,FALSE(),BankQuarter!$E$5:$E$750,B56)</f>
        <v>0</v>
      </c>
    </row>
    <row r="57" customFormat="false" ht="15" hidden="false" customHeight="false" outlineLevel="0" collapsed="false">
      <c r="A57" s="0" t="n">
        <v>20250630</v>
      </c>
      <c r="B57" s="0" t="s">
        <v>8383</v>
      </c>
      <c r="C57" s="0" t="n">
        <f aca="false">COUNTIFS(BankQuarter!$D$5:$D$750,A57,BankQuarter!$R$5:$R$750,TRUE())</f>
        <v>52</v>
      </c>
      <c r="D57" s="0" t="n">
        <f aca="false">SUMIFS(BankQuarter!$F$5:$F$750,BankQuarter!$D$5:$D$750,A57,BankQuarter!$R$5:$R$750,TRUE())</f>
        <v>71266944</v>
      </c>
      <c r="E57" s="0" t="n">
        <f aca="false">SUMIFS(BankQuarter!$I$5:$I$750,BankQuarter!$D$5:$D$750,A57,BankQuarter!$R$5:$R$750,TRUE())</f>
        <v>262400</v>
      </c>
      <c r="F57" s="13" t="n">
        <f aca="false">IFERROR(100*E57/D57,"")</f>
        <v>0.368193141549608</v>
      </c>
      <c r="G57" s="0" t="n">
        <f aca="false">COUNTIFS(BankQuarter!$D$5:$D$750,A57,BankQuarter!$R$5:$R$750,FALSE())</f>
        <v>0</v>
      </c>
    </row>
    <row r="58" customFormat="false" ht="15" hidden="false" customHeight="false" outlineLevel="0" collapsed="false">
      <c r="A58" s="0" t="n">
        <v>20250630</v>
      </c>
      <c r="B58" s="0" t="s">
        <v>60</v>
      </c>
      <c r="C58" s="0" t="n">
        <f aca="false">COUNTIFS(BankQuarter!$D$5:$D$750,A58,BankQuarter!$R$5:$R$750,TRUE(),BankQuarter!$E$5:$E$750,B58)</f>
        <v>22</v>
      </c>
      <c r="D58" s="0" t="n">
        <f aca="false">SUMIFS(BankQuarter!$F$5:$F$750,BankQuarter!$D$5:$D$750,A58,BankQuarter!$R$5:$R$750,TRUE(),BankQuarter!$E$5:$E$750,B58)</f>
        <v>46035765</v>
      </c>
      <c r="E58" s="0" t="n">
        <f aca="false">SUMIFS(BankQuarter!$I$5:$I$750,BankQuarter!$D$5:$D$750,A58,BankQuarter!$R$5:$R$750,TRUE(),BankQuarter!$E$5:$E$750,B58)</f>
        <v>169125</v>
      </c>
      <c r="F58" s="13" t="n">
        <f aca="false">IFERROR(100*E58/D58,"")</f>
        <v>0.367377407543896</v>
      </c>
      <c r="G58" s="0" t="n">
        <f aca="false">COUNTIFS(BankQuarter!$D$5:$D$750,A58,BankQuarter!$R$5:$R$750,FALSE(),BankQuarter!$E$5:$E$750,B58)</f>
        <v>0</v>
      </c>
    </row>
    <row r="59" customFormat="false" ht="15" hidden="false" customHeight="false" outlineLevel="0" collapsed="false">
      <c r="A59" s="0" t="n">
        <v>20250630</v>
      </c>
      <c r="B59" s="0" t="s">
        <v>158</v>
      </c>
      <c r="C59" s="0" t="n">
        <f aca="false">COUNTIFS(BankQuarter!$D$5:$D$750,A59,BankQuarter!$R$5:$R$750,TRUE(),BankQuarter!$E$5:$E$750,B59)</f>
        <v>18</v>
      </c>
      <c r="D59" s="0" t="n">
        <f aca="false">SUMIFS(BankQuarter!$F$5:$F$750,BankQuarter!$D$5:$D$750,A59,BankQuarter!$R$5:$R$750,TRUE(),BankQuarter!$E$5:$E$750,B59)</f>
        <v>16713625</v>
      </c>
      <c r="E59" s="0" t="n">
        <f aca="false">SUMIFS(BankQuarter!$I$5:$I$750,BankQuarter!$D$5:$D$750,A59,BankQuarter!$R$5:$R$750,TRUE(),BankQuarter!$E$5:$E$750,B59)</f>
        <v>51136</v>
      </c>
      <c r="F59" s="13" t="n">
        <f aca="false">IFERROR(100*E59/D59,"")</f>
        <v>0.305953974676349</v>
      </c>
      <c r="G59" s="0" t="n">
        <f aca="false">COUNTIFS(BankQuarter!$D$5:$D$750,A59,BankQuarter!$R$5:$R$750,FALSE(),BankQuarter!$E$5:$E$750,B59)</f>
        <v>0</v>
      </c>
    </row>
    <row r="60" customFormat="false" ht="15" hidden="false" customHeight="false" outlineLevel="0" collapsed="false">
      <c r="A60" s="0" t="n">
        <v>20250630</v>
      </c>
      <c r="B60" s="0" t="s">
        <v>98</v>
      </c>
      <c r="C60" s="0" t="n">
        <f aca="false">COUNTIFS(BankQuarter!$D$5:$D$750,A60,BankQuarter!$R$5:$R$750,TRUE(),BankQuarter!$E$5:$E$750,B60)</f>
        <v>12</v>
      </c>
      <c r="D60" s="0" t="n">
        <f aca="false">SUMIFS(BankQuarter!$F$5:$F$750,BankQuarter!$D$5:$D$750,A60,BankQuarter!$R$5:$R$750,TRUE(),BankQuarter!$E$5:$E$750,B60)</f>
        <v>8517554</v>
      </c>
      <c r="E60" s="0" t="n">
        <f aca="false">SUMIFS(BankQuarter!$I$5:$I$750,BankQuarter!$D$5:$D$750,A60,BankQuarter!$R$5:$R$750,TRUE(),BankQuarter!$E$5:$E$750,B60)</f>
        <v>42139</v>
      </c>
      <c r="F60" s="13" t="n">
        <f aca="false">IFERROR(100*E60/D60,"")</f>
        <v>0.494731233873011</v>
      </c>
      <c r="G60" s="0" t="n">
        <f aca="false">COUNTIFS(BankQuarter!$D$5:$D$750,A60,BankQuarter!$R$5:$R$750,FALSE(),BankQuarter!$E$5:$E$750,B60)</f>
        <v>0</v>
      </c>
    </row>
  </sheetData>
  <autoFilter ref="A4:G60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6" min="3" style="0" width="18"/>
    <col collapsed="false" customWidth="true" hidden="false" outlineLevel="0" max="7" min="7" style="0" width="22"/>
    <col collapsed="false" customWidth="true" hidden="false" outlineLevel="0" max="13" min="8" style="0" width="18"/>
  </cols>
  <sheetData>
    <row r="1" customFormat="false" ht="27.75" hidden="false" customHeight="true" outlineLevel="0" collapsed="false">
      <c r="A1" s="1" t="s">
        <v>8384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8385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8378</v>
      </c>
      <c r="B4" s="3" t="s">
        <v>8386</v>
      </c>
      <c r="C4" s="3" t="s">
        <v>8387</v>
      </c>
      <c r="D4" s="3" t="s">
        <v>8388</v>
      </c>
      <c r="E4" s="3" t="s">
        <v>8389</v>
      </c>
      <c r="F4" s="3" t="s">
        <v>8390</v>
      </c>
      <c r="G4" s="3" t="s">
        <v>8391</v>
      </c>
      <c r="H4" s="3" t="s">
        <v>8392</v>
      </c>
      <c r="I4" s="3" t="s">
        <v>8393</v>
      </c>
      <c r="J4" s="3" t="s">
        <v>8394</v>
      </c>
      <c r="K4" s="3" t="s">
        <v>8395</v>
      </c>
      <c r="L4" s="3" t="s">
        <v>8396</v>
      </c>
      <c r="M4" s="3" t="s">
        <v>8397</v>
      </c>
    </row>
    <row r="5" customFormat="false" ht="15" hidden="false" customHeight="false" outlineLevel="0" collapsed="false">
      <c r="A5" s="4" t="s">
        <v>8383</v>
      </c>
      <c r="B5" s="12" t="n">
        <f aca="false">IFERROR(100*SUMIFS(BankQuarter!$I$5:$I$750,BankQuarter!$D$5:$D$750,WF_START_PERIOD,BankQuarter!$R$5:$R$750,TRUE())/SUMIFS(BankQuarter!$F$5:$F$750,BankQuarter!$D$5:$D$750,WF_START_PERIOD,BankQuarter!$R$5:$R$750,TRUE()),"")</f>
        <v>0.298566468479958</v>
      </c>
      <c r="C5" s="12" t="n">
        <f aca="false">IFERROR(100*SUMIFS(BankQuarter!$I$5:$I$750,BankQuarter!$D$5:$D$750,WF_END_PERIOD,BankQuarter!$R$5:$R$750,TRUE())/SUMIFS(BankQuarter!$F$5:$F$750,BankQuarter!$D$5:$D$750,WF_END_PERIOD,BankQuarter!$R$5:$R$750,TRUE()),"")</f>
        <v>0.368193141549608</v>
      </c>
      <c r="D5" s="12" t="n">
        <f aca="false">C5-B5</f>
        <v>0.0696266730696499</v>
      </c>
      <c r="E5" s="12" t="n">
        <f aca="false">IFERROR(100*SUMPRODUCT((BankQuarter!$D$5:$D$750=WF_START_PERIOD)*(BankQuarter!$R$5:$R$750=TRUE())*(BankQuarter!$X$5:$X$750=TRUE())*BankQuarter!$I$5:$I$750)/SUMPRODUCT((BankQuarter!$D$5:$D$750=WF_START_PERIOD)*(BankQuarter!$R$5:$R$750=TRUE())*(BankQuarter!$X$5:$X$750=TRUE())*BankQuarter!$F$5:$F$750),"")</f>
        <v>0.29434260032551</v>
      </c>
      <c r="F5" s="12" t="n">
        <f aca="false">IFERROR(SUMPRODUCT((BankQuarter!$D$5:$D$750=WF_START_PERIOD)*(BankQuarter!$R$5:$R$750=TRUE())*(BankQuarter!$X$5:$X$750=TRUE())*BankQuarter!$F$5:$F$750*BankQuarter!$U$5:$U$750)/SUMPRODUCT((BankQuarter!$D$5:$D$750=WF_START_PERIOD)*(BankQuarter!$R$5:$R$750=TRUE())*(BankQuarter!$X$5:$X$750=TRUE())*BankQuarter!$F$5:$F$750),"")</f>
        <v>0.357373691564129</v>
      </c>
      <c r="G5" s="12" t="n">
        <f aca="false">F5-E5</f>
        <v>0.0630310912386183</v>
      </c>
      <c r="H5" s="12" t="n">
        <f aca="false">D5-G5</f>
        <v>0.00659558183103159</v>
      </c>
      <c r="I5" s="4" t="n">
        <f aca="false">SUMPRODUCT((BankQuarter!$D$5:$D$750=WF_START_PERIOD)*(BankQuarter!$R$5:$R$750=TRUE())*(BankQuarter!$X$5:$X$750=TRUE()))</f>
        <v>52</v>
      </c>
      <c r="J5" s="4" t="n">
        <f aca="false">SUMPRODUCT((BankQuarter!$D$5:$D$750=WF_END_PERIOD)*(BankQuarter!$R$5:$R$750=TRUE())*(BankQuarter!$W$5:$W$750=FALSE()))</f>
        <v>0</v>
      </c>
      <c r="K5" s="4" t="n">
        <f aca="false">SUMPRODUCT((BankQuarter!$D$5:$D$750=WF_START_PERIOD)*(BankQuarter!$R$5:$R$750=TRUE())*(BankQuarter!$X$5:$X$750=FALSE()))</f>
        <v>2</v>
      </c>
      <c r="L5" s="4" t="n">
        <f aca="false">SUMPRODUCT((BankQuarter!$D$5:$D$750=WF_END_PERIOD)*(BankQuarter!$R$5:$R$750=TRUE())*(BankQuarter!$W$5:$W$750=FALSE())*BankQuarter!$F$5:$F$750)</f>
        <v>0</v>
      </c>
      <c r="M5" s="4" t="n">
        <f aca="false">SUMPRODUCT((BankQuarter!$D$5:$D$750=WF_START_PERIOD)*(BankQuarter!$R$5:$R$750=TRUE())*(BankQuarter!$X$5:$X$750=FALSE())*BankQuarter!$F$5:$F$750)</f>
        <v>2924280</v>
      </c>
    </row>
    <row r="6" customFormat="false" ht="15" hidden="false" customHeight="false" outlineLevel="0" collapsed="false">
      <c r="A6" s="4" t="s">
        <v>60</v>
      </c>
      <c r="B6" s="12" t="n">
        <f aca="false">IFERROR(100*SUMIFS(BankQuarter!$I$5:$I$750,BankQuarter!$D$5:$D$750,WF_START_PERIOD,BankQuarter!$R$5:$R$750,TRUE(),BankQuarter!$E$5:$E$750,$A6)/SUMIFS(BankQuarter!$F$5:$F$750,BankQuarter!$D$5:$D$750,WF_START_PERIOD,BankQuarter!$R$5:$R$750,TRUE(),BankQuarter!$E$5:$E$750,$A6),"")</f>
        <v>0.264199848951287</v>
      </c>
      <c r="C6" s="12" t="n">
        <f aca="false">IFERROR(100*SUMIFS(BankQuarter!$I$5:$I$750,BankQuarter!$D$5:$D$750,WF_END_PERIOD,BankQuarter!$R$5:$R$750,TRUE(),BankQuarter!$E$5:$E$750,$A6)/SUMIFS(BankQuarter!$F$5:$F$750,BankQuarter!$D$5:$D$750,WF_END_PERIOD,BankQuarter!$R$5:$R$750,TRUE(),BankQuarter!$E$5:$E$750,$A6),"")</f>
        <v>0.367377407543896</v>
      </c>
      <c r="D6" s="12" t="n">
        <f aca="false">C6-B6</f>
        <v>0.103177558592608</v>
      </c>
      <c r="E6" s="12" t="n">
        <f aca="false">IFERROR(100*SUMPRODUCT((BankQuarter!$D$5:$D$750=WF_START_PERIOD)*(BankQuarter!$R$5:$R$750=TRUE())*(BankQuarter!$X$5:$X$750=TRUE())*(BankQuarter!$V$5:$V$750=$A6)*BankQuarter!$I$5:$I$750)/SUMPRODUCT((BankQuarter!$D$5:$D$750=WF_START_PERIOD)*(BankQuarter!$R$5:$R$750=TRUE())*(BankQuarter!$X$5:$X$750=TRUE())*(BankQuarter!$V$5:$V$750=$A6)*BankQuarter!$F$5:$F$750),"")</f>
        <v>0.255547638574897</v>
      </c>
      <c r="F6" s="12" t="n">
        <f aca="false">IFERROR(SUMPRODUCT((BankQuarter!$D$5:$D$750=WF_START_PERIOD)*(BankQuarter!$R$5:$R$750=TRUE())*(BankQuarter!$X$5:$X$750=TRUE())*(BankQuarter!$V$5:$V$750=$A6)*BankQuarter!$F$5:$F$750*BankQuarter!$U$5:$U$750)/SUMPRODUCT((BankQuarter!$D$5:$D$750=WF_START_PERIOD)*(BankQuarter!$R$5:$R$750=TRUE())*(BankQuarter!$X$5:$X$750=TRUE())*(BankQuarter!$V$5:$V$750=$A6)*BankQuarter!$F$5:$F$750),"")</f>
        <v>0.353037114034477</v>
      </c>
      <c r="G6" s="12" t="n">
        <f aca="false">F6-E6</f>
        <v>0.0974894754595806</v>
      </c>
      <c r="H6" s="12" t="n">
        <f aca="false">D6-G6</f>
        <v>0.00568808313302771</v>
      </c>
      <c r="I6" s="4" t="n">
        <f aca="false">SUMPRODUCT((BankQuarter!$D$5:$D$750=WF_START_PERIOD)*(BankQuarter!$R$5:$R$750=TRUE())*(BankQuarter!$X$5:$X$750=TRUE())*(BankQuarter!$V$5:$V$750=$A6))</f>
        <v>22</v>
      </c>
      <c r="J6" s="4" t="n">
        <f aca="false">SUMPRODUCT((BankQuarter!$D$5:$D$750=WF_END_PERIOD)*(BankQuarter!$R$5:$R$750=TRUE())*(BankQuarter!$E$5:$E$750=$A6)*((BankQuarter!$W$5:$W$750=FALSE())+(BankQuarter!$Y$5:$Y$750&lt;&gt;$A6)&gt;0))</f>
        <v>0</v>
      </c>
      <c r="K6" s="4" t="n">
        <f aca="false">SUMPRODUCT((BankQuarter!$D$5:$D$750=WF_START_PERIOD)*(BankQuarter!$R$5:$R$750=TRUE())*(BankQuarter!$E$5:$E$750=$A6)*((BankQuarter!$X$5:$X$750=FALSE())+(BankQuarter!$V$5:$V$750&lt;&gt;$A6)&gt;0))</f>
        <v>1</v>
      </c>
      <c r="L6" s="4" t="n">
        <f aca="false">SUMPRODUCT((BankQuarter!$D$5:$D$750=WF_END_PERIOD)*(BankQuarter!$R$5:$R$750=TRUE())*(BankQuarter!$E$5:$E$750=$A6)*((BankQuarter!$W$5:$W$750=FALSE())+(BankQuarter!$Y$5:$Y$750&lt;&gt;$A6)&gt;0)*BankQuarter!$F$5:$F$750)</f>
        <v>0</v>
      </c>
      <c r="M6" s="4" t="n">
        <f aca="false">SUMPRODUCT((BankQuarter!$D$5:$D$750=WF_START_PERIOD)*(BankQuarter!$R$5:$R$750=TRUE())*(BankQuarter!$E$5:$E$750=$A6)*((BankQuarter!$X$5:$X$750=FALSE())+(BankQuarter!$V$5:$V$750&lt;&gt;$A6)&gt;0)*BankQuarter!$F$5:$F$750)</f>
        <v>1653584</v>
      </c>
    </row>
    <row r="7" customFormat="false" ht="15" hidden="false" customHeight="false" outlineLevel="0" collapsed="false">
      <c r="A7" s="4" t="s">
        <v>158</v>
      </c>
      <c r="B7" s="12" t="n">
        <f aca="false">IFERROR(100*SUMIFS(BankQuarter!$I$5:$I$750,BankQuarter!$D$5:$D$750,WF_START_PERIOD,BankQuarter!$R$5:$R$750,TRUE(),BankQuarter!$E$5:$E$750,$A7)/SUMIFS(BankQuarter!$F$5:$F$750,BankQuarter!$D$5:$D$750,WF_START_PERIOD,BankQuarter!$R$5:$R$750,TRUE(),BankQuarter!$E$5:$E$750,$A7),"")</f>
        <v>0.365090333917</v>
      </c>
      <c r="C7" s="12" t="n">
        <f aca="false">IFERROR(100*SUMIFS(BankQuarter!$I$5:$I$750,BankQuarter!$D$5:$D$750,WF_END_PERIOD,BankQuarter!$R$5:$R$750,TRUE(),BankQuarter!$E$5:$E$750,$A7)/SUMIFS(BankQuarter!$F$5:$F$750,BankQuarter!$D$5:$D$750,WF_END_PERIOD,BankQuarter!$R$5:$R$750,TRUE(),BankQuarter!$E$5:$E$750,$A7),"")</f>
        <v>0.305953974676349</v>
      </c>
      <c r="D7" s="12" t="n">
        <f aca="false">C7-B7</f>
        <v>-0.0591363592406509</v>
      </c>
      <c r="E7" s="12" t="n">
        <f aca="false">IFERROR(100*SUMPRODUCT((BankQuarter!$D$5:$D$750=WF_START_PERIOD)*(BankQuarter!$R$5:$R$750=TRUE())*(BankQuarter!$X$5:$X$750=TRUE())*(BankQuarter!$V$5:$V$750=$A7)*BankQuarter!$I$5:$I$750)/SUMPRODUCT((BankQuarter!$D$5:$D$750=WF_START_PERIOD)*(BankQuarter!$R$5:$R$750=TRUE())*(BankQuarter!$X$5:$X$750=TRUE())*(BankQuarter!$V$5:$V$750=$A7)*BankQuarter!$F$5:$F$750),"")</f>
        <v>0.371862643189324</v>
      </c>
      <c r="F7" s="12" t="n">
        <f aca="false">IFERROR(SUMPRODUCT((BankQuarter!$D$5:$D$750=WF_START_PERIOD)*(BankQuarter!$R$5:$R$750=TRUE())*(BankQuarter!$X$5:$X$750=TRUE())*(BankQuarter!$V$5:$V$750=$A7)*BankQuarter!$F$5:$F$750*BankQuarter!$U$5:$U$750)/SUMPRODUCT((BankQuarter!$D$5:$D$750=WF_START_PERIOD)*(BankQuarter!$R$5:$R$750=TRUE())*(BankQuarter!$X$5:$X$750=TRUE())*(BankQuarter!$V$5:$V$750=$A7)*BankQuarter!$F$5:$F$750),"")</f>
        <v>0.299046108156666</v>
      </c>
      <c r="G7" s="12" t="n">
        <f aca="false">F7-E7</f>
        <v>-0.0728165350326575</v>
      </c>
      <c r="H7" s="12" t="n">
        <f aca="false">D7-G7</f>
        <v>0.0136801757920066</v>
      </c>
      <c r="I7" s="4" t="n">
        <f aca="false">SUMPRODUCT((BankQuarter!$D$5:$D$750=WF_START_PERIOD)*(BankQuarter!$R$5:$R$750=TRUE())*(BankQuarter!$X$5:$X$750=TRUE())*(BankQuarter!$V$5:$V$750=$A7))</f>
        <v>18</v>
      </c>
      <c r="J7" s="4" t="n">
        <f aca="false">SUMPRODUCT((BankQuarter!$D$5:$D$750=WF_END_PERIOD)*(BankQuarter!$R$5:$R$750=TRUE())*(BankQuarter!$E$5:$E$750=$A7)*((BankQuarter!$W$5:$W$750=FALSE())+(BankQuarter!$Y$5:$Y$750&lt;&gt;$A7)&gt;0))</f>
        <v>0</v>
      </c>
      <c r="K7" s="4" t="n">
        <f aca="false">SUMPRODUCT((BankQuarter!$D$5:$D$750=WF_START_PERIOD)*(BankQuarter!$R$5:$R$750=TRUE())*(BankQuarter!$E$5:$E$750=$A7)*((BankQuarter!$X$5:$X$750=FALSE())+(BankQuarter!$V$5:$V$750&lt;&gt;$A7)&gt;0))</f>
        <v>1</v>
      </c>
      <c r="L7" s="4" t="n">
        <f aca="false">SUMPRODUCT((BankQuarter!$D$5:$D$750=WF_END_PERIOD)*(BankQuarter!$R$5:$R$750=TRUE())*(BankQuarter!$E$5:$E$750=$A7)*((BankQuarter!$W$5:$W$750=FALSE())+(BankQuarter!$Y$5:$Y$750&lt;&gt;$A7)&gt;0)*BankQuarter!$F$5:$F$750)</f>
        <v>0</v>
      </c>
      <c r="M7" s="4" t="n">
        <f aca="false">SUMPRODUCT((BankQuarter!$D$5:$D$750=WF_START_PERIOD)*(BankQuarter!$R$5:$R$750=TRUE())*(BankQuarter!$E$5:$E$750=$A7)*((BankQuarter!$X$5:$X$750=FALSE())+(BankQuarter!$V$5:$V$750&lt;&gt;$A7)&gt;0)*BankQuarter!$F$5:$F$750)</f>
        <v>1270696</v>
      </c>
    </row>
    <row r="8" customFormat="false" ht="15" hidden="false" customHeight="false" outlineLevel="0" collapsed="false">
      <c r="A8" s="4" t="s">
        <v>98</v>
      </c>
      <c r="B8" s="12" t="n">
        <f aca="false">IFERROR(100*SUMIFS(BankQuarter!$I$5:$I$750,BankQuarter!$D$5:$D$750,WF_START_PERIOD,BankQuarter!$R$5:$R$750,TRUE(),BankQuarter!$E$5:$E$750,$A8)/SUMIFS(BankQuarter!$F$5:$F$750,BankQuarter!$D$5:$D$750,WF_START_PERIOD,BankQuarter!$R$5:$R$750,TRUE(),BankQuarter!$E$5:$E$750,$A8),"")</f>
        <v>0.338603855082762</v>
      </c>
      <c r="C8" s="12" t="n">
        <f aca="false">IFERROR(100*SUMIFS(BankQuarter!$I$5:$I$750,BankQuarter!$D$5:$D$750,WF_END_PERIOD,BankQuarter!$R$5:$R$750,TRUE(),BankQuarter!$E$5:$E$750,$A8)/SUMIFS(BankQuarter!$F$5:$F$750,BankQuarter!$D$5:$D$750,WF_END_PERIOD,BankQuarter!$R$5:$R$750,TRUE(),BankQuarter!$E$5:$E$750,$A8),"")</f>
        <v>0.494731233873011</v>
      </c>
      <c r="D8" s="12" t="n">
        <f aca="false">C8-B8</f>
        <v>0.156127378790249</v>
      </c>
      <c r="E8" s="12" t="n">
        <f aca="false">IFERROR(100*SUMPRODUCT((BankQuarter!$D$5:$D$750=WF_START_PERIOD)*(BankQuarter!$R$5:$R$750=TRUE())*(BankQuarter!$X$5:$X$750=TRUE())*(BankQuarter!$V$5:$V$750=$A8)*BankQuarter!$I$5:$I$750)/SUMPRODUCT((BankQuarter!$D$5:$D$750=WF_START_PERIOD)*(BankQuarter!$R$5:$R$750=TRUE())*(BankQuarter!$X$5:$X$750=TRUE())*(BankQuarter!$V$5:$V$750=$A8)*BankQuarter!$F$5:$F$750),"")</f>
        <v>0.338603855082762</v>
      </c>
      <c r="F8" s="12" t="n">
        <f aca="false">IFERROR(SUMPRODUCT((BankQuarter!$D$5:$D$750=WF_START_PERIOD)*(BankQuarter!$R$5:$R$750=TRUE())*(BankQuarter!$X$5:$X$750=TRUE())*(BankQuarter!$V$5:$V$750=$A8)*BankQuarter!$F$5:$F$750*BankQuarter!$U$5:$U$750)/SUMPRODUCT((BankQuarter!$D$5:$D$750=WF_START_PERIOD)*(BankQuarter!$R$5:$R$750=TRUE())*(BankQuarter!$X$5:$X$750=TRUE())*(BankQuarter!$V$5:$V$750=$A8)*BankQuarter!$F$5:$F$750),"")</f>
        <v>0.495417244299651</v>
      </c>
      <c r="G8" s="12" t="n">
        <f aca="false">F8-E8</f>
        <v>0.156813389216888</v>
      </c>
      <c r="H8" s="12" t="n">
        <f aca="false">D8-G8</f>
        <v>-0.000686010426639572</v>
      </c>
      <c r="I8" s="4" t="n">
        <f aca="false">SUMPRODUCT((BankQuarter!$D$5:$D$750=WF_START_PERIOD)*(BankQuarter!$R$5:$R$750=TRUE())*(BankQuarter!$X$5:$X$750=TRUE())*(BankQuarter!$V$5:$V$750=$A8))</f>
        <v>12</v>
      </c>
      <c r="J8" s="4" t="n">
        <f aca="false">SUMPRODUCT((BankQuarter!$D$5:$D$750=WF_END_PERIOD)*(BankQuarter!$R$5:$R$750=TRUE())*(BankQuarter!$E$5:$E$750=$A8)*((BankQuarter!$W$5:$W$750=FALSE())+(BankQuarter!$Y$5:$Y$750&lt;&gt;$A8)&gt;0))</f>
        <v>0</v>
      </c>
      <c r="K8" s="4" t="n">
        <f aca="false">SUMPRODUCT((BankQuarter!$D$5:$D$750=WF_START_PERIOD)*(BankQuarter!$R$5:$R$750=TRUE())*(BankQuarter!$E$5:$E$750=$A8)*((BankQuarter!$X$5:$X$750=FALSE())+(BankQuarter!$V$5:$V$750&lt;&gt;$A8)&gt;0))</f>
        <v>0</v>
      </c>
      <c r="L8" s="4" t="n">
        <f aca="false">SUMPRODUCT((BankQuarter!$D$5:$D$750=WF_END_PERIOD)*(BankQuarter!$R$5:$R$750=TRUE())*(BankQuarter!$E$5:$E$750=$A8)*((BankQuarter!$W$5:$W$750=FALSE())+(BankQuarter!$Y$5:$Y$750&lt;&gt;$A8)&gt;0)*BankQuarter!$F$5:$F$750)</f>
        <v>0</v>
      </c>
      <c r="M8" s="4" t="n">
        <f aca="false">SUMPRODUCT((BankQuarter!$D$5:$D$750=WF_START_PERIOD)*(BankQuarter!$R$5:$R$750=TRUE())*(BankQuarter!$E$5:$E$750=$A8)*((BankQuarter!$X$5:$X$750=FALSE())+(BankQuarter!$V$5:$V$750&lt;&gt;$A8)&gt;0)*BankQuarter!$F$5:$F$750)</f>
        <v>0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5" hidden="false" customHeight="false" outlineLevel="0" collapsed="false">
      <c r="A11" s="7" t="s">
        <v>8398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5" hidden="false" customHeight="true" outlineLevel="0" collapsed="false">
      <c r="A12" s="8" t="s">
        <v>8399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5" hidden="false" customHeight="false" outlineLevel="0" collapsed="false">
      <c r="A17" s="7" t="s">
        <v>8400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30" hidden="false" customHeight="true" outlineLevel="0" collapsed="false">
      <c r="A18" s="3" t="s">
        <v>23</v>
      </c>
      <c r="B18" s="3" t="s">
        <v>8310</v>
      </c>
      <c r="C18" s="3" t="s">
        <v>8401</v>
      </c>
      <c r="D18" s="3" t="s">
        <v>8402</v>
      </c>
      <c r="E18" s="3" t="s">
        <v>8403</v>
      </c>
      <c r="F18" s="3" t="s">
        <v>8404</v>
      </c>
      <c r="G18" s="3" t="s">
        <v>8405</v>
      </c>
      <c r="H18" s="3" t="s">
        <v>8406</v>
      </c>
      <c r="I18" s="3" t="s">
        <v>8407</v>
      </c>
      <c r="J18" s="3" t="s">
        <v>8408</v>
      </c>
      <c r="K18" s="3" t="s">
        <v>8409</v>
      </c>
      <c r="L18" s="3" t="s">
        <v>8410</v>
      </c>
      <c r="M18" s="3" t="s">
        <v>8411</v>
      </c>
    </row>
    <row r="19" customFormat="false" ht="15" hidden="false" customHeight="false" outlineLevel="0" collapsed="false">
      <c r="A19" s="4" t="n">
        <v>4255</v>
      </c>
      <c r="B19" s="4" t="str">
        <f aca="false">IF(COUNTIFS(BankQuarter!$B$5:$B$750,A19,BankQuarter!$D$5:$D$750,WF_END_PERIOD)&gt;0,INDEX(BankQuarter!$C$5:$C$750,MATCH(A19&amp;"|"&amp;WF_END_PERIOD,BankQuarter!$AC$5:$AC$750,0)),IF(COUNTIFS(BankQuarter!$B$5:$B$750,A19,BankQuarter!$D$5:$D$750,WF_START_PERIOD)&gt;0,INDEX(BankQuarter!$C$5:$C$750,MATCH(A19&amp;"|"&amp;WF_START_PERIOD,BankQuarter!$AC$5:$AC$750,0)),""))</f>
        <v>THE CAMDEN NATIONAL BANK</v>
      </c>
      <c r="C19" s="4" t="str">
        <f aca="false">IF(COUNTIFS(BankQuarter!$B$5:$B$750,A19,BankQuarter!$D$5:$D$750,WF_START_PERIOD)=0,"",INDEX(BankQuarter!$E$5:$E$750,MATCH(A19&amp;"|"&amp;WF_START_PERIOD,BankQuarter!$AC$5:$AC$750,0)))</f>
        <v>ME</v>
      </c>
      <c r="D19" s="4" t="str">
        <f aca="false">IF(COUNTIFS(BankQuarter!$B$5:$B$750,A19,BankQuarter!$D$5:$D$750,WF_END_PERIOD)=0,"",INDEX(BankQuarter!$E$5:$E$750,MATCH(A19&amp;"|"&amp;WF_END_PERIOD,BankQuarter!$AC$5:$AC$750,0)))</f>
        <v>ME</v>
      </c>
      <c r="E19" s="10" t="b">
        <f aca="false">COUNTIFS(BankQuarter!$B$5:$B$750,A19,BankQuarter!$D$5:$D$750,WF_START_PERIOD,BankQuarter!$R$5:$R$750,TRUE())&gt;0</f>
        <v>1</v>
      </c>
      <c r="F19" s="10" t="b">
        <f aca="false">COUNTIFS(BankQuarter!$B$5:$B$750,A19,BankQuarter!$D$5:$D$750,WF_END_PERIOD,BankQuarter!$R$5:$R$750,TRUE())&gt;0</f>
        <v>1</v>
      </c>
      <c r="G19" s="4" t="str">
        <f aca="false">IF(AND(E19,F19),IF(C19=D19,"Common","State move "&amp;C19&amp;"→"&amp;D19),IF(AND(E19,NOT(F19)),"Exiting ALL",IF(AND(NOT(E19),F19),"Entering ALL","Neither valid")))</f>
        <v>Common</v>
      </c>
      <c r="H19" s="4" t="n">
        <f aca="false">IF(COUNTIFS(BankQuarter!$B$5:$B$750,A19,BankQuarter!$D$5:$D$750,WF_START_PERIOD)=0,"",INDEX(BankQuarter!$F$5:$F$750,MATCH(A19&amp;"|"&amp;WF_START_PERIOD,BankQuarter!$AC$5:$AC$750,0)))</f>
        <v>5709625</v>
      </c>
      <c r="I19" s="4" t="n">
        <f aca="false">IF(COUNTIFS(BankQuarter!$B$5:$B$750,A19,BankQuarter!$D$5:$D$750,WF_END_PERIOD)=0,"",INDEX(BankQuarter!$F$5:$F$750,MATCH(A19&amp;"|"&amp;WF_END_PERIOD,BankQuarter!$AC$5:$AC$750,0)))</f>
        <v>6902692</v>
      </c>
      <c r="J19" s="4" t="n">
        <f aca="false">IF(COUNTIFS(BankQuarter!$B$5:$B$750,A19,BankQuarter!$D$5:$D$750,WF_START_PERIOD)=0,"",INDEX(BankQuarter!$A$5:$A$750,MATCH(A19&amp;"|"&amp;WF_START_PERIOD,BankQuarter!$AC$5:$AC$750,0)))</f>
        <v>527</v>
      </c>
      <c r="K19" s="4" t="n">
        <f aca="false">IF(COUNTIFS(BankQuarter!$B$5:$B$750,A19,BankQuarter!$D$5:$D$750,WF_END_PERIOD)=0,"",INDEX(BankQuarter!$A$5:$A$750,MATCH(A19&amp;"|"&amp;WF_END_PERIOD,BankQuarter!$AC$5:$AC$750,0)))</f>
        <v>739</v>
      </c>
      <c r="L19" s="12" t="n">
        <f aca="false">IF(COUNTIFS(BankQuarter!$B$5:$B$750,A19,BankQuarter!$D$5:$D$750,WF_START_PERIOD)=0,"",INDEX(BankQuarter!$S$5:$S$750,MATCH(A19&amp;"|"&amp;WF_START_PERIOD,BankQuarter!$AC$5:$AC$750,0)))</f>
        <v>0.136523852267005</v>
      </c>
      <c r="M19" s="12" t="n">
        <f aca="false">IF(COUNTIFS(BankQuarter!$B$5:$B$750,A19,BankQuarter!$D$5:$D$750,WF_END_PERIOD)=0,"",INDEX(BankQuarter!$S$5:$S$750,MATCH(A19&amp;"|"&amp;WF_END_PERIOD,BankQuarter!$AC$5:$AC$750,0)))</f>
        <v>0.263332044947102</v>
      </c>
    </row>
    <row r="20" customFormat="false" ht="15" hidden="false" customHeight="false" outlineLevel="0" collapsed="false">
      <c r="A20" s="4" t="n">
        <v>4256</v>
      </c>
      <c r="B20" s="4" t="str">
        <f aca="false">IF(COUNTIFS(BankQuarter!$B$5:$B$750,A20,BankQuarter!$D$5:$D$750,WF_END_PERIOD)&gt;0,INDEX(BankQuarter!$C$5:$C$750,MATCH(A20&amp;"|"&amp;WF_END_PERIOD,BankQuarter!$AC$5:$AC$750,0)),IF(COUNTIFS(BankQuarter!$B$5:$B$750,A20,BankQuarter!$D$5:$D$750,WF_START_PERIOD)&gt;0,INDEX(BankQuarter!$C$5:$C$750,MATCH(A20&amp;"|"&amp;WF_START_PERIOD,BankQuarter!$AC$5:$AC$750,0)),""))</f>
        <v>FIRST NATIONAL BANK</v>
      </c>
      <c r="C20" s="4" t="str">
        <f aca="false">IF(COUNTIFS(BankQuarter!$B$5:$B$750,A20,BankQuarter!$D$5:$D$750,WF_START_PERIOD)=0,"",INDEX(BankQuarter!$E$5:$E$750,MATCH(A20&amp;"|"&amp;WF_START_PERIOD,BankQuarter!$AC$5:$AC$750,0)))</f>
        <v>ME</v>
      </c>
      <c r="D20" s="4" t="str">
        <f aca="false">IF(COUNTIFS(BankQuarter!$B$5:$B$750,A20,BankQuarter!$D$5:$D$750,WF_END_PERIOD)=0,"",INDEX(BankQuarter!$E$5:$E$750,MATCH(A20&amp;"|"&amp;WF_END_PERIOD,BankQuarter!$AC$5:$AC$750,0)))</f>
        <v>ME</v>
      </c>
      <c r="E20" s="10" t="b">
        <f aca="false">COUNTIFS(BankQuarter!$B$5:$B$750,A20,BankQuarter!$D$5:$D$750,WF_START_PERIOD,BankQuarter!$R$5:$R$750,TRUE())&gt;0</f>
        <v>1</v>
      </c>
      <c r="F20" s="10" t="b">
        <f aca="false">COUNTIFS(BankQuarter!$B$5:$B$750,A20,BankQuarter!$D$5:$D$750,WF_END_PERIOD,BankQuarter!$R$5:$R$750,TRUE())&gt;0</f>
        <v>1</v>
      </c>
      <c r="G20" s="4" t="str">
        <f aca="false">IF(AND(E20,F20),IF(C20=D20,"Common","State move "&amp;C20&amp;"→"&amp;D20),IF(AND(E20,NOT(F20)),"Exiting ALL",IF(AND(NOT(E20),F20),"Entering ALL","Neither valid")))</f>
        <v>Common</v>
      </c>
      <c r="H20" s="4" t="n">
        <f aca="false">IF(COUNTIFS(BankQuarter!$B$5:$B$750,A20,BankQuarter!$D$5:$D$750,WF_START_PERIOD)=0,"",INDEX(BankQuarter!$F$5:$F$750,MATCH(A20&amp;"|"&amp;WF_START_PERIOD,BankQuarter!$AC$5:$AC$750,0)))</f>
        <v>3049270</v>
      </c>
      <c r="I20" s="4" t="n">
        <f aca="false">IF(COUNTIFS(BankQuarter!$B$5:$B$750,A20,BankQuarter!$D$5:$D$750,WF_END_PERIOD)=0,"",INDEX(BankQuarter!$F$5:$F$750,MATCH(A20&amp;"|"&amp;WF_END_PERIOD,BankQuarter!$AC$5:$AC$750,0)))</f>
        <v>3164056</v>
      </c>
      <c r="J20" s="4" t="n">
        <f aca="false">IF(COUNTIFS(BankQuarter!$B$5:$B$750,A20,BankQuarter!$D$5:$D$750,WF_START_PERIOD)=0,"",INDEX(BankQuarter!$A$5:$A$750,MATCH(A20&amp;"|"&amp;WF_START_PERIOD,BankQuarter!$AC$5:$AC$750,0)))</f>
        <v>528</v>
      </c>
      <c r="K20" s="4" t="n">
        <f aca="false">IF(COUNTIFS(BankQuarter!$B$5:$B$750,A20,BankQuarter!$D$5:$D$750,WF_END_PERIOD)=0,"",INDEX(BankQuarter!$A$5:$A$750,MATCH(A20&amp;"|"&amp;WF_END_PERIOD,BankQuarter!$AC$5:$AC$750,0)))</f>
        <v>740</v>
      </c>
      <c r="L20" s="12" t="n">
        <f aca="false">IF(COUNTIFS(BankQuarter!$B$5:$B$750,A20,BankQuarter!$D$5:$D$750,WF_START_PERIOD)=0,"",INDEX(BankQuarter!$S$5:$S$750,MATCH(A20&amp;"|"&amp;WF_START_PERIOD,BankQuarter!$AC$5:$AC$750,0)))</f>
        <v>0.086938841099673</v>
      </c>
      <c r="M20" s="12" t="n">
        <f aca="false">IF(COUNTIFS(BankQuarter!$B$5:$B$750,A20,BankQuarter!$D$5:$D$750,WF_END_PERIOD)=0,"",INDEX(BankQuarter!$S$5:$S$750,MATCH(A20&amp;"|"&amp;WF_END_PERIOD,BankQuarter!$AC$5:$AC$750,0)))</f>
        <v>0.205306100776977</v>
      </c>
    </row>
    <row r="21" customFormat="false" ht="15" hidden="false" customHeight="false" outlineLevel="0" collapsed="false">
      <c r="A21" s="0" t="n">
        <v>6271</v>
      </c>
      <c r="B21" s="0" t="str">
        <f aca="false">IF(COUNTIFS(BankQuarter!$B$5:$B$750,A21,BankQuarter!$D$5:$D$750,WF_END_PERIOD)&gt;0,INDEX(BankQuarter!$C$5:$C$750,MATCH(A21&amp;"|"&amp;WF_END_PERIOD,BankQuarter!$AC$5:$AC$750,0)),IF(COUNTIFS(BankQuarter!$B$5:$B$750,A21,BankQuarter!$D$5:$D$750,WF_START_PERIOD)&gt;0,INDEX(BankQuarter!$C$5:$C$750,MATCH(A21&amp;"|"&amp;WF_START_PERIOD,BankQuarter!$AC$5:$AC$750,0)),""))</f>
        <v>COMMUNITY NATIONAL BANK</v>
      </c>
      <c r="C21" s="0" t="str">
        <f aca="false">IF(COUNTIFS(BankQuarter!$B$5:$B$750,A21,BankQuarter!$D$5:$D$750,WF_START_PERIOD)=0,"",INDEX(BankQuarter!$E$5:$E$750,MATCH(A21&amp;"|"&amp;WF_START_PERIOD,BankQuarter!$AC$5:$AC$750,0)))</f>
        <v>VT</v>
      </c>
      <c r="D21" s="0" t="str">
        <f aca="false">IF(COUNTIFS(BankQuarter!$B$5:$B$750,A21,BankQuarter!$D$5:$D$750,WF_END_PERIOD)=0,"",INDEX(BankQuarter!$E$5:$E$750,MATCH(A21&amp;"|"&amp;WF_END_PERIOD,BankQuarter!$AC$5:$AC$750,0)))</f>
        <v>VT</v>
      </c>
      <c r="E21" s="11" t="b">
        <f aca="false">COUNTIFS(BankQuarter!$B$5:$B$750,A21,BankQuarter!$D$5:$D$750,WF_START_PERIOD,BankQuarter!$R$5:$R$750,TRUE())&gt;0</f>
        <v>1</v>
      </c>
      <c r="F21" s="11" t="b">
        <f aca="false">COUNTIFS(BankQuarter!$B$5:$B$750,A21,BankQuarter!$D$5:$D$750,WF_END_PERIOD,BankQuarter!$R$5:$R$750,TRUE())&gt;0</f>
        <v>1</v>
      </c>
      <c r="G21" s="0" t="str">
        <f aca="false">IF(AND(E21,F21),IF(C21=D21,"Common","State move "&amp;C21&amp;"→"&amp;D21),IF(AND(E21,NOT(F21)),"Exiting ALL",IF(AND(NOT(E21),F21),"Entering ALL","Neither valid")))</f>
        <v>Common</v>
      </c>
      <c r="H21" s="0" t="n">
        <f aca="false">IF(COUNTIFS(BankQuarter!$B$5:$B$750,A21,BankQuarter!$D$5:$D$750,WF_START_PERIOD)=0,"",INDEX(BankQuarter!$F$5:$F$750,MATCH(A21&amp;"|"&amp;WF_START_PERIOD,BankQuarter!$AC$5:$AC$750,0)))</f>
        <v>1099892</v>
      </c>
      <c r="I21" s="0" t="n">
        <f aca="false">IF(COUNTIFS(BankQuarter!$B$5:$B$750,A21,BankQuarter!$D$5:$D$750,WF_END_PERIOD)=0,"",INDEX(BankQuarter!$F$5:$F$750,MATCH(A21&amp;"|"&amp;WF_END_PERIOD,BankQuarter!$AC$5:$AC$750,0)))</f>
        <v>1166044</v>
      </c>
      <c r="J21" s="0" t="n">
        <f aca="false">IF(COUNTIFS(BankQuarter!$B$5:$B$750,A21,BankQuarter!$D$5:$D$750,WF_START_PERIOD)=0,"",INDEX(BankQuarter!$A$5:$A$750,MATCH(A21&amp;"|"&amp;WF_START_PERIOD,BankQuarter!$AC$5:$AC$750,0)))</f>
        <v>533</v>
      </c>
      <c r="K21" s="0" t="n">
        <f aca="false">IF(COUNTIFS(BankQuarter!$B$5:$B$750,A21,BankQuarter!$D$5:$D$750,WF_END_PERIOD)=0,"",INDEX(BankQuarter!$A$5:$A$750,MATCH(A21&amp;"|"&amp;WF_END_PERIOD,BankQuarter!$AC$5:$AC$750,0)))</f>
        <v>745</v>
      </c>
      <c r="L21" s="13" t="n">
        <f aca="false">IF(COUNTIFS(BankQuarter!$B$5:$B$750,A21,BankQuarter!$D$5:$D$750,WF_START_PERIOD)=0,"",INDEX(BankQuarter!$S$5:$S$750,MATCH(A21&amp;"|"&amp;WF_START_PERIOD,BankQuarter!$AC$5:$AC$750,0)))</f>
        <v>0.589694260891069</v>
      </c>
      <c r="M21" s="13" t="n">
        <f aca="false">IF(COUNTIFS(BankQuarter!$B$5:$B$750,A21,BankQuarter!$D$5:$D$750,WF_END_PERIOD)=0,"",INDEX(BankQuarter!$S$5:$S$750,MATCH(A21&amp;"|"&amp;WF_END_PERIOD,BankQuarter!$AC$5:$AC$750,0)))</f>
        <v>0.791651086922964</v>
      </c>
    </row>
    <row r="22" customFormat="false" ht="15" hidden="false" customHeight="false" outlineLevel="0" collapsed="false">
      <c r="A22" s="0" t="n">
        <v>6275</v>
      </c>
      <c r="B22" s="0" t="str">
        <f aca="false">IF(COUNTIFS(BankQuarter!$B$5:$B$750,A22,BankQuarter!$D$5:$D$750,WF_END_PERIOD)&gt;0,INDEX(BankQuarter!$C$5:$C$750,MATCH(A22&amp;"|"&amp;WF_END_PERIOD,BankQuarter!$AC$5:$AC$750,0)),IF(COUNTIFS(BankQuarter!$B$5:$B$750,A22,BankQuarter!$D$5:$D$750,WF_START_PERIOD)&gt;0,INDEX(BankQuarter!$C$5:$C$750,MATCH(A22&amp;"|"&amp;WF_START_PERIOD,BankQuarter!$AC$5:$AC$750,0)),""))</f>
        <v>THE NATIONAL BANK OF MIDDLEBURY</v>
      </c>
      <c r="C22" s="0" t="str">
        <f aca="false">IF(COUNTIFS(BankQuarter!$B$5:$B$750,A22,BankQuarter!$D$5:$D$750,WF_START_PERIOD)=0,"",INDEX(BankQuarter!$E$5:$E$750,MATCH(A22&amp;"|"&amp;WF_START_PERIOD,BankQuarter!$AC$5:$AC$750,0)))</f>
        <v>VT</v>
      </c>
      <c r="D22" s="0" t="str">
        <f aca="false">IF(COUNTIFS(BankQuarter!$B$5:$B$750,A22,BankQuarter!$D$5:$D$750,WF_END_PERIOD)=0,"",INDEX(BankQuarter!$E$5:$E$750,MATCH(A22&amp;"|"&amp;WF_END_PERIOD,BankQuarter!$AC$5:$AC$750,0)))</f>
        <v>VT</v>
      </c>
      <c r="E22" s="11" t="b">
        <f aca="false">COUNTIFS(BankQuarter!$B$5:$B$750,A22,BankQuarter!$D$5:$D$750,WF_START_PERIOD,BankQuarter!$R$5:$R$750,TRUE())&gt;0</f>
        <v>1</v>
      </c>
      <c r="F22" s="11" t="b">
        <f aca="false">COUNTIFS(BankQuarter!$B$5:$B$750,A22,BankQuarter!$D$5:$D$750,WF_END_PERIOD,BankQuarter!$R$5:$R$750,TRUE())&gt;0</f>
        <v>1</v>
      </c>
      <c r="G22" s="0" t="str">
        <f aca="false">IF(AND(E22,F22),IF(C22=D22,"Common","State move "&amp;C22&amp;"→"&amp;D22),IF(AND(E22,NOT(F22)),"Exiting ALL",IF(AND(NOT(E22),F22),"Entering ALL","Neither valid")))</f>
        <v>Common</v>
      </c>
      <c r="H22" s="0" t="n">
        <f aca="false">IF(COUNTIFS(BankQuarter!$B$5:$B$750,A22,BankQuarter!$D$5:$D$750,WF_START_PERIOD)=0,"",INDEX(BankQuarter!$F$5:$F$750,MATCH(A22&amp;"|"&amp;WF_START_PERIOD,BankQuarter!$AC$5:$AC$750,0)))</f>
        <v>555322</v>
      </c>
      <c r="I22" s="0" t="n">
        <f aca="false">IF(COUNTIFS(BankQuarter!$B$5:$B$750,A22,BankQuarter!$D$5:$D$750,WF_END_PERIOD)=0,"",INDEX(BankQuarter!$F$5:$F$750,MATCH(A22&amp;"|"&amp;WF_END_PERIOD,BankQuarter!$AC$5:$AC$750,0)))</f>
        <v>552605</v>
      </c>
      <c r="J22" s="0" t="n">
        <f aca="false">IF(COUNTIFS(BankQuarter!$B$5:$B$750,A22,BankQuarter!$D$5:$D$750,WF_START_PERIOD)=0,"",INDEX(BankQuarter!$A$5:$A$750,MATCH(A22&amp;"|"&amp;WF_START_PERIOD,BankQuarter!$AC$5:$AC$750,0)))</f>
        <v>534</v>
      </c>
      <c r="K22" s="0" t="n">
        <f aca="false">IF(COUNTIFS(BankQuarter!$B$5:$B$750,A22,BankQuarter!$D$5:$D$750,WF_END_PERIOD)=0,"",INDEX(BankQuarter!$A$5:$A$750,MATCH(A22&amp;"|"&amp;WF_END_PERIOD,BankQuarter!$AC$5:$AC$750,0)))</f>
        <v>746</v>
      </c>
      <c r="L22" s="13" t="n">
        <f aca="false">IF(COUNTIFS(BankQuarter!$B$5:$B$750,A22,BankQuarter!$D$5:$D$750,WF_START_PERIOD)=0,"",INDEX(BankQuarter!$S$5:$S$750,MATCH(A22&amp;"|"&amp;WF_START_PERIOD,BankQuarter!$AC$5:$AC$750,0)))</f>
        <v>0.203845696730906</v>
      </c>
      <c r="M22" s="13" t="n">
        <f aca="false">IF(COUNTIFS(BankQuarter!$B$5:$B$750,A22,BankQuarter!$D$5:$D$750,WF_END_PERIOD)=0,"",INDEX(BankQuarter!$S$5:$S$750,MATCH(A22&amp;"|"&amp;WF_END_PERIOD,BankQuarter!$AC$5:$AC$750,0)))</f>
        <v>0.117986626975869</v>
      </c>
    </row>
    <row r="23" customFormat="false" ht="15" hidden="false" customHeight="false" outlineLevel="0" collapsed="false">
      <c r="A23" s="0" t="n">
        <v>6280</v>
      </c>
      <c r="B23" s="0" t="str">
        <f aca="false">IF(COUNTIFS(BankQuarter!$B$5:$B$750,A23,BankQuarter!$D$5:$D$750,WF_END_PERIOD)&gt;0,INDEX(BankQuarter!$C$5:$C$750,MATCH(A23&amp;"|"&amp;WF_END_PERIOD,BankQuarter!$AC$5:$AC$750,0)),IF(COUNTIFS(BankQuarter!$B$5:$B$750,A23,BankQuarter!$D$5:$D$750,WF_START_PERIOD)&gt;0,INDEX(BankQuarter!$C$5:$C$750,MATCH(A23&amp;"|"&amp;WF_START_PERIOD,BankQuarter!$AC$5:$AC$750,0)),""))</f>
        <v>THE FIRST NATIONAL BANK OF ORWELL</v>
      </c>
      <c r="C23" s="0" t="str">
        <f aca="false">IF(COUNTIFS(BankQuarter!$B$5:$B$750,A23,BankQuarter!$D$5:$D$750,WF_START_PERIOD)=0,"",INDEX(BankQuarter!$E$5:$E$750,MATCH(A23&amp;"|"&amp;WF_START_PERIOD,BankQuarter!$AC$5:$AC$750,0)))</f>
        <v>VT</v>
      </c>
      <c r="D23" s="0" t="str">
        <f aca="false">IF(COUNTIFS(BankQuarter!$B$5:$B$750,A23,BankQuarter!$D$5:$D$750,WF_END_PERIOD)=0,"",INDEX(BankQuarter!$E$5:$E$750,MATCH(A23&amp;"|"&amp;WF_END_PERIOD,BankQuarter!$AC$5:$AC$750,0)))</f>
        <v>VT</v>
      </c>
      <c r="E23" s="11" t="b">
        <f aca="false">COUNTIFS(BankQuarter!$B$5:$B$750,A23,BankQuarter!$D$5:$D$750,WF_START_PERIOD,BankQuarter!$R$5:$R$750,TRUE())&gt;0</f>
        <v>1</v>
      </c>
      <c r="F23" s="11" t="b">
        <f aca="false">COUNTIFS(BankQuarter!$B$5:$B$750,A23,BankQuarter!$D$5:$D$750,WF_END_PERIOD,BankQuarter!$R$5:$R$750,TRUE())&gt;0</f>
        <v>1</v>
      </c>
      <c r="G23" s="0" t="str">
        <f aca="false">IF(AND(E23,F23),IF(C23=D23,"Common","State move "&amp;C23&amp;"→"&amp;D23),IF(AND(E23,NOT(F23)),"Exiting ALL",IF(AND(NOT(E23),F23),"Entering ALL","Neither valid")))</f>
        <v>Common</v>
      </c>
      <c r="H23" s="0" t="n">
        <f aca="false">IF(COUNTIFS(BankQuarter!$B$5:$B$750,A23,BankQuarter!$D$5:$D$750,WF_START_PERIOD)=0,"",INDEX(BankQuarter!$F$5:$F$750,MATCH(A23&amp;"|"&amp;WF_START_PERIOD,BankQuarter!$AC$5:$AC$750,0)))</f>
        <v>81265</v>
      </c>
      <c r="I23" s="0" t="n">
        <f aca="false">IF(COUNTIFS(BankQuarter!$B$5:$B$750,A23,BankQuarter!$D$5:$D$750,WF_END_PERIOD)=0,"",INDEX(BankQuarter!$F$5:$F$750,MATCH(A23&amp;"|"&amp;WF_END_PERIOD,BankQuarter!$AC$5:$AC$750,0)))</f>
        <v>87770</v>
      </c>
      <c r="J23" s="0" t="n">
        <f aca="false">IF(COUNTIFS(BankQuarter!$B$5:$B$750,A23,BankQuarter!$D$5:$D$750,WF_START_PERIOD)=0,"",INDEX(BankQuarter!$A$5:$A$750,MATCH(A23&amp;"|"&amp;WF_START_PERIOD,BankQuarter!$AC$5:$AC$750,0)))</f>
        <v>535</v>
      </c>
      <c r="K23" s="0" t="n">
        <f aca="false">IF(COUNTIFS(BankQuarter!$B$5:$B$750,A23,BankQuarter!$D$5:$D$750,WF_END_PERIOD)=0,"",INDEX(BankQuarter!$A$5:$A$750,MATCH(A23&amp;"|"&amp;WF_END_PERIOD,BankQuarter!$AC$5:$AC$750,0)))</f>
        <v>747</v>
      </c>
      <c r="L23" s="13" t="n">
        <f aca="false">IF(COUNTIFS(BankQuarter!$B$5:$B$750,A23,BankQuarter!$D$5:$D$750,WF_START_PERIOD)=0,"",INDEX(BankQuarter!$S$5:$S$750,MATCH(A23&amp;"|"&amp;WF_START_PERIOD,BankQuarter!$AC$5:$AC$750,0)))</f>
        <v>1.48403371685227</v>
      </c>
      <c r="M23" s="13" t="n">
        <f aca="false">IF(COUNTIFS(BankQuarter!$B$5:$B$750,A23,BankQuarter!$D$5:$D$750,WF_END_PERIOD)=0,"",INDEX(BankQuarter!$S$5:$S$750,MATCH(A23&amp;"|"&amp;WF_END_PERIOD,BankQuarter!$AC$5:$AC$750,0)))</f>
        <v>1.65774182522502</v>
      </c>
    </row>
    <row r="24" customFormat="false" ht="15" hidden="false" customHeight="false" outlineLevel="0" collapsed="false">
      <c r="A24" s="0" t="n">
        <v>11971</v>
      </c>
      <c r="B24" s="0" t="str">
        <f aca="false">IF(COUNTIFS(BankQuarter!$B$5:$B$750,A24,BankQuarter!$D$5:$D$750,WF_END_PERIOD)&gt;0,INDEX(BankQuarter!$C$5:$C$750,MATCH(A24&amp;"|"&amp;WF_END_PERIOD,BankQuarter!$AC$5:$AC$750,0)),IF(COUNTIFS(BankQuarter!$B$5:$B$750,A24,BankQuarter!$D$5:$D$750,WF_START_PERIOD)&gt;0,INDEX(BankQuarter!$C$5:$C$750,MATCH(A24&amp;"|"&amp;WF_START_PERIOD,BankQuarter!$AC$5:$AC$750,0)),""))</f>
        <v>BAR HARBOR BANK &amp; TRUST</v>
      </c>
      <c r="C24" s="0" t="str">
        <f aca="false">IF(COUNTIFS(BankQuarter!$B$5:$B$750,A24,BankQuarter!$D$5:$D$750,WF_START_PERIOD)=0,"",INDEX(BankQuarter!$E$5:$E$750,MATCH(A24&amp;"|"&amp;WF_START_PERIOD,BankQuarter!$AC$5:$AC$750,0)))</f>
        <v>ME</v>
      </c>
      <c r="D24" s="0" t="str">
        <f aca="false">IF(COUNTIFS(BankQuarter!$B$5:$B$750,A24,BankQuarter!$D$5:$D$750,WF_END_PERIOD)=0,"",INDEX(BankQuarter!$E$5:$E$750,MATCH(A24&amp;"|"&amp;WF_END_PERIOD,BankQuarter!$AC$5:$AC$750,0)))</f>
        <v>ME</v>
      </c>
      <c r="E24" s="11" t="b">
        <f aca="false">COUNTIFS(BankQuarter!$B$5:$B$750,A24,BankQuarter!$D$5:$D$750,WF_START_PERIOD,BankQuarter!$R$5:$R$750,TRUE())&gt;0</f>
        <v>1</v>
      </c>
      <c r="F24" s="11" t="b">
        <f aca="false">COUNTIFS(BankQuarter!$B$5:$B$750,A24,BankQuarter!$D$5:$D$750,WF_END_PERIOD,BankQuarter!$R$5:$R$750,TRUE())&gt;0</f>
        <v>1</v>
      </c>
      <c r="G24" s="0" t="str">
        <f aca="false">IF(AND(E24,F24),IF(C24=D24,"Common","State move "&amp;C24&amp;"→"&amp;D24),IF(AND(E24,NOT(F24)),"Exiting ALL",IF(AND(NOT(E24),F24),"Entering ALL","Neither valid")))</f>
        <v>Common</v>
      </c>
      <c r="H24" s="0" t="n">
        <f aca="false">IF(COUNTIFS(BankQuarter!$B$5:$B$750,A24,BankQuarter!$D$5:$D$750,WF_START_PERIOD)=0,"",INDEX(BankQuarter!$F$5:$F$750,MATCH(A24&amp;"|"&amp;WF_START_PERIOD,BankQuarter!$AC$5:$AC$750,0)))</f>
        <v>4030143</v>
      </c>
      <c r="I24" s="0" t="n">
        <f aca="false">IF(COUNTIFS(BankQuarter!$B$5:$B$750,A24,BankQuarter!$D$5:$D$750,WF_END_PERIOD)=0,"",INDEX(BankQuarter!$F$5:$F$750,MATCH(A24&amp;"|"&amp;WF_END_PERIOD,BankQuarter!$AC$5:$AC$750,0)))</f>
        <v>4106441</v>
      </c>
      <c r="J24" s="0" t="n">
        <f aca="false">IF(COUNTIFS(BankQuarter!$B$5:$B$750,A24,BankQuarter!$D$5:$D$750,WF_START_PERIOD)=0,"",INDEX(BankQuarter!$A$5:$A$750,MATCH(A24&amp;"|"&amp;WF_START_PERIOD,BankQuarter!$AC$5:$AC$750,0)))</f>
        <v>482</v>
      </c>
      <c r="K24" s="0" t="n">
        <f aca="false">IF(COUNTIFS(BankQuarter!$B$5:$B$750,A24,BankQuarter!$D$5:$D$750,WF_END_PERIOD)=0,"",INDEX(BankQuarter!$A$5:$A$750,MATCH(A24&amp;"|"&amp;WF_END_PERIOD,BankQuarter!$AC$5:$AC$750,0)))</f>
        <v>696</v>
      </c>
      <c r="L24" s="13" t="n">
        <f aca="false">IF(COUNTIFS(BankQuarter!$B$5:$B$750,A24,BankQuarter!$D$5:$D$750,WF_START_PERIOD)=0,"",INDEX(BankQuarter!$S$5:$S$750,MATCH(A24&amp;"|"&amp;WF_START_PERIOD,BankQuarter!$AC$5:$AC$750,0)))</f>
        <v>0.156570126667962</v>
      </c>
      <c r="M24" s="13" t="n">
        <f aca="false">IF(COUNTIFS(BankQuarter!$B$5:$B$750,A24,BankQuarter!$D$5:$D$750,WF_END_PERIOD)=0,"",INDEX(BankQuarter!$S$5:$S$750,MATCH(A24&amp;"|"&amp;WF_END_PERIOD,BankQuarter!$AC$5:$AC$750,0)))</f>
        <v>0.24744054523126</v>
      </c>
    </row>
    <row r="25" customFormat="false" ht="15" hidden="false" customHeight="false" outlineLevel="0" collapsed="false">
      <c r="A25" s="0" t="n">
        <v>12874</v>
      </c>
      <c r="B25" s="0" t="str">
        <f aca="false">IF(COUNTIFS(BankQuarter!$B$5:$B$750,A25,BankQuarter!$D$5:$D$750,WF_END_PERIOD)&gt;0,INDEX(BankQuarter!$C$5:$C$750,MATCH(A25&amp;"|"&amp;WF_END_PERIOD,BankQuarter!$AC$5:$AC$750,0)),IF(COUNTIFS(BankQuarter!$B$5:$B$750,A25,BankQuarter!$D$5:$D$750,WF_START_PERIOD)&gt;0,INDEX(BankQuarter!$C$5:$C$750,MATCH(A25&amp;"|"&amp;WF_START_PERIOD,BankQuarter!$AC$5:$AC$750,0)),""))</f>
        <v>KATAHDIN TRUST COMPANY</v>
      </c>
      <c r="C25" s="0" t="str">
        <f aca="false">IF(COUNTIFS(BankQuarter!$B$5:$B$750,A25,BankQuarter!$D$5:$D$750,WF_START_PERIOD)=0,"",INDEX(BankQuarter!$E$5:$E$750,MATCH(A25&amp;"|"&amp;WF_START_PERIOD,BankQuarter!$AC$5:$AC$750,0)))</f>
        <v>ME</v>
      </c>
      <c r="D25" s="0" t="str">
        <f aca="false">IF(COUNTIFS(BankQuarter!$B$5:$B$750,A25,BankQuarter!$D$5:$D$750,WF_END_PERIOD)=0,"",INDEX(BankQuarter!$E$5:$E$750,MATCH(A25&amp;"|"&amp;WF_END_PERIOD,BankQuarter!$AC$5:$AC$750,0)))</f>
        <v>ME</v>
      </c>
      <c r="E25" s="11" t="b">
        <f aca="false">COUNTIFS(BankQuarter!$B$5:$B$750,A25,BankQuarter!$D$5:$D$750,WF_START_PERIOD,BankQuarter!$R$5:$R$750,TRUE())&gt;0</f>
        <v>1</v>
      </c>
      <c r="F25" s="11" t="b">
        <f aca="false">COUNTIFS(BankQuarter!$B$5:$B$750,A25,BankQuarter!$D$5:$D$750,WF_END_PERIOD,BankQuarter!$R$5:$R$750,TRUE())&gt;0</f>
        <v>1</v>
      </c>
      <c r="G25" s="0" t="str">
        <f aca="false">IF(AND(E25,F25),IF(C25=D25,"Common","State move "&amp;C25&amp;"→"&amp;D25),IF(AND(E25,NOT(F25)),"Exiting ALL",IF(AND(NOT(E25),F25),"Entering ALL","Neither valid")))</f>
        <v>Common</v>
      </c>
      <c r="H25" s="0" t="n">
        <f aca="false">IF(COUNTIFS(BankQuarter!$B$5:$B$750,A25,BankQuarter!$D$5:$D$750,WF_START_PERIOD)=0,"",INDEX(BankQuarter!$F$5:$F$750,MATCH(A25&amp;"|"&amp;WF_START_PERIOD,BankQuarter!$AC$5:$AC$750,0)))</f>
        <v>1036850</v>
      </c>
      <c r="I25" s="0" t="n">
        <f aca="false">IF(COUNTIFS(BankQuarter!$B$5:$B$750,A25,BankQuarter!$D$5:$D$750,WF_END_PERIOD)=0,"",INDEX(BankQuarter!$F$5:$F$750,MATCH(A25&amp;"|"&amp;WF_END_PERIOD,BankQuarter!$AC$5:$AC$750,0)))</f>
        <v>1085692</v>
      </c>
      <c r="J25" s="0" t="n">
        <f aca="false">IF(COUNTIFS(BankQuarter!$B$5:$B$750,A25,BankQuarter!$D$5:$D$750,WF_START_PERIOD)=0,"",INDEX(BankQuarter!$A$5:$A$750,MATCH(A25&amp;"|"&amp;WF_START_PERIOD,BankQuarter!$AC$5:$AC$750,0)))</f>
        <v>483</v>
      </c>
      <c r="K25" s="0" t="n">
        <f aca="false">IF(COUNTIFS(BankQuarter!$B$5:$B$750,A25,BankQuarter!$D$5:$D$750,WF_END_PERIOD)=0,"",INDEX(BankQuarter!$A$5:$A$750,MATCH(A25&amp;"|"&amp;WF_END_PERIOD,BankQuarter!$AC$5:$AC$750,0)))</f>
        <v>697</v>
      </c>
      <c r="L25" s="13" t="n">
        <f aca="false">IF(COUNTIFS(BankQuarter!$B$5:$B$750,A25,BankQuarter!$D$5:$D$750,WF_START_PERIOD)=0,"",INDEX(BankQuarter!$S$5:$S$750,MATCH(A25&amp;"|"&amp;WF_START_PERIOD,BankQuarter!$AC$5:$AC$750,0)))</f>
        <v>0.146212084679558</v>
      </c>
      <c r="M25" s="13" t="n">
        <f aca="false">IF(COUNTIFS(BankQuarter!$B$5:$B$750,A25,BankQuarter!$D$5:$D$750,WF_END_PERIOD)=0,"",INDEX(BankQuarter!$S$5:$S$750,MATCH(A25&amp;"|"&amp;WF_END_PERIOD,BankQuarter!$AC$5:$AC$750,0)))</f>
        <v>0.12821315805956</v>
      </c>
    </row>
    <row r="26" customFormat="false" ht="15" hidden="false" customHeight="false" outlineLevel="0" collapsed="false">
      <c r="A26" s="0" t="n">
        <v>13063</v>
      </c>
      <c r="B26" s="0" t="str">
        <f aca="false">IF(COUNTIFS(BankQuarter!$B$5:$B$750,A26,BankQuarter!$D$5:$D$750,WF_END_PERIOD)&gt;0,INDEX(BankQuarter!$C$5:$C$750,MATCH(A26&amp;"|"&amp;WF_END_PERIOD,BankQuarter!$AC$5:$AC$750,0)),IF(COUNTIFS(BankQuarter!$B$5:$B$750,A26,BankQuarter!$D$5:$D$750,WF_START_PERIOD)&gt;0,INDEX(BankQuarter!$C$5:$C$750,MATCH(A26&amp;"|"&amp;WF_START_PERIOD,BankQuarter!$AC$5:$AC$750,0)),""))</f>
        <v>KENNEBUNK SAVINGS BANK</v>
      </c>
      <c r="C26" s="0" t="str">
        <f aca="false">IF(COUNTIFS(BankQuarter!$B$5:$B$750,A26,BankQuarter!$D$5:$D$750,WF_START_PERIOD)=0,"",INDEX(BankQuarter!$E$5:$E$750,MATCH(A26&amp;"|"&amp;WF_START_PERIOD,BankQuarter!$AC$5:$AC$750,0)))</f>
        <v>ME</v>
      </c>
      <c r="D26" s="0" t="str">
        <f aca="false">IF(COUNTIFS(BankQuarter!$B$5:$B$750,A26,BankQuarter!$D$5:$D$750,WF_END_PERIOD)=0,"",INDEX(BankQuarter!$E$5:$E$750,MATCH(A26&amp;"|"&amp;WF_END_PERIOD,BankQuarter!$AC$5:$AC$750,0)))</f>
        <v>ME</v>
      </c>
      <c r="E26" s="11" t="b">
        <f aca="false">COUNTIFS(BankQuarter!$B$5:$B$750,A26,BankQuarter!$D$5:$D$750,WF_START_PERIOD,BankQuarter!$R$5:$R$750,TRUE())&gt;0</f>
        <v>1</v>
      </c>
      <c r="F26" s="11" t="b">
        <f aca="false">COUNTIFS(BankQuarter!$B$5:$B$750,A26,BankQuarter!$D$5:$D$750,WF_END_PERIOD,BankQuarter!$R$5:$R$750,TRUE())&gt;0</f>
        <v>1</v>
      </c>
      <c r="G26" s="0" t="str">
        <f aca="false">IF(AND(E26,F26),IF(C26=D26,"Common","State move "&amp;C26&amp;"→"&amp;D26),IF(AND(E26,NOT(F26)),"Exiting ALL",IF(AND(NOT(E26),F26),"Entering ALL","Neither valid")))</f>
        <v>Common</v>
      </c>
      <c r="H26" s="0" t="n">
        <f aca="false">IF(COUNTIFS(BankQuarter!$B$5:$B$750,A26,BankQuarter!$D$5:$D$750,WF_START_PERIOD)=0,"",INDEX(BankQuarter!$F$5:$F$750,MATCH(A26&amp;"|"&amp;WF_START_PERIOD,BankQuarter!$AC$5:$AC$750,0)))</f>
        <v>1848882</v>
      </c>
      <c r="I26" s="0" t="n">
        <f aca="false">IF(COUNTIFS(BankQuarter!$B$5:$B$750,A26,BankQuarter!$D$5:$D$750,WF_END_PERIOD)=0,"",INDEX(BankQuarter!$F$5:$F$750,MATCH(A26&amp;"|"&amp;WF_END_PERIOD,BankQuarter!$AC$5:$AC$750,0)))</f>
        <v>1933479</v>
      </c>
      <c r="J26" s="0" t="n">
        <f aca="false">IF(COUNTIFS(BankQuarter!$B$5:$B$750,A26,BankQuarter!$D$5:$D$750,WF_START_PERIOD)=0,"",INDEX(BankQuarter!$A$5:$A$750,MATCH(A26&amp;"|"&amp;WF_START_PERIOD,BankQuarter!$AC$5:$AC$750,0)))</f>
        <v>484</v>
      </c>
      <c r="K26" s="0" t="n">
        <f aca="false">IF(COUNTIFS(BankQuarter!$B$5:$B$750,A26,BankQuarter!$D$5:$D$750,WF_END_PERIOD)=0,"",INDEX(BankQuarter!$A$5:$A$750,MATCH(A26&amp;"|"&amp;WF_END_PERIOD,BankQuarter!$AC$5:$AC$750,0)))</f>
        <v>698</v>
      </c>
      <c r="L26" s="13" t="n">
        <f aca="false">IF(COUNTIFS(BankQuarter!$B$5:$B$750,A26,BankQuarter!$D$5:$D$750,WF_START_PERIOD)=0,"",INDEX(BankQuarter!$S$5:$S$750,MATCH(A26&amp;"|"&amp;WF_START_PERIOD,BankQuarter!$AC$5:$AC$750,0)))</f>
        <v>0.0379148047306426</v>
      </c>
      <c r="M26" s="13" t="n">
        <f aca="false">IF(COUNTIFS(BankQuarter!$B$5:$B$750,A26,BankQuarter!$D$5:$D$750,WF_END_PERIOD)=0,"",INDEX(BankQuarter!$S$5:$S$750,MATCH(A26&amp;"|"&amp;WF_END_PERIOD,BankQuarter!$AC$5:$AC$750,0)))</f>
        <v>0.126507709677736</v>
      </c>
    </row>
    <row r="27" customFormat="false" ht="15" hidden="false" customHeight="false" outlineLevel="0" collapsed="false">
      <c r="A27" s="0" t="n">
        <v>14134</v>
      </c>
      <c r="B27" s="0" t="str">
        <f aca="false">IF(COUNTIFS(BankQuarter!$B$5:$B$750,A27,BankQuarter!$D$5:$D$750,WF_END_PERIOD)&gt;0,INDEX(BankQuarter!$C$5:$C$750,MATCH(A27&amp;"|"&amp;WF_END_PERIOD,BankQuarter!$AC$5:$AC$750,0)),IF(COUNTIFS(BankQuarter!$B$5:$B$750,A27,BankQuarter!$D$5:$D$750,WF_START_PERIOD)&gt;0,INDEX(BankQuarter!$C$5:$C$750,MATCH(A27&amp;"|"&amp;WF_START_PERIOD,BankQuarter!$AC$5:$AC$750,0)),""))</f>
        <v>PASSUMPSIC SAVINGS BANK</v>
      </c>
      <c r="C27" s="0" t="str">
        <f aca="false">IF(COUNTIFS(BankQuarter!$B$5:$B$750,A27,BankQuarter!$D$5:$D$750,WF_START_PERIOD)=0,"",INDEX(BankQuarter!$E$5:$E$750,MATCH(A27&amp;"|"&amp;WF_START_PERIOD,BankQuarter!$AC$5:$AC$750,0)))</f>
        <v>VT</v>
      </c>
      <c r="D27" s="0" t="str">
        <f aca="false">IF(COUNTIFS(BankQuarter!$B$5:$B$750,A27,BankQuarter!$D$5:$D$750,WF_END_PERIOD)=0,"",INDEX(BankQuarter!$E$5:$E$750,MATCH(A27&amp;"|"&amp;WF_END_PERIOD,BankQuarter!$AC$5:$AC$750,0)))</f>
        <v>VT</v>
      </c>
      <c r="E27" s="11" t="b">
        <f aca="false">COUNTIFS(BankQuarter!$B$5:$B$750,A27,BankQuarter!$D$5:$D$750,WF_START_PERIOD,BankQuarter!$R$5:$R$750,TRUE())&gt;0</f>
        <v>1</v>
      </c>
      <c r="F27" s="11" t="b">
        <f aca="false">COUNTIFS(BankQuarter!$B$5:$B$750,A27,BankQuarter!$D$5:$D$750,WF_END_PERIOD,BankQuarter!$R$5:$R$750,TRUE())&gt;0</f>
        <v>1</v>
      </c>
      <c r="G27" s="0" t="str">
        <f aca="false">IF(AND(E27,F27),IF(C27=D27,"Common","State move "&amp;C27&amp;"→"&amp;D27),IF(AND(E27,NOT(F27)),"Exiting ALL",IF(AND(NOT(E27),F27),"Entering ALL","Neither valid")))</f>
        <v>Common</v>
      </c>
      <c r="H27" s="0" t="n">
        <f aca="false">IF(COUNTIFS(BankQuarter!$B$5:$B$750,A27,BankQuarter!$D$5:$D$750,WF_START_PERIOD)=0,"",INDEX(BankQuarter!$F$5:$F$750,MATCH(A27&amp;"|"&amp;WF_START_PERIOD,BankQuarter!$AC$5:$AC$750,0)))</f>
        <v>842999</v>
      </c>
      <c r="I27" s="0" t="n">
        <f aca="false">IF(COUNTIFS(BankQuarter!$B$5:$B$750,A27,BankQuarter!$D$5:$D$750,WF_END_PERIOD)=0,"",INDEX(BankQuarter!$F$5:$F$750,MATCH(A27&amp;"|"&amp;WF_END_PERIOD,BankQuarter!$AC$5:$AC$750,0)))</f>
        <v>882477</v>
      </c>
      <c r="J27" s="0" t="n">
        <f aca="false">IF(COUNTIFS(BankQuarter!$B$5:$B$750,A27,BankQuarter!$D$5:$D$750,WF_START_PERIOD)=0,"",INDEX(BankQuarter!$A$5:$A$750,MATCH(A27&amp;"|"&amp;WF_START_PERIOD,BankQuarter!$AC$5:$AC$750,0)))</f>
        <v>485</v>
      </c>
      <c r="K27" s="0" t="n">
        <f aca="false">IF(COUNTIFS(BankQuarter!$B$5:$B$750,A27,BankQuarter!$D$5:$D$750,WF_END_PERIOD)=0,"",INDEX(BankQuarter!$A$5:$A$750,MATCH(A27&amp;"|"&amp;WF_END_PERIOD,BankQuarter!$AC$5:$AC$750,0)))</f>
        <v>699</v>
      </c>
      <c r="L27" s="13" t="n">
        <f aca="false">IF(COUNTIFS(BankQuarter!$B$5:$B$750,A27,BankQuarter!$D$5:$D$750,WF_START_PERIOD)=0,"",INDEX(BankQuarter!$S$5:$S$750,MATCH(A27&amp;"|"&amp;WF_START_PERIOD,BankQuarter!$AC$5:$AC$750,0)))</f>
        <v>1.17295512806065</v>
      </c>
      <c r="M27" s="13" t="n">
        <f aca="false">IF(COUNTIFS(BankQuarter!$B$5:$B$750,A27,BankQuarter!$D$5:$D$750,WF_END_PERIOD)=0,"",INDEX(BankQuarter!$S$5:$S$750,MATCH(A27&amp;"|"&amp;WF_END_PERIOD,BankQuarter!$AC$5:$AC$750,0)))</f>
        <v>0.307430108660056</v>
      </c>
    </row>
    <row r="28" customFormat="false" ht="15" hidden="false" customHeight="false" outlineLevel="0" collapsed="false">
      <c r="A28" s="0" t="n">
        <v>14136</v>
      </c>
      <c r="B28" s="0" t="str">
        <f aca="false">IF(COUNTIFS(BankQuarter!$B$5:$B$750,A28,BankQuarter!$D$5:$D$750,WF_END_PERIOD)&gt;0,INDEX(BankQuarter!$C$5:$C$750,MATCH(A28&amp;"|"&amp;WF_END_PERIOD,BankQuarter!$AC$5:$AC$750,0)),IF(COUNTIFS(BankQuarter!$B$5:$B$750,A28,BankQuarter!$D$5:$D$750,WF_START_PERIOD)&gt;0,INDEX(BankQuarter!$C$5:$C$750,MATCH(A28&amp;"|"&amp;WF_START_PERIOD,BankQuarter!$AC$5:$AC$750,0)),""))</f>
        <v>WELLS RIVER SAVINGS BANK</v>
      </c>
      <c r="C28" s="0" t="str">
        <f aca="false">IF(COUNTIFS(BankQuarter!$B$5:$B$750,A28,BankQuarter!$D$5:$D$750,WF_START_PERIOD)=0,"",INDEX(BankQuarter!$E$5:$E$750,MATCH(A28&amp;"|"&amp;WF_START_PERIOD,BankQuarter!$AC$5:$AC$750,0)))</f>
        <v>VT</v>
      </c>
      <c r="D28" s="0" t="str">
        <f aca="false">IF(COUNTIFS(BankQuarter!$B$5:$B$750,A28,BankQuarter!$D$5:$D$750,WF_END_PERIOD)=0,"",INDEX(BankQuarter!$E$5:$E$750,MATCH(A28&amp;"|"&amp;WF_END_PERIOD,BankQuarter!$AC$5:$AC$750,0)))</f>
        <v>VT</v>
      </c>
      <c r="E28" s="11" t="b">
        <f aca="false">COUNTIFS(BankQuarter!$B$5:$B$750,A28,BankQuarter!$D$5:$D$750,WF_START_PERIOD,BankQuarter!$R$5:$R$750,TRUE())&gt;0</f>
        <v>1</v>
      </c>
      <c r="F28" s="11" t="b">
        <f aca="false">COUNTIFS(BankQuarter!$B$5:$B$750,A28,BankQuarter!$D$5:$D$750,WF_END_PERIOD,BankQuarter!$R$5:$R$750,TRUE())&gt;0</f>
        <v>1</v>
      </c>
      <c r="G28" s="0" t="str">
        <f aca="false">IF(AND(E28,F28),IF(C28=D28,"Common","State move "&amp;C28&amp;"→"&amp;D28),IF(AND(E28,NOT(F28)),"Exiting ALL",IF(AND(NOT(E28),F28),"Entering ALL","Neither valid")))</f>
        <v>Common</v>
      </c>
      <c r="H28" s="0" t="n">
        <f aca="false">IF(COUNTIFS(BankQuarter!$B$5:$B$750,A28,BankQuarter!$D$5:$D$750,WF_START_PERIOD)=0,"",INDEX(BankQuarter!$F$5:$F$750,MATCH(A28&amp;"|"&amp;WF_START_PERIOD,BankQuarter!$AC$5:$AC$750,0)))</f>
        <v>234689</v>
      </c>
      <c r="I28" s="0" t="n">
        <f aca="false">IF(COUNTIFS(BankQuarter!$B$5:$B$750,A28,BankQuarter!$D$5:$D$750,WF_END_PERIOD)=0,"",INDEX(BankQuarter!$F$5:$F$750,MATCH(A28&amp;"|"&amp;WF_END_PERIOD,BankQuarter!$AC$5:$AC$750,0)))</f>
        <v>247991</v>
      </c>
      <c r="J28" s="0" t="n">
        <f aca="false">IF(COUNTIFS(BankQuarter!$B$5:$B$750,A28,BankQuarter!$D$5:$D$750,WF_START_PERIOD)=0,"",INDEX(BankQuarter!$A$5:$A$750,MATCH(A28&amp;"|"&amp;WF_START_PERIOD,BankQuarter!$AC$5:$AC$750,0)))</f>
        <v>486</v>
      </c>
      <c r="K28" s="0" t="n">
        <f aca="false">IF(COUNTIFS(BankQuarter!$B$5:$B$750,A28,BankQuarter!$D$5:$D$750,WF_END_PERIOD)=0,"",INDEX(BankQuarter!$A$5:$A$750,MATCH(A28&amp;"|"&amp;WF_END_PERIOD,BankQuarter!$AC$5:$AC$750,0)))</f>
        <v>700</v>
      </c>
      <c r="L28" s="13" t="n">
        <f aca="false">IF(COUNTIFS(BankQuarter!$B$5:$B$750,A28,BankQuarter!$D$5:$D$750,WF_START_PERIOD)=0,"",INDEX(BankQuarter!$S$5:$S$750,MATCH(A28&amp;"|"&amp;WF_START_PERIOD,BankQuarter!$AC$5:$AC$750,0)))</f>
        <v>0.321276242175816</v>
      </c>
      <c r="M28" s="13" t="n">
        <f aca="false">IF(COUNTIFS(BankQuarter!$B$5:$B$750,A28,BankQuarter!$D$5:$D$750,WF_END_PERIOD)=0,"",INDEX(BankQuarter!$S$5:$S$750,MATCH(A28&amp;"|"&amp;WF_END_PERIOD,BankQuarter!$AC$5:$AC$750,0)))</f>
        <v>0.434289954070914</v>
      </c>
    </row>
    <row r="29" customFormat="false" ht="15" hidden="false" customHeight="false" outlineLevel="0" collapsed="false">
      <c r="A29" s="0" t="n">
        <v>14140</v>
      </c>
      <c r="B29" s="0" t="str">
        <f aca="false">IF(COUNTIFS(BankQuarter!$B$5:$B$750,A29,BankQuarter!$D$5:$D$750,WF_END_PERIOD)&gt;0,INDEX(BankQuarter!$C$5:$C$750,MATCH(A29&amp;"|"&amp;WF_END_PERIOD,BankQuarter!$AC$5:$AC$750,0)),IF(COUNTIFS(BankQuarter!$B$5:$B$750,A29,BankQuarter!$D$5:$D$750,WF_START_PERIOD)&gt;0,INDEX(BankQuarter!$C$5:$C$750,MATCH(A29&amp;"|"&amp;WF_START_PERIOD,BankQuarter!$AC$5:$AC$750,0)),""))</f>
        <v>NORTHFIELD SAVINGS BANK</v>
      </c>
      <c r="C29" s="0" t="str">
        <f aca="false">IF(COUNTIFS(BankQuarter!$B$5:$B$750,A29,BankQuarter!$D$5:$D$750,WF_START_PERIOD)=0,"",INDEX(BankQuarter!$E$5:$E$750,MATCH(A29&amp;"|"&amp;WF_START_PERIOD,BankQuarter!$AC$5:$AC$750,0)))</f>
        <v>VT</v>
      </c>
      <c r="D29" s="0" t="str">
        <f aca="false">IF(COUNTIFS(BankQuarter!$B$5:$B$750,A29,BankQuarter!$D$5:$D$750,WF_END_PERIOD)=0,"",INDEX(BankQuarter!$E$5:$E$750,MATCH(A29&amp;"|"&amp;WF_END_PERIOD,BankQuarter!$AC$5:$AC$750,0)))</f>
        <v>VT</v>
      </c>
      <c r="E29" s="11" t="b">
        <f aca="false">COUNTIFS(BankQuarter!$B$5:$B$750,A29,BankQuarter!$D$5:$D$750,WF_START_PERIOD,BankQuarter!$R$5:$R$750,TRUE())&gt;0</f>
        <v>1</v>
      </c>
      <c r="F29" s="11" t="b">
        <f aca="false">COUNTIFS(BankQuarter!$B$5:$B$750,A29,BankQuarter!$D$5:$D$750,WF_END_PERIOD,BankQuarter!$R$5:$R$750,TRUE())&gt;0</f>
        <v>1</v>
      </c>
      <c r="G29" s="0" t="str">
        <f aca="false">IF(AND(E29,F29),IF(C29=D29,"Common","State move "&amp;C29&amp;"→"&amp;D29),IF(AND(E29,NOT(F29)),"Exiting ALL",IF(AND(NOT(E29),F29),"Entering ALL","Neither valid")))</f>
        <v>Common</v>
      </c>
      <c r="H29" s="0" t="n">
        <f aca="false">IF(COUNTIFS(BankQuarter!$B$5:$B$750,A29,BankQuarter!$D$5:$D$750,WF_START_PERIOD)=0,"",INDEX(BankQuarter!$F$5:$F$750,MATCH(A29&amp;"|"&amp;WF_START_PERIOD,BankQuarter!$AC$5:$AC$750,0)))</f>
        <v>1498757</v>
      </c>
      <c r="I29" s="0" t="n">
        <f aca="false">IF(COUNTIFS(BankQuarter!$B$5:$B$750,A29,BankQuarter!$D$5:$D$750,WF_END_PERIOD)=0,"",INDEX(BankQuarter!$F$5:$F$750,MATCH(A29&amp;"|"&amp;WF_END_PERIOD,BankQuarter!$AC$5:$AC$750,0)))</f>
        <v>1560737</v>
      </c>
      <c r="J29" s="0" t="n">
        <f aca="false">IF(COUNTIFS(BankQuarter!$B$5:$B$750,A29,BankQuarter!$D$5:$D$750,WF_START_PERIOD)=0,"",INDEX(BankQuarter!$A$5:$A$750,MATCH(A29&amp;"|"&amp;WF_START_PERIOD,BankQuarter!$AC$5:$AC$750,0)))</f>
        <v>487</v>
      </c>
      <c r="K29" s="0" t="n">
        <f aca="false">IF(COUNTIFS(BankQuarter!$B$5:$B$750,A29,BankQuarter!$D$5:$D$750,WF_END_PERIOD)=0,"",INDEX(BankQuarter!$A$5:$A$750,MATCH(A29&amp;"|"&amp;WF_END_PERIOD,BankQuarter!$AC$5:$AC$750,0)))</f>
        <v>701</v>
      </c>
      <c r="L29" s="13" t="n">
        <f aca="false">IF(COUNTIFS(BankQuarter!$B$5:$B$750,A29,BankQuarter!$D$5:$D$750,WF_START_PERIOD)=0,"",INDEX(BankQuarter!$S$5:$S$750,MATCH(A29&amp;"|"&amp;WF_START_PERIOD,BankQuarter!$AC$5:$AC$750,0)))</f>
        <v>0.136513123875318</v>
      </c>
      <c r="M29" s="13" t="n">
        <f aca="false">IF(COUNTIFS(BankQuarter!$B$5:$B$750,A29,BankQuarter!$D$5:$D$750,WF_END_PERIOD)=0,"",INDEX(BankQuarter!$S$5:$S$750,MATCH(A29&amp;"|"&amp;WF_END_PERIOD,BankQuarter!$AC$5:$AC$750,0)))</f>
        <v>0.476441578561923</v>
      </c>
    </row>
    <row r="30" customFormat="false" ht="15" hidden="false" customHeight="false" outlineLevel="0" collapsed="false">
      <c r="A30" s="0" t="n">
        <v>14158</v>
      </c>
      <c r="B30" s="0" t="str">
        <f aca="false">IF(COUNTIFS(BankQuarter!$B$5:$B$750,A30,BankQuarter!$D$5:$D$750,WF_END_PERIOD)&gt;0,INDEX(BankQuarter!$C$5:$C$750,MATCH(A30&amp;"|"&amp;WF_END_PERIOD,BankQuarter!$AC$5:$AC$750,0)),IF(COUNTIFS(BankQuarter!$B$5:$B$750,A30,BankQuarter!$D$5:$D$750,WF_START_PERIOD)&gt;0,INDEX(BankQuarter!$C$5:$C$750,MATCH(A30&amp;"|"&amp;WF_START_PERIOD,BankQuarter!$AC$5:$AC$750,0)),""))</f>
        <v>UNION BANK</v>
      </c>
      <c r="C30" s="0" t="str">
        <f aca="false">IF(COUNTIFS(BankQuarter!$B$5:$B$750,A30,BankQuarter!$D$5:$D$750,WF_START_PERIOD)=0,"",INDEX(BankQuarter!$E$5:$E$750,MATCH(A30&amp;"|"&amp;WF_START_PERIOD,BankQuarter!$AC$5:$AC$750,0)))</f>
        <v>VT</v>
      </c>
      <c r="D30" s="0" t="str">
        <f aca="false">IF(COUNTIFS(BankQuarter!$B$5:$B$750,A30,BankQuarter!$D$5:$D$750,WF_END_PERIOD)=0,"",INDEX(BankQuarter!$E$5:$E$750,MATCH(A30&amp;"|"&amp;WF_END_PERIOD,BankQuarter!$AC$5:$AC$750,0)))</f>
        <v>VT</v>
      </c>
      <c r="E30" s="11" t="b">
        <f aca="false">COUNTIFS(BankQuarter!$B$5:$B$750,A30,BankQuarter!$D$5:$D$750,WF_START_PERIOD,BankQuarter!$R$5:$R$750,TRUE())&gt;0</f>
        <v>1</v>
      </c>
      <c r="F30" s="11" t="b">
        <f aca="false">COUNTIFS(BankQuarter!$B$5:$B$750,A30,BankQuarter!$D$5:$D$750,WF_END_PERIOD,BankQuarter!$R$5:$R$750,TRUE())&gt;0</f>
        <v>1</v>
      </c>
      <c r="G30" s="0" t="str">
        <f aca="false">IF(AND(E30,F30),IF(C30=D30,"Common","State move "&amp;C30&amp;"→"&amp;D30),IF(AND(E30,NOT(F30)),"Exiting ALL",IF(AND(NOT(E30),F30),"Entering ALL","Neither valid")))</f>
        <v>Common</v>
      </c>
      <c r="H30" s="0" t="n">
        <f aca="false">IF(COUNTIFS(BankQuarter!$B$5:$B$750,A30,BankQuarter!$D$5:$D$750,WF_START_PERIOD)=0,"",INDEX(BankQuarter!$F$5:$F$750,MATCH(A30&amp;"|"&amp;WF_START_PERIOD,BankQuarter!$AC$5:$AC$750,0)))</f>
        <v>1397831</v>
      </c>
      <c r="I30" s="0" t="n">
        <f aca="false">IF(COUNTIFS(BankQuarter!$B$5:$B$750,A30,BankQuarter!$D$5:$D$750,WF_END_PERIOD)=0,"",INDEX(BankQuarter!$F$5:$F$750,MATCH(A30&amp;"|"&amp;WF_END_PERIOD,BankQuarter!$AC$5:$AC$750,0)))</f>
        <v>1479452</v>
      </c>
      <c r="J30" s="0" t="n">
        <f aca="false">IF(COUNTIFS(BankQuarter!$B$5:$B$750,A30,BankQuarter!$D$5:$D$750,WF_START_PERIOD)=0,"",INDEX(BankQuarter!$A$5:$A$750,MATCH(A30&amp;"|"&amp;WF_START_PERIOD,BankQuarter!$AC$5:$AC$750,0)))</f>
        <v>488</v>
      </c>
      <c r="K30" s="0" t="n">
        <f aca="false">IF(COUNTIFS(BankQuarter!$B$5:$B$750,A30,BankQuarter!$D$5:$D$750,WF_END_PERIOD)=0,"",INDEX(BankQuarter!$A$5:$A$750,MATCH(A30&amp;"|"&amp;WF_END_PERIOD,BankQuarter!$AC$5:$AC$750,0)))</f>
        <v>702</v>
      </c>
      <c r="L30" s="13" t="n">
        <f aca="false">IF(COUNTIFS(BankQuarter!$B$5:$B$750,A30,BankQuarter!$D$5:$D$750,WF_START_PERIOD)=0,"",INDEX(BankQuarter!$S$5:$S$750,MATCH(A30&amp;"|"&amp;WF_START_PERIOD,BankQuarter!$AC$5:$AC$750,0)))</f>
        <v>0.137927975556416</v>
      </c>
      <c r="M30" s="13" t="n">
        <f aca="false">IF(COUNTIFS(BankQuarter!$B$5:$B$750,A30,BankQuarter!$D$5:$D$750,WF_END_PERIOD)=0,"",INDEX(BankQuarter!$S$5:$S$750,MATCH(A30&amp;"|"&amp;WF_END_PERIOD,BankQuarter!$AC$5:$AC$750,0)))</f>
        <v>1.03153059376039</v>
      </c>
    </row>
    <row r="31" customFormat="false" ht="15" hidden="false" customHeight="false" outlineLevel="0" collapsed="false">
      <c r="A31" s="0" t="n">
        <v>14168</v>
      </c>
      <c r="B31" s="0" t="str">
        <f aca="false">IF(COUNTIFS(BankQuarter!$B$5:$B$750,A31,BankQuarter!$D$5:$D$750,WF_END_PERIOD)&gt;0,INDEX(BankQuarter!$C$5:$C$750,MATCH(A31&amp;"|"&amp;WF_END_PERIOD,BankQuarter!$AC$5:$AC$750,0)),IF(COUNTIFS(BankQuarter!$B$5:$B$750,A31,BankQuarter!$D$5:$D$750,WF_START_PERIOD)&gt;0,INDEX(BankQuarter!$C$5:$C$750,MATCH(A31&amp;"|"&amp;WF_START_PERIOD,BankQuarter!$AC$5:$AC$750,0)),""))</f>
        <v>PEOPLES TRUST COMPANY OF ST. ALBANS</v>
      </c>
      <c r="C31" s="0" t="str">
        <f aca="false">IF(COUNTIFS(BankQuarter!$B$5:$B$750,A31,BankQuarter!$D$5:$D$750,WF_START_PERIOD)=0,"",INDEX(BankQuarter!$E$5:$E$750,MATCH(A31&amp;"|"&amp;WF_START_PERIOD,BankQuarter!$AC$5:$AC$750,0)))</f>
        <v>VT</v>
      </c>
      <c r="D31" s="0" t="str">
        <f aca="false">IF(COUNTIFS(BankQuarter!$B$5:$B$750,A31,BankQuarter!$D$5:$D$750,WF_END_PERIOD)=0,"",INDEX(BankQuarter!$E$5:$E$750,MATCH(A31&amp;"|"&amp;WF_END_PERIOD,BankQuarter!$AC$5:$AC$750,0)))</f>
        <v>VT</v>
      </c>
      <c r="E31" s="11" t="b">
        <f aca="false">COUNTIFS(BankQuarter!$B$5:$B$750,A31,BankQuarter!$D$5:$D$750,WF_START_PERIOD,BankQuarter!$R$5:$R$750,TRUE())&gt;0</f>
        <v>1</v>
      </c>
      <c r="F31" s="11" t="b">
        <f aca="false">COUNTIFS(BankQuarter!$B$5:$B$750,A31,BankQuarter!$D$5:$D$750,WF_END_PERIOD,BankQuarter!$R$5:$R$750,TRUE())&gt;0</f>
        <v>1</v>
      </c>
      <c r="G31" s="0" t="str">
        <f aca="false">IF(AND(E31,F31),IF(C31=D31,"Common","State move "&amp;C31&amp;"→"&amp;D31),IF(AND(E31,NOT(F31)),"Exiting ALL",IF(AND(NOT(E31),F31),"Entering ALL","Neither valid")))</f>
        <v>Common</v>
      </c>
      <c r="H31" s="0" t="n">
        <f aca="false">IF(COUNTIFS(BankQuarter!$B$5:$B$750,A31,BankQuarter!$D$5:$D$750,WF_START_PERIOD)=0,"",INDEX(BankQuarter!$F$5:$F$750,MATCH(A31&amp;"|"&amp;WF_START_PERIOD,BankQuarter!$AC$5:$AC$750,0)))</f>
        <v>371774</v>
      </c>
      <c r="I31" s="0" t="n">
        <f aca="false">IF(COUNTIFS(BankQuarter!$B$5:$B$750,A31,BankQuarter!$D$5:$D$750,WF_END_PERIOD)=0,"",INDEX(BankQuarter!$F$5:$F$750,MATCH(A31&amp;"|"&amp;WF_END_PERIOD,BankQuarter!$AC$5:$AC$750,0)))</f>
        <v>376849</v>
      </c>
      <c r="J31" s="0" t="n">
        <f aca="false">IF(COUNTIFS(BankQuarter!$B$5:$B$750,A31,BankQuarter!$D$5:$D$750,WF_START_PERIOD)=0,"",INDEX(BankQuarter!$A$5:$A$750,MATCH(A31&amp;"|"&amp;WF_START_PERIOD,BankQuarter!$AC$5:$AC$750,0)))</f>
        <v>489</v>
      </c>
      <c r="K31" s="0" t="n">
        <f aca="false">IF(COUNTIFS(BankQuarter!$B$5:$B$750,A31,BankQuarter!$D$5:$D$750,WF_END_PERIOD)=0,"",INDEX(BankQuarter!$A$5:$A$750,MATCH(A31&amp;"|"&amp;WF_END_PERIOD,BankQuarter!$AC$5:$AC$750,0)))</f>
        <v>703</v>
      </c>
      <c r="L31" s="13" t="n">
        <f aca="false">IF(COUNTIFS(BankQuarter!$B$5:$B$750,A31,BankQuarter!$D$5:$D$750,WF_START_PERIOD)=0,"",INDEX(BankQuarter!$S$5:$S$750,MATCH(A31&amp;"|"&amp;WF_START_PERIOD,BankQuarter!$AC$5:$AC$750,0)))</f>
        <v>0.280546783798759</v>
      </c>
      <c r="M31" s="13" t="n">
        <f aca="false">IF(COUNTIFS(BankQuarter!$B$5:$B$750,A31,BankQuarter!$D$5:$D$750,WF_END_PERIOD)=0,"",INDEX(BankQuarter!$S$5:$S$750,MATCH(A31&amp;"|"&amp;WF_END_PERIOD,BankQuarter!$AC$5:$AC$750,0)))</f>
        <v>0.268542572754605</v>
      </c>
    </row>
    <row r="32" customFormat="false" ht="15" hidden="false" customHeight="false" outlineLevel="0" collapsed="false">
      <c r="A32" s="0" t="n">
        <v>14240</v>
      </c>
      <c r="B32" s="0" t="str">
        <f aca="false">IF(COUNTIFS(BankQuarter!$B$5:$B$750,A32,BankQuarter!$D$5:$D$750,WF_END_PERIOD)&gt;0,INDEX(BankQuarter!$C$5:$C$750,MATCH(A32&amp;"|"&amp;WF_END_PERIOD,BankQuarter!$AC$5:$AC$750,0)),IF(COUNTIFS(BankQuarter!$B$5:$B$750,A32,BankQuarter!$D$5:$D$750,WF_START_PERIOD)&gt;0,INDEX(BankQuarter!$C$5:$C$750,MATCH(A32&amp;"|"&amp;WF_START_PERIOD,BankQuarter!$AC$5:$AC$750,0)),""))</f>
        <v>NORTHWAY BANK</v>
      </c>
      <c r="C32" s="0" t="str">
        <f aca="false">IF(COUNTIFS(BankQuarter!$B$5:$B$750,A32,BankQuarter!$D$5:$D$750,WF_START_PERIOD)=0,"",INDEX(BankQuarter!$E$5:$E$750,MATCH(A32&amp;"|"&amp;WF_START_PERIOD,BankQuarter!$AC$5:$AC$750,0)))</f>
        <v>NH</v>
      </c>
      <c r="D32" s="0" t="str">
        <f aca="false">IF(COUNTIFS(BankQuarter!$B$5:$B$750,A32,BankQuarter!$D$5:$D$750,WF_END_PERIOD)=0,"",INDEX(BankQuarter!$E$5:$E$750,MATCH(A32&amp;"|"&amp;WF_END_PERIOD,BankQuarter!$AC$5:$AC$750,0)))</f>
        <v/>
      </c>
      <c r="E32" s="11" t="b">
        <f aca="false">COUNTIFS(BankQuarter!$B$5:$B$750,A32,BankQuarter!$D$5:$D$750,WF_START_PERIOD,BankQuarter!$R$5:$R$750,TRUE())&gt;0</f>
        <v>1</v>
      </c>
      <c r="F32" s="11" t="b">
        <f aca="false">COUNTIFS(BankQuarter!$B$5:$B$750,A32,BankQuarter!$D$5:$D$750,WF_END_PERIOD,BankQuarter!$R$5:$R$750,TRUE())&gt;0</f>
        <v>0</v>
      </c>
      <c r="G32" s="0" t="str">
        <f aca="false">IF(AND(E32,F32),IF(C32=D32,"Common","State move "&amp;C32&amp;"→"&amp;D32),IF(AND(E32,NOT(F32)),"Exiting ALL",IF(AND(NOT(E32),F32),"Entering ALL","Neither valid")))</f>
        <v>Exiting ALL</v>
      </c>
      <c r="H32" s="0" t="n">
        <f aca="false">IF(COUNTIFS(BankQuarter!$B$5:$B$750,A32,BankQuarter!$D$5:$D$750,WF_START_PERIOD)=0,"",INDEX(BankQuarter!$F$5:$F$750,MATCH(A32&amp;"|"&amp;WF_START_PERIOD,BankQuarter!$AC$5:$AC$750,0)))</f>
        <v>1270696</v>
      </c>
      <c r="I32" s="0" t="str">
        <f aca="false">IF(COUNTIFS(BankQuarter!$B$5:$B$750,A32,BankQuarter!$D$5:$D$750,WF_END_PERIOD)=0,"",INDEX(BankQuarter!$F$5:$F$750,MATCH(A32&amp;"|"&amp;WF_END_PERIOD,BankQuarter!$AC$5:$AC$750,0)))</f>
        <v/>
      </c>
      <c r="J32" s="0" t="n">
        <f aca="false">IF(COUNTIFS(BankQuarter!$B$5:$B$750,A32,BankQuarter!$D$5:$D$750,WF_START_PERIOD)=0,"",INDEX(BankQuarter!$A$5:$A$750,MATCH(A32&amp;"|"&amp;WF_START_PERIOD,BankQuarter!$AC$5:$AC$750,0)))</f>
        <v>490</v>
      </c>
      <c r="K32" s="0" t="str">
        <f aca="false">IF(COUNTIFS(BankQuarter!$B$5:$B$750,A32,BankQuarter!$D$5:$D$750,WF_END_PERIOD)=0,"",INDEX(BankQuarter!$A$5:$A$750,MATCH(A32&amp;"|"&amp;WF_END_PERIOD,BankQuarter!$AC$5:$AC$750,0)))</f>
        <v/>
      </c>
      <c r="L32" s="13" t="n">
        <f aca="false">IF(COUNTIFS(BankQuarter!$B$5:$B$750,A32,BankQuarter!$D$5:$D$750,WF_START_PERIOD)=0,"",INDEX(BankQuarter!$S$5:$S$750,MATCH(A32&amp;"|"&amp;WF_START_PERIOD,BankQuarter!$AC$5:$AC$750,0)))</f>
        <v>0.279767938200797</v>
      </c>
      <c r="M32" s="13" t="str">
        <f aca="false">IF(COUNTIFS(BankQuarter!$B$5:$B$750,A32,BankQuarter!$D$5:$D$750,WF_END_PERIOD)=0,"",INDEX(BankQuarter!$S$5:$S$750,MATCH(A32&amp;"|"&amp;WF_END_PERIOD,BankQuarter!$AC$5:$AC$750,0)))</f>
        <v/>
      </c>
    </row>
    <row r="33" customFormat="false" ht="15" hidden="false" customHeight="false" outlineLevel="0" collapsed="false">
      <c r="A33" s="0" t="n">
        <v>17115</v>
      </c>
      <c r="B33" s="0" t="str">
        <f aca="false">IF(COUNTIFS(BankQuarter!$B$5:$B$750,A33,BankQuarter!$D$5:$D$750,WF_END_PERIOD)&gt;0,INDEX(BankQuarter!$C$5:$C$750,MATCH(A33&amp;"|"&amp;WF_END_PERIOD,BankQuarter!$AC$5:$AC$750,0)),IF(COUNTIFS(BankQuarter!$B$5:$B$750,A33,BankQuarter!$D$5:$D$750,WF_START_PERIOD)&gt;0,INDEX(BankQuarter!$C$5:$C$750,MATCH(A33&amp;"|"&amp;WF_START_PERIOD,BankQuarter!$AC$5:$AC$750,0)),""))</f>
        <v>PARTNERS BANK OF NEW ENGLAND</v>
      </c>
      <c r="C33" s="0" t="str">
        <f aca="false">IF(COUNTIFS(BankQuarter!$B$5:$B$750,A33,BankQuarter!$D$5:$D$750,WF_START_PERIOD)=0,"",INDEX(BankQuarter!$E$5:$E$750,MATCH(A33&amp;"|"&amp;WF_START_PERIOD,BankQuarter!$AC$5:$AC$750,0)))</f>
        <v>ME</v>
      </c>
      <c r="D33" s="0" t="str">
        <f aca="false">IF(COUNTIFS(BankQuarter!$B$5:$B$750,A33,BankQuarter!$D$5:$D$750,WF_END_PERIOD)=0,"",INDEX(BankQuarter!$E$5:$E$750,MATCH(A33&amp;"|"&amp;WF_END_PERIOD,BankQuarter!$AC$5:$AC$750,0)))</f>
        <v>ME</v>
      </c>
      <c r="E33" s="11" t="b">
        <f aca="false">COUNTIFS(BankQuarter!$B$5:$B$750,A33,BankQuarter!$D$5:$D$750,WF_START_PERIOD,BankQuarter!$R$5:$R$750,TRUE())&gt;0</f>
        <v>1</v>
      </c>
      <c r="F33" s="11" t="b">
        <f aca="false">COUNTIFS(BankQuarter!$B$5:$B$750,A33,BankQuarter!$D$5:$D$750,WF_END_PERIOD,BankQuarter!$R$5:$R$750,TRUE())&gt;0</f>
        <v>1</v>
      </c>
      <c r="G33" s="0" t="str">
        <f aca="false">IF(AND(E33,F33),IF(C33=D33,"Common","State move "&amp;C33&amp;"→"&amp;D33),IF(AND(E33,NOT(F33)),"Exiting ALL",IF(AND(NOT(E33),F33),"Entering ALL","Neither valid")))</f>
        <v>Common</v>
      </c>
      <c r="H33" s="0" t="n">
        <f aca="false">IF(COUNTIFS(BankQuarter!$B$5:$B$750,A33,BankQuarter!$D$5:$D$750,WF_START_PERIOD)=0,"",INDEX(BankQuarter!$F$5:$F$750,MATCH(A33&amp;"|"&amp;WF_START_PERIOD,BankQuarter!$AC$5:$AC$750,0)))</f>
        <v>1071403</v>
      </c>
      <c r="I33" s="0" t="n">
        <f aca="false">IF(COUNTIFS(BankQuarter!$B$5:$B$750,A33,BankQuarter!$D$5:$D$750,WF_END_PERIOD)=0,"",INDEX(BankQuarter!$F$5:$F$750,MATCH(A33&amp;"|"&amp;WF_END_PERIOD,BankQuarter!$AC$5:$AC$750,0)))</f>
        <v>1078591</v>
      </c>
      <c r="J33" s="0" t="n">
        <f aca="false">IF(COUNTIFS(BankQuarter!$B$5:$B$750,A33,BankQuarter!$D$5:$D$750,WF_START_PERIOD)=0,"",INDEX(BankQuarter!$A$5:$A$750,MATCH(A33&amp;"|"&amp;WF_START_PERIOD,BankQuarter!$AC$5:$AC$750,0)))</f>
        <v>491</v>
      </c>
      <c r="K33" s="0" t="n">
        <f aca="false">IF(COUNTIFS(BankQuarter!$B$5:$B$750,A33,BankQuarter!$D$5:$D$750,WF_END_PERIOD)=0,"",INDEX(BankQuarter!$A$5:$A$750,MATCH(A33&amp;"|"&amp;WF_END_PERIOD,BankQuarter!$AC$5:$AC$750,0)))</f>
        <v>704</v>
      </c>
      <c r="L33" s="13" t="n">
        <f aca="false">IF(COUNTIFS(BankQuarter!$B$5:$B$750,A33,BankQuarter!$D$5:$D$750,WF_START_PERIOD)=0,"",INDEX(BankQuarter!$S$5:$S$750,MATCH(A33&amp;"|"&amp;WF_START_PERIOD,BankQuarter!$AC$5:$AC$750,0)))</f>
        <v>0.227085419772019</v>
      </c>
      <c r="M33" s="13" t="n">
        <f aca="false">IF(COUNTIFS(BankQuarter!$B$5:$B$750,A33,BankQuarter!$D$5:$D$750,WF_END_PERIOD)=0,"",INDEX(BankQuarter!$S$5:$S$750,MATCH(A33&amp;"|"&amp;WF_END_PERIOD,BankQuarter!$AC$5:$AC$750,0)))</f>
        <v>0.238644676248921</v>
      </c>
    </row>
    <row r="34" customFormat="false" ht="15" hidden="false" customHeight="false" outlineLevel="0" collapsed="false">
      <c r="A34" s="0" t="n">
        <v>17180</v>
      </c>
      <c r="B34" s="0" t="str">
        <f aca="false">IF(COUNTIFS(BankQuarter!$B$5:$B$750,A34,BankQuarter!$D$5:$D$750,WF_END_PERIOD)&gt;0,INDEX(BankQuarter!$C$5:$C$750,MATCH(A34&amp;"|"&amp;WF_END_PERIOD,BankQuarter!$AC$5:$AC$750,0)),IF(COUNTIFS(BankQuarter!$B$5:$B$750,A34,BankQuarter!$D$5:$D$750,WF_START_PERIOD)&gt;0,INDEX(BankQuarter!$C$5:$C$750,MATCH(A34&amp;"|"&amp;WF_START_PERIOD,BankQuarter!$AC$5:$AC$750,0)),""))</f>
        <v>MEREDITH VILLAGE SAVINGS BANK</v>
      </c>
      <c r="C34" s="0" t="str">
        <f aca="false">IF(COUNTIFS(BankQuarter!$B$5:$B$750,A34,BankQuarter!$D$5:$D$750,WF_START_PERIOD)=0,"",INDEX(BankQuarter!$E$5:$E$750,MATCH(A34&amp;"|"&amp;WF_START_PERIOD,BankQuarter!$AC$5:$AC$750,0)))</f>
        <v>NH</v>
      </c>
      <c r="D34" s="0" t="str">
        <f aca="false">IF(COUNTIFS(BankQuarter!$B$5:$B$750,A34,BankQuarter!$D$5:$D$750,WF_END_PERIOD)=0,"",INDEX(BankQuarter!$E$5:$E$750,MATCH(A34&amp;"|"&amp;WF_END_PERIOD,BankQuarter!$AC$5:$AC$750,0)))</f>
        <v>NH</v>
      </c>
      <c r="E34" s="11" t="b">
        <f aca="false">COUNTIFS(BankQuarter!$B$5:$B$750,A34,BankQuarter!$D$5:$D$750,WF_START_PERIOD,BankQuarter!$R$5:$R$750,TRUE())&gt;0</f>
        <v>1</v>
      </c>
      <c r="F34" s="11" t="b">
        <f aca="false">COUNTIFS(BankQuarter!$B$5:$B$750,A34,BankQuarter!$D$5:$D$750,WF_END_PERIOD,BankQuarter!$R$5:$R$750,TRUE())&gt;0</f>
        <v>1</v>
      </c>
      <c r="G34" s="0" t="str">
        <f aca="false">IF(AND(E34,F34),IF(C34=D34,"Common","State move "&amp;C34&amp;"→"&amp;D34),IF(AND(E34,NOT(F34)),"Exiting ALL",IF(AND(NOT(E34),F34),"Entering ALL","Neither valid")))</f>
        <v>Common</v>
      </c>
      <c r="H34" s="0" t="n">
        <f aca="false">IF(COUNTIFS(BankQuarter!$B$5:$B$750,A34,BankQuarter!$D$5:$D$750,WF_START_PERIOD)=0,"",INDEX(BankQuarter!$F$5:$F$750,MATCH(A34&amp;"|"&amp;WF_START_PERIOD,BankQuarter!$AC$5:$AC$750,0)))</f>
        <v>1640511</v>
      </c>
      <c r="I34" s="0" t="n">
        <f aca="false">IF(COUNTIFS(BankQuarter!$B$5:$B$750,A34,BankQuarter!$D$5:$D$750,WF_END_PERIOD)=0,"",INDEX(BankQuarter!$F$5:$F$750,MATCH(A34&amp;"|"&amp;WF_END_PERIOD,BankQuarter!$AC$5:$AC$750,0)))</f>
        <v>1609518</v>
      </c>
      <c r="J34" s="0" t="n">
        <f aca="false">IF(COUNTIFS(BankQuarter!$B$5:$B$750,A34,BankQuarter!$D$5:$D$750,WF_START_PERIOD)=0,"",INDEX(BankQuarter!$A$5:$A$750,MATCH(A34&amp;"|"&amp;WF_START_PERIOD,BankQuarter!$AC$5:$AC$750,0)))</f>
        <v>492</v>
      </c>
      <c r="K34" s="0" t="n">
        <f aca="false">IF(COUNTIFS(BankQuarter!$B$5:$B$750,A34,BankQuarter!$D$5:$D$750,WF_END_PERIOD)=0,"",INDEX(BankQuarter!$A$5:$A$750,MATCH(A34&amp;"|"&amp;WF_END_PERIOD,BankQuarter!$AC$5:$AC$750,0)))</f>
        <v>705</v>
      </c>
      <c r="L34" s="13" t="n">
        <f aca="false">IF(COUNTIFS(BankQuarter!$B$5:$B$750,A34,BankQuarter!$D$5:$D$750,WF_START_PERIOD)=0,"",INDEX(BankQuarter!$S$5:$S$750,MATCH(A34&amp;"|"&amp;WF_START_PERIOD,BankQuarter!$AC$5:$AC$750,0)))</f>
        <v>0.310391091556229</v>
      </c>
      <c r="M34" s="13" t="n">
        <f aca="false">IF(COUNTIFS(BankQuarter!$B$5:$B$750,A34,BankQuarter!$D$5:$D$750,WF_END_PERIOD)=0,"",INDEX(BankQuarter!$S$5:$S$750,MATCH(A34&amp;"|"&amp;WF_END_PERIOD,BankQuarter!$AC$5:$AC$750,0)))</f>
        <v>0.31164609529064</v>
      </c>
    </row>
    <row r="35" customFormat="false" ht="15" hidden="false" customHeight="false" outlineLevel="0" collapsed="false">
      <c r="A35" s="0" t="n">
        <v>17443</v>
      </c>
      <c r="B35" s="0" t="str">
        <f aca="false">IF(COUNTIFS(BankQuarter!$B$5:$B$750,A35,BankQuarter!$D$5:$D$750,WF_END_PERIOD)&gt;0,INDEX(BankQuarter!$C$5:$C$750,MATCH(A35&amp;"|"&amp;WF_END_PERIOD,BankQuarter!$AC$5:$AC$750,0)),IF(COUNTIFS(BankQuarter!$B$5:$B$750,A35,BankQuarter!$D$5:$D$750,WF_START_PERIOD)&gt;0,INDEX(BankQuarter!$C$5:$C$750,MATCH(A35&amp;"|"&amp;WF_START_PERIOD,BankQuarter!$AC$5:$AC$750,0)),""))</f>
        <v>PISCATAQUA SAVINGS BANK</v>
      </c>
      <c r="C35" s="0" t="str">
        <f aca="false">IF(COUNTIFS(BankQuarter!$B$5:$B$750,A35,BankQuarter!$D$5:$D$750,WF_START_PERIOD)=0,"",INDEX(BankQuarter!$E$5:$E$750,MATCH(A35&amp;"|"&amp;WF_START_PERIOD,BankQuarter!$AC$5:$AC$750,0)))</f>
        <v>NH</v>
      </c>
      <c r="D35" s="0" t="str">
        <f aca="false">IF(COUNTIFS(BankQuarter!$B$5:$B$750,A35,BankQuarter!$D$5:$D$750,WF_END_PERIOD)=0,"",INDEX(BankQuarter!$E$5:$E$750,MATCH(A35&amp;"|"&amp;WF_END_PERIOD,BankQuarter!$AC$5:$AC$750,0)))</f>
        <v>NH</v>
      </c>
      <c r="E35" s="11" t="b">
        <f aca="false">COUNTIFS(BankQuarter!$B$5:$B$750,A35,BankQuarter!$D$5:$D$750,WF_START_PERIOD,BankQuarter!$R$5:$R$750,TRUE())&gt;0</f>
        <v>1</v>
      </c>
      <c r="F35" s="11" t="b">
        <f aca="false">COUNTIFS(BankQuarter!$B$5:$B$750,A35,BankQuarter!$D$5:$D$750,WF_END_PERIOD,BankQuarter!$R$5:$R$750,TRUE())&gt;0</f>
        <v>1</v>
      </c>
      <c r="G35" s="0" t="str">
        <f aca="false">IF(AND(E35,F35),IF(C35=D35,"Common","State move "&amp;C35&amp;"→"&amp;D35),IF(AND(E35,NOT(F35)),"Exiting ALL",IF(AND(NOT(E35),F35),"Entering ALL","Neither valid")))</f>
        <v>Common</v>
      </c>
      <c r="H35" s="0" t="n">
        <f aca="false">IF(COUNTIFS(BankQuarter!$B$5:$B$750,A35,BankQuarter!$D$5:$D$750,WF_START_PERIOD)=0,"",INDEX(BankQuarter!$F$5:$F$750,MATCH(A35&amp;"|"&amp;WF_START_PERIOD,BankQuarter!$AC$5:$AC$750,0)))</f>
        <v>365097</v>
      </c>
      <c r="I35" s="0" t="n">
        <f aca="false">IF(COUNTIFS(BankQuarter!$B$5:$B$750,A35,BankQuarter!$D$5:$D$750,WF_END_PERIOD)=0,"",INDEX(BankQuarter!$F$5:$F$750,MATCH(A35&amp;"|"&amp;WF_END_PERIOD,BankQuarter!$AC$5:$AC$750,0)))</f>
        <v>366584</v>
      </c>
      <c r="J35" s="0" t="n">
        <f aca="false">IF(COUNTIFS(BankQuarter!$B$5:$B$750,A35,BankQuarter!$D$5:$D$750,WF_START_PERIOD)=0,"",INDEX(BankQuarter!$A$5:$A$750,MATCH(A35&amp;"|"&amp;WF_START_PERIOD,BankQuarter!$AC$5:$AC$750,0)))</f>
        <v>493</v>
      </c>
      <c r="K35" s="0" t="n">
        <f aca="false">IF(COUNTIFS(BankQuarter!$B$5:$B$750,A35,BankQuarter!$D$5:$D$750,WF_END_PERIOD)=0,"",INDEX(BankQuarter!$A$5:$A$750,MATCH(A35&amp;"|"&amp;WF_END_PERIOD,BankQuarter!$AC$5:$AC$750,0)))</f>
        <v>706</v>
      </c>
      <c r="L35" s="13" t="n">
        <f aca="false">IF(COUNTIFS(BankQuarter!$B$5:$B$750,A35,BankQuarter!$D$5:$D$750,WF_START_PERIOD)=0,"",INDEX(BankQuarter!$S$5:$S$750,MATCH(A35&amp;"|"&amp;WF_START_PERIOD,BankQuarter!$AC$5:$AC$750,0)))</f>
        <v>0.285403605069338</v>
      </c>
      <c r="M35" s="13" t="n">
        <f aca="false">IF(COUNTIFS(BankQuarter!$B$5:$B$750,A35,BankQuarter!$D$5:$D$750,WF_END_PERIOD)=0,"",INDEX(BankQuarter!$S$5:$S$750,MATCH(A35&amp;"|"&amp;WF_END_PERIOD,BankQuarter!$AC$5:$AC$750,0)))</f>
        <v>0.00600135303232001</v>
      </c>
    </row>
    <row r="36" customFormat="false" ht="15" hidden="false" customHeight="false" outlineLevel="0" collapsed="false">
      <c r="A36" s="0" t="n">
        <v>17658</v>
      </c>
      <c r="B36" s="0" t="str">
        <f aca="false">IF(COUNTIFS(BankQuarter!$B$5:$B$750,A36,BankQuarter!$D$5:$D$750,WF_END_PERIOD)&gt;0,INDEX(BankQuarter!$C$5:$C$750,MATCH(A36&amp;"|"&amp;WF_END_PERIOD,BankQuarter!$AC$5:$AC$750,0)),IF(COUNTIFS(BankQuarter!$B$5:$B$750,A36,BankQuarter!$D$5:$D$750,WF_START_PERIOD)&gt;0,INDEX(BankQuarter!$C$5:$C$750,MATCH(A36&amp;"|"&amp;WF_START_PERIOD,BankQuarter!$AC$5:$AC$750,0)),""))</f>
        <v>NORWAY SAVINGS BANK</v>
      </c>
      <c r="C36" s="0" t="str">
        <f aca="false">IF(COUNTIFS(BankQuarter!$B$5:$B$750,A36,BankQuarter!$D$5:$D$750,WF_START_PERIOD)=0,"",INDEX(BankQuarter!$E$5:$E$750,MATCH(A36&amp;"|"&amp;WF_START_PERIOD,BankQuarter!$AC$5:$AC$750,0)))</f>
        <v>ME</v>
      </c>
      <c r="D36" s="0" t="str">
        <f aca="false">IF(COUNTIFS(BankQuarter!$B$5:$B$750,A36,BankQuarter!$D$5:$D$750,WF_END_PERIOD)=0,"",INDEX(BankQuarter!$E$5:$E$750,MATCH(A36&amp;"|"&amp;WF_END_PERIOD,BankQuarter!$AC$5:$AC$750,0)))</f>
        <v>ME</v>
      </c>
      <c r="E36" s="11" t="b">
        <f aca="false">COUNTIFS(BankQuarter!$B$5:$B$750,A36,BankQuarter!$D$5:$D$750,WF_START_PERIOD,BankQuarter!$R$5:$R$750,TRUE())&gt;0</f>
        <v>1</v>
      </c>
      <c r="F36" s="11" t="b">
        <f aca="false">COUNTIFS(BankQuarter!$B$5:$B$750,A36,BankQuarter!$D$5:$D$750,WF_END_PERIOD,BankQuarter!$R$5:$R$750,TRUE())&gt;0</f>
        <v>1</v>
      </c>
      <c r="G36" s="0" t="str">
        <f aca="false">IF(AND(E36,F36),IF(C36=D36,"Common","State move "&amp;C36&amp;"→"&amp;D36),IF(AND(E36,NOT(F36)),"Exiting ALL",IF(AND(NOT(E36),F36),"Entering ALL","Neither valid")))</f>
        <v>Common</v>
      </c>
      <c r="H36" s="0" t="n">
        <f aca="false">IF(COUNTIFS(BankQuarter!$B$5:$B$750,A36,BankQuarter!$D$5:$D$750,WF_START_PERIOD)=0,"",INDEX(BankQuarter!$F$5:$F$750,MATCH(A36&amp;"|"&amp;WF_START_PERIOD,BankQuarter!$AC$5:$AC$750,0)))</f>
        <v>1912692</v>
      </c>
      <c r="I36" s="0" t="n">
        <f aca="false">IF(COUNTIFS(BankQuarter!$B$5:$B$750,A36,BankQuarter!$D$5:$D$750,WF_END_PERIOD)=0,"",INDEX(BankQuarter!$F$5:$F$750,MATCH(A36&amp;"|"&amp;WF_END_PERIOD,BankQuarter!$AC$5:$AC$750,0)))</f>
        <v>2059300</v>
      </c>
      <c r="J36" s="0" t="n">
        <f aca="false">IF(COUNTIFS(BankQuarter!$B$5:$B$750,A36,BankQuarter!$D$5:$D$750,WF_START_PERIOD)=0,"",INDEX(BankQuarter!$A$5:$A$750,MATCH(A36&amp;"|"&amp;WF_START_PERIOD,BankQuarter!$AC$5:$AC$750,0)))</f>
        <v>494</v>
      </c>
      <c r="K36" s="0" t="n">
        <f aca="false">IF(COUNTIFS(BankQuarter!$B$5:$B$750,A36,BankQuarter!$D$5:$D$750,WF_END_PERIOD)=0,"",INDEX(BankQuarter!$A$5:$A$750,MATCH(A36&amp;"|"&amp;WF_END_PERIOD,BankQuarter!$AC$5:$AC$750,0)))</f>
        <v>707</v>
      </c>
      <c r="L36" s="13" t="n">
        <f aca="false">IF(COUNTIFS(BankQuarter!$B$5:$B$750,A36,BankQuarter!$D$5:$D$750,WF_START_PERIOD)=0,"",INDEX(BankQuarter!$S$5:$S$750,MATCH(A36&amp;"|"&amp;WF_START_PERIOD,BankQuarter!$AC$5:$AC$750,0)))</f>
        <v>0.56574712499451</v>
      </c>
      <c r="M36" s="13" t="n">
        <f aca="false">IF(COUNTIFS(BankQuarter!$B$5:$B$750,A36,BankQuarter!$D$5:$D$750,WF_END_PERIOD)=0,"",INDEX(BankQuarter!$S$5:$S$750,MATCH(A36&amp;"|"&amp;WF_END_PERIOD,BankQuarter!$AC$5:$AC$750,0)))</f>
        <v>0.493760015539261</v>
      </c>
    </row>
    <row r="37" customFormat="false" ht="15" hidden="false" customHeight="false" outlineLevel="0" collapsed="false">
      <c r="A37" s="0" t="n">
        <v>17741</v>
      </c>
      <c r="B37" s="0" t="str">
        <f aca="false">IF(COUNTIFS(BankQuarter!$B$5:$B$750,A37,BankQuarter!$D$5:$D$750,WF_END_PERIOD)&gt;0,INDEX(BankQuarter!$C$5:$C$750,MATCH(A37&amp;"|"&amp;WF_END_PERIOD,BankQuarter!$AC$5:$AC$750,0)),IF(COUNTIFS(BankQuarter!$B$5:$B$750,A37,BankQuarter!$D$5:$D$750,WF_START_PERIOD)&gt;0,INDEX(BankQuarter!$C$5:$C$750,MATCH(A37&amp;"|"&amp;WF_START_PERIOD,BankQuarter!$AC$5:$AC$750,0)),""))</f>
        <v>MAINE COMMUNITY BANK</v>
      </c>
      <c r="C37" s="0" t="str">
        <f aca="false">IF(COUNTIFS(BankQuarter!$B$5:$B$750,A37,BankQuarter!$D$5:$D$750,WF_START_PERIOD)=0,"",INDEX(BankQuarter!$E$5:$E$750,MATCH(A37&amp;"|"&amp;WF_START_PERIOD,BankQuarter!$AC$5:$AC$750,0)))</f>
        <v>ME</v>
      </c>
      <c r="D37" s="0" t="str">
        <f aca="false">IF(COUNTIFS(BankQuarter!$B$5:$B$750,A37,BankQuarter!$D$5:$D$750,WF_END_PERIOD)=0,"",INDEX(BankQuarter!$E$5:$E$750,MATCH(A37&amp;"|"&amp;WF_END_PERIOD,BankQuarter!$AC$5:$AC$750,0)))</f>
        <v>ME</v>
      </c>
      <c r="E37" s="11" t="b">
        <f aca="false">COUNTIFS(BankQuarter!$B$5:$B$750,A37,BankQuarter!$D$5:$D$750,WF_START_PERIOD,BankQuarter!$R$5:$R$750,TRUE())&gt;0</f>
        <v>1</v>
      </c>
      <c r="F37" s="11" t="b">
        <f aca="false">COUNTIFS(BankQuarter!$B$5:$B$750,A37,BankQuarter!$D$5:$D$750,WF_END_PERIOD,BankQuarter!$R$5:$R$750,TRUE())&gt;0</f>
        <v>1</v>
      </c>
      <c r="G37" s="0" t="str">
        <f aca="false">IF(AND(E37,F37),IF(C37=D37,"Common","State move "&amp;C37&amp;"→"&amp;D37),IF(AND(E37,NOT(F37)),"Exiting ALL",IF(AND(NOT(E37),F37),"Entering ALL","Neither valid")))</f>
        <v>Common</v>
      </c>
      <c r="H37" s="0" t="n">
        <f aca="false">IF(COUNTIFS(BankQuarter!$B$5:$B$750,A37,BankQuarter!$D$5:$D$750,WF_START_PERIOD)=0,"",INDEX(BankQuarter!$F$5:$F$750,MATCH(A37&amp;"|"&amp;WF_START_PERIOD,BankQuarter!$AC$5:$AC$750,0)))</f>
        <v>1160635</v>
      </c>
      <c r="I37" s="0" t="n">
        <f aca="false">IF(COUNTIFS(BankQuarter!$B$5:$B$750,A37,BankQuarter!$D$5:$D$750,WF_END_PERIOD)=0,"",INDEX(BankQuarter!$F$5:$F$750,MATCH(A37&amp;"|"&amp;WF_END_PERIOD,BankQuarter!$AC$5:$AC$750,0)))</f>
        <v>2758302</v>
      </c>
      <c r="J37" s="0" t="n">
        <f aca="false">IF(COUNTIFS(BankQuarter!$B$5:$B$750,A37,BankQuarter!$D$5:$D$750,WF_START_PERIOD)=0,"",INDEX(BankQuarter!$A$5:$A$750,MATCH(A37&amp;"|"&amp;WF_START_PERIOD,BankQuarter!$AC$5:$AC$750,0)))</f>
        <v>495</v>
      </c>
      <c r="K37" s="0" t="n">
        <f aca="false">IF(COUNTIFS(BankQuarter!$B$5:$B$750,A37,BankQuarter!$D$5:$D$750,WF_END_PERIOD)=0,"",INDEX(BankQuarter!$A$5:$A$750,MATCH(A37&amp;"|"&amp;WF_END_PERIOD,BankQuarter!$AC$5:$AC$750,0)))</f>
        <v>708</v>
      </c>
      <c r="L37" s="13" t="n">
        <f aca="false">IF(COUNTIFS(BankQuarter!$B$5:$B$750,A37,BankQuarter!$D$5:$D$750,WF_START_PERIOD)=0,"",INDEX(BankQuarter!$S$5:$S$750,MATCH(A37&amp;"|"&amp;WF_START_PERIOD,BankQuarter!$AC$5:$AC$750,0)))</f>
        <v>0.614491205245405</v>
      </c>
      <c r="M37" s="13" t="n">
        <f aca="false">IF(COUNTIFS(BankQuarter!$B$5:$B$750,A37,BankQuarter!$D$5:$D$750,WF_END_PERIOD)=0,"",INDEX(BankQuarter!$S$5:$S$750,MATCH(A37&amp;"|"&amp;WF_END_PERIOD,BankQuarter!$AC$5:$AC$750,0)))</f>
        <v>0.515244523623592</v>
      </c>
    </row>
    <row r="38" customFormat="false" ht="15" hidden="false" customHeight="false" outlineLevel="0" collapsed="false">
      <c r="A38" s="0" t="n">
        <v>17743</v>
      </c>
      <c r="B38" s="0" t="str">
        <f aca="false">IF(COUNTIFS(BankQuarter!$B$5:$B$750,A38,BankQuarter!$D$5:$D$750,WF_END_PERIOD)&gt;0,INDEX(BankQuarter!$C$5:$C$750,MATCH(A38&amp;"|"&amp;WF_END_PERIOD,BankQuarter!$AC$5:$AC$750,0)),IF(COUNTIFS(BankQuarter!$B$5:$B$750,A38,BankQuarter!$D$5:$D$750,WF_START_PERIOD)&gt;0,INDEX(BankQuarter!$C$5:$C$750,MATCH(A38&amp;"|"&amp;WF_START_PERIOD,BankQuarter!$AC$5:$AC$750,0)),""))</f>
        <v>SACO &amp; BIDDEFORD SAVINGS INSTITUTION</v>
      </c>
      <c r="C38" s="0" t="str">
        <f aca="false">IF(COUNTIFS(BankQuarter!$B$5:$B$750,A38,BankQuarter!$D$5:$D$750,WF_START_PERIOD)=0,"",INDEX(BankQuarter!$E$5:$E$750,MATCH(A38&amp;"|"&amp;WF_START_PERIOD,BankQuarter!$AC$5:$AC$750,0)))</f>
        <v>ME</v>
      </c>
      <c r="D38" s="0" t="str">
        <f aca="false">IF(COUNTIFS(BankQuarter!$B$5:$B$750,A38,BankQuarter!$D$5:$D$750,WF_END_PERIOD)=0,"",INDEX(BankQuarter!$E$5:$E$750,MATCH(A38&amp;"|"&amp;WF_END_PERIOD,BankQuarter!$AC$5:$AC$750,0)))</f>
        <v>ME</v>
      </c>
      <c r="E38" s="11" t="b">
        <f aca="false">COUNTIFS(BankQuarter!$B$5:$B$750,A38,BankQuarter!$D$5:$D$750,WF_START_PERIOD,BankQuarter!$R$5:$R$750,TRUE())&gt;0</f>
        <v>1</v>
      </c>
      <c r="F38" s="11" t="b">
        <f aca="false">COUNTIFS(BankQuarter!$B$5:$B$750,A38,BankQuarter!$D$5:$D$750,WF_END_PERIOD,BankQuarter!$R$5:$R$750,TRUE())&gt;0</f>
        <v>1</v>
      </c>
      <c r="G38" s="0" t="str">
        <f aca="false">IF(AND(E38,F38),IF(C38=D38,"Common","State move "&amp;C38&amp;"→"&amp;D38),IF(AND(E38,NOT(F38)),"Exiting ALL",IF(AND(NOT(E38),F38),"Entering ALL","Neither valid")))</f>
        <v>Common</v>
      </c>
      <c r="H38" s="0" t="n">
        <f aca="false">IF(COUNTIFS(BankQuarter!$B$5:$B$750,A38,BankQuarter!$D$5:$D$750,WF_START_PERIOD)=0,"",INDEX(BankQuarter!$F$5:$F$750,MATCH(A38&amp;"|"&amp;WF_START_PERIOD,BankQuarter!$AC$5:$AC$750,0)))</f>
        <v>1404406</v>
      </c>
      <c r="I38" s="0" t="n">
        <f aca="false">IF(COUNTIFS(BankQuarter!$B$5:$B$750,A38,BankQuarter!$D$5:$D$750,WF_END_PERIOD)=0,"",INDEX(BankQuarter!$F$5:$F$750,MATCH(A38&amp;"|"&amp;WF_END_PERIOD,BankQuarter!$AC$5:$AC$750,0)))</f>
        <v>1439697</v>
      </c>
      <c r="J38" s="0" t="n">
        <f aca="false">IF(COUNTIFS(BankQuarter!$B$5:$B$750,A38,BankQuarter!$D$5:$D$750,WF_START_PERIOD)=0,"",INDEX(BankQuarter!$A$5:$A$750,MATCH(A38&amp;"|"&amp;WF_START_PERIOD,BankQuarter!$AC$5:$AC$750,0)))</f>
        <v>496</v>
      </c>
      <c r="K38" s="0" t="n">
        <f aca="false">IF(COUNTIFS(BankQuarter!$B$5:$B$750,A38,BankQuarter!$D$5:$D$750,WF_END_PERIOD)=0,"",INDEX(BankQuarter!$A$5:$A$750,MATCH(A38&amp;"|"&amp;WF_END_PERIOD,BankQuarter!$AC$5:$AC$750,0)))</f>
        <v>709</v>
      </c>
      <c r="L38" s="13" t="n">
        <f aca="false">IF(COUNTIFS(BankQuarter!$B$5:$B$750,A38,BankQuarter!$D$5:$D$750,WF_START_PERIOD)=0,"",INDEX(BankQuarter!$S$5:$S$750,MATCH(A38&amp;"|"&amp;WF_START_PERIOD,BankQuarter!$AC$5:$AC$750,0)))</f>
        <v>0.284675514060749</v>
      </c>
      <c r="M38" s="13" t="n">
        <f aca="false">IF(COUNTIFS(BankQuarter!$B$5:$B$750,A38,BankQuarter!$D$5:$D$750,WF_END_PERIOD)=0,"",INDEX(BankQuarter!$S$5:$S$750,MATCH(A38&amp;"|"&amp;WF_END_PERIOD,BankQuarter!$AC$5:$AC$750,0)))</f>
        <v>0.0282698373338279</v>
      </c>
    </row>
    <row r="39" customFormat="false" ht="15" hidden="false" customHeight="false" outlineLevel="0" collapsed="false">
      <c r="A39" s="0" t="n">
        <v>17748</v>
      </c>
      <c r="B39" s="0" t="str">
        <f aca="false">IF(COUNTIFS(BankQuarter!$B$5:$B$750,A39,BankQuarter!$D$5:$D$750,WF_END_PERIOD)&gt;0,INDEX(BankQuarter!$C$5:$C$750,MATCH(A39&amp;"|"&amp;WF_END_PERIOD,BankQuarter!$AC$5:$AC$750,0)),IF(COUNTIFS(BankQuarter!$B$5:$B$750,A39,BankQuarter!$D$5:$D$750,WF_START_PERIOD)&gt;0,INDEX(BankQuarter!$C$5:$C$750,MATCH(A39&amp;"|"&amp;WF_START_PERIOD,BankQuarter!$AC$5:$AC$750,0)),""))</f>
        <v>GORHAM SAVINGS BANK</v>
      </c>
      <c r="C39" s="0" t="str">
        <f aca="false">IF(COUNTIFS(BankQuarter!$B$5:$B$750,A39,BankQuarter!$D$5:$D$750,WF_START_PERIOD)=0,"",INDEX(BankQuarter!$E$5:$E$750,MATCH(A39&amp;"|"&amp;WF_START_PERIOD,BankQuarter!$AC$5:$AC$750,0)))</f>
        <v>ME</v>
      </c>
      <c r="D39" s="0" t="str">
        <f aca="false">IF(COUNTIFS(BankQuarter!$B$5:$B$750,A39,BankQuarter!$D$5:$D$750,WF_END_PERIOD)=0,"",INDEX(BankQuarter!$E$5:$E$750,MATCH(A39&amp;"|"&amp;WF_END_PERIOD,BankQuarter!$AC$5:$AC$750,0)))</f>
        <v/>
      </c>
      <c r="E39" s="11" t="b">
        <f aca="false">COUNTIFS(BankQuarter!$B$5:$B$750,A39,BankQuarter!$D$5:$D$750,WF_START_PERIOD,BankQuarter!$R$5:$R$750,TRUE())&gt;0</f>
        <v>1</v>
      </c>
      <c r="F39" s="11" t="b">
        <f aca="false">COUNTIFS(BankQuarter!$B$5:$B$750,A39,BankQuarter!$D$5:$D$750,WF_END_PERIOD,BankQuarter!$R$5:$R$750,TRUE())&gt;0</f>
        <v>0</v>
      </c>
      <c r="G39" s="0" t="str">
        <f aca="false">IF(AND(E39,F39),IF(C39=D39,"Common","State move "&amp;C39&amp;"→"&amp;D39),IF(AND(E39,NOT(F39)),"Exiting ALL",IF(AND(NOT(E39),F39),"Entering ALL","Neither valid")))</f>
        <v>Exiting ALL</v>
      </c>
      <c r="H39" s="0" t="n">
        <f aca="false">IF(COUNTIFS(BankQuarter!$B$5:$B$750,A39,BankQuarter!$D$5:$D$750,WF_START_PERIOD)=0,"",INDEX(BankQuarter!$F$5:$F$750,MATCH(A39&amp;"|"&amp;WF_START_PERIOD,BankQuarter!$AC$5:$AC$750,0)))</f>
        <v>1653584</v>
      </c>
      <c r="I39" s="0" t="str">
        <f aca="false">IF(COUNTIFS(BankQuarter!$B$5:$B$750,A39,BankQuarter!$D$5:$D$750,WF_END_PERIOD)=0,"",INDEX(BankQuarter!$F$5:$F$750,MATCH(A39&amp;"|"&amp;WF_END_PERIOD,BankQuarter!$AC$5:$AC$750,0)))</f>
        <v/>
      </c>
      <c r="J39" s="0" t="n">
        <f aca="false">IF(COUNTIFS(BankQuarter!$B$5:$B$750,A39,BankQuarter!$D$5:$D$750,WF_START_PERIOD)=0,"",INDEX(BankQuarter!$A$5:$A$750,MATCH(A39&amp;"|"&amp;WF_START_PERIOD,BankQuarter!$AC$5:$AC$750,0)))</f>
        <v>497</v>
      </c>
      <c r="K39" s="0" t="str">
        <f aca="false">IF(COUNTIFS(BankQuarter!$B$5:$B$750,A39,BankQuarter!$D$5:$D$750,WF_END_PERIOD)=0,"",INDEX(BankQuarter!$A$5:$A$750,MATCH(A39&amp;"|"&amp;WF_END_PERIOD,BankQuarter!$AC$5:$AC$750,0)))</f>
        <v/>
      </c>
      <c r="L39" s="13" t="n">
        <f aca="false">IF(COUNTIFS(BankQuarter!$B$5:$B$750,A39,BankQuarter!$D$5:$D$750,WF_START_PERIOD)=0,"",INDEX(BankQuarter!$S$5:$S$750,MATCH(A39&amp;"|"&amp;WF_START_PERIOD,BankQuarter!$AC$5:$AC$750,0)))</f>
        <v>0.479685338029396</v>
      </c>
      <c r="M39" s="13" t="str">
        <f aca="false">IF(COUNTIFS(BankQuarter!$B$5:$B$750,A39,BankQuarter!$D$5:$D$750,WF_END_PERIOD)=0,"",INDEX(BankQuarter!$S$5:$S$750,MATCH(A39&amp;"|"&amp;WF_END_PERIOD,BankQuarter!$AC$5:$AC$750,0)))</f>
        <v/>
      </c>
    </row>
    <row r="40" customFormat="false" ht="15" hidden="false" customHeight="false" outlineLevel="0" collapsed="false">
      <c r="A40" s="0" t="n">
        <v>17749</v>
      </c>
      <c r="B40" s="0" t="str">
        <f aca="false">IF(COUNTIFS(BankQuarter!$B$5:$B$750,A40,BankQuarter!$D$5:$D$750,WF_END_PERIOD)&gt;0,INDEX(BankQuarter!$C$5:$C$750,MATCH(A40&amp;"|"&amp;WF_END_PERIOD,BankQuarter!$AC$5:$AC$750,0)),IF(COUNTIFS(BankQuarter!$B$5:$B$750,A40,BankQuarter!$D$5:$D$750,WF_START_PERIOD)&gt;0,INDEX(BankQuarter!$C$5:$C$750,MATCH(A40&amp;"|"&amp;WF_START_PERIOD,BankQuarter!$AC$5:$AC$750,0)),""))</f>
        <v>BATH SAVINGS INSTITUTION</v>
      </c>
      <c r="C40" s="0" t="str">
        <f aca="false">IF(COUNTIFS(BankQuarter!$B$5:$B$750,A40,BankQuarter!$D$5:$D$750,WF_START_PERIOD)=0,"",INDEX(BankQuarter!$E$5:$E$750,MATCH(A40&amp;"|"&amp;WF_START_PERIOD,BankQuarter!$AC$5:$AC$750,0)))</f>
        <v>ME</v>
      </c>
      <c r="D40" s="0" t="str">
        <f aca="false">IF(COUNTIFS(BankQuarter!$B$5:$B$750,A40,BankQuarter!$D$5:$D$750,WF_END_PERIOD)=0,"",INDEX(BankQuarter!$E$5:$E$750,MATCH(A40&amp;"|"&amp;WF_END_PERIOD,BankQuarter!$AC$5:$AC$750,0)))</f>
        <v>ME</v>
      </c>
      <c r="E40" s="11" t="b">
        <f aca="false">COUNTIFS(BankQuarter!$B$5:$B$750,A40,BankQuarter!$D$5:$D$750,WF_START_PERIOD,BankQuarter!$R$5:$R$750,TRUE())&gt;0</f>
        <v>1</v>
      </c>
      <c r="F40" s="11" t="b">
        <f aca="false">COUNTIFS(BankQuarter!$B$5:$B$750,A40,BankQuarter!$D$5:$D$750,WF_END_PERIOD,BankQuarter!$R$5:$R$750,TRUE())&gt;0</f>
        <v>1</v>
      </c>
      <c r="G40" s="0" t="str">
        <f aca="false">IF(AND(E40,F40),IF(C40=D40,"Common","State move "&amp;C40&amp;"→"&amp;D40),IF(AND(E40,NOT(F40)),"Exiting ALL",IF(AND(NOT(E40),F40),"Entering ALL","Neither valid")))</f>
        <v>Common</v>
      </c>
      <c r="H40" s="0" t="n">
        <f aca="false">IF(COUNTIFS(BankQuarter!$B$5:$B$750,A40,BankQuarter!$D$5:$D$750,WF_START_PERIOD)=0,"",INDEX(BankQuarter!$F$5:$F$750,MATCH(A40&amp;"|"&amp;WF_START_PERIOD,BankQuarter!$AC$5:$AC$750,0)))</f>
        <v>1395226</v>
      </c>
      <c r="I40" s="0" t="n">
        <f aca="false">IF(COUNTIFS(BankQuarter!$B$5:$B$750,A40,BankQuarter!$D$5:$D$750,WF_END_PERIOD)=0,"",INDEX(BankQuarter!$F$5:$F$750,MATCH(A40&amp;"|"&amp;WF_END_PERIOD,BankQuarter!$AC$5:$AC$750,0)))</f>
        <v>1447972</v>
      </c>
      <c r="J40" s="0" t="n">
        <f aca="false">IF(COUNTIFS(BankQuarter!$B$5:$B$750,A40,BankQuarter!$D$5:$D$750,WF_START_PERIOD)=0,"",INDEX(BankQuarter!$A$5:$A$750,MATCH(A40&amp;"|"&amp;WF_START_PERIOD,BankQuarter!$AC$5:$AC$750,0)))</f>
        <v>498</v>
      </c>
      <c r="K40" s="0" t="n">
        <f aca="false">IF(COUNTIFS(BankQuarter!$B$5:$B$750,A40,BankQuarter!$D$5:$D$750,WF_END_PERIOD)=0,"",INDEX(BankQuarter!$A$5:$A$750,MATCH(A40&amp;"|"&amp;WF_END_PERIOD,BankQuarter!$AC$5:$AC$750,0)))</f>
        <v>710</v>
      </c>
      <c r="L40" s="13" t="n">
        <f aca="false">IF(COUNTIFS(BankQuarter!$B$5:$B$750,A40,BankQuarter!$D$5:$D$750,WF_START_PERIOD)=0,"",INDEX(BankQuarter!$S$5:$S$750,MATCH(A40&amp;"|"&amp;WF_START_PERIOD,BankQuarter!$AC$5:$AC$750,0)))</f>
        <v>0.0174165332354758</v>
      </c>
      <c r="M40" s="13" t="n">
        <f aca="false">IF(COUNTIFS(BankQuarter!$B$5:$B$750,A40,BankQuarter!$D$5:$D$750,WF_END_PERIOD)=0,"",INDEX(BankQuarter!$S$5:$S$750,MATCH(A40&amp;"|"&amp;WF_END_PERIOD,BankQuarter!$AC$5:$AC$750,0)))</f>
        <v>0.0947532134599288</v>
      </c>
    </row>
    <row r="41" customFormat="false" ht="15" hidden="false" customHeight="false" outlineLevel="0" collapsed="false">
      <c r="A41" s="0" t="n">
        <v>17751</v>
      </c>
      <c r="B41" s="0" t="str">
        <f aca="false">IF(COUNTIFS(BankQuarter!$B$5:$B$750,A41,BankQuarter!$D$5:$D$750,WF_END_PERIOD)&gt;0,INDEX(BankQuarter!$C$5:$C$750,MATCH(A41&amp;"|"&amp;WF_END_PERIOD,BankQuarter!$AC$5:$AC$750,0)),IF(COUNTIFS(BankQuarter!$B$5:$B$750,A41,BankQuarter!$D$5:$D$750,WF_START_PERIOD)&gt;0,INDEX(BankQuarter!$C$5:$C$750,MATCH(A41&amp;"|"&amp;WF_START_PERIOD,BankQuarter!$AC$5:$AC$750,0)),""))</f>
        <v>ANDROSCOGGIN SAVINGS BANK</v>
      </c>
      <c r="C41" s="0" t="str">
        <f aca="false">IF(COUNTIFS(BankQuarter!$B$5:$B$750,A41,BankQuarter!$D$5:$D$750,WF_START_PERIOD)=0,"",INDEX(BankQuarter!$E$5:$E$750,MATCH(A41&amp;"|"&amp;WF_START_PERIOD,BankQuarter!$AC$5:$AC$750,0)))</f>
        <v>ME</v>
      </c>
      <c r="D41" s="0" t="str">
        <f aca="false">IF(COUNTIFS(BankQuarter!$B$5:$B$750,A41,BankQuarter!$D$5:$D$750,WF_END_PERIOD)=0,"",INDEX(BankQuarter!$E$5:$E$750,MATCH(A41&amp;"|"&amp;WF_END_PERIOD,BankQuarter!$AC$5:$AC$750,0)))</f>
        <v>ME</v>
      </c>
      <c r="E41" s="11" t="b">
        <f aca="false">COUNTIFS(BankQuarter!$B$5:$B$750,A41,BankQuarter!$D$5:$D$750,WF_START_PERIOD,BankQuarter!$R$5:$R$750,TRUE())&gt;0</f>
        <v>1</v>
      </c>
      <c r="F41" s="11" t="b">
        <f aca="false">COUNTIFS(BankQuarter!$B$5:$B$750,A41,BankQuarter!$D$5:$D$750,WF_END_PERIOD,BankQuarter!$R$5:$R$750,TRUE())&gt;0</f>
        <v>1</v>
      </c>
      <c r="G41" s="0" t="str">
        <f aca="false">IF(AND(E41,F41),IF(C41=D41,"Common","State move "&amp;C41&amp;"→"&amp;D41),IF(AND(E41,NOT(F41)),"Exiting ALL",IF(AND(NOT(E41),F41),"Entering ALL","Neither valid")))</f>
        <v>Common</v>
      </c>
      <c r="H41" s="0" t="n">
        <f aca="false">IF(COUNTIFS(BankQuarter!$B$5:$B$750,A41,BankQuarter!$D$5:$D$750,WF_START_PERIOD)=0,"",INDEX(BankQuarter!$F$5:$F$750,MATCH(A41&amp;"|"&amp;WF_START_PERIOD,BankQuarter!$AC$5:$AC$750,0)))</f>
        <v>1628666</v>
      </c>
      <c r="I41" s="0" t="n">
        <f aca="false">IF(COUNTIFS(BankQuarter!$B$5:$B$750,A41,BankQuarter!$D$5:$D$750,WF_END_PERIOD)=0,"",INDEX(BankQuarter!$F$5:$F$750,MATCH(A41&amp;"|"&amp;WF_END_PERIOD,BankQuarter!$AC$5:$AC$750,0)))</f>
        <v>1763462</v>
      </c>
      <c r="J41" s="0" t="n">
        <f aca="false">IF(COUNTIFS(BankQuarter!$B$5:$B$750,A41,BankQuarter!$D$5:$D$750,WF_START_PERIOD)=0,"",INDEX(BankQuarter!$A$5:$A$750,MATCH(A41&amp;"|"&amp;WF_START_PERIOD,BankQuarter!$AC$5:$AC$750,0)))</f>
        <v>499</v>
      </c>
      <c r="K41" s="0" t="n">
        <f aca="false">IF(COUNTIFS(BankQuarter!$B$5:$B$750,A41,BankQuarter!$D$5:$D$750,WF_END_PERIOD)=0,"",INDEX(BankQuarter!$A$5:$A$750,MATCH(A41&amp;"|"&amp;WF_END_PERIOD,BankQuarter!$AC$5:$AC$750,0)))</f>
        <v>711</v>
      </c>
      <c r="L41" s="13" t="n">
        <f aca="false">IF(COUNTIFS(BankQuarter!$B$5:$B$750,A41,BankQuarter!$D$5:$D$750,WF_START_PERIOD)=0,"",INDEX(BankQuarter!$S$5:$S$750,MATCH(A41&amp;"|"&amp;WF_START_PERIOD,BankQuarter!$AC$5:$AC$750,0)))</f>
        <v>0.298587924104758</v>
      </c>
      <c r="M41" s="13" t="n">
        <f aca="false">IF(COUNTIFS(BankQuarter!$B$5:$B$750,A41,BankQuarter!$D$5:$D$750,WF_END_PERIOD)=0,"",INDEX(BankQuarter!$S$5:$S$750,MATCH(A41&amp;"|"&amp;WF_END_PERIOD,BankQuarter!$AC$5:$AC$750,0)))</f>
        <v>0.137513595416289</v>
      </c>
    </row>
    <row r="42" customFormat="false" ht="15" hidden="false" customHeight="false" outlineLevel="0" collapsed="false">
      <c r="A42" s="0" t="n">
        <v>17897</v>
      </c>
      <c r="B42" s="0" t="str">
        <f aca="false">IF(COUNTIFS(BankQuarter!$B$5:$B$750,A42,BankQuarter!$D$5:$D$750,WF_END_PERIOD)&gt;0,INDEX(BankQuarter!$C$5:$C$750,MATCH(A42&amp;"|"&amp;WF_END_PERIOD,BankQuarter!$AC$5:$AC$750,0)),IF(COUNTIFS(BankQuarter!$B$5:$B$750,A42,BankQuarter!$D$5:$D$750,WF_START_PERIOD)&gt;0,INDEX(BankQuarter!$C$5:$C$750,MATCH(A42&amp;"|"&amp;WF_START_PERIOD,BankQuarter!$AC$5:$AC$750,0)),""))</f>
        <v>KENNEBEC SAVINGS BANK</v>
      </c>
      <c r="C42" s="0" t="str">
        <f aca="false">IF(COUNTIFS(BankQuarter!$B$5:$B$750,A42,BankQuarter!$D$5:$D$750,WF_START_PERIOD)=0,"",INDEX(BankQuarter!$E$5:$E$750,MATCH(A42&amp;"|"&amp;WF_START_PERIOD,BankQuarter!$AC$5:$AC$750,0)))</f>
        <v>ME</v>
      </c>
      <c r="D42" s="0" t="str">
        <f aca="false">IF(COUNTIFS(BankQuarter!$B$5:$B$750,A42,BankQuarter!$D$5:$D$750,WF_END_PERIOD)=0,"",INDEX(BankQuarter!$E$5:$E$750,MATCH(A42&amp;"|"&amp;WF_END_PERIOD,BankQuarter!$AC$5:$AC$750,0)))</f>
        <v>ME</v>
      </c>
      <c r="E42" s="11" t="b">
        <f aca="false">COUNTIFS(BankQuarter!$B$5:$B$750,A42,BankQuarter!$D$5:$D$750,WF_START_PERIOD,BankQuarter!$R$5:$R$750,TRUE())&gt;0</f>
        <v>1</v>
      </c>
      <c r="F42" s="11" t="b">
        <f aca="false">COUNTIFS(BankQuarter!$B$5:$B$750,A42,BankQuarter!$D$5:$D$750,WF_END_PERIOD,BankQuarter!$R$5:$R$750,TRUE())&gt;0</f>
        <v>1</v>
      </c>
      <c r="G42" s="0" t="str">
        <f aca="false">IF(AND(E42,F42),IF(C42=D42,"Common","State move "&amp;C42&amp;"→"&amp;D42),IF(AND(E42,NOT(F42)),"Exiting ALL",IF(AND(NOT(E42),F42),"Entering ALL","Neither valid")))</f>
        <v>Common</v>
      </c>
      <c r="H42" s="0" t="n">
        <f aca="false">IF(COUNTIFS(BankQuarter!$B$5:$B$750,A42,BankQuarter!$D$5:$D$750,WF_START_PERIOD)=0,"",INDEX(BankQuarter!$F$5:$F$750,MATCH(A42&amp;"|"&amp;WF_START_PERIOD,BankQuarter!$AC$5:$AC$750,0)))</f>
        <v>1732333</v>
      </c>
      <c r="I42" s="0" t="n">
        <f aca="false">IF(COUNTIFS(BankQuarter!$B$5:$B$750,A42,BankQuarter!$D$5:$D$750,WF_END_PERIOD)=0,"",INDEX(BankQuarter!$F$5:$F$750,MATCH(A42&amp;"|"&amp;WF_END_PERIOD,BankQuarter!$AC$5:$AC$750,0)))</f>
        <v>1790373</v>
      </c>
      <c r="J42" s="0" t="n">
        <f aca="false">IF(COUNTIFS(BankQuarter!$B$5:$B$750,A42,BankQuarter!$D$5:$D$750,WF_START_PERIOD)=0,"",INDEX(BankQuarter!$A$5:$A$750,MATCH(A42&amp;"|"&amp;WF_START_PERIOD,BankQuarter!$AC$5:$AC$750,0)))</f>
        <v>500</v>
      </c>
      <c r="K42" s="0" t="n">
        <f aca="false">IF(COUNTIFS(BankQuarter!$B$5:$B$750,A42,BankQuarter!$D$5:$D$750,WF_END_PERIOD)=0,"",INDEX(BankQuarter!$A$5:$A$750,MATCH(A42&amp;"|"&amp;WF_END_PERIOD,BankQuarter!$AC$5:$AC$750,0)))</f>
        <v>712</v>
      </c>
      <c r="L42" s="13" t="n">
        <f aca="false">IF(COUNTIFS(BankQuarter!$B$5:$B$750,A42,BankQuarter!$D$5:$D$750,WF_START_PERIOD)=0,"",INDEX(BankQuarter!$S$5:$S$750,MATCH(A42&amp;"|"&amp;WF_START_PERIOD,BankQuarter!$AC$5:$AC$750,0)))</f>
        <v>0.231826098100077</v>
      </c>
      <c r="M42" s="13" t="n">
        <f aca="false">IF(COUNTIFS(BankQuarter!$B$5:$B$750,A42,BankQuarter!$D$5:$D$750,WF_END_PERIOD)=0,"",INDEX(BankQuarter!$S$5:$S$750,MATCH(A42&amp;"|"&amp;WF_END_PERIOD,BankQuarter!$AC$5:$AC$750,0)))</f>
        <v>0.301110438997907</v>
      </c>
    </row>
    <row r="43" customFormat="false" ht="15" hidden="false" customHeight="false" outlineLevel="0" collapsed="false">
      <c r="A43" s="0" t="n">
        <v>17951</v>
      </c>
      <c r="B43" s="0" t="str">
        <f aca="false">IF(COUNTIFS(BankQuarter!$B$5:$B$750,A43,BankQuarter!$D$5:$D$750,WF_END_PERIOD)&gt;0,INDEX(BankQuarter!$C$5:$C$750,MATCH(A43&amp;"|"&amp;WF_END_PERIOD,BankQuarter!$AC$5:$AC$750,0)),IF(COUNTIFS(BankQuarter!$B$5:$B$750,A43,BankQuarter!$D$5:$D$750,WF_START_PERIOD)&gt;0,INDEX(BankQuarter!$C$5:$C$750,MATCH(A43&amp;"|"&amp;WF_START_PERIOD,BankQuarter!$AC$5:$AC$750,0)),""))</f>
        <v>FRANKLIN SAVINGS BANK</v>
      </c>
      <c r="C43" s="0" t="str">
        <f aca="false">IF(COUNTIFS(BankQuarter!$B$5:$B$750,A43,BankQuarter!$D$5:$D$750,WF_START_PERIOD)=0,"",INDEX(BankQuarter!$E$5:$E$750,MATCH(A43&amp;"|"&amp;WF_START_PERIOD,BankQuarter!$AC$5:$AC$750,0)))</f>
        <v>NH</v>
      </c>
      <c r="D43" s="0" t="str">
        <f aca="false">IF(COUNTIFS(BankQuarter!$B$5:$B$750,A43,BankQuarter!$D$5:$D$750,WF_END_PERIOD)=0,"",INDEX(BankQuarter!$E$5:$E$750,MATCH(A43&amp;"|"&amp;WF_END_PERIOD,BankQuarter!$AC$5:$AC$750,0)))</f>
        <v>NH</v>
      </c>
      <c r="E43" s="11" t="b">
        <f aca="false">COUNTIFS(BankQuarter!$B$5:$B$750,A43,BankQuarter!$D$5:$D$750,WF_START_PERIOD,BankQuarter!$R$5:$R$750,TRUE())&gt;0</f>
        <v>1</v>
      </c>
      <c r="F43" s="11" t="b">
        <f aca="false">COUNTIFS(BankQuarter!$B$5:$B$750,A43,BankQuarter!$D$5:$D$750,WF_END_PERIOD,BankQuarter!$R$5:$R$750,TRUE())&gt;0</f>
        <v>1</v>
      </c>
      <c r="G43" s="0" t="str">
        <f aca="false">IF(AND(E43,F43),IF(C43=D43,"Common","State move "&amp;C43&amp;"→"&amp;D43),IF(AND(E43,NOT(F43)),"Exiting ALL",IF(AND(NOT(E43),F43),"Entering ALL","Neither valid")))</f>
        <v>Common</v>
      </c>
      <c r="H43" s="0" t="n">
        <f aca="false">IF(COUNTIFS(BankQuarter!$B$5:$B$750,A43,BankQuarter!$D$5:$D$750,WF_START_PERIOD)=0,"",INDEX(BankQuarter!$F$5:$F$750,MATCH(A43&amp;"|"&amp;WF_START_PERIOD,BankQuarter!$AC$5:$AC$750,0)))</f>
        <v>810464</v>
      </c>
      <c r="I43" s="0" t="n">
        <f aca="false">IF(COUNTIFS(BankQuarter!$B$5:$B$750,A43,BankQuarter!$D$5:$D$750,WF_END_PERIOD)=0,"",INDEX(BankQuarter!$F$5:$F$750,MATCH(A43&amp;"|"&amp;WF_END_PERIOD,BankQuarter!$AC$5:$AC$750,0)))</f>
        <v>905293</v>
      </c>
      <c r="J43" s="0" t="n">
        <f aca="false">IF(COUNTIFS(BankQuarter!$B$5:$B$750,A43,BankQuarter!$D$5:$D$750,WF_START_PERIOD)=0,"",INDEX(BankQuarter!$A$5:$A$750,MATCH(A43&amp;"|"&amp;WF_START_PERIOD,BankQuarter!$AC$5:$AC$750,0)))</f>
        <v>501</v>
      </c>
      <c r="K43" s="0" t="n">
        <f aca="false">IF(COUNTIFS(BankQuarter!$B$5:$B$750,A43,BankQuarter!$D$5:$D$750,WF_END_PERIOD)=0,"",INDEX(BankQuarter!$A$5:$A$750,MATCH(A43&amp;"|"&amp;WF_END_PERIOD,BankQuarter!$AC$5:$AC$750,0)))</f>
        <v>713</v>
      </c>
      <c r="L43" s="13" t="n">
        <f aca="false">IF(COUNTIFS(BankQuarter!$B$5:$B$750,A43,BankQuarter!$D$5:$D$750,WF_START_PERIOD)=0,"",INDEX(BankQuarter!$S$5:$S$750,MATCH(A43&amp;"|"&amp;WF_START_PERIOD,BankQuarter!$AC$5:$AC$750,0)))</f>
        <v>0.0076499388004896</v>
      </c>
      <c r="M43" s="13" t="n">
        <f aca="false">IF(COUNTIFS(BankQuarter!$B$5:$B$750,A43,BankQuarter!$D$5:$D$750,WF_END_PERIOD)=0,"",INDEX(BankQuarter!$S$5:$S$750,MATCH(A43&amp;"|"&amp;WF_END_PERIOD,BankQuarter!$AC$5:$AC$750,0)))</f>
        <v>0.0165692212355558</v>
      </c>
    </row>
    <row r="44" customFormat="false" ht="15" hidden="false" customHeight="false" outlineLevel="0" collapsed="false">
      <c r="A44" s="0" t="n">
        <v>17960</v>
      </c>
      <c r="B44" s="0" t="str">
        <f aca="false">IF(COUNTIFS(BankQuarter!$B$5:$B$750,A44,BankQuarter!$D$5:$D$750,WF_END_PERIOD)&gt;0,INDEX(BankQuarter!$C$5:$C$750,MATCH(A44&amp;"|"&amp;WF_END_PERIOD,BankQuarter!$AC$5:$AC$750,0)),IF(COUNTIFS(BankQuarter!$B$5:$B$750,A44,BankQuarter!$D$5:$D$750,WF_START_PERIOD)&gt;0,INDEX(BankQuarter!$C$5:$C$750,MATCH(A44&amp;"|"&amp;WF_START_PERIOD,BankQuarter!$AC$5:$AC$750,0)),""))</f>
        <v>MERRIMACK COUNTY SAVINGS BANK</v>
      </c>
      <c r="C44" s="0" t="str">
        <f aca="false">IF(COUNTIFS(BankQuarter!$B$5:$B$750,A44,BankQuarter!$D$5:$D$750,WF_START_PERIOD)=0,"",INDEX(BankQuarter!$E$5:$E$750,MATCH(A44&amp;"|"&amp;WF_START_PERIOD,BankQuarter!$AC$5:$AC$750,0)))</f>
        <v>NH</v>
      </c>
      <c r="D44" s="0" t="str">
        <f aca="false">IF(COUNTIFS(BankQuarter!$B$5:$B$750,A44,BankQuarter!$D$5:$D$750,WF_END_PERIOD)=0,"",INDEX(BankQuarter!$E$5:$E$750,MATCH(A44&amp;"|"&amp;WF_END_PERIOD,BankQuarter!$AC$5:$AC$750,0)))</f>
        <v>NH</v>
      </c>
      <c r="E44" s="11" t="b">
        <f aca="false">COUNTIFS(BankQuarter!$B$5:$B$750,A44,BankQuarter!$D$5:$D$750,WF_START_PERIOD,BankQuarter!$R$5:$R$750,TRUE())&gt;0</f>
        <v>1</v>
      </c>
      <c r="F44" s="11" t="b">
        <f aca="false">COUNTIFS(BankQuarter!$B$5:$B$750,A44,BankQuarter!$D$5:$D$750,WF_END_PERIOD,BankQuarter!$R$5:$R$750,TRUE())&gt;0</f>
        <v>1</v>
      </c>
      <c r="G44" s="0" t="str">
        <f aca="false">IF(AND(E44,F44),IF(C44=D44,"Common","State move "&amp;C44&amp;"→"&amp;D44),IF(AND(E44,NOT(F44)),"Exiting ALL",IF(AND(NOT(E44),F44),"Entering ALL","Neither valid")))</f>
        <v>Common</v>
      </c>
      <c r="H44" s="0" t="n">
        <f aca="false">IF(COUNTIFS(BankQuarter!$B$5:$B$750,A44,BankQuarter!$D$5:$D$750,WF_START_PERIOD)=0,"",INDEX(BankQuarter!$F$5:$F$750,MATCH(A44&amp;"|"&amp;WF_START_PERIOD,BankQuarter!$AC$5:$AC$750,0)))</f>
        <v>1384318</v>
      </c>
      <c r="I44" s="0" t="n">
        <f aca="false">IF(COUNTIFS(BankQuarter!$B$5:$B$750,A44,BankQuarter!$D$5:$D$750,WF_END_PERIOD)=0,"",INDEX(BankQuarter!$F$5:$F$750,MATCH(A44&amp;"|"&amp;WF_END_PERIOD,BankQuarter!$AC$5:$AC$750,0)))</f>
        <v>1351508</v>
      </c>
      <c r="J44" s="0" t="n">
        <f aca="false">IF(COUNTIFS(BankQuarter!$B$5:$B$750,A44,BankQuarter!$D$5:$D$750,WF_START_PERIOD)=0,"",INDEX(BankQuarter!$A$5:$A$750,MATCH(A44&amp;"|"&amp;WF_START_PERIOD,BankQuarter!$AC$5:$AC$750,0)))</f>
        <v>502</v>
      </c>
      <c r="K44" s="0" t="n">
        <f aca="false">IF(COUNTIFS(BankQuarter!$B$5:$B$750,A44,BankQuarter!$D$5:$D$750,WF_END_PERIOD)=0,"",INDEX(BankQuarter!$A$5:$A$750,MATCH(A44&amp;"|"&amp;WF_END_PERIOD,BankQuarter!$AC$5:$AC$750,0)))</f>
        <v>714</v>
      </c>
      <c r="L44" s="13" t="n">
        <f aca="false">IF(COUNTIFS(BankQuarter!$B$5:$B$750,A44,BankQuarter!$D$5:$D$750,WF_START_PERIOD)=0,"",INDEX(BankQuarter!$S$5:$S$750,MATCH(A44&amp;"|"&amp;WF_START_PERIOD,BankQuarter!$AC$5:$AC$750,0)))</f>
        <v>0.668488020816026</v>
      </c>
      <c r="M44" s="13" t="n">
        <f aca="false">IF(COUNTIFS(BankQuarter!$B$5:$B$750,A44,BankQuarter!$D$5:$D$750,WF_END_PERIOD)=0,"",INDEX(BankQuarter!$S$5:$S$750,MATCH(A44&amp;"|"&amp;WF_END_PERIOD,BankQuarter!$AC$5:$AC$750,0)))</f>
        <v>0.568032153712742</v>
      </c>
    </row>
    <row r="45" customFormat="false" ht="15" hidden="false" customHeight="false" outlineLevel="0" collapsed="false">
      <c r="A45" s="0" t="n">
        <v>18012</v>
      </c>
      <c r="B45" s="0" t="str">
        <f aca="false">IF(COUNTIFS(BankQuarter!$B$5:$B$750,A45,BankQuarter!$D$5:$D$750,WF_END_PERIOD)&gt;0,INDEX(BankQuarter!$C$5:$C$750,MATCH(A45&amp;"|"&amp;WF_END_PERIOD,BankQuarter!$AC$5:$AC$750,0)),IF(COUNTIFS(BankQuarter!$B$5:$B$750,A45,BankQuarter!$D$5:$D$750,WF_START_PERIOD)&gt;0,INDEX(BankQuarter!$C$5:$C$750,MATCH(A45&amp;"|"&amp;WF_START_PERIOD,BankQuarter!$AC$5:$AC$750,0)),""))</f>
        <v>BANK OF NEW HAMPSHIRE</v>
      </c>
      <c r="C45" s="0" t="str">
        <f aca="false">IF(COUNTIFS(BankQuarter!$B$5:$B$750,A45,BankQuarter!$D$5:$D$750,WF_START_PERIOD)=0,"",INDEX(BankQuarter!$E$5:$E$750,MATCH(A45&amp;"|"&amp;WF_START_PERIOD,BankQuarter!$AC$5:$AC$750,0)))</f>
        <v>NH</v>
      </c>
      <c r="D45" s="0" t="str">
        <f aca="false">IF(COUNTIFS(BankQuarter!$B$5:$B$750,A45,BankQuarter!$D$5:$D$750,WF_END_PERIOD)=0,"",INDEX(BankQuarter!$E$5:$E$750,MATCH(A45&amp;"|"&amp;WF_END_PERIOD,BankQuarter!$AC$5:$AC$750,0)))</f>
        <v>NH</v>
      </c>
      <c r="E45" s="11" t="b">
        <f aca="false">COUNTIFS(BankQuarter!$B$5:$B$750,A45,BankQuarter!$D$5:$D$750,WF_START_PERIOD,BankQuarter!$R$5:$R$750,TRUE())&gt;0</f>
        <v>1</v>
      </c>
      <c r="F45" s="11" t="b">
        <f aca="false">COUNTIFS(BankQuarter!$B$5:$B$750,A45,BankQuarter!$D$5:$D$750,WF_END_PERIOD,BankQuarter!$R$5:$R$750,TRUE())&gt;0</f>
        <v>1</v>
      </c>
      <c r="G45" s="0" t="str">
        <f aca="false">IF(AND(E45,F45),IF(C45=D45,"Common","State move "&amp;C45&amp;"→"&amp;D45),IF(AND(E45,NOT(F45)),"Exiting ALL",IF(AND(NOT(E45),F45),"Entering ALL","Neither valid")))</f>
        <v>Common</v>
      </c>
      <c r="H45" s="0" t="n">
        <f aca="false">IF(COUNTIFS(BankQuarter!$B$5:$B$750,A45,BankQuarter!$D$5:$D$750,WF_START_PERIOD)=0,"",INDEX(BankQuarter!$F$5:$F$750,MATCH(A45&amp;"|"&amp;WF_START_PERIOD,BankQuarter!$AC$5:$AC$750,0)))</f>
        <v>2499818</v>
      </c>
      <c r="I45" s="0" t="n">
        <f aca="false">IF(COUNTIFS(BankQuarter!$B$5:$B$750,A45,BankQuarter!$D$5:$D$750,WF_END_PERIOD)=0,"",INDEX(BankQuarter!$F$5:$F$750,MATCH(A45&amp;"|"&amp;WF_END_PERIOD,BankQuarter!$AC$5:$AC$750,0)))</f>
        <v>2642289</v>
      </c>
      <c r="J45" s="0" t="n">
        <f aca="false">IF(COUNTIFS(BankQuarter!$B$5:$B$750,A45,BankQuarter!$D$5:$D$750,WF_START_PERIOD)=0,"",INDEX(BankQuarter!$A$5:$A$750,MATCH(A45&amp;"|"&amp;WF_START_PERIOD,BankQuarter!$AC$5:$AC$750,0)))</f>
        <v>503</v>
      </c>
      <c r="K45" s="0" t="n">
        <f aca="false">IF(COUNTIFS(BankQuarter!$B$5:$B$750,A45,BankQuarter!$D$5:$D$750,WF_END_PERIOD)=0,"",INDEX(BankQuarter!$A$5:$A$750,MATCH(A45&amp;"|"&amp;WF_END_PERIOD,BankQuarter!$AC$5:$AC$750,0)))</f>
        <v>715</v>
      </c>
      <c r="L45" s="13" t="n">
        <f aca="false">IF(COUNTIFS(BankQuarter!$B$5:$B$750,A45,BankQuarter!$D$5:$D$750,WF_START_PERIOD)=0,"",INDEX(BankQuarter!$S$5:$S$750,MATCH(A45&amp;"|"&amp;WF_START_PERIOD,BankQuarter!$AC$5:$AC$750,0)))</f>
        <v>0.0396028830898889</v>
      </c>
      <c r="M45" s="13" t="n">
        <f aca="false">IF(COUNTIFS(BankQuarter!$B$5:$B$750,A45,BankQuarter!$D$5:$D$750,WF_END_PERIOD)=0,"",INDEX(BankQuarter!$S$5:$S$750,MATCH(A45&amp;"|"&amp;WF_END_PERIOD,BankQuarter!$AC$5:$AC$750,0)))</f>
        <v>0.0386028931733054</v>
      </c>
    </row>
    <row r="46" customFormat="false" ht="15" hidden="false" customHeight="false" outlineLevel="0" collapsed="false">
      <c r="A46" s="0" t="n">
        <v>18013</v>
      </c>
      <c r="B46" s="0" t="str">
        <f aca="false">IF(COUNTIFS(BankQuarter!$B$5:$B$750,A46,BankQuarter!$D$5:$D$750,WF_END_PERIOD)&gt;0,INDEX(BankQuarter!$C$5:$C$750,MATCH(A46&amp;"|"&amp;WF_END_PERIOD,BankQuarter!$AC$5:$AC$750,0)),IF(COUNTIFS(BankQuarter!$B$5:$B$750,A46,BankQuarter!$D$5:$D$750,WF_START_PERIOD)&gt;0,INDEX(BankQuarter!$C$5:$C$750,MATCH(A46&amp;"|"&amp;WF_START_PERIOD,BankQuarter!$AC$5:$AC$750,0)),""))</f>
        <v>MASCOMA BANK</v>
      </c>
      <c r="C46" s="0" t="str">
        <f aca="false">IF(COUNTIFS(BankQuarter!$B$5:$B$750,A46,BankQuarter!$D$5:$D$750,WF_START_PERIOD)=0,"",INDEX(BankQuarter!$E$5:$E$750,MATCH(A46&amp;"|"&amp;WF_START_PERIOD,BankQuarter!$AC$5:$AC$750,0)))</f>
        <v>NH</v>
      </c>
      <c r="D46" s="0" t="str">
        <f aca="false">IF(COUNTIFS(BankQuarter!$B$5:$B$750,A46,BankQuarter!$D$5:$D$750,WF_END_PERIOD)=0,"",INDEX(BankQuarter!$E$5:$E$750,MATCH(A46&amp;"|"&amp;WF_END_PERIOD,BankQuarter!$AC$5:$AC$750,0)))</f>
        <v>NH</v>
      </c>
      <c r="E46" s="11" t="b">
        <f aca="false">COUNTIFS(BankQuarter!$B$5:$B$750,A46,BankQuarter!$D$5:$D$750,WF_START_PERIOD,BankQuarter!$R$5:$R$750,TRUE())&gt;0</f>
        <v>1</v>
      </c>
      <c r="F46" s="11" t="b">
        <f aca="false">COUNTIFS(BankQuarter!$B$5:$B$750,A46,BankQuarter!$D$5:$D$750,WF_END_PERIOD,BankQuarter!$R$5:$R$750,TRUE())&gt;0</f>
        <v>1</v>
      </c>
      <c r="G46" s="0" t="str">
        <f aca="false">IF(AND(E46,F46),IF(C46=D46,"Common","State move "&amp;C46&amp;"→"&amp;D46),IF(AND(E46,NOT(F46)),"Exiting ALL",IF(AND(NOT(E46),F46),"Entering ALL","Neither valid")))</f>
        <v>Common</v>
      </c>
      <c r="H46" s="0" t="n">
        <f aca="false">IF(COUNTIFS(BankQuarter!$B$5:$B$750,A46,BankQuarter!$D$5:$D$750,WF_START_PERIOD)=0,"",INDEX(BankQuarter!$F$5:$F$750,MATCH(A46&amp;"|"&amp;WF_START_PERIOD,BankQuarter!$AC$5:$AC$750,0)))</f>
        <v>2913389</v>
      </c>
      <c r="I46" s="0" t="n">
        <f aca="false">IF(COUNTIFS(BankQuarter!$B$5:$B$750,A46,BankQuarter!$D$5:$D$750,WF_END_PERIOD)=0,"",INDEX(BankQuarter!$F$5:$F$750,MATCH(A46&amp;"|"&amp;WF_END_PERIOD,BankQuarter!$AC$5:$AC$750,0)))</f>
        <v>2896306</v>
      </c>
      <c r="J46" s="0" t="n">
        <f aca="false">IF(COUNTIFS(BankQuarter!$B$5:$B$750,A46,BankQuarter!$D$5:$D$750,WF_START_PERIOD)=0,"",INDEX(BankQuarter!$A$5:$A$750,MATCH(A46&amp;"|"&amp;WF_START_PERIOD,BankQuarter!$AC$5:$AC$750,0)))</f>
        <v>504</v>
      </c>
      <c r="K46" s="0" t="n">
        <f aca="false">IF(COUNTIFS(BankQuarter!$B$5:$B$750,A46,BankQuarter!$D$5:$D$750,WF_END_PERIOD)=0,"",INDEX(BankQuarter!$A$5:$A$750,MATCH(A46&amp;"|"&amp;WF_END_PERIOD,BankQuarter!$AC$5:$AC$750,0)))</f>
        <v>716</v>
      </c>
      <c r="L46" s="13" t="n">
        <f aca="false">IF(COUNTIFS(BankQuarter!$B$5:$B$750,A46,BankQuarter!$D$5:$D$750,WF_START_PERIOD)=0,"",INDEX(BankQuarter!$S$5:$S$750,MATCH(A46&amp;"|"&amp;WF_START_PERIOD,BankQuarter!$AC$5:$AC$750,0)))</f>
        <v>0.0448961673157961</v>
      </c>
      <c r="M46" s="13" t="n">
        <f aca="false">IF(COUNTIFS(BankQuarter!$B$5:$B$750,A46,BankQuarter!$D$5:$D$750,WF_END_PERIOD)=0,"",INDEX(BankQuarter!$S$5:$S$750,MATCH(A46&amp;"|"&amp;WF_END_PERIOD,BankQuarter!$AC$5:$AC$750,0)))</f>
        <v>0.0536545516944688</v>
      </c>
    </row>
    <row r="47" customFormat="false" ht="15" hidden="false" customHeight="false" outlineLevel="0" collapsed="false">
      <c r="A47" s="0" t="n">
        <v>18028</v>
      </c>
      <c r="B47" s="0" t="str">
        <f aca="false">IF(COUNTIFS(BankQuarter!$B$5:$B$750,A47,BankQuarter!$D$5:$D$750,WF_END_PERIOD)&gt;0,INDEX(BankQuarter!$C$5:$C$750,MATCH(A47&amp;"|"&amp;WF_END_PERIOD,BankQuarter!$AC$5:$AC$750,0)),IF(COUNTIFS(BankQuarter!$B$5:$B$750,A47,BankQuarter!$D$5:$D$750,WF_START_PERIOD)&gt;0,INDEX(BankQuarter!$C$5:$C$750,MATCH(A47&amp;"|"&amp;WF_START_PERIOD,BankQuarter!$AC$5:$AC$750,0)),""))</f>
        <v>SUGAR RIVER BANK</v>
      </c>
      <c r="C47" s="0" t="str">
        <f aca="false">IF(COUNTIFS(BankQuarter!$B$5:$B$750,A47,BankQuarter!$D$5:$D$750,WF_START_PERIOD)=0,"",INDEX(BankQuarter!$E$5:$E$750,MATCH(A47&amp;"|"&amp;WF_START_PERIOD,BankQuarter!$AC$5:$AC$750,0)))</f>
        <v>NH</v>
      </c>
      <c r="D47" s="0" t="str">
        <f aca="false">IF(COUNTIFS(BankQuarter!$B$5:$B$750,A47,BankQuarter!$D$5:$D$750,WF_END_PERIOD)=0,"",INDEX(BankQuarter!$E$5:$E$750,MATCH(A47&amp;"|"&amp;WF_END_PERIOD,BankQuarter!$AC$5:$AC$750,0)))</f>
        <v>NH</v>
      </c>
      <c r="E47" s="11" t="b">
        <f aca="false">COUNTIFS(BankQuarter!$B$5:$B$750,A47,BankQuarter!$D$5:$D$750,WF_START_PERIOD,BankQuarter!$R$5:$R$750,TRUE())&gt;0</f>
        <v>1</v>
      </c>
      <c r="F47" s="11" t="b">
        <f aca="false">COUNTIFS(BankQuarter!$B$5:$B$750,A47,BankQuarter!$D$5:$D$750,WF_END_PERIOD,BankQuarter!$R$5:$R$750,TRUE())&gt;0</f>
        <v>1</v>
      </c>
      <c r="G47" s="0" t="str">
        <f aca="false">IF(AND(E47,F47),IF(C47=D47,"Common","State move "&amp;C47&amp;"→"&amp;D47),IF(AND(E47,NOT(F47)),"Exiting ALL",IF(AND(NOT(E47),F47),"Entering ALL","Neither valid")))</f>
        <v>Common</v>
      </c>
      <c r="H47" s="0" t="n">
        <f aca="false">IF(COUNTIFS(BankQuarter!$B$5:$B$750,A47,BankQuarter!$D$5:$D$750,WF_START_PERIOD)=0,"",INDEX(BankQuarter!$F$5:$F$750,MATCH(A47&amp;"|"&amp;WF_START_PERIOD,BankQuarter!$AC$5:$AC$750,0)))</f>
        <v>393662</v>
      </c>
      <c r="I47" s="0" t="n">
        <f aca="false">IF(COUNTIFS(BankQuarter!$B$5:$B$750,A47,BankQuarter!$D$5:$D$750,WF_END_PERIOD)=0,"",INDEX(BankQuarter!$F$5:$F$750,MATCH(A47&amp;"|"&amp;WF_END_PERIOD,BankQuarter!$AC$5:$AC$750,0)))</f>
        <v>404550</v>
      </c>
      <c r="J47" s="0" t="n">
        <f aca="false">IF(COUNTIFS(BankQuarter!$B$5:$B$750,A47,BankQuarter!$D$5:$D$750,WF_START_PERIOD)=0,"",INDEX(BankQuarter!$A$5:$A$750,MATCH(A47&amp;"|"&amp;WF_START_PERIOD,BankQuarter!$AC$5:$AC$750,0)))</f>
        <v>505</v>
      </c>
      <c r="K47" s="0" t="n">
        <f aca="false">IF(COUNTIFS(BankQuarter!$B$5:$B$750,A47,BankQuarter!$D$5:$D$750,WF_END_PERIOD)=0,"",INDEX(BankQuarter!$A$5:$A$750,MATCH(A47&amp;"|"&amp;WF_END_PERIOD,BankQuarter!$AC$5:$AC$750,0)))</f>
        <v>717</v>
      </c>
      <c r="L47" s="13" t="n">
        <f aca="false">IF(COUNTIFS(BankQuarter!$B$5:$B$750,A47,BankQuarter!$D$5:$D$750,WF_START_PERIOD)=0,"",INDEX(BankQuarter!$S$5:$S$750,MATCH(A47&amp;"|"&amp;WF_START_PERIOD,BankQuarter!$AC$5:$AC$750,0)))</f>
        <v>0.156479416352099</v>
      </c>
      <c r="M47" s="13" t="n">
        <f aca="false">IF(COUNTIFS(BankQuarter!$B$5:$B$750,A47,BankQuarter!$D$5:$D$750,WF_END_PERIOD)=0,"",INDEX(BankQuarter!$S$5:$S$750,MATCH(A47&amp;"|"&amp;WF_END_PERIOD,BankQuarter!$AC$5:$AC$750,0)))</f>
        <v>0.343097268570016</v>
      </c>
    </row>
    <row r="48" customFormat="false" ht="15" hidden="false" customHeight="false" outlineLevel="0" collapsed="false">
      <c r="A48" s="0" t="n">
        <v>18030</v>
      </c>
      <c r="B48" s="0" t="str">
        <f aca="false">IF(COUNTIFS(BankQuarter!$B$5:$B$750,A48,BankQuarter!$D$5:$D$750,WF_END_PERIOD)&gt;0,INDEX(BankQuarter!$C$5:$C$750,MATCH(A48&amp;"|"&amp;WF_END_PERIOD,BankQuarter!$AC$5:$AC$750,0)),IF(COUNTIFS(BankQuarter!$B$5:$B$750,A48,BankQuarter!$D$5:$D$750,WF_START_PERIOD)&gt;0,INDEX(BankQuarter!$C$5:$C$750,MATCH(A48&amp;"|"&amp;WF_START_PERIOD,BankQuarter!$AC$5:$AC$750,0)),""))</f>
        <v>SAVINGS BANK OF WALPOLE</v>
      </c>
      <c r="C48" s="0" t="str">
        <f aca="false">IF(COUNTIFS(BankQuarter!$B$5:$B$750,A48,BankQuarter!$D$5:$D$750,WF_START_PERIOD)=0,"",INDEX(BankQuarter!$E$5:$E$750,MATCH(A48&amp;"|"&amp;WF_START_PERIOD,BankQuarter!$AC$5:$AC$750,0)))</f>
        <v>NH</v>
      </c>
      <c r="D48" s="0" t="str">
        <f aca="false">IF(COUNTIFS(BankQuarter!$B$5:$B$750,A48,BankQuarter!$D$5:$D$750,WF_END_PERIOD)=0,"",INDEX(BankQuarter!$E$5:$E$750,MATCH(A48&amp;"|"&amp;WF_END_PERIOD,BankQuarter!$AC$5:$AC$750,0)))</f>
        <v>NH</v>
      </c>
      <c r="E48" s="11" t="b">
        <f aca="false">COUNTIFS(BankQuarter!$B$5:$B$750,A48,BankQuarter!$D$5:$D$750,WF_START_PERIOD,BankQuarter!$R$5:$R$750,TRUE())&gt;0</f>
        <v>1</v>
      </c>
      <c r="F48" s="11" t="b">
        <f aca="false">COUNTIFS(BankQuarter!$B$5:$B$750,A48,BankQuarter!$D$5:$D$750,WF_END_PERIOD,BankQuarter!$R$5:$R$750,TRUE())&gt;0</f>
        <v>1</v>
      </c>
      <c r="G48" s="0" t="str">
        <f aca="false">IF(AND(E48,F48),IF(C48=D48,"Common","State move "&amp;C48&amp;"→"&amp;D48),IF(AND(E48,NOT(F48)),"Exiting ALL",IF(AND(NOT(E48),F48),"Entering ALL","Neither valid")))</f>
        <v>Common</v>
      </c>
      <c r="H48" s="0" t="n">
        <f aca="false">IF(COUNTIFS(BankQuarter!$B$5:$B$750,A48,BankQuarter!$D$5:$D$750,WF_START_PERIOD)=0,"",INDEX(BankQuarter!$F$5:$F$750,MATCH(A48&amp;"|"&amp;WF_START_PERIOD,BankQuarter!$AC$5:$AC$750,0)))</f>
        <v>764903</v>
      </c>
      <c r="I48" s="0" t="n">
        <f aca="false">IF(COUNTIFS(BankQuarter!$B$5:$B$750,A48,BankQuarter!$D$5:$D$750,WF_END_PERIOD)=0,"",INDEX(BankQuarter!$F$5:$F$750,MATCH(A48&amp;"|"&amp;WF_END_PERIOD,BankQuarter!$AC$5:$AC$750,0)))</f>
        <v>805858</v>
      </c>
      <c r="J48" s="0" t="n">
        <f aca="false">IF(COUNTIFS(BankQuarter!$B$5:$B$750,A48,BankQuarter!$D$5:$D$750,WF_START_PERIOD)=0,"",INDEX(BankQuarter!$A$5:$A$750,MATCH(A48&amp;"|"&amp;WF_START_PERIOD,BankQuarter!$AC$5:$AC$750,0)))</f>
        <v>506</v>
      </c>
      <c r="K48" s="0" t="n">
        <f aca="false">IF(COUNTIFS(BankQuarter!$B$5:$B$750,A48,BankQuarter!$D$5:$D$750,WF_END_PERIOD)=0,"",INDEX(BankQuarter!$A$5:$A$750,MATCH(A48&amp;"|"&amp;WF_END_PERIOD,BankQuarter!$AC$5:$AC$750,0)))</f>
        <v>718</v>
      </c>
      <c r="L48" s="13" t="n">
        <f aca="false">IF(COUNTIFS(BankQuarter!$B$5:$B$750,A48,BankQuarter!$D$5:$D$750,WF_START_PERIOD)=0,"",INDEX(BankQuarter!$S$5:$S$750,MATCH(A48&amp;"|"&amp;WF_START_PERIOD,BankQuarter!$AC$5:$AC$750,0)))</f>
        <v>0.252842517286506</v>
      </c>
      <c r="M48" s="13" t="n">
        <f aca="false">IF(COUNTIFS(BankQuarter!$B$5:$B$750,A48,BankQuarter!$D$5:$D$750,WF_END_PERIOD)=0,"",INDEX(BankQuarter!$S$5:$S$750,MATCH(A48&amp;"|"&amp;WF_END_PERIOD,BankQuarter!$AC$5:$AC$750,0)))</f>
        <v>0.174224242980773</v>
      </c>
    </row>
    <row r="49" customFormat="false" ht="15" hidden="false" customHeight="false" outlineLevel="0" collapsed="false">
      <c r="A49" s="0" t="n">
        <v>18031</v>
      </c>
      <c r="B49" s="0" t="str">
        <f aca="false">IF(COUNTIFS(BankQuarter!$B$5:$B$750,A49,BankQuarter!$D$5:$D$750,WF_END_PERIOD)&gt;0,INDEX(BankQuarter!$C$5:$C$750,MATCH(A49&amp;"|"&amp;WF_END_PERIOD,BankQuarter!$AC$5:$AC$750,0)),IF(COUNTIFS(BankQuarter!$B$5:$B$750,A49,BankQuarter!$D$5:$D$750,WF_START_PERIOD)&gt;0,INDEX(BankQuarter!$C$5:$C$750,MATCH(A49&amp;"|"&amp;WF_START_PERIOD,BankQuarter!$AC$5:$AC$750,0)),""))</f>
        <v>WOODSVILLE GUARANTY SAVINGS BANK</v>
      </c>
      <c r="C49" s="0" t="str">
        <f aca="false">IF(COUNTIFS(BankQuarter!$B$5:$B$750,A49,BankQuarter!$D$5:$D$750,WF_START_PERIOD)=0,"",INDEX(BankQuarter!$E$5:$E$750,MATCH(A49&amp;"|"&amp;WF_START_PERIOD,BankQuarter!$AC$5:$AC$750,0)))</f>
        <v>NH</v>
      </c>
      <c r="D49" s="0" t="str">
        <f aca="false">IF(COUNTIFS(BankQuarter!$B$5:$B$750,A49,BankQuarter!$D$5:$D$750,WF_END_PERIOD)=0,"",INDEX(BankQuarter!$E$5:$E$750,MATCH(A49&amp;"|"&amp;WF_END_PERIOD,BankQuarter!$AC$5:$AC$750,0)))</f>
        <v>NH</v>
      </c>
      <c r="E49" s="11" t="b">
        <f aca="false">COUNTIFS(BankQuarter!$B$5:$B$750,A49,BankQuarter!$D$5:$D$750,WF_START_PERIOD,BankQuarter!$R$5:$R$750,TRUE())&gt;0</f>
        <v>1</v>
      </c>
      <c r="F49" s="11" t="b">
        <f aca="false">COUNTIFS(BankQuarter!$B$5:$B$750,A49,BankQuarter!$D$5:$D$750,WF_END_PERIOD,BankQuarter!$R$5:$R$750,TRUE())&gt;0</f>
        <v>1</v>
      </c>
      <c r="G49" s="0" t="str">
        <f aca="false">IF(AND(E49,F49),IF(C49=D49,"Common","State move "&amp;C49&amp;"→"&amp;D49),IF(AND(E49,NOT(F49)),"Exiting ALL",IF(AND(NOT(E49),F49),"Entering ALL","Neither valid")))</f>
        <v>Common</v>
      </c>
      <c r="H49" s="0" t="n">
        <f aca="false">IF(COUNTIFS(BankQuarter!$B$5:$B$750,A49,BankQuarter!$D$5:$D$750,WF_START_PERIOD)=0,"",INDEX(BankQuarter!$F$5:$F$750,MATCH(A49&amp;"|"&amp;WF_START_PERIOD,BankQuarter!$AC$5:$AC$750,0)))</f>
        <v>669965</v>
      </c>
      <c r="I49" s="0" t="n">
        <f aca="false">IF(COUNTIFS(BankQuarter!$B$5:$B$750,A49,BankQuarter!$D$5:$D$750,WF_END_PERIOD)=0,"",INDEX(BankQuarter!$F$5:$F$750,MATCH(A49&amp;"|"&amp;WF_END_PERIOD,BankQuarter!$AC$5:$AC$750,0)))</f>
        <v>669249</v>
      </c>
      <c r="J49" s="0" t="n">
        <f aca="false">IF(COUNTIFS(BankQuarter!$B$5:$B$750,A49,BankQuarter!$D$5:$D$750,WF_START_PERIOD)=0,"",INDEX(BankQuarter!$A$5:$A$750,MATCH(A49&amp;"|"&amp;WF_START_PERIOD,BankQuarter!$AC$5:$AC$750,0)))</f>
        <v>507</v>
      </c>
      <c r="K49" s="0" t="n">
        <f aca="false">IF(COUNTIFS(BankQuarter!$B$5:$B$750,A49,BankQuarter!$D$5:$D$750,WF_END_PERIOD)=0,"",INDEX(BankQuarter!$A$5:$A$750,MATCH(A49&amp;"|"&amp;WF_END_PERIOD,BankQuarter!$AC$5:$AC$750,0)))</f>
        <v>719</v>
      </c>
      <c r="L49" s="13" t="n">
        <f aca="false">IF(COUNTIFS(BankQuarter!$B$5:$B$750,A49,BankQuarter!$D$5:$D$750,WF_START_PERIOD)=0,"",INDEX(BankQuarter!$S$5:$S$750,MATCH(A49&amp;"|"&amp;WF_START_PERIOD,BankQuarter!$AC$5:$AC$750,0)))</f>
        <v>0.13836543700044</v>
      </c>
      <c r="M49" s="13" t="n">
        <f aca="false">IF(COUNTIFS(BankQuarter!$B$5:$B$750,A49,BankQuarter!$D$5:$D$750,WF_END_PERIOD)=0,"",INDEX(BankQuarter!$S$5:$S$750,MATCH(A49&amp;"|"&amp;WF_END_PERIOD,BankQuarter!$AC$5:$AC$750,0)))</f>
        <v>0.0845724087746115</v>
      </c>
    </row>
    <row r="50" customFormat="false" ht="15" hidden="false" customHeight="false" outlineLevel="0" collapsed="false">
      <c r="A50" s="0" t="n">
        <v>18038</v>
      </c>
      <c r="B50" s="0" t="str">
        <f aca="false">IF(COUNTIFS(BankQuarter!$B$5:$B$750,A50,BankQuarter!$D$5:$D$750,WF_END_PERIOD)&gt;0,INDEX(BankQuarter!$C$5:$C$750,MATCH(A50&amp;"|"&amp;WF_END_PERIOD,BankQuarter!$AC$5:$AC$750,0)),IF(COUNTIFS(BankQuarter!$B$5:$B$750,A50,BankQuarter!$D$5:$D$750,WF_START_PERIOD)&gt;0,INDEX(BankQuarter!$C$5:$C$750,MATCH(A50&amp;"|"&amp;WF_START_PERIOD,BankQuarter!$AC$5:$AC$750,0)),""))</f>
        <v>CLAREMONT SAVINGS BANK</v>
      </c>
      <c r="C50" s="0" t="str">
        <f aca="false">IF(COUNTIFS(BankQuarter!$B$5:$B$750,A50,BankQuarter!$D$5:$D$750,WF_START_PERIOD)=0,"",INDEX(BankQuarter!$E$5:$E$750,MATCH(A50&amp;"|"&amp;WF_START_PERIOD,BankQuarter!$AC$5:$AC$750,0)))</f>
        <v>NH</v>
      </c>
      <c r="D50" s="0" t="str">
        <f aca="false">IF(COUNTIFS(BankQuarter!$B$5:$B$750,A50,BankQuarter!$D$5:$D$750,WF_END_PERIOD)=0,"",INDEX(BankQuarter!$E$5:$E$750,MATCH(A50&amp;"|"&amp;WF_END_PERIOD,BankQuarter!$AC$5:$AC$750,0)))</f>
        <v>NH</v>
      </c>
      <c r="E50" s="11" t="b">
        <f aca="false">COUNTIFS(BankQuarter!$B$5:$B$750,A50,BankQuarter!$D$5:$D$750,WF_START_PERIOD,BankQuarter!$R$5:$R$750,TRUE())&gt;0</f>
        <v>1</v>
      </c>
      <c r="F50" s="11" t="b">
        <f aca="false">COUNTIFS(BankQuarter!$B$5:$B$750,A50,BankQuarter!$D$5:$D$750,WF_END_PERIOD,BankQuarter!$R$5:$R$750,TRUE())&gt;0</f>
        <v>1</v>
      </c>
      <c r="G50" s="0" t="str">
        <f aca="false">IF(AND(E50,F50),IF(C50=D50,"Common","State move "&amp;C50&amp;"→"&amp;D50),IF(AND(E50,NOT(F50)),"Exiting ALL",IF(AND(NOT(E50),F50),"Entering ALL","Neither valid")))</f>
        <v>Common</v>
      </c>
      <c r="H50" s="0" t="n">
        <f aca="false">IF(COUNTIFS(BankQuarter!$B$5:$B$750,A50,BankQuarter!$D$5:$D$750,WF_START_PERIOD)=0,"",INDEX(BankQuarter!$F$5:$F$750,MATCH(A50&amp;"|"&amp;WF_START_PERIOD,BankQuarter!$AC$5:$AC$750,0)))</f>
        <v>528195</v>
      </c>
      <c r="I50" s="0" t="n">
        <f aca="false">IF(COUNTIFS(BankQuarter!$B$5:$B$750,A50,BankQuarter!$D$5:$D$750,WF_END_PERIOD)=0,"",INDEX(BankQuarter!$F$5:$F$750,MATCH(A50&amp;"|"&amp;WF_END_PERIOD,BankQuarter!$AC$5:$AC$750,0)))</f>
        <v>597834</v>
      </c>
      <c r="J50" s="0" t="n">
        <f aca="false">IF(COUNTIFS(BankQuarter!$B$5:$B$750,A50,BankQuarter!$D$5:$D$750,WF_START_PERIOD)=0,"",INDEX(BankQuarter!$A$5:$A$750,MATCH(A50&amp;"|"&amp;WF_START_PERIOD,BankQuarter!$AC$5:$AC$750,0)))</f>
        <v>508</v>
      </c>
      <c r="K50" s="0" t="n">
        <f aca="false">IF(COUNTIFS(BankQuarter!$B$5:$B$750,A50,BankQuarter!$D$5:$D$750,WF_END_PERIOD)=0,"",INDEX(BankQuarter!$A$5:$A$750,MATCH(A50&amp;"|"&amp;WF_END_PERIOD,BankQuarter!$AC$5:$AC$750,0)))</f>
        <v>720</v>
      </c>
      <c r="L50" s="13" t="n">
        <f aca="false">IF(COUNTIFS(BankQuarter!$B$5:$B$750,A50,BankQuarter!$D$5:$D$750,WF_START_PERIOD)=0,"",INDEX(BankQuarter!$S$5:$S$750,MATCH(A50&amp;"|"&amp;WF_START_PERIOD,BankQuarter!$AC$5:$AC$750,0)))</f>
        <v>0.49830081693314</v>
      </c>
      <c r="M50" s="13" t="n">
        <f aca="false">IF(COUNTIFS(BankQuarter!$B$5:$B$750,A50,BankQuarter!$D$5:$D$750,WF_END_PERIOD)=0,"",INDEX(BankQuarter!$S$5:$S$750,MATCH(A50&amp;"|"&amp;WF_END_PERIOD,BankQuarter!$AC$5:$AC$750,0)))</f>
        <v>0.366991506003339</v>
      </c>
    </row>
    <row r="51" customFormat="false" ht="15" hidden="false" customHeight="false" outlineLevel="0" collapsed="false">
      <c r="A51" s="0" t="n">
        <v>18408</v>
      </c>
      <c r="B51" s="0" t="str">
        <f aca="false">IF(COUNTIFS(BankQuarter!$B$5:$B$750,A51,BankQuarter!$D$5:$D$750,WF_END_PERIOD)&gt;0,INDEX(BankQuarter!$C$5:$C$750,MATCH(A51&amp;"|"&amp;WF_END_PERIOD,BankQuarter!$AC$5:$AC$750,0)),IF(COUNTIFS(BankQuarter!$B$5:$B$750,A51,BankQuarter!$D$5:$D$750,WF_START_PERIOD)&gt;0,INDEX(BankQuarter!$C$5:$C$750,MATCH(A51&amp;"|"&amp;WF_START_PERIOD,BankQuarter!$AC$5:$AC$750,0)),""))</f>
        <v>BANGOR SAVINGS BANK</v>
      </c>
      <c r="C51" s="0" t="str">
        <f aca="false">IF(COUNTIFS(BankQuarter!$B$5:$B$750,A51,BankQuarter!$D$5:$D$750,WF_START_PERIOD)=0,"",INDEX(BankQuarter!$E$5:$E$750,MATCH(A51&amp;"|"&amp;WF_START_PERIOD,BankQuarter!$AC$5:$AC$750,0)))</f>
        <v>ME</v>
      </c>
      <c r="D51" s="0" t="str">
        <f aca="false">IF(COUNTIFS(BankQuarter!$B$5:$B$750,A51,BankQuarter!$D$5:$D$750,WF_END_PERIOD)=0,"",INDEX(BankQuarter!$E$5:$E$750,MATCH(A51&amp;"|"&amp;WF_END_PERIOD,BankQuarter!$AC$5:$AC$750,0)))</f>
        <v>ME</v>
      </c>
      <c r="E51" s="11" t="b">
        <f aca="false">COUNTIFS(BankQuarter!$B$5:$B$750,A51,BankQuarter!$D$5:$D$750,WF_START_PERIOD,BankQuarter!$R$5:$R$750,TRUE())&gt;0</f>
        <v>1</v>
      </c>
      <c r="F51" s="11" t="b">
        <f aca="false">COUNTIFS(BankQuarter!$B$5:$B$750,A51,BankQuarter!$D$5:$D$750,WF_END_PERIOD,BankQuarter!$R$5:$R$750,TRUE())&gt;0</f>
        <v>1</v>
      </c>
      <c r="G51" s="0" t="str">
        <f aca="false">IF(AND(E51,F51),IF(C51=D51,"Common","State move "&amp;C51&amp;"→"&amp;D51),IF(AND(E51,NOT(F51)),"Exiting ALL",IF(AND(NOT(E51),F51),"Entering ALL","Neither valid")))</f>
        <v>Common</v>
      </c>
      <c r="H51" s="0" t="n">
        <f aca="false">IF(COUNTIFS(BankQuarter!$B$5:$B$750,A51,BankQuarter!$D$5:$D$750,WF_START_PERIOD)=0,"",INDEX(BankQuarter!$F$5:$F$750,MATCH(A51&amp;"|"&amp;WF_START_PERIOD,BankQuarter!$AC$5:$AC$750,0)))</f>
        <v>7222033</v>
      </c>
      <c r="I51" s="0" t="n">
        <f aca="false">IF(COUNTIFS(BankQuarter!$B$5:$B$750,A51,BankQuarter!$D$5:$D$750,WF_END_PERIOD)=0,"",INDEX(BankQuarter!$F$5:$F$750,MATCH(A51&amp;"|"&amp;WF_END_PERIOD,BankQuarter!$AC$5:$AC$750,0)))</f>
        <v>7335916</v>
      </c>
      <c r="J51" s="0" t="n">
        <f aca="false">IF(COUNTIFS(BankQuarter!$B$5:$B$750,A51,BankQuarter!$D$5:$D$750,WF_START_PERIOD)=0,"",INDEX(BankQuarter!$A$5:$A$750,MATCH(A51&amp;"|"&amp;WF_START_PERIOD,BankQuarter!$AC$5:$AC$750,0)))</f>
        <v>509</v>
      </c>
      <c r="K51" s="0" t="n">
        <f aca="false">IF(COUNTIFS(BankQuarter!$B$5:$B$750,A51,BankQuarter!$D$5:$D$750,WF_END_PERIOD)=0,"",INDEX(BankQuarter!$A$5:$A$750,MATCH(A51&amp;"|"&amp;WF_END_PERIOD,BankQuarter!$AC$5:$AC$750,0)))</f>
        <v>721</v>
      </c>
      <c r="L51" s="13" t="n">
        <f aca="false">IF(COUNTIFS(BankQuarter!$B$5:$B$750,A51,BankQuarter!$D$5:$D$750,WF_START_PERIOD)=0,"",INDEX(BankQuarter!$S$5:$S$750,MATCH(A51&amp;"|"&amp;WF_START_PERIOD,BankQuarter!$AC$5:$AC$750,0)))</f>
        <v>0.0558291550315541</v>
      </c>
      <c r="M51" s="13" t="n">
        <f aca="false">IF(COUNTIFS(BankQuarter!$B$5:$B$750,A51,BankQuarter!$D$5:$D$750,WF_END_PERIOD)=0,"",INDEX(BankQuarter!$S$5:$S$750,MATCH(A51&amp;"|"&amp;WF_END_PERIOD,BankQuarter!$AC$5:$AC$750,0)))</f>
        <v>0.457134460100143</v>
      </c>
    </row>
    <row r="52" customFormat="false" ht="15" hidden="false" customHeight="false" outlineLevel="0" collapsed="false">
      <c r="A52" s="0" t="n">
        <v>19531</v>
      </c>
      <c r="B52" s="0" t="str">
        <f aca="false">IF(COUNTIFS(BankQuarter!$B$5:$B$750,A52,BankQuarter!$D$5:$D$750,WF_END_PERIOD)&gt;0,INDEX(BankQuarter!$C$5:$C$750,MATCH(A52&amp;"|"&amp;WF_END_PERIOD,BankQuarter!$AC$5:$AC$750,0)),IF(COUNTIFS(BankQuarter!$B$5:$B$750,A52,BankQuarter!$D$5:$D$750,WF_START_PERIOD)&gt;0,INDEX(BankQuarter!$C$5:$C$750,MATCH(A52&amp;"|"&amp;WF_START_PERIOD,BankQuarter!$AC$5:$AC$750,0)),""))</f>
        <v>MACHIAS SAVINGS BANK</v>
      </c>
      <c r="C52" s="0" t="str">
        <f aca="false">IF(COUNTIFS(BankQuarter!$B$5:$B$750,A52,BankQuarter!$D$5:$D$750,WF_START_PERIOD)=0,"",INDEX(BankQuarter!$E$5:$E$750,MATCH(A52&amp;"|"&amp;WF_START_PERIOD,BankQuarter!$AC$5:$AC$750,0)))</f>
        <v>ME</v>
      </c>
      <c r="D52" s="0" t="str">
        <f aca="false">IF(COUNTIFS(BankQuarter!$B$5:$B$750,A52,BankQuarter!$D$5:$D$750,WF_END_PERIOD)=0,"",INDEX(BankQuarter!$E$5:$E$750,MATCH(A52&amp;"|"&amp;WF_END_PERIOD,BankQuarter!$AC$5:$AC$750,0)))</f>
        <v>ME</v>
      </c>
      <c r="E52" s="11" t="b">
        <f aca="false">COUNTIFS(BankQuarter!$B$5:$B$750,A52,BankQuarter!$D$5:$D$750,WF_START_PERIOD,BankQuarter!$R$5:$R$750,TRUE())&gt;0</f>
        <v>1</v>
      </c>
      <c r="F52" s="11" t="b">
        <f aca="false">COUNTIFS(BankQuarter!$B$5:$B$750,A52,BankQuarter!$D$5:$D$750,WF_END_PERIOD,BankQuarter!$R$5:$R$750,TRUE())&gt;0</f>
        <v>1</v>
      </c>
      <c r="G52" s="0" t="str">
        <f aca="false">IF(AND(E52,F52),IF(C52=D52,"Common","State move "&amp;C52&amp;"→"&amp;D52),IF(AND(E52,NOT(F52)),"Exiting ALL",IF(AND(NOT(E52),F52),"Entering ALL","Neither valid")))</f>
        <v>Common</v>
      </c>
      <c r="H52" s="0" t="n">
        <f aca="false">IF(COUNTIFS(BankQuarter!$B$5:$B$750,A52,BankQuarter!$D$5:$D$750,WF_START_PERIOD)=0,"",INDEX(BankQuarter!$F$5:$F$750,MATCH(A52&amp;"|"&amp;WF_START_PERIOD,BankQuarter!$AC$5:$AC$750,0)))</f>
        <v>2602801</v>
      </c>
      <c r="I52" s="0" t="n">
        <f aca="false">IF(COUNTIFS(BankQuarter!$B$5:$B$750,A52,BankQuarter!$D$5:$D$750,WF_END_PERIOD)=0,"",INDEX(BankQuarter!$F$5:$F$750,MATCH(A52&amp;"|"&amp;WF_END_PERIOD,BankQuarter!$AC$5:$AC$750,0)))</f>
        <v>2611219</v>
      </c>
      <c r="J52" s="0" t="n">
        <f aca="false">IF(COUNTIFS(BankQuarter!$B$5:$B$750,A52,BankQuarter!$D$5:$D$750,WF_START_PERIOD)=0,"",INDEX(BankQuarter!$A$5:$A$750,MATCH(A52&amp;"|"&amp;WF_START_PERIOD,BankQuarter!$AC$5:$AC$750,0)))</f>
        <v>510</v>
      </c>
      <c r="K52" s="0" t="n">
        <f aca="false">IF(COUNTIFS(BankQuarter!$B$5:$B$750,A52,BankQuarter!$D$5:$D$750,WF_END_PERIOD)=0,"",INDEX(BankQuarter!$A$5:$A$750,MATCH(A52&amp;"|"&amp;WF_END_PERIOD,BankQuarter!$AC$5:$AC$750,0)))</f>
        <v>722</v>
      </c>
      <c r="L52" s="13" t="n">
        <f aca="false">IF(COUNTIFS(BankQuarter!$B$5:$B$750,A52,BankQuarter!$D$5:$D$750,WF_START_PERIOD)=0,"",INDEX(BankQuarter!$S$5:$S$750,MATCH(A52&amp;"|"&amp;WF_START_PERIOD,BankQuarter!$AC$5:$AC$750,0)))</f>
        <v>0.310742158159613</v>
      </c>
      <c r="M52" s="13" t="n">
        <f aca="false">IF(COUNTIFS(BankQuarter!$B$5:$B$750,A52,BankQuarter!$D$5:$D$750,WF_END_PERIOD)=0,"",INDEX(BankQuarter!$S$5:$S$750,MATCH(A52&amp;"|"&amp;WF_END_PERIOD,BankQuarter!$AC$5:$AC$750,0)))</f>
        <v>0.373005864310883</v>
      </c>
    </row>
    <row r="53" customFormat="false" ht="15" hidden="false" customHeight="false" outlineLevel="0" collapsed="false">
      <c r="A53" s="0" t="n">
        <v>19532</v>
      </c>
      <c r="B53" s="0" t="str">
        <f aca="false">IF(COUNTIFS(BankQuarter!$B$5:$B$750,A53,BankQuarter!$D$5:$D$750,WF_END_PERIOD)&gt;0,INDEX(BankQuarter!$C$5:$C$750,MATCH(A53&amp;"|"&amp;WF_END_PERIOD,BankQuarter!$AC$5:$AC$750,0)),IF(COUNTIFS(BankQuarter!$B$5:$B$750,A53,BankQuarter!$D$5:$D$750,WF_START_PERIOD)&gt;0,INDEX(BankQuarter!$C$5:$C$750,MATCH(A53&amp;"|"&amp;WF_START_PERIOD,BankQuarter!$AC$5:$AC$750,0)),""))</f>
        <v>SKOWHEGAN SAVINGS BANK</v>
      </c>
      <c r="C53" s="0" t="str">
        <f aca="false">IF(COUNTIFS(BankQuarter!$B$5:$B$750,A53,BankQuarter!$D$5:$D$750,WF_START_PERIOD)=0,"",INDEX(BankQuarter!$E$5:$E$750,MATCH(A53&amp;"|"&amp;WF_START_PERIOD,BankQuarter!$AC$5:$AC$750,0)))</f>
        <v>ME</v>
      </c>
      <c r="D53" s="0" t="str">
        <f aca="false">IF(COUNTIFS(BankQuarter!$B$5:$B$750,A53,BankQuarter!$D$5:$D$750,WF_END_PERIOD)=0,"",INDEX(BankQuarter!$E$5:$E$750,MATCH(A53&amp;"|"&amp;WF_END_PERIOD,BankQuarter!$AC$5:$AC$750,0)))</f>
        <v>ME</v>
      </c>
      <c r="E53" s="11" t="b">
        <f aca="false">COUNTIFS(BankQuarter!$B$5:$B$750,A53,BankQuarter!$D$5:$D$750,WF_START_PERIOD,BankQuarter!$R$5:$R$750,TRUE())&gt;0</f>
        <v>1</v>
      </c>
      <c r="F53" s="11" t="b">
        <f aca="false">COUNTIFS(BankQuarter!$B$5:$B$750,A53,BankQuarter!$D$5:$D$750,WF_END_PERIOD,BankQuarter!$R$5:$R$750,TRUE())&gt;0</f>
        <v>1</v>
      </c>
      <c r="G53" s="0" t="str">
        <f aca="false">IF(AND(E53,F53),IF(C53=D53,"Common","State move "&amp;C53&amp;"→"&amp;D53),IF(AND(E53,NOT(F53)),"Exiting ALL",IF(AND(NOT(E53),F53),"Entering ALL","Neither valid")))</f>
        <v>Common</v>
      </c>
      <c r="H53" s="0" t="n">
        <f aca="false">IF(COUNTIFS(BankQuarter!$B$5:$B$750,A53,BankQuarter!$D$5:$D$750,WF_START_PERIOD)=0,"",INDEX(BankQuarter!$F$5:$F$750,MATCH(A53&amp;"|"&amp;WF_START_PERIOD,BankQuarter!$AC$5:$AC$750,0)))</f>
        <v>880879</v>
      </c>
      <c r="I53" s="0" t="n">
        <f aca="false">IF(COUNTIFS(BankQuarter!$B$5:$B$750,A53,BankQuarter!$D$5:$D$750,WF_END_PERIOD)=0,"",INDEX(BankQuarter!$F$5:$F$750,MATCH(A53&amp;"|"&amp;WF_END_PERIOD,BankQuarter!$AC$5:$AC$750,0)))</f>
        <v>843145</v>
      </c>
      <c r="J53" s="0" t="n">
        <f aca="false">IF(COUNTIFS(BankQuarter!$B$5:$B$750,A53,BankQuarter!$D$5:$D$750,WF_START_PERIOD)=0,"",INDEX(BankQuarter!$A$5:$A$750,MATCH(A53&amp;"|"&amp;WF_START_PERIOD,BankQuarter!$AC$5:$AC$750,0)))</f>
        <v>511</v>
      </c>
      <c r="K53" s="0" t="n">
        <f aca="false">IF(COUNTIFS(BankQuarter!$B$5:$B$750,A53,BankQuarter!$D$5:$D$750,WF_END_PERIOD)=0,"",INDEX(BankQuarter!$A$5:$A$750,MATCH(A53&amp;"|"&amp;WF_END_PERIOD,BankQuarter!$AC$5:$AC$750,0)))</f>
        <v>723</v>
      </c>
      <c r="L53" s="13" t="n">
        <f aca="false">IF(COUNTIFS(BankQuarter!$B$5:$B$750,A53,BankQuarter!$D$5:$D$750,WF_START_PERIOD)=0,"",INDEX(BankQuarter!$S$5:$S$750,MATCH(A53&amp;"|"&amp;WF_START_PERIOD,BankQuarter!$AC$5:$AC$750,0)))</f>
        <v>0.18288550413848</v>
      </c>
      <c r="M53" s="13" t="n">
        <f aca="false">IF(COUNTIFS(BankQuarter!$B$5:$B$750,A53,BankQuarter!$D$5:$D$750,WF_END_PERIOD)=0,"",INDEX(BankQuarter!$S$5:$S$750,MATCH(A53&amp;"|"&amp;WF_END_PERIOD,BankQuarter!$AC$5:$AC$750,0)))</f>
        <v>0.224635145793428</v>
      </c>
    </row>
    <row r="54" customFormat="false" ht="15" hidden="false" customHeight="false" outlineLevel="0" collapsed="false">
      <c r="A54" s="0" t="n">
        <v>19690</v>
      </c>
      <c r="B54" s="0" t="str">
        <f aca="false">IF(COUNTIFS(BankQuarter!$B$5:$B$750,A54,BankQuarter!$D$5:$D$750,WF_END_PERIOD)&gt;0,INDEX(BankQuarter!$C$5:$C$750,MATCH(A54&amp;"|"&amp;WF_END_PERIOD,BankQuarter!$AC$5:$AC$750,0)),IF(COUNTIFS(BankQuarter!$B$5:$B$750,A54,BankQuarter!$D$5:$D$750,WF_START_PERIOD)&gt;0,INDEX(BankQuarter!$C$5:$C$750,MATCH(A54&amp;"|"&amp;WF_START_PERIOD,BankQuarter!$AC$5:$AC$750,0)),""))</f>
        <v>NORTHEAST BANK</v>
      </c>
      <c r="C54" s="0" t="str">
        <f aca="false">IF(COUNTIFS(BankQuarter!$B$5:$B$750,A54,BankQuarter!$D$5:$D$750,WF_START_PERIOD)=0,"",INDEX(BankQuarter!$E$5:$E$750,MATCH(A54&amp;"|"&amp;WF_START_PERIOD,BankQuarter!$AC$5:$AC$750,0)))</f>
        <v>ME</v>
      </c>
      <c r="D54" s="0" t="str">
        <f aca="false">IF(COUNTIFS(BankQuarter!$B$5:$B$750,A54,BankQuarter!$D$5:$D$750,WF_END_PERIOD)=0,"",INDEX(BankQuarter!$E$5:$E$750,MATCH(A54&amp;"|"&amp;WF_END_PERIOD,BankQuarter!$AC$5:$AC$750,0)))</f>
        <v>ME</v>
      </c>
      <c r="E54" s="11" t="b">
        <f aca="false">COUNTIFS(BankQuarter!$B$5:$B$750,A54,BankQuarter!$D$5:$D$750,WF_START_PERIOD,BankQuarter!$R$5:$R$750,TRUE())&gt;0</f>
        <v>1</v>
      </c>
      <c r="F54" s="11" t="b">
        <f aca="false">COUNTIFS(BankQuarter!$B$5:$B$750,A54,BankQuarter!$D$5:$D$750,WF_END_PERIOD,BankQuarter!$R$5:$R$750,TRUE())&gt;0</f>
        <v>1</v>
      </c>
      <c r="G54" s="0" t="str">
        <f aca="false">IF(AND(E54,F54),IF(C54=D54,"Common","State move "&amp;C54&amp;"→"&amp;D54),IF(AND(E54,NOT(F54)),"Exiting ALL",IF(AND(NOT(E54),F54),"Entering ALL","Neither valid")))</f>
        <v>Common</v>
      </c>
      <c r="H54" s="0" t="n">
        <f aca="false">IF(COUNTIFS(BankQuarter!$B$5:$B$750,A54,BankQuarter!$D$5:$D$750,WF_START_PERIOD)=0,"",INDEX(BankQuarter!$F$5:$F$750,MATCH(A54&amp;"|"&amp;WF_START_PERIOD,BankQuarter!$AC$5:$AC$750,0)))</f>
        <v>3132203</v>
      </c>
      <c r="I54" s="0" t="n">
        <f aca="false">IF(COUNTIFS(BankQuarter!$B$5:$B$750,A54,BankQuarter!$D$5:$D$750,WF_END_PERIOD)=0,"",INDEX(BankQuarter!$F$5:$F$750,MATCH(A54&amp;"|"&amp;WF_END_PERIOD,BankQuarter!$AC$5:$AC$750,0)))</f>
        <v>4279069</v>
      </c>
      <c r="J54" s="0" t="n">
        <f aca="false">IF(COUNTIFS(BankQuarter!$B$5:$B$750,A54,BankQuarter!$D$5:$D$750,WF_START_PERIOD)=0,"",INDEX(BankQuarter!$A$5:$A$750,MATCH(A54&amp;"|"&amp;WF_START_PERIOD,BankQuarter!$AC$5:$AC$750,0)))</f>
        <v>512</v>
      </c>
      <c r="K54" s="0" t="n">
        <f aca="false">IF(COUNTIFS(BankQuarter!$B$5:$B$750,A54,BankQuarter!$D$5:$D$750,WF_END_PERIOD)=0,"",INDEX(BankQuarter!$A$5:$A$750,MATCH(A54&amp;"|"&amp;WF_END_PERIOD,BankQuarter!$AC$5:$AC$750,0)))</f>
        <v>724</v>
      </c>
      <c r="L54" s="13" t="n">
        <f aca="false">IF(COUNTIFS(BankQuarter!$B$5:$B$750,A54,BankQuarter!$D$5:$D$750,WF_START_PERIOD)=0,"",INDEX(BankQuarter!$S$5:$S$750,MATCH(A54&amp;"|"&amp;WF_START_PERIOD,BankQuarter!$AC$5:$AC$750,0)))</f>
        <v>0.902240372032081</v>
      </c>
      <c r="M54" s="13" t="n">
        <f aca="false">IF(COUNTIFS(BankQuarter!$B$5:$B$750,A54,BankQuarter!$D$5:$D$750,WF_END_PERIOD)=0,"",INDEX(BankQuarter!$S$5:$S$750,MATCH(A54&amp;"|"&amp;WF_END_PERIOD,BankQuarter!$AC$5:$AC$750,0)))</f>
        <v>0.818191994567043</v>
      </c>
    </row>
    <row r="55" customFormat="false" ht="15" hidden="false" customHeight="false" outlineLevel="0" collapsed="false">
      <c r="A55" s="0" t="n">
        <v>19836</v>
      </c>
      <c r="B55" s="0" t="str">
        <f aca="false">IF(COUNTIFS(BankQuarter!$B$5:$B$750,A55,BankQuarter!$D$5:$D$750,WF_END_PERIOD)&gt;0,INDEX(BankQuarter!$C$5:$C$750,MATCH(A55&amp;"|"&amp;WF_END_PERIOD,BankQuarter!$AC$5:$AC$750,0)),IF(COUNTIFS(BankQuarter!$B$5:$B$750,A55,BankQuarter!$D$5:$D$750,WF_START_PERIOD)&gt;0,INDEX(BankQuarter!$C$5:$C$750,MATCH(A55&amp;"|"&amp;WF_START_PERIOD,BankQuarter!$AC$5:$AC$750,0)),""))</f>
        <v>FRANKLIN SAVINGS BANK</v>
      </c>
      <c r="C55" s="0" t="str">
        <f aca="false">IF(COUNTIFS(BankQuarter!$B$5:$B$750,A55,BankQuarter!$D$5:$D$750,WF_START_PERIOD)=0,"",INDEX(BankQuarter!$E$5:$E$750,MATCH(A55&amp;"|"&amp;WF_START_PERIOD,BankQuarter!$AC$5:$AC$750,0)))</f>
        <v>ME</v>
      </c>
      <c r="D55" s="0" t="str">
        <f aca="false">IF(COUNTIFS(BankQuarter!$B$5:$B$750,A55,BankQuarter!$D$5:$D$750,WF_END_PERIOD)=0,"",INDEX(BankQuarter!$E$5:$E$750,MATCH(A55&amp;"|"&amp;WF_END_PERIOD,BankQuarter!$AC$5:$AC$750,0)))</f>
        <v>ME</v>
      </c>
      <c r="E55" s="11" t="b">
        <f aca="false">COUNTIFS(BankQuarter!$B$5:$B$750,A55,BankQuarter!$D$5:$D$750,WF_START_PERIOD,BankQuarter!$R$5:$R$750,TRUE())&gt;0</f>
        <v>1</v>
      </c>
      <c r="F55" s="11" t="b">
        <f aca="false">COUNTIFS(BankQuarter!$B$5:$B$750,A55,BankQuarter!$D$5:$D$750,WF_END_PERIOD,BankQuarter!$R$5:$R$750,TRUE())&gt;0</f>
        <v>1</v>
      </c>
      <c r="G55" s="0" t="str">
        <f aca="false">IF(AND(E55,F55),IF(C55=D55,"Common","State move "&amp;C55&amp;"→"&amp;D55),IF(AND(E55,NOT(F55)),"Exiting ALL",IF(AND(NOT(E55),F55),"Entering ALL","Neither valid")))</f>
        <v>Common</v>
      </c>
      <c r="H55" s="0" t="n">
        <f aca="false">IF(COUNTIFS(BankQuarter!$B$5:$B$750,A55,BankQuarter!$D$5:$D$750,WF_START_PERIOD)=0,"",INDEX(BankQuarter!$F$5:$F$750,MATCH(A55&amp;"|"&amp;WF_START_PERIOD,BankQuarter!$AC$5:$AC$750,0)))</f>
        <v>693631</v>
      </c>
      <c r="I55" s="0" t="n">
        <f aca="false">IF(COUNTIFS(BankQuarter!$B$5:$B$750,A55,BankQuarter!$D$5:$D$750,WF_END_PERIOD)=0,"",INDEX(BankQuarter!$F$5:$F$750,MATCH(A55&amp;"|"&amp;WF_END_PERIOD,BankQuarter!$AC$5:$AC$750,0)))</f>
        <v>755186</v>
      </c>
      <c r="J55" s="0" t="n">
        <f aca="false">IF(COUNTIFS(BankQuarter!$B$5:$B$750,A55,BankQuarter!$D$5:$D$750,WF_START_PERIOD)=0,"",INDEX(BankQuarter!$A$5:$A$750,MATCH(A55&amp;"|"&amp;WF_START_PERIOD,BankQuarter!$AC$5:$AC$750,0)))</f>
        <v>513</v>
      </c>
      <c r="K55" s="0" t="n">
        <f aca="false">IF(COUNTIFS(BankQuarter!$B$5:$B$750,A55,BankQuarter!$D$5:$D$750,WF_END_PERIOD)=0,"",INDEX(BankQuarter!$A$5:$A$750,MATCH(A55&amp;"|"&amp;WF_END_PERIOD,BankQuarter!$AC$5:$AC$750,0)))</f>
        <v>725</v>
      </c>
      <c r="L55" s="13" t="n">
        <f aca="false">IF(COUNTIFS(BankQuarter!$B$5:$B$750,A55,BankQuarter!$D$5:$D$750,WF_START_PERIOD)=0,"",INDEX(BankQuarter!$S$5:$S$750,MATCH(A55&amp;"|"&amp;WF_START_PERIOD,BankQuarter!$AC$5:$AC$750,0)))</f>
        <v>0.814986642753856</v>
      </c>
      <c r="M55" s="13" t="n">
        <f aca="false">IF(COUNTIFS(BankQuarter!$B$5:$B$750,A55,BankQuarter!$D$5:$D$750,WF_END_PERIOD)=0,"",INDEX(BankQuarter!$S$5:$S$750,MATCH(A55&amp;"|"&amp;WF_END_PERIOD,BankQuarter!$AC$5:$AC$750,0)))</f>
        <v>1.11522194532208</v>
      </c>
    </row>
    <row r="56" customFormat="false" ht="15" hidden="false" customHeight="false" outlineLevel="0" collapsed="false">
      <c r="A56" s="0" t="n">
        <v>24540</v>
      </c>
      <c r="B56" s="0" t="str">
        <f aca="false">IF(COUNTIFS(BankQuarter!$B$5:$B$750,A56,BankQuarter!$D$5:$D$750,WF_END_PERIOD)&gt;0,INDEX(BankQuarter!$C$5:$C$750,MATCH(A56&amp;"|"&amp;WF_END_PERIOD,BankQuarter!$AC$5:$AC$750,0)),IF(COUNTIFS(BankQuarter!$B$5:$B$750,A56,BankQuarter!$D$5:$D$750,WF_START_PERIOD)&gt;0,INDEX(BankQuarter!$C$5:$C$750,MATCH(A56&amp;"|"&amp;WF_START_PERIOD,BankQuarter!$AC$5:$AC$750,0)),""))</f>
        <v>BANK OF NEW ENGLAND</v>
      </c>
      <c r="C56" s="0" t="str">
        <f aca="false">IF(COUNTIFS(BankQuarter!$B$5:$B$750,A56,BankQuarter!$D$5:$D$750,WF_START_PERIOD)=0,"",INDEX(BankQuarter!$E$5:$E$750,MATCH(A56&amp;"|"&amp;WF_START_PERIOD,BankQuarter!$AC$5:$AC$750,0)))</f>
        <v>NH</v>
      </c>
      <c r="D56" s="0" t="str">
        <f aca="false">IF(COUNTIFS(BankQuarter!$B$5:$B$750,A56,BankQuarter!$D$5:$D$750,WF_END_PERIOD)=0,"",INDEX(BankQuarter!$E$5:$E$750,MATCH(A56&amp;"|"&amp;WF_END_PERIOD,BankQuarter!$AC$5:$AC$750,0)))</f>
        <v>NH</v>
      </c>
      <c r="E56" s="11" t="b">
        <f aca="false">COUNTIFS(BankQuarter!$B$5:$B$750,A56,BankQuarter!$D$5:$D$750,WF_START_PERIOD,BankQuarter!$R$5:$R$750,TRUE())&gt;0</f>
        <v>1</v>
      </c>
      <c r="F56" s="11" t="b">
        <f aca="false">COUNTIFS(BankQuarter!$B$5:$B$750,A56,BankQuarter!$D$5:$D$750,WF_END_PERIOD,BankQuarter!$R$5:$R$750,TRUE())&gt;0</f>
        <v>1</v>
      </c>
      <c r="G56" s="0" t="str">
        <f aca="false">IF(AND(E56,F56),IF(C56=D56,"Common","State move "&amp;C56&amp;"→"&amp;D56),IF(AND(E56,NOT(F56)),"Exiting ALL",IF(AND(NOT(E56),F56),"Entering ALL","Neither valid")))</f>
        <v>Common</v>
      </c>
      <c r="H56" s="0" t="n">
        <f aca="false">IF(COUNTIFS(BankQuarter!$B$5:$B$750,A56,BankQuarter!$D$5:$D$750,WF_START_PERIOD)=0,"",INDEX(BankQuarter!$F$5:$F$750,MATCH(A56&amp;"|"&amp;WF_START_PERIOD,BankQuarter!$AC$5:$AC$750,0)))</f>
        <v>1450962</v>
      </c>
      <c r="I56" s="0" t="n">
        <f aca="false">IF(COUNTIFS(BankQuarter!$B$5:$B$750,A56,BankQuarter!$D$5:$D$750,WF_END_PERIOD)=0,"",INDEX(BankQuarter!$F$5:$F$750,MATCH(A56&amp;"|"&amp;WF_END_PERIOD,BankQuarter!$AC$5:$AC$750,0)))</f>
        <v>1748522</v>
      </c>
      <c r="J56" s="0" t="n">
        <f aca="false">IF(COUNTIFS(BankQuarter!$B$5:$B$750,A56,BankQuarter!$D$5:$D$750,WF_START_PERIOD)=0,"",INDEX(BankQuarter!$A$5:$A$750,MATCH(A56&amp;"|"&amp;WF_START_PERIOD,BankQuarter!$AC$5:$AC$750,0)))</f>
        <v>514</v>
      </c>
      <c r="K56" s="0" t="n">
        <f aca="false">IF(COUNTIFS(BankQuarter!$B$5:$B$750,A56,BankQuarter!$D$5:$D$750,WF_END_PERIOD)=0,"",INDEX(BankQuarter!$A$5:$A$750,MATCH(A56&amp;"|"&amp;WF_END_PERIOD,BankQuarter!$AC$5:$AC$750,0)))</f>
        <v>726</v>
      </c>
      <c r="L56" s="13" t="n">
        <f aca="false">IF(COUNTIFS(BankQuarter!$B$5:$B$750,A56,BankQuarter!$D$5:$D$750,WF_START_PERIOD)=0,"",INDEX(BankQuarter!$S$5:$S$750,MATCH(A56&amp;"|"&amp;WF_START_PERIOD,BankQuarter!$AC$5:$AC$750,0)))</f>
        <v>2.07352087787275</v>
      </c>
      <c r="M56" s="13" t="n">
        <f aca="false">IF(COUNTIFS(BankQuarter!$B$5:$B$750,A56,BankQuarter!$D$5:$D$750,WF_END_PERIOD)=0,"",INDEX(BankQuarter!$S$5:$S$750,MATCH(A56&amp;"|"&amp;WF_END_PERIOD,BankQuarter!$AC$5:$AC$750,0)))</f>
        <v>0.653351802264999</v>
      </c>
    </row>
    <row r="57" customFormat="false" ht="15" hidden="false" customHeight="false" outlineLevel="0" collapsed="false">
      <c r="A57" s="0" t="n">
        <v>27824</v>
      </c>
      <c r="B57" s="0" t="str">
        <f aca="false">IF(COUNTIFS(BankQuarter!$B$5:$B$750,A57,BankQuarter!$D$5:$D$750,WF_END_PERIOD)&gt;0,INDEX(BankQuarter!$C$5:$C$750,MATCH(A57&amp;"|"&amp;WF_END_PERIOD,BankQuarter!$AC$5:$AC$750,0)),IF(COUNTIFS(BankQuarter!$B$5:$B$750,A57,BankQuarter!$D$5:$D$750,WF_START_PERIOD)&gt;0,INDEX(BankQuarter!$C$5:$C$750,MATCH(A57&amp;"|"&amp;WF_START_PERIOD,BankQuarter!$AC$5:$AC$750,0)),""))</f>
        <v>SALEM CO-OPERATIVE BANK</v>
      </c>
      <c r="C57" s="0" t="str">
        <f aca="false">IF(COUNTIFS(BankQuarter!$B$5:$B$750,A57,BankQuarter!$D$5:$D$750,WF_START_PERIOD)=0,"",INDEX(BankQuarter!$E$5:$E$750,MATCH(A57&amp;"|"&amp;WF_START_PERIOD,BankQuarter!$AC$5:$AC$750,0)))</f>
        <v>NH</v>
      </c>
      <c r="D57" s="0" t="str">
        <f aca="false">IF(COUNTIFS(BankQuarter!$B$5:$B$750,A57,BankQuarter!$D$5:$D$750,WF_END_PERIOD)=0,"",INDEX(BankQuarter!$E$5:$E$750,MATCH(A57&amp;"|"&amp;WF_END_PERIOD,BankQuarter!$AC$5:$AC$750,0)))</f>
        <v>NH</v>
      </c>
      <c r="E57" s="11" t="b">
        <f aca="false">COUNTIFS(BankQuarter!$B$5:$B$750,A57,BankQuarter!$D$5:$D$750,WF_START_PERIOD,BankQuarter!$R$5:$R$750,TRUE())&gt;0</f>
        <v>1</v>
      </c>
      <c r="F57" s="11" t="b">
        <f aca="false">COUNTIFS(BankQuarter!$B$5:$B$750,A57,BankQuarter!$D$5:$D$750,WF_END_PERIOD,BankQuarter!$R$5:$R$750,TRUE())&gt;0</f>
        <v>1</v>
      </c>
      <c r="G57" s="0" t="str">
        <f aca="false">IF(AND(E57,F57),IF(C57=D57,"Common","State move "&amp;C57&amp;"→"&amp;D57),IF(AND(E57,NOT(F57)),"Exiting ALL",IF(AND(NOT(E57),F57),"Entering ALL","Neither valid")))</f>
        <v>Common</v>
      </c>
      <c r="H57" s="0" t="n">
        <f aca="false">IF(COUNTIFS(BankQuarter!$B$5:$B$750,A57,BankQuarter!$D$5:$D$750,WF_START_PERIOD)=0,"",INDEX(BankQuarter!$F$5:$F$750,MATCH(A57&amp;"|"&amp;WF_START_PERIOD,BankQuarter!$AC$5:$AC$750,0)))</f>
        <v>557168</v>
      </c>
      <c r="I57" s="0" t="n">
        <f aca="false">IF(COUNTIFS(BankQuarter!$B$5:$B$750,A57,BankQuarter!$D$5:$D$750,WF_END_PERIOD)=0,"",INDEX(BankQuarter!$F$5:$F$750,MATCH(A57&amp;"|"&amp;WF_END_PERIOD,BankQuarter!$AC$5:$AC$750,0)))</f>
        <v>571650</v>
      </c>
      <c r="J57" s="0" t="n">
        <f aca="false">IF(COUNTIFS(BankQuarter!$B$5:$B$750,A57,BankQuarter!$D$5:$D$750,WF_START_PERIOD)=0,"",INDEX(BankQuarter!$A$5:$A$750,MATCH(A57&amp;"|"&amp;WF_START_PERIOD,BankQuarter!$AC$5:$AC$750,0)))</f>
        <v>515</v>
      </c>
      <c r="K57" s="0" t="n">
        <f aca="false">IF(COUNTIFS(BankQuarter!$B$5:$B$750,A57,BankQuarter!$D$5:$D$750,WF_END_PERIOD)=0,"",INDEX(BankQuarter!$A$5:$A$750,MATCH(A57&amp;"|"&amp;WF_END_PERIOD,BankQuarter!$AC$5:$AC$750,0)))</f>
        <v>727</v>
      </c>
      <c r="L57" s="13" t="n">
        <f aca="false">IF(COUNTIFS(BankQuarter!$B$5:$B$750,A57,BankQuarter!$D$5:$D$750,WF_START_PERIOD)=0,"",INDEX(BankQuarter!$S$5:$S$750,MATCH(A57&amp;"|"&amp;WF_START_PERIOD,BankQuarter!$AC$5:$AC$750,0)))</f>
        <v>0.193298969072165</v>
      </c>
      <c r="M57" s="13" t="n">
        <f aca="false">IF(COUNTIFS(BankQuarter!$B$5:$B$750,A57,BankQuarter!$D$5:$D$750,WF_END_PERIOD)=0,"",INDEX(BankQuarter!$S$5:$S$750,MATCH(A57&amp;"|"&amp;WF_END_PERIOD,BankQuarter!$AC$5:$AC$750,0)))</f>
        <v>0.357561444940086</v>
      </c>
    </row>
    <row r="58" customFormat="false" ht="15" hidden="false" customHeight="false" outlineLevel="0" collapsed="false">
      <c r="A58" s="0" t="n">
        <v>28155</v>
      </c>
      <c r="B58" s="0" t="str">
        <f aca="false">IF(COUNTIFS(BankQuarter!$B$5:$B$750,A58,BankQuarter!$D$5:$D$750,WF_END_PERIOD)&gt;0,INDEX(BankQuarter!$C$5:$C$750,MATCH(A58&amp;"|"&amp;WF_END_PERIOD,BankQuarter!$AC$5:$AC$750,0)),IF(COUNTIFS(BankQuarter!$B$5:$B$750,A58,BankQuarter!$D$5:$D$750,WF_START_PERIOD)&gt;0,INDEX(BankQuarter!$C$5:$C$750,MATCH(A58&amp;"|"&amp;WF_START_PERIOD,BankQuarter!$AC$5:$AC$750,0)),""))</f>
        <v>PROFILE BANK</v>
      </c>
      <c r="C58" s="0" t="str">
        <f aca="false">IF(COUNTIFS(BankQuarter!$B$5:$B$750,A58,BankQuarter!$D$5:$D$750,WF_START_PERIOD)=0,"",INDEX(BankQuarter!$E$5:$E$750,MATCH(A58&amp;"|"&amp;WF_START_PERIOD,BankQuarter!$AC$5:$AC$750,0)))</f>
        <v>NH</v>
      </c>
      <c r="D58" s="0" t="str">
        <f aca="false">IF(COUNTIFS(BankQuarter!$B$5:$B$750,A58,BankQuarter!$D$5:$D$750,WF_END_PERIOD)=0,"",INDEX(BankQuarter!$E$5:$E$750,MATCH(A58&amp;"|"&amp;WF_END_PERIOD,BankQuarter!$AC$5:$AC$750,0)))</f>
        <v>NH</v>
      </c>
      <c r="E58" s="11" t="b">
        <f aca="false">COUNTIFS(BankQuarter!$B$5:$B$750,A58,BankQuarter!$D$5:$D$750,WF_START_PERIOD,BankQuarter!$R$5:$R$750,TRUE())&gt;0</f>
        <v>1</v>
      </c>
      <c r="F58" s="11" t="b">
        <f aca="false">COUNTIFS(BankQuarter!$B$5:$B$750,A58,BankQuarter!$D$5:$D$750,WF_END_PERIOD,BankQuarter!$R$5:$R$750,TRUE())&gt;0</f>
        <v>1</v>
      </c>
      <c r="G58" s="0" t="str">
        <f aca="false">IF(AND(E58,F58),IF(C58=D58,"Common","State move "&amp;C58&amp;"→"&amp;D58),IF(AND(E58,NOT(F58)),"Exiting ALL",IF(AND(NOT(E58),F58),"Entering ALL","Neither valid")))</f>
        <v>Common</v>
      </c>
      <c r="H58" s="0" t="n">
        <f aca="false">IF(COUNTIFS(BankQuarter!$B$5:$B$750,A58,BankQuarter!$D$5:$D$750,WF_START_PERIOD)=0,"",INDEX(BankQuarter!$F$5:$F$750,MATCH(A58&amp;"|"&amp;WF_START_PERIOD,BankQuarter!$AC$5:$AC$750,0)))</f>
        <v>302055</v>
      </c>
      <c r="I58" s="0" t="n">
        <f aca="false">IF(COUNTIFS(BankQuarter!$B$5:$B$750,A58,BankQuarter!$D$5:$D$750,WF_END_PERIOD)=0,"",INDEX(BankQuarter!$F$5:$F$750,MATCH(A58&amp;"|"&amp;WF_END_PERIOD,BankQuarter!$AC$5:$AC$750,0)))</f>
        <v>317001</v>
      </c>
      <c r="J58" s="0" t="n">
        <f aca="false">IF(COUNTIFS(BankQuarter!$B$5:$B$750,A58,BankQuarter!$D$5:$D$750,WF_START_PERIOD)=0,"",INDEX(BankQuarter!$A$5:$A$750,MATCH(A58&amp;"|"&amp;WF_START_PERIOD,BankQuarter!$AC$5:$AC$750,0)))</f>
        <v>516</v>
      </c>
      <c r="K58" s="0" t="n">
        <f aca="false">IF(COUNTIFS(BankQuarter!$B$5:$B$750,A58,BankQuarter!$D$5:$D$750,WF_END_PERIOD)=0,"",INDEX(BankQuarter!$A$5:$A$750,MATCH(A58&amp;"|"&amp;WF_END_PERIOD,BankQuarter!$AC$5:$AC$750,0)))</f>
        <v>728</v>
      </c>
      <c r="L58" s="13" t="n">
        <f aca="false">IF(COUNTIFS(BankQuarter!$B$5:$B$750,A58,BankQuarter!$D$5:$D$750,WF_START_PERIOD)=0,"",INDEX(BankQuarter!$S$5:$S$750,MATCH(A58&amp;"|"&amp;WF_START_PERIOD,BankQuarter!$AC$5:$AC$750,0)))</f>
        <v>0</v>
      </c>
      <c r="M58" s="13" t="n">
        <f aca="false">IF(COUNTIFS(BankQuarter!$B$5:$B$750,A58,BankQuarter!$D$5:$D$750,WF_END_PERIOD)=0,"",INDEX(BankQuarter!$S$5:$S$750,MATCH(A58&amp;"|"&amp;WF_END_PERIOD,BankQuarter!$AC$5:$AC$750,0)))</f>
        <v>0</v>
      </c>
    </row>
    <row r="59" customFormat="false" ht="15" hidden="false" customHeight="false" outlineLevel="0" collapsed="false">
      <c r="A59" s="0" t="n">
        <v>28288</v>
      </c>
      <c r="B59" s="0" t="str">
        <f aca="false">IF(COUNTIFS(BankQuarter!$B$5:$B$750,A59,BankQuarter!$D$5:$D$750,WF_END_PERIOD)&gt;0,INDEX(BankQuarter!$C$5:$C$750,MATCH(A59&amp;"|"&amp;WF_END_PERIOD,BankQuarter!$AC$5:$AC$750,0)),IF(COUNTIFS(BankQuarter!$B$5:$B$750,A59,BankQuarter!$D$5:$D$750,WF_START_PERIOD)&gt;0,INDEX(BankQuarter!$C$5:$C$750,MATCH(A59&amp;"|"&amp;WF_START_PERIOD,BankQuarter!$AC$5:$AC$750,0)),""))</f>
        <v>AUBURN SAVINGS BANK, FSB</v>
      </c>
      <c r="C59" s="0" t="str">
        <f aca="false">IF(COUNTIFS(BankQuarter!$B$5:$B$750,A59,BankQuarter!$D$5:$D$750,WF_START_PERIOD)=0,"",INDEX(BankQuarter!$E$5:$E$750,MATCH(A59&amp;"|"&amp;WF_START_PERIOD,BankQuarter!$AC$5:$AC$750,0)))</f>
        <v>ME</v>
      </c>
      <c r="D59" s="0" t="str">
        <f aca="false">IF(COUNTIFS(BankQuarter!$B$5:$B$750,A59,BankQuarter!$D$5:$D$750,WF_END_PERIOD)=0,"",INDEX(BankQuarter!$E$5:$E$750,MATCH(A59&amp;"|"&amp;WF_END_PERIOD,BankQuarter!$AC$5:$AC$750,0)))</f>
        <v>ME</v>
      </c>
      <c r="E59" s="11" t="b">
        <f aca="false">COUNTIFS(BankQuarter!$B$5:$B$750,A59,BankQuarter!$D$5:$D$750,WF_START_PERIOD,BankQuarter!$R$5:$R$750,TRUE())&gt;0</f>
        <v>1</v>
      </c>
      <c r="F59" s="11" t="b">
        <f aca="false">COUNTIFS(BankQuarter!$B$5:$B$750,A59,BankQuarter!$D$5:$D$750,WF_END_PERIOD,BankQuarter!$R$5:$R$750,TRUE())&gt;0</f>
        <v>1</v>
      </c>
      <c r="G59" s="0" t="str">
        <f aca="false">IF(AND(E59,F59),IF(C59=D59,"Common","State move "&amp;C59&amp;"→"&amp;D59),IF(AND(E59,NOT(F59)),"Exiting ALL",IF(AND(NOT(E59),F59),"Entering ALL","Neither valid")))</f>
        <v>Common</v>
      </c>
      <c r="H59" s="0" t="n">
        <f aca="false">IF(COUNTIFS(BankQuarter!$B$5:$B$750,A59,BankQuarter!$D$5:$D$750,WF_START_PERIOD)=0,"",INDEX(BankQuarter!$F$5:$F$750,MATCH(A59&amp;"|"&amp;WF_START_PERIOD,BankQuarter!$AC$5:$AC$750,0)))</f>
        <v>102466</v>
      </c>
      <c r="I59" s="0" t="n">
        <f aca="false">IF(COUNTIFS(BankQuarter!$B$5:$B$750,A59,BankQuarter!$D$5:$D$750,WF_END_PERIOD)=0,"",INDEX(BankQuarter!$F$5:$F$750,MATCH(A59&amp;"|"&amp;WF_END_PERIOD,BankQuarter!$AC$5:$AC$750,0)))</f>
        <v>102731</v>
      </c>
      <c r="J59" s="0" t="n">
        <f aca="false">IF(COUNTIFS(BankQuarter!$B$5:$B$750,A59,BankQuarter!$D$5:$D$750,WF_START_PERIOD)=0,"",INDEX(BankQuarter!$A$5:$A$750,MATCH(A59&amp;"|"&amp;WF_START_PERIOD,BankQuarter!$AC$5:$AC$750,0)))</f>
        <v>517</v>
      </c>
      <c r="K59" s="0" t="n">
        <f aca="false">IF(COUNTIFS(BankQuarter!$B$5:$B$750,A59,BankQuarter!$D$5:$D$750,WF_END_PERIOD)=0,"",INDEX(BankQuarter!$A$5:$A$750,MATCH(A59&amp;"|"&amp;WF_END_PERIOD,BankQuarter!$AC$5:$AC$750,0)))</f>
        <v>729</v>
      </c>
      <c r="L59" s="13" t="n">
        <f aca="false">IF(COUNTIFS(BankQuarter!$B$5:$B$750,A59,BankQuarter!$D$5:$D$750,WF_START_PERIOD)=0,"",INDEX(BankQuarter!$S$5:$S$750,MATCH(A59&amp;"|"&amp;WF_START_PERIOD,BankQuarter!$AC$5:$AC$750,0)))</f>
        <v>0.244959303573868</v>
      </c>
      <c r="M59" s="13" t="n">
        <f aca="false">IF(COUNTIFS(BankQuarter!$B$5:$B$750,A59,BankQuarter!$D$5:$D$750,WF_END_PERIOD)=0,"",INDEX(BankQuarter!$S$5:$S$750,MATCH(A59&amp;"|"&amp;WF_END_PERIOD,BankQuarter!$AC$5:$AC$750,0)))</f>
        <v>0.0963681848711684</v>
      </c>
    </row>
    <row r="60" customFormat="false" ht="15" hidden="false" customHeight="false" outlineLevel="0" collapsed="false">
      <c r="A60" s="0" t="n">
        <v>28369</v>
      </c>
      <c r="B60" s="0" t="str">
        <f aca="false">IF(COUNTIFS(BankQuarter!$B$5:$B$750,A60,BankQuarter!$D$5:$D$750,WF_END_PERIOD)&gt;0,INDEX(BankQuarter!$C$5:$C$750,MATCH(A60&amp;"|"&amp;WF_END_PERIOD,BankQuarter!$AC$5:$AC$750,0)),IF(COUNTIFS(BankQuarter!$B$5:$B$750,A60,BankQuarter!$D$5:$D$750,WF_START_PERIOD)&gt;0,INDEX(BankQuarter!$C$5:$C$750,MATCH(A60&amp;"|"&amp;WF_START_PERIOD,BankQuarter!$AC$5:$AC$750,0)),""))</f>
        <v>ROCKLAND SAVINGS BANK, FSB</v>
      </c>
      <c r="C60" s="0" t="str">
        <f aca="false">IF(COUNTIFS(BankQuarter!$B$5:$B$750,A60,BankQuarter!$D$5:$D$750,WF_START_PERIOD)=0,"",INDEX(BankQuarter!$E$5:$E$750,MATCH(A60&amp;"|"&amp;WF_START_PERIOD,BankQuarter!$AC$5:$AC$750,0)))</f>
        <v>ME</v>
      </c>
      <c r="D60" s="0" t="str">
        <f aca="false">IF(COUNTIFS(BankQuarter!$B$5:$B$750,A60,BankQuarter!$D$5:$D$750,WF_END_PERIOD)=0,"",INDEX(BankQuarter!$E$5:$E$750,MATCH(A60&amp;"|"&amp;WF_END_PERIOD,BankQuarter!$AC$5:$AC$750,0)))</f>
        <v>ME</v>
      </c>
      <c r="E60" s="11" t="b">
        <f aca="false">COUNTIFS(BankQuarter!$B$5:$B$750,A60,BankQuarter!$D$5:$D$750,WF_START_PERIOD,BankQuarter!$R$5:$R$750,TRUE())&gt;0</f>
        <v>1</v>
      </c>
      <c r="F60" s="11" t="b">
        <f aca="false">COUNTIFS(BankQuarter!$B$5:$B$750,A60,BankQuarter!$D$5:$D$750,WF_END_PERIOD,BankQuarter!$R$5:$R$750,TRUE())&gt;0</f>
        <v>1</v>
      </c>
      <c r="G60" s="0" t="str">
        <f aca="false">IF(AND(E60,F60),IF(C60=D60,"Common","State move "&amp;C60&amp;"→"&amp;D60),IF(AND(E60,NOT(F60)),"Exiting ALL",IF(AND(NOT(E60),F60),"Entering ALL","Neither valid")))</f>
        <v>Common</v>
      </c>
      <c r="H60" s="0" t="n">
        <f aca="false">IF(COUNTIFS(BankQuarter!$B$5:$B$750,A60,BankQuarter!$D$5:$D$750,WF_START_PERIOD)=0,"",INDEX(BankQuarter!$F$5:$F$750,MATCH(A60&amp;"|"&amp;WF_START_PERIOD,BankQuarter!$AC$5:$AC$750,0)))</f>
        <v>95722</v>
      </c>
      <c r="I60" s="0" t="n">
        <f aca="false">IF(COUNTIFS(BankQuarter!$B$5:$B$750,A60,BankQuarter!$D$5:$D$750,WF_END_PERIOD)=0,"",INDEX(BankQuarter!$F$5:$F$750,MATCH(A60&amp;"|"&amp;WF_END_PERIOD,BankQuarter!$AC$5:$AC$750,0)))</f>
        <v>93177</v>
      </c>
      <c r="J60" s="0" t="n">
        <f aca="false">IF(COUNTIFS(BankQuarter!$B$5:$B$750,A60,BankQuarter!$D$5:$D$750,WF_START_PERIOD)=0,"",INDEX(BankQuarter!$A$5:$A$750,MATCH(A60&amp;"|"&amp;WF_START_PERIOD,BankQuarter!$AC$5:$AC$750,0)))</f>
        <v>518</v>
      </c>
      <c r="K60" s="0" t="n">
        <f aca="false">IF(COUNTIFS(BankQuarter!$B$5:$B$750,A60,BankQuarter!$D$5:$D$750,WF_END_PERIOD)=0,"",INDEX(BankQuarter!$A$5:$A$750,MATCH(A60&amp;"|"&amp;WF_END_PERIOD,BankQuarter!$AC$5:$AC$750,0)))</f>
        <v>730</v>
      </c>
      <c r="L60" s="13" t="n">
        <f aca="false">IF(COUNTIFS(BankQuarter!$B$5:$B$750,A60,BankQuarter!$D$5:$D$750,WF_START_PERIOD)=0,"",INDEX(BankQuarter!$S$5:$S$750,MATCH(A60&amp;"|"&amp;WF_START_PERIOD,BankQuarter!$AC$5:$AC$750,0)))</f>
        <v>0.147301560769729</v>
      </c>
      <c r="M60" s="13" t="n">
        <f aca="false">IF(COUNTIFS(BankQuarter!$B$5:$B$750,A60,BankQuarter!$D$5:$D$750,WF_END_PERIOD)=0,"",INDEX(BankQuarter!$S$5:$S$750,MATCH(A60&amp;"|"&amp;WF_END_PERIOD,BankQuarter!$AC$5:$AC$750,0)))</f>
        <v>0.0922974553806197</v>
      </c>
    </row>
    <row r="61" customFormat="false" ht="15" hidden="false" customHeight="false" outlineLevel="0" collapsed="false">
      <c r="A61" s="0" t="n">
        <v>28837</v>
      </c>
      <c r="B61" s="0" t="str">
        <f aca="false">IF(COUNTIFS(BankQuarter!$B$5:$B$750,A61,BankQuarter!$D$5:$D$750,WF_END_PERIOD)&gt;0,INDEX(BankQuarter!$C$5:$C$750,MATCH(A61&amp;"|"&amp;WF_END_PERIOD,BankQuarter!$AC$5:$AC$750,0)),IF(COUNTIFS(BankQuarter!$B$5:$B$750,A61,BankQuarter!$D$5:$D$750,WF_START_PERIOD)&gt;0,INDEX(BankQuarter!$C$5:$C$750,MATCH(A61&amp;"|"&amp;WF_START_PERIOD,BankQuarter!$AC$5:$AC$750,0)),""))</f>
        <v>THE BRATTLEBORO SAVINGS AND LOAN ASSOCIATION</v>
      </c>
      <c r="C61" s="0" t="str">
        <f aca="false">IF(COUNTIFS(BankQuarter!$B$5:$B$750,A61,BankQuarter!$D$5:$D$750,WF_START_PERIOD)=0,"",INDEX(BankQuarter!$E$5:$E$750,MATCH(A61&amp;"|"&amp;WF_START_PERIOD,BankQuarter!$AC$5:$AC$750,0)))</f>
        <v>VT</v>
      </c>
      <c r="D61" s="0" t="str">
        <f aca="false">IF(COUNTIFS(BankQuarter!$B$5:$B$750,A61,BankQuarter!$D$5:$D$750,WF_END_PERIOD)=0,"",INDEX(BankQuarter!$E$5:$E$750,MATCH(A61&amp;"|"&amp;WF_END_PERIOD,BankQuarter!$AC$5:$AC$750,0)))</f>
        <v>VT</v>
      </c>
      <c r="E61" s="11" t="b">
        <f aca="false">COUNTIFS(BankQuarter!$B$5:$B$750,A61,BankQuarter!$D$5:$D$750,WF_START_PERIOD,BankQuarter!$R$5:$R$750,TRUE())&gt;0</f>
        <v>1</v>
      </c>
      <c r="F61" s="11" t="b">
        <f aca="false">COUNTIFS(BankQuarter!$B$5:$B$750,A61,BankQuarter!$D$5:$D$750,WF_END_PERIOD,BankQuarter!$R$5:$R$750,TRUE())&gt;0</f>
        <v>1</v>
      </c>
      <c r="G61" s="0" t="str">
        <f aca="false">IF(AND(E61,F61),IF(C61=D61,"Common","State move "&amp;C61&amp;"→"&amp;D61),IF(AND(E61,NOT(F61)),"Exiting ALL",IF(AND(NOT(E61),F61),"Entering ALL","Neither valid")))</f>
        <v>Common</v>
      </c>
      <c r="H61" s="0" t="n">
        <f aca="false">IF(COUNTIFS(BankQuarter!$B$5:$B$750,A61,BankQuarter!$D$5:$D$750,WF_START_PERIOD)=0,"",INDEX(BankQuarter!$F$5:$F$750,MATCH(A61&amp;"|"&amp;WF_START_PERIOD,BankQuarter!$AC$5:$AC$750,0)))</f>
        <v>285118</v>
      </c>
      <c r="I61" s="0" t="n">
        <f aca="false">IF(COUNTIFS(BankQuarter!$B$5:$B$750,A61,BankQuarter!$D$5:$D$750,WF_END_PERIOD)=0,"",INDEX(BankQuarter!$F$5:$F$750,MATCH(A61&amp;"|"&amp;WF_END_PERIOD,BankQuarter!$AC$5:$AC$750,0)))</f>
        <v>279103</v>
      </c>
      <c r="J61" s="0" t="n">
        <f aca="false">IF(COUNTIFS(BankQuarter!$B$5:$B$750,A61,BankQuarter!$D$5:$D$750,WF_START_PERIOD)=0,"",INDEX(BankQuarter!$A$5:$A$750,MATCH(A61&amp;"|"&amp;WF_START_PERIOD,BankQuarter!$AC$5:$AC$750,0)))</f>
        <v>519</v>
      </c>
      <c r="K61" s="0" t="n">
        <f aca="false">IF(COUNTIFS(BankQuarter!$B$5:$B$750,A61,BankQuarter!$D$5:$D$750,WF_END_PERIOD)=0,"",INDEX(BankQuarter!$A$5:$A$750,MATCH(A61&amp;"|"&amp;WF_END_PERIOD,BankQuarter!$AC$5:$AC$750,0)))</f>
        <v>731</v>
      </c>
      <c r="L61" s="13" t="n">
        <f aca="false">IF(COUNTIFS(BankQuarter!$B$5:$B$750,A61,BankQuarter!$D$5:$D$750,WF_START_PERIOD)=0,"",INDEX(BankQuarter!$S$5:$S$750,MATCH(A61&amp;"|"&amp;WF_START_PERIOD,BankQuarter!$AC$5:$AC$750,0)))</f>
        <v>0.054363456533786</v>
      </c>
      <c r="M61" s="13" t="n">
        <f aca="false">IF(COUNTIFS(BankQuarter!$B$5:$B$750,A61,BankQuarter!$D$5:$D$750,WF_END_PERIOD)=0,"",INDEX(BankQuarter!$S$5:$S$750,MATCH(A61&amp;"|"&amp;WF_END_PERIOD,BankQuarter!$AC$5:$AC$750,0)))</f>
        <v>0.1160861760712</v>
      </c>
    </row>
    <row r="62" customFormat="false" ht="15" hidden="false" customHeight="false" outlineLevel="0" collapsed="false">
      <c r="A62" s="0" t="n">
        <v>29636</v>
      </c>
      <c r="B62" s="0" t="str">
        <f aca="false">IF(COUNTIFS(BankQuarter!$B$5:$B$750,A62,BankQuarter!$D$5:$D$750,WF_END_PERIOD)&gt;0,INDEX(BankQuarter!$C$5:$C$750,MATCH(A62&amp;"|"&amp;WF_END_PERIOD,BankQuarter!$AC$5:$AC$750,0)),IF(COUNTIFS(BankQuarter!$B$5:$B$750,A62,BankQuarter!$D$5:$D$750,WF_START_PERIOD)&gt;0,INDEX(BankQuarter!$C$5:$C$750,MATCH(A62&amp;"|"&amp;WF_START_PERIOD,BankQuarter!$AC$5:$AC$750,0)),""))</f>
        <v>FIRST FEDERAL SAVINGS AND LOAN ASSOCIATION OF BATH</v>
      </c>
      <c r="C62" s="0" t="str">
        <f aca="false">IF(COUNTIFS(BankQuarter!$B$5:$B$750,A62,BankQuarter!$D$5:$D$750,WF_START_PERIOD)=0,"",INDEX(BankQuarter!$E$5:$E$750,MATCH(A62&amp;"|"&amp;WF_START_PERIOD,BankQuarter!$AC$5:$AC$750,0)))</f>
        <v>ME</v>
      </c>
      <c r="D62" s="0" t="str">
        <f aca="false">IF(COUNTIFS(BankQuarter!$B$5:$B$750,A62,BankQuarter!$D$5:$D$750,WF_END_PERIOD)=0,"",INDEX(BankQuarter!$E$5:$E$750,MATCH(A62&amp;"|"&amp;WF_END_PERIOD,BankQuarter!$AC$5:$AC$750,0)))</f>
        <v>ME</v>
      </c>
      <c r="E62" s="11" t="b">
        <f aca="false">COUNTIFS(BankQuarter!$B$5:$B$750,A62,BankQuarter!$D$5:$D$750,WF_START_PERIOD,BankQuarter!$R$5:$R$750,TRUE())&gt;0</f>
        <v>1</v>
      </c>
      <c r="F62" s="11" t="b">
        <f aca="false">COUNTIFS(BankQuarter!$B$5:$B$750,A62,BankQuarter!$D$5:$D$750,WF_END_PERIOD,BankQuarter!$R$5:$R$750,TRUE())&gt;0</f>
        <v>1</v>
      </c>
      <c r="G62" s="0" t="str">
        <f aca="false">IF(AND(E62,F62),IF(C62=D62,"Common","State move "&amp;C62&amp;"→"&amp;D62),IF(AND(E62,NOT(F62)),"Exiting ALL",IF(AND(NOT(E62),F62),"Entering ALL","Neither valid")))</f>
        <v>Common</v>
      </c>
      <c r="H62" s="0" t="n">
        <f aca="false">IF(COUNTIFS(BankQuarter!$B$5:$B$750,A62,BankQuarter!$D$5:$D$750,WF_START_PERIOD)=0,"",INDEX(BankQuarter!$F$5:$F$750,MATCH(A62&amp;"|"&amp;WF_START_PERIOD,BankQuarter!$AC$5:$AC$750,0)))</f>
        <v>180255</v>
      </c>
      <c r="I62" s="0" t="n">
        <f aca="false">IF(COUNTIFS(BankQuarter!$B$5:$B$750,A62,BankQuarter!$D$5:$D$750,WF_END_PERIOD)=0,"",INDEX(BankQuarter!$F$5:$F$750,MATCH(A62&amp;"|"&amp;WF_END_PERIOD,BankQuarter!$AC$5:$AC$750,0)))</f>
        <v>185573</v>
      </c>
      <c r="J62" s="0" t="n">
        <f aca="false">IF(COUNTIFS(BankQuarter!$B$5:$B$750,A62,BankQuarter!$D$5:$D$750,WF_START_PERIOD)=0,"",INDEX(BankQuarter!$A$5:$A$750,MATCH(A62&amp;"|"&amp;WF_START_PERIOD,BankQuarter!$AC$5:$AC$750,0)))</f>
        <v>520</v>
      </c>
      <c r="K62" s="0" t="n">
        <f aca="false">IF(COUNTIFS(BankQuarter!$B$5:$B$750,A62,BankQuarter!$D$5:$D$750,WF_END_PERIOD)=0,"",INDEX(BankQuarter!$A$5:$A$750,MATCH(A62&amp;"|"&amp;WF_END_PERIOD,BankQuarter!$AC$5:$AC$750,0)))</f>
        <v>732</v>
      </c>
      <c r="L62" s="13" t="n">
        <f aca="false">IF(COUNTIFS(BankQuarter!$B$5:$B$750,A62,BankQuarter!$D$5:$D$750,WF_START_PERIOD)=0,"",INDEX(BankQuarter!$S$5:$S$750,MATCH(A62&amp;"|"&amp;WF_START_PERIOD,BankQuarter!$AC$5:$AC$750,0)))</f>
        <v>1.51507586474716</v>
      </c>
      <c r="M62" s="13" t="n">
        <f aca="false">IF(COUNTIFS(BankQuarter!$B$5:$B$750,A62,BankQuarter!$D$5:$D$750,WF_END_PERIOD)=0,"",INDEX(BankQuarter!$S$5:$S$750,MATCH(A62&amp;"|"&amp;WF_END_PERIOD,BankQuarter!$AC$5:$AC$750,0)))</f>
        <v>1.67157937846562</v>
      </c>
    </row>
    <row r="63" customFormat="false" ht="15" hidden="false" customHeight="false" outlineLevel="0" collapsed="false">
      <c r="A63" s="0" t="n">
        <v>29743</v>
      </c>
      <c r="B63" s="0" t="str">
        <f aca="false">IF(COUNTIFS(BankQuarter!$B$5:$B$750,A63,BankQuarter!$D$5:$D$750,WF_END_PERIOD)&gt;0,INDEX(BankQuarter!$C$5:$C$750,MATCH(A63&amp;"|"&amp;WF_END_PERIOD,BankQuarter!$AC$5:$AC$750,0)),IF(COUNTIFS(BankQuarter!$B$5:$B$750,A63,BankQuarter!$D$5:$D$750,WF_START_PERIOD)&gt;0,INDEX(BankQuarter!$C$5:$C$750,MATCH(A63&amp;"|"&amp;WF_START_PERIOD,BankQuarter!$AC$5:$AC$750,0)),""))</f>
        <v>AROOSTOOK COUNTY FEDERAL SAVINGS AND LOAN ASSOCIATION</v>
      </c>
      <c r="C63" s="0" t="str">
        <f aca="false">IF(COUNTIFS(BankQuarter!$B$5:$B$750,A63,BankQuarter!$D$5:$D$750,WF_START_PERIOD)=0,"",INDEX(BankQuarter!$E$5:$E$750,MATCH(A63&amp;"|"&amp;WF_START_PERIOD,BankQuarter!$AC$5:$AC$750,0)))</f>
        <v>ME</v>
      </c>
      <c r="D63" s="0" t="str">
        <f aca="false">IF(COUNTIFS(BankQuarter!$B$5:$B$750,A63,BankQuarter!$D$5:$D$750,WF_END_PERIOD)=0,"",INDEX(BankQuarter!$E$5:$E$750,MATCH(A63&amp;"|"&amp;WF_END_PERIOD,BankQuarter!$AC$5:$AC$750,0)))</f>
        <v>ME</v>
      </c>
      <c r="E63" s="11" t="b">
        <f aca="false">COUNTIFS(BankQuarter!$B$5:$B$750,A63,BankQuarter!$D$5:$D$750,WF_START_PERIOD,BankQuarter!$R$5:$R$750,TRUE())&gt;0</f>
        <v>1</v>
      </c>
      <c r="F63" s="11" t="b">
        <f aca="false">COUNTIFS(BankQuarter!$B$5:$B$750,A63,BankQuarter!$D$5:$D$750,WF_END_PERIOD,BankQuarter!$R$5:$R$750,TRUE())&gt;0</f>
        <v>1</v>
      </c>
      <c r="G63" s="0" t="str">
        <f aca="false">IF(AND(E63,F63),IF(C63=D63,"Common","State move "&amp;C63&amp;"→"&amp;D63),IF(AND(E63,NOT(F63)),"Exiting ALL",IF(AND(NOT(E63),F63),"Entering ALL","Neither valid")))</f>
        <v>Common</v>
      </c>
      <c r="H63" s="0" t="n">
        <f aca="false">IF(COUNTIFS(BankQuarter!$B$5:$B$750,A63,BankQuarter!$D$5:$D$750,WF_START_PERIOD)=0,"",INDEX(BankQuarter!$F$5:$F$750,MATCH(A63&amp;"|"&amp;WF_START_PERIOD,BankQuarter!$AC$5:$AC$750,0)))</f>
        <v>189887</v>
      </c>
      <c r="I63" s="0" t="n">
        <f aca="false">IF(COUNTIFS(BankQuarter!$B$5:$B$750,A63,BankQuarter!$D$5:$D$750,WF_END_PERIOD)=0,"",INDEX(BankQuarter!$F$5:$F$750,MATCH(A63&amp;"|"&amp;WF_END_PERIOD,BankQuarter!$AC$5:$AC$750,0)))</f>
        <v>200783</v>
      </c>
      <c r="J63" s="0" t="n">
        <f aca="false">IF(COUNTIFS(BankQuarter!$B$5:$B$750,A63,BankQuarter!$D$5:$D$750,WF_START_PERIOD)=0,"",INDEX(BankQuarter!$A$5:$A$750,MATCH(A63&amp;"|"&amp;WF_START_PERIOD,BankQuarter!$AC$5:$AC$750,0)))</f>
        <v>521</v>
      </c>
      <c r="K63" s="0" t="n">
        <f aca="false">IF(COUNTIFS(BankQuarter!$B$5:$B$750,A63,BankQuarter!$D$5:$D$750,WF_END_PERIOD)=0,"",INDEX(BankQuarter!$A$5:$A$750,MATCH(A63&amp;"|"&amp;WF_END_PERIOD,BankQuarter!$AC$5:$AC$750,0)))</f>
        <v>733</v>
      </c>
      <c r="L63" s="13" t="n">
        <f aca="false">IF(COUNTIFS(BankQuarter!$B$5:$B$750,A63,BankQuarter!$D$5:$D$750,WF_START_PERIOD)=0,"",INDEX(BankQuarter!$S$5:$S$750,MATCH(A63&amp;"|"&amp;WF_START_PERIOD,BankQuarter!$AC$5:$AC$750,0)))</f>
        <v>0.0879470421882488</v>
      </c>
      <c r="M63" s="13" t="n">
        <f aca="false">IF(COUNTIFS(BankQuarter!$B$5:$B$750,A63,BankQuarter!$D$5:$D$750,WF_END_PERIOD)=0,"",INDEX(BankQuarter!$S$5:$S$750,MATCH(A63&amp;"|"&amp;WF_END_PERIOD,BankQuarter!$AC$5:$AC$750,0)))</f>
        <v>0.329709188526917</v>
      </c>
    </row>
    <row r="64" customFormat="false" ht="15" hidden="false" customHeight="false" outlineLevel="0" collapsed="false">
      <c r="A64" s="0" t="n">
        <v>29744</v>
      </c>
      <c r="B64" s="0" t="str">
        <f aca="false">IF(COUNTIFS(BankQuarter!$B$5:$B$750,A64,BankQuarter!$D$5:$D$750,WF_END_PERIOD)&gt;0,INDEX(BankQuarter!$C$5:$C$750,MATCH(A64&amp;"|"&amp;WF_END_PERIOD,BankQuarter!$AC$5:$AC$750,0)),IF(COUNTIFS(BankQuarter!$B$5:$B$750,A64,BankQuarter!$D$5:$D$750,WF_START_PERIOD)&gt;0,INDEX(BankQuarter!$C$5:$C$750,MATCH(A64&amp;"|"&amp;WF_START_PERIOD,BankQuarter!$AC$5:$AC$750,0)),""))</f>
        <v>FIRST SEACOAST BANK</v>
      </c>
      <c r="C64" s="0" t="str">
        <f aca="false">IF(COUNTIFS(BankQuarter!$B$5:$B$750,A64,BankQuarter!$D$5:$D$750,WF_START_PERIOD)=0,"",INDEX(BankQuarter!$E$5:$E$750,MATCH(A64&amp;"|"&amp;WF_START_PERIOD,BankQuarter!$AC$5:$AC$750,0)))</f>
        <v>NH</v>
      </c>
      <c r="D64" s="0" t="str">
        <f aca="false">IF(COUNTIFS(BankQuarter!$B$5:$B$750,A64,BankQuarter!$D$5:$D$750,WF_END_PERIOD)=0,"",INDEX(BankQuarter!$E$5:$E$750,MATCH(A64&amp;"|"&amp;WF_END_PERIOD,BankQuarter!$AC$5:$AC$750,0)))</f>
        <v>NH</v>
      </c>
      <c r="E64" s="11" t="b">
        <f aca="false">COUNTIFS(BankQuarter!$B$5:$B$750,A64,BankQuarter!$D$5:$D$750,WF_START_PERIOD,BankQuarter!$R$5:$R$750,TRUE())&gt;0</f>
        <v>1</v>
      </c>
      <c r="F64" s="11" t="b">
        <f aca="false">COUNTIFS(BankQuarter!$B$5:$B$750,A64,BankQuarter!$D$5:$D$750,WF_END_PERIOD,BankQuarter!$R$5:$R$750,TRUE())&gt;0</f>
        <v>1</v>
      </c>
      <c r="G64" s="0" t="str">
        <f aca="false">IF(AND(E64,F64),IF(C64=D64,"Common","State move "&amp;C64&amp;"→"&amp;D64),IF(AND(E64,NOT(F64)),"Exiting ALL",IF(AND(NOT(E64),F64),"Entering ALL","Neither valid")))</f>
        <v>Common</v>
      </c>
      <c r="H64" s="0" t="n">
        <f aca="false">IF(COUNTIFS(BankQuarter!$B$5:$B$750,A64,BankQuarter!$D$5:$D$750,WF_START_PERIOD)=0,"",INDEX(BankQuarter!$F$5:$F$750,MATCH(A64&amp;"|"&amp;WF_START_PERIOD,BankQuarter!$AC$5:$AC$750,0)))</f>
        <v>602018</v>
      </c>
      <c r="I64" s="0" t="n">
        <f aca="false">IF(COUNTIFS(BankQuarter!$B$5:$B$750,A64,BankQuarter!$D$5:$D$750,WF_END_PERIOD)=0,"",INDEX(BankQuarter!$F$5:$F$750,MATCH(A64&amp;"|"&amp;WF_END_PERIOD,BankQuarter!$AC$5:$AC$750,0)))</f>
        <v>605109</v>
      </c>
      <c r="J64" s="0" t="n">
        <f aca="false">IF(COUNTIFS(BankQuarter!$B$5:$B$750,A64,BankQuarter!$D$5:$D$750,WF_START_PERIOD)=0,"",INDEX(BankQuarter!$A$5:$A$750,MATCH(A64&amp;"|"&amp;WF_START_PERIOD,BankQuarter!$AC$5:$AC$750,0)))</f>
        <v>522</v>
      </c>
      <c r="K64" s="0" t="n">
        <f aca="false">IF(COUNTIFS(BankQuarter!$B$5:$B$750,A64,BankQuarter!$D$5:$D$750,WF_END_PERIOD)=0,"",INDEX(BankQuarter!$A$5:$A$750,MATCH(A64&amp;"|"&amp;WF_END_PERIOD,BankQuarter!$AC$5:$AC$750,0)))</f>
        <v>734</v>
      </c>
      <c r="L64" s="13" t="n">
        <f aca="false">IF(COUNTIFS(BankQuarter!$B$5:$B$750,A64,BankQuarter!$D$5:$D$750,WF_START_PERIOD)=0,"",INDEX(BankQuarter!$S$5:$S$750,MATCH(A64&amp;"|"&amp;WF_START_PERIOD,BankQuarter!$AC$5:$AC$750,0)))</f>
        <v>0.0234212266078423</v>
      </c>
      <c r="M64" s="13" t="n">
        <f aca="false">IF(COUNTIFS(BankQuarter!$B$5:$B$750,A64,BankQuarter!$D$5:$D$750,WF_END_PERIOD)=0,"",INDEX(BankQuarter!$S$5:$S$750,MATCH(A64&amp;"|"&amp;WF_END_PERIOD,BankQuarter!$AC$5:$AC$750,0)))</f>
        <v>0.00231363275046314</v>
      </c>
    </row>
    <row r="65" customFormat="false" ht="15" hidden="false" customHeight="false" outlineLevel="0" collapsed="false">
      <c r="A65" s="0" t="n">
        <v>30350</v>
      </c>
      <c r="B65" s="0" t="str">
        <f aca="false">IF(COUNTIFS(BankQuarter!$B$5:$B$750,A65,BankQuarter!$D$5:$D$750,WF_END_PERIOD)&gt;0,INDEX(BankQuarter!$C$5:$C$750,MATCH(A65&amp;"|"&amp;WF_END_PERIOD,BankQuarter!$AC$5:$AC$750,0)),IF(COUNTIFS(BankQuarter!$B$5:$B$750,A65,BankQuarter!$D$5:$D$750,WF_START_PERIOD)&gt;0,INDEX(BankQuarter!$C$5:$C$750,MATCH(A65&amp;"|"&amp;WF_START_PERIOD,BankQuarter!$AC$5:$AC$750,0)),""))</f>
        <v>THE BANK OF BENNINGTON</v>
      </c>
      <c r="C65" s="0" t="str">
        <f aca="false">IF(COUNTIFS(BankQuarter!$B$5:$B$750,A65,BankQuarter!$D$5:$D$750,WF_START_PERIOD)=0,"",INDEX(BankQuarter!$E$5:$E$750,MATCH(A65&amp;"|"&amp;WF_START_PERIOD,BankQuarter!$AC$5:$AC$750,0)))</f>
        <v>VT</v>
      </c>
      <c r="D65" s="0" t="str">
        <f aca="false">IF(COUNTIFS(BankQuarter!$B$5:$B$750,A65,BankQuarter!$D$5:$D$750,WF_END_PERIOD)=0,"",INDEX(BankQuarter!$E$5:$E$750,MATCH(A65&amp;"|"&amp;WF_END_PERIOD,BankQuarter!$AC$5:$AC$750,0)))</f>
        <v>VT</v>
      </c>
      <c r="E65" s="11" t="b">
        <f aca="false">COUNTIFS(BankQuarter!$B$5:$B$750,A65,BankQuarter!$D$5:$D$750,WF_START_PERIOD,BankQuarter!$R$5:$R$750,TRUE())&gt;0</f>
        <v>1</v>
      </c>
      <c r="F65" s="11" t="b">
        <f aca="false">COUNTIFS(BankQuarter!$B$5:$B$750,A65,BankQuarter!$D$5:$D$750,WF_END_PERIOD,BankQuarter!$R$5:$R$750,TRUE())&gt;0</f>
        <v>1</v>
      </c>
      <c r="G65" s="0" t="str">
        <f aca="false">IF(AND(E65,F65),IF(C65=D65,"Common","State move "&amp;C65&amp;"→"&amp;D65),IF(AND(E65,NOT(F65)),"Exiting ALL",IF(AND(NOT(E65),F65),"Entering ALL","Neither valid")))</f>
        <v>Common</v>
      </c>
      <c r="H65" s="0" t="n">
        <f aca="false">IF(COUNTIFS(BankQuarter!$B$5:$B$750,A65,BankQuarter!$D$5:$D$750,WF_START_PERIOD)=0,"",INDEX(BankQuarter!$F$5:$F$750,MATCH(A65&amp;"|"&amp;WF_START_PERIOD,BankQuarter!$AC$5:$AC$750,0)))</f>
        <v>564787</v>
      </c>
      <c r="I65" s="0" t="n">
        <f aca="false">IF(COUNTIFS(BankQuarter!$B$5:$B$750,A65,BankQuarter!$D$5:$D$750,WF_END_PERIOD)=0,"",INDEX(BankQuarter!$F$5:$F$750,MATCH(A65&amp;"|"&amp;WF_END_PERIOD,BankQuarter!$AC$5:$AC$750,0)))</f>
        <v>621434</v>
      </c>
      <c r="J65" s="0" t="n">
        <f aca="false">IF(COUNTIFS(BankQuarter!$B$5:$B$750,A65,BankQuarter!$D$5:$D$750,WF_START_PERIOD)=0,"",INDEX(BankQuarter!$A$5:$A$750,MATCH(A65&amp;"|"&amp;WF_START_PERIOD,BankQuarter!$AC$5:$AC$750,0)))</f>
        <v>523</v>
      </c>
      <c r="K65" s="0" t="n">
        <f aca="false">IF(COUNTIFS(BankQuarter!$B$5:$B$750,A65,BankQuarter!$D$5:$D$750,WF_END_PERIOD)=0,"",INDEX(BankQuarter!$A$5:$A$750,MATCH(A65&amp;"|"&amp;WF_END_PERIOD,BankQuarter!$AC$5:$AC$750,0)))</f>
        <v>735</v>
      </c>
      <c r="L65" s="13" t="n">
        <f aca="false">IF(COUNTIFS(BankQuarter!$B$5:$B$750,A65,BankQuarter!$D$5:$D$750,WF_START_PERIOD)=0,"",INDEX(BankQuarter!$S$5:$S$750,MATCH(A65&amp;"|"&amp;WF_START_PERIOD,BankQuarter!$AC$5:$AC$750,0)))</f>
        <v>0.297988445201465</v>
      </c>
      <c r="M65" s="13" t="n">
        <f aca="false">IF(COUNTIFS(BankQuarter!$B$5:$B$750,A65,BankQuarter!$D$5:$D$750,WF_END_PERIOD)=0,"",INDEX(BankQuarter!$S$5:$S$750,MATCH(A65&amp;"|"&amp;WF_END_PERIOD,BankQuarter!$AC$5:$AC$750,0)))</f>
        <v>0.287560706366243</v>
      </c>
    </row>
    <row r="66" customFormat="false" ht="15" hidden="false" customHeight="false" outlineLevel="0" collapsed="false">
      <c r="A66" s="0" t="n">
        <v>30878</v>
      </c>
      <c r="B66" s="0" t="str">
        <f aca="false">IF(COUNTIFS(BankQuarter!$B$5:$B$750,A66,BankQuarter!$D$5:$D$750,WF_END_PERIOD)&gt;0,INDEX(BankQuarter!$C$5:$C$750,MATCH(A66&amp;"|"&amp;WF_END_PERIOD,BankQuarter!$AC$5:$AC$750,0)),IF(COUNTIFS(BankQuarter!$B$5:$B$750,A66,BankQuarter!$D$5:$D$750,WF_START_PERIOD)&gt;0,INDEX(BankQuarter!$C$5:$C$750,MATCH(A66&amp;"|"&amp;WF_START_PERIOD,BankQuarter!$AC$5:$AC$750,0)),""))</f>
        <v>BAR HARBOR SAVINGS AND LOAN ASSOCIATION</v>
      </c>
      <c r="C66" s="0" t="str">
        <f aca="false">IF(COUNTIFS(BankQuarter!$B$5:$B$750,A66,BankQuarter!$D$5:$D$750,WF_START_PERIOD)=0,"",INDEX(BankQuarter!$E$5:$E$750,MATCH(A66&amp;"|"&amp;WF_START_PERIOD,BankQuarter!$AC$5:$AC$750,0)))</f>
        <v>ME</v>
      </c>
      <c r="D66" s="0" t="str">
        <f aca="false">IF(COUNTIFS(BankQuarter!$B$5:$B$750,A66,BankQuarter!$D$5:$D$750,WF_END_PERIOD)=0,"",INDEX(BankQuarter!$E$5:$E$750,MATCH(A66&amp;"|"&amp;WF_END_PERIOD,BankQuarter!$AC$5:$AC$750,0)))</f>
        <v>ME</v>
      </c>
      <c r="E66" s="11" t="b">
        <f aca="false">COUNTIFS(BankQuarter!$B$5:$B$750,A66,BankQuarter!$D$5:$D$750,WF_START_PERIOD,BankQuarter!$R$5:$R$750,TRUE())&gt;0</f>
        <v>1</v>
      </c>
      <c r="F66" s="11" t="b">
        <f aca="false">COUNTIFS(BankQuarter!$B$5:$B$750,A66,BankQuarter!$D$5:$D$750,WF_END_PERIOD,BankQuarter!$R$5:$R$750,TRUE())&gt;0</f>
        <v>1</v>
      </c>
      <c r="G66" s="0" t="str">
        <f aca="false">IF(AND(E66,F66),IF(C66=D66,"Common","State move "&amp;C66&amp;"→"&amp;D66),IF(AND(E66,NOT(F66)),"Exiting ALL",IF(AND(NOT(E66),F66),"Entering ALL","Neither valid")))</f>
        <v>Common</v>
      </c>
      <c r="H66" s="0" t="n">
        <f aca="false">IF(COUNTIFS(BankQuarter!$B$5:$B$750,A66,BankQuarter!$D$5:$D$750,WF_START_PERIOD)=0,"",INDEX(BankQuarter!$F$5:$F$750,MATCH(A66&amp;"|"&amp;WF_START_PERIOD,BankQuarter!$AC$5:$AC$750,0)))</f>
        <v>102920</v>
      </c>
      <c r="I66" s="0" t="n">
        <f aca="false">IF(COUNTIFS(BankQuarter!$B$5:$B$750,A66,BankQuarter!$D$5:$D$750,WF_END_PERIOD)=0,"",INDEX(BankQuarter!$F$5:$F$750,MATCH(A66&amp;"|"&amp;WF_END_PERIOD,BankQuarter!$AC$5:$AC$750,0)))</f>
        <v>98909</v>
      </c>
      <c r="J66" s="0" t="n">
        <f aca="false">IF(COUNTIFS(BankQuarter!$B$5:$B$750,A66,BankQuarter!$D$5:$D$750,WF_START_PERIOD)=0,"",INDEX(BankQuarter!$A$5:$A$750,MATCH(A66&amp;"|"&amp;WF_START_PERIOD,BankQuarter!$AC$5:$AC$750,0)))</f>
        <v>524</v>
      </c>
      <c r="K66" s="0" t="n">
        <f aca="false">IF(COUNTIFS(BankQuarter!$B$5:$B$750,A66,BankQuarter!$D$5:$D$750,WF_END_PERIOD)=0,"",INDEX(BankQuarter!$A$5:$A$750,MATCH(A66&amp;"|"&amp;WF_END_PERIOD,BankQuarter!$AC$5:$AC$750,0)))</f>
        <v>736</v>
      </c>
      <c r="L66" s="13" t="n">
        <f aca="false">IF(COUNTIFS(BankQuarter!$B$5:$B$750,A66,BankQuarter!$D$5:$D$750,WF_START_PERIOD)=0,"",INDEX(BankQuarter!$S$5:$S$750,MATCH(A66&amp;"|"&amp;WF_START_PERIOD,BankQuarter!$AC$5:$AC$750,0)))</f>
        <v>1.77710843373494</v>
      </c>
      <c r="M66" s="13" t="n">
        <f aca="false">IF(COUNTIFS(BankQuarter!$B$5:$B$750,A66,BankQuarter!$D$5:$D$750,WF_END_PERIOD)=0,"",INDEX(BankQuarter!$S$5:$S$750,MATCH(A66&amp;"|"&amp;WF_END_PERIOD,BankQuarter!$AC$5:$AC$750,0)))</f>
        <v>1.36792405140078</v>
      </c>
    </row>
    <row r="67" customFormat="false" ht="15" hidden="false" customHeight="false" outlineLevel="0" collapsed="false">
      <c r="A67" s="0" t="n">
        <v>33418</v>
      </c>
      <c r="B67" s="0" t="str">
        <f aca="false">IF(COUNTIFS(BankQuarter!$B$5:$B$750,A67,BankQuarter!$D$5:$D$750,WF_END_PERIOD)&gt;0,INDEX(BankQuarter!$C$5:$C$750,MATCH(A67&amp;"|"&amp;WF_END_PERIOD,BankQuarter!$AC$5:$AC$750,0)),IF(COUNTIFS(BankQuarter!$B$5:$B$750,A67,BankQuarter!$D$5:$D$750,WF_START_PERIOD)&gt;0,INDEX(BankQuarter!$C$5:$C$750,MATCH(A67&amp;"|"&amp;WF_START_PERIOD,BankQuarter!$AC$5:$AC$750,0)),""))</f>
        <v>LEDYARD NATIONAL BANK</v>
      </c>
      <c r="C67" s="0" t="str">
        <f aca="false">IF(COUNTIFS(BankQuarter!$B$5:$B$750,A67,BankQuarter!$D$5:$D$750,WF_START_PERIOD)=0,"",INDEX(BankQuarter!$E$5:$E$750,MATCH(A67&amp;"|"&amp;WF_START_PERIOD,BankQuarter!$AC$5:$AC$750,0)))</f>
        <v>VT</v>
      </c>
      <c r="D67" s="0" t="str">
        <f aca="false">IF(COUNTIFS(BankQuarter!$B$5:$B$750,A67,BankQuarter!$D$5:$D$750,WF_END_PERIOD)=0,"",INDEX(BankQuarter!$E$5:$E$750,MATCH(A67&amp;"|"&amp;WF_END_PERIOD,BankQuarter!$AC$5:$AC$750,0)))</f>
        <v>VT</v>
      </c>
      <c r="E67" s="11" t="b">
        <f aca="false">COUNTIFS(BankQuarter!$B$5:$B$750,A67,BankQuarter!$D$5:$D$750,WF_START_PERIOD,BankQuarter!$R$5:$R$750,TRUE())&gt;0</f>
        <v>1</v>
      </c>
      <c r="F67" s="11" t="b">
        <f aca="false">COUNTIFS(BankQuarter!$B$5:$B$750,A67,BankQuarter!$D$5:$D$750,WF_END_PERIOD,BankQuarter!$R$5:$R$750,TRUE())&gt;0</f>
        <v>1</v>
      </c>
      <c r="G67" s="0" t="str">
        <f aca="false">IF(AND(E67,F67),IF(C67=D67,"Common","State move "&amp;C67&amp;"→"&amp;D67),IF(AND(E67,NOT(F67)),"Exiting ALL",IF(AND(NOT(E67),F67),"Entering ALL","Neither valid")))</f>
        <v>Common</v>
      </c>
      <c r="H67" s="0" t="n">
        <f aca="false">IF(COUNTIFS(BankQuarter!$B$5:$B$750,A67,BankQuarter!$D$5:$D$750,WF_START_PERIOD)=0,"",INDEX(BankQuarter!$F$5:$F$750,MATCH(A67&amp;"|"&amp;WF_START_PERIOD,BankQuarter!$AC$5:$AC$750,0)))</f>
        <v>907185</v>
      </c>
      <c r="I67" s="0" t="n">
        <f aca="false">IF(COUNTIFS(BankQuarter!$B$5:$B$750,A67,BankQuarter!$D$5:$D$750,WF_END_PERIOD)=0,"",INDEX(BankQuarter!$F$5:$F$750,MATCH(A67&amp;"|"&amp;WF_END_PERIOD,BankQuarter!$AC$5:$AC$750,0)))</f>
        <v>993609</v>
      </c>
      <c r="J67" s="0" t="n">
        <f aca="false">IF(COUNTIFS(BankQuarter!$B$5:$B$750,A67,BankQuarter!$D$5:$D$750,WF_START_PERIOD)=0,"",INDEX(BankQuarter!$A$5:$A$750,MATCH(A67&amp;"|"&amp;WF_START_PERIOD,BankQuarter!$AC$5:$AC$750,0)))</f>
        <v>525</v>
      </c>
      <c r="K67" s="0" t="n">
        <f aca="false">IF(COUNTIFS(BankQuarter!$B$5:$B$750,A67,BankQuarter!$D$5:$D$750,WF_END_PERIOD)=0,"",INDEX(BankQuarter!$A$5:$A$750,MATCH(A67&amp;"|"&amp;WF_END_PERIOD,BankQuarter!$AC$5:$AC$750,0)))</f>
        <v>737</v>
      </c>
      <c r="L67" s="13" t="n">
        <f aca="false">IF(COUNTIFS(BankQuarter!$B$5:$B$750,A67,BankQuarter!$D$5:$D$750,WF_START_PERIOD)=0,"",INDEX(BankQuarter!$S$5:$S$750,MATCH(A67&amp;"|"&amp;WF_START_PERIOD,BankQuarter!$AC$5:$AC$750,0)))</f>
        <v>0.106262779918098</v>
      </c>
      <c r="M67" s="13" t="n">
        <f aca="false">IF(COUNTIFS(BankQuarter!$B$5:$B$750,A67,BankQuarter!$D$5:$D$750,WF_END_PERIOD)=0,"",INDEX(BankQuarter!$S$5:$S$750,MATCH(A67&amp;"|"&amp;WF_END_PERIOD,BankQuarter!$AC$5:$AC$750,0)))</f>
        <v>0.119866064015121</v>
      </c>
    </row>
    <row r="68" customFormat="false" ht="15" hidden="false" customHeight="false" outlineLevel="0" collapsed="false">
      <c r="A68" s="0" t="n">
        <v>35206</v>
      </c>
      <c r="B68" s="0" t="str">
        <f aca="false">IF(COUNTIFS(BankQuarter!$B$5:$B$750,A68,BankQuarter!$D$5:$D$750,WF_END_PERIOD)&gt;0,INDEX(BankQuarter!$C$5:$C$750,MATCH(A68&amp;"|"&amp;WF_END_PERIOD,BankQuarter!$AC$5:$AC$750,0)),IF(COUNTIFS(BankQuarter!$B$5:$B$750,A68,BankQuarter!$D$5:$D$750,WF_START_PERIOD)&gt;0,INDEX(BankQuarter!$C$5:$C$750,MATCH(A68&amp;"|"&amp;WF_START_PERIOD,BankQuarter!$AC$5:$AC$750,0)),""))</f>
        <v>FIDELITY PERSONAL TRUST COMPANY, FSB</v>
      </c>
      <c r="C68" s="0" t="str">
        <f aca="false">IF(COUNTIFS(BankQuarter!$B$5:$B$750,A68,BankQuarter!$D$5:$D$750,WF_START_PERIOD)=0,"",INDEX(BankQuarter!$E$5:$E$750,MATCH(A68&amp;"|"&amp;WF_START_PERIOD,BankQuarter!$AC$5:$AC$750,0)))</f>
        <v>NH</v>
      </c>
      <c r="D68" s="0" t="str">
        <f aca="false">IF(COUNTIFS(BankQuarter!$B$5:$B$750,A68,BankQuarter!$D$5:$D$750,WF_END_PERIOD)=0,"",INDEX(BankQuarter!$E$5:$E$750,MATCH(A68&amp;"|"&amp;WF_END_PERIOD,BankQuarter!$AC$5:$AC$750,0)))</f>
        <v>NH</v>
      </c>
      <c r="E68" s="11" t="b">
        <f aca="false">COUNTIFS(BankQuarter!$B$5:$B$750,A68,BankQuarter!$D$5:$D$750,WF_START_PERIOD,BankQuarter!$R$5:$R$750,TRUE())&gt;0</f>
        <v>1</v>
      </c>
      <c r="F68" s="11" t="b">
        <f aca="false">COUNTIFS(BankQuarter!$B$5:$B$750,A68,BankQuarter!$D$5:$D$750,WF_END_PERIOD,BankQuarter!$R$5:$R$750,TRUE())&gt;0</f>
        <v>1</v>
      </c>
      <c r="G68" s="0" t="str">
        <f aca="false">IF(AND(E68,F68),IF(C68=D68,"Common","State move "&amp;C68&amp;"→"&amp;D68),IF(AND(E68,NOT(F68)),"Exiting ALL",IF(AND(NOT(E68),F68),"Entering ALL","Neither valid")))</f>
        <v>Common</v>
      </c>
      <c r="H68" s="0" t="n">
        <f aca="false">IF(COUNTIFS(BankQuarter!$B$5:$B$750,A68,BankQuarter!$D$5:$D$750,WF_START_PERIOD)=0,"",INDEX(BankQuarter!$F$5:$F$750,MATCH(A68&amp;"|"&amp;WF_START_PERIOD,BankQuarter!$AC$5:$AC$750,0)))</f>
        <v>84424</v>
      </c>
      <c r="I68" s="0" t="n">
        <f aca="false">IF(COUNTIFS(BankQuarter!$B$5:$B$750,A68,BankQuarter!$D$5:$D$750,WF_END_PERIOD)=0,"",INDEX(BankQuarter!$F$5:$F$750,MATCH(A68&amp;"|"&amp;WF_END_PERIOD,BankQuarter!$AC$5:$AC$750,0)))</f>
        <v>72604</v>
      </c>
      <c r="J68" s="0" t="n">
        <f aca="false">IF(COUNTIFS(BankQuarter!$B$5:$B$750,A68,BankQuarter!$D$5:$D$750,WF_START_PERIOD)=0,"",INDEX(BankQuarter!$A$5:$A$750,MATCH(A68&amp;"|"&amp;WF_START_PERIOD,BankQuarter!$AC$5:$AC$750,0)))</f>
        <v>526</v>
      </c>
      <c r="K68" s="0" t="n">
        <f aca="false">IF(COUNTIFS(BankQuarter!$B$5:$B$750,A68,BankQuarter!$D$5:$D$750,WF_END_PERIOD)=0,"",INDEX(BankQuarter!$A$5:$A$750,MATCH(A68&amp;"|"&amp;WF_END_PERIOD,BankQuarter!$AC$5:$AC$750,0)))</f>
        <v>738</v>
      </c>
      <c r="L68" s="13" t="n">
        <f aca="false">IF(COUNTIFS(BankQuarter!$B$5:$B$750,A68,BankQuarter!$D$5:$D$750,WF_START_PERIOD)=0,"",INDEX(BankQuarter!$S$5:$S$750,MATCH(A68&amp;"|"&amp;WF_START_PERIOD,BankQuarter!$AC$5:$AC$750,0)))</f>
        <v>0</v>
      </c>
      <c r="M68" s="13" t="n">
        <f aca="false">IF(COUNTIFS(BankQuarter!$B$5:$B$750,A68,BankQuarter!$D$5:$D$750,WF_END_PERIOD)=0,"",INDEX(BankQuarter!$S$5:$S$750,MATCH(A68&amp;"|"&amp;WF_END_PERIOD,BankQuarter!$AC$5:$AC$750,0)))</f>
        <v>0</v>
      </c>
    </row>
    <row r="69" customFormat="false" ht="15" hidden="false" customHeight="false" outlineLevel="0" collapsed="false">
      <c r="A69" s="0" t="n">
        <v>59086</v>
      </c>
      <c r="B69" s="0" t="str">
        <f aca="false">IF(COUNTIFS(BankQuarter!$B$5:$B$750,A69,BankQuarter!$D$5:$D$750,WF_END_PERIOD)&gt;0,INDEX(BankQuarter!$C$5:$C$750,MATCH(A69&amp;"|"&amp;WF_END_PERIOD,BankQuarter!$AC$5:$AC$750,0)),IF(COUNTIFS(BankQuarter!$B$5:$B$750,A69,BankQuarter!$D$5:$D$750,WF_START_PERIOD)&gt;0,INDEX(BankQuarter!$C$5:$C$750,MATCH(A69&amp;"|"&amp;WF_START_PERIOD,BankQuarter!$AC$5:$AC$750,0)),""))</f>
        <v>PRIMARY BANK</v>
      </c>
      <c r="C69" s="0" t="str">
        <f aca="false">IF(COUNTIFS(BankQuarter!$B$5:$B$750,A69,BankQuarter!$D$5:$D$750,WF_START_PERIOD)=0,"",INDEX(BankQuarter!$E$5:$E$750,MATCH(A69&amp;"|"&amp;WF_START_PERIOD,BankQuarter!$AC$5:$AC$750,0)))</f>
        <v>NH</v>
      </c>
      <c r="D69" s="0" t="str">
        <f aca="false">IF(COUNTIFS(BankQuarter!$B$5:$B$750,A69,BankQuarter!$D$5:$D$750,WF_END_PERIOD)=0,"",INDEX(BankQuarter!$E$5:$E$750,MATCH(A69&amp;"|"&amp;WF_END_PERIOD,BankQuarter!$AC$5:$AC$750,0)))</f>
        <v>NH</v>
      </c>
      <c r="E69" s="11" t="b">
        <f aca="false">COUNTIFS(BankQuarter!$B$5:$B$750,A69,BankQuarter!$D$5:$D$750,WF_START_PERIOD,BankQuarter!$R$5:$R$750,TRUE())&gt;0</f>
        <v>1</v>
      </c>
      <c r="F69" s="11" t="b">
        <f aca="false">COUNTIFS(BankQuarter!$B$5:$B$750,A69,BankQuarter!$D$5:$D$750,WF_END_PERIOD,BankQuarter!$R$5:$R$750,TRUE())&gt;0</f>
        <v>1</v>
      </c>
      <c r="G69" s="0" t="str">
        <f aca="false">IF(AND(E69,F69),IF(C69=D69,"Common","State move "&amp;C69&amp;"→"&amp;D69),IF(AND(E69,NOT(F69)),"Exiting ALL",IF(AND(NOT(E69),F69),"Entering ALL","Neither valid")))</f>
        <v>Common</v>
      </c>
      <c r="H69" s="0" t="n">
        <f aca="false">IF(COUNTIFS(BankQuarter!$B$5:$B$750,A69,BankQuarter!$D$5:$D$750,WF_START_PERIOD)=0,"",INDEX(BankQuarter!$F$5:$F$750,MATCH(A69&amp;"|"&amp;WF_START_PERIOD,BankQuarter!$AC$5:$AC$750,0)))</f>
        <v>706680</v>
      </c>
      <c r="I69" s="0" t="n">
        <f aca="false">IF(COUNTIFS(BankQuarter!$B$5:$B$750,A69,BankQuarter!$D$5:$D$750,WF_END_PERIOD)=0,"",INDEX(BankQuarter!$F$5:$F$750,MATCH(A69&amp;"|"&amp;WF_END_PERIOD,BankQuarter!$AC$5:$AC$750,0)))</f>
        <v>724753</v>
      </c>
      <c r="J69" s="0" t="n">
        <f aca="false">IF(COUNTIFS(BankQuarter!$B$5:$B$750,A69,BankQuarter!$D$5:$D$750,WF_START_PERIOD)=0,"",INDEX(BankQuarter!$A$5:$A$750,MATCH(A69&amp;"|"&amp;WF_START_PERIOD,BankQuarter!$AC$5:$AC$750,0)))</f>
        <v>529</v>
      </c>
      <c r="K69" s="0" t="n">
        <f aca="false">IF(COUNTIFS(BankQuarter!$B$5:$B$750,A69,BankQuarter!$D$5:$D$750,WF_END_PERIOD)=0,"",INDEX(BankQuarter!$A$5:$A$750,MATCH(A69&amp;"|"&amp;WF_END_PERIOD,BankQuarter!$AC$5:$AC$750,0)))</f>
        <v>741</v>
      </c>
      <c r="L69" s="13" t="n">
        <f aca="false">IF(COUNTIFS(BankQuarter!$B$5:$B$750,A69,BankQuarter!$D$5:$D$750,WF_START_PERIOD)=0,"",INDEX(BankQuarter!$S$5:$S$750,MATCH(A69&amp;"|"&amp;WF_START_PERIOD,BankQuarter!$AC$5:$AC$750,0)))</f>
        <v>0.572394860474331</v>
      </c>
      <c r="M69" s="13" t="n">
        <f aca="false">IF(COUNTIFS(BankQuarter!$B$5:$B$750,A69,BankQuarter!$D$5:$D$750,WF_END_PERIOD)=0,"",INDEX(BankQuarter!$S$5:$S$750,MATCH(A69&amp;"|"&amp;WF_END_PERIOD,BankQuarter!$AC$5:$AC$750,0)))</f>
        <v>1.90796036718717</v>
      </c>
    </row>
    <row r="70" customFormat="false" ht="15" hidden="false" customHeight="false" outlineLevel="0" collapsed="false">
      <c r="A70" s="0" t="n">
        <v>59176</v>
      </c>
      <c r="B70" s="0" t="str">
        <f aca="false">IF(COUNTIFS(BankQuarter!$B$5:$B$750,A70,BankQuarter!$D$5:$D$750,WF_END_PERIOD)&gt;0,INDEX(BankQuarter!$C$5:$C$750,MATCH(A70&amp;"|"&amp;WF_END_PERIOD,BankQuarter!$AC$5:$AC$750,0)),IF(COUNTIFS(BankQuarter!$B$5:$B$750,A70,BankQuarter!$D$5:$D$750,WF_START_PERIOD)&gt;0,INDEX(BankQuarter!$C$5:$C$750,MATCH(A70&amp;"|"&amp;WF_START_PERIOD,BankQuarter!$AC$5:$AC$750,0)),""))</f>
        <v>THE MILLYARD BANK</v>
      </c>
      <c r="C70" s="0" t="str">
        <f aca="false">IF(COUNTIFS(BankQuarter!$B$5:$B$750,A70,BankQuarter!$D$5:$D$750,WF_START_PERIOD)=0,"",INDEX(BankQuarter!$E$5:$E$750,MATCH(A70&amp;"|"&amp;WF_START_PERIOD,BankQuarter!$AC$5:$AC$750,0)))</f>
        <v>NH</v>
      </c>
      <c r="D70" s="0" t="str">
        <f aca="false">IF(COUNTIFS(BankQuarter!$B$5:$B$750,A70,BankQuarter!$D$5:$D$750,WF_END_PERIOD)=0,"",INDEX(BankQuarter!$E$5:$E$750,MATCH(A70&amp;"|"&amp;WF_END_PERIOD,BankQuarter!$AC$5:$AC$750,0)))</f>
        <v>NH</v>
      </c>
      <c r="E70" s="11" t="b">
        <f aca="false">COUNTIFS(BankQuarter!$B$5:$B$750,A70,BankQuarter!$D$5:$D$750,WF_START_PERIOD,BankQuarter!$R$5:$R$750,TRUE())&gt;0</f>
        <v>1</v>
      </c>
      <c r="F70" s="11" t="b">
        <f aca="false">COUNTIFS(BankQuarter!$B$5:$B$750,A70,BankQuarter!$D$5:$D$750,WF_END_PERIOD,BankQuarter!$R$5:$R$750,TRUE())&gt;0</f>
        <v>1</v>
      </c>
      <c r="G70" s="0" t="str">
        <f aca="false">IF(AND(E70,F70),IF(C70=D70,"Common","State move "&amp;C70&amp;"→"&amp;D70),IF(AND(E70,NOT(F70)),"Exiting ALL",IF(AND(NOT(E70),F70),"Entering ALL","Neither valid")))</f>
        <v>Common</v>
      </c>
      <c r="H70" s="0" t="n">
        <f aca="false">IF(COUNTIFS(BankQuarter!$B$5:$B$750,A70,BankQuarter!$D$5:$D$750,WF_START_PERIOD)=0,"",INDEX(BankQuarter!$F$5:$F$750,MATCH(A70&amp;"|"&amp;WF_START_PERIOD,BankQuarter!$AC$5:$AC$750,0)))</f>
        <v>229589</v>
      </c>
      <c r="I70" s="0" t="n">
        <f aca="false">IF(COUNTIFS(BankQuarter!$B$5:$B$750,A70,BankQuarter!$D$5:$D$750,WF_END_PERIOD)=0,"",INDEX(BankQuarter!$F$5:$F$750,MATCH(A70&amp;"|"&amp;WF_END_PERIOD,BankQuarter!$AC$5:$AC$750,0)))</f>
        <v>279006</v>
      </c>
      <c r="J70" s="0" t="n">
        <f aca="false">IF(COUNTIFS(BankQuarter!$B$5:$B$750,A70,BankQuarter!$D$5:$D$750,WF_START_PERIOD)=0,"",INDEX(BankQuarter!$A$5:$A$750,MATCH(A70&amp;"|"&amp;WF_START_PERIOD,BankQuarter!$AC$5:$AC$750,0)))</f>
        <v>530</v>
      </c>
      <c r="K70" s="0" t="n">
        <f aca="false">IF(COUNTIFS(BankQuarter!$B$5:$B$750,A70,BankQuarter!$D$5:$D$750,WF_END_PERIOD)=0,"",INDEX(BankQuarter!$A$5:$A$750,MATCH(A70&amp;"|"&amp;WF_END_PERIOD,BankQuarter!$AC$5:$AC$750,0)))</f>
        <v>742</v>
      </c>
      <c r="L70" s="13" t="n">
        <f aca="false">IF(COUNTIFS(BankQuarter!$B$5:$B$750,A70,BankQuarter!$D$5:$D$750,WF_START_PERIOD)=0,"",INDEX(BankQuarter!$S$5:$S$750,MATCH(A70&amp;"|"&amp;WF_START_PERIOD,BankQuarter!$AC$5:$AC$750,0)))</f>
        <v>0</v>
      </c>
      <c r="M70" s="13" t="n">
        <f aca="false">IF(COUNTIFS(BankQuarter!$B$5:$B$750,A70,BankQuarter!$D$5:$D$750,WF_END_PERIOD)=0,"",INDEX(BankQuarter!$S$5:$S$750,MATCH(A70&amp;"|"&amp;WF_END_PERIOD,BankQuarter!$AC$5:$AC$750,0)))</f>
        <v>0</v>
      </c>
    </row>
    <row r="71" customFormat="false" ht="15" hidden="false" customHeight="false" outlineLevel="0" collapsed="false">
      <c r="A71" s="0" t="n">
        <v>59289</v>
      </c>
      <c r="B71" s="0" t="str">
        <f aca="false">IF(COUNTIFS(BankQuarter!$B$5:$B$750,A71,BankQuarter!$D$5:$D$750,WF_END_PERIOD)&gt;0,INDEX(BankQuarter!$C$5:$C$750,MATCH(A71&amp;"|"&amp;WF_END_PERIOD,BankQuarter!$AC$5:$AC$750,0)),IF(COUNTIFS(BankQuarter!$B$5:$B$750,A71,BankQuarter!$D$5:$D$750,WF_START_PERIOD)&gt;0,INDEX(BankQuarter!$C$5:$C$750,MATCH(A71&amp;"|"&amp;WF_START_PERIOD,BankQuarter!$AC$5:$AC$750,0)),""))</f>
        <v>WALDEN MUTUAL BANK</v>
      </c>
      <c r="C71" s="0" t="str">
        <f aca="false">IF(COUNTIFS(BankQuarter!$B$5:$B$750,A71,BankQuarter!$D$5:$D$750,WF_START_PERIOD)=0,"",INDEX(BankQuarter!$E$5:$E$750,MATCH(A71&amp;"|"&amp;WF_START_PERIOD,BankQuarter!$AC$5:$AC$750,0)))</f>
        <v>NH</v>
      </c>
      <c r="D71" s="0" t="str">
        <f aca="false">IF(COUNTIFS(BankQuarter!$B$5:$B$750,A71,BankQuarter!$D$5:$D$750,WF_END_PERIOD)=0,"",INDEX(BankQuarter!$E$5:$E$750,MATCH(A71&amp;"|"&amp;WF_END_PERIOD,BankQuarter!$AC$5:$AC$750,0)))</f>
        <v>NH</v>
      </c>
      <c r="E71" s="11" t="b">
        <f aca="false">COUNTIFS(BankQuarter!$B$5:$B$750,A71,BankQuarter!$D$5:$D$750,WF_START_PERIOD,BankQuarter!$R$5:$R$750,TRUE())&gt;0</f>
        <v>1</v>
      </c>
      <c r="F71" s="11" t="b">
        <f aca="false">COUNTIFS(BankQuarter!$B$5:$B$750,A71,BankQuarter!$D$5:$D$750,WF_END_PERIOD,BankQuarter!$R$5:$R$750,TRUE())&gt;0</f>
        <v>1</v>
      </c>
      <c r="G71" s="0" t="str">
        <f aca="false">IF(AND(E71,F71),IF(C71=D71,"Common","State move "&amp;C71&amp;"→"&amp;D71),IF(AND(E71,NOT(F71)),"Exiting ALL",IF(AND(NOT(E71),F71),"Entering ALL","Neither valid")))</f>
        <v>Common</v>
      </c>
      <c r="H71" s="0" t="n">
        <f aca="false">IF(COUNTIFS(BankQuarter!$B$5:$B$750,A71,BankQuarter!$D$5:$D$750,WF_START_PERIOD)=0,"",INDEX(BankQuarter!$F$5:$F$750,MATCH(A71&amp;"|"&amp;WF_START_PERIOD,BankQuarter!$AC$5:$AC$750,0)))</f>
        <v>105919</v>
      </c>
      <c r="I71" s="0" t="n">
        <f aca="false">IF(COUNTIFS(BankQuarter!$B$5:$B$750,A71,BankQuarter!$D$5:$D$750,WF_END_PERIOD)=0,"",INDEX(BankQuarter!$F$5:$F$750,MATCH(A71&amp;"|"&amp;WF_END_PERIOD,BankQuarter!$AC$5:$AC$750,0)))</f>
        <v>145991</v>
      </c>
      <c r="J71" s="0" t="n">
        <f aca="false">IF(COUNTIFS(BankQuarter!$B$5:$B$750,A71,BankQuarter!$D$5:$D$750,WF_START_PERIOD)=0,"",INDEX(BankQuarter!$A$5:$A$750,MATCH(A71&amp;"|"&amp;WF_START_PERIOD,BankQuarter!$AC$5:$AC$750,0)))</f>
        <v>531</v>
      </c>
      <c r="K71" s="0" t="n">
        <f aca="false">IF(COUNTIFS(BankQuarter!$B$5:$B$750,A71,BankQuarter!$D$5:$D$750,WF_END_PERIOD)=0,"",INDEX(BankQuarter!$A$5:$A$750,MATCH(A71&amp;"|"&amp;WF_END_PERIOD,BankQuarter!$AC$5:$AC$750,0)))</f>
        <v>743</v>
      </c>
      <c r="L71" s="13" t="n">
        <f aca="false">IF(COUNTIFS(BankQuarter!$B$5:$B$750,A71,BankQuarter!$D$5:$D$750,WF_START_PERIOD)=0,"",INDEX(BankQuarter!$S$5:$S$750,MATCH(A71&amp;"|"&amp;WF_START_PERIOD,BankQuarter!$AC$5:$AC$750,0)))</f>
        <v>0.307782361993599</v>
      </c>
      <c r="M71" s="13" t="n">
        <f aca="false">IF(COUNTIFS(BankQuarter!$B$5:$B$750,A71,BankQuarter!$D$5:$D$750,WF_END_PERIOD)=0,"",INDEX(BankQuarter!$S$5:$S$750,MATCH(A71&amp;"|"&amp;WF_END_PERIOD,BankQuarter!$AC$5:$AC$750,0)))</f>
        <v>1.94190052811475</v>
      </c>
    </row>
    <row r="72" customFormat="false" ht="15" hidden="false" customHeight="false" outlineLevel="0" collapsed="false">
      <c r="A72" s="0" t="n">
        <v>59298</v>
      </c>
      <c r="B72" s="0" t="str">
        <f aca="false">IF(COUNTIFS(BankQuarter!$B$5:$B$750,A72,BankQuarter!$D$5:$D$750,WF_END_PERIOD)&gt;0,INDEX(BankQuarter!$C$5:$C$750,MATCH(A72&amp;"|"&amp;WF_END_PERIOD,BankQuarter!$AC$5:$AC$750,0)),IF(COUNTIFS(BankQuarter!$B$5:$B$750,A72,BankQuarter!$D$5:$D$750,WF_START_PERIOD)&gt;0,INDEX(BankQuarter!$C$5:$C$750,MATCH(A72&amp;"|"&amp;WF_START_PERIOD,BankQuarter!$AC$5:$AC$750,0)),""))</f>
        <v>BANK OF BURLINGTON</v>
      </c>
      <c r="C72" s="0" t="str">
        <f aca="false">IF(COUNTIFS(BankQuarter!$B$5:$B$750,A72,BankQuarter!$D$5:$D$750,WF_START_PERIOD)=0,"",INDEX(BankQuarter!$E$5:$E$750,MATCH(A72&amp;"|"&amp;WF_START_PERIOD,BankQuarter!$AC$5:$AC$750,0)))</f>
        <v>VT</v>
      </c>
      <c r="D72" s="0" t="str">
        <f aca="false">IF(COUNTIFS(BankQuarter!$B$5:$B$750,A72,BankQuarter!$D$5:$D$750,WF_END_PERIOD)=0,"",INDEX(BankQuarter!$E$5:$E$750,MATCH(A72&amp;"|"&amp;WF_END_PERIOD,BankQuarter!$AC$5:$AC$750,0)))</f>
        <v>VT</v>
      </c>
      <c r="E72" s="11" t="b">
        <f aca="false">COUNTIFS(BankQuarter!$B$5:$B$750,A72,BankQuarter!$D$5:$D$750,WF_START_PERIOD,BankQuarter!$R$5:$R$750,TRUE())&gt;0</f>
        <v>1</v>
      </c>
      <c r="F72" s="11" t="b">
        <f aca="false">COUNTIFS(BankQuarter!$B$5:$B$750,A72,BankQuarter!$D$5:$D$750,WF_END_PERIOD,BankQuarter!$R$5:$R$750,TRUE())&gt;0</f>
        <v>1</v>
      </c>
      <c r="G72" s="0" t="str">
        <f aca="false">IF(AND(E72,F72),IF(C72=D72,"Common","State move "&amp;C72&amp;"→"&amp;D72),IF(AND(E72,NOT(F72)),"Exiting ALL",IF(AND(NOT(E72),F72),"Entering ALL","Neither valid")))</f>
        <v>Common</v>
      </c>
      <c r="H72" s="0" t="n">
        <f aca="false">IF(COUNTIFS(BankQuarter!$B$5:$B$750,A72,BankQuarter!$D$5:$D$750,WF_START_PERIOD)=0,"",INDEX(BankQuarter!$F$5:$F$750,MATCH(A72&amp;"|"&amp;WF_START_PERIOD,BankQuarter!$AC$5:$AC$750,0)))</f>
        <v>218470</v>
      </c>
      <c r="I72" s="0" t="n">
        <f aca="false">IF(COUNTIFS(BankQuarter!$B$5:$B$750,A72,BankQuarter!$D$5:$D$750,WF_END_PERIOD)=0,"",INDEX(BankQuarter!$F$5:$F$750,MATCH(A72&amp;"|"&amp;WF_END_PERIOD,BankQuarter!$AC$5:$AC$750,0)))</f>
        <v>269483</v>
      </c>
      <c r="J72" s="0" t="n">
        <f aca="false">IF(COUNTIFS(BankQuarter!$B$5:$B$750,A72,BankQuarter!$D$5:$D$750,WF_START_PERIOD)=0,"",INDEX(BankQuarter!$A$5:$A$750,MATCH(A72&amp;"|"&amp;WF_START_PERIOD,BankQuarter!$AC$5:$AC$750,0)))</f>
        <v>532</v>
      </c>
      <c r="K72" s="0" t="n">
        <f aca="false">IF(COUNTIFS(BankQuarter!$B$5:$B$750,A72,BankQuarter!$D$5:$D$750,WF_END_PERIOD)=0,"",INDEX(BankQuarter!$A$5:$A$750,MATCH(A72&amp;"|"&amp;WF_END_PERIOD,BankQuarter!$AC$5:$AC$750,0)))</f>
        <v>744</v>
      </c>
      <c r="L72" s="13" t="n">
        <f aca="false">IF(COUNTIFS(BankQuarter!$B$5:$B$750,A72,BankQuarter!$D$5:$D$750,WF_START_PERIOD)=0,"",INDEX(BankQuarter!$S$5:$S$750,MATCH(A72&amp;"|"&amp;WF_START_PERIOD,BankQuarter!$AC$5:$AC$750,0)))</f>
        <v>0</v>
      </c>
      <c r="M72" s="13" t="n">
        <f aca="false">IF(COUNTIFS(BankQuarter!$B$5:$B$750,A72,BankQuarter!$D$5:$D$750,WF_END_PERIOD)=0,"",INDEX(BankQuarter!$S$5:$S$750,MATCH(A72&amp;"|"&amp;WF_END_PERIOD,BankQuarter!$AC$5:$AC$750,0)))</f>
        <v>0</v>
      </c>
    </row>
  </sheetData>
  <autoFilter ref="A18:M72"/>
  <mergeCells count="3">
    <mergeCell ref="A1:M1"/>
    <mergeCell ref="A2:M2"/>
    <mergeCell ref="A12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9" min="7" style="0" width="18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8"/>
    <col collapsed="false" customWidth="true" hidden="false" outlineLevel="0" max="15" min="15" style="0" width="15"/>
    <col collapsed="false" customWidth="true" hidden="false" outlineLevel="0" max="19" min="16" style="0" width="18"/>
    <col collapsed="false" customWidth="true" hidden="false" outlineLevel="0" max="20" min="20" style="0" width="16"/>
    <col collapsed="false" customWidth="true" hidden="false" outlineLevel="0" max="21" min="21" style="0" width="48"/>
    <col collapsed="false" customWidth="true" hidden="false" outlineLevel="0" max="22" min="22" style="0" width="72"/>
  </cols>
  <sheetData>
    <row r="1" customFormat="false" ht="27.75" hidden="false" customHeight="true" outlineLevel="0" collapsed="false">
      <c r="A1" s="1" t="s">
        <v>8412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0" hidden="false" customHeight="true" outlineLevel="0" collapsed="false">
      <c r="A2" s="2" t="s">
        <v>8413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0" hidden="false" customHeight="true" outlineLevel="0" collapsed="false">
      <c r="A4" s="3" t="s">
        <v>8414</v>
      </c>
      <c r="B4" s="3" t="s">
        <v>23</v>
      </c>
      <c r="C4" s="3" t="s">
        <v>8311</v>
      </c>
      <c r="D4" s="3" t="s">
        <v>8310</v>
      </c>
      <c r="E4" s="3" t="s">
        <v>8409</v>
      </c>
      <c r="F4" s="3" t="s">
        <v>8408</v>
      </c>
      <c r="G4" s="3" t="s">
        <v>8415</v>
      </c>
      <c r="H4" s="3" t="s">
        <v>8416</v>
      </c>
      <c r="I4" s="3" t="s">
        <v>8417</v>
      </c>
      <c r="J4" s="3" t="s">
        <v>8411</v>
      </c>
      <c r="K4" s="3" t="s">
        <v>8410</v>
      </c>
      <c r="L4" s="3" t="s">
        <v>8418</v>
      </c>
      <c r="M4" s="3" t="s">
        <v>8322</v>
      </c>
      <c r="N4" s="3" t="s">
        <v>8323</v>
      </c>
      <c r="O4" s="3" t="s">
        <v>8419</v>
      </c>
      <c r="P4" s="3" t="s">
        <v>8420</v>
      </c>
      <c r="Q4" s="3" t="s">
        <v>8421</v>
      </c>
      <c r="R4" s="3" t="s">
        <v>8422</v>
      </c>
      <c r="S4" s="3" t="s">
        <v>8423</v>
      </c>
      <c r="T4" s="3" t="s">
        <v>8424</v>
      </c>
      <c r="U4" s="3" t="s">
        <v>8425</v>
      </c>
      <c r="V4" s="3" t="s">
        <v>8426</v>
      </c>
    </row>
    <row r="5" customFormat="false" ht="67.5" hidden="false" customHeight="true" outlineLevel="0" collapsed="false">
      <c r="A5" s="4" t="n">
        <v>1</v>
      </c>
      <c r="B5" s="4" t="n">
        <f aca="false">IF(AND(WF_MODEL_VALID,A5&lt;=WF_REVIEW_SLOTS),SUMIFS(BankQuarter!$B$5:$B$750,BankQuarter!$D$5:$D$750,WF_END_PERIOD,BankQuarter!$E$5:$E$750,"VT",BankQuarter!$R$5:$R$750,TRUE(),BankQuarter!$Z$5:$Z$750,1),"")</f>
        <v>6280</v>
      </c>
      <c r="C5" s="4" t="str">
        <f aca="false">IF($B5="","",INDEX(BankQuarter!$E$5:$E$750,MATCH($B5&amp;"|"&amp;WF_END_PERIOD,BankQuarter!$AC$5:$AC$750,0)))</f>
        <v>VT</v>
      </c>
      <c r="D5" s="4" t="str">
        <f aca="false">IF($B5="","",INDEX(BankQuarter!$C$5:$C$750,MATCH($B5&amp;"|"&amp;WF_END_PERIOD,BankQuarter!$AC$5:$AC$750,0)))</f>
        <v>THE FIRST NATIONAL BANK OF ORWELL</v>
      </c>
      <c r="E5" s="4" t="n">
        <f aca="false">IF($B5="","",INDEX(BankQuarter!$A$5:$A$750,MATCH($B5&amp;"|"&amp;WF_END_PERIOD,BankQuarter!$AC$5:$AC$750,0)))</f>
        <v>747</v>
      </c>
      <c r="F5" s="4" t="n">
        <f aca="false">IF($B5="","",IF(COUNTIFS(BankQuarter!$B$5:$B$750,$B5,BankQuarter!$D$5:$D$750,WF_START_PERIOD)=0,"",INDEX(BankQuarter!$A$5:$A$750,MATCH($B5&amp;"|"&amp;WF_START_PERIOD,BankQuarter!$AC$5:$AC$750,0))))</f>
        <v>535</v>
      </c>
      <c r="G5" s="4" t="n">
        <f aca="false">IF($B5="","",INDEX(BankQuarter!$F$5:$F$750,MATCH($B5&amp;"|"&amp;WF_END_PERIOD,BankQuarter!$AC$5:$AC$750,0)))</f>
        <v>87770</v>
      </c>
      <c r="H5" s="4" t="n">
        <f aca="false">IF($B5="","",INDEX(BankQuarter!$G$5:$G$750,MATCH($B5&amp;"|"&amp;WF_END_PERIOD,BankQuarter!$AC$5:$AC$750,0)))</f>
        <v>0</v>
      </c>
      <c r="I5" s="4" t="n">
        <f aca="false">IF($B5="","",INDEX(BankQuarter!$H$5:$H$750,MATCH($B5&amp;"|"&amp;WF_END_PERIOD,BankQuarter!$AC$5:$AC$750,0)))</f>
        <v>1455</v>
      </c>
      <c r="J5" s="12" t="n">
        <f aca="false">IF($B5="","",INDEX(BankQuarter!$S$5:$S$750,MATCH($B5&amp;"|"&amp;WF_END_PERIOD,BankQuarter!$AC$5:$AC$750,0)))</f>
        <v>1.65774182522502</v>
      </c>
      <c r="K5" s="12" t="n">
        <f aca="false">IF($B5="","",IF(COUNTIFS(BankQuarter!$B$5:$B$750,$B5,BankQuarter!$D$5:$D$750,WF_START_PERIOD,BankQuarter!$R$5:$R$750,TRUE())=0,"",INDEX(BankQuarter!$S$5:$S$750,MATCH($B5&amp;"|"&amp;WF_START_PERIOD,BankQuarter!$AC$5:$AC$750,0))))</f>
        <v>1.48403371685227</v>
      </c>
      <c r="L5" s="12" t="n">
        <f aca="false">IF(OR(J5="",K5=""),"",J5-K5)</f>
        <v>0.173708108372747</v>
      </c>
      <c r="M5" s="12" t="n">
        <f aca="false">IF($B5="","",INDEX(BankQuarter!$P$5:$P$750,MATCH($B5&amp;"|"&amp;WF_END_PERIOD,BankQuarter!$AC$5:$AC$750,0)))</f>
        <v>88.8467852257182</v>
      </c>
      <c r="N5" s="12" t="n">
        <f aca="false">IF($B5="","",INDEX(BankQuarter!$Q$5:$Q$750,MATCH($B5&amp;"|"&amp;WF_END_PERIOD,BankQuarter!$AC$5:$AC$750,0)))</f>
        <v>11.3353081918651</v>
      </c>
      <c r="O5" s="12" t="n">
        <f aca="false">IF($B5="","",INDEX(BankQuarter!$N$5:$N$750,MATCH($B5&amp;"|"&amp;WF_END_PERIOD,BankQuarter!$AC$5:$AC$750,0)))</f>
        <v>1.36654026169246</v>
      </c>
      <c r="P5" s="12" t="n">
        <f aca="false">IF($B5="","",INDEX(BankQuarter!$O$5:$O$750,MATCH($B5&amp;"|"&amp;WF_END_PERIOD,BankQuarter!$AC$5:$AC$750,0)))</f>
        <v>0</v>
      </c>
      <c r="Q5" s="4" t="n">
        <f aca="false">IF($B5="","",IF(COUNTIFS(BankQuarter!$B$5:$B$750,$B5,BankQuarter!$D$5:$D$750,WF_START_PERIOD)=0,"",INDEX(BankQuarter!$F$5:$F$750,MATCH($B5&amp;"|"&amp;WF_START_PERIOD,BankQuarter!$AC$5:$AC$750,0))))</f>
        <v>81265</v>
      </c>
      <c r="R5" s="4" t="n">
        <f aca="false">IF($B5="","",IF(COUNTIFS(BankQuarter!$B$5:$B$750,$B5,BankQuarter!$D$5:$D$750,WF_START_PERIOD)=0,"",INDEX(BankQuarter!$G$5:$G$750,MATCH($B5&amp;"|"&amp;WF_START_PERIOD,BankQuarter!$AC$5:$AC$750,0))))</f>
        <v>0</v>
      </c>
      <c r="S5" s="4" t="n">
        <f aca="false">IF($B5="","",IF(COUNTIFS(BankQuarter!$B$5:$B$750,$B5,BankQuarter!$D$5:$D$750,WF_START_PERIOD)=0,"",INDEX(BankQuarter!$H$5:$H$750,MATCH($B5&amp;"|"&amp;WF_START_PERIOD,BankQuarter!$AC$5:$AC$750,0))))</f>
        <v>1206</v>
      </c>
      <c r="T5" s="12" t="n">
        <f aca="false">IF($B5="","",IF(COUNTIFS(BankQuarter!$B$5:$B$750,$B5,BankQuarter!$D$5:$D$750,WF_START_PERIOD)=0,"",INDEX(BankQuarter!$N$5:$N$750,MATCH($B5&amp;"|"&amp;WF_START_PERIOD,BankQuarter!$AC$5:$AC$750,0))))</f>
        <v>1.4362928525532</v>
      </c>
      <c r="U5" s="15" t="str">
        <f aca="false">IF(B5="","","End proxy "&amp;TEXT(J5,"0.0000")&amp;"%; "&amp;IF(K5="","no valid start comparison","change "&amp;TEXT(L5,"0.0000")&amp;" pp")&amp;". Screening signal only; verify loan-level causes.")</f>
        <v>End proxy 1.6577%; change 0.1737 pp. Screening signal only; verify loan-level causes.</v>
      </c>
      <c r="V5" s="15" t="str">
        <f aca="false">IF(B5="","","Obtain past-due/nonaccrual loan tape, aging, payment history, accrual-status support, classifications/watch list and grade migration"&amp;IF(M5&gt;=75,"; CRE/RE concentration report, largest exposures, appraisals and stress results","")&amp;IF(O5&lt;0.5,"; earnings bridge, charge-offs, provisions and ACL support","")&amp;IF(P5=0,";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CRE/RE concentration report, largest exposures, appraisals and stress results; RBCRWAJ is reported as 0—verify applicability/reporting basis and obtain capital schedules</v>
      </c>
    </row>
    <row r="6" customFormat="false" ht="67.5" hidden="false" customHeight="true" outlineLevel="0" collapsed="false">
      <c r="A6" s="4" t="n">
        <v>2</v>
      </c>
      <c r="B6" s="4" t="n">
        <f aca="false">IF(AND(WF_MODEL_VALID,A6&lt;=WF_REVIEW_SLOTS),SUMIFS(BankQuarter!$B$5:$B$750,BankQuarter!$D$5:$D$750,WF_END_PERIOD,BankQuarter!$E$5:$E$750,"NH",BankQuarter!$R$5:$R$750,TRUE(),BankQuarter!$Z$5:$Z$750,1),"")</f>
        <v>59289</v>
      </c>
      <c r="C6" s="4" t="str">
        <f aca="false">IF($B6="","",INDEX(BankQuarter!$E$5:$E$750,MATCH($B6&amp;"|"&amp;WF_END_PERIOD,BankQuarter!$AC$5:$AC$750,0)))</f>
        <v>NH</v>
      </c>
      <c r="D6" s="4" t="str">
        <f aca="false">IF($B6="","",INDEX(BankQuarter!$C$5:$C$750,MATCH($B6&amp;"|"&amp;WF_END_PERIOD,BankQuarter!$AC$5:$AC$750,0)))</f>
        <v>WALDEN MUTUAL BANK</v>
      </c>
      <c r="E6" s="4" t="n">
        <f aca="false">IF($B6="","",INDEX(BankQuarter!$A$5:$A$750,MATCH($B6&amp;"|"&amp;WF_END_PERIOD,BankQuarter!$AC$5:$AC$750,0)))</f>
        <v>743</v>
      </c>
      <c r="F6" s="4" t="n">
        <f aca="false">IF($B6="","",IF(COUNTIFS(BankQuarter!$B$5:$B$750,$B6,BankQuarter!$D$5:$D$750,WF_START_PERIOD)=0,"",INDEX(BankQuarter!$A$5:$A$750,MATCH($B6&amp;"|"&amp;WF_START_PERIOD,BankQuarter!$AC$5:$AC$750,0))))</f>
        <v>531</v>
      </c>
      <c r="G6" s="4" t="n">
        <f aca="false">IF($B6="","",INDEX(BankQuarter!$F$5:$F$750,MATCH($B6&amp;"|"&amp;WF_END_PERIOD,BankQuarter!$AC$5:$AC$750,0)))</f>
        <v>145991</v>
      </c>
      <c r="H6" s="4" t="n">
        <f aca="false">IF($B6="","",INDEX(BankQuarter!$G$5:$G$750,MATCH($B6&amp;"|"&amp;WF_END_PERIOD,BankQuarter!$AC$5:$AC$750,0)))</f>
        <v>0</v>
      </c>
      <c r="I6" s="4" t="n">
        <f aca="false">IF($B6="","",INDEX(BankQuarter!$H$5:$H$750,MATCH($B6&amp;"|"&amp;WF_END_PERIOD,BankQuarter!$AC$5:$AC$750,0)))</f>
        <v>2835</v>
      </c>
      <c r="J6" s="12" t="n">
        <f aca="false">IF($B6="","",INDEX(BankQuarter!$S$5:$S$750,MATCH($B6&amp;"|"&amp;WF_END_PERIOD,BankQuarter!$AC$5:$AC$750,0)))</f>
        <v>1.94190052811475</v>
      </c>
      <c r="K6" s="12" t="n">
        <f aca="false">IF($B6="","",IF(COUNTIFS(BankQuarter!$B$5:$B$750,$B6,BankQuarter!$D$5:$D$750,WF_START_PERIOD,BankQuarter!$R$5:$R$750,TRUE())=0,"",INDEX(BankQuarter!$S$5:$S$750,MATCH($B6&amp;"|"&amp;WF_START_PERIOD,BankQuarter!$AC$5:$AC$750,0))))</f>
        <v>0.307782361993599</v>
      </c>
      <c r="L6" s="12" t="n">
        <f aca="false">IF(OR(J6="",K6=""),"",J6-K6)</f>
        <v>1.63411816612115</v>
      </c>
      <c r="M6" s="12" t="n">
        <f aca="false">IF($B6="","",INDEX(BankQuarter!$P$5:$P$750,MATCH($B6&amp;"|"&amp;WF_END_PERIOD,BankQuarter!$AC$5:$AC$750,0)))</f>
        <v>36.1756619336372</v>
      </c>
      <c r="N6" s="12" t="n">
        <f aca="false">IF($B6="","",INDEX(BankQuarter!$Q$5:$Q$750,MATCH($B6&amp;"|"&amp;WF_END_PERIOD,BankQuarter!$AC$5:$AC$750,0)))</f>
        <v>10.7527176332788</v>
      </c>
      <c r="O6" s="12" t="n">
        <f aca="false">IF($B6="","",INDEX(BankQuarter!$N$5:$N$750,MATCH($B6&amp;"|"&amp;WF_END_PERIOD,BankQuarter!$AC$5:$AC$750,0)))</f>
        <v>-0.239988600541474</v>
      </c>
      <c r="P6" s="12" t="n">
        <f aca="false">IF($B6="","",INDEX(BankQuarter!$O$5:$O$750,MATCH($B6&amp;"|"&amp;WF_END_PERIOD,BankQuarter!$AC$5:$AC$750,0)))</f>
        <v>0</v>
      </c>
      <c r="Q6" s="4" t="n">
        <f aca="false">IF($B6="","",IF(COUNTIFS(BankQuarter!$B$5:$B$750,$B6,BankQuarter!$D$5:$D$750,WF_START_PERIOD)=0,"",INDEX(BankQuarter!$F$5:$F$750,MATCH($B6&amp;"|"&amp;WF_START_PERIOD,BankQuarter!$AC$5:$AC$750,0))))</f>
        <v>105919</v>
      </c>
      <c r="R6" s="4" t="n">
        <f aca="false">IF($B6="","",IF(COUNTIFS(BankQuarter!$B$5:$B$750,$B6,BankQuarter!$D$5:$D$750,WF_START_PERIOD)=0,"",INDEX(BankQuarter!$G$5:$G$750,MATCH($B6&amp;"|"&amp;WF_START_PERIOD,BankQuarter!$AC$5:$AC$750,0))))</f>
        <v>0</v>
      </c>
      <c r="S6" s="4" t="n">
        <f aca="false">IF($B6="","",IF(COUNTIFS(BankQuarter!$B$5:$B$750,$B6,BankQuarter!$D$5:$D$750,WF_START_PERIOD)=0,"",INDEX(BankQuarter!$H$5:$H$750,MATCH($B6&amp;"|"&amp;WF_START_PERIOD,BankQuarter!$AC$5:$AC$750,0))))</f>
        <v>326</v>
      </c>
      <c r="T6" s="12" t="n">
        <f aca="false">IF($B6="","",IF(COUNTIFS(BankQuarter!$B$5:$B$750,$B6,BankQuarter!$D$5:$D$750,WF_START_PERIOD)=0,"",INDEX(BankQuarter!$N$5:$N$750,MATCH($B6&amp;"|"&amp;WF_START_PERIOD,BankQuarter!$AC$5:$AC$750,0))))</f>
        <v>-1.13039059096849</v>
      </c>
      <c r="U6" s="15" t="str">
        <f aca="false">IF(B6="","","End proxy "&amp;TEXT(J6,"0.0000")&amp;"%; "&amp;IF(K6="","no valid start comparison","change "&amp;TEXT(L6,"0.0000")&amp;" pp")&amp;". Screening signal only; verify loan-level causes.")</f>
        <v>End proxy 1.9419%; change 1.6341 pp. Screening signal only; verify loan-level causes.</v>
      </c>
      <c r="V6" s="15" t="str">
        <f aca="false">IF(B6="","","Obtain past-due/nonaccrual loan tape, aging, payment history, accrual-status support, classifications/watch list and grade migration"&amp;IF(M6&gt;=75,"; CRE/RE concentration report, largest exposures, appraisals and stress results","")&amp;IF(O6&lt;0.5,"; earnings bridge, charge-offs, provisions and ACL support","")&amp;IF(P6=0,";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earnings bridge, charge-offs, provisions and ACL support; RBCRWAJ is reported as 0—verify applicability/reporting basis and obtain capital schedules</v>
      </c>
    </row>
    <row r="7" customFormat="false" ht="67.5" hidden="false" customHeight="true" outlineLevel="0" collapsed="false">
      <c r="A7" s="4" t="n">
        <v>3</v>
      </c>
      <c r="B7" s="4" t="n">
        <f aca="false">IF(AND(WF_MODEL_VALID,A7&lt;=WF_REVIEW_SLOTS),SUMIFS(BankQuarter!$B$5:$B$750,BankQuarter!$D$5:$D$750,WF_END_PERIOD,BankQuarter!$E$5:$E$750,"ME",BankQuarter!$R$5:$R$750,TRUE(),BankQuarter!$Z$5:$Z$750,1),"")</f>
        <v>29636</v>
      </c>
      <c r="C7" s="4" t="str">
        <f aca="false">IF($B7="","",INDEX(BankQuarter!$E$5:$E$750,MATCH($B7&amp;"|"&amp;WF_END_PERIOD,BankQuarter!$AC$5:$AC$750,0)))</f>
        <v>ME</v>
      </c>
      <c r="D7" s="4" t="str">
        <f aca="false">IF($B7="","",INDEX(BankQuarter!$C$5:$C$750,MATCH($B7&amp;"|"&amp;WF_END_PERIOD,BankQuarter!$AC$5:$AC$750,0)))</f>
        <v>FIRST FEDERAL SAVINGS AND LOAN ASSOCIATION OF BATH</v>
      </c>
      <c r="E7" s="4" t="n">
        <f aca="false">IF($B7="","",INDEX(BankQuarter!$A$5:$A$750,MATCH($B7&amp;"|"&amp;WF_END_PERIOD,BankQuarter!$AC$5:$AC$750,0)))</f>
        <v>732</v>
      </c>
      <c r="F7" s="4" t="n">
        <f aca="false">IF($B7="","",IF(COUNTIFS(BankQuarter!$B$5:$B$750,$B7,BankQuarter!$D$5:$D$750,WF_START_PERIOD)=0,"",INDEX(BankQuarter!$A$5:$A$750,MATCH($B7&amp;"|"&amp;WF_START_PERIOD,BankQuarter!$AC$5:$AC$750,0))))</f>
        <v>520</v>
      </c>
      <c r="G7" s="4" t="n">
        <f aca="false">IF($B7="","",INDEX(BankQuarter!$F$5:$F$750,MATCH($B7&amp;"|"&amp;WF_END_PERIOD,BankQuarter!$AC$5:$AC$750,0)))</f>
        <v>185573</v>
      </c>
      <c r="H7" s="4" t="n">
        <f aca="false">IF($B7="","",INDEX(BankQuarter!$G$5:$G$750,MATCH($B7&amp;"|"&amp;WF_END_PERIOD,BankQuarter!$AC$5:$AC$750,0)))</f>
        <v>0</v>
      </c>
      <c r="I7" s="4" t="n">
        <f aca="false">IF($B7="","",INDEX(BankQuarter!$H$5:$H$750,MATCH($B7&amp;"|"&amp;WF_END_PERIOD,BankQuarter!$AC$5:$AC$750,0)))</f>
        <v>3102</v>
      </c>
      <c r="J7" s="12" t="n">
        <f aca="false">IF($B7="","",INDEX(BankQuarter!$S$5:$S$750,MATCH($B7&amp;"|"&amp;WF_END_PERIOD,BankQuarter!$AC$5:$AC$750,0)))</f>
        <v>1.67157937846562</v>
      </c>
      <c r="K7" s="12" t="n">
        <f aca="false">IF($B7="","",IF(COUNTIFS(BankQuarter!$B$5:$B$750,$B7,BankQuarter!$D$5:$D$750,WF_START_PERIOD,BankQuarter!$R$5:$R$750,TRUE())=0,"",INDEX(BankQuarter!$S$5:$S$750,MATCH($B7&amp;"|"&amp;WF_START_PERIOD,BankQuarter!$AC$5:$AC$750,0))))</f>
        <v>1.51507586474716</v>
      </c>
      <c r="L7" s="12" t="n">
        <f aca="false">IF(OR(J7="",K7=""),"",J7-K7)</f>
        <v>0.156503513718453</v>
      </c>
      <c r="M7" s="12" t="n">
        <f aca="false">IF($B7="","",INDEX(BankQuarter!$P$5:$P$750,MATCH($B7&amp;"|"&amp;WF_END_PERIOD,BankQuarter!$AC$5:$AC$750,0)))</f>
        <v>97.7633477633478</v>
      </c>
      <c r="N7" s="12" t="n">
        <f aca="false">IF($B7="","",INDEX(BankQuarter!$Q$5:$Q$750,MATCH($B7&amp;"|"&amp;WF_END_PERIOD,BankQuarter!$AC$5:$AC$750,0)))</f>
        <v>14.897641359465</v>
      </c>
      <c r="O7" s="12" t="n">
        <f aca="false">IF($B7="","",INDEX(BankQuarter!$N$5:$N$750,MATCH($B7&amp;"|"&amp;WF_END_PERIOD,BankQuarter!$AC$5:$AC$750,0)))</f>
        <v>0.234619113348782</v>
      </c>
      <c r="P7" s="12" t="n">
        <f aca="false">IF($B7="","",INDEX(BankQuarter!$O$5:$O$750,MATCH($B7&amp;"|"&amp;WF_END_PERIOD,BankQuarter!$AC$5:$AC$750,0)))</f>
        <v>27.1672138701688</v>
      </c>
      <c r="Q7" s="4" t="n">
        <f aca="false">IF($B7="","",IF(COUNTIFS(BankQuarter!$B$5:$B$750,$B7,BankQuarter!$D$5:$D$750,WF_START_PERIOD)=0,"",INDEX(BankQuarter!$F$5:$F$750,MATCH($B7&amp;"|"&amp;WF_START_PERIOD,BankQuarter!$AC$5:$AC$750,0))))</f>
        <v>180255</v>
      </c>
      <c r="R7" s="4" t="n">
        <f aca="false">IF($B7="","",IF(COUNTIFS(BankQuarter!$B$5:$B$750,$B7,BankQuarter!$D$5:$D$750,WF_START_PERIOD)=0,"",INDEX(BankQuarter!$G$5:$G$750,MATCH($B7&amp;"|"&amp;WF_START_PERIOD,BankQuarter!$AC$5:$AC$750,0))))</f>
        <v>0</v>
      </c>
      <c r="S7" s="4" t="n">
        <f aca="false">IF($B7="","",IF(COUNTIFS(BankQuarter!$B$5:$B$750,$B7,BankQuarter!$D$5:$D$750,WF_START_PERIOD)=0,"",INDEX(BankQuarter!$H$5:$H$750,MATCH($B7&amp;"|"&amp;WF_START_PERIOD,BankQuarter!$AC$5:$AC$750,0))))</f>
        <v>2731</v>
      </c>
      <c r="T7" s="12" t="n">
        <f aca="false">IF($B7="","",IF(COUNTIFS(BankQuarter!$B$5:$B$750,$B7,BankQuarter!$D$5:$D$750,WF_START_PERIOD)=0,"",INDEX(BankQuarter!$N$5:$N$750,MATCH($B7&amp;"|"&amp;WF_START_PERIOD,BankQuarter!$AC$5:$AC$750,0))))</f>
        <v>0.247766013645732</v>
      </c>
      <c r="U7" s="15" t="str">
        <f aca="false">IF(B7="","","End proxy "&amp;TEXT(J7,"0.0000")&amp;"%; "&amp;IF(K7="","no valid start comparison","change "&amp;TEXT(L7,"0.0000")&amp;" pp")&amp;". Screening signal only; verify loan-level causes.")</f>
        <v>End proxy 1.6716%; change 0.1565 pp. Screening signal only; verify loan-level causes.</v>
      </c>
      <c r="V7" s="15" t="str">
        <f aca="false">IF(B7="","","Obtain past-due/nonaccrual loan tape, aging, payment history, accrual-status support, classifications/watch list and grade migration"&amp;IF(M7&gt;=75,"; CRE/RE concentration report, largest exposures, appraisals and stress results","")&amp;IF(O7&lt;0.5,"; earnings bridge, charge-offs, provisions and ACL support","")&amp;IF(P7=0,";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CRE/RE concentration report, largest exposures, appraisals and stress results; earnings bridge, charge-offs, provisions and ACL support; capital schedules and risk-weight support</v>
      </c>
    </row>
    <row r="8" customFormat="false" ht="67.5" hidden="false" customHeight="true" outlineLevel="0" collapsed="false">
      <c r="A8" s="4" t="n">
        <v>4</v>
      </c>
      <c r="B8" s="4" t="n">
        <f aca="false">IF(AND(WF_MODEL_VALID,A8&lt;=WF_REVIEW_SLOTS),SUMIFS(BankQuarter!$B$5:$B$750,BankQuarter!$D$5:$D$750,WF_END_PERIOD,BankQuarter!$R$5:$R$750,TRUE(),BankQuarter!$AA$5:$AA$750,1),"")</f>
        <v>59086</v>
      </c>
      <c r="C8" s="4" t="str">
        <f aca="false">IF($B8="","",INDEX(BankQuarter!$E$5:$E$750,MATCH($B8&amp;"|"&amp;WF_END_PERIOD,BankQuarter!$AC$5:$AC$750,0)))</f>
        <v>NH</v>
      </c>
      <c r="D8" s="4" t="str">
        <f aca="false">IF($B8="","",INDEX(BankQuarter!$C$5:$C$750,MATCH($B8&amp;"|"&amp;WF_END_PERIOD,BankQuarter!$AC$5:$AC$750,0)))</f>
        <v>PRIMARY BANK</v>
      </c>
      <c r="E8" s="4" t="n">
        <f aca="false">IF($B8="","",INDEX(BankQuarter!$A$5:$A$750,MATCH($B8&amp;"|"&amp;WF_END_PERIOD,BankQuarter!$AC$5:$AC$750,0)))</f>
        <v>741</v>
      </c>
      <c r="F8" s="4" t="n">
        <f aca="false">IF($B8="","",IF(COUNTIFS(BankQuarter!$B$5:$B$750,$B8,BankQuarter!$D$5:$D$750,WF_START_PERIOD)=0,"",INDEX(BankQuarter!$A$5:$A$750,MATCH($B8&amp;"|"&amp;WF_START_PERIOD,BankQuarter!$AC$5:$AC$750,0))))</f>
        <v>529</v>
      </c>
      <c r="G8" s="4" t="n">
        <f aca="false">IF($B8="","",INDEX(BankQuarter!$F$5:$F$750,MATCH($B8&amp;"|"&amp;WF_END_PERIOD,BankQuarter!$AC$5:$AC$750,0)))</f>
        <v>724753</v>
      </c>
      <c r="H8" s="4" t="n">
        <f aca="false">IF($B8="","",INDEX(BankQuarter!$G$5:$G$750,MATCH($B8&amp;"|"&amp;WF_END_PERIOD,BankQuarter!$AC$5:$AC$750,0)))</f>
        <v>7830</v>
      </c>
      <c r="I8" s="4" t="n">
        <f aca="false">IF($B8="","",INDEX(BankQuarter!$H$5:$H$750,MATCH($B8&amp;"|"&amp;WF_END_PERIOD,BankQuarter!$AC$5:$AC$750,0)))</f>
        <v>5998</v>
      </c>
      <c r="J8" s="12" t="n">
        <f aca="false">IF($B8="","",INDEX(BankQuarter!$S$5:$S$750,MATCH($B8&amp;"|"&amp;WF_END_PERIOD,BankQuarter!$AC$5:$AC$750,0)))</f>
        <v>1.90796036718717</v>
      </c>
      <c r="K8" s="12" t="n">
        <f aca="false">IF($B8="","",IF(COUNTIFS(BankQuarter!$B$5:$B$750,$B8,BankQuarter!$D$5:$D$750,WF_START_PERIOD,BankQuarter!$R$5:$R$750,TRUE())=0,"",INDEX(BankQuarter!$S$5:$S$750,MATCH($B8&amp;"|"&amp;WF_START_PERIOD,BankQuarter!$AC$5:$AC$750,0))))</f>
        <v>0.572394860474331</v>
      </c>
      <c r="L8" s="12" t="n">
        <f aca="false">IF(OR(J8="",K8=""),"",J8-K8)</f>
        <v>1.33556550671284</v>
      </c>
      <c r="M8" s="12" t="n">
        <f aca="false">IF($B8="","",INDEX(BankQuarter!$P$5:$P$750,MATCH($B8&amp;"|"&amp;WF_END_PERIOD,BankQuarter!$AC$5:$AC$750,0)))</f>
        <v>80.0089807350312</v>
      </c>
      <c r="N8" s="12" t="n">
        <f aca="false">IF($B8="","",INDEX(BankQuarter!$Q$5:$Q$750,MATCH($B8&amp;"|"&amp;WF_END_PERIOD,BankQuarter!$AC$5:$AC$750,0)))</f>
        <v>14.6001465326808</v>
      </c>
      <c r="O8" s="12" t="n">
        <f aca="false">IF($B8="","",INDEX(BankQuarter!$N$5:$N$750,MATCH($B8&amp;"|"&amp;WF_END_PERIOD,BankQuarter!$AC$5:$AC$750,0)))</f>
        <v>1.55691795515022</v>
      </c>
      <c r="P8" s="12" t="n">
        <f aca="false">IF($B8="","",INDEX(BankQuarter!$O$5:$O$750,MATCH($B8&amp;"|"&amp;WF_END_PERIOD,BankQuarter!$AC$5:$AC$750,0)))</f>
        <v>16.7805900658004</v>
      </c>
      <c r="Q8" s="4" t="n">
        <f aca="false">IF($B8="","",IF(COUNTIFS(BankQuarter!$B$5:$B$750,$B8,BankQuarter!$D$5:$D$750,WF_START_PERIOD)=0,"",INDEX(BankQuarter!$F$5:$F$750,MATCH($B8&amp;"|"&amp;WF_START_PERIOD,BankQuarter!$AC$5:$AC$750,0))))</f>
        <v>706680</v>
      </c>
      <c r="R8" s="4" t="n">
        <f aca="false">IF($B8="","",IF(COUNTIFS(BankQuarter!$B$5:$B$750,$B8,BankQuarter!$D$5:$D$750,WF_START_PERIOD)=0,"",INDEX(BankQuarter!$G$5:$G$750,MATCH($B8&amp;"|"&amp;WF_START_PERIOD,BankQuarter!$AC$5:$AC$750,0))))</f>
        <v>0</v>
      </c>
      <c r="S8" s="4" t="n">
        <f aca="false">IF($B8="","",IF(COUNTIFS(BankQuarter!$B$5:$B$750,$B8,BankQuarter!$D$5:$D$750,WF_START_PERIOD)=0,"",INDEX(BankQuarter!$H$5:$H$750,MATCH($B8&amp;"|"&amp;WF_START_PERIOD,BankQuarter!$AC$5:$AC$750,0))))</f>
        <v>4045</v>
      </c>
      <c r="T8" s="12" t="n">
        <f aca="false">IF($B8="","",IF(COUNTIFS(BankQuarter!$B$5:$B$750,$B8,BankQuarter!$D$5:$D$750,WF_START_PERIOD)=0,"",INDEX(BankQuarter!$N$5:$N$750,MATCH($B8&amp;"|"&amp;WF_START_PERIOD,BankQuarter!$AC$5:$AC$750,0))))</f>
        <v>1.41567060766831</v>
      </c>
      <c r="U8" s="15" t="str">
        <f aca="false">IF(B8="","","End proxy "&amp;TEXT(J8,"0.0000")&amp;"%; "&amp;IF(K8="","no valid start comparison","change "&amp;TEXT(L8,"0.0000")&amp;" pp")&amp;". Screening signal only; verify loan-level causes.")</f>
        <v>End proxy 1.9080%; change 1.3356 pp. Screening signal only; verify loan-level causes.</v>
      </c>
      <c r="V8" s="15" t="str">
        <f aca="false">IF(B8="","","Obtain past-due/nonaccrual loan tape, aging, payment history, accrual-status support, classifications/watch list and grade migration"&amp;IF(M8&gt;=75,"; CRE/RE concentration report, largest exposures, appraisals and stress results","")&amp;IF(O8&lt;0.5,"; earnings bridge, charge-offs, provisions and ACL support","")&amp;IF(P8=0,";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CRE/RE concentration report, largest exposures, appraisals and stress results; capital schedules and risk-weight support</v>
      </c>
    </row>
    <row r="9" customFormat="false" ht="67.5" hidden="false" customHeight="true" outlineLevel="0" collapsed="false">
      <c r="A9" s="4" t="n">
        <v>5</v>
      </c>
      <c r="B9" s="4" t="n">
        <f aca="false">IF(AND(WF_MODEL_VALID,A9&lt;=WF_REVIEW_SLOTS),SUMIFS(BankQuarter!$B$5:$B$750,BankQuarter!$D$5:$D$750,WF_END_PERIOD,BankQuarter!$R$5:$R$750,TRUE(),BankQuarter!$AA$5:$AA$750,2),"")</f>
        <v>30878</v>
      </c>
      <c r="C9" s="4" t="str">
        <f aca="false">IF($B9="","",INDEX(BankQuarter!$E$5:$E$750,MATCH($B9&amp;"|"&amp;WF_END_PERIOD,BankQuarter!$AC$5:$AC$750,0)))</f>
        <v>ME</v>
      </c>
      <c r="D9" s="4" t="str">
        <f aca="false">IF($B9="","",INDEX(BankQuarter!$C$5:$C$750,MATCH($B9&amp;"|"&amp;WF_END_PERIOD,BankQuarter!$AC$5:$AC$750,0)))</f>
        <v>BAR HARBOR SAVINGS AND LOAN ASSOCIATION</v>
      </c>
      <c r="E9" s="4" t="n">
        <f aca="false">IF($B9="","",INDEX(BankQuarter!$A$5:$A$750,MATCH($B9&amp;"|"&amp;WF_END_PERIOD,BankQuarter!$AC$5:$AC$750,0)))</f>
        <v>736</v>
      </c>
      <c r="F9" s="4" t="n">
        <f aca="false">IF($B9="","",IF(COUNTIFS(BankQuarter!$B$5:$B$750,$B9,BankQuarter!$D$5:$D$750,WF_START_PERIOD)=0,"",INDEX(BankQuarter!$A$5:$A$750,MATCH($B9&amp;"|"&amp;WF_START_PERIOD,BankQuarter!$AC$5:$AC$750,0))))</f>
        <v>524</v>
      </c>
      <c r="G9" s="4" t="n">
        <f aca="false">IF($B9="","",INDEX(BankQuarter!$F$5:$F$750,MATCH($B9&amp;"|"&amp;WF_END_PERIOD,BankQuarter!$AC$5:$AC$750,0)))</f>
        <v>98909</v>
      </c>
      <c r="H9" s="4" t="n">
        <f aca="false">IF($B9="","",INDEX(BankQuarter!$G$5:$G$750,MATCH($B9&amp;"|"&amp;WF_END_PERIOD,BankQuarter!$AC$5:$AC$750,0)))</f>
        <v>0</v>
      </c>
      <c r="I9" s="4" t="n">
        <f aca="false">IF($B9="","",INDEX(BankQuarter!$H$5:$H$750,MATCH($B9&amp;"|"&amp;WF_END_PERIOD,BankQuarter!$AC$5:$AC$750,0)))</f>
        <v>1353</v>
      </c>
      <c r="J9" s="12" t="n">
        <f aca="false">IF($B9="","",INDEX(BankQuarter!$S$5:$S$750,MATCH($B9&amp;"|"&amp;WF_END_PERIOD,BankQuarter!$AC$5:$AC$750,0)))</f>
        <v>1.36792405140078</v>
      </c>
      <c r="K9" s="12" t="n">
        <f aca="false">IF($B9="","",IF(COUNTIFS(BankQuarter!$B$5:$B$750,$B9,BankQuarter!$D$5:$D$750,WF_START_PERIOD,BankQuarter!$R$5:$R$750,TRUE())=0,"",INDEX(BankQuarter!$S$5:$S$750,MATCH($B9&amp;"|"&amp;WF_START_PERIOD,BankQuarter!$AC$5:$AC$750,0))))</f>
        <v>1.77710843373494</v>
      </c>
      <c r="L9" s="12" t="n">
        <f aca="false">IF(OR(J9="",K9=""),"",J9-K9)</f>
        <v>-0.409184382334157</v>
      </c>
      <c r="M9" s="12" t="n">
        <f aca="false">IF($B9="","",INDEX(BankQuarter!$P$5:$P$750,MATCH($B9&amp;"|"&amp;WF_END_PERIOD,BankQuarter!$AC$5:$AC$750,0)))</f>
        <v>99.7954344692919</v>
      </c>
      <c r="N9" s="12" t="n">
        <f aca="false">IF($B9="","",INDEX(BankQuarter!$Q$5:$Q$750,MATCH($B9&amp;"|"&amp;WF_END_PERIOD,BankQuarter!$AC$5:$AC$750,0)))</f>
        <v>12.0221617850752</v>
      </c>
      <c r="O9" s="12" t="n">
        <f aca="false">IF($B9="","",INDEX(BankQuarter!$N$5:$N$750,MATCH($B9&amp;"|"&amp;WF_END_PERIOD,BankQuarter!$AC$5:$AC$750,0)))</f>
        <v>0.00201541794729682</v>
      </c>
      <c r="P9" s="12" t="n">
        <f aca="false">IF($B9="","",INDEX(BankQuarter!$O$5:$O$750,MATCH($B9&amp;"|"&amp;WF_END_PERIOD,BankQuarter!$AC$5:$AC$750,0)))</f>
        <v>0</v>
      </c>
      <c r="Q9" s="4" t="n">
        <f aca="false">IF($B9="","",IF(COUNTIFS(BankQuarter!$B$5:$B$750,$B9,BankQuarter!$D$5:$D$750,WF_START_PERIOD)=0,"",INDEX(BankQuarter!$F$5:$F$750,MATCH($B9&amp;"|"&amp;WF_START_PERIOD,BankQuarter!$AC$5:$AC$750,0))))</f>
        <v>102920</v>
      </c>
      <c r="R9" s="4" t="n">
        <f aca="false">IF($B9="","",IF(COUNTIFS(BankQuarter!$B$5:$B$750,$B9,BankQuarter!$D$5:$D$750,WF_START_PERIOD)=0,"",INDEX(BankQuarter!$G$5:$G$750,MATCH($B9&amp;"|"&amp;WF_START_PERIOD,BankQuarter!$AC$5:$AC$750,0))))</f>
        <v>0</v>
      </c>
      <c r="S9" s="4" t="n">
        <f aca="false">IF($B9="","",IF(COUNTIFS(BankQuarter!$B$5:$B$750,$B9,BankQuarter!$D$5:$D$750,WF_START_PERIOD)=0,"",INDEX(BankQuarter!$H$5:$H$750,MATCH($B9&amp;"|"&amp;WF_START_PERIOD,BankQuarter!$AC$5:$AC$750,0))))</f>
        <v>1829</v>
      </c>
      <c r="T9" s="12" t="n">
        <f aca="false">IF($B9="","",IF(COUNTIFS(BankQuarter!$B$5:$B$750,$B9,BankQuarter!$D$5:$D$750,WF_START_PERIOD)=0,"",INDEX(BankQuarter!$N$5:$N$750,MATCH($B9&amp;"|"&amp;WF_START_PERIOD,BankQuarter!$AC$5:$AC$750,0))))</f>
        <v>-0.227714970329511</v>
      </c>
      <c r="U9" s="15" t="str">
        <f aca="false">IF(B9="","","End proxy "&amp;TEXT(J9,"0.0000")&amp;"%; "&amp;IF(K9="","no valid start comparison","change "&amp;TEXT(L9,"0.0000")&amp;" pp")&amp;". Screening signal only; verify loan-level causes.")</f>
        <v>End proxy 1.3679%; change -0.4092 pp. Screening signal only; verify loan-level causes.</v>
      </c>
      <c r="V9" s="15" t="str">
        <f aca="false">IF(B9="","","Obtain past-due/nonaccrual loan tape, aging, payment history, accrual-status support, classifications/watch list and grade migration"&amp;IF(M9&gt;=75,"; CRE/RE concentration report, largest exposures, appraisals and stress results","")&amp;IF(O9&lt;0.5,"; earnings bridge, charge-offs, provisions and ACL support","")&amp;IF(P9=0,";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CRE/RE concentration report, largest exposures, appraisals and stress results; earnings bridge, charge-offs, provisions and ACL support; RBCRWAJ is reported as 0—verify applicability/reporting basis and obtain capital schedules</v>
      </c>
    </row>
    <row r="10" customFormat="false" ht="67.5" hidden="false" customHeight="true" outlineLevel="0" collapsed="false">
      <c r="A10" s="4" t="n">
        <v>6</v>
      </c>
      <c r="B10" s="4" t="n">
        <f aca="false">IF(AND(WF_MODEL_VALID,A10&lt;=WF_REVIEW_SLOTS),SUMIFS(BankQuarter!$B$5:$B$750,BankQuarter!$D$5:$D$750,WF_END_PERIOD,BankQuarter!$R$5:$R$750,TRUE(),BankQuarter!$AA$5:$AA$750,3),"")</f>
        <v>19836</v>
      </c>
      <c r="C10" s="4" t="str">
        <f aca="false">IF($B10="","",INDEX(BankQuarter!$E$5:$E$750,MATCH($B10&amp;"|"&amp;WF_END_PERIOD,BankQuarter!$AC$5:$AC$750,0)))</f>
        <v>ME</v>
      </c>
      <c r="D10" s="4" t="str">
        <f aca="false">IF($B10="","",INDEX(BankQuarter!$C$5:$C$750,MATCH($B10&amp;"|"&amp;WF_END_PERIOD,BankQuarter!$AC$5:$AC$750,0)))</f>
        <v>FRANKLIN SAVINGS BANK</v>
      </c>
      <c r="E10" s="4" t="n">
        <f aca="false">IF($B10="","",INDEX(BankQuarter!$A$5:$A$750,MATCH($B10&amp;"|"&amp;WF_END_PERIOD,BankQuarter!$AC$5:$AC$750,0)))</f>
        <v>725</v>
      </c>
      <c r="F10" s="4" t="n">
        <f aca="false">IF($B10="","",IF(COUNTIFS(BankQuarter!$B$5:$B$750,$B10,BankQuarter!$D$5:$D$750,WF_START_PERIOD)=0,"",INDEX(BankQuarter!$A$5:$A$750,MATCH($B10&amp;"|"&amp;WF_START_PERIOD,BankQuarter!$AC$5:$AC$750,0))))</f>
        <v>513</v>
      </c>
      <c r="G10" s="4" t="n">
        <f aca="false">IF($B10="","",INDEX(BankQuarter!$F$5:$F$750,MATCH($B10&amp;"|"&amp;WF_END_PERIOD,BankQuarter!$AC$5:$AC$750,0)))</f>
        <v>755186</v>
      </c>
      <c r="H10" s="4" t="n">
        <f aca="false">IF($B10="","",INDEX(BankQuarter!$G$5:$G$750,MATCH($B10&amp;"|"&amp;WF_END_PERIOD,BankQuarter!$AC$5:$AC$750,0)))</f>
        <v>141</v>
      </c>
      <c r="I10" s="4" t="n">
        <f aca="false">IF($B10="","",INDEX(BankQuarter!$H$5:$H$750,MATCH($B10&amp;"|"&amp;WF_END_PERIOD,BankQuarter!$AC$5:$AC$750,0)))</f>
        <v>8281</v>
      </c>
      <c r="J10" s="12" t="n">
        <f aca="false">IF($B10="","",INDEX(BankQuarter!$S$5:$S$750,MATCH($B10&amp;"|"&amp;WF_END_PERIOD,BankQuarter!$AC$5:$AC$750,0)))</f>
        <v>1.11522194532208</v>
      </c>
      <c r="K10" s="12" t="n">
        <f aca="false">IF($B10="","",IF(COUNTIFS(BankQuarter!$B$5:$B$750,$B10,BankQuarter!$D$5:$D$750,WF_START_PERIOD,BankQuarter!$R$5:$R$750,TRUE())=0,"",INDEX(BankQuarter!$S$5:$S$750,MATCH($B10&amp;"|"&amp;WF_START_PERIOD,BankQuarter!$AC$5:$AC$750,0))))</f>
        <v>0.814986642753856</v>
      </c>
      <c r="L10" s="12" t="n">
        <f aca="false">IF(OR(J10="",K10=""),"",J10-K10)</f>
        <v>0.300235302568223</v>
      </c>
      <c r="M10" s="12" t="n">
        <f aca="false">IF($B10="","",INDEX(BankQuarter!$P$5:$P$750,MATCH($B10&amp;"|"&amp;WF_END_PERIOD,BankQuarter!$AC$5:$AC$750,0)))</f>
        <v>91.3450236023609</v>
      </c>
      <c r="N10" s="12" t="n">
        <f aca="false">IF($B10="","",INDEX(BankQuarter!$Q$5:$Q$750,MATCH($B10&amp;"|"&amp;WF_END_PERIOD,BankQuarter!$AC$5:$AC$750,0)))</f>
        <v>17.2758764066071</v>
      </c>
      <c r="O10" s="12" t="n">
        <f aca="false">IF($B10="","",INDEX(BankQuarter!$N$5:$N$750,MATCH($B10&amp;"|"&amp;WF_END_PERIOD,BankQuarter!$AC$5:$AC$750,0)))</f>
        <v>0.839541245838753</v>
      </c>
      <c r="P10" s="12" t="n">
        <f aca="false">IF($B10="","",INDEX(BankQuarter!$O$5:$O$750,MATCH($B10&amp;"|"&amp;WF_END_PERIOD,BankQuarter!$AC$5:$AC$750,0)))</f>
        <v>23.0548516374529</v>
      </c>
      <c r="Q10" s="4" t="n">
        <f aca="false">IF($B10="","",IF(COUNTIFS(BankQuarter!$B$5:$B$750,$B10,BankQuarter!$D$5:$D$750,WF_START_PERIOD)=0,"",INDEX(BankQuarter!$F$5:$F$750,MATCH($B10&amp;"|"&amp;WF_START_PERIOD,BankQuarter!$AC$5:$AC$750,0))))</f>
        <v>693631</v>
      </c>
      <c r="R10" s="4" t="n">
        <f aca="false">IF($B10="","",IF(COUNTIFS(BankQuarter!$B$5:$B$750,$B10,BankQuarter!$D$5:$D$750,WF_START_PERIOD)=0,"",INDEX(BankQuarter!$G$5:$G$750,MATCH($B10&amp;"|"&amp;WF_START_PERIOD,BankQuarter!$AC$5:$AC$750,0))))</f>
        <v>539</v>
      </c>
      <c r="S10" s="4" t="n">
        <f aca="false">IF($B10="","",IF(COUNTIFS(BankQuarter!$B$5:$B$750,$B10,BankQuarter!$D$5:$D$750,WF_START_PERIOD)=0,"",INDEX(BankQuarter!$H$5:$H$750,MATCH($B10&amp;"|"&amp;WF_START_PERIOD,BankQuarter!$AC$5:$AC$750,0))))</f>
        <v>5114</v>
      </c>
      <c r="T10" s="12" t="n">
        <f aca="false">IF($B10="","",IF(COUNTIFS(BankQuarter!$B$5:$B$750,$B10,BankQuarter!$D$5:$D$750,WF_START_PERIOD)=0,"",INDEX(BankQuarter!$N$5:$N$750,MATCH($B10&amp;"|"&amp;WF_START_PERIOD,BankQuarter!$AC$5:$AC$750,0))))</f>
        <v>0.6592636990771</v>
      </c>
      <c r="U10" s="15" t="str">
        <f aca="false">IF(B10="","","End proxy "&amp;TEXT(J10,"0.0000")&amp;"%; "&amp;IF(K10="","no valid start comparison","change "&amp;TEXT(L10,"0.0000")&amp;" pp")&amp;". Screening signal only; verify loan-level causes.")</f>
        <v>End proxy 1.1152%; change 0.3002 pp. Screening signal only; verify loan-level causes.</v>
      </c>
      <c r="V10" s="15" t="str">
        <f aca="false">IF(B10="","","Obtain past-due/nonaccrual loan tape, aging, payment history, accrual-status support, classifications/watch list and grade migration"&amp;IF(M10&gt;=75,"; CRE/RE concentration report, largest exposures, appraisals and stress results","")&amp;IF(O10&lt;0.5,"; earnings bridge, charge-offs, provisions and ACL support","")&amp;IF(P10=0,";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CRE/RE concentration report, largest exposures, appraisals and stress results; capital schedules and risk-weight support</v>
      </c>
    </row>
    <row r="11" customFormat="false" ht="67.5" hidden="false" customHeight="true" outlineLevel="0" collapsed="false">
      <c r="A11" s="4" t="n">
        <v>7</v>
      </c>
      <c r="B11" s="4" t="n">
        <f aca="false">IF(AND(WF_MODEL_VALID,A11&lt;=WF_REVIEW_SLOTS),SUMIFS(BankQuarter!$B$5:$B$750,BankQuarter!$D$5:$D$750,WF_END_PERIOD,BankQuarter!$R$5:$R$750,TRUE(),BankQuarter!$AA$5:$AA$750,4),"")</f>
        <v>14158</v>
      </c>
      <c r="C11" s="4" t="str">
        <f aca="false">IF($B11="","",INDEX(BankQuarter!$E$5:$E$750,MATCH($B11&amp;"|"&amp;WF_END_PERIOD,BankQuarter!$AC$5:$AC$750,0)))</f>
        <v>VT</v>
      </c>
      <c r="D11" s="4" t="str">
        <f aca="false">IF($B11="","",INDEX(BankQuarter!$C$5:$C$750,MATCH($B11&amp;"|"&amp;WF_END_PERIOD,BankQuarter!$AC$5:$AC$750,0)))</f>
        <v>UNION BANK</v>
      </c>
      <c r="E11" s="4" t="n">
        <f aca="false">IF($B11="","",INDEX(BankQuarter!$A$5:$A$750,MATCH($B11&amp;"|"&amp;WF_END_PERIOD,BankQuarter!$AC$5:$AC$750,0)))</f>
        <v>702</v>
      </c>
      <c r="F11" s="4" t="n">
        <f aca="false">IF($B11="","",IF(COUNTIFS(BankQuarter!$B$5:$B$750,$B11,BankQuarter!$D$5:$D$750,WF_START_PERIOD)=0,"",INDEX(BankQuarter!$A$5:$A$750,MATCH($B11&amp;"|"&amp;WF_START_PERIOD,BankQuarter!$AC$5:$AC$750,0))))</f>
        <v>488</v>
      </c>
      <c r="G11" s="4" t="n">
        <f aca="false">IF($B11="","",INDEX(BankQuarter!$F$5:$F$750,MATCH($B11&amp;"|"&amp;WF_END_PERIOD,BankQuarter!$AC$5:$AC$750,0)))</f>
        <v>1479452</v>
      </c>
      <c r="H11" s="4" t="n">
        <f aca="false">IF($B11="","",INDEX(BankQuarter!$G$5:$G$750,MATCH($B11&amp;"|"&amp;WF_END_PERIOD,BankQuarter!$AC$5:$AC$750,0)))</f>
        <v>72</v>
      </c>
      <c r="I11" s="4" t="n">
        <f aca="false">IF($B11="","",INDEX(BankQuarter!$H$5:$H$750,MATCH($B11&amp;"|"&amp;WF_END_PERIOD,BankQuarter!$AC$5:$AC$750,0)))</f>
        <v>15189</v>
      </c>
      <c r="J11" s="12" t="n">
        <f aca="false">IF($B11="","",INDEX(BankQuarter!$S$5:$S$750,MATCH($B11&amp;"|"&amp;WF_END_PERIOD,BankQuarter!$AC$5:$AC$750,0)))</f>
        <v>1.03153059376039</v>
      </c>
      <c r="K11" s="12" t="n">
        <f aca="false">IF($B11="","",IF(COUNTIFS(BankQuarter!$B$5:$B$750,$B11,BankQuarter!$D$5:$D$750,WF_START_PERIOD,BankQuarter!$R$5:$R$750,TRUE())=0,"",INDEX(BankQuarter!$S$5:$S$750,MATCH($B11&amp;"|"&amp;WF_START_PERIOD,BankQuarter!$AC$5:$AC$750,0))))</f>
        <v>0.137927975556416</v>
      </c>
      <c r="L11" s="12" t="n">
        <f aca="false">IF(OR(J11="",K11=""),"",J11-K11)</f>
        <v>0.893602618203977</v>
      </c>
      <c r="M11" s="12" t="n">
        <f aca="false">IF($B11="","",INDEX(BankQuarter!$P$5:$P$750,MATCH($B11&amp;"|"&amp;WF_END_PERIOD,BankQuarter!$AC$5:$AC$750,0)))</f>
        <v>92.5851546887821</v>
      </c>
      <c r="N11" s="12" t="n">
        <f aca="false">IF($B11="","",INDEX(BankQuarter!$Q$5:$Q$750,MATCH($B11&amp;"|"&amp;WF_END_PERIOD,BankQuarter!$AC$5:$AC$750,0)))</f>
        <v>5.84817892030292</v>
      </c>
      <c r="O11" s="12" t="n">
        <f aca="false">IF($B11="","",INDEX(BankQuarter!$N$5:$N$750,MATCH($B11&amp;"|"&amp;WF_END_PERIOD,BankQuarter!$AC$5:$AC$750,0)))</f>
        <v>0.704869265488618</v>
      </c>
      <c r="P11" s="12" t="n">
        <f aca="false">IF($B11="","",INDEX(BankQuarter!$O$5:$O$750,MATCH($B11&amp;"|"&amp;WF_END_PERIOD,BankQuarter!$AC$5:$AC$750,0)))</f>
        <v>12.6234332403009</v>
      </c>
      <c r="Q11" s="4" t="n">
        <f aca="false">IF($B11="","",IF(COUNTIFS(BankQuarter!$B$5:$B$750,$B11,BankQuarter!$D$5:$D$750,WF_START_PERIOD)=0,"",INDEX(BankQuarter!$F$5:$F$750,MATCH($B11&amp;"|"&amp;WF_START_PERIOD,BankQuarter!$AC$5:$AC$750,0))))</f>
        <v>1397831</v>
      </c>
      <c r="R11" s="4" t="n">
        <f aca="false">IF($B11="","",IF(COUNTIFS(BankQuarter!$B$5:$B$750,$B11,BankQuarter!$D$5:$D$750,WF_START_PERIOD)=0,"",INDEX(BankQuarter!$G$5:$G$750,MATCH($B11&amp;"|"&amp;WF_START_PERIOD,BankQuarter!$AC$5:$AC$750,0))))</f>
        <v>157</v>
      </c>
      <c r="S11" s="4" t="n">
        <f aca="false">IF($B11="","",IF(COUNTIFS(BankQuarter!$B$5:$B$750,$B11,BankQuarter!$D$5:$D$750,WF_START_PERIOD)=0,"",INDEX(BankQuarter!$H$5:$H$750,MATCH($B11&amp;"|"&amp;WF_START_PERIOD,BankQuarter!$AC$5:$AC$750,0))))</f>
        <v>1771</v>
      </c>
      <c r="T11" s="12" t="n">
        <f aca="false">IF($B11="","",IF(COUNTIFS(BankQuarter!$B$5:$B$750,$B11,BankQuarter!$D$5:$D$750,WF_START_PERIOD)=0,"",INDEX(BankQuarter!$N$5:$N$750,MATCH($B11&amp;"|"&amp;WF_START_PERIOD,BankQuarter!$AC$5:$AC$750,0))))</f>
        <v>0.687930744662969</v>
      </c>
      <c r="U11" s="15" t="str">
        <f aca="false">IF(B11="","","End proxy "&amp;TEXT(J11,"0.0000")&amp;"%; "&amp;IF(K11="","no valid start comparison","change "&amp;TEXT(L11,"0.0000")&amp;" pp")&amp;". Screening signal only; verify loan-level causes.")</f>
        <v>End proxy 1.0315%; change 0.8936 pp. Screening signal only; verify loan-level causes.</v>
      </c>
      <c r="V11" s="15" t="str">
        <f aca="false">IF(B11="","","Obtain past-due/nonaccrual loan tape, aging, payment history, accrual-status support, classifications/watch list and grade migration"&amp;IF(M11&gt;=75,"; CRE/RE concentration report, largest exposures, appraisals and stress results","")&amp;IF(O11&lt;0.5,"; earnings bridge, charge-offs, provisions and ACL support","")&amp;IF(P11=0,";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CRE/RE concentration report, largest exposures, appraisals and stress results; capital schedules and risk-weight support</v>
      </c>
    </row>
    <row r="12" customFormat="false" ht="67.5" hidden="false" customHeight="true" outlineLevel="0" collapsed="false">
      <c r="A12" s="4" t="n">
        <v>8</v>
      </c>
      <c r="B12" s="4" t="n">
        <f aca="false">IF(AND(WF_MODEL_VALID,A12&lt;=WF_REVIEW_SLOTS),SUMIFS(BankQuarter!$B$5:$B$750,BankQuarter!$D$5:$D$750,WF_END_PERIOD,BankQuarter!$R$5:$R$750,TRUE(),BankQuarter!$AA$5:$AA$750,5),"")</f>
        <v>19690</v>
      </c>
      <c r="C12" s="4" t="str">
        <f aca="false">IF($B12="","",INDEX(BankQuarter!$E$5:$E$750,MATCH($B12&amp;"|"&amp;WF_END_PERIOD,BankQuarter!$AC$5:$AC$750,0)))</f>
        <v>ME</v>
      </c>
      <c r="D12" s="4" t="str">
        <f aca="false">IF($B12="","",INDEX(BankQuarter!$C$5:$C$750,MATCH($B12&amp;"|"&amp;WF_END_PERIOD,BankQuarter!$AC$5:$AC$750,0)))</f>
        <v>NORTHEAST BANK</v>
      </c>
      <c r="E12" s="4" t="n">
        <f aca="false">IF($B12="","",INDEX(BankQuarter!$A$5:$A$750,MATCH($B12&amp;"|"&amp;WF_END_PERIOD,BankQuarter!$AC$5:$AC$750,0)))</f>
        <v>724</v>
      </c>
      <c r="F12" s="4" t="n">
        <f aca="false">IF($B12="","",IF(COUNTIFS(BankQuarter!$B$5:$B$750,$B12,BankQuarter!$D$5:$D$750,WF_START_PERIOD)=0,"",INDEX(BankQuarter!$A$5:$A$750,MATCH($B12&amp;"|"&amp;WF_START_PERIOD,BankQuarter!$AC$5:$AC$750,0))))</f>
        <v>512</v>
      </c>
      <c r="G12" s="4" t="n">
        <f aca="false">IF($B12="","",INDEX(BankQuarter!$F$5:$F$750,MATCH($B12&amp;"|"&amp;WF_END_PERIOD,BankQuarter!$AC$5:$AC$750,0)))</f>
        <v>4279069</v>
      </c>
      <c r="H12" s="4" t="n">
        <f aca="false">IF($B12="","",INDEX(BankQuarter!$G$5:$G$750,MATCH($B12&amp;"|"&amp;WF_END_PERIOD,BankQuarter!$AC$5:$AC$750,0)))</f>
        <v>0</v>
      </c>
      <c r="I12" s="4" t="n">
        <f aca="false">IF($B12="","",INDEX(BankQuarter!$H$5:$H$750,MATCH($B12&amp;"|"&amp;WF_END_PERIOD,BankQuarter!$AC$5:$AC$750,0)))</f>
        <v>35011</v>
      </c>
      <c r="J12" s="12" t="n">
        <f aca="false">IF($B12="","",INDEX(BankQuarter!$S$5:$S$750,MATCH($B12&amp;"|"&amp;WF_END_PERIOD,BankQuarter!$AC$5:$AC$750,0)))</f>
        <v>0.818191994567043</v>
      </c>
      <c r="K12" s="12" t="n">
        <f aca="false">IF($B12="","",IF(COUNTIFS(BankQuarter!$B$5:$B$750,$B12,BankQuarter!$D$5:$D$750,WF_START_PERIOD,BankQuarter!$R$5:$R$750,TRUE())=0,"",INDEX(BankQuarter!$S$5:$S$750,MATCH($B12&amp;"|"&amp;WF_START_PERIOD,BankQuarter!$AC$5:$AC$750,0))))</f>
        <v>0.902240372032081</v>
      </c>
      <c r="L12" s="12" t="n">
        <f aca="false">IF(OR(J12="",K12=""),"",J12-K12)</f>
        <v>-0.0840483774650385</v>
      </c>
      <c r="M12" s="12" t="n">
        <f aca="false">IF($B12="","",INDEX(BankQuarter!$P$5:$P$750,MATCH($B12&amp;"|"&amp;WF_END_PERIOD,BankQuarter!$AC$5:$AC$750,0)))</f>
        <v>75.2726338249313</v>
      </c>
      <c r="N12" s="12" t="n">
        <f aca="false">IF($B12="","",INDEX(BankQuarter!$Q$5:$Q$750,MATCH($B12&amp;"|"&amp;WF_END_PERIOD,BankQuarter!$AC$5:$AC$750,0)))</f>
        <v>11.5512509847352</v>
      </c>
      <c r="O12" s="12" t="n">
        <f aca="false">IF($B12="","",INDEX(BankQuarter!$N$5:$N$750,MATCH($B12&amp;"|"&amp;WF_END_PERIOD,BankQuarter!$AC$5:$AC$750,0)))</f>
        <v>2.09184214445272</v>
      </c>
      <c r="P12" s="12" t="n">
        <f aca="false">IF($B12="","",INDEX(BankQuarter!$O$5:$O$750,MATCH($B12&amp;"|"&amp;WF_END_PERIOD,BankQuarter!$AC$5:$AC$750,0)))</f>
        <v>14.6965811023661</v>
      </c>
      <c r="Q12" s="4" t="n">
        <f aca="false">IF($B12="","",IF(COUNTIFS(BankQuarter!$B$5:$B$750,$B12,BankQuarter!$D$5:$D$750,WF_START_PERIOD)=0,"",INDEX(BankQuarter!$F$5:$F$750,MATCH($B12&amp;"|"&amp;WF_START_PERIOD,BankQuarter!$AC$5:$AC$750,0))))</f>
        <v>3132203</v>
      </c>
      <c r="R12" s="4" t="n">
        <f aca="false">IF($B12="","",IF(COUNTIFS(BankQuarter!$B$5:$B$750,$B12,BankQuarter!$D$5:$D$750,WF_START_PERIOD)=0,"",INDEX(BankQuarter!$G$5:$G$750,MATCH($B12&amp;"|"&amp;WF_START_PERIOD,BankQuarter!$AC$5:$AC$750,0))))</f>
        <v>0</v>
      </c>
      <c r="S12" s="4" t="n">
        <f aca="false">IF($B12="","",IF(COUNTIFS(BankQuarter!$B$5:$B$750,$B12,BankQuarter!$D$5:$D$750,WF_START_PERIOD)=0,"",INDEX(BankQuarter!$H$5:$H$750,MATCH($B12&amp;"|"&amp;WF_START_PERIOD,BankQuarter!$AC$5:$AC$750,0))))</f>
        <v>28260</v>
      </c>
      <c r="T12" s="12" t="n">
        <f aca="false">IF($B12="","",IF(COUNTIFS(BankQuarter!$B$5:$B$750,$B12,BankQuarter!$D$5:$D$750,WF_START_PERIOD)=0,"",INDEX(BankQuarter!$N$5:$N$750,MATCH($B12&amp;"|"&amp;WF_START_PERIOD,BankQuarter!$AC$5:$AC$750,0))))</f>
        <v>1.9118906936064</v>
      </c>
      <c r="U12" s="15" t="str">
        <f aca="false">IF(B12="","","End proxy "&amp;TEXT(J12,"0.0000")&amp;"%; "&amp;IF(K12="","no valid start comparison","change "&amp;TEXT(L12,"0.0000")&amp;" pp")&amp;". Screening signal only; verify loan-level causes.")</f>
        <v>End proxy 0.8182%; change -0.0840 pp. Screening signal only; verify loan-level causes.</v>
      </c>
      <c r="V12" s="15" t="str">
        <f aca="false">IF(B12="","","Obtain past-due/nonaccrual loan tape, aging, payment history, accrual-status support, classifications/watch list and grade migration"&amp;IF(M12&gt;=75,"; CRE/RE concentration report, largest exposures, appraisals and stress results","")&amp;IF(O12&lt;0.5,"; earnings bridge, charge-offs, provisions and ACL support","")&amp;IF(P12=0,"; RBCRWAJ is reported as 0—verify applicability/reporting basis and obtain capital schedules","; capital schedules and risk-weight support"))</f>
        <v>Obtain past-due/nonaccrual loan tape, aging, payment history, accrual-status support, classifications/watch list and grade migration; CRE/RE concentration report, largest exposures, appraisals and stress results; capital schedules and risk-weight support</v>
      </c>
    </row>
    <row r="13" customFormat="false" ht="67.5" hidden="false" customHeight="true" outlineLevel="0" collapsed="false">
      <c r="A13" s="4" t="n">
        <v>9</v>
      </c>
      <c r="B13" s="4" t="str">
        <f aca="false">IF(AND(WF_MODEL_VALID,A13&lt;=WF_REVIEW_SLOTS),SUMIFS(BankQuarter!$B$5:$B$750,BankQuarter!$D$5:$D$750,WF_END_PERIOD,BankQuarter!$R$5:$R$750,TRUE(),BankQuarter!$AA$5:$AA$750,6),"")</f>
        <v/>
      </c>
      <c r="C13" s="4" t="str">
        <f aca="false">IF($B13="","",INDEX(BankQuarter!$E$5:$E$750,MATCH($B13&amp;"|"&amp;WF_END_PERIOD,BankQuarter!$AC$5:$AC$750,0)))</f>
        <v/>
      </c>
      <c r="D13" s="4" t="str">
        <f aca="false">IF($B13="","",INDEX(BankQuarter!$C$5:$C$750,MATCH($B13&amp;"|"&amp;WF_END_PERIOD,BankQuarter!$AC$5:$AC$750,0)))</f>
        <v/>
      </c>
      <c r="E13" s="4" t="str">
        <f aca="false">IF($B13="","",INDEX(BankQuarter!$A$5:$A$750,MATCH($B13&amp;"|"&amp;WF_END_PERIOD,BankQuarter!$AC$5:$AC$750,0)))</f>
        <v/>
      </c>
      <c r="F13" s="4" t="str">
        <f aca="false">IF($B13="","",IF(COUNTIFS(BankQuarter!$B$5:$B$750,$B13,BankQuarter!$D$5:$D$750,WF_START_PERIOD)=0,"",INDEX(BankQuarter!$A$5:$A$750,MATCH($B13&amp;"|"&amp;WF_START_PERIOD,BankQuarter!$AC$5:$AC$750,0))))</f>
        <v/>
      </c>
      <c r="G13" s="4" t="str">
        <f aca="false">IF($B13="","",INDEX(BankQuarter!$F$5:$F$750,MATCH($B13&amp;"|"&amp;WF_END_PERIOD,BankQuarter!$AC$5:$AC$750,0)))</f>
        <v/>
      </c>
      <c r="H13" s="4" t="str">
        <f aca="false">IF($B13="","",INDEX(BankQuarter!$G$5:$G$750,MATCH($B13&amp;"|"&amp;WF_END_PERIOD,BankQuarter!$AC$5:$AC$750,0)))</f>
        <v/>
      </c>
      <c r="I13" s="4" t="str">
        <f aca="false">IF($B13="","",INDEX(BankQuarter!$H$5:$H$750,MATCH($B13&amp;"|"&amp;WF_END_PERIOD,BankQuarter!$AC$5:$AC$750,0)))</f>
        <v/>
      </c>
      <c r="J13" s="12" t="str">
        <f aca="false">IF($B13="","",INDEX(BankQuarter!$S$5:$S$750,MATCH($B13&amp;"|"&amp;WF_END_PERIOD,BankQuarter!$AC$5:$AC$750,0)))</f>
        <v/>
      </c>
      <c r="K13" s="12" t="str">
        <f aca="false">IF($B13="","",IF(COUNTIFS(BankQuarter!$B$5:$B$750,$B13,BankQuarter!$D$5:$D$750,WF_START_PERIOD,BankQuarter!$R$5:$R$750,TRUE())=0,"",INDEX(BankQuarter!$S$5:$S$750,MATCH($B13&amp;"|"&amp;WF_START_PERIOD,BankQuarter!$AC$5:$AC$750,0))))</f>
        <v/>
      </c>
      <c r="L13" s="12" t="str">
        <f aca="false">IF(OR(J13="",K13=""),"",J13-K13)</f>
        <v/>
      </c>
      <c r="M13" s="12" t="str">
        <f aca="false">IF($B13="","",INDEX(BankQuarter!$P$5:$P$750,MATCH($B13&amp;"|"&amp;WF_END_PERIOD,BankQuarter!$AC$5:$AC$750,0)))</f>
        <v/>
      </c>
      <c r="N13" s="12" t="str">
        <f aca="false">IF($B13="","",INDEX(BankQuarter!$Q$5:$Q$750,MATCH($B13&amp;"|"&amp;WF_END_PERIOD,BankQuarter!$AC$5:$AC$750,0)))</f>
        <v/>
      </c>
      <c r="O13" s="12" t="str">
        <f aca="false">IF($B13="","",INDEX(BankQuarter!$N$5:$N$750,MATCH($B13&amp;"|"&amp;WF_END_PERIOD,BankQuarter!$AC$5:$AC$750,0)))</f>
        <v/>
      </c>
      <c r="P13" s="12" t="str">
        <f aca="false">IF($B13="","",INDEX(BankQuarter!$O$5:$O$750,MATCH($B13&amp;"|"&amp;WF_END_PERIOD,BankQuarter!$AC$5:$AC$750,0)))</f>
        <v/>
      </c>
      <c r="Q13" s="4" t="str">
        <f aca="false">IF($B13="","",IF(COUNTIFS(BankQuarter!$B$5:$B$750,$B13,BankQuarter!$D$5:$D$750,WF_START_PERIOD)=0,"",INDEX(BankQuarter!$F$5:$F$750,MATCH($B13&amp;"|"&amp;WF_START_PERIOD,BankQuarter!$AC$5:$AC$750,0))))</f>
        <v/>
      </c>
      <c r="R13" s="4" t="str">
        <f aca="false">IF($B13="","",IF(COUNTIFS(BankQuarter!$B$5:$B$750,$B13,BankQuarter!$D$5:$D$750,WF_START_PERIOD)=0,"",INDEX(BankQuarter!$G$5:$G$750,MATCH($B13&amp;"|"&amp;WF_START_PERIOD,BankQuarter!$AC$5:$AC$750,0))))</f>
        <v/>
      </c>
      <c r="S13" s="4" t="str">
        <f aca="false">IF($B13="","",IF(COUNTIFS(BankQuarter!$B$5:$B$750,$B13,BankQuarter!$D$5:$D$750,WF_START_PERIOD)=0,"",INDEX(BankQuarter!$H$5:$H$750,MATCH($B13&amp;"|"&amp;WF_START_PERIOD,BankQuarter!$AC$5:$AC$750,0))))</f>
        <v/>
      </c>
      <c r="T13" s="12" t="str">
        <f aca="false">IF($B13="","",IF(COUNTIFS(BankQuarter!$B$5:$B$750,$B13,BankQuarter!$D$5:$D$750,WF_START_PERIOD)=0,"",INDEX(BankQuarter!$N$5:$N$750,MATCH($B13&amp;"|"&amp;WF_START_PERIOD,BankQuarter!$AC$5:$AC$750,0))))</f>
        <v/>
      </c>
      <c r="U13" s="15" t="str">
        <f aca="false">IF(B13="","","End proxy "&amp;TEXT(J13,"0.0000")&amp;"%; "&amp;IF(K13="","no valid start comparison","change "&amp;TEXT(L13,"0.0000")&amp;" pp")&amp;". Screening signal only; verify loan-level causes.")</f>
        <v/>
      </c>
      <c r="V13" s="15" t="str">
        <f aca="false">IF(B13="","","Obtain past-due/nonaccrual loan tape, aging, payment history, accrual-status support, classifications/watch list and grade migration"&amp;IF(M13&gt;=75,"; CRE/RE concentration report, largest exposures, appraisals and stress results","")&amp;IF(O13&lt;0.5,"; earnings bridge, charge-offs, provisions and ACL support","")&amp;IF(P13=0,"; RBCRWAJ is reported as 0—verify applicability/reporting basis and obtain capital schedules","; capital schedules and risk-weight support"))</f>
        <v/>
      </c>
    </row>
    <row r="14" customFormat="false" ht="67.5" hidden="false" customHeight="true" outlineLevel="0" collapsed="false">
      <c r="A14" s="4" t="n">
        <v>10</v>
      </c>
      <c r="B14" s="4" t="str">
        <f aca="false">IF(AND(WF_MODEL_VALID,A14&lt;=WF_REVIEW_SLOTS),SUMIFS(BankQuarter!$B$5:$B$750,BankQuarter!$D$5:$D$750,WF_END_PERIOD,BankQuarter!$R$5:$R$750,TRUE(),BankQuarter!$AA$5:$AA$750,7),"")</f>
        <v/>
      </c>
      <c r="C14" s="4" t="str">
        <f aca="false">IF($B14="","",INDEX(BankQuarter!$E$5:$E$750,MATCH($B14&amp;"|"&amp;WF_END_PERIOD,BankQuarter!$AC$5:$AC$750,0)))</f>
        <v/>
      </c>
      <c r="D14" s="4" t="str">
        <f aca="false">IF($B14="","",INDEX(BankQuarter!$C$5:$C$750,MATCH($B14&amp;"|"&amp;WF_END_PERIOD,BankQuarter!$AC$5:$AC$750,0)))</f>
        <v/>
      </c>
      <c r="E14" s="4" t="str">
        <f aca="false">IF($B14="","",INDEX(BankQuarter!$A$5:$A$750,MATCH($B14&amp;"|"&amp;WF_END_PERIOD,BankQuarter!$AC$5:$AC$750,0)))</f>
        <v/>
      </c>
      <c r="F14" s="4" t="str">
        <f aca="false">IF($B14="","",IF(COUNTIFS(BankQuarter!$B$5:$B$750,$B14,BankQuarter!$D$5:$D$750,WF_START_PERIOD)=0,"",INDEX(BankQuarter!$A$5:$A$750,MATCH($B14&amp;"|"&amp;WF_START_PERIOD,BankQuarter!$AC$5:$AC$750,0))))</f>
        <v/>
      </c>
      <c r="G14" s="4" t="str">
        <f aca="false">IF($B14="","",INDEX(BankQuarter!$F$5:$F$750,MATCH($B14&amp;"|"&amp;WF_END_PERIOD,BankQuarter!$AC$5:$AC$750,0)))</f>
        <v/>
      </c>
      <c r="H14" s="4" t="str">
        <f aca="false">IF($B14="","",INDEX(BankQuarter!$G$5:$G$750,MATCH($B14&amp;"|"&amp;WF_END_PERIOD,BankQuarter!$AC$5:$AC$750,0)))</f>
        <v/>
      </c>
      <c r="I14" s="4" t="str">
        <f aca="false">IF($B14="","",INDEX(BankQuarter!$H$5:$H$750,MATCH($B14&amp;"|"&amp;WF_END_PERIOD,BankQuarter!$AC$5:$AC$750,0)))</f>
        <v/>
      </c>
      <c r="J14" s="12" t="str">
        <f aca="false">IF($B14="","",INDEX(BankQuarter!$S$5:$S$750,MATCH($B14&amp;"|"&amp;WF_END_PERIOD,BankQuarter!$AC$5:$AC$750,0)))</f>
        <v/>
      </c>
      <c r="K14" s="12" t="str">
        <f aca="false">IF($B14="","",IF(COUNTIFS(BankQuarter!$B$5:$B$750,$B14,BankQuarter!$D$5:$D$750,WF_START_PERIOD,BankQuarter!$R$5:$R$750,TRUE())=0,"",INDEX(BankQuarter!$S$5:$S$750,MATCH($B14&amp;"|"&amp;WF_START_PERIOD,BankQuarter!$AC$5:$AC$750,0))))</f>
        <v/>
      </c>
      <c r="L14" s="12" t="str">
        <f aca="false">IF(OR(J14="",K14=""),"",J14-K14)</f>
        <v/>
      </c>
      <c r="M14" s="12" t="str">
        <f aca="false">IF($B14="","",INDEX(BankQuarter!$P$5:$P$750,MATCH($B14&amp;"|"&amp;WF_END_PERIOD,BankQuarter!$AC$5:$AC$750,0)))</f>
        <v/>
      </c>
      <c r="N14" s="12" t="str">
        <f aca="false">IF($B14="","",INDEX(BankQuarter!$Q$5:$Q$750,MATCH($B14&amp;"|"&amp;WF_END_PERIOD,BankQuarter!$AC$5:$AC$750,0)))</f>
        <v/>
      </c>
      <c r="O14" s="12" t="str">
        <f aca="false">IF($B14="","",INDEX(BankQuarter!$N$5:$N$750,MATCH($B14&amp;"|"&amp;WF_END_PERIOD,BankQuarter!$AC$5:$AC$750,0)))</f>
        <v/>
      </c>
      <c r="P14" s="12" t="str">
        <f aca="false">IF($B14="","",INDEX(BankQuarter!$O$5:$O$750,MATCH($B14&amp;"|"&amp;WF_END_PERIOD,BankQuarter!$AC$5:$AC$750,0)))</f>
        <v/>
      </c>
      <c r="Q14" s="4" t="str">
        <f aca="false">IF($B14="","",IF(COUNTIFS(BankQuarter!$B$5:$B$750,$B14,BankQuarter!$D$5:$D$750,WF_START_PERIOD)=0,"",INDEX(BankQuarter!$F$5:$F$750,MATCH($B14&amp;"|"&amp;WF_START_PERIOD,BankQuarter!$AC$5:$AC$750,0))))</f>
        <v/>
      </c>
      <c r="R14" s="4" t="str">
        <f aca="false">IF($B14="","",IF(COUNTIFS(BankQuarter!$B$5:$B$750,$B14,BankQuarter!$D$5:$D$750,WF_START_PERIOD)=0,"",INDEX(BankQuarter!$G$5:$G$750,MATCH($B14&amp;"|"&amp;WF_START_PERIOD,BankQuarter!$AC$5:$AC$750,0))))</f>
        <v/>
      </c>
      <c r="S14" s="4" t="str">
        <f aca="false">IF($B14="","",IF(COUNTIFS(BankQuarter!$B$5:$B$750,$B14,BankQuarter!$D$5:$D$750,WF_START_PERIOD)=0,"",INDEX(BankQuarter!$H$5:$H$750,MATCH($B14&amp;"|"&amp;WF_START_PERIOD,BankQuarter!$AC$5:$AC$750,0))))</f>
        <v/>
      </c>
      <c r="T14" s="12" t="str">
        <f aca="false">IF($B14="","",IF(COUNTIFS(BankQuarter!$B$5:$B$750,$B14,BankQuarter!$D$5:$D$750,WF_START_PERIOD)=0,"",INDEX(BankQuarter!$N$5:$N$750,MATCH($B14&amp;"|"&amp;WF_START_PERIOD,BankQuarter!$AC$5:$AC$750,0))))</f>
        <v/>
      </c>
      <c r="U14" s="15" t="str">
        <f aca="false">IF(B14="","","End proxy "&amp;TEXT(J14,"0.0000")&amp;"%; "&amp;IF(K14="","no valid start comparison","change "&amp;TEXT(L14,"0.0000")&amp;" pp")&amp;". Screening signal only; verify loan-level causes.")</f>
        <v/>
      </c>
      <c r="V14" s="15" t="str">
        <f aca="false">IF(B14="","","Obtain past-due/nonaccrual loan tape, aging, payment history, accrual-status support, classifications/watch list and grade migration"&amp;IF(M14&gt;=75,"; CRE/RE concentration report, largest exposures, appraisals and stress results","")&amp;IF(O14&lt;0.5,"; earnings bridge, charge-offs, provisions and ACL support","")&amp;IF(P14=0,"; RBCRWAJ is reported as 0—verify applicability/reporting basis and obtain capital schedules","; capital schedules and risk-weight support"))</f>
        <v/>
      </c>
    </row>
    <row r="15" customFormat="false" ht="67.5" hidden="false" customHeight="true" outlineLevel="0" collapsed="false">
      <c r="A15" s="4" t="n">
        <v>11</v>
      </c>
      <c r="B15" s="4" t="str">
        <f aca="false">IF(AND(WF_MODEL_VALID,A15&lt;=WF_REVIEW_SLOTS),SUMIFS(BankQuarter!$B$5:$B$750,BankQuarter!$D$5:$D$750,WF_END_PERIOD,BankQuarter!$R$5:$R$750,TRUE(),BankQuarter!$AA$5:$AA$750,8),"")</f>
        <v/>
      </c>
      <c r="C15" s="4" t="str">
        <f aca="false">IF($B15="","",INDEX(BankQuarter!$E$5:$E$750,MATCH($B15&amp;"|"&amp;WF_END_PERIOD,BankQuarter!$AC$5:$AC$750,0)))</f>
        <v/>
      </c>
      <c r="D15" s="4" t="str">
        <f aca="false">IF($B15="","",INDEX(BankQuarter!$C$5:$C$750,MATCH($B15&amp;"|"&amp;WF_END_PERIOD,BankQuarter!$AC$5:$AC$750,0)))</f>
        <v/>
      </c>
      <c r="E15" s="4" t="str">
        <f aca="false">IF($B15="","",INDEX(BankQuarter!$A$5:$A$750,MATCH($B15&amp;"|"&amp;WF_END_PERIOD,BankQuarter!$AC$5:$AC$750,0)))</f>
        <v/>
      </c>
      <c r="F15" s="4" t="str">
        <f aca="false">IF($B15="","",IF(COUNTIFS(BankQuarter!$B$5:$B$750,$B15,BankQuarter!$D$5:$D$750,WF_START_PERIOD)=0,"",INDEX(BankQuarter!$A$5:$A$750,MATCH($B15&amp;"|"&amp;WF_START_PERIOD,BankQuarter!$AC$5:$AC$750,0))))</f>
        <v/>
      </c>
      <c r="G15" s="4" t="str">
        <f aca="false">IF($B15="","",INDEX(BankQuarter!$F$5:$F$750,MATCH($B15&amp;"|"&amp;WF_END_PERIOD,BankQuarter!$AC$5:$AC$750,0)))</f>
        <v/>
      </c>
      <c r="H15" s="4" t="str">
        <f aca="false">IF($B15="","",INDEX(BankQuarter!$G$5:$G$750,MATCH($B15&amp;"|"&amp;WF_END_PERIOD,BankQuarter!$AC$5:$AC$750,0)))</f>
        <v/>
      </c>
      <c r="I15" s="4" t="str">
        <f aca="false">IF($B15="","",INDEX(BankQuarter!$H$5:$H$750,MATCH($B15&amp;"|"&amp;WF_END_PERIOD,BankQuarter!$AC$5:$AC$750,0)))</f>
        <v/>
      </c>
      <c r="J15" s="12" t="str">
        <f aca="false">IF($B15="","",INDEX(BankQuarter!$S$5:$S$750,MATCH($B15&amp;"|"&amp;WF_END_PERIOD,BankQuarter!$AC$5:$AC$750,0)))</f>
        <v/>
      </c>
      <c r="K15" s="12" t="str">
        <f aca="false">IF($B15="","",IF(COUNTIFS(BankQuarter!$B$5:$B$750,$B15,BankQuarter!$D$5:$D$750,WF_START_PERIOD,BankQuarter!$R$5:$R$750,TRUE())=0,"",INDEX(BankQuarter!$S$5:$S$750,MATCH($B15&amp;"|"&amp;WF_START_PERIOD,BankQuarter!$AC$5:$AC$750,0))))</f>
        <v/>
      </c>
      <c r="L15" s="12" t="str">
        <f aca="false">IF(OR(J15="",K15=""),"",J15-K15)</f>
        <v/>
      </c>
      <c r="M15" s="12" t="str">
        <f aca="false">IF($B15="","",INDEX(BankQuarter!$P$5:$P$750,MATCH($B15&amp;"|"&amp;WF_END_PERIOD,BankQuarter!$AC$5:$AC$750,0)))</f>
        <v/>
      </c>
      <c r="N15" s="12" t="str">
        <f aca="false">IF($B15="","",INDEX(BankQuarter!$Q$5:$Q$750,MATCH($B15&amp;"|"&amp;WF_END_PERIOD,BankQuarter!$AC$5:$AC$750,0)))</f>
        <v/>
      </c>
      <c r="O15" s="12" t="str">
        <f aca="false">IF($B15="","",INDEX(BankQuarter!$N$5:$N$750,MATCH($B15&amp;"|"&amp;WF_END_PERIOD,BankQuarter!$AC$5:$AC$750,0)))</f>
        <v/>
      </c>
      <c r="P15" s="12" t="str">
        <f aca="false">IF($B15="","",INDEX(BankQuarter!$O$5:$O$750,MATCH($B15&amp;"|"&amp;WF_END_PERIOD,BankQuarter!$AC$5:$AC$750,0)))</f>
        <v/>
      </c>
      <c r="Q15" s="4" t="str">
        <f aca="false">IF($B15="","",IF(COUNTIFS(BankQuarter!$B$5:$B$750,$B15,BankQuarter!$D$5:$D$750,WF_START_PERIOD)=0,"",INDEX(BankQuarter!$F$5:$F$750,MATCH($B15&amp;"|"&amp;WF_START_PERIOD,BankQuarter!$AC$5:$AC$750,0))))</f>
        <v/>
      </c>
      <c r="R15" s="4" t="str">
        <f aca="false">IF($B15="","",IF(COUNTIFS(BankQuarter!$B$5:$B$750,$B15,BankQuarter!$D$5:$D$750,WF_START_PERIOD)=0,"",INDEX(BankQuarter!$G$5:$G$750,MATCH($B15&amp;"|"&amp;WF_START_PERIOD,BankQuarter!$AC$5:$AC$750,0))))</f>
        <v/>
      </c>
      <c r="S15" s="4" t="str">
        <f aca="false">IF($B15="","",IF(COUNTIFS(BankQuarter!$B$5:$B$750,$B15,BankQuarter!$D$5:$D$750,WF_START_PERIOD)=0,"",INDEX(BankQuarter!$H$5:$H$750,MATCH($B15&amp;"|"&amp;WF_START_PERIOD,BankQuarter!$AC$5:$AC$750,0))))</f>
        <v/>
      </c>
      <c r="T15" s="12" t="str">
        <f aca="false">IF($B15="","",IF(COUNTIFS(BankQuarter!$B$5:$B$750,$B15,BankQuarter!$D$5:$D$750,WF_START_PERIOD)=0,"",INDEX(BankQuarter!$N$5:$N$750,MATCH($B15&amp;"|"&amp;WF_START_PERIOD,BankQuarter!$AC$5:$AC$750,0))))</f>
        <v/>
      </c>
      <c r="U15" s="15" t="str">
        <f aca="false">IF(B15="","","End proxy "&amp;TEXT(J15,"0.0000")&amp;"%; "&amp;IF(K15="","no valid start comparison","change "&amp;TEXT(L15,"0.0000")&amp;" pp")&amp;". Screening signal only; verify loan-level causes.")</f>
        <v/>
      </c>
      <c r="V15" s="15" t="str">
        <f aca="false">IF(B15="","","Obtain past-due/nonaccrual loan tape, aging, payment history, accrual-status support, classifications/watch list and grade migration"&amp;IF(M15&gt;=75,"; CRE/RE concentration report, largest exposures, appraisals and stress results","")&amp;IF(O15&lt;0.5,"; earnings bridge, charge-offs, provisions and ACL support","")&amp;IF(P15=0,"; RBCRWAJ is reported as 0—verify applicability/reporting basis and obtain capital schedules","; capital schedules and risk-weight support"))</f>
        <v/>
      </c>
    </row>
    <row r="16" customFormat="false" ht="67.5" hidden="false" customHeight="true" outlineLevel="0" collapsed="false">
      <c r="A16" s="4" t="n">
        <v>12</v>
      </c>
      <c r="B16" s="4" t="str">
        <f aca="false">IF(AND(WF_MODEL_VALID,A16&lt;=WF_REVIEW_SLOTS),SUMIFS(BankQuarter!$B$5:$B$750,BankQuarter!$D$5:$D$750,WF_END_PERIOD,BankQuarter!$R$5:$R$750,TRUE(),BankQuarter!$AA$5:$AA$750,9),"")</f>
        <v/>
      </c>
      <c r="C16" s="4" t="str">
        <f aca="false">IF($B16="","",INDEX(BankQuarter!$E$5:$E$750,MATCH($B16&amp;"|"&amp;WF_END_PERIOD,BankQuarter!$AC$5:$AC$750,0)))</f>
        <v/>
      </c>
      <c r="D16" s="4" t="str">
        <f aca="false">IF($B16="","",INDEX(BankQuarter!$C$5:$C$750,MATCH($B16&amp;"|"&amp;WF_END_PERIOD,BankQuarter!$AC$5:$AC$750,0)))</f>
        <v/>
      </c>
      <c r="E16" s="4" t="str">
        <f aca="false">IF($B16="","",INDEX(BankQuarter!$A$5:$A$750,MATCH($B16&amp;"|"&amp;WF_END_PERIOD,BankQuarter!$AC$5:$AC$750,0)))</f>
        <v/>
      </c>
      <c r="F16" s="4" t="str">
        <f aca="false">IF($B16="","",IF(COUNTIFS(BankQuarter!$B$5:$B$750,$B16,BankQuarter!$D$5:$D$750,WF_START_PERIOD)=0,"",INDEX(BankQuarter!$A$5:$A$750,MATCH($B16&amp;"|"&amp;WF_START_PERIOD,BankQuarter!$AC$5:$AC$750,0))))</f>
        <v/>
      </c>
      <c r="G16" s="4" t="str">
        <f aca="false">IF($B16="","",INDEX(BankQuarter!$F$5:$F$750,MATCH($B16&amp;"|"&amp;WF_END_PERIOD,BankQuarter!$AC$5:$AC$750,0)))</f>
        <v/>
      </c>
      <c r="H16" s="4" t="str">
        <f aca="false">IF($B16="","",INDEX(BankQuarter!$G$5:$G$750,MATCH($B16&amp;"|"&amp;WF_END_PERIOD,BankQuarter!$AC$5:$AC$750,0)))</f>
        <v/>
      </c>
      <c r="I16" s="4" t="str">
        <f aca="false">IF($B16="","",INDEX(BankQuarter!$H$5:$H$750,MATCH($B16&amp;"|"&amp;WF_END_PERIOD,BankQuarter!$AC$5:$AC$750,0)))</f>
        <v/>
      </c>
      <c r="J16" s="12" t="str">
        <f aca="false">IF($B16="","",INDEX(BankQuarter!$S$5:$S$750,MATCH($B16&amp;"|"&amp;WF_END_PERIOD,BankQuarter!$AC$5:$AC$750,0)))</f>
        <v/>
      </c>
      <c r="K16" s="12" t="str">
        <f aca="false">IF($B16="","",IF(COUNTIFS(BankQuarter!$B$5:$B$750,$B16,BankQuarter!$D$5:$D$750,WF_START_PERIOD,BankQuarter!$R$5:$R$750,TRUE())=0,"",INDEX(BankQuarter!$S$5:$S$750,MATCH($B16&amp;"|"&amp;WF_START_PERIOD,BankQuarter!$AC$5:$AC$750,0))))</f>
        <v/>
      </c>
      <c r="L16" s="12" t="str">
        <f aca="false">IF(OR(J16="",K16=""),"",J16-K16)</f>
        <v/>
      </c>
      <c r="M16" s="12" t="str">
        <f aca="false">IF($B16="","",INDEX(BankQuarter!$P$5:$P$750,MATCH($B16&amp;"|"&amp;WF_END_PERIOD,BankQuarter!$AC$5:$AC$750,0)))</f>
        <v/>
      </c>
      <c r="N16" s="12" t="str">
        <f aca="false">IF($B16="","",INDEX(BankQuarter!$Q$5:$Q$750,MATCH($B16&amp;"|"&amp;WF_END_PERIOD,BankQuarter!$AC$5:$AC$750,0)))</f>
        <v/>
      </c>
      <c r="O16" s="12" t="str">
        <f aca="false">IF($B16="","",INDEX(BankQuarter!$N$5:$N$750,MATCH($B16&amp;"|"&amp;WF_END_PERIOD,BankQuarter!$AC$5:$AC$750,0)))</f>
        <v/>
      </c>
      <c r="P16" s="12" t="str">
        <f aca="false">IF($B16="","",INDEX(BankQuarter!$O$5:$O$750,MATCH($B16&amp;"|"&amp;WF_END_PERIOD,BankQuarter!$AC$5:$AC$750,0)))</f>
        <v/>
      </c>
      <c r="Q16" s="4" t="str">
        <f aca="false">IF($B16="","",IF(COUNTIFS(BankQuarter!$B$5:$B$750,$B16,BankQuarter!$D$5:$D$750,WF_START_PERIOD)=0,"",INDEX(BankQuarter!$F$5:$F$750,MATCH($B16&amp;"|"&amp;WF_START_PERIOD,BankQuarter!$AC$5:$AC$750,0))))</f>
        <v/>
      </c>
      <c r="R16" s="4" t="str">
        <f aca="false">IF($B16="","",IF(COUNTIFS(BankQuarter!$B$5:$B$750,$B16,BankQuarter!$D$5:$D$750,WF_START_PERIOD)=0,"",INDEX(BankQuarter!$G$5:$G$750,MATCH($B16&amp;"|"&amp;WF_START_PERIOD,BankQuarter!$AC$5:$AC$750,0))))</f>
        <v/>
      </c>
      <c r="S16" s="4" t="str">
        <f aca="false">IF($B16="","",IF(COUNTIFS(BankQuarter!$B$5:$B$750,$B16,BankQuarter!$D$5:$D$750,WF_START_PERIOD)=0,"",INDEX(BankQuarter!$H$5:$H$750,MATCH($B16&amp;"|"&amp;WF_START_PERIOD,BankQuarter!$AC$5:$AC$750,0))))</f>
        <v/>
      </c>
      <c r="T16" s="12" t="str">
        <f aca="false">IF($B16="","",IF(COUNTIFS(BankQuarter!$B$5:$B$750,$B16,BankQuarter!$D$5:$D$750,WF_START_PERIOD)=0,"",INDEX(BankQuarter!$N$5:$N$750,MATCH($B16&amp;"|"&amp;WF_START_PERIOD,BankQuarter!$AC$5:$AC$750,0))))</f>
        <v/>
      </c>
      <c r="U16" s="15" t="str">
        <f aca="false">IF(B16="","","End proxy "&amp;TEXT(J16,"0.0000")&amp;"%; "&amp;IF(K16="","no valid start comparison","change "&amp;TEXT(L16,"0.0000")&amp;" pp")&amp;". Screening signal only; verify loan-level causes.")</f>
        <v/>
      </c>
      <c r="V16" s="15" t="str">
        <f aca="false">IF(B16="","","Obtain past-due/nonaccrual loan tape, aging, payment history, accrual-status support, classifications/watch list and grade migration"&amp;IF(M16&gt;=75,"; CRE/RE concentration report, largest exposures, appraisals and stress results","")&amp;IF(O16&lt;0.5,"; earnings bridge, charge-offs, provisions and ACL support","")&amp;IF(P16=0,"; RBCRWAJ is reported as 0—verify applicability/reporting basis and obtain capital schedules","; capital schedules and risk-weight support"))</f>
        <v/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customFormat="false" ht="15" hidden="false" customHeight="false" outlineLevel="0" collapsed="false">
      <c r="A19" s="4" t="s">
        <v>8427</v>
      </c>
      <c r="B19" s="4" t="n">
        <f aca="false">IF(WF_MODEL_VALID,COUNT(B5:B16),0)</f>
        <v>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</sheetData>
  <autoFilter ref="A4:V16"/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0" width="48"/>
  </cols>
  <sheetData>
    <row r="1" customFormat="false" ht="27.75" hidden="false" customHeight="true" outlineLevel="0" collapsed="false">
      <c r="A1" s="1" t="s">
        <v>8428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8429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8430</v>
      </c>
      <c r="B4" s="3" t="s">
        <v>8431</v>
      </c>
      <c r="C4" s="3" t="s">
        <v>8432</v>
      </c>
      <c r="D4" s="3" t="s">
        <v>8433</v>
      </c>
      <c r="E4" s="3" t="s">
        <v>8434</v>
      </c>
      <c r="F4" s="3" t="s">
        <v>8435</v>
      </c>
    </row>
    <row r="5" customFormat="false" ht="48" hidden="false" customHeight="true" outlineLevel="0" collapsed="false">
      <c r="A5" s="15" t="s">
        <v>23</v>
      </c>
      <c r="B5" s="15" t="s">
        <v>8436</v>
      </c>
      <c r="C5" s="15" t="s">
        <v>8437</v>
      </c>
      <c r="D5" s="15" t="s">
        <v>8438</v>
      </c>
      <c r="E5" s="15"/>
      <c r="F5" s="15" t="s">
        <v>8439</v>
      </c>
    </row>
    <row r="6" customFormat="false" ht="48" hidden="false" customHeight="true" outlineLevel="0" collapsed="false">
      <c r="A6" s="15" t="s">
        <v>43</v>
      </c>
      <c r="B6" s="15" t="s">
        <v>8440</v>
      </c>
      <c r="C6" s="15" t="s">
        <v>8437</v>
      </c>
      <c r="D6" s="15" t="s">
        <v>8438</v>
      </c>
      <c r="E6" s="15"/>
      <c r="F6" s="15" t="s">
        <v>8441</v>
      </c>
    </row>
    <row r="7" customFormat="false" ht="48" hidden="false" customHeight="true" outlineLevel="0" collapsed="false">
      <c r="A7" s="15" t="s">
        <v>22</v>
      </c>
      <c r="B7" s="15" t="s">
        <v>8442</v>
      </c>
      <c r="C7" s="15" t="s">
        <v>8437</v>
      </c>
      <c r="D7" s="15" t="s">
        <v>8438</v>
      </c>
      <c r="E7" s="15" t="s">
        <v>8443</v>
      </c>
      <c r="F7" s="15" t="s">
        <v>8444</v>
      </c>
    </row>
    <row r="8" customFormat="false" ht="48" hidden="false" customHeight="true" outlineLevel="0" collapsed="false">
      <c r="A8" s="15" t="s">
        <v>24</v>
      </c>
      <c r="B8" s="15" t="s">
        <v>8445</v>
      </c>
      <c r="C8" s="15" t="s">
        <v>8437</v>
      </c>
      <c r="D8" s="15" t="s">
        <v>8438</v>
      </c>
      <c r="E8" s="15" t="s">
        <v>8443</v>
      </c>
      <c r="F8" s="15" t="s">
        <v>8446</v>
      </c>
    </row>
    <row r="9" customFormat="false" ht="48" hidden="false" customHeight="true" outlineLevel="0" collapsed="false">
      <c r="A9" s="15" t="s">
        <v>26</v>
      </c>
      <c r="B9" s="15" t="s">
        <v>8447</v>
      </c>
      <c r="C9" s="15" t="s">
        <v>8437</v>
      </c>
      <c r="D9" s="15" t="s">
        <v>8438</v>
      </c>
      <c r="E9" s="15" t="s">
        <v>8443</v>
      </c>
      <c r="F9" s="15" t="s">
        <v>8448</v>
      </c>
    </row>
    <row r="10" customFormat="false" ht="48" hidden="false" customHeight="true" outlineLevel="0" collapsed="false">
      <c r="A10" s="15" t="s">
        <v>32</v>
      </c>
      <c r="B10" s="15" t="s">
        <v>8449</v>
      </c>
      <c r="C10" s="15" t="s">
        <v>8437</v>
      </c>
      <c r="D10" s="15" t="s">
        <v>8438</v>
      </c>
      <c r="E10" s="15" t="s">
        <v>8443</v>
      </c>
      <c r="F10" s="15" t="s">
        <v>8450</v>
      </c>
    </row>
    <row r="11" customFormat="false" ht="48" hidden="false" customHeight="true" outlineLevel="0" collapsed="false">
      <c r="A11" s="15" t="s">
        <v>34</v>
      </c>
      <c r="B11" s="15" t="s">
        <v>8451</v>
      </c>
      <c r="C11" s="15" t="s">
        <v>8437</v>
      </c>
      <c r="D11" s="15" t="s">
        <v>8438</v>
      </c>
      <c r="E11" s="15" t="s">
        <v>8443</v>
      </c>
      <c r="F11" s="15" t="s">
        <v>8452</v>
      </c>
    </row>
    <row r="12" customFormat="false" ht="48" hidden="false" customHeight="true" outlineLevel="0" collapsed="false">
      <c r="A12" s="15" t="s">
        <v>41</v>
      </c>
      <c r="B12" s="15" t="s">
        <v>8453</v>
      </c>
      <c r="C12" s="15" t="s">
        <v>8437</v>
      </c>
      <c r="D12" s="15" t="s">
        <v>8438</v>
      </c>
      <c r="E12" s="15" t="s">
        <v>8443</v>
      </c>
      <c r="F12" s="15" t="s">
        <v>8454</v>
      </c>
    </row>
    <row r="13" customFormat="false" ht="48" hidden="false" customHeight="true" outlineLevel="0" collapsed="false">
      <c r="A13" s="15" t="s">
        <v>35</v>
      </c>
      <c r="B13" s="15" t="s">
        <v>8455</v>
      </c>
      <c r="C13" s="15" t="s">
        <v>8437</v>
      </c>
      <c r="D13" s="15" t="s">
        <v>8438</v>
      </c>
      <c r="E13" s="15" t="s">
        <v>8443</v>
      </c>
      <c r="F13" s="15" t="s">
        <v>8454</v>
      </c>
    </row>
    <row r="14" customFormat="false" ht="48" hidden="false" customHeight="true" outlineLevel="0" collapsed="false">
      <c r="A14" s="15" t="s">
        <v>44</v>
      </c>
      <c r="B14" s="15" t="s">
        <v>8456</v>
      </c>
      <c r="C14" s="15" t="s">
        <v>8437</v>
      </c>
      <c r="D14" s="15" t="s">
        <v>8438</v>
      </c>
      <c r="E14" s="15" t="s">
        <v>8457</v>
      </c>
      <c r="F14" s="15" t="s">
        <v>8458</v>
      </c>
    </row>
    <row r="15" customFormat="false" ht="48" hidden="false" customHeight="true" outlineLevel="0" collapsed="false">
      <c r="A15" s="15" t="s">
        <v>42</v>
      </c>
      <c r="B15" s="15" t="s">
        <v>8459</v>
      </c>
      <c r="C15" s="15" t="s">
        <v>8437</v>
      </c>
      <c r="D15" s="15" t="s">
        <v>8438</v>
      </c>
      <c r="E15" s="15" t="s">
        <v>8460</v>
      </c>
      <c r="F15" s="15" t="s">
        <v>8461</v>
      </c>
    </row>
    <row r="16" customFormat="false" ht="48" hidden="false" customHeight="true" outlineLevel="0" collapsed="false">
      <c r="A16" s="15" t="s">
        <v>46</v>
      </c>
      <c r="B16" s="15" t="s">
        <v>8462</v>
      </c>
      <c r="C16" s="15" t="s">
        <v>8437</v>
      </c>
      <c r="D16" s="15" t="s">
        <v>8438</v>
      </c>
      <c r="E16" s="15"/>
      <c r="F16" s="15" t="s">
        <v>8446</v>
      </c>
    </row>
    <row r="17" customFormat="false" ht="48" hidden="false" customHeight="true" outlineLevel="0" collapsed="false">
      <c r="A17" s="15" t="s">
        <v>36</v>
      </c>
      <c r="B17" s="15" t="s">
        <v>8463</v>
      </c>
      <c r="C17" s="15" t="s">
        <v>8437</v>
      </c>
      <c r="D17" s="15" t="s">
        <v>8438</v>
      </c>
      <c r="E17" s="15"/>
      <c r="F17" s="15" t="s">
        <v>8446</v>
      </c>
    </row>
    <row r="18" customFormat="false" ht="48" hidden="false" customHeight="true" outlineLevel="0" collapsed="false">
      <c r="A18" s="15" t="s">
        <v>8464</v>
      </c>
      <c r="B18" s="15" t="s">
        <v>8436</v>
      </c>
      <c r="C18" s="15" t="s">
        <v>8465</v>
      </c>
      <c r="D18" s="15" t="s">
        <v>8466</v>
      </c>
      <c r="E18" s="15"/>
      <c r="F18" s="15" t="s">
        <v>8467</v>
      </c>
    </row>
    <row r="19" customFormat="false" ht="48" hidden="false" customHeight="true" outlineLevel="0" collapsed="false">
      <c r="A19" s="15" t="s">
        <v>8468</v>
      </c>
      <c r="B19" s="15" t="s">
        <v>8469</v>
      </c>
      <c r="C19" s="15" t="s">
        <v>8465</v>
      </c>
      <c r="D19" s="15" t="s">
        <v>8466</v>
      </c>
      <c r="E19" s="15"/>
      <c r="F19" s="15" t="s">
        <v>8467</v>
      </c>
    </row>
    <row r="20" customFormat="false" ht="48" hidden="false" customHeight="true" outlineLevel="0" collapsed="false">
      <c r="A20" s="15" t="s">
        <v>8470</v>
      </c>
      <c r="B20" s="15" t="s">
        <v>8471</v>
      </c>
      <c r="C20" s="15" t="s">
        <v>8465</v>
      </c>
      <c r="D20" s="15" t="s">
        <v>8466</v>
      </c>
      <c r="E20" s="15" t="s">
        <v>8472</v>
      </c>
      <c r="F20" s="15" t="s">
        <v>8467</v>
      </c>
    </row>
    <row r="21" customFormat="false" ht="48" hidden="false" customHeight="true" outlineLevel="0" collapsed="false">
      <c r="A21" s="15" t="s">
        <v>8473</v>
      </c>
      <c r="B21" s="15" t="s">
        <v>8440</v>
      </c>
      <c r="C21" s="15" t="s">
        <v>8465</v>
      </c>
      <c r="D21" s="15" t="s">
        <v>8466</v>
      </c>
      <c r="E21" s="15"/>
      <c r="F21" s="15" t="s">
        <v>8467</v>
      </c>
    </row>
    <row r="22" customFormat="false" ht="48" hidden="false" customHeight="true" outlineLevel="0" collapsed="false">
      <c r="A22" s="15" t="s">
        <v>8474</v>
      </c>
      <c r="B22" s="15" t="s">
        <v>8475</v>
      </c>
      <c r="C22" s="15" t="s">
        <v>8465</v>
      </c>
      <c r="D22" s="15" t="s">
        <v>8466</v>
      </c>
      <c r="E22" s="15"/>
      <c r="F22" s="15" t="s">
        <v>8467</v>
      </c>
    </row>
    <row r="23" customFormat="false" ht="48" hidden="false" customHeight="true" outlineLevel="0" collapsed="false">
      <c r="A23" s="15" t="s">
        <v>8476</v>
      </c>
      <c r="B23" s="15" t="s">
        <v>8477</v>
      </c>
      <c r="C23" s="15" t="s">
        <v>8465</v>
      </c>
      <c r="D23" s="15" t="s">
        <v>8466</v>
      </c>
      <c r="E23" s="15"/>
      <c r="F23" s="15" t="s">
        <v>8467</v>
      </c>
    </row>
    <row r="24" customFormat="false" ht="48" hidden="false" customHeight="true" outlineLevel="0" collapsed="false">
      <c r="A24" s="15" t="s">
        <v>8478</v>
      </c>
      <c r="B24" s="15" t="s">
        <v>8479</v>
      </c>
      <c r="C24" s="15" t="s">
        <v>8480</v>
      </c>
      <c r="D24" s="15" t="s">
        <v>8481</v>
      </c>
      <c r="E24" s="15" t="s">
        <v>8482</v>
      </c>
      <c r="F24" s="15" t="s">
        <v>8483</v>
      </c>
    </row>
    <row r="25" customFormat="false" ht="48" hidden="false" customHeight="true" outlineLevel="0" collapsed="false">
      <c r="A25" s="15" t="s">
        <v>8484</v>
      </c>
      <c r="B25" s="15" t="s">
        <v>8485</v>
      </c>
      <c r="C25" s="15" t="s">
        <v>8480</v>
      </c>
      <c r="D25" s="15" t="s">
        <v>8486</v>
      </c>
      <c r="E25" s="15" t="s">
        <v>8487</v>
      </c>
      <c r="F25" s="15" t="s">
        <v>8488</v>
      </c>
    </row>
    <row r="26" customFormat="false" ht="48" hidden="false" customHeight="true" outlineLevel="0" collapsed="false">
      <c r="A26" s="15" t="s">
        <v>8489</v>
      </c>
      <c r="B26" s="15" t="s">
        <v>8490</v>
      </c>
      <c r="C26" s="15" t="s">
        <v>8480</v>
      </c>
      <c r="D26" s="15" t="s">
        <v>8491</v>
      </c>
      <c r="E26" s="15" t="s">
        <v>8492</v>
      </c>
      <c r="F26" s="15" t="s">
        <v>8493</v>
      </c>
    </row>
    <row r="27" customFormat="false" ht="48" hidden="false" customHeight="true" outlineLevel="0" collapsed="false">
      <c r="A27" s="15" t="s">
        <v>8494</v>
      </c>
      <c r="B27" s="15" t="s">
        <v>8495</v>
      </c>
      <c r="C27" s="15" t="s">
        <v>8480</v>
      </c>
      <c r="D27" s="15" t="s">
        <v>8496</v>
      </c>
      <c r="E27" s="15" t="s">
        <v>8497</v>
      </c>
      <c r="F27" s="15" t="s">
        <v>8498</v>
      </c>
    </row>
    <row r="28" customFormat="false" ht="48" hidden="false" customHeight="true" outlineLevel="0" collapsed="false">
      <c r="A28" s="15" t="s">
        <v>8499</v>
      </c>
      <c r="B28" s="15" t="s">
        <v>8500</v>
      </c>
      <c r="C28" s="15" t="s">
        <v>8480</v>
      </c>
      <c r="D28" s="15" t="s">
        <v>8501</v>
      </c>
      <c r="E28" s="15" t="s">
        <v>8502</v>
      </c>
      <c r="F28" s="15" t="s">
        <v>8503</v>
      </c>
    </row>
  </sheetData>
  <autoFilter ref="A4:F28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2026-10-23T09:10:48Z</dcterms:created>
  <dc:creator>openpyxl</dc:creator>
  <dc:description/>
  <dc:language>en-US</dc:language>
  <cp:lastModifiedBy/>
  <dcterms:modified xsi:type="dcterms:W3CDTF">2026-10-23T09:10:50Z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