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olPanel" sheetId="1" state="visible" r:id="rId3"/>
    <sheet name="Daily" sheetId="2" state="visible" r:id="rId4"/>
    <sheet name="Options" sheetId="3" state="visible" r:id="rId5"/>
    <sheet name="Sources" sheetId="4" state="visible" r:id="rId6"/>
  </sheets>
  <definedNames>
    <definedName function="false" hidden="true" localSheetId="1" name="_xlnm._FilterDatabase" vbProcedure="false">Daily!$A$4:$S$25</definedName>
    <definedName function="false" hidden="true" localSheetId="2" name="_xlnm._FilterDatabase" vbProcedure="false">Options!$A$4:$V$10</definedName>
    <definedName function="false" hidden="true" localSheetId="3" name="_xlnm._FilterDatabase" vbProcedure="false">Sources!$A$4:$H$21</definedName>
    <definedName function="false" hidden="false" name="WF_AIR_MULTIPLIER" vbProcedure="false">ControlPanel!$B$6</definedName>
    <definedName function="false" hidden="false" name="WF_ARRIVAL" vbProcedure="false">ControlPanel!$B$9</definedName>
    <definedName function="false" hidden="false" name="WF_BUDGET" vbProcedure="false">ControlPanel!$B$5</definedName>
    <definedName function="false" hidden="false" name="WF_GOV_BREAKFAST_0929" vbProcedure="false">ControlPanel!$B$8</definedName>
    <definedName function="false" hidden="false" name="WF_MIE_CHICAGO_0929" vbProcedure="false">Daily!$R$7</definedName>
    <definedName function="false" hidden="false" name="WF_MIE_DENVER_0929" vbProcedure="false">Daily!$R$13</definedName>
    <definedName function="false" hidden="false" name="WF_MIE_PHOENIX_0929" vbProcedure="false">Daily!$R$19</definedName>
    <definedName function="false" hidden="false" name="WF_RESERVE_RATE" vbProcedure="false">ControlPanel!$B$7</definedName>
    <definedName function="false" hidden="false" name="WF_SELECTED_CITY" vbProcedure="false">ControlPanel!$B$14</definedName>
    <definedName function="false" hidden="false" name="WF_SELECTED_N" vbProcedure="false">ControlPanel!$B$15</definedName>
    <definedName function="false" hidden="false" name="WF_SNAPSHOT_CURRENT" vbProcedure="false">ControlPanel!$B$13</definedName>
    <definedName function="false" hidden="false" name="WF_STRESS_CHICAGO_18" vbProcedure="false">Options!$S$5</definedName>
    <definedName function="false" hidden="false" name="WF_STRESS_CHICAGO_24" vbProcedure="false">Options!$S$6</definedName>
    <definedName function="false" hidden="false" name="WF_STRESS_DENVER_18" vbProcedure="false">Options!$S$7</definedName>
    <definedName function="false" hidden="false" name="WF_STRESS_DENVER_24" vbProcedure="false">Options!$S$8</definedName>
    <definedName function="false" hidden="false" name="WF_STRESS_PHOENIX_18" vbProcedure="false">Options!$S$9</definedName>
    <definedName function="false" hidden="false" name="WF_STRESS_PHOENIX_24" vbProcedure="false">Options!$S$10</definedName>
    <definedName function="false" hidden="false" name="WF_TOTAL_CHICAGO_18" vbProcedure="false">Options!$L$5</definedName>
    <definedName function="false" hidden="false" name="WF_TOTAL_CHICAGO_24" vbProcedure="false">Options!$L$6</definedName>
    <definedName function="false" hidden="false" name="WF_TOTAL_DENVER_18" vbProcedure="false">Options!$L$7</definedName>
    <definedName function="false" hidden="false" name="WF_TOTAL_DENVER_24" vbProcedure="false">Options!$L$8</definedName>
    <definedName function="false" hidden="false" name="WF_TOTAL_PHOENIX_18" vbProcedure="false">Options!$L$9</definedName>
    <definedName function="false" hidden="false" name="WF_TOTAL_PHOENIX_24" vbProcedure="false">Options!$L$10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<sst xmlns="http://schemas.openxmlformats.org/spreadsheetml/2006/main" count="278" uniqueCount="191">
  <si>
    <t xml:space="preserve">Conference Budget Control Panel</t>
  </si>
  <si>
    <t xml:space="preserve">Yellow cells are the only scenario inputs. Word and CSV are static default-parameter delivery snapshots; after any input change, re-export them. Excel Daily, Options, eligibility, selection, and stress actions recalculate.</t>
  </si>
  <si>
    <t xml:space="preserve">Named input</t>
  </si>
  <si>
    <t xml:space="preserve">Current value</t>
  </si>
  <si>
    <t xml:space="preserve">Default</t>
  </si>
  <si>
    <t xml:space="preserve">Allowed values / business meaning</t>
  </si>
  <si>
    <t xml:space="preserve">Status</t>
  </si>
  <si>
    <t xml:space="preserve">WF_BUDGET</t>
  </si>
  <si>
    <t xml:space="preserve">$0–$100,000; approved total ceiling including reserve</t>
  </si>
  <si>
    <t xml:space="preserve">WF_AIR_MULTIPLIER</t>
  </si>
  <si>
    <t xml:space="preserve">0.5–2.0; multiplies each city round-trip fare</t>
  </si>
  <si>
    <t xml:space="preserve">WF_RESERVE_RATE</t>
  </si>
  <si>
    <t xml:space="preserve">0%–20%; applied separately to current and stress bases</t>
  </si>
  <si>
    <t xml:space="preserve">WF_GOV_BREAKFAST_0929</t>
  </si>
  <si>
    <t xml:space="preserve">0 or 1; 1 means Government-furnished breakfast on 09/29</t>
  </si>
  <si>
    <t xml:space="preserve">WF_ARRIVAL</t>
  </si>
  <si>
    <t xml:space="preserve">Integer 20250927, 20250928, or 20250929; return remains 20251002</t>
  </si>
  <si>
    <t xml:space="preserve">Live outputs</t>
  </si>
  <si>
    <t xml:space="preserve">Snapshot current</t>
  </si>
  <si>
    <t xml:space="preserve">Selected city</t>
  </si>
  <si>
    <t xml:space="preserve">Selected attendance</t>
  </si>
  <si>
    <t xml:space="preserve">Selected approval note</t>
  </si>
  <si>
    <t xml:space="preserve">Model boundaries</t>
  </si>
  <si>
    <t xml:space="preserve">•</t>
  </si>
  <si>
    <t xml:space="preserve">Only the five yellow inputs vary. Official rates, return date, training/meal calendar, attendance choices, quotes, and city choices are fixed exercise facts.</t>
  </si>
  <si>
    <t xml:space="preserve">Actual lodging reimbursement uses quoted room cost capped by the applicable lodging maximum; the cap is not treated as spending. Tax is 12% of reimbursable lodging only.</t>
  </si>
  <si>
    <t xml:space="preserve">First/last-day M&amp;IE is reduced to 75% first, then full allocated Government meal amounts are deducted, with a $5 incidental-expense floor.</t>
  </si>
  <si>
    <t xml:space="preserve">Hotel complimentary breakfast is not deducted; Government meals and registration-included lunches are deducted; coffee/fruit breaks are not deducted.</t>
  </si>
  <si>
    <t xml:space="preserve">Quoted facilities are not approved merely because their rates fit the model. Safety, acquisition, travel authorization, and funds checks remain approval gates.</t>
  </si>
  <si>
    <t xml:space="preserve">Daily Per-Person Detail</t>
  </si>
  <si>
    <t xml:space="preserve">Rows update for the selected arrival date and Government breakfast toggle. 09/27 is reserved for scenario use; inactive dates show zero reimbursable amounts.</t>
  </si>
  <si>
    <t xml:space="preserve">City</t>
  </si>
  <si>
    <t xml:space="preserve">Date</t>
  </si>
  <si>
    <t xml:space="preserve">Fiscal year</t>
  </si>
  <si>
    <t xml:space="preserve">GSA Master row</t>
  </si>
  <si>
    <t xml:space="preserve">Travel day active?</t>
  </si>
  <si>
    <t xml:space="preserve">Lodging night?</t>
  </si>
  <si>
    <t xml:space="preserve">Lodging cap / night</t>
  </si>
  <si>
    <t xml:space="preserve">Untaxed quote / night</t>
  </si>
  <si>
    <t xml:space="preserve">Reimbursable lodging</t>
  </si>
  <si>
    <t xml:space="preserve">Estimated lodging tax (12%)</t>
  </si>
  <si>
    <t xml:space="preserve">Full M&amp;IE</t>
  </si>
  <si>
    <t xml:space="preserve">Day factor</t>
  </si>
  <si>
    <t xml:space="preserve">M&amp;IE before meal deductions</t>
  </si>
  <si>
    <t xml:space="preserve">Gov breakfast deduction</t>
  </si>
  <si>
    <t xml:space="preserve">Gov lunch deduction</t>
  </si>
  <si>
    <t xml:space="preserve">Gov dinner deduction</t>
  </si>
  <si>
    <t xml:space="preserve">Incidental floor</t>
  </si>
  <si>
    <t xml:space="preserve">Final M&amp;IE</t>
  </si>
  <si>
    <t xml:space="preserve">Meal treatment / notes</t>
  </si>
  <si>
    <t xml:space="preserve">Chicago</t>
  </si>
  <si>
    <t xml:space="preserve">FY2025</t>
  </si>
  <si>
    <t xml:space="preserve">No scheduled Government meal; hotel breakfast (if any) is complimentary, not deducted.</t>
  </si>
  <si>
    <t xml:space="preserve">Welcome dinner deducted; hotel breakfast is complimentary, not deducted.</t>
  </si>
  <si>
    <t xml:space="preserve">Registration lunch deducted; Government breakfast deducted only when toggle = 1; hotel breakfast alone is not deducted.</t>
  </si>
  <si>
    <t xml:space="preserve">Registration lunch deducted; coffee/fruit breaks are light refreshments, not deducted.</t>
  </si>
  <si>
    <t xml:space="preserve">FY2026</t>
  </si>
  <si>
    <t xml:space="preserve">Registration lunch and Government dinner deducted; light refreshments not deducted.</t>
  </si>
  <si>
    <t xml:space="preserve">Departure lunch deducted; first/last-day 75% applies before full lunch deduction.</t>
  </si>
  <si>
    <t xml:space="preserve">Denver</t>
  </si>
  <si>
    <t xml:space="preserve">Phoenix</t>
  </si>
  <si>
    <t xml:space="preserve">Chicago active-trip total</t>
  </si>
  <si>
    <t xml:space="preserve">Denver active-trip total</t>
  </si>
  <si>
    <t xml:space="preserve">Phoenix active-trip total</t>
  </si>
  <si>
    <t xml:space="preserve">Option Comparison</t>
  </si>
  <si>
    <t xml:space="preserve">Objective: maximize eligible attendance, then minimize current total; exact ties follow English city name. Stress applies another 20% to the current airfare and independently applies reserve.</t>
  </si>
  <si>
    <t xml:space="preserve">Travelers</t>
  </si>
  <si>
    <t xml:space="preserve">Airfare</t>
  </si>
  <si>
    <t xml:space="preserve">Local transport</t>
  </si>
  <si>
    <t xml:space="preserve">Registration</t>
  </si>
  <si>
    <t xml:space="preserve">Lodging</t>
  </si>
  <si>
    <t xml:space="preserve">Lodging tax</t>
  </si>
  <si>
    <t xml:space="preserve">M&amp;IE</t>
  </si>
  <si>
    <t xml:space="preserve">Venue</t>
  </si>
  <si>
    <t xml:space="preserve">Current base</t>
  </si>
  <si>
    <t xml:space="preserve">Reserve</t>
  </si>
  <si>
    <t xml:space="preserve">Current total</t>
  </si>
  <si>
    <t xml:space="preserve">Budget margin</t>
  </si>
  <si>
    <t xml:space="preserve">Lodging compliance</t>
  </si>
  <si>
    <t xml:space="preserve">Current eligible?</t>
  </si>
  <si>
    <t xml:space="preserve">Stress airfare (+20%)</t>
  </si>
  <si>
    <t xml:space="preserve">Stress base</t>
  </si>
  <si>
    <t xml:space="preserve">Stress reserve</t>
  </si>
  <si>
    <t xml:space="preserve">Stress total</t>
  </si>
  <si>
    <t xml:space="preserve">Stress eligible?</t>
  </si>
  <si>
    <t xml:space="preserve">Stress execution measure</t>
  </si>
  <si>
    <t xml:space="preserve">Selection score</t>
  </si>
  <si>
    <t xml:space="preserve">Sources, Rules, and Assumptions</t>
  </si>
  <si>
    <t xml:space="preserve">Offline source package controls this exercise. Website links below are citations captured in the supplied GSA page, not live retrievals or hotel approvals.</t>
  </si>
  <si>
    <t xml:space="preserve">Category</t>
  </si>
  <si>
    <t xml:space="preserve">Source / citation</t>
  </si>
  <si>
    <t xml:space="preserve">Sheet row or section</t>
  </si>
  <si>
    <t xml:space="preserve">Location / date</t>
  </si>
  <si>
    <t xml:space="preserve">Value / rule used</t>
  </si>
  <si>
    <t xml:space="preserve">How it enters model</t>
  </si>
  <si>
    <t xml:space="preserve">Link captured in supplied GSA HTML</t>
  </si>
  <si>
    <t xml:space="preserve">Approval significance</t>
  </si>
  <si>
    <t xml:space="preserve">Official rate</t>
  </si>
  <si>
    <t xml:space="preserve">FY2025_PerDiemMasterRatesFile.xlsx</t>
  </si>
  <si>
    <t xml:space="preserve">Master Excel row 258</t>
  </si>
  <si>
    <t xml:space="preserve">Chicago, IL; Cook; 2025-09-27 through 2025-09-30</t>
  </si>
  <si>
    <t xml:space="preserve">Lodging cap $223.00; M&amp;IE $92.00</t>
  </si>
  <si>
    <t xml:space="preserve">Daily matches fiscal year (FY begins Oct. 1), county/destination, and seasonal row; cap tests quote and full M&amp;IE drives meal deductions.</t>
  </si>
  <si>
    <t xml:space="preserve">https://www.gsa.gov/system/files/FY2025_PerDiemMasterRatesFile.xlsx</t>
  </si>
  <si>
    <t xml:space="preserve">Rate evidence only; does not approve facility.</t>
  </si>
  <si>
    <t xml:space="preserve">FY2026_PerDiemMasterRatesFile.xlsx</t>
  </si>
  <si>
    <t xml:space="preserve">Master Excel row 254</t>
  </si>
  <si>
    <t xml:space="preserve">Chicago, IL; Cook; 2025-10-01 through 2025-10-02</t>
  </si>
  <si>
    <t xml:space="preserve">https://www.gsa.gov/system/files/FY2026_PerDiemMasterRatesFile.xlsx</t>
  </si>
  <si>
    <t xml:space="preserve">Master Excel row 109</t>
  </si>
  <si>
    <t xml:space="preserve">Denver, CO; Denver; 2025-09-27 through 2025-09-30</t>
  </si>
  <si>
    <t xml:space="preserve">Lodging cap $215.00; M&amp;IE $92.00</t>
  </si>
  <si>
    <t xml:space="preserve">Master Excel row 107</t>
  </si>
  <si>
    <t xml:space="preserve">Denver, CO; Denver; 2025-10-01 through 2025-10-02</t>
  </si>
  <si>
    <t xml:space="preserve">Master Excel row 22</t>
  </si>
  <si>
    <t xml:space="preserve">Phoenix, AZ; Maricopa; 2025-09-27 through 2025-09-30</t>
  </si>
  <si>
    <t xml:space="preserve">Lodging cap $160.00; M&amp;IE $86.00</t>
  </si>
  <si>
    <t xml:space="preserve">Master Excel row 18</t>
  </si>
  <si>
    <t xml:space="preserve">Phoenix, AZ; Maricopa; 2025-10-01 through 2025-10-02</t>
  </si>
  <si>
    <t xml:space="preserve">Meal allocation</t>
  </si>
  <si>
    <t xml:space="preserve">GSA_FY2025_MIE_Breakdown.docx</t>
  </si>
  <si>
    <t xml:space="preserve">FY2025–present table</t>
  </si>
  <si>
    <t xml:space="preserve">CONUS; applicable throughout trip</t>
  </si>
  <si>
    <t xml:space="preserve">$92: breakfast 23, lunch 26, dinner 38, incidentals 5, first/last 69; $86: 22/23/36/5/64.50</t>
  </si>
  <si>
    <t xml:space="preserve">Allocates furnished-meal deductions and 75% first/last-day amount.</t>
  </si>
  <si>
    <t xml:space="preserve">https://www.gsa.gov/system/files/FY%202025%20MIE%20Breakdown.docx</t>
  </si>
  <si>
    <t xml:space="preserve">Supports deduction arithmetic.</t>
  </si>
  <si>
    <t xml:space="preserve">FTR</t>
  </si>
  <si>
    <t xml:space="preserve">41 CFR 301-11.18</t>
  </si>
  <si>
    <t xml:space="preserve">§301-11.18</t>
  </si>
  <si>
    <t xml:space="preserve">Government-furnished or registration-included meals</t>
  </si>
  <si>
    <t xml:space="preserve">Deduct full allocated meal amount; on first/last day deduct from reduced M&amp;IE; deductions cannot reduce below incidentals.</t>
  </si>
  <si>
    <t xml:space="preserve">Daily applies 75% first, then breakfast/lunch/dinner deductions, then $5 floor.</t>
  </si>
  <si>
    <t xml:space="preserve">https://www.gsa.gov/mie</t>
  </si>
  <si>
    <t xml:space="preserve">Binding calculation rule in supplied frozen eCFR.</t>
  </si>
  <si>
    <t xml:space="preserve">41 CFR 301-11.17 and GSA M&amp;IE breakdown note</t>
  </si>
  <si>
    <t xml:space="preserve">§301-11.17; document introduction</t>
  </si>
  <si>
    <t xml:space="preserve">Complimentary hotel breakfast</t>
  </si>
  <si>
    <t xml:space="preserve">No M&amp;IE reduction.</t>
  </si>
  <si>
    <t xml:space="preserve">Daily notes breakfast but does not deduct it.</t>
  </si>
  <si>
    <t xml:space="preserve">Binding treatment; verify breakfast is truly complimentary.</t>
  </si>
  <si>
    <t xml:space="preserve">41 CFR 301-74.21</t>
  </si>
  <si>
    <t xml:space="preserve">§301-74.21</t>
  </si>
  <si>
    <t xml:space="preserve">Meals and light refreshments</t>
  </si>
  <si>
    <t xml:space="preserve">Meals require deduction; light refreshments do not.</t>
  </si>
  <si>
    <t xml:space="preserve">Registration lunches and Government dinners/lunch are deducted; coffee and fruit breaks are not.</t>
  </si>
  <si>
    <t xml:space="preserve">Binding treatment in supplied frozen eCFR.</t>
  </si>
  <si>
    <t xml:space="preserve">41 CFR 301-11.100, 301-11.27</t>
  </si>
  <si>
    <t xml:space="preserve">§§301-11.100, 301-11.27</t>
  </si>
  <si>
    <t xml:space="preserve">Lodging and lodging tax</t>
  </si>
  <si>
    <t xml:space="preserve">Actual lodging reimbursed up to cap; tax is outside per diem and limited to tax on reimbursable lodging.</t>
  </si>
  <si>
    <t xml:space="preserve">Model uses MIN(quote, cap), then 12% internal estimated tax. The cap is never booked as spending.</t>
  </si>
  <si>
    <t xml:space="preserve">Tax rate is an exercise assumption, not local tax law.</t>
  </si>
  <si>
    <t xml:space="preserve">41 CFR 301-11.101–102</t>
  </si>
  <si>
    <t xml:space="preserve">§§301-11.101–102</t>
  </si>
  <si>
    <t xml:space="preserve">Travel-day M&amp;IE</t>
  </si>
  <si>
    <t xml:space="preserve">75% on departure and return days; full rate on full days; location rule applies.</t>
  </si>
  <si>
    <t xml:space="preserve">Arrival input determines actual first travel day; return remains 10/02.</t>
  </si>
  <si>
    <t xml:space="preserve">Binding day-rate method.</t>
  </si>
  <si>
    <t xml:space="preserve">41 CFR 301-11.11; 301-74.9–10</t>
  </si>
  <si>
    <t xml:space="preserve">§§301-11.11, 301-74.9–10</t>
  </si>
  <si>
    <t xml:space="preserve">Booking and accommodation safety</t>
  </si>
  <si>
    <t xml:space="preserve">Use agency travel management service; fire-safe / approved accommodation requirements, unless proper waiver.</t>
  </si>
  <si>
    <t xml:space="preserve">Not priced; carried as blocking approval evidence.</t>
  </si>
  <si>
    <t xml:space="preserve">Facility status remains unverified.</t>
  </si>
  <si>
    <t xml:space="preserve">41 CFR 301-74.5</t>
  </si>
  <si>
    <t xml:space="preserve">§301-74.5</t>
  </si>
  <si>
    <t xml:space="preserve">Site selection</t>
  </si>
  <si>
    <t xml:space="preserve">Exercise strict fiscal responsibility; compare relevant costs using established per diem rates.</t>
  </si>
  <si>
    <t xml:space="preserve">Options compares all six scenarios and includes rates in lodging/M&amp;IE logic.</t>
  </si>
  <si>
    <t xml:space="preserve">Cost comparison does not replace acquisition review.</t>
  </si>
  <si>
    <t xml:space="preserve">41 CFR 301-74.22; 301-11.300–302</t>
  </si>
  <si>
    <t xml:space="preserve">§301-74.22; §§301-11.300–302</t>
  </si>
  <si>
    <t xml:space="preserve">Actual expense</t>
  </si>
  <si>
    <t xml:space="preserve">May be authorized if lodging rate inadequate; designated official; request in advance.</t>
  </si>
  <si>
    <t xml:space="preserve">No actual-expense amount assumed because all quotes are within cap; any later excess requires authorization.</t>
  </si>
  <si>
    <t xml:space="preserve">Blocking if an over-cap booking is proposed.</t>
  </si>
  <si>
    <t xml:space="preserve">Exercise assumption</t>
  </si>
  <si>
    <t xml:space="preserve">User-provided facts</t>
  </si>
  <si>
    <t xml:space="preserve">N/A</t>
  </si>
  <si>
    <t xml:space="preserve">All cities / dates</t>
  </si>
  <si>
    <t xml:space="preserve">12% tax; fixed quotes and meal calendar; single rooms; no extras; 5% default reserve; $53,000 default ceiling.</t>
  </si>
  <si>
    <t xml:space="preserve">ControlPanel and formulas.</t>
  </si>
  <si>
    <t xml:space="preserve">Internal budgeting assumptions, not FTR text.</t>
  </si>
  <si>
    <t xml:space="preserve">Internal control (recommended)</t>
  </si>
  <si>
    <t xml:space="preserve">Approval register / agency procedure</t>
  </si>
  <si>
    <t xml:space="preserve">Not represented as FTR text</t>
  </si>
  <si>
    <t xml:space="preserve">Procurement, funds, conference approval</t>
  </si>
  <si>
    <t xml:space="preserve">Obtain contracting and funds evidence before obligation; follow agency-specific conference approvals.</t>
  </si>
  <si>
    <t xml:space="preserve">Shown as approval gates; no claim that these workflow details are prescribed verbatim by FTR.</t>
  </si>
  <si>
    <t xml:space="preserve">Required for an approvable package under agency controls.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</si>
</sst>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0%"/>
    <numFmt numFmtId="167" formatCode="\$#,##0.00;[RED]&quot;-$&quot;#,##0.00"/>
    <numFmt numFmtId="168" formatCode="[$$-409]#,##0.00;[RED]\-[$$-409]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"/>
      <family val="0"/>
      <charset val="1"/>
    </font>
    <font>
      <sz val="10"/>
      <color rgb="FF44546A"/>
      <name val="Aptos"/>
      <family val="0"/>
      <charset val="1"/>
    </font>
    <font>
      <sz val="11"/>
      <color theme="1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name val="Aptos"/>
      <family val="0"/>
      <charset val="1"/>
    </font>
    <font>
      <b val="true"/>
      <sz val="13"/>
      <color rgb="FF1F4E78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D9EA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6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3" t="s">
        <v>7</v>
      </c>
      <c r="B5" s="5" t="n">
        <v>53000</v>
      </c>
      <c r="C5" s="6" t="n">
        <v>53000</v>
      </c>
      <c r="D5" s="7" t="s">
        <v>8</v>
      </c>
      <c r="E5" s="3" t="str">
        <f aca="false">IF(B5=C5,"DEFAULT","CHANGED")</f>
        <v>DEFAULT</v>
      </c>
    </row>
    <row r="6" customFormat="false" ht="15" hidden="false" customHeight="false" outlineLevel="0" collapsed="false">
      <c r="A6" s="3" t="s">
        <v>9</v>
      </c>
      <c r="B6" s="8" t="n">
        <v>1</v>
      </c>
      <c r="C6" s="3" t="n">
        <v>1</v>
      </c>
      <c r="D6" s="7" t="s">
        <v>10</v>
      </c>
      <c r="E6" s="3" t="str">
        <f aca="false">IF(B6=C6,"DEFAULT","CHANGED")</f>
        <v>DEFAULT</v>
      </c>
    </row>
    <row r="7" customFormat="false" ht="15" hidden="false" customHeight="false" outlineLevel="0" collapsed="false">
      <c r="A7" s="3" t="s">
        <v>11</v>
      </c>
      <c r="B7" s="9" t="n">
        <v>0.05</v>
      </c>
      <c r="C7" s="10" t="n">
        <v>0.05</v>
      </c>
      <c r="D7" s="7" t="s">
        <v>12</v>
      </c>
      <c r="E7" s="3" t="str">
        <f aca="false">IF(B7=C7,"DEFAULT","CHANGED")</f>
        <v>DEFAULT</v>
      </c>
    </row>
    <row r="8" customFormat="false" ht="15" hidden="false" customHeight="false" outlineLevel="0" collapsed="false">
      <c r="A8" s="3" t="s">
        <v>13</v>
      </c>
      <c r="B8" s="8" t="n">
        <v>0</v>
      </c>
      <c r="C8" s="3" t="n">
        <v>0</v>
      </c>
      <c r="D8" s="7" t="s">
        <v>14</v>
      </c>
      <c r="E8" s="3" t="str">
        <f aca="false">IF(B8=C8,"DEFAULT","CHANGED")</f>
        <v>DEFAULT</v>
      </c>
    </row>
    <row r="9" customFormat="false" ht="15" hidden="false" customHeight="false" outlineLevel="0" collapsed="false">
      <c r="A9" s="3" t="s">
        <v>15</v>
      </c>
      <c r="B9" s="8" t="n">
        <v>20250928</v>
      </c>
      <c r="C9" s="3" t="n">
        <v>20250928</v>
      </c>
      <c r="D9" s="7" t="s">
        <v>16</v>
      </c>
      <c r="E9" s="3" t="str">
        <f aca="false">IF(B9=C9,"DEFAULT","CHANGED")</f>
        <v>DEFAULT</v>
      </c>
    </row>
    <row r="10" customFormat="false" ht="15" hidden="false" customHeight="false" outlineLevel="0" collapsed="false">
      <c r="A10" s="3"/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6.15" hidden="false" customHeight="false" outlineLevel="0" collapsed="false">
      <c r="A12" s="11" t="s">
        <v>17</v>
      </c>
      <c r="B12" s="3"/>
      <c r="C12" s="3"/>
      <c r="D12" s="3"/>
      <c r="E12" s="3"/>
    </row>
    <row r="13" customFormat="false" ht="15" hidden="false" customHeight="false" outlineLevel="0" collapsed="false">
      <c r="A13" s="3" t="s">
        <v>18</v>
      </c>
      <c r="B13" s="12" t="b">
        <f aca="false">AND(B5=C5,B6=C6,B7=C7,B8=C8,B9=C9)</f>
        <v>1</v>
      </c>
      <c r="C13" s="3"/>
      <c r="D13" s="3"/>
      <c r="E13" s="3"/>
    </row>
    <row r="14" customFormat="false" ht="15" hidden="false" customHeight="false" outlineLevel="0" collapsed="false">
      <c r="A14" s="3" t="s">
        <v>19</v>
      </c>
      <c r="B14" s="13" t="str">
        <f aca="false">IF(COUNTIF(Options!O5:O10,"YES")=0,"NONE",INDEX(Options!A5:A10,MATCH(MIN(Options!V5:V10),Options!V5:V10,0)))</f>
        <v>Phoenix</v>
      </c>
      <c r="C14" s="3"/>
      <c r="D14" s="3"/>
      <c r="E14" s="3"/>
    </row>
    <row r="15" customFormat="false" ht="15" hidden="false" customHeight="false" outlineLevel="0" collapsed="false">
      <c r="A15" s="3" t="s">
        <v>20</v>
      </c>
      <c r="B15" s="13" t="n">
        <f aca="false">IF(COUNTIF(Options!O5:O10,"YES")=0,0,INDEX(Options!B5:B10,MATCH(MIN(Options!V5:V10),Options!V5:V10,0)))</f>
        <v>24</v>
      </c>
      <c r="C15" s="3"/>
      <c r="D15" s="3"/>
      <c r="E15" s="3"/>
    </row>
    <row r="16" customFormat="false" ht="55.2" hidden="false" customHeight="false" outlineLevel="0" collapsed="false">
      <c r="A16" s="3" t="s">
        <v>21</v>
      </c>
      <c r="B16" s="13" t="str">
        <f aca="false">IF(B15=0,"No scenario is within the current ceiling.",IF(INDEX(Options!T5:T10,MATCH(MIN(Options!V5:V10),Options!V5:V10,0))="YES","Current selection also passes the 20% airfare stress.","Current selection passes baseline only; execute the stress action in Options if fares rise."))</f>
        <v>Current selection passes baseline only; execute the stress action in Options if fares rise.</v>
      </c>
      <c r="C16" s="3"/>
      <c r="D16" s="3"/>
      <c r="E16" s="3"/>
    </row>
    <row r="17" customFormat="false" ht="15" hidden="false" customHeight="false" outlineLevel="0" collapsed="false">
      <c r="A17" s="3"/>
      <c r="B17" s="3"/>
      <c r="C17" s="3"/>
      <c r="D17" s="3"/>
      <c r="E17" s="3"/>
    </row>
    <row r="18" customFormat="false" ht="16.15" hidden="false" customHeight="false" outlineLevel="0" collapsed="false">
      <c r="A18" s="11" t="s">
        <v>22</v>
      </c>
      <c r="B18" s="3"/>
      <c r="C18" s="3"/>
      <c r="D18" s="3"/>
      <c r="E18" s="3"/>
    </row>
    <row r="19" customFormat="false" ht="27.75" hidden="false" customHeight="true" outlineLevel="0" collapsed="false">
      <c r="A19" s="3" t="s">
        <v>23</v>
      </c>
      <c r="B19" s="14" t="s">
        <v>24</v>
      </c>
      <c r="C19" s="14"/>
      <c r="D19" s="14"/>
      <c r="E19" s="14"/>
    </row>
    <row r="20" customFormat="false" ht="27.75" hidden="false" customHeight="true" outlineLevel="0" collapsed="false">
      <c r="A20" s="3" t="s">
        <v>23</v>
      </c>
      <c r="B20" s="14" t="s">
        <v>25</v>
      </c>
      <c r="C20" s="14"/>
      <c r="D20" s="14"/>
      <c r="E20" s="14"/>
    </row>
    <row r="21" customFormat="false" ht="27.75" hidden="false" customHeight="true" outlineLevel="0" collapsed="false">
      <c r="A21" s="3" t="s">
        <v>23</v>
      </c>
      <c r="B21" s="14" t="s">
        <v>26</v>
      </c>
      <c r="C21" s="14"/>
      <c r="D21" s="14"/>
      <c r="E21" s="14"/>
    </row>
    <row r="22" customFormat="false" ht="27.75" hidden="false" customHeight="true" outlineLevel="0" collapsed="false">
      <c r="A22" s="3" t="s">
        <v>23</v>
      </c>
      <c r="B22" s="14" t="s">
        <v>27</v>
      </c>
      <c r="C22" s="14"/>
      <c r="D22" s="14"/>
      <c r="E22" s="14"/>
    </row>
    <row r="23" customFormat="false" ht="27.75" hidden="false" customHeight="true" outlineLevel="0" collapsed="false">
      <c r="A23" s="3" t="s">
        <v>23</v>
      </c>
      <c r="B23" s="14" t="s">
        <v>28</v>
      </c>
      <c r="C23" s="14"/>
      <c r="D23" s="14"/>
      <c r="E23" s="14"/>
    </row>
  </sheetData>
  <mergeCells count="7">
    <mergeCell ref="A1:E1"/>
    <mergeCell ref="A2:E2"/>
    <mergeCell ref="B19:E19"/>
    <mergeCell ref="B20:E20"/>
    <mergeCell ref="B21:E21"/>
    <mergeCell ref="B22:E22"/>
    <mergeCell ref="B23:E23"/>
  </mergeCells>
  <dataValidations count="5">
    <dataValidation allowBlank="false" error="Enter a value within the stated range." errorStyle="stop" errorTitle="Invalid input" operator="between" showDropDown="false" showErrorMessage="true" showInputMessage="false" sqref="B5" type="decimal">
      <formula1>0</formula1>
      <formula2>100000</formula2>
    </dataValidation>
    <dataValidation allowBlank="false" error="Enter a value within the stated range." errorStyle="stop" errorTitle="Invalid input" operator="between" showDropDown="false" showErrorMessage="true" showInputMessage="false" sqref="B6" type="decimal">
      <formula1>0.5</formula1>
      <formula2>2</formula2>
    </dataValidation>
    <dataValidation allowBlank="false" error="Enter a value within the stated range." errorStyle="stop" errorTitle="Invalid input" operator="between" showDropDown="false" showErrorMessage="true" showInputMessage="false" sqref="B7" type="decimal">
      <formula1>0</formula1>
      <formula2>0.2</formula2>
    </dataValidation>
    <dataValidation allowBlank="false" error="Enter a value within the stated range." errorStyle="stop" errorTitle="Invalid input" operator="between" showDropDown="false" showErrorMessage="true" showInputMessage="false" sqref="B8" type="list">
      <formula1>"0,1"</formula1>
      <formula2>0</formula2>
    </dataValidation>
    <dataValidation allowBlank="false" error="Enter a value within the stated range." errorStyle="stop" errorTitle="Invalid input" operator="between" showDropDown="false" showErrorMessage="true" showInputMessage="false" sqref="B9" type="list">
      <formula1>"20250927,20250928,20250929"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9"/>
    <col collapsed="false" customWidth="true" hidden="false" outlineLevel="0" max="10" min="9" style="0" width="2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4" min="13" style="0" width="22"/>
    <col collapsed="false" customWidth="true" hidden="false" outlineLevel="0" max="16" min="15" style="0" width="20"/>
    <col collapsed="false" customWidth="true" hidden="false" outlineLevel="0" max="18" min="17" style="0" width="16"/>
    <col collapsed="false" customWidth="true" hidden="false" outlineLevel="0" max="19" min="19" style="0" width="70"/>
  </cols>
  <sheetData>
    <row r="1" customFormat="false" ht="30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1.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31.5" hidden="false" customHeight="tru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47</v>
      </c>
      <c r="R4" s="4" t="s">
        <v>48</v>
      </c>
      <c r="S4" s="4" t="s">
        <v>49</v>
      </c>
    </row>
    <row r="5" customFormat="false" ht="28.35" hidden="false" customHeight="false" outlineLevel="0" collapsed="false">
      <c r="A5" s="3" t="s">
        <v>50</v>
      </c>
      <c r="B5" s="3" t="n">
        <v>20250927</v>
      </c>
      <c r="C5" s="3" t="s">
        <v>51</v>
      </c>
      <c r="D5" s="3" t="n">
        <v>258</v>
      </c>
      <c r="E5" s="3" t="str">
        <f aca="false">IF(AND(B5&gt;=WF_ARRIVAL,B5&lt;=20251002),"YES","NO")</f>
        <v>NO</v>
      </c>
      <c r="F5" s="3" t="str">
        <f aca="false">IF(AND(E5="YES",B5&lt;=20251001),"YES","NO")</f>
        <v>NO</v>
      </c>
      <c r="G5" s="15" t="n">
        <v>223</v>
      </c>
      <c r="H5" s="15" t="n">
        <v>218</v>
      </c>
      <c r="I5" s="15" t="n">
        <f aca="false">IF(F5="YES",MIN(G5,H5),0)</f>
        <v>0</v>
      </c>
      <c r="J5" s="15" t="n">
        <f aca="false">I5*12%</f>
        <v>0</v>
      </c>
      <c r="K5" s="15" t="n">
        <v>92</v>
      </c>
      <c r="L5" s="10" t="n">
        <f aca="false">IF(E5="NO",0,IF(OR(B5=WF_ARRIVAL,B5=20251002),75%,100%))</f>
        <v>0</v>
      </c>
      <c r="M5" s="15" t="n">
        <f aca="false">K5*L5</f>
        <v>0</v>
      </c>
      <c r="N5" s="15" t="n">
        <f aca="false">IF(AND(E5="YES",B5=20250929,WF_GOV_BREAKFAST_0929=1),23,0)</f>
        <v>0</v>
      </c>
      <c r="O5" s="15" t="n">
        <f aca="false">IF(AND(E5="YES",OR(B5=20250929,B5=20250930,B5=20251001,B5=20251002)),26,0)</f>
        <v>0</v>
      </c>
      <c r="P5" s="15" t="n">
        <f aca="false">IF(AND(E5="YES",OR(B5=20250928,B5=20251001)),38,0)</f>
        <v>0</v>
      </c>
      <c r="Q5" s="15" t="n">
        <v>5</v>
      </c>
      <c r="R5" s="15" t="n">
        <f aca="false">IF(E5="NO",0,MAX(Q5,M5-N5-O5-P5))</f>
        <v>0</v>
      </c>
      <c r="S5" s="16" t="s">
        <v>52</v>
      </c>
    </row>
    <row r="6" customFormat="false" ht="15" hidden="false" customHeight="false" outlineLevel="0" collapsed="false">
      <c r="A6" s="3" t="s">
        <v>50</v>
      </c>
      <c r="B6" s="3" t="n">
        <v>20250928</v>
      </c>
      <c r="C6" s="3" t="s">
        <v>51</v>
      </c>
      <c r="D6" s="3" t="n">
        <v>258</v>
      </c>
      <c r="E6" s="3" t="str">
        <f aca="false">IF(AND(B6&gt;=WF_ARRIVAL,B6&lt;=20251002),"YES","NO")</f>
        <v>YES</v>
      </c>
      <c r="F6" s="3" t="str">
        <f aca="false">IF(AND(E6="YES",B6&lt;=20251001),"YES","NO")</f>
        <v>YES</v>
      </c>
      <c r="G6" s="15" t="n">
        <v>223</v>
      </c>
      <c r="H6" s="15" t="n">
        <v>218</v>
      </c>
      <c r="I6" s="15" t="n">
        <f aca="false">IF(F6="YES",MIN(G6,H6),0)</f>
        <v>218</v>
      </c>
      <c r="J6" s="15" t="n">
        <f aca="false">I6*12%</f>
        <v>26.16</v>
      </c>
      <c r="K6" s="15" t="n">
        <v>92</v>
      </c>
      <c r="L6" s="10" t="n">
        <f aca="false">IF(E6="NO",0,IF(OR(B6=WF_ARRIVAL,B6=20251002),75%,100%))</f>
        <v>0.75</v>
      </c>
      <c r="M6" s="15" t="n">
        <f aca="false">K6*L6</f>
        <v>69</v>
      </c>
      <c r="N6" s="15" t="n">
        <f aca="false">IF(AND(E6="YES",B6=20250929,WF_GOV_BREAKFAST_0929=1),23,0)</f>
        <v>0</v>
      </c>
      <c r="O6" s="15" t="n">
        <f aca="false">IF(AND(E6="YES",OR(B6=20250929,B6=20250930,B6=20251001,B6=20251002)),26,0)</f>
        <v>0</v>
      </c>
      <c r="P6" s="15" t="n">
        <f aca="false">IF(AND(E6="YES",OR(B6=20250928,B6=20251001)),38,0)</f>
        <v>38</v>
      </c>
      <c r="Q6" s="15" t="n">
        <v>5</v>
      </c>
      <c r="R6" s="15" t="n">
        <f aca="false">IF(E6="NO",0,MAX(Q6,M6-N6-O6-P6))</f>
        <v>31</v>
      </c>
      <c r="S6" s="16" t="s">
        <v>53</v>
      </c>
    </row>
    <row r="7" customFormat="false" ht="28.35" hidden="false" customHeight="false" outlineLevel="0" collapsed="false">
      <c r="A7" s="3" t="s">
        <v>50</v>
      </c>
      <c r="B7" s="3" t="n">
        <v>20250929</v>
      </c>
      <c r="C7" s="3" t="s">
        <v>51</v>
      </c>
      <c r="D7" s="3" t="n">
        <v>258</v>
      </c>
      <c r="E7" s="3" t="str">
        <f aca="false">IF(AND(B7&gt;=WF_ARRIVAL,B7&lt;=20251002),"YES","NO")</f>
        <v>YES</v>
      </c>
      <c r="F7" s="3" t="str">
        <f aca="false">IF(AND(E7="YES",B7&lt;=20251001),"YES","NO")</f>
        <v>YES</v>
      </c>
      <c r="G7" s="15" t="n">
        <v>223</v>
      </c>
      <c r="H7" s="15" t="n">
        <v>218</v>
      </c>
      <c r="I7" s="15" t="n">
        <f aca="false">IF(F7="YES",MIN(G7,H7),0)</f>
        <v>218</v>
      </c>
      <c r="J7" s="15" t="n">
        <f aca="false">I7*12%</f>
        <v>26.16</v>
      </c>
      <c r="K7" s="15" t="n">
        <v>92</v>
      </c>
      <c r="L7" s="10" t="n">
        <f aca="false">IF(E7="NO",0,IF(OR(B7=WF_ARRIVAL,B7=20251002),75%,100%))</f>
        <v>1</v>
      </c>
      <c r="M7" s="15" t="n">
        <f aca="false">K7*L7</f>
        <v>92</v>
      </c>
      <c r="N7" s="15" t="n">
        <f aca="false">IF(AND(E7="YES",B7=20250929,WF_GOV_BREAKFAST_0929=1),23,0)</f>
        <v>0</v>
      </c>
      <c r="O7" s="15" t="n">
        <f aca="false">IF(AND(E7="YES",OR(B7=20250929,B7=20250930,B7=20251001,B7=20251002)),26,0)</f>
        <v>26</v>
      </c>
      <c r="P7" s="15" t="n">
        <f aca="false">IF(AND(E7="YES",OR(B7=20250928,B7=20251001)),38,0)</f>
        <v>0</v>
      </c>
      <c r="Q7" s="15" t="n">
        <v>5</v>
      </c>
      <c r="R7" s="15" t="n">
        <f aca="false">IF(E7="NO",0,MAX(Q7,M7-N7-O7-P7))</f>
        <v>66</v>
      </c>
      <c r="S7" s="16" t="s">
        <v>54</v>
      </c>
    </row>
    <row r="8" customFormat="false" ht="28.35" hidden="false" customHeight="false" outlineLevel="0" collapsed="false">
      <c r="A8" s="3" t="s">
        <v>50</v>
      </c>
      <c r="B8" s="3" t="n">
        <v>20250930</v>
      </c>
      <c r="C8" s="3" t="s">
        <v>51</v>
      </c>
      <c r="D8" s="3" t="n">
        <v>258</v>
      </c>
      <c r="E8" s="3" t="str">
        <f aca="false">IF(AND(B8&gt;=WF_ARRIVAL,B8&lt;=20251002),"YES","NO")</f>
        <v>YES</v>
      </c>
      <c r="F8" s="3" t="str">
        <f aca="false">IF(AND(E8="YES",B8&lt;=20251001),"YES","NO")</f>
        <v>YES</v>
      </c>
      <c r="G8" s="15" t="n">
        <v>223</v>
      </c>
      <c r="H8" s="15" t="n">
        <v>218</v>
      </c>
      <c r="I8" s="15" t="n">
        <f aca="false">IF(F8="YES",MIN(G8,H8),0)</f>
        <v>218</v>
      </c>
      <c r="J8" s="15" t="n">
        <f aca="false">I8*12%</f>
        <v>26.16</v>
      </c>
      <c r="K8" s="15" t="n">
        <v>92</v>
      </c>
      <c r="L8" s="10" t="n">
        <f aca="false">IF(E8="NO",0,IF(OR(B8=WF_ARRIVAL,B8=20251002),75%,100%))</f>
        <v>1</v>
      </c>
      <c r="M8" s="15" t="n">
        <f aca="false">K8*L8</f>
        <v>92</v>
      </c>
      <c r="N8" s="15" t="n">
        <f aca="false">IF(AND(E8="YES",B8=20250929,WF_GOV_BREAKFAST_0929=1),23,0)</f>
        <v>0</v>
      </c>
      <c r="O8" s="15" t="n">
        <f aca="false">IF(AND(E8="YES",OR(B8=20250929,B8=20250930,B8=20251001,B8=20251002)),26,0)</f>
        <v>26</v>
      </c>
      <c r="P8" s="15" t="n">
        <f aca="false">IF(AND(E8="YES",OR(B8=20250928,B8=20251001)),38,0)</f>
        <v>0</v>
      </c>
      <c r="Q8" s="15" t="n">
        <v>5</v>
      </c>
      <c r="R8" s="15" t="n">
        <f aca="false">IF(E8="NO",0,MAX(Q8,M8-N8-O8-P8))</f>
        <v>66</v>
      </c>
      <c r="S8" s="16" t="s">
        <v>55</v>
      </c>
    </row>
    <row r="9" customFormat="false" ht="28.35" hidden="false" customHeight="false" outlineLevel="0" collapsed="false">
      <c r="A9" s="3" t="s">
        <v>50</v>
      </c>
      <c r="B9" s="3" t="n">
        <v>20251001</v>
      </c>
      <c r="C9" s="3" t="s">
        <v>56</v>
      </c>
      <c r="D9" s="3" t="n">
        <v>254</v>
      </c>
      <c r="E9" s="3" t="str">
        <f aca="false">IF(AND(B9&gt;=WF_ARRIVAL,B9&lt;=20251002),"YES","NO")</f>
        <v>YES</v>
      </c>
      <c r="F9" s="3" t="str">
        <f aca="false">IF(AND(E9="YES",B9&lt;=20251001),"YES","NO")</f>
        <v>YES</v>
      </c>
      <c r="G9" s="15" t="n">
        <v>223</v>
      </c>
      <c r="H9" s="15" t="n">
        <v>218</v>
      </c>
      <c r="I9" s="15" t="n">
        <f aca="false">IF(F9="YES",MIN(G9,H9),0)</f>
        <v>218</v>
      </c>
      <c r="J9" s="15" t="n">
        <f aca="false">I9*12%</f>
        <v>26.16</v>
      </c>
      <c r="K9" s="15" t="n">
        <v>92</v>
      </c>
      <c r="L9" s="10" t="n">
        <f aca="false">IF(E9="NO",0,IF(OR(B9=WF_ARRIVAL,B9=20251002),75%,100%))</f>
        <v>1</v>
      </c>
      <c r="M9" s="15" t="n">
        <f aca="false">K9*L9</f>
        <v>92</v>
      </c>
      <c r="N9" s="15" t="n">
        <f aca="false">IF(AND(E9="YES",B9=20250929,WF_GOV_BREAKFAST_0929=1),23,0)</f>
        <v>0</v>
      </c>
      <c r="O9" s="15" t="n">
        <f aca="false">IF(AND(E9="YES",OR(B9=20250929,B9=20250930,B9=20251001,B9=20251002)),26,0)</f>
        <v>26</v>
      </c>
      <c r="P9" s="15" t="n">
        <f aca="false">IF(AND(E9="YES",OR(B9=20250928,B9=20251001)),38,0)</f>
        <v>38</v>
      </c>
      <c r="Q9" s="15" t="n">
        <v>5</v>
      </c>
      <c r="R9" s="15" t="n">
        <f aca="false">IF(E9="NO",0,MAX(Q9,M9-N9-O9-P9))</f>
        <v>28</v>
      </c>
      <c r="S9" s="16" t="s">
        <v>57</v>
      </c>
    </row>
    <row r="10" customFormat="false" ht="15" hidden="false" customHeight="false" outlineLevel="0" collapsed="false">
      <c r="A10" s="3" t="s">
        <v>50</v>
      </c>
      <c r="B10" s="3" t="n">
        <v>20251002</v>
      </c>
      <c r="C10" s="3" t="s">
        <v>56</v>
      </c>
      <c r="D10" s="3" t="n">
        <v>254</v>
      </c>
      <c r="E10" s="3" t="str">
        <f aca="false">IF(AND(B10&gt;=WF_ARRIVAL,B10&lt;=20251002),"YES","NO")</f>
        <v>YES</v>
      </c>
      <c r="F10" s="3" t="str">
        <f aca="false">IF(AND(E10="YES",B10&lt;=20251001),"YES","NO")</f>
        <v>NO</v>
      </c>
      <c r="G10" s="15" t="n">
        <v>223</v>
      </c>
      <c r="H10" s="15" t="n">
        <v>218</v>
      </c>
      <c r="I10" s="15" t="n">
        <f aca="false">IF(F10="YES",MIN(G10,H10),0)</f>
        <v>0</v>
      </c>
      <c r="J10" s="15" t="n">
        <f aca="false">I10*12%</f>
        <v>0</v>
      </c>
      <c r="K10" s="15" t="n">
        <v>92</v>
      </c>
      <c r="L10" s="10" t="n">
        <f aca="false">IF(E10="NO",0,IF(OR(B10=WF_ARRIVAL,B10=20251002),75%,100%))</f>
        <v>0.75</v>
      </c>
      <c r="M10" s="15" t="n">
        <f aca="false">K10*L10</f>
        <v>69</v>
      </c>
      <c r="N10" s="15" t="n">
        <f aca="false">IF(AND(E10="YES",B10=20250929,WF_GOV_BREAKFAST_0929=1),23,0)</f>
        <v>0</v>
      </c>
      <c r="O10" s="15" t="n">
        <f aca="false">IF(AND(E10="YES",OR(B10=20250929,B10=20250930,B10=20251001,B10=20251002)),26,0)</f>
        <v>26</v>
      </c>
      <c r="P10" s="15" t="n">
        <f aca="false">IF(AND(E10="YES",OR(B10=20250928,B10=20251001)),38,0)</f>
        <v>0</v>
      </c>
      <c r="Q10" s="15" t="n">
        <v>5</v>
      </c>
      <c r="R10" s="15" t="n">
        <f aca="false">IF(E10="NO",0,MAX(Q10,M10-N10-O10-P10))</f>
        <v>43</v>
      </c>
      <c r="S10" s="16" t="s">
        <v>58</v>
      </c>
    </row>
    <row r="11" customFormat="false" ht="28.35" hidden="false" customHeight="false" outlineLevel="0" collapsed="false">
      <c r="A11" s="3" t="s">
        <v>59</v>
      </c>
      <c r="B11" s="3" t="n">
        <v>20250927</v>
      </c>
      <c r="C11" s="3" t="s">
        <v>51</v>
      </c>
      <c r="D11" s="3" t="n">
        <v>109</v>
      </c>
      <c r="E11" s="3" t="str">
        <f aca="false">IF(AND(B11&gt;=WF_ARRIVAL,B11&lt;=20251002),"YES","NO")</f>
        <v>NO</v>
      </c>
      <c r="F11" s="3" t="str">
        <f aca="false">IF(AND(E11="YES",B11&lt;=20251001),"YES","NO")</f>
        <v>NO</v>
      </c>
      <c r="G11" s="15" t="n">
        <v>215</v>
      </c>
      <c r="H11" s="15" t="n">
        <v>209</v>
      </c>
      <c r="I11" s="15" t="n">
        <f aca="false">IF(F11="YES",MIN(G11,H11),0)</f>
        <v>0</v>
      </c>
      <c r="J11" s="15" t="n">
        <f aca="false">I11*12%</f>
        <v>0</v>
      </c>
      <c r="K11" s="15" t="n">
        <v>92</v>
      </c>
      <c r="L11" s="10" t="n">
        <f aca="false">IF(E11="NO",0,IF(OR(B11=WF_ARRIVAL,B11=20251002),75%,100%))</f>
        <v>0</v>
      </c>
      <c r="M11" s="15" t="n">
        <f aca="false">K11*L11</f>
        <v>0</v>
      </c>
      <c r="N11" s="15" t="n">
        <f aca="false">IF(AND(E11="YES",B11=20250929,WF_GOV_BREAKFAST_0929=1),23,0)</f>
        <v>0</v>
      </c>
      <c r="O11" s="15" t="n">
        <f aca="false">IF(AND(E11="YES",OR(B11=20250929,B11=20250930,B11=20251001,B11=20251002)),26,0)</f>
        <v>0</v>
      </c>
      <c r="P11" s="15" t="n">
        <f aca="false">IF(AND(E11="YES",OR(B11=20250928,B11=20251001)),38,0)</f>
        <v>0</v>
      </c>
      <c r="Q11" s="15" t="n">
        <v>5</v>
      </c>
      <c r="R11" s="15" t="n">
        <f aca="false">IF(E11="NO",0,MAX(Q11,M11-N11-O11-P11))</f>
        <v>0</v>
      </c>
      <c r="S11" s="16" t="s">
        <v>52</v>
      </c>
    </row>
    <row r="12" customFormat="false" ht="15" hidden="false" customHeight="false" outlineLevel="0" collapsed="false">
      <c r="A12" s="3" t="s">
        <v>59</v>
      </c>
      <c r="B12" s="3" t="n">
        <v>20250928</v>
      </c>
      <c r="C12" s="3" t="s">
        <v>51</v>
      </c>
      <c r="D12" s="3" t="n">
        <v>109</v>
      </c>
      <c r="E12" s="3" t="str">
        <f aca="false">IF(AND(B12&gt;=WF_ARRIVAL,B12&lt;=20251002),"YES","NO")</f>
        <v>YES</v>
      </c>
      <c r="F12" s="3" t="str">
        <f aca="false">IF(AND(E12="YES",B12&lt;=20251001),"YES","NO")</f>
        <v>YES</v>
      </c>
      <c r="G12" s="15" t="n">
        <v>215</v>
      </c>
      <c r="H12" s="15" t="n">
        <v>209</v>
      </c>
      <c r="I12" s="15" t="n">
        <f aca="false">IF(F12="YES",MIN(G12,H12),0)</f>
        <v>209</v>
      </c>
      <c r="J12" s="15" t="n">
        <f aca="false">I12*12%</f>
        <v>25.08</v>
      </c>
      <c r="K12" s="15" t="n">
        <v>92</v>
      </c>
      <c r="L12" s="10" t="n">
        <f aca="false">IF(E12="NO",0,IF(OR(B12=WF_ARRIVAL,B12=20251002),75%,100%))</f>
        <v>0.75</v>
      </c>
      <c r="M12" s="15" t="n">
        <f aca="false">K12*L12</f>
        <v>69</v>
      </c>
      <c r="N12" s="15" t="n">
        <f aca="false">IF(AND(E12="YES",B12=20250929,WF_GOV_BREAKFAST_0929=1),23,0)</f>
        <v>0</v>
      </c>
      <c r="O12" s="15" t="n">
        <f aca="false">IF(AND(E12="YES",OR(B12=20250929,B12=20250930,B12=20251001,B12=20251002)),26,0)</f>
        <v>0</v>
      </c>
      <c r="P12" s="15" t="n">
        <f aca="false">IF(AND(E12="YES",OR(B12=20250928,B12=20251001)),38,0)</f>
        <v>38</v>
      </c>
      <c r="Q12" s="15" t="n">
        <v>5</v>
      </c>
      <c r="R12" s="15" t="n">
        <f aca="false">IF(E12="NO",0,MAX(Q12,M12-N12-O12-P12))</f>
        <v>31</v>
      </c>
      <c r="S12" s="16" t="s">
        <v>53</v>
      </c>
    </row>
    <row r="13" customFormat="false" ht="28.35" hidden="false" customHeight="false" outlineLevel="0" collapsed="false">
      <c r="A13" s="3" t="s">
        <v>59</v>
      </c>
      <c r="B13" s="3" t="n">
        <v>20250929</v>
      </c>
      <c r="C13" s="3" t="s">
        <v>51</v>
      </c>
      <c r="D13" s="3" t="n">
        <v>109</v>
      </c>
      <c r="E13" s="3" t="str">
        <f aca="false">IF(AND(B13&gt;=WF_ARRIVAL,B13&lt;=20251002),"YES","NO")</f>
        <v>YES</v>
      </c>
      <c r="F13" s="3" t="str">
        <f aca="false">IF(AND(E13="YES",B13&lt;=20251001),"YES","NO")</f>
        <v>YES</v>
      </c>
      <c r="G13" s="15" t="n">
        <v>215</v>
      </c>
      <c r="H13" s="15" t="n">
        <v>209</v>
      </c>
      <c r="I13" s="15" t="n">
        <f aca="false">IF(F13="YES",MIN(G13,H13),0)</f>
        <v>209</v>
      </c>
      <c r="J13" s="15" t="n">
        <f aca="false">I13*12%</f>
        <v>25.08</v>
      </c>
      <c r="K13" s="15" t="n">
        <v>92</v>
      </c>
      <c r="L13" s="10" t="n">
        <f aca="false">IF(E13="NO",0,IF(OR(B13=WF_ARRIVAL,B13=20251002),75%,100%))</f>
        <v>1</v>
      </c>
      <c r="M13" s="15" t="n">
        <f aca="false">K13*L13</f>
        <v>92</v>
      </c>
      <c r="N13" s="15" t="n">
        <f aca="false">IF(AND(E13="YES",B13=20250929,WF_GOV_BREAKFAST_0929=1),23,0)</f>
        <v>0</v>
      </c>
      <c r="O13" s="15" t="n">
        <f aca="false">IF(AND(E13="YES",OR(B13=20250929,B13=20250930,B13=20251001,B13=20251002)),26,0)</f>
        <v>26</v>
      </c>
      <c r="P13" s="15" t="n">
        <f aca="false">IF(AND(E13="YES",OR(B13=20250928,B13=20251001)),38,0)</f>
        <v>0</v>
      </c>
      <c r="Q13" s="15" t="n">
        <v>5</v>
      </c>
      <c r="R13" s="15" t="n">
        <f aca="false">IF(E13="NO",0,MAX(Q13,M13-N13-O13-P13))</f>
        <v>66</v>
      </c>
      <c r="S13" s="16" t="s">
        <v>54</v>
      </c>
    </row>
    <row r="14" customFormat="false" ht="28.35" hidden="false" customHeight="false" outlineLevel="0" collapsed="false">
      <c r="A14" s="3" t="s">
        <v>59</v>
      </c>
      <c r="B14" s="3" t="n">
        <v>20250930</v>
      </c>
      <c r="C14" s="3" t="s">
        <v>51</v>
      </c>
      <c r="D14" s="3" t="n">
        <v>109</v>
      </c>
      <c r="E14" s="3" t="str">
        <f aca="false">IF(AND(B14&gt;=WF_ARRIVAL,B14&lt;=20251002),"YES","NO")</f>
        <v>YES</v>
      </c>
      <c r="F14" s="3" t="str">
        <f aca="false">IF(AND(E14="YES",B14&lt;=20251001),"YES","NO")</f>
        <v>YES</v>
      </c>
      <c r="G14" s="15" t="n">
        <v>215</v>
      </c>
      <c r="H14" s="15" t="n">
        <v>209</v>
      </c>
      <c r="I14" s="15" t="n">
        <f aca="false">IF(F14="YES",MIN(G14,H14),0)</f>
        <v>209</v>
      </c>
      <c r="J14" s="15" t="n">
        <f aca="false">I14*12%</f>
        <v>25.08</v>
      </c>
      <c r="K14" s="15" t="n">
        <v>92</v>
      </c>
      <c r="L14" s="10" t="n">
        <f aca="false">IF(E14="NO",0,IF(OR(B14=WF_ARRIVAL,B14=20251002),75%,100%))</f>
        <v>1</v>
      </c>
      <c r="M14" s="15" t="n">
        <f aca="false">K14*L14</f>
        <v>92</v>
      </c>
      <c r="N14" s="15" t="n">
        <f aca="false">IF(AND(E14="YES",B14=20250929,WF_GOV_BREAKFAST_0929=1),23,0)</f>
        <v>0</v>
      </c>
      <c r="O14" s="15" t="n">
        <f aca="false">IF(AND(E14="YES",OR(B14=20250929,B14=20250930,B14=20251001,B14=20251002)),26,0)</f>
        <v>26</v>
      </c>
      <c r="P14" s="15" t="n">
        <f aca="false">IF(AND(E14="YES",OR(B14=20250928,B14=20251001)),38,0)</f>
        <v>0</v>
      </c>
      <c r="Q14" s="15" t="n">
        <v>5</v>
      </c>
      <c r="R14" s="15" t="n">
        <f aca="false">IF(E14="NO",0,MAX(Q14,M14-N14-O14-P14))</f>
        <v>66</v>
      </c>
      <c r="S14" s="16" t="s">
        <v>55</v>
      </c>
    </row>
    <row r="15" customFormat="false" ht="28.35" hidden="false" customHeight="false" outlineLevel="0" collapsed="false">
      <c r="A15" s="3" t="s">
        <v>59</v>
      </c>
      <c r="B15" s="3" t="n">
        <v>20251001</v>
      </c>
      <c r="C15" s="3" t="s">
        <v>56</v>
      </c>
      <c r="D15" s="3" t="n">
        <v>107</v>
      </c>
      <c r="E15" s="3" t="str">
        <f aca="false">IF(AND(B15&gt;=WF_ARRIVAL,B15&lt;=20251002),"YES","NO")</f>
        <v>YES</v>
      </c>
      <c r="F15" s="3" t="str">
        <f aca="false">IF(AND(E15="YES",B15&lt;=20251001),"YES","NO")</f>
        <v>YES</v>
      </c>
      <c r="G15" s="15" t="n">
        <v>215</v>
      </c>
      <c r="H15" s="15" t="n">
        <v>209</v>
      </c>
      <c r="I15" s="15" t="n">
        <f aca="false">IF(F15="YES",MIN(G15,H15),0)</f>
        <v>209</v>
      </c>
      <c r="J15" s="15" t="n">
        <f aca="false">I15*12%</f>
        <v>25.08</v>
      </c>
      <c r="K15" s="15" t="n">
        <v>92</v>
      </c>
      <c r="L15" s="10" t="n">
        <f aca="false">IF(E15="NO",0,IF(OR(B15=WF_ARRIVAL,B15=20251002),75%,100%))</f>
        <v>1</v>
      </c>
      <c r="M15" s="15" t="n">
        <f aca="false">K15*L15</f>
        <v>92</v>
      </c>
      <c r="N15" s="15" t="n">
        <f aca="false">IF(AND(E15="YES",B15=20250929,WF_GOV_BREAKFAST_0929=1),23,0)</f>
        <v>0</v>
      </c>
      <c r="O15" s="15" t="n">
        <f aca="false">IF(AND(E15="YES",OR(B15=20250929,B15=20250930,B15=20251001,B15=20251002)),26,0)</f>
        <v>26</v>
      </c>
      <c r="P15" s="15" t="n">
        <f aca="false">IF(AND(E15="YES",OR(B15=20250928,B15=20251001)),38,0)</f>
        <v>38</v>
      </c>
      <c r="Q15" s="15" t="n">
        <v>5</v>
      </c>
      <c r="R15" s="15" t="n">
        <f aca="false">IF(E15="NO",0,MAX(Q15,M15-N15-O15-P15))</f>
        <v>28</v>
      </c>
      <c r="S15" s="16" t="s">
        <v>57</v>
      </c>
    </row>
    <row r="16" customFormat="false" ht="15" hidden="false" customHeight="false" outlineLevel="0" collapsed="false">
      <c r="A16" s="3" t="s">
        <v>59</v>
      </c>
      <c r="B16" s="3" t="n">
        <v>20251002</v>
      </c>
      <c r="C16" s="3" t="s">
        <v>56</v>
      </c>
      <c r="D16" s="3" t="n">
        <v>107</v>
      </c>
      <c r="E16" s="3" t="str">
        <f aca="false">IF(AND(B16&gt;=WF_ARRIVAL,B16&lt;=20251002),"YES","NO")</f>
        <v>YES</v>
      </c>
      <c r="F16" s="3" t="str">
        <f aca="false">IF(AND(E16="YES",B16&lt;=20251001),"YES","NO")</f>
        <v>NO</v>
      </c>
      <c r="G16" s="15" t="n">
        <v>215</v>
      </c>
      <c r="H16" s="15" t="n">
        <v>209</v>
      </c>
      <c r="I16" s="15" t="n">
        <f aca="false">IF(F16="YES",MIN(G16,H16),0)</f>
        <v>0</v>
      </c>
      <c r="J16" s="15" t="n">
        <f aca="false">I16*12%</f>
        <v>0</v>
      </c>
      <c r="K16" s="15" t="n">
        <v>92</v>
      </c>
      <c r="L16" s="10" t="n">
        <f aca="false">IF(E16="NO",0,IF(OR(B16=WF_ARRIVAL,B16=20251002),75%,100%))</f>
        <v>0.75</v>
      </c>
      <c r="M16" s="15" t="n">
        <f aca="false">K16*L16</f>
        <v>69</v>
      </c>
      <c r="N16" s="15" t="n">
        <f aca="false">IF(AND(E16="YES",B16=20250929,WF_GOV_BREAKFAST_0929=1),23,0)</f>
        <v>0</v>
      </c>
      <c r="O16" s="15" t="n">
        <f aca="false">IF(AND(E16="YES",OR(B16=20250929,B16=20250930,B16=20251001,B16=20251002)),26,0)</f>
        <v>26</v>
      </c>
      <c r="P16" s="15" t="n">
        <f aca="false">IF(AND(E16="YES",OR(B16=20250928,B16=20251001)),38,0)</f>
        <v>0</v>
      </c>
      <c r="Q16" s="15" t="n">
        <v>5</v>
      </c>
      <c r="R16" s="15" t="n">
        <f aca="false">IF(E16="NO",0,MAX(Q16,M16-N16-O16-P16))</f>
        <v>43</v>
      </c>
      <c r="S16" s="16" t="s">
        <v>58</v>
      </c>
    </row>
    <row r="17" customFormat="false" ht="28.35" hidden="false" customHeight="false" outlineLevel="0" collapsed="false">
      <c r="A17" s="3" t="s">
        <v>60</v>
      </c>
      <c r="B17" s="3" t="n">
        <v>20250927</v>
      </c>
      <c r="C17" s="3" t="s">
        <v>51</v>
      </c>
      <c r="D17" s="3" t="n">
        <v>22</v>
      </c>
      <c r="E17" s="3" t="str">
        <f aca="false">IF(AND(B17&gt;=WF_ARRIVAL,B17&lt;=20251002),"YES","NO")</f>
        <v>NO</v>
      </c>
      <c r="F17" s="3" t="str">
        <f aca="false">IF(AND(E17="YES",B17&lt;=20251001),"YES","NO")</f>
        <v>NO</v>
      </c>
      <c r="G17" s="15" t="n">
        <v>160</v>
      </c>
      <c r="H17" s="15" t="n">
        <v>155</v>
      </c>
      <c r="I17" s="15" t="n">
        <f aca="false">IF(F17="YES",MIN(G17,H17),0)</f>
        <v>0</v>
      </c>
      <c r="J17" s="15" t="n">
        <f aca="false">I17*12%</f>
        <v>0</v>
      </c>
      <c r="K17" s="15" t="n">
        <v>86</v>
      </c>
      <c r="L17" s="10" t="n">
        <f aca="false">IF(E17="NO",0,IF(OR(B17=WF_ARRIVAL,B17=20251002),75%,100%))</f>
        <v>0</v>
      </c>
      <c r="M17" s="15" t="n">
        <f aca="false">K17*L17</f>
        <v>0</v>
      </c>
      <c r="N17" s="15" t="n">
        <f aca="false">IF(AND(E17="YES",B17=20250929,WF_GOV_BREAKFAST_0929=1),22,0)</f>
        <v>0</v>
      </c>
      <c r="O17" s="15" t="n">
        <f aca="false">IF(AND(E17="YES",OR(B17=20250929,B17=20250930,B17=20251001,B17=20251002)),23,0)</f>
        <v>0</v>
      </c>
      <c r="P17" s="15" t="n">
        <f aca="false">IF(AND(E17="YES",OR(B17=20250928,B17=20251001)),36,0)</f>
        <v>0</v>
      </c>
      <c r="Q17" s="15" t="n">
        <v>5</v>
      </c>
      <c r="R17" s="15" t="n">
        <f aca="false">IF(E17="NO",0,MAX(Q17,M17-N17-O17-P17))</f>
        <v>0</v>
      </c>
      <c r="S17" s="16" t="s">
        <v>52</v>
      </c>
    </row>
    <row r="18" customFormat="false" ht="15" hidden="false" customHeight="false" outlineLevel="0" collapsed="false">
      <c r="A18" s="3" t="s">
        <v>60</v>
      </c>
      <c r="B18" s="3" t="n">
        <v>20250928</v>
      </c>
      <c r="C18" s="3" t="s">
        <v>51</v>
      </c>
      <c r="D18" s="3" t="n">
        <v>22</v>
      </c>
      <c r="E18" s="3" t="str">
        <f aca="false">IF(AND(B18&gt;=WF_ARRIVAL,B18&lt;=20251002),"YES","NO")</f>
        <v>YES</v>
      </c>
      <c r="F18" s="3" t="str">
        <f aca="false">IF(AND(E18="YES",B18&lt;=20251001),"YES","NO")</f>
        <v>YES</v>
      </c>
      <c r="G18" s="15" t="n">
        <v>160</v>
      </c>
      <c r="H18" s="15" t="n">
        <v>155</v>
      </c>
      <c r="I18" s="15" t="n">
        <f aca="false">IF(F18="YES",MIN(G18,H18),0)</f>
        <v>155</v>
      </c>
      <c r="J18" s="15" t="n">
        <f aca="false">I18*12%</f>
        <v>18.6</v>
      </c>
      <c r="K18" s="15" t="n">
        <v>86</v>
      </c>
      <c r="L18" s="10" t="n">
        <f aca="false">IF(E18="NO",0,IF(OR(B18=WF_ARRIVAL,B18=20251002),75%,100%))</f>
        <v>0.75</v>
      </c>
      <c r="M18" s="15" t="n">
        <f aca="false">K18*L18</f>
        <v>64.5</v>
      </c>
      <c r="N18" s="15" t="n">
        <f aca="false">IF(AND(E18="YES",B18=20250929,WF_GOV_BREAKFAST_0929=1),22,0)</f>
        <v>0</v>
      </c>
      <c r="O18" s="15" t="n">
        <f aca="false">IF(AND(E18="YES",OR(B18=20250929,B18=20250930,B18=20251001,B18=20251002)),23,0)</f>
        <v>0</v>
      </c>
      <c r="P18" s="15" t="n">
        <f aca="false">IF(AND(E18="YES",OR(B18=20250928,B18=20251001)),36,0)</f>
        <v>36</v>
      </c>
      <c r="Q18" s="15" t="n">
        <v>5</v>
      </c>
      <c r="R18" s="15" t="n">
        <f aca="false">IF(E18="NO",0,MAX(Q18,M18-N18-O18-P18))</f>
        <v>28.5</v>
      </c>
      <c r="S18" s="16" t="s">
        <v>53</v>
      </c>
    </row>
    <row r="19" customFormat="false" ht="28.35" hidden="false" customHeight="false" outlineLevel="0" collapsed="false">
      <c r="A19" s="3" t="s">
        <v>60</v>
      </c>
      <c r="B19" s="3" t="n">
        <v>20250929</v>
      </c>
      <c r="C19" s="3" t="s">
        <v>51</v>
      </c>
      <c r="D19" s="3" t="n">
        <v>22</v>
      </c>
      <c r="E19" s="3" t="str">
        <f aca="false">IF(AND(B19&gt;=WF_ARRIVAL,B19&lt;=20251002),"YES","NO")</f>
        <v>YES</v>
      </c>
      <c r="F19" s="3" t="str">
        <f aca="false">IF(AND(E19="YES",B19&lt;=20251001),"YES","NO")</f>
        <v>YES</v>
      </c>
      <c r="G19" s="15" t="n">
        <v>160</v>
      </c>
      <c r="H19" s="15" t="n">
        <v>155</v>
      </c>
      <c r="I19" s="15" t="n">
        <f aca="false">IF(F19="YES",MIN(G19,H19),0)</f>
        <v>155</v>
      </c>
      <c r="J19" s="15" t="n">
        <f aca="false">I19*12%</f>
        <v>18.6</v>
      </c>
      <c r="K19" s="15" t="n">
        <v>86</v>
      </c>
      <c r="L19" s="10" t="n">
        <f aca="false">IF(E19="NO",0,IF(OR(B19=WF_ARRIVAL,B19=20251002),75%,100%))</f>
        <v>1</v>
      </c>
      <c r="M19" s="15" t="n">
        <f aca="false">K19*L19</f>
        <v>86</v>
      </c>
      <c r="N19" s="15" t="n">
        <f aca="false">IF(AND(E19="YES",B19=20250929,WF_GOV_BREAKFAST_0929=1),22,0)</f>
        <v>0</v>
      </c>
      <c r="O19" s="15" t="n">
        <f aca="false">IF(AND(E19="YES",OR(B19=20250929,B19=20250930,B19=20251001,B19=20251002)),23,0)</f>
        <v>23</v>
      </c>
      <c r="P19" s="15" t="n">
        <f aca="false">IF(AND(E19="YES",OR(B19=20250928,B19=20251001)),36,0)</f>
        <v>0</v>
      </c>
      <c r="Q19" s="15" t="n">
        <v>5</v>
      </c>
      <c r="R19" s="15" t="n">
        <f aca="false">IF(E19="NO",0,MAX(Q19,M19-N19-O19-P19))</f>
        <v>63</v>
      </c>
      <c r="S19" s="16" t="s">
        <v>54</v>
      </c>
    </row>
    <row r="20" customFormat="false" ht="28.35" hidden="false" customHeight="false" outlineLevel="0" collapsed="false">
      <c r="A20" s="3" t="s">
        <v>60</v>
      </c>
      <c r="B20" s="3" t="n">
        <v>20250930</v>
      </c>
      <c r="C20" s="3" t="s">
        <v>51</v>
      </c>
      <c r="D20" s="3" t="n">
        <v>22</v>
      </c>
      <c r="E20" s="3" t="str">
        <f aca="false">IF(AND(B20&gt;=WF_ARRIVAL,B20&lt;=20251002),"YES","NO")</f>
        <v>YES</v>
      </c>
      <c r="F20" s="3" t="str">
        <f aca="false">IF(AND(E20="YES",B20&lt;=20251001),"YES","NO")</f>
        <v>YES</v>
      </c>
      <c r="G20" s="15" t="n">
        <v>160</v>
      </c>
      <c r="H20" s="15" t="n">
        <v>155</v>
      </c>
      <c r="I20" s="15" t="n">
        <f aca="false">IF(F20="YES",MIN(G20,H20),0)</f>
        <v>155</v>
      </c>
      <c r="J20" s="15" t="n">
        <f aca="false">I20*12%</f>
        <v>18.6</v>
      </c>
      <c r="K20" s="15" t="n">
        <v>86</v>
      </c>
      <c r="L20" s="10" t="n">
        <f aca="false">IF(E20="NO",0,IF(OR(B20=WF_ARRIVAL,B20=20251002),75%,100%))</f>
        <v>1</v>
      </c>
      <c r="M20" s="15" t="n">
        <f aca="false">K20*L20</f>
        <v>86</v>
      </c>
      <c r="N20" s="15" t="n">
        <f aca="false">IF(AND(E20="YES",B20=20250929,WF_GOV_BREAKFAST_0929=1),22,0)</f>
        <v>0</v>
      </c>
      <c r="O20" s="15" t="n">
        <f aca="false">IF(AND(E20="YES",OR(B20=20250929,B20=20250930,B20=20251001,B20=20251002)),23,0)</f>
        <v>23</v>
      </c>
      <c r="P20" s="15" t="n">
        <f aca="false">IF(AND(E20="YES",OR(B20=20250928,B20=20251001)),36,0)</f>
        <v>0</v>
      </c>
      <c r="Q20" s="15" t="n">
        <v>5</v>
      </c>
      <c r="R20" s="15" t="n">
        <f aca="false">IF(E20="NO",0,MAX(Q20,M20-N20-O20-P20))</f>
        <v>63</v>
      </c>
      <c r="S20" s="16" t="s">
        <v>55</v>
      </c>
    </row>
    <row r="21" customFormat="false" ht="28.35" hidden="false" customHeight="false" outlineLevel="0" collapsed="false">
      <c r="A21" s="3" t="s">
        <v>60</v>
      </c>
      <c r="B21" s="3" t="n">
        <v>20251001</v>
      </c>
      <c r="C21" s="3" t="s">
        <v>56</v>
      </c>
      <c r="D21" s="3" t="n">
        <v>18</v>
      </c>
      <c r="E21" s="3" t="str">
        <f aca="false">IF(AND(B21&gt;=WF_ARRIVAL,B21&lt;=20251002),"YES","NO")</f>
        <v>YES</v>
      </c>
      <c r="F21" s="3" t="str">
        <f aca="false">IF(AND(E21="YES",B21&lt;=20251001),"YES","NO")</f>
        <v>YES</v>
      </c>
      <c r="G21" s="15" t="n">
        <v>160</v>
      </c>
      <c r="H21" s="15" t="n">
        <v>155</v>
      </c>
      <c r="I21" s="15" t="n">
        <f aca="false">IF(F21="YES",MIN(G21,H21),0)</f>
        <v>155</v>
      </c>
      <c r="J21" s="15" t="n">
        <f aca="false">I21*12%</f>
        <v>18.6</v>
      </c>
      <c r="K21" s="15" t="n">
        <v>86</v>
      </c>
      <c r="L21" s="10" t="n">
        <f aca="false">IF(E21="NO",0,IF(OR(B21=WF_ARRIVAL,B21=20251002),75%,100%))</f>
        <v>1</v>
      </c>
      <c r="M21" s="15" t="n">
        <f aca="false">K21*L21</f>
        <v>86</v>
      </c>
      <c r="N21" s="15" t="n">
        <f aca="false">IF(AND(E21="YES",B21=20250929,WF_GOV_BREAKFAST_0929=1),22,0)</f>
        <v>0</v>
      </c>
      <c r="O21" s="15" t="n">
        <f aca="false">IF(AND(E21="YES",OR(B21=20250929,B21=20250930,B21=20251001,B21=20251002)),23,0)</f>
        <v>23</v>
      </c>
      <c r="P21" s="15" t="n">
        <f aca="false">IF(AND(E21="YES",OR(B21=20250928,B21=20251001)),36,0)</f>
        <v>36</v>
      </c>
      <c r="Q21" s="15" t="n">
        <v>5</v>
      </c>
      <c r="R21" s="15" t="n">
        <f aca="false">IF(E21="NO",0,MAX(Q21,M21-N21-O21-P21))</f>
        <v>27</v>
      </c>
      <c r="S21" s="16" t="s">
        <v>57</v>
      </c>
    </row>
    <row r="22" customFormat="false" ht="15" hidden="false" customHeight="false" outlineLevel="0" collapsed="false">
      <c r="A22" s="3" t="s">
        <v>60</v>
      </c>
      <c r="B22" s="3" t="n">
        <v>20251002</v>
      </c>
      <c r="C22" s="3" t="s">
        <v>56</v>
      </c>
      <c r="D22" s="3" t="n">
        <v>18</v>
      </c>
      <c r="E22" s="3" t="str">
        <f aca="false">IF(AND(B22&gt;=WF_ARRIVAL,B22&lt;=20251002),"YES","NO")</f>
        <v>YES</v>
      </c>
      <c r="F22" s="3" t="str">
        <f aca="false">IF(AND(E22="YES",B22&lt;=20251001),"YES","NO")</f>
        <v>NO</v>
      </c>
      <c r="G22" s="15" t="n">
        <v>160</v>
      </c>
      <c r="H22" s="15" t="n">
        <v>155</v>
      </c>
      <c r="I22" s="15" t="n">
        <f aca="false">IF(F22="YES",MIN(G22,H22),0)</f>
        <v>0</v>
      </c>
      <c r="J22" s="15" t="n">
        <f aca="false">I22*12%</f>
        <v>0</v>
      </c>
      <c r="K22" s="15" t="n">
        <v>86</v>
      </c>
      <c r="L22" s="10" t="n">
        <f aca="false">IF(E22="NO",0,IF(OR(B22=WF_ARRIVAL,B22=20251002),75%,100%))</f>
        <v>0.75</v>
      </c>
      <c r="M22" s="15" t="n">
        <f aca="false">K22*L22</f>
        <v>64.5</v>
      </c>
      <c r="N22" s="15" t="n">
        <f aca="false">IF(AND(E22="YES",B22=20250929,WF_GOV_BREAKFAST_0929=1),22,0)</f>
        <v>0</v>
      </c>
      <c r="O22" s="15" t="n">
        <f aca="false">IF(AND(E22="YES",OR(B22=20250929,B22=20250930,B22=20251001,B22=20251002)),23,0)</f>
        <v>23</v>
      </c>
      <c r="P22" s="15" t="n">
        <f aca="false">IF(AND(E22="YES",OR(B22=20250928,B22=20251001)),36,0)</f>
        <v>0</v>
      </c>
      <c r="Q22" s="15" t="n">
        <v>5</v>
      </c>
      <c r="R22" s="15" t="n">
        <f aca="false">IF(E22="NO",0,MAX(Q22,M22-N22-O22-P22))</f>
        <v>41.5</v>
      </c>
      <c r="S22" s="16" t="s">
        <v>58</v>
      </c>
    </row>
    <row r="23" customFormat="false" ht="15" hidden="false" customHeight="false" outlineLevel="0" collapsed="false">
      <c r="A23" s="17" t="s">
        <v>61</v>
      </c>
      <c r="B23" s="17"/>
      <c r="C23" s="17"/>
      <c r="D23" s="17"/>
      <c r="E23" s="17"/>
      <c r="F23" s="17"/>
      <c r="G23" s="17"/>
      <c r="H23" s="17"/>
      <c r="I23" s="18" t="n">
        <f aca="false">SUMIF(A$5:A$22,"Chicago",I$5:I$22)</f>
        <v>872</v>
      </c>
      <c r="J23" s="18" t="n">
        <f aca="false">SUMIF(A$5:A$22,"Chicago",J$5:J$22)</f>
        <v>104.64</v>
      </c>
      <c r="K23" s="17"/>
      <c r="L23" s="17"/>
      <c r="M23" s="17"/>
      <c r="N23" s="17"/>
      <c r="O23" s="17"/>
      <c r="P23" s="17"/>
      <c r="Q23" s="17"/>
      <c r="R23" s="18" t="n">
        <f aca="false">SUMIF(A$5:A$22,"Chicago",R$5:R$22)</f>
        <v>234</v>
      </c>
      <c r="S23" s="17"/>
    </row>
    <row r="24" customFormat="false" ht="15" hidden="false" customHeight="false" outlineLevel="0" collapsed="false">
      <c r="A24" s="17" t="s">
        <v>62</v>
      </c>
      <c r="B24" s="17"/>
      <c r="C24" s="17"/>
      <c r="D24" s="17"/>
      <c r="E24" s="17"/>
      <c r="F24" s="17"/>
      <c r="G24" s="17"/>
      <c r="H24" s="17"/>
      <c r="I24" s="18" t="n">
        <f aca="false">SUMIF(A$5:A$23,"Denver",I$5:I$23)</f>
        <v>836</v>
      </c>
      <c r="J24" s="18" t="n">
        <f aca="false">SUMIF(A$5:A$23,"Denver",J$5:J$23)</f>
        <v>100.32</v>
      </c>
      <c r="K24" s="17"/>
      <c r="L24" s="17"/>
      <c r="M24" s="17"/>
      <c r="N24" s="17"/>
      <c r="O24" s="17"/>
      <c r="P24" s="17"/>
      <c r="Q24" s="17"/>
      <c r="R24" s="18" t="n">
        <f aca="false">SUMIF(A$5:A$23,"Denver",R$5:R$23)</f>
        <v>234</v>
      </c>
      <c r="S24" s="17"/>
    </row>
    <row r="25" customFormat="false" ht="15" hidden="false" customHeight="false" outlineLevel="0" collapsed="false">
      <c r="A25" s="17" t="s">
        <v>63</v>
      </c>
      <c r="B25" s="17"/>
      <c r="C25" s="17"/>
      <c r="D25" s="17"/>
      <c r="E25" s="17"/>
      <c r="F25" s="17"/>
      <c r="G25" s="17"/>
      <c r="H25" s="17"/>
      <c r="I25" s="18" t="n">
        <f aca="false">SUMIF(A$5:A$24,"Phoenix",I$5:I$24)</f>
        <v>620</v>
      </c>
      <c r="J25" s="18" t="n">
        <f aca="false">SUMIF(A$5:A$24,"Phoenix",J$5:J$24)</f>
        <v>74.4</v>
      </c>
      <c r="K25" s="17"/>
      <c r="L25" s="17"/>
      <c r="M25" s="17"/>
      <c r="N25" s="17"/>
      <c r="O25" s="17"/>
      <c r="P25" s="17"/>
      <c r="Q25" s="17"/>
      <c r="R25" s="18" t="n">
        <f aca="false">SUMIF(A$5:A$24,"Phoenix",R$5:R$24)</f>
        <v>223</v>
      </c>
      <c r="S25" s="17"/>
    </row>
  </sheetData>
  <autoFilter ref="A4:S25"/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9" min="5" style="0" width="16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8"/>
    <col collapsed="false" customWidth="true" hidden="false" outlineLevel="0" max="13" min="13" style="0" width="17"/>
    <col collapsed="false" customWidth="true" hidden="false" outlineLevel="0" max="14" min="14" style="0" width="20"/>
    <col collapsed="false" customWidth="true" hidden="false" outlineLevel="0" max="15" min="15" style="0" width="17"/>
    <col collapsed="false" customWidth="true" hidden="false" outlineLevel="0" max="16" min="16" style="0" width="20"/>
    <col collapsed="false" customWidth="true" hidden="false" outlineLevel="0" max="17" min="17" style="0" width="18"/>
    <col collapsed="false" customWidth="true" hidden="false" outlineLevel="0" max="18" min="18" style="0" width="17"/>
    <col collapsed="false" customWidth="true" hidden="false" outlineLevel="0" max="19" min="19" style="0" width="18"/>
    <col collapsed="false" customWidth="true" hidden="false" outlineLevel="0" max="20" min="20" style="0" width="17"/>
    <col collapsed="false" customWidth="true" hidden="false" outlineLevel="0" max="21" min="21" style="0" width="74"/>
    <col collapsed="false" customWidth="true" hidden="false" outlineLevel="0" max="22" min="22" style="0" width="18"/>
  </cols>
  <sheetData>
    <row r="1" customFormat="false" ht="30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1.5" hidden="false" customHeight="true" outlineLevel="0" collapsed="false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31.5" hidden="false" customHeight="true" outlineLevel="0" collapsed="false">
      <c r="A4" s="4" t="s">
        <v>31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 t="s">
        <v>83</v>
      </c>
      <c r="T4" s="4" t="s">
        <v>84</v>
      </c>
      <c r="U4" s="4" t="s">
        <v>85</v>
      </c>
      <c r="V4" s="4" t="s">
        <v>86</v>
      </c>
    </row>
    <row r="5" customFormat="false" ht="15" hidden="false" customHeight="false" outlineLevel="0" collapsed="false">
      <c r="A5" s="3" t="s">
        <v>50</v>
      </c>
      <c r="B5" s="3" t="n">
        <v>18</v>
      </c>
      <c r="C5" s="15" t="n">
        <f aca="false">410*WF_AIR_MULTIPLIER*B5</f>
        <v>7380</v>
      </c>
      <c r="D5" s="15" t="n">
        <v>1440</v>
      </c>
      <c r="E5" s="15" t="n">
        <v>3240</v>
      </c>
      <c r="F5" s="15" t="n">
        <f aca="false">SUM(Daily!I5:I10)*B5</f>
        <v>15696</v>
      </c>
      <c r="G5" s="15" t="n">
        <f aca="false">SUM(Daily!J5:J10)*B5</f>
        <v>1883.52</v>
      </c>
      <c r="H5" s="15" t="n">
        <f aca="false">SUM(Daily!R5:R10)*B5</f>
        <v>4212</v>
      </c>
      <c r="I5" s="15" t="n">
        <v>9500</v>
      </c>
      <c r="J5" s="15" t="n">
        <f aca="false">SUM(C5:I5)</f>
        <v>43351.52</v>
      </c>
      <c r="K5" s="15" t="n">
        <f aca="false">J5*WF_RESERVE_RATE</f>
        <v>2167.576</v>
      </c>
      <c r="L5" s="15" t="n">
        <f aca="false">J5+K5</f>
        <v>45519.096</v>
      </c>
      <c r="M5" s="15" t="n">
        <f aca="false">WF_BUDGET-L5</f>
        <v>7480.904</v>
      </c>
      <c r="N5" s="3" t="str">
        <f aca="false">IF(MAX(Daily!H5:H10)&lt;=MIN(Daily!G5:G10),"WITHIN CAP","OVER CAP")</f>
        <v>WITHIN CAP</v>
      </c>
      <c r="O5" s="3" t="str">
        <f aca="false">IF(AND(L5&lt;=WF_BUDGET,N5="WITHIN CAP"),"YES","NO")</f>
        <v>YES</v>
      </c>
      <c r="P5" s="15" t="n">
        <f aca="false">C5*1.2</f>
        <v>8856</v>
      </c>
      <c r="Q5" s="15" t="n">
        <f aca="false">J5-C5+P5</f>
        <v>44827.52</v>
      </c>
      <c r="R5" s="15" t="n">
        <f aca="false">Q5*WF_RESERVE_RATE</f>
        <v>2241.376</v>
      </c>
      <c r="S5" s="15" t="n">
        <f aca="false">Q5+R5</f>
        <v>47068.896</v>
      </c>
      <c r="T5" s="3" t="str">
        <f aca="false">IF(S5&lt;=WF_BUDGET,"YES","NO")</f>
        <v>YES</v>
      </c>
      <c r="U5" s="16" t="str">
        <f aca="false">IF(T5="YES","Proceed within current ceiling.","Do not obligate: reprice airfare, move to an eligible option, reduce attendance where authorized, or obtain a higher approved ceiling.")</f>
        <v>Proceed within current ceiling.</v>
      </c>
      <c r="V5" s="19" t="n">
        <f aca="false">IF(O5="YES",(24-B5)*1000000000+L5+ROW()/1000000,1000000000000000)</f>
        <v>6000045519.096</v>
      </c>
    </row>
    <row r="6" customFormat="false" ht="28.35" hidden="false" customHeight="false" outlineLevel="0" collapsed="false">
      <c r="A6" s="3" t="s">
        <v>50</v>
      </c>
      <c r="B6" s="3" t="n">
        <v>24</v>
      </c>
      <c r="C6" s="15" t="n">
        <f aca="false">410*WF_AIR_MULTIPLIER*B6</f>
        <v>9840</v>
      </c>
      <c r="D6" s="15" t="n">
        <v>1920</v>
      </c>
      <c r="E6" s="15" t="n">
        <v>4320</v>
      </c>
      <c r="F6" s="15" t="n">
        <f aca="false">SUM(Daily!I5:I10)*B6</f>
        <v>20928</v>
      </c>
      <c r="G6" s="15" t="n">
        <f aca="false">SUM(Daily!J5:J10)*B6</f>
        <v>2511.36</v>
      </c>
      <c r="H6" s="15" t="n">
        <f aca="false">SUM(Daily!R5:R10)*B6</f>
        <v>5616</v>
      </c>
      <c r="I6" s="15" t="n">
        <v>9500</v>
      </c>
      <c r="J6" s="15" t="n">
        <f aca="false">SUM(C6:I6)</f>
        <v>54635.36</v>
      </c>
      <c r="K6" s="15" t="n">
        <f aca="false">J6*WF_RESERVE_RATE</f>
        <v>2731.768</v>
      </c>
      <c r="L6" s="15" t="n">
        <f aca="false">J6+K6</f>
        <v>57367.128</v>
      </c>
      <c r="M6" s="15" t="n">
        <f aca="false">WF_BUDGET-L6</f>
        <v>-4367.128</v>
      </c>
      <c r="N6" s="3" t="str">
        <f aca="false">IF(MAX(Daily!H5:H10)&lt;=MIN(Daily!G5:G10),"WITHIN CAP","OVER CAP")</f>
        <v>WITHIN CAP</v>
      </c>
      <c r="O6" s="3" t="str">
        <f aca="false">IF(AND(L6&lt;=WF_BUDGET,N6="WITHIN CAP"),"YES","NO")</f>
        <v>NO</v>
      </c>
      <c r="P6" s="15" t="n">
        <f aca="false">C6*1.2</f>
        <v>11808</v>
      </c>
      <c r="Q6" s="15" t="n">
        <f aca="false">J6-C6+P6</f>
        <v>56603.36</v>
      </c>
      <c r="R6" s="15" t="n">
        <f aca="false">Q6*WF_RESERVE_RATE</f>
        <v>2830.168</v>
      </c>
      <c r="S6" s="15" t="n">
        <f aca="false">Q6+R6</f>
        <v>59433.528</v>
      </c>
      <c r="T6" s="3" t="str">
        <f aca="false">IF(S6&lt;=WF_BUDGET,"YES","NO")</f>
        <v>NO</v>
      </c>
      <c r="U6" s="16" t="str">
        <f aca="false">IF(T6="YES","Proceed within current ceiling.","Do not obligate: reprice airfare, move to an eligible option, reduce attendance where authorized, or obtain a higher approved ceiling.")</f>
        <v>Do not obligate: reprice airfare, move to an eligible option, reduce attendance where authorized, or obtain a higher approved ceiling.</v>
      </c>
      <c r="V6" s="3" t="n">
        <f aca="false">IF(O6="YES",(24-B6)*1000000000+L6+ROW()/1000000,1000000000000000)</f>
        <v>1000000000000000</v>
      </c>
    </row>
    <row r="7" customFormat="false" ht="15" hidden="false" customHeight="false" outlineLevel="0" collapsed="false">
      <c r="A7" s="3" t="s">
        <v>59</v>
      </c>
      <c r="B7" s="3" t="n">
        <v>18</v>
      </c>
      <c r="C7" s="15" t="n">
        <f aca="false">340*WF_AIR_MULTIPLIER*B7</f>
        <v>6120</v>
      </c>
      <c r="D7" s="15" t="n">
        <v>1260</v>
      </c>
      <c r="E7" s="15" t="n">
        <v>3240</v>
      </c>
      <c r="F7" s="15" t="n">
        <f aca="false">SUM(Daily!I11:I16)*B7</f>
        <v>15048</v>
      </c>
      <c r="G7" s="15" t="n">
        <f aca="false">SUM(Daily!J11:J16)*B7</f>
        <v>1805.76</v>
      </c>
      <c r="H7" s="15" t="n">
        <f aca="false">SUM(Daily!R11:R16)*B7</f>
        <v>4212</v>
      </c>
      <c r="I7" s="15" t="n">
        <v>10500</v>
      </c>
      <c r="J7" s="15" t="n">
        <f aca="false">SUM(C7:I7)</f>
        <v>42185.76</v>
      </c>
      <c r="K7" s="15" t="n">
        <f aca="false">J7*WF_RESERVE_RATE</f>
        <v>2109.288</v>
      </c>
      <c r="L7" s="15" t="n">
        <f aca="false">J7+K7</f>
        <v>44295.048</v>
      </c>
      <c r="M7" s="15" t="n">
        <f aca="false">WF_BUDGET-L7</f>
        <v>8704.95200000001</v>
      </c>
      <c r="N7" s="3" t="str">
        <f aca="false">IF(MAX(Daily!H11:H16)&lt;=MIN(Daily!G11:G16),"WITHIN CAP","OVER CAP")</f>
        <v>WITHIN CAP</v>
      </c>
      <c r="O7" s="3" t="str">
        <f aca="false">IF(AND(L7&lt;=WF_BUDGET,N7="WITHIN CAP"),"YES","NO")</f>
        <v>YES</v>
      </c>
      <c r="P7" s="15" t="n">
        <f aca="false">C7*1.2</f>
        <v>7344</v>
      </c>
      <c r="Q7" s="15" t="n">
        <f aca="false">J7-C7+P7</f>
        <v>43409.76</v>
      </c>
      <c r="R7" s="15" t="n">
        <f aca="false">Q7*WF_RESERVE_RATE</f>
        <v>2170.488</v>
      </c>
      <c r="S7" s="15" t="n">
        <f aca="false">Q7+R7</f>
        <v>45580.248</v>
      </c>
      <c r="T7" s="3" t="str">
        <f aca="false">IF(S7&lt;=WF_BUDGET,"YES","NO")</f>
        <v>YES</v>
      </c>
      <c r="U7" s="16" t="str">
        <f aca="false">IF(T7="YES","Proceed within current ceiling.","Do not obligate: reprice airfare, move to an eligible option, reduce attendance where authorized, or obtain a higher approved ceiling.")</f>
        <v>Proceed within current ceiling.</v>
      </c>
      <c r="V7" s="19" t="n">
        <f aca="false">IF(O7="YES",(24-B7)*1000000000+L7+ROW()/1000000,1000000000000000)</f>
        <v>6000044295.04801</v>
      </c>
    </row>
    <row r="8" customFormat="false" ht="28.35" hidden="false" customHeight="false" outlineLevel="0" collapsed="false">
      <c r="A8" s="3" t="s">
        <v>59</v>
      </c>
      <c r="B8" s="3" t="n">
        <v>24</v>
      </c>
      <c r="C8" s="15" t="n">
        <f aca="false">340*WF_AIR_MULTIPLIER*B8</f>
        <v>8160</v>
      </c>
      <c r="D8" s="15" t="n">
        <v>1680</v>
      </c>
      <c r="E8" s="15" t="n">
        <v>4320</v>
      </c>
      <c r="F8" s="15" t="n">
        <f aca="false">SUM(Daily!I11:I16)*B8</f>
        <v>20064</v>
      </c>
      <c r="G8" s="15" t="n">
        <f aca="false">SUM(Daily!J11:J16)*B8</f>
        <v>2407.68</v>
      </c>
      <c r="H8" s="15" t="n">
        <f aca="false">SUM(Daily!R11:R16)*B8</f>
        <v>5616</v>
      </c>
      <c r="I8" s="15" t="n">
        <v>10500</v>
      </c>
      <c r="J8" s="15" t="n">
        <f aca="false">SUM(C8:I8)</f>
        <v>52747.68</v>
      </c>
      <c r="K8" s="15" t="n">
        <f aca="false">J8*WF_RESERVE_RATE</f>
        <v>2637.384</v>
      </c>
      <c r="L8" s="15" t="n">
        <f aca="false">J8+K8</f>
        <v>55385.064</v>
      </c>
      <c r="M8" s="15" t="n">
        <f aca="false">WF_BUDGET-L8</f>
        <v>-2385.064</v>
      </c>
      <c r="N8" s="3" t="str">
        <f aca="false">IF(MAX(Daily!H11:H16)&lt;=MIN(Daily!G11:G16),"WITHIN CAP","OVER CAP")</f>
        <v>WITHIN CAP</v>
      </c>
      <c r="O8" s="3" t="str">
        <f aca="false">IF(AND(L8&lt;=WF_BUDGET,N8="WITHIN CAP"),"YES","NO")</f>
        <v>NO</v>
      </c>
      <c r="P8" s="15" t="n">
        <f aca="false">C8*1.2</f>
        <v>9792</v>
      </c>
      <c r="Q8" s="15" t="n">
        <f aca="false">J8-C8+P8</f>
        <v>54379.68</v>
      </c>
      <c r="R8" s="15" t="n">
        <f aca="false">Q8*WF_RESERVE_RATE</f>
        <v>2718.984</v>
      </c>
      <c r="S8" s="15" t="n">
        <f aca="false">Q8+R8</f>
        <v>57098.664</v>
      </c>
      <c r="T8" s="3" t="str">
        <f aca="false">IF(S8&lt;=WF_BUDGET,"YES","NO")</f>
        <v>NO</v>
      </c>
      <c r="U8" s="16" t="str">
        <f aca="false">IF(T8="YES","Proceed within current ceiling.","Do not obligate: reprice airfare, move to an eligible option, reduce attendance where authorized, or obtain a higher approved ceiling.")</f>
        <v>Do not obligate: reprice airfare, move to an eligible option, reduce attendance where authorized, or obtain a higher approved ceiling.</v>
      </c>
      <c r="V8" s="3" t="n">
        <f aca="false">IF(O8="YES",(24-B8)*1000000000+L8+ROW()/1000000,1000000000000000)</f>
        <v>1000000000000000</v>
      </c>
    </row>
    <row r="9" customFormat="false" ht="15" hidden="false" customHeight="false" outlineLevel="0" collapsed="false">
      <c r="A9" s="3" t="s">
        <v>60</v>
      </c>
      <c r="B9" s="3" t="n">
        <v>18</v>
      </c>
      <c r="C9" s="15" t="n">
        <f aca="false">510*WF_AIR_MULTIPLIER*B9</f>
        <v>9180</v>
      </c>
      <c r="D9" s="15" t="n">
        <v>1620</v>
      </c>
      <c r="E9" s="15" t="n">
        <v>3240</v>
      </c>
      <c r="F9" s="15" t="n">
        <f aca="false">SUM(Daily!I17:I22)*B9</f>
        <v>11160</v>
      </c>
      <c r="G9" s="15" t="n">
        <f aca="false">SUM(Daily!J17:J22)*B9</f>
        <v>1339.2</v>
      </c>
      <c r="H9" s="15" t="n">
        <f aca="false">SUM(Daily!R17:R22)*B9</f>
        <v>4014</v>
      </c>
      <c r="I9" s="15" t="n">
        <v>8000</v>
      </c>
      <c r="J9" s="15" t="n">
        <f aca="false">SUM(C9:I9)</f>
        <v>38553.2</v>
      </c>
      <c r="K9" s="15" t="n">
        <f aca="false">J9*WF_RESERVE_RATE</f>
        <v>1927.66</v>
      </c>
      <c r="L9" s="15" t="n">
        <f aca="false">J9+K9</f>
        <v>40480.86</v>
      </c>
      <c r="M9" s="15" t="n">
        <f aca="false">WF_BUDGET-L9</f>
        <v>12519.14</v>
      </c>
      <c r="N9" s="3" t="str">
        <f aca="false">IF(MAX(Daily!H17:H22)&lt;=MIN(Daily!G17:G22),"WITHIN CAP","OVER CAP")</f>
        <v>WITHIN CAP</v>
      </c>
      <c r="O9" s="3" t="str">
        <f aca="false">IF(AND(L9&lt;=WF_BUDGET,N9="WITHIN CAP"),"YES","NO")</f>
        <v>YES</v>
      </c>
      <c r="P9" s="15" t="n">
        <f aca="false">C9*1.2</f>
        <v>11016</v>
      </c>
      <c r="Q9" s="15" t="n">
        <f aca="false">J9-C9+P9</f>
        <v>40389.2</v>
      </c>
      <c r="R9" s="15" t="n">
        <f aca="false">Q9*WF_RESERVE_RATE</f>
        <v>2019.46</v>
      </c>
      <c r="S9" s="15" t="n">
        <f aca="false">Q9+R9</f>
        <v>42408.66</v>
      </c>
      <c r="T9" s="3" t="str">
        <f aca="false">IF(S9&lt;=WF_BUDGET,"YES","NO")</f>
        <v>YES</v>
      </c>
      <c r="U9" s="16" t="str">
        <f aca="false">IF(T9="YES","Proceed within current ceiling.","Do not obligate: reprice airfare, move to an eligible option, reduce attendance where authorized, or obtain a higher approved ceiling.")</f>
        <v>Proceed within current ceiling.</v>
      </c>
      <c r="V9" s="19" t="n">
        <f aca="false">IF(O9="YES",(24-B9)*1000000000+L9+ROW()/1000000,1000000000000000)</f>
        <v>6000040480.86001</v>
      </c>
    </row>
    <row r="10" customFormat="false" ht="41.75" hidden="false" customHeight="false" outlineLevel="0" collapsed="false">
      <c r="A10" s="3" t="s">
        <v>60</v>
      </c>
      <c r="B10" s="3" t="n">
        <v>24</v>
      </c>
      <c r="C10" s="15" t="n">
        <f aca="false">510*WF_AIR_MULTIPLIER*B10</f>
        <v>12240</v>
      </c>
      <c r="D10" s="15" t="n">
        <v>2160</v>
      </c>
      <c r="E10" s="15" t="n">
        <v>4320</v>
      </c>
      <c r="F10" s="15" t="n">
        <f aca="false">SUM(Daily!I17:I22)*B10</f>
        <v>14880</v>
      </c>
      <c r="G10" s="15" t="n">
        <f aca="false">SUM(Daily!J17:J22)*B10</f>
        <v>1785.6</v>
      </c>
      <c r="H10" s="15" t="n">
        <f aca="false">SUM(Daily!R17:R22)*B10</f>
        <v>5352</v>
      </c>
      <c r="I10" s="15" t="n">
        <v>8000</v>
      </c>
      <c r="J10" s="15" t="n">
        <f aca="false">SUM(C10:I10)</f>
        <v>48737.6</v>
      </c>
      <c r="K10" s="15" t="n">
        <f aca="false">J10*WF_RESERVE_RATE</f>
        <v>2436.88</v>
      </c>
      <c r="L10" s="15" t="n">
        <f aca="false">J10+K10</f>
        <v>51174.48</v>
      </c>
      <c r="M10" s="15" t="n">
        <f aca="false">WF_BUDGET-L10</f>
        <v>1825.52</v>
      </c>
      <c r="N10" s="3" t="str">
        <f aca="false">IF(MAX(Daily!H17:H22)&lt;=MIN(Daily!G17:G22),"WITHIN CAP","OVER CAP")</f>
        <v>WITHIN CAP</v>
      </c>
      <c r="O10" s="3" t="str">
        <f aca="false">IF(AND(L10&lt;=WF_BUDGET,N10="WITHIN CAP"),"YES","NO")</f>
        <v>YES</v>
      </c>
      <c r="P10" s="15" t="n">
        <f aca="false">C10*1.2</f>
        <v>14688</v>
      </c>
      <c r="Q10" s="15" t="n">
        <f aca="false">J10-C10+P10</f>
        <v>51185.6</v>
      </c>
      <c r="R10" s="15" t="n">
        <f aca="false">Q10*WF_RESERVE_RATE</f>
        <v>2559.28</v>
      </c>
      <c r="S10" s="15" t="n">
        <f aca="false">Q10+R10</f>
        <v>53744.88</v>
      </c>
      <c r="T10" s="3" t="str">
        <f aca="false">IF(S10&lt;=WF_BUDGET,"YES","NO")</f>
        <v>NO</v>
      </c>
      <c r="U10" s="16" t="str">
        <f aca="false">IF(T10="YES","Proceed within current ceiling.","Do not approve stressed fare at this headcount: obtain average round-trip airfare at or below "&amp;TEXT(MAX(0,(WF_BUDGET/(1+WF_RESERVE_RATE)-(J10-C10))/B10),"$#,##0.00")&amp;" per traveler, reduce to an eligible 18-person option, or obtain a higher approved ceiling before obligation.")</f>
        <v>Do not approve stressed fare at this headcount: obtain average round-trip airfare at or below $582.44 per traveler, reduce to an eligible 18-person option, or obtain a higher approved ceiling before obligation.</v>
      </c>
      <c r="V10" s="19" t="n">
        <f aca="false">IF(O10="YES",(24-B10)*1000000000+L10+ROW()/1000000,1000000000000000)</f>
        <v>51174.48001</v>
      </c>
    </row>
  </sheetData>
  <autoFilter ref="A4:V10"/>
  <mergeCells count="2">
    <mergeCell ref="A1:V1"/>
    <mergeCell ref="A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38"/>
    <col collapsed="false" customWidth="true" hidden="false" outlineLevel="0" max="5" min="5" style="0" width="45"/>
    <col collapsed="false" customWidth="true" hidden="false" outlineLevel="0" max="6" min="6" style="0" width="62"/>
    <col collapsed="false" customWidth="true" hidden="false" outlineLevel="0" max="7" min="7" style="0" width="70"/>
    <col collapsed="false" customWidth="true" hidden="false" outlineLevel="0" max="8" min="8" style="0" width="42"/>
  </cols>
  <sheetData>
    <row r="1" customFormat="false" ht="30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88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31.5" hidden="false" customHeight="true" outlineLevel="0" collapsed="false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</row>
    <row r="5" customFormat="false" ht="28.35" hidden="false" customHeight="false" outlineLevel="0" collapsed="false">
      <c r="A5" s="16" t="s">
        <v>97</v>
      </c>
      <c r="B5" s="16" t="s">
        <v>98</v>
      </c>
      <c r="C5" s="16" t="s">
        <v>99</v>
      </c>
      <c r="D5" s="16" t="s">
        <v>100</v>
      </c>
      <c r="E5" s="16" t="s">
        <v>101</v>
      </c>
      <c r="F5" s="16" t="s">
        <v>102</v>
      </c>
      <c r="G5" s="16" t="s">
        <v>103</v>
      </c>
      <c r="H5" s="16" t="s">
        <v>104</v>
      </c>
    </row>
    <row r="6" customFormat="false" ht="28.35" hidden="false" customHeight="false" outlineLevel="0" collapsed="false">
      <c r="A6" s="16" t="s">
        <v>97</v>
      </c>
      <c r="B6" s="16" t="s">
        <v>105</v>
      </c>
      <c r="C6" s="16" t="s">
        <v>106</v>
      </c>
      <c r="D6" s="16" t="s">
        <v>107</v>
      </c>
      <c r="E6" s="16" t="s">
        <v>101</v>
      </c>
      <c r="F6" s="16" t="s">
        <v>102</v>
      </c>
      <c r="G6" s="16" t="s">
        <v>108</v>
      </c>
      <c r="H6" s="16" t="s">
        <v>104</v>
      </c>
    </row>
    <row r="7" customFormat="false" ht="28.35" hidden="false" customHeight="false" outlineLevel="0" collapsed="false">
      <c r="A7" s="16" t="s">
        <v>97</v>
      </c>
      <c r="B7" s="16" t="s">
        <v>98</v>
      </c>
      <c r="C7" s="16" t="s">
        <v>109</v>
      </c>
      <c r="D7" s="16" t="s">
        <v>110</v>
      </c>
      <c r="E7" s="16" t="s">
        <v>111</v>
      </c>
      <c r="F7" s="16" t="s">
        <v>102</v>
      </c>
      <c r="G7" s="16" t="s">
        <v>103</v>
      </c>
      <c r="H7" s="16" t="s">
        <v>104</v>
      </c>
    </row>
    <row r="8" customFormat="false" ht="28.35" hidden="false" customHeight="false" outlineLevel="0" collapsed="false">
      <c r="A8" s="16" t="s">
        <v>97</v>
      </c>
      <c r="B8" s="16" t="s">
        <v>105</v>
      </c>
      <c r="C8" s="16" t="s">
        <v>112</v>
      </c>
      <c r="D8" s="16" t="s">
        <v>113</v>
      </c>
      <c r="E8" s="16" t="s">
        <v>111</v>
      </c>
      <c r="F8" s="16" t="s">
        <v>102</v>
      </c>
      <c r="G8" s="16" t="s">
        <v>108</v>
      </c>
      <c r="H8" s="16" t="s">
        <v>104</v>
      </c>
    </row>
    <row r="9" customFormat="false" ht="28.35" hidden="false" customHeight="false" outlineLevel="0" collapsed="false">
      <c r="A9" s="16" t="s">
        <v>97</v>
      </c>
      <c r="B9" s="16" t="s">
        <v>98</v>
      </c>
      <c r="C9" s="16" t="s">
        <v>114</v>
      </c>
      <c r="D9" s="16" t="s">
        <v>115</v>
      </c>
      <c r="E9" s="16" t="s">
        <v>116</v>
      </c>
      <c r="F9" s="16" t="s">
        <v>102</v>
      </c>
      <c r="G9" s="16" t="s">
        <v>103</v>
      </c>
      <c r="H9" s="16" t="s">
        <v>104</v>
      </c>
    </row>
    <row r="10" customFormat="false" ht="28.35" hidden="false" customHeight="false" outlineLevel="0" collapsed="false">
      <c r="A10" s="16" t="s">
        <v>97</v>
      </c>
      <c r="B10" s="16" t="s">
        <v>105</v>
      </c>
      <c r="C10" s="16" t="s">
        <v>117</v>
      </c>
      <c r="D10" s="16" t="s">
        <v>118</v>
      </c>
      <c r="E10" s="16" t="s">
        <v>116</v>
      </c>
      <c r="F10" s="16" t="s">
        <v>102</v>
      </c>
      <c r="G10" s="16" t="s">
        <v>108</v>
      </c>
      <c r="H10" s="16" t="s">
        <v>104</v>
      </c>
    </row>
    <row r="11" customFormat="false" ht="28.35" hidden="false" customHeight="false" outlineLevel="0" collapsed="false">
      <c r="A11" s="16" t="s">
        <v>119</v>
      </c>
      <c r="B11" s="16" t="s">
        <v>120</v>
      </c>
      <c r="C11" s="16" t="s">
        <v>121</v>
      </c>
      <c r="D11" s="16" t="s">
        <v>122</v>
      </c>
      <c r="E11" s="16" t="s">
        <v>123</v>
      </c>
      <c r="F11" s="16" t="s">
        <v>124</v>
      </c>
      <c r="G11" s="16" t="s">
        <v>125</v>
      </c>
      <c r="H11" s="16" t="s">
        <v>126</v>
      </c>
    </row>
    <row r="12" customFormat="false" ht="41.75" hidden="false" customHeight="false" outlineLevel="0" collapsed="false">
      <c r="A12" s="16" t="s">
        <v>127</v>
      </c>
      <c r="B12" s="16" t="s">
        <v>128</v>
      </c>
      <c r="C12" s="16" t="s">
        <v>129</v>
      </c>
      <c r="D12" s="16" t="s">
        <v>130</v>
      </c>
      <c r="E12" s="16" t="s">
        <v>131</v>
      </c>
      <c r="F12" s="16" t="s">
        <v>132</v>
      </c>
      <c r="G12" s="16" t="s">
        <v>133</v>
      </c>
      <c r="H12" s="16" t="s">
        <v>134</v>
      </c>
    </row>
    <row r="13" customFormat="false" ht="28.35" hidden="false" customHeight="false" outlineLevel="0" collapsed="false">
      <c r="A13" s="16" t="s">
        <v>127</v>
      </c>
      <c r="B13" s="16" t="s">
        <v>135</v>
      </c>
      <c r="C13" s="16" t="s">
        <v>136</v>
      </c>
      <c r="D13" s="16" t="s">
        <v>137</v>
      </c>
      <c r="E13" s="16" t="s">
        <v>138</v>
      </c>
      <c r="F13" s="16" t="s">
        <v>139</v>
      </c>
      <c r="G13" s="16"/>
      <c r="H13" s="16" t="s">
        <v>140</v>
      </c>
    </row>
    <row r="14" customFormat="false" ht="28.35" hidden="false" customHeight="false" outlineLevel="0" collapsed="false">
      <c r="A14" s="16" t="s">
        <v>127</v>
      </c>
      <c r="B14" s="16" t="s">
        <v>141</v>
      </c>
      <c r="C14" s="16" t="s">
        <v>142</v>
      </c>
      <c r="D14" s="16" t="s">
        <v>143</v>
      </c>
      <c r="E14" s="16" t="s">
        <v>144</v>
      </c>
      <c r="F14" s="16" t="s">
        <v>145</v>
      </c>
      <c r="G14" s="16"/>
      <c r="H14" s="16" t="s">
        <v>146</v>
      </c>
    </row>
    <row r="15" customFormat="false" ht="28.35" hidden="false" customHeight="false" outlineLevel="0" collapsed="false">
      <c r="A15" s="16" t="s">
        <v>127</v>
      </c>
      <c r="B15" s="16" t="s">
        <v>147</v>
      </c>
      <c r="C15" s="16" t="s">
        <v>148</v>
      </c>
      <c r="D15" s="16" t="s">
        <v>149</v>
      </c>
      <c r="E15" s="16" t="s">
        <v>150</v>
      </c>
      <c r="F15" s="16" t="s">
        <v>151</v>
      </c>
      <c r="G15" s="16"/>
      <c r="H15" s="16" t="s">
        <v>152</v>
      </c>
    </row>
    <row r="16" customFormat="false" ht="28.35" hidden="false" customHeight="false" outlineLevel="0" collapsed="false">
      <c r="A16" s="16" t="s">
        <v>127</v>
      </c>
      <c r="B16" s="16" t="s">
        <v>153</v>
      </c>
      <c r="C16" s="16" t="s">
        <v>154</v>
      </c>
      <c r="D16" s="16" t="s">
        <v>155</v>
      </c>
      <c r="E16" s="16" t="s">
        <v>156</v>
      </c>
      <c r="F16" s="16" t="s">
        <v>157</v>
      </c>
      <c r="G16" s="16"/>
      <c r="H16" s="16" t="s">
        <v>158</v>
      </c>
    </row>
    <row r="17" customFormat="false" ht="41.75" hidden="false" customHeight="false" outlineLevel="0" collapsed="false">
      <c r="A17" s="16" t="s">
        <v>127</v>
      </c>
      <c r="B17" s="16" t="s">
        <v>159</v>
      </c>
      <c r="C17" s="16" t="s">
        <v>160</v>
      </c>
      <c r="D17" s="16" t="s">
        <v>161</v>
      </c>
      <c r="E17" s="16" t="s">
        <v>162</v>
      </c>
      <c r="F17" s="16" t="s">
        <v>163</v>
      </c>
      <c r="G17" s="16"/>
      <c r="H17" s="16" t="s">
        <v>164</v>
      </c>
    </row>
    <row r="18" customFormat="false" ht="28.35" hidden="false" customHeight="false" outlineLevel="0" collapsed="false">
      <c r="A18" s="16" t="s">
        <v>127</v>
      </c>
      <c r="B18" s="16" t="s">
        <v>165</v>
      </c>
      <c r="C18" s="16" t="s">
        <v>166</v>
      </c>
      <c r="D18" s="16" t="s">
        <v>167</v>
      </c>
      <c r="E18" s="16" t="s">
        <v>168</v>
      </c>
      <c r="F18" s="16" t="s">
        <v>169</v>
      </c>
      <c r="G18" s="16"/>
      <c r="H18" s="16" t="s">
        <v>170</v>
      </c>
    </row>
    <row r="19" customFormat="false" ht="28.35" hidden="false" customHeight="false" outlineLevel="0" collapsed="false">
      <c r="A19" s="16" t="s">
        <v>127</v>
      </c>
      <c r="B19" s="16" t="s">
        <v>171</v>
      </c>
      <c r="C19" s="16" t="s">
        <v>172</v>
      </c>
      <c r="D19" s="16" t="s">
        <v>173</v>
      </c>
      <c r="E19" s="16" t="s">
        <v>174</v>
      </c>
      <c r="F19" s="16" t="s">
        <v>175</v>
      </c>
      <c r="G19" s="16"/>
      <c r="H19" s="16" t="s">
        <v>176</v>
      </c>
    </row>
    <row r="20" customFormat="false" ht="41.75" hidden="false" customHeight="false" outlineLevel="0" collapsed="false">
      <c r="A20" s="16" t="s">
        <v>177</v>
      </c>
      <c r="B20" s="16" t="s">
        <v>178</v>
      </c>
      <c r="C20" s="16" t="s">
        <v>179</v>
      </c>
      <c r="D20" s="16" t="s">
        <v>180</v>
      </c>
      <c r="E20" s="16" t="s">
        <v>181</v>
      </c>
      <c r="F20" s="16" t="s">
        <v>182</v>
      </c>
      <c r="G20" s="16"/>
      <c r="H20" s="16" t="s">
        <v>183</v>
      </c>
    </row>
    <row r="21" customFormat="false" ht="41.75" hidden="false" customHeight="false" outlineLevel="0" collapsed="false">
      <c r="A21" s="16" t="s">
        <v>184</v>
      </c>
      <c r="B21" s="16" t="s">
        <v>185</v>
      </c>
      <c r="C21" s="16" t="s">
        <v>186</v>
      </c>
      <c r="D21" s="16" t="s">
        <v>187</v>
      </c>
      <c r="E21" s="16" t="s">
        <v>188</v>
      </c>
      <c r="F21" s="16" t="s">
        <v>189</v>
      </c>
      <c r="G21" s="16"/>
      <c r="H21" s="16" t="s">
        <v>190</v>
      </c>
    </row>
  </sheetData>
  <autoFilter ref="A4:H21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2026-10-23T08:39:04Z</dcterms:created>
  <dc:creator>openpyxl</dc:creator>
  <dc:description/>
  <dc:language>en-US</dc:language>
  <cp:lastModifiedBy/>
  <dcterms:modified xsi:type="dcterms:W3CDTF">2026-10-23T08:39:04Z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