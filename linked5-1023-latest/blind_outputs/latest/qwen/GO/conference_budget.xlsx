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Panel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Sources" sheetId="4" state="visible" r:id="rId4"/>
  </sheets>
  <definedNames>
    <definedName name="WF_BUDGET">ControlPanel!$B$5</definedName>
    <definedName name="WF_AIR_MULTIPLIER">ControlPanel!$B$6</definedName>
    <definedName name="WF_RESERVE_RATE">ControlPanel!$B$7</definedName>
    <definedName name="WF_GOV_BREAKFAST_0929">ControlPanel!$B$8</definedName>
    <definedName name="WF_ARRIVAL">ControlPanel!$B$9</definedName>
    <definedName name="WF_SNAPSHOT_CURRENT">ControlPanel!$B$11</definedName>
    <definedName name="WF_TOTAL_CHICAGO_18">Options!T2</definedName>
    <definedName name="WF_STRESS_CHICAGO_18">Options!Z2</definedName>
    <definedName name="WF_TOTAL_CHICAGO_24">Options!T3</definedName>
    <definedName name="WF_STRESS_CHICAGO_24">Options!Z3</definedName>
    <definedName name="WF_TOTAL_DENVER_18">Options!T4</definedName>
    <definedName name="WF_STRESS_DENVER_18">Options!Z4</definedName>
    <definedName name="WF_TOTAL_DENVER_24">Options!T5</definedName>
    <definedName name="WF_STRESS_DENVER_24">Options!Z5</definedName>
    <definedName name="WF_TOTAL_PHOENIX_18">Options!T6</definedName>
    <definedName name="WF_STRESS_PHOENIX_18">Options!Z6</definedName>
    <definedName name="WF_TOTAL_PHOENIX_24">Options!T7</definedName>
    <definedName name="WF_STRESS_PHOENIX_24">Options!Z7</definedName>
    <definedName name="WF_MIE_CHICAGO_0929">Daily!U5</definedName>
    <definedName name="WF_MIE_DENVER_0929">Daily!U13</definedName>
    <definedName name="WF_MIE_PHOENIX_0929">Daily!U21</definedName>
    <definedName name="WF_SELECTED_CITY">ControlPanel!$B$15</definedName>
    <definedName name="WF_SELECTED_N">ControlPanel!$B$16</definedName>
    <definedName name="WF_STRESS_SELECTED_CITY">ControlPanel!$B$17</definedName>
    <definedName name="WF_STRESS_SELECTED_N">ControlPanel!$B$18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  <color rgb="00FFFFFF"/>
      <sz val="11"/>
    </font>
    <font>
      <b val="1"/>
    </font>
    <font>
      <b val="1"/>
      <color rgb="001F4E78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" fontId="0" fillId="3" borderId="1" pivotButton="0" quotePrefix="0" xfId="0"/>
    <xf numFmtId="0" fontId="0" fillId="0" borderId="1" pivotButton="0" quotePrefix="0" xfId="0"/>
    <xf numFmtId="2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center" wrapText="1"/>
    </xf>
    <xf numFmtId="0" fontId="6" fillId="4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14" customWidth="1" min="4" max="4"/>
    <col width="70" customWidth="1" min="5" max="5"/>
  </cols>
  <sheetData>
    <row r="1">
      <c r="A1" s="1" t="inlineStr">
        <is>
          <t>Conference Budget Control Panel</t>
        </is>
      </c>
    </row>
    <row r="2">
      <c r="A2" s="2" t="inlineStr">
        <is>
          <t>Edit the yellow cells. Daily and Options recalculate automatically.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 / Range</t>
        </is>
      </c>
      <c r="D4" s="3" t="inlineStr">
        <is>
          <t>Default</t>
        </is>
      </c>
      <c r="E4" s="3" t="inlineStr">
        <is>
          <t>Notes</t>
        </is>
      </c>
    </row>
    <row r="5">
      <c r="A5" s="4" t="inlineStr">
        <is>
          <t>WF_BUDGET</t>
        </is>
      </c>
      <c r="B5" s="5" t="n">
        <v>53000</v>
      </c>
      <c r="C5" s="6" t="inlineStr">
        <is>
          <t>USD, 0-100000</t>
        </is>
      </c>
      <c r="D5" s="6" t="n">
        <v>53000</v>
      </c>
      <c r="E5" s="6" t="inlineStr">
        <is>
          <t>Approved total including reserve. Do not exceed.</t>
        </is>
      </c>
    </row>
    <row r="6">
      <c r="A6" s="4" t="inlineStr">
        <is>
          <t>WF_AIR_MULTIPLIER</t>
        </is>
      </c>
      <c r="B6" s="5" t="n">
        <v>1</v>
      </c>
      <c r="C6" s="6" t="inlineStr">
        <is>
          <t>factor, 0.5-2.0</t>
        </is>
      </c>
      <c r="D6" s="6" t="n">
        <v>1</v>
      </c>
      <c r="E6" s="6" t="inlineStr">
        <is>
          <t>Applied uniformly to all three cities' base airfare. Stress scenario = +20% on top.</t>
        </is>
      </c>
    </row>
    <row r="7">
      <c r="A7" s="4" t="inlineStr">
        <is>
          <t>WF_RESERVE_RATE</t>
        </is>
      </c>
      <c r="B7" s="7" t="n">
        <v>0.05</v>
      </c>
      <c r="C7" s="6" t="inlineStr">
        <is>
          <t>rate, 0-0.20</t>
        </is>
      </c>
      <c r="D7" s="6" t="n">
        <v>0.05</v>
      </c>
      <c r="E7" s="6" t="inlineStr">
        <is>
          <t>Contingency applied to each plan base subtotal.</t>
        </is>
      </c>
    </row>
    <row r="8">
      <c r="A8" s="4" t="inlineStr">
        <is>
          <t>WF_GOV_BREAKFAST_0929</t>
        </is>
      </c>
      <c r="B8" s="5" t="n">
        <v>0</v>
      </c>
      <c r="C8" s="6" t="inlineStr">
        <is>
          <t>0 or 1</t>
        </is>
      </c>
      <c r="D8" s="6" t="n">
        <v>0</v>
      </c>
      <c r="E8" s="6" t="inlineStr">
        <is>
          <t>1 = government also provides 09-29 breakfast (deduct Breakfast, no procurement cost).</t>
        </is>
      </c>
    </row>
    <row r="9">
      <c r="A9" s="4" t="inlineStr">
        <is>
          <t>WF_ARRIVAL</t>
        </is>
      </c>
      <c r="B9" s="5" t="n">
        <v>20250928</v>
      </c>
      <c r="C9" s="6" t="inlineStr">
        <is>
          <t>YYYYMMDD</t>
        </is>
      </c>
      <c r="D9" s="6" t="n">
        <v>20250928</v>
      </c>
      <c r="E9" s="6" t="inlineStr">
        <is>
          <t>Allowed: 20250927, 20250928, 20250929. Return 10-02 and training/gov-meal calendar unchanged.</t>
        </is>
      </c>
    </row>
    <row r="11">
      <c r="A11" s="8" t="inlineStr">
        <is>
          <t>WF_SNAPSHOT_CURRENT</t>
        </is>
      </c>
      <c r="B11">
        <f>AND($B$5=53000,$B$6=1,$B$7=0.05,$B$8=0,$B$9=20250928)</f>
        <v/>
      </c>
      <c r="C11" t="inlineStr">
        <is>
          <t>boolean</t>
        </is>
      </c>
      <c r="E11" t="inlineStr">
        <is>
          <t>TRUE only when all 5 inputs equal defaults.</t>
        </is>
      </c>
    </row>
    <row r="12">
      <c r="A12" s="8" t="inlineStr">
        <is>
          <t>Snapshot note:</t>
        </is>
      </c>
      <c r="B12" t="inlineStr">
        <is>
          <t>The Word brief and CSV delivered herewith are static snapshots at the default parameters. If any ControlPanel input is changed, those documents MUST be regenerated; they do not auto-update.</t>
        </is>
      </c>
    </row>
    <row r="14">
      <c r="A14" s="9" t="inlineStr">
        <is>
          <t>Selected plan (max people, then lowest total)</t>
        </is>
      </c>
    </row>
    <row r="15">
      <c r="A15" t="inlineStr">
        <is>
          <t>WF_SELECTED_CITY</t>
        </is>
      </c>
      <c r="B15">
        <f>IF(MAX(Options!G12:G17)&lt;1000000000000,"NONE",INDEX(Options!A12:A17,MATCH(MAX(Options!G12:G17),Options!G12:G17,0)))</f>
        <v/>
      </c>
    </row>
    <row r="16">
      <c r="A16" t="inlineStr">
        <is>
          <t>WF_SELECTED_N</t>
        </is>
      </c>
      <c r="B16">
        <f>IF(MAX(Options!G12:G17)&lt;1000000000000,0,INDEX(Options!B12:B17,MATCH(MAX(Options!G12:G17),Options!G12:G17,0)))</f>
        <v/>
      </c>
    </row>
    <row r="17">
      <c r="A17" t="inlineStr">
        <is>
          <t>WF_STRESS_OK</t>
        </is>
      </c>
      <c r="B17">
        <f>IF(MAX(Options!H12:H17)&lt;1000000000000,"NONE",INDEX(Options!A12:A17,MATCH(MAX(Options!H12:H17),Options!H12:H17,0)))</f>
        <v/>
      </c>
    </row>
    <row r="18">
      <c r="A18" t="inlineStr">
        <is>
          <t>WF_STRESS_SELECTED_N</t>
        </is>
      </c>
      <c r="B18">
        <f>IF(MAX(Options!H12:H17)&lt;1000000000000,0,INDEX(Options!B12:B17,MATCH(MAX(Options!H12:H17),Options!H12:H17,0)))</f>
        <v/>
      </c>
    </row>
  </sheetData>
  <mergeCells count="1">
    <mergeCell ref="B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24" customWidth="1" min="4" max="4"/>
    <col width="8" customWidth="1" min="5" max="5"/>
    <col width="16" customWidth="1" min="6" max="6"/>
    <col width="16" customWidth="1" min="7" max="7"/>
    <col width="12" customWidth="1" min="8" max="8"/>
    <col width="18" customWidth="1" min="9" max="9"/>
    <col width="14" customWidth="1" min="10" max="10"/>
    <col width="20" customWidth="1" min="11" max="11"/>
    <col width="14" customWidth="1" min="12" max="12"/>
    <col width="14" customWidth="1" min="13" max="13"/>
    <col width="14" customWidth="1" min="14" max="14"/>
    <col width="14" customWidth="1" min="15" max="15"/>
    <col width="32" customWidth="1" min="16" max="16"/>
    <col width="18" customWidth="1" min="17" max="17"/>
    <col width="14" customWidth="1" min="18" max="18"/>
    <col width="14" customWidth="1" min="19" max="19"/>
    <col width="18" customWidth="1" min="20" max="20"/>
    <col width="20" customWidth="1" min="21" max="21"/>
    <col width="90" customWidth="1" min="22" max="22"/>
  </cols>
  <sheetData>
    <row r="1">
      <c r="A1" s="10" t="inlineStr">
        <is>
          <t>City</t>
        </is>
      </c>
      <c r="B1" s="10" t="inlineStr">
        <is>
          <t>Date</t>
        </is>
      </c>
      <c r="C1" s="10" t="inlineStr">
        <is>
          <t>DOW</t>
        </is>
      </c>
      <c r="D1" s="10" t="inlineStr">
        <is>
          <t>Kind</t>
        </is>
      </c>
      <c r="E1" s="10" t="inlineStr">
        <is>
          <t>FY</t>
        </is>
      </c>
      <c r="F1" s="10" t="inlineStr">
        <is>
          <t>Lodging Cap (GSA)</t>
        </is>
      </c>
      <c r="G1" s="10" t="inlineStr">
        <is>
          <t>Quote (untaxed)</t>
        </is>
      </c>
      <c r="H1" s="10" t="inlineStr">
        <is>
          <t>Quote&lt;=Cap</t>
        </is>
      </c>
      <c r="I1" s="10" t="inlineStr">
        <is>
          <t>Nightly Lodging Used</t>
        </is>
      </c>
      <c r="J1" s="10" t="inlineStr">
        <is>
          <t>Nightly Tax (12%)</t>
        </is>
      </c>
      <c r="K1" s="10" t="inlineStr">
        <is>
          <t>Nightly Lodging+Tax</t>
        </is>
      </c>
      <c r="L1" s="10" t="inlineStr">
        <is>
          <t>Full M&amp;IE (GSA)</t>
        </is>
      </c>
      <c r="M1" s="10" t="inlineStr">
        <is>
          <t>First/Last M&amp;IE</t>
        </is>
      </c>
      <c r="N1" s="10" t="inlineStr">
        <is>
          <t>Is First Day</t>
        </is>
      </c>
      <c r="O1" s="10" t="inlineStr">
        <is>
          <t>Is Last Day</t>
        </is>
      </c>
      <c r="P1" s="10" t="inlineStr">
        <is>
          <t>Hotel BF free (no deduct per 301-11.17)</t>
        </is>
      </c>
      <c r="Q1" s="10" t="inlineStr">
        <is>
          <t>Gov Breakfast deduct</t>
        </is>
      </c>
      <c r="R1" s="10" t="inlineStr">
        <is>
          <t>Gov Lunch deduct</t>
        </is>
      </c>
      <c r="S1" s="10" t="inlineStr">
        <is>
          <t>Gov Dinner deduct</t>
        </is>
      </c>
      <c r="T1" s="10" t="inlineStr">
        <is>
          <t>Total Meal Deduction</t>
        </is>
      </c>
      <c r="U1" s="10" t="inlineStr">
        <is>
          <t>Final M&amp;IE per person</t>
        </is>
      </c>
      <c r="V1" s="10" t="inlineStr">
        <is>
          <t>Notes</t>
        </is>
      </c>
    </row>
    <row r="2">
      <c r="A2" s="11" t="inlineStr">
        <is>
          <t>CHICAGO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</row>
    <row r="3">
      <c r="A3" s="6" t="inlineStr">
        <is>
          <t>CHICAGO</t>
        </is>
      </c>
      <c r="B3" s="12" t="n">
        <v>45927</v>
      </c>
      <c r="C3" s="6" t="inlineStr">
        <is>
          <t>Sat</t>
        </is>
      </c>
      <c r="D3" s="6" t="inlineStr">
        <is>
          <t>Pre-arrival</t>
        </is>
      </c>
      <c r="E3" s="6" t="inlineStr">
        <is>
          <t>FY2025</t>
        </is>
      </c>
      <c r="F3" s="13" t="n">
        <v>223</v>
      </c>
      <c r="G3" s="13" t="n">
        <v>218</v>
      </c>
      <c r="H3" s="6">
        <f>(218&lt;=223)</f>
        <v/>
      </c>
      <c r="I3" s="13">
        <f>MIN(218,223)</f>
        <v/>
      </c>
      <c r="J3" s="13">
        <f>MIN(218,223)*0.12</f>
        <v/>
      </c>
      <c r="K3" s="13">
        <f>MIN(218,223)*1.12</f>
        <v/>
      </c>
      <c r="L3" s="13" t="n">
        <v>92</v>
      </c>
      <c r="M3" s="13" t="n">
        <v>69</v>
      </c>
      <c r="N3" s="6">
        <f>(ControlPanel!$B$9=20250927)*1</f>
        <v/>
      </c>
      <c r="O3" s="6">
        <f>(20250927=20251002)*1</f>
        <v/>
      </c>
      <c r="P3" s="6" t="inlineStr">
        <is>
          <t>Yes - 301-11.17</t>
        </is>
      </c>
      <c r="Q3" s="13" t="inlineStr">
        <is>
          <t>0</t>
        </is>
      </c>
      <c r="R3" s="13" t="n">
        <v>0</v>
      </c>
      <c r="S3" s="13" t="n">
        <v>0</v>
      </c>
      <c r="T3" s="13">
        <f>(0)+(0)+(0)</f>
        <v/>
      </c>
      <c r="U3" s="13">
        <f>IF(ControlPanel!$B$9&gt;20250927,0,IF(OR(ControlPanel!$B$9=20250927,20250927=20251002),MAX(69.0-((0)+(0)+(0)),5),MAX(92-((0)+(0)+(0)),5)))</f>
        <v/>
      </c>
      <c r="V3" s="6" t="inlineStr">
        <is>
          <t>Cap from FY2025 Master row 258; M&amp;IE from FY2025 row 258; Pre-arrival per WF_ARRIVAL; no lodging/tax/M&amp;IE incurred this day; Hotel breakfast is complimentary (301-11.17) → no deduction in any case; First/last day applies 75% M&amp;IE per 301-11.101; floor is $5 incidental (301-11.18)</t>
        </is>
      </c>
    </row>
    <row r="4">
      <c r="A4" s="6" t="inlineStr">
        <is>
          <t>CHICAGO</t>
        </is>
      </c>
      <c r="B4" s="12" t="n">
        <v>45928</v>
      </c>
      <c r="C4" s="6" t="inlineStr">
        <is>
          <t>Sun</t>
        </is>
      </c>
      <c r="D4" s="6" t="inlineStr">
        <is>
          <t>Arrival / first travel day</t>
        </is>
      </c>
      <c r="E4" s="6" t="inlineStr">
        <is>
          <t>FY2025</t>
        </is>
      </c>
      <c r="F4" s="13" t="n">
        <v>223</v>
      </c>
      <c r="G4" s="13" t="n">
        <v>218</v>
      </c>
      <c r="H4" s="6">
        <f>(218&lt;=223)</f>
        <v/>
      </c>
      <c r="I4" s="13">
        <f>MIN(218,223)</f>
        <v/>
      </c>
      <c r="J4" s="13">
        <f>MIN(218,223)*0.12</f>
        <v/>
      </c>
      <c r="K4" s="13">
        <f>MIN(218,223)*1.12</f>
        <v/>
      </c>
      <c r="L4" s="13" t="n">
        <v>92</v>
      </c>
      <c r="M4" s="13" t="n">
        <v>69</v>
      </c>
      <c r="N4" s="6">
        <f>(ControlPanel!$B$9=20250928)*1</f>
        <v/>
      </c>
      <c r="O4" s="6">
        <f>(20250928=20251002)*1</f>
        <v/>
      </c>
      <c r="P4" s="6" t="inlineStr">
        <is>
          <t>Yes - 301-11.17</t>
        </is>
      </c>
      <c r="Q4" s="13" t="inlineStr">
        <is>
          <t>0</t>
        </is>
      </c>
      <c r="R4" s="13" t="n">
        <v>0</v>
      </c>
      <c r="S4" s="13" t="n">
        <v>38</v>
      </c>
      <c r="T4" s="13">
        <f>(0)+(0)+(38)</f>
        <v/>
      </c>
      <c r="U4" s="13">
        <f>IF(ControlPanel!$B$9&gt;20250928,0,IF(OR(ControlPanel!$B$9=20250928,20250928=20251002),MAX(69.0-((0)+(0)+(38)),5),MAX(92-((0)+(0)+(38)),5)))</f>
        <v/>
      </c>
      <c r="V4" s="6" t="inlineStr">
        <is>
          <t>Cap from FY2025 Master row 258; M&amp;IE from FY2025 row 258; Government welcome dinner (included in fixed venue fee) → deduct Dinner; Hotel breakfast is complimentary (301-11.17) → no deduction in any case; First/last day applies 75% M&amp;IE per 301-11.101; floor is $5 incidental (301-11.18)</t>
        </is>
      </c>
    </row>
    <row r="5">
      <c r="A5" s="6" t="inlineStr">
        <is>
          <t>CHICAGO</t>
        </is>
      </c>
      <c r="B5" s="12" t="n">
        <v>45929</v>
      </c>
      <c r="C5" s="6" t="inlineStr">
        <is>
          <t>Mon</t>
        </is>
      </c>
      <c r="D5" s="6" t="inlineStr">
        <is>
          <t>Training day</t>
        </is>
      </c>
      <c r="E5" s="6" t="inlineStr">
        <is>
          <t>FY2025</t>
        </is>
      </c>
      <c r="F5" s="13" t="n">
        <v>223</v>
      </c>
      <c r="G5" s="13" t="n">
        <v>218</v>
      </c>
      <c r="H5" s="6">
        <f>(218&lt;=223)</f>
        <v/>
      </c>
      <c r="I5" s="13">
        <f>MIN(218,223)</f>
        <v/>
      </c>
      <c r="J5" s="13">
        <f>MIN(218,223)*0.12</f>
        <v/>
      </c>
      <c r="K5" s="13">
        <f>MIN(218,223)*1.12</f>
        <v/>
      </c>
      <c r="L5" s="13" t="n">
        <v>92</v>
      </c>
      <c r="M5" s="13" t="n">
        <v>69</v>
      </c>
      <c r="N5" s="6">
        <f>(ControlPanel!$B$9=20250929)*1</f>
        <v/>
      </c>
      <c r="O5" s="6">
        <f>(20250929=20251002)*1</f>
        <v/>
      </c>
      <c r="P5" s="6" t="inlineStr">
        <is>
          <t>Yes - 301-11.17</t>
        </is>
      </c>
      <c r="Q5" s="13" t="inlineStr">
        <is>
          <t>IF(ControlPanel!$B$8=1,23,0)</t>
        </is>
      </c>
      <c r="R5" s="13" t="n">
        <v>26</v>
      </c>
      <c r="S5" s="13" t="n">
        <v>0</v>
      </c>
      <c r="T5" s="13">
        <f>(IF(ControlPanel!$B$8=1,23,0))+(26)+(0)</f>
        <v/>
      </c>
      <c r="U5" s="13">
        <f>IF(ControlPanel!$B$9&gt;20250929,0,IF(OR(ControlPanel!$B$9=20250929,20250929=20251002),MAX(69.0-((IF(ControlPanel!$B$8=1,23,0))+(26)+(0)),5),MAX(92-((IF(ControlPanel!$B$8=1,23,0))+(26)+(0)),5)))</f>
        <v/>
      </c>
      <c r="V5" s="6" t="inlineStr">
        <is>
          <t>Cap from FY2025 Master row 258; M&amp;IE from FY2025 row 258; Registration-fee lunch → deduct Lunch; Hotel breakfast is complimentary (301-11.17) → no deduction in any case; First/last day applies 75% M&amp;IE per 301-11.101; floor is $5 incidental (301-11.18)</t>
        </is>
      </c>
    </row>
    <row r="6">
      <c r="A6" s="6" t="inlineStr">
        <is>
          <t>CHICAGO</t>
        </is>
      </c>
      <c r="B6" s="12" t="n">
        <v>45930</v>
      </c>
      <c r="C6" s="6" t="inlineStr">
        <is>
          <t>Tue</t>
        </is>
      </c>
      <c r="D6" s="6" t="inlineStr">
        <is>
          <t>Training day</t>
        </is>
      </c>
      <c r="E6" s="6" t="inlineStr">
        <is>
          <t>FY2025</t>
        </is>
      </c>
      <c r="F6" s="13" t="n">
        <v>223</v>
      </c>
      <c r="G6" s="13" t="n">
        <v>218</v>
      </c>
      <c r="H6" s="6">
        <f>(218&lt;=223)</f>
        <v/>
      </c>
      <c r="I6" s="13">
        <f>MIN(218,223)</f>
        <v/>
      </c>
      <c r="J6" s="13">
        <f>MIN(218,223)*0.12</f>
        <v/>
      </c>
      <c r="K6" s="13">
        <f>MIN(218,223)*1.12</f>
        <v/>
      </c>
      <c r="L6" s="13" t="n">
        <v>92</v>
      </c>
      <c r="M6" s="13" t="n">
        <v>69</v>
      </c>
      <c r="N6" s="6">
        <f>(ControlPanel!$B$9=20250930)*1</f>
        <v/>
      </c>
      <c r="O6" s="6">
        <f>(20250930=20251002)*1</f>
        <v/>
      </c>
      <c r="P6" s="6" t="inlineStr">
        <is>
          <t>Yes - 301-11.17</t>
        </is>
      </c>
      <c r="Q6" s="13" t="inlineStr">
        <is>
          <t>0</t>
        </is>
      </c>
      <c r="R6" s="13" t="n">
        <v>26</v>
      </c>
      <c r="S6" s="13" t="n">
        <v>0</v>
      </c>
      <c r="T6" s="13">
        <f>(0)+(26)+(0)</f>
        <v/>
      </c>
      <c r="U6" s="13">
        <f>IF(ControlPanel!$B$9&gt;20250930,0,IF(OR(ControlPanel!$B$9=20250930,20250930=20251002),MAX(69.0-((0)+(26)+(0)),5),MAX(92-((0)+(26)+(0)),5)))</f>
        <v/>
      </c>
      <c r="V6" s="6" t="inlineStr">
        <is>
          <t>Cap from FY2025 Master row 258; M&amp;IE from FY2025 row 258; Registration-fee lunch → deduct Lunch; Hotel breakfast is complimentary (301-11.17) → no deduction in any case; First/last day applies 75% M&amp;IE per 301-11.101; floor is $5 incidental (301-11.18)</t>
        </is>
      </c>
    </row>
    <row r="7">
      <c r="A7" s="6" t="inlineStr">
        <is>
          <t>CHICAGO</t>
        </is>
      </c>
      <c r="B7" s="12" t="n">
        <v>45931</v>
      </c>
      <c r="C7" s="6" t="inlineStr">
        <is>
          <t>Wed</t>
        </is>
      </c>
      <c r="D7" s="6" t="inlineStr">
        <is>
          <t>Training day</t>
        </is>
      </c>
      <c r="E7" s="6" t="inlineStr">
        <is>
          <t>FY2026</t>
        </is>
      </c>
      <c r="F7" s="13" t="n">
        <v>223</v>
      </c>
      <c r="G7" s="13" t="n">
        <v>218</v>
      </c>
      <c r="H7" s="6">
        <f>(218&lt;=223)</f>
        <v/>
      </c>
      <c r="I7" s="13">
        <f>MIN(218,223)</f>
        <v/>
      </c>
      <c r="J7" s="13">
        <f>MIN(218,223)*0.12</f>
        <v/>
      </c>
      <c r="K7" s="13">
        <f>MIN(218,223)*1.12</f>
        <v/>
      </c>
      <c r="L7" s="13" t="n">
        <v>92</v>
      </c>
      <c r="M7" s="13" t="n">
        <v>69</v>
      </c>
      <c r="N7" s="6">
        <f>(ControlPanel!$B$9=20251001)*1</f>
        <v/>
      </c>
      <c r="O7" s="6">
        <f>(20251001=20251002)*1</f>
        <v/>
      </c>
      <c r="P7" s="6" t="inlineStr">
        <is>
          <t>Yes - 301-11.17</t>
        </is>
      </c>
      <c r="Q7" s="13" t="inlineStr">
        <is>
          <t>0</t>
        </is>
      </c>
      <c r="R7" s="13" t="n">
        <v>26</v>
      </c>
      <c r="S7" s="13" t="n">
        <v>38</v>
      </c>
      <c r="T7" s="13">
        <f>(0)+(26)+(38)</f>
        <v/>
      </c>
      <c r="U7" s="13">
        <f>IF(ControlPanel!$B$9&gt;20251001,0,IF(OR(ControlPanel!$B$9=20251001,20251001=20251002),MAX(69.0-((0)+(26)+(38)),5),MAX(92-((0)+(26)+(38)),5)))</f>
        <v/>
      </c>
      <c r="V7" s="6" t="inlineStr">
        <is>
          <t>Cap from FY2026 Master row 254; M&amp;IE from FY2026 row 254; Registration-fee lunch + government dinner → deduct both; Hotel breakfast is complimentary (301-11.17) → no deduction in any case; First/last day applies 75% M&amp;IE per 301-11.101; floor is $5 incidental (301-11.18)</t>
        </is>
      </c>
    </row>
    <row r="8">
      <c r="A8" s="6" t="inlineStr">
        <is>
          <t>CHICAGO</t>
        </is>
      </c>
      <c r="B8" s="12" t="n">
        <v>45932</v>
      </c>
      <c r="C8" s="6" t="inlineStr">
        <is>
          <t>Thu</t>
        </is>
      </c>
      <c r="D8" s="6" t="inlineStr">
        <is>
          <t>Return / last travel day</t>
        </is>
      </c>
      <c r="E8" s="6" t="inlineStr">
        <is>
          <t>FY2026</t>
        </is>
      </c>
      <c r="F8" s="13" t="n">
        <v>223</v>
      </c>
      <c r="G8" s="13" t="n">
        <v>218</v>
      </c>
      <c r="H8" s="6">
        <f>(218&lt;=223)</f>
        <v/>
      </c>
      <c r="I8" s="13">
        <f>MIN(218,223)</f>
        <v/>
      </c>
      <c r="J8" s="13">
        <f>MIN(218,223)*0.12</f>
        <v/>
      </c>
      <c r="K8" s="13">
        <f>MIN(218,223)*1.12</f>
        <v/>
      </c>
      <c r="L8" s="13" t="n">
        <v>92</v>
      </c>
      <c r="M8" s="13" t="n">
        <v>69</v>
      </c>
      <c r="N8" s="6">
        <f>(ControlPanel!$B$9=20251002)*1</f>
        <v/>
      </c>
      <c r="O8" s="6">
        <f>(20251002=20251002)*1</f>
        <v/>
      </c>
      <c r="P8" s="6" t="inlineStr">
        <is>
          <t>Yes - 301-11.17</t>
        </is>
      </c>
      <c r="Q8" s="13" t="inlineStr">
        <is>
          <t>0</t>
        </is>
      </c>
      <c r="R8" s="13" t="n">
        <v>26</v>
      </c>
      <c r="S8" s="13" t="n">
        <v>0</v>
      </c>
      <c r="T8" s="13">
        <f>(0)+(26)+(0)</f>
        <v/>
      </c>
      <c r="U8" s="13">
        <f>IF(ControlPanel!$B$9&gt;20251002,0,IF(OR(ControlPanel!$B$9=20251002,20251002=20251002),MAX(69.0-((0)+(26)+(0)),5),MAX(92-((0)+(26)+(0)),5)))</f>
        <v/>
      </c>
      <c r="V8" s="6" t="inlineStr">
        <is>
          <t>Cap from FY2026 Master row 254; M&amp;IE from FY2026 row 254; Government departure lunch → deduct Lunch; Hotel breakfast is complimentary (301-11.17) → no deduction in any case; First/last day applies 75% M&amp;IE per 301-11.101; floor is $5 incidental (301-11.18)</t>
        </is>
      </c>
    </row>
    <row r="10">
      <c r="A10" s="11" t="inlineStr">
        <is>
          <t>DENVER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</row>
    <row r="11">
      <c r="A11" s="6" t="inlineStr">
        <is>
          <t>DENVER</t>
        </is>
      </c>
      <c r="B11" s="12" t="n">
        <v>45927</v>
      </c>
      <c r="C11" s="6" t="inlineStr">
        <is>
          <t>Sat</t>
        </is>
      </c>
      <c r="D11" s="6" t="inlineStr">
        <is>
          <t>Pre-arrival</t>
        </is>
      </c>
      <c r="E11" s="6" t="inlineStr">
        <is>
          <t>FY2025</t>
        </is>
      </c>
      <c r="F11" s="13" t="n">
        <v>215</v>
      </c>
      <c r="G11" s="13" t="n">
        <v>209</v>
      </c>
      <c r="H11" s="6">
        <f>(209&lt;=215)</f>
        <v/>
      </c>
      <c r="I11" s="13">
        <f>MIN(209,215)</f>
        <v/>
      </c>
      <c r="J11" s="13">
        <f>MIN(209,215)*0.12</f>
        <v/>
      </c>
      <c r="K11" s="13">
        <f>MIN(209,215)*1.12</f>
        <v/>
      </c>
      <c r="L11" s="13" t="n">
        <v>92</v>
      </c>
      <c r="M11" s="13" t="n">
        <v>69</v>
      </c>
      <c r="N11" s="6">
        <f>(ControlPanel!$B$9=20250927)*1</f>
        <v/>
      </c>
      <c r="O11" s="6">
        <f>(20250927=20251002)*1</f>
        <v/>
      </c>
      <c r="P11" s="6" t="inlineStr">
        <is>
          <t>Yes - 301-11.17</t>
        </is>
      </c>
      <c r="Q11" s="13" t="inlineStr">
        <is>
          <t>0</t>
        </is>
      </c>
      <c r="R11" s="13" t="n">
        <v>0</v>
      </c>
      <c r="S11" s="13" t="n">
        <v>0</v>
      </c>
      <c r="T11" s="13">
        <f>(0)+(0)+(0)</f>
        <v/>
      </c>
      <c r="U11" s="13">
        <f>IF(ControlPanel!$B$9&gt;20250927,0,IF(OR(ControlPanel!$B$9=20250927,20250927=20251002),MAX(69.0-((0)+(0)+(0)),5),MAX(92-((0)+(0)+(0)),5)))</f>
        <v/>
      </c>
      <c r="V11" s="6" t="inlineStr">
        <is>
          <t>Cap from FY2025 Master row 109; M&amp;IE from FY2025 row 109; Pre-arrival per WF_ARRIVAL; no lodging/tax/M&amp;IE incurred this day; Hotel breakfast is complimentary (301-11.17) → no deduction in any case; First/last day applies 75% M&amp;IE per 301-11.101; floor is $5 incidental (301-11.18)</t>
        </is>
      </c>
    </row>
    <row r="12">
      <c r="A12" s="6" t="inlineStr">
        <is>
          <t>DENVER</t>
        </is>
      </c>
      <c r="B12" s="12" t="n">
        <v>45928</v>
      </c>
      <c r="C12" s="6" t="inlineStr">
        <is>
          <t>Sun</t>
        </is>
      </c>
      <c r="D12" s="6" t="inlineStr">
        <is>
          <t>Arrival / first travel day</t>
        </is>
      </c>
      <c r="E12" s="6" t="inlineStr">
        <is>
          <t>FY2025</t>
        </is>
      </c>
      <c r="F12" s="13" t="n">
        <v>215</v>
      </c>
      <c r="G12" s="13" t="n">
        <v>209</v>
      </c>
      <c r="H12" s="6">
        <f>(209&lt;=215)</f>
        <v/>
      </c>
      <c r="I12" s="13">
        <f>MIN(209,215)</f>
        <v/>
      </c>
      <c r="J12" s="13">
        <f>MIN(209,215)*0.12</f>
        <v/>
      </c>
      <c r="K12" s="13">
        <f>MIN(209,215)*1.12</f>
        <v/>
      </c>
      <c r="L12" s="13" t="n">
        <v>92</v>
      </c>
      <c r="M12" s="13" t="n">
        <v>69</v>
      </c>
      <c r="N12" s="6">
        <f>(ControlPanel!$B$9=20250928)*1</f>
        <v/>
      </c>
      <c r="O12" s="6">
        <f>(20250928=20251002)*1</f>
        <v/>
      </c>
      <c r="P12" s="6" t="inlineStr">
        <is>
          <t>Yes - 301-11.17</t>
        </is>
      </c>
      <c r="Q12" s="13" t="inlineStr">
        <is>
          <t>0</t>
        </is>
      </c>
      <c r="R12" s="13" t="n">
        <v>0</v>
      </c>
      <c r="S12" s="13" t="n">
        <v>38</v>
      </c>
      <c r="T12" s="13">
        <f>(0)+(0)+(38)</f>
        <v/>
      </c>
      <c r="U12" s="13">
        <f>IF(ControlPanel!$B$9&gt;20250928,0,IF(OR(ControlPanel!$B$9=20250928,20250928=20251002),MAX(69.0-((0)+(0)+(38)),5),MAX(92-((0)+(0)+(38)),5)))</f>
        <v/>
      </c>
      <c r="V12" s="6" t="inlineStr">
        <is>
          <t>Cap from FY2025 Master row 109; M&amp;IE from FY2025 row 109; Government welcome dinner (included in fixed venue fee) → deduct Dinner; Hotel breakfast is complimentary (301-11.17) → no deduction in any case; First/last day applies 75% M&amp;IE per 301-11.101; floor is $5 incidental (301-11.18)</t>
        </is>
      </c>
    </row>
    <row r="13">
      <c r="A13" s="6" t="inlineStr">
        <is>
          <t>DENVER</t>
        </is>
      </c>
      <c r="B13" s="12" t="n">
        <v>45929</v>
      </c>
      <c r="C13" s="6" t="inlineStr">
        <is>
          <t>Mon</t>
        </is>
      </c>
      <c r="D13" s="6" t="inlineStr">
        <is>
          <t>Training day</t>
        </is>
      </c>
      <c r="E13" s="6" t="inlineStr">
        <is>
          <t>FY2025</t>
        </is>
      </c>
      <c r="F13" s="13" t="n">
        <v>215</v>
      </c>
      <c r="G13" s="13" t="n">
        <v>209</v>
      </c>
      <c r="H13" s="6">
        <f>(209&lt;=215)</f>
        <v/>
      </c>
      <c r="I13" s="13">
        <f>MIN(209,215)</f>
        <v/>
      </c>
      <c r="J13" s="13">
        <f>MIN(209,215)*0.12</f>
        <v/>
      </c>
      <c r="K13" s="13">
        <f>MIN(209,215)*1.12</f>
        <v/>
      </c>
      <c r="L13" s="13" t="n">
        <v>92</v>
      </c>
      <c r="M13" s="13" t="n">
        <v>69</v>
      </c>
      <c r="N13" s="6">
        <f>(ControlPanel!$B$9=20250929)*1</f>
        <v/>
      </c>
      <c r="O13" s="6">
        <f>(20250929=20251002)*1</f>
        <v/>
      </c>
      <c r="P13" s="6" t="inlineStr">
        <is>
          <t>Yes - 301-11.17</t>
        </is>
      </c>
      <c r="Q13" s="13" t="inlineStr">
        <is>
          <t>IF(ControlPanel!$B$8=1,23,0)</t>
        </is>
      </c>
      <c r="R13" s="13" t="n">
        <v>26</v>
      </c>
      <c r="S13" s="13" t="n">
        <v>0</v>
      </c>
      <c r="T13" s="13">
        <f>(IF(ControlPanel!$B$8=1,23,0))+(26)+(0)</f>
        <v/>
      </c>
      <c r="U13" s="13">
        <f>IF(ControlPanel!$B$9&gt;20250929,0,IF(OR(ControlPanel!$B$9=20250929,20250929=20251002),MAX(69.0-((IF(ControlPanel!$B$8=1,23,0))+(26)+(0)),5),MAX(92-((IF(ControlPanel!$B$8=1,23,0))+(26)+(0)),5)))</f>
        <v/>
      </c>
      <c r="V13" s="6" t="inlineStr">
        <is>
          <t>Cap from FY2025 Master row 109; M&amp;IE from FY2025 row 109; Registration-fee lunch → deduct Lunch; Hotel breakfast is complimentary (301-11.17) → no deduction in any case; First/last day applies 75% M&amp;IE per 301-11.101; floor is $5 incidental (301-11.18)</t>
        </is>
      </c>
    </row>
    <row r="14">
      <c r="A14" s="6" t="inlineStr">
        <is>
          <t>DENVER</t>
        </is>
      </c>
      <c r="B14" s="12" t="n">
        <v>45930</v>
      </c>
      <c r="C14" s="6" t="inlineStr">
        <is>
          <t>Tue</t>
        </is>
      </c>
      <c r="D14" s="6" t="inlineStr">
        <is>
          <t>Training day</t>
        </is>
      </c>
      <c r="E14" s="6" t="inlineStr">
        <is>
          <t>FY2025</t>
        </is>
      </c>
      <c r="F14" s="13" t="n">
        <v>215</v>
      </c>
      <c r="G14" s="13" t="n">
        <v>209</v>
      </c>
      <c r="H14" s="6">
        <f>(209&lt;=215)</f>
        <v/>
      </c>
      <c r="I14" s="13">
        <f>MIN(209,215)</f>
        <v/>
      </c>
      <c r="J14" s="13">
        <f>MIN(209,215)*0.12</f>
        <v/>
      </c>
      <c r="K14" s="13">
        <f>MIN(209,215)*1.12</f>
        <v/>
      </c>
      <c r="L14" s="13" t="n">
        <v>92</v>
      </c>
      <c r="M14" s="13" t="n">
        <v>69</v>
      </c>
      <c r="N14" s="6">
        <f>(ControlPanel!$B$9=20250930)*1</f>
        <v/>
      </c>
      <c r="O14" s="6">
        <f>(20250930=20251002)*1</f>
        <v/>
      </c>
      <c r="P14" s="6" t="inlineStr">
        <is>
          <t>Yes - 301-11.17</t>
        </is>
      </c>
      <c r="Q14" s="13" t="inlineStr">
        <is>
          <t>0</t>
        </is>
      </c>
      <c r="R14" s="13" t="n">
        <v>26</v>
      </c>
      <c r="S14" s="13" t="n">
        <v>0</v>
      </c>
      <c r="T14" s="13">
        <f>(0)+(26)+(0)</f>
        <v/>
      </c>
      <c r="U14" s="13">
        <f>IF(ControlPanel!$B$9&gt;20250930,0,IF(OR(ControlPanel!$B$9=20250930,20250930=20251002),MAX(69.0-((0)+(26)+(0)),5),MAX(92-((0)+(26)+(0)),5)))</f>
        <v/>
      </c>
      <c r="V14" s="6" t="inlineStr">
        <is>
          <t>Cap from FY2025 Master row 109; M&amp;IE from FY2025 row 109; Registration-fee lunch → deduct Lunch; Hotel breakfast is complimentary (301-11.17) → no deduction in any case; First/last day applies 75% M&amp;IE per 301-11.101; floor is $5 incidental (301-11.18)</t>
        </is>
      </c>
    </row>
    <row r="15">
      <c r="A15" s="6" t="inlineStr">
        <is>
          <t>DENVER</t>
        </is>
      </c>
      <c r="B15" s="12" t="n">
        <v>45931</v>
      </c>
      <c r="C15" s="6" t="inlineStr">
        <is>
          <t>Wed</t>
        </is>
      </c>
      <c r="D15" s="6" t="inlineStr">
        <is>
          <t>Training day</t>
        </is>
      </c>
      <c r="E15" s="6" t="inlineStr">
        <is>
          <t>FY2026</t>
        </is>
      </c>
      <c r="F15" s="13" t="n">
        <v>215</v>
      </c>
      <c r="G15" s="13" t="n">
        <v>209</v>
      </c>
      <c r="H15" s="6">
        <f>(209&lt;=215)</f>
        <v/>
      </c>
      <c r="I15" s="13">
        <f>MIN(209,215)</f>
        <v/>
      </c>
      <c r="J15" s="13">
        <f>MIN(209,215)*0.12</f>
        <v/>
      </c>
      <c r="K15" s="13">
        <f>MIN(209,215)*1.12</f>
        <v/>
      </c>
      <c r="L15" s="13" t="n">
        <v>92</v>
      </c>
      <c r="M15" s="13" t="n">
        <v>69</v>
      </c>
      <c r="N15" s="6">
        <f>(ControlPanel!$B$9=20251001)*1</f>
        <v/>
      </c>
      <c r="O15" s="6">
        <f>(20251001=20251002)*1</f>
        <v/>
      </c>
      <c r="P15" s="6" t="inlineStr">
        <is>
          <t>Yes - 301-11.17</t>
        </is>
      </c>
      <c r="Q15" s="13" t="inlineStr">
        <is>
          <t>0</t>
        </is>
      </c>
      <c r="R15" s="13" t="n">
        <v>26</v>
      </c>
      <c r="S15" s="13" t="n">
        <v>38</v>
      </c>
      <c r="T15" s="13">
        <f>(0)+(26)+(38)</f>
        <v/>
      </c>
      <c r="U15" s="13">
        <f>IF(ControlPanel!$B$9&gt;20251001,0,IF(OR(ControlPanel!$B$9=20251001,20251001=20251002),MAX(69.0-((0)+(26)+(38)),5),MAX(92-((0)+(26)+(38)),5)))</f>
        <v/>
      </c>
      <c r="V15" s="6" t="inlineStr">
        <is>
          <t>Cap from FY2026 Master row 107; M&amp;IE from FY2026 row 107; Registration-fee lunch + government dinner → deduct both; Hotel breakfast is complimentary (301-11.17) → no deduction in any case; First/last day applies 75% M&amp;IE per 301-11.101; floor is $5 incidental (301-11.18)</t>
        </is>
      </c>
    </row>
    <row r="16">
      <c r="A16" s="6" t="inlineStr">
        <is>
          <t>DENVER</t>
        </is>
      </c>
      <c r="B16" s="12" t="n">
        <v>45932</v>
      </c>
      <c r="C16" s="6" t="inlineStr">
        <is>
          <t>Thu</t>
        </is>
      </c>
      <c r="D16" s="6" t="inlineStr">
        <is>
          <t>Return / last travel day</t>
        </is>
      </c>
      <c r="E16" s="6" t="inlineStr">
        <is>
          <t>FY2026</t>
        </is>
      </c>
      <c r="F16" s="13" t="n">
        <v>215</v>
      </c>
      <c r="G16" s="13" t="n">
        <v>209</v>
      </c>
      <c r="H16" s="6">
        <f>(209&lt;=215)</f>
        <v/>
      </c>
      <c r="I16" s="13">
        <f>MIN(209,215)</f>
        <v/>
      </c>
      <c r="J16" s="13">
        <f>MIN(209,215)*0.12</f>
        <v/>
      </c>
      <c r="K16" s="13">
        <f>MIN(209,215)*1.12</f>
        <v/>
      </c>
      <c r="L16" s="13" t="n">
        <v>92</v>
      </c>
      <c r="M16" s="13" t="n">
        <v>69</v>
      </c>
      <c r="N16" s="6">
        <f>(ControlPanel!$B$9=20251002)*1</f>
        <v/>
      </c>
      <c r="O16" s="6">
        <f>(20251002=20251002)*1</f>
        <v/>
      </c>
      <c r="P16" s="6" t="inlineStr">
        <is>
          <t>Yes - 301-11.17</t>
        </is>
      </c>
      <c r="Q16" s="13" t="inlineStr">
        <is>
          <t>0</t>
        </is>
      </c>
      <c r="R16" s="13" t="n">
        <v>26</v>
      </c>
      <c r="S16" s="13" t="n">
        <v>0</v>
      </c>
      <c r="T16" s="13">
        <f>(0)+(26)+(0)</f>
        <v/>
      </c>
      <c r="U16" s="13">
        <f>IF(ControlPanel!$B$9&gt;20251002,0,IF(OR(ControlPanel!$B$9=20251002,20251002=20251002),MAX(69.0-((0)+(26)+(0)),5),MAX(92-((0)+(26)+(0)),5)))</f>
        <v/>
      </c>
      <c r="V16" s="6" t="inlineStr">
        <is>
          <t>Cap from FY2026 Master row 107; M&amp;IE from FY2026 row 107; Government departure lunch → deduct Lunch; Hotel breakfast is complimentary (301-11.17) → no deduction in any case; First/last day applies 75% M&amp;IE per 301-11.101; floor is $5 incidental (301-11.18)</t>
        </is>
      </c>
    </row>
    <row r="18">
      <c r="A18" s="11" t="inlineStr">
        <is>
          <t>PHOENIX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</row>
    <row r="19">
      <c r="A19" s="6" t="inlineStr">
        <is>
          <t>PHOENIX</t>
        </is>
      </c>
      <c r="B19" s="12" t="n">
        <v>45927</v>
      </c>
      <c r="C19" s="6" t="inlineStr">
        <is>
          <t>Sat</t>
        </is>
      </c>
      <c r="D19" s="6" t="inlineStr">
        <is>
          <t>Pre-arrival</t>
        </is>
      </c>
      <c r="E19" s="6" t="inlineStr">
        <is>
          <t>FY2025</t>
        </is>
      </c>
      <c r="F19" s="13" t="n">
        <v>160</v>
      </c>
      <c r="G19" s="13" t="n">
        <v>155</v>
      </c>
      <c r="H19" s="6">
        <f>(155&lt;=160)</f>
        <v/>
      </c>
      <c r="I19" s="13">
        <f>MIN(155,160)</f>
        <v/>
      </c>
      <c r="J19" s="13">
        <f>MIN(155,160)*0.12</f>
        <v/>
      </c>
      <c r="K19" s="13">
        <f>MIN(155,160)*1.12</f>
        <v/>
      </c>
      <c r="L19" s="13" t="n">
        <v>86</v>
      </c>
      <c r="M19" s="13" t="n">
        <v>64.5</v>
      </c>
      <c r="N19" s="6">
        <f>(ControlPanel!$B$9=20250927)*1</f>
        <v/>
      </c>
      <c r="O19" s="6">
        <f>(20250927=20251002)*1</f>
        <v/>
      </c>
      <c r="P19" s="6" t="inlineStr">
        <is>
          <t>Yes - 301-11.17</t>
        </is>
      </c>
      <c r="Q19" s="13" t="inlineStr">
        <is>
          <t>0</t>
        </is>
      </c>
      <c r="R19" s="13" t="n">
        <v>0</v>
      </c>
      <c r="S19" s="13" t="n">
        <v>0</v>
      </c>
      <c r="T19" s="13">
        <f>(0)+(0)+(0)</f>
        <v/>
      </c>
      <c r="U19" s="13">
        <f>IF(ControlPanel!$B$9&gt;20250927,0,IF(OR(ControlPanel!$B$9=20250927,20250927=20251002),MAX(64.5-((0)+(0)+(0)),5),MAX(86-((0)+(0)+(0)),5)))</f>
        <v/>
      </c>
      <c r="V19" s="6" t="inlineStr">
        <is>
          <t>Cap from FY2025 Master row 22; M&amp;IE from FY2025 row 22; Pre-arrival per WF_ARRIVAL; no lodging/tax/M&amp;IE incurred this day; Hotel breakfast is complimentary (301-11.17) → no deduction in any case; First/last day applies 75% M&amp;IE per 301-11.101; floor is $5 incidental (301-11.18)</t>
        </is>
      </c>
    </row>
    <row r="20">
      <c r="A20" s="6" t="inlineStr">
        <is>
          <t>PHOENIX</t>
        </is>
      </c>
      <c r="B20" s="12" t="n">
        <v>45928</v>
      </c>
      <c r="C20" s="6" t="inlineStr">
        <is>
          <t>Sun</t>
        </is>
      </c>
      <c r="D20" s="6" t="inlineStr">
        <is>
          <t>Arrival / first travel day</t>
        </is>
      </c>
      <c r="E20" s="6" t="inlineStr">
        <is>
          <t>FY2025</t>
        </is>
      </c>
      <c r="F20" s="13" t="n">
        <v>160</v>
      </c>
      <c r="G20" s="13" t="n">
        <v>155</v>
      </c>
      <c r="H20" s="6">
        <f>(155&lt;=160)</f>
        <v/>
      </c>
      <c r="I20" s="13">
        <f>MIN(155,160)</f>
        <v/>
      </c>
      <c r="J20" s="13">
        <f>MIN(155,160)*0.12</f>
        <v/>
      </c>
      <c r="K20" s="13">
        <f>MIN(155,160)*1.12</f>
        <v/>
      </c>
      <c r="L20" s="13" t="n">
        <v>86</v>
      </c>
      <c r="M20" s="13" t="n">
        <v>64.5</v>
      </c>
      <c r="N20" s="6">
        <f>(ControlPanel!$B$9=20250928)*1</f>
        <v/>
      </c>
      <c r="O20" s="6">
        <f>(20250928=20251002)*1</f>
        <v/>
      </c>
      <c r="P20" s="6" t="inlineStr">
        <is>
          <t>Yes - 301-11.17</t>
        </is>
      </c>
      <c r="Q20" s="13" t="inlineStr">
        <is>
          <t>0</t>
        </is>
      </c>
      <c r="R20" s="13" t="n">
        <v>0</v>
      </c>
      <c r="S20" s="13" t="n">
        <v>36</v>
      </c>
      <c r="T20" s="13">
        <f>(0)+(0)+(36)</f>
        <v/>
      </c>
      <c r="U20" s="13">
        <f>IF(ControlPanel!$B$9&gt;20250928,0,IF(OR(ControlPanel!$B$9=20250928,20250928=20251002),MAX(64.5-((0)+(0)+(36)),5),MAX(86-((0)+(0)+(36)),5)))</f>
        <v/>
      </c>
      <c r="V20" s="6" t="inlineStr">
        <is>
          <t>Cap from FY2025 Master row 22; M&amp;IE from FY2025 row 22; Government welcome dinner (included in fixed venue fee) → deduct Dinner; Hotel breakfast is complimentary (301-11.17) → no deduction in any case; First/last day applies 75% M&amp;IE per 301-11.101; floor is $5 incidental (301-11.18)</t>
        </is>
      </c>
    </row>
    <row r="21">
      <c r="A21" s="6" t="inlineStr">
        <is>
          <t>PHOENIX</t>
        </is>
      </c>
      <c r="B21" s="12" t="n">
        <v>45929</v>
      </c>
      <c r="C21" s="6" t="inlineStr">
        <is>
          <t>Mon</t>
        </is>
      </c>
      <c r="D21" s="6" t="inlineStr">
        <is>
          <t>Training day</t>
        </is>
      </c>
      <c r="E21" s="6" t="inlineStr">
        <is>
          <t>FY2025</t>
        </is>
      </c>
      <c r="F21" s="13" t="n">
        <v>160</v>
      </c>
      <c r="G21" s="13" t="n">
        <v>155</v>
      </c>
      <c r="H21" s="6">
        <f>(155&lt;=160)</f>
        <v/>
      </c>
      <c r="I21" s="13">
        <f>MIN(155,160)</f>
        <v/>
      </c>
      <c r="J21" s="13">
        <f>MIN(155,160)*0.12</f>
        <v/>
      </c>
      <c r="K21" s="13">
        <f>MIN(155,160)*1.12</f>
        <v/>
      </c>
      <c r="L21" s="13" t="n">
        <v>86</v>
      </c>
      <c r="M21" s="13" t="n">
        <v>64.5</v>
      </c>
      <c r="N21" s="6">
        <f>(ControlPanel!$B$9=20250929)*1</f>
        <v/>
      </c>
      <c r="O21" s="6">
        <f>(20250929=20251002)*1</f>
        <v/>
      </c>
      <c r="P21" s="6" t="inlineStr">
        <is>
          <t>Yes - 301-11.17</t>
        </is>
      </c>
      <c r="Q21" s="13" t="inlineStr">
        <is>
          <t>IF(ControlPanel!$B$8=1,22,0)</t>
        </is>
      </c>
      <c r="R21" s="13" t="n">
        <v>23</v>
      </c>
      <c r="S21" s="13" t="n">
        <v>0</v>
      </c>
      <c r="T21" s="13">
        <f>(IF(ControlPanel!$B$8=1,22,0))+(23)+(0)</f>
        <v/>
      </c>
      <c r="U21" s="13">
        <f>IF(ControlPanel!$B$9&gt;20250929,0,IF(OR(ControlPanel!$B$9=20250929,20250929=20251002),MAX(64.5-((IF(ControlPanel!$B$8=1,22,0))+(23)+(0)),5),MAX(86-((IF(ControlPanel!$B$8=1,22,0))+(23)+(0)),5)))</f>
        <v/>
      </c>
      <c r="V21" s="6" t="inlineStr">
        <is>
          <t>Cap from FY2025 Master row 22; M&amp;IE from FY2025 row 22; Registration-fee lunch → deduct Lunch; Hotel breakfast is complimentary (301-11.17) → no deduction in any case; First/last day applies 75% M&amp;IE per 301-11.101; floor is $5 incidental (301-11.18)</t>
        </is>
      </c>
    </row>
    <row r="22">
      <c r="A22" s="6" t="inlineStr">
        <is>
          <t>PHOENIX</t>
        </is>
      </c>
      <c r="B22" s="12" t="n">
        <v>45930</v>
      </c>
      <c r="C22" s="6" t="inlineStr">
        <is>
          <t>Tue</t>
        </is>
      </c>
      <c r="D22" s="6" t="inlineStr">
        <is>
          <t>Training day</t>
        </is>
      </c>
      <c r="E22" s="6" t="inlineStr">
        <is>
          <t>FY2025</t>
        </is>
      </c>
      <c r="F22" s="13" t="n">
        <v>160</v>
      </c>
      <c r="G22" s="13" t="n">
        <v>155</v>
      </c>
      <c r="H22" s="6">
        <f>(155&lt;=160)</f>
        <v/>
      </c>
      <c r="I22" s="13">
        <f>MIN(155,160)</f>
        <v/>
      </c>
      <c r="J22" s="13">
        <f>MIN(155,160)*0.12</f>
        <v/>
      </c>
      <c r="K22" s="13">
        <f>MIN(155,160)*1.12</f>
        <v/>
      </c>
      <c r="L22" s="13" t="n">
        <v>86</v>
      </c>
      <c r="M22" s="13" t="n">
        <v>64.5</v>
      </c>
      <c r="N22" s="6">
        <f>(ControlPanel!$B$9=20250930)*1</f>
        <v/>
      </c>
      <c r="O22" s="6">
        <f>(20250930=20251002)*1</f>
        <v/>
      </c>
      <c r="P22" s="6" t="inlineStr">
        <is>
          <t>Yes - 301-11.17</t>
        </is>
      </c>
      <c r="Q22" s="13" t="inlineStr">
        <is>
          <t>0</t>
        </is>
      </c>
      <c r="R22" s="13" t="n">
        <v>23</v>
      </c>
      <c r="S22" s="13" t="n">
        <v>0</v>
      </c>
      <c r="T22" s="13">
        <f>(0)+(23)+(0)</f>
        <v/>
      </c>
      <c r="U22" s="13">
        <f>IF(ControlPanel!$B$9&gt;20250930,0,IF(OR(ControlPanel!$B$9=20250930,20250930=20251002),MAX(64.5-((0)+(23)+(0)),5),MAX(86-((0)+(23)+(0)),5)))</f>
        <v/>
      </c>
      <c r="V22" s="6" t="inlineStr">
        <is>
          <t>Cap from FY2025 Master row 22; M&amp;IE from FY2025 row 22; Registration-fee lunch → deduct Lunch; Hotel breakfast is complimentary (301-11.17) → no deduction in any case; First/last day applies 75% M&amp;IE per 301-11.101; floor is $5 incidental (301-11.18)</t>
        </is>
      </c>
    </row>
    <row r="23">
      <c r="A23" s="6" t="inlineStr">
        <is>
          <t>PHOENIX</t>
        </is>
      </c>
      <c r="B23" s="12" t="n">
        <v>45931</v>
      </c>
      <c r="C23" s="6" t="inlineStr">
        <is>
          <t>Wed</t>
        </is>
      </c>
      <c r="D23" s="6" t="inlineStr">
        <is>
          <t>Training day</t>
        </is>
      </c>
      <c r="E23" s="6" t="inlineStr">
        <is>
          <t>FY2026</t>
        </is>
      </c>
      <c r="F23" s="13" t="n">
        <v>160</v>
      </c>
      <c r="G23" s="13" t="n">
        <v>155</v>
      </c>
      <c r="H23" s="6">
        <f>(155&lt;=160)</f>
        <v/>
      </c>
      <c r="I23" s="13">
        <f>MIN(155,160)</f>
        <v/>
      </c>
      <c r="J23" s="13">
        <f>MIN(155,160)*0.12</f>
        <v/>
      </c>
      <c r="K23" s="13">
        <f>MIN(155,160)*1.12</f>
        <v/>
      </c>
      <c r="L23" s="13" t="n">
        <v>86</v>
      </c>
      <c r="M23" s="13" t="n">
        <v>64.5</v>
      </c>
      <c r="N23" s="6">
        <f>(ControlPanel!$B$9=20251001)*1</f>
        <v/>
      </c>
      <c r="O23" s="6">
        <f>(20251001=20251002)*1</f>
        <v/>
      </c>
      <c r="P23" s="6" t="inlineStr">
        <is>
          <t>Yes - 301-11.17</t>
        </is>
      </c>
      <c r="Q23" s="13" t="inlineStr">
        <is>
          <t>0</t>
        </is>
      </c>
      <c r="R23" s="13" t="n">
        <v>23</v>
      </c>
      <c r="S23" s="13" t="n">
        <v>36</v>
      </c>
      <c r="T23" s="13">
        <f>(0)+(23)+(36)</f>
        <v/>
      </c>
      <c r="U23" s="13">
        <f>IF(ControlPanel!$B$9&gt;20251001,0,IF(OR(ControlPanel!$B$9=20251001,20251001=20251002),MAX(64.5-((0)+(23)+(36)),5),MAX(86-((0)+(23)+(36)),5)))</f>
        <v/>
      </c>
      <c r="V23" s="6" t="inlineStr">
        <is>
          <t>Cap from FY2026 Master row 18; M&amp;IE from FY2026 row 18; Registration-fee lunch + government dinner → deduct both; Hotel breakfast is complimentary (301-11.17) → no deduction in any case; First/last day applies 75% M&amp;IE per 301-11.101; floor is $5 incidental (301-11.18)</t>
        </is>
      </c>
    </row>
    <row r="24">
      <c r="A24" s="6" t="inlineStr">
        <is>
          <t>PHOENIX</t>
        </is>
      </c>
      <c r="B24" s="12" t="n">
        <v>45932</v>
      </c>
      <c r="C24" s="6" t="inlineStr">
        <is>
          <t>Thu</t>
        </is>
      </c>
      <c r="D24" s="6" t="inlineStr">
        <is>
          <t>Return / last travel day</t>
        </is>
      </c>
      <c r="E24" s="6" t="inlineStr">
        <is>
          <t>FY2026</t>
        </is>
      </c>
      <c r="F24" s="13" t="n">
        <v>160</v>
      </c>
      <c r="G24" s="13" t="n">
        <v>155</v>
      </c>
      <c r="H24" s="6">
        <f>(155&lt;=160)</f>
        <v/>
      </c>
      <c r="I24" s="13">
        <f>MIN(155,160)</f>
        <v/>
      </c>
      <c r="J24" s="13">
        <f>MIN(155,160)*0.12</f>
        <v/>
      </c>
      <c r="K24" s="13">
        <f>MIN(155,160)*1.12</f>
        <v/>
      </c>
      <c r="L24" s="13" t="n">
        <v>86</v>
      </c>
      <c r="M24" s="13" t="n">
        <v>64.5</v>
      </c>
      <c r="N24" s="6">
        <f>(ControlPanel!$B$9=20251002)*1</f>
        <v/>
      </c>
      <c r="O24" s="6">
        <f>(20251002=20251002)*1</f>
        <v/>
      </c>
      <c r="P24" s="6" t="inlineStr">
        <is>
          <t>Yes - 301-11.17</t>
        </is>
      </c>
      <c r="Q24" s="13" t="inlineStr">
        <is>
          <t>0</t>
        </is>
      </c>
      <c r="R24" s="13" t="n">
        <v>23</v>
      </c>
      <c r="S24" s="13" t="n">
        <v>0</v>
      </c>
      <c r="T24" s="13">
        <f>(0)+(23)+(0)</f>
        <v/>
      </c>
      <c r="U24" s="13">
        <f>IF(ControlPanel!$B$9&gt;20251002,0,IF(OR(ControlPanel!$B$9=20251002,20251002=20251002),MAX(64.5-((0)+(23)+(0)),5),MAX(86-((0)+(23)+(0)),5)))</f>
        <v/>
      </c>
      <c r="V24" s="6" t="inlineStr">
        <is>
          <t>Cap from FY2026 Master row 18; M&amp;IE from FY2026 row 18; Government departure lunch → deduct Lunch; Hotel breakfast is complimentary (301-11.17) → no deduction in any case; First/last day applies 75% M&amp;IE per 301-11.101; floor is $5 incidental (301-11.18)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22" customWidth="1" min="4" max="4"/>
    <col width="22" customWidth="1" min="5" max="5"/>
    <col width="18" customWidth="1" min="6" max="6"/>
    <col width="24" customWidth="1" min="7" max="7"/>
    <col width="14" customWidth="1" min="8" max="8"/>
    <col width="18" customWidth="1" min="9" max="9"/>
    <col width="18" customWidth="1" min="10" max="10"/>
    <col width="22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20" customWidth="1" min="17" max="17"/>
    <col width="18" customWidth="1" min="18" max="18"/>
    <col width="18" customWidth="1" min="19" max="19"/>
    <col width="18" customWidth="1" min="20" max="20"/>
    <col width="14" customWidth="1" min="21" max="21"/>
    <col width="14" customWidth="1" min="22" max="22"/>
    <col width="22" customWidth="1" min="23" max="23"/>
    <col width="20" customWidth="1" min="24" max="24"/>
    <col width="18" customWidth="1" min="25" max="25"/>
    <col width="20" customWidth="1" min="26" max="26"/>
    <col width="18" customWidth="1" min="27" max="27"/>
    <col width="40" customWidth="1" min="28" max="28"/>
    <col width="90" customWidth="1" min="29" max="29"/>
  </cols>
  <sheetData>
    <row r="1">
      <c r="A1" s="10" t="inlineStr">
        <is>
          <t>City</t>
        </is>
      </c>
      <c r="B1" s="10" t="inlineStr">
        <is>
          <t>Headcount</t>
        </is>
      </c>
      <c r="C1" s="10" t="inlineStr">
        <is>
          <t>FY split (Sep/Oct)</t>
        </is>
      </c>
      <c r="D1" s="10" t="inlineStr">
        <is>
          <t>Airfare/person (base × WF_AIR_MULTIPLIER)</t>
        </is>
      </c>
      <c r="E1" s="10" t="inlineStr">
        <is>
          <t>Local transport/person</t>
        </is>
      </c>
      <c r="F1" s="10" t="inlineStr">
        <is>
          <t>Registration/person</t>
        </is>
      </c>
      <c r="G1" s="10" t="inlineStr">
        <is>
          <t>M&amp;IE/person (Daily sum over travel dates)</t>
        </is>
      </c>
      <c r="H1" s="10" t="inlineStr">
        <is>
          <t>Nights per person</t>
        </is>
      </c>
      <c r="I1" s="10" t="inlineStr">
        <is>
          <t>Nightly lodging (quote)</t>
        </is>
      </c>
      <c r="J1" s="10" t="inlineStr">
        <is>
          <t>Nightly lodging tax (12%)</t>
        </is>
      </c>
      <c r="K1" s="10" t="inlineStr">
        <is>
          <t>Lodging+tax/person (4 nights)</t>
        </is>
      </c>
      <c r="L1" s="10" t="inlineStr">
        <is>
          <t>Fixed venue fee</t>
        </is>
      </c>
      <c r="M1" s="10" t="inlineStr">
        <is>
          <t>Airfare subtotal</t>
        </is>
      </c>
      <c r="N1" s="10" t="inlineStr">
        <is>
          <t>Local subtotal</t>
        </is>
      </c>
      <c r="O1" s="10" t="inlineStr">
        <is>
          <t>Registration subtotal</t>
        </is>
      </c>
      <c r="P1" s="10" t="inlineStr">
        <is>
          <t>M&amp;IE subtotal</t>
        </is>
      </c>
      <c r="Q1" s="10" t="inlineStr">
        <is>
          <t>Lodging+tax subtotal</t>
        </is>
      </c>
      <c r="R1" s="10" t="inlineStr">
        <is>
          <t>Base subtotal</t>
        </is>
      </c>
      <c r="S1" s="10" t="inlineStr">
        <is>
          <t>Reserve (WF_RESERVE_RATE)</t>
        </is>
      </c>
      <c r="T1" s="10" t="inlineStr">
        <is>
          <t>Total with reserve</t>
        </is>
      </c>
      <c r="U1" s="10" t="inlineStr">
        <is>
          <t>WF_BUDGET</t>
        </is>
      </c>
      <c r="V1" s="10" t="inlineStr">
        <is>
          <t>Under budget?</t>
        </is>
      </c>
      <c r="W1" s="10" t="inlineStr">
        <is>
          <t>Stress: Airfare ×1.20 subtotal</t>
        </is>
      </c>
      <c r="X1" s="10" t="inlineStr">
        <is>
          <t>Stress: Base subtotal</t>
        </is>
      </c>
      <c r="Y1" s="10" t="inlineStr">
        <is>
          <t>Stress: Reserve</t>
        </is>
      </c>
      <c r="Z1" s="10" t="inlineStr">
        <is>
          <t>Stress: Total with reserve</t>
        </is>
      </c>
      <c r="AA1" s="10" t="inlineStr">
        <is>
          <t>Stress under budget?</t>
        </is>
      </c>
      <c r="AB1" s="10" t="inlineStr">
        <is>
          <t>Lodging compliance (quote &lt;= GSA cap all nights)</t>
        </is>
      </c>
      <c r="AC1" s="10" t="inlineStr">
        <is>
          <t>Notes</t>
        </is>
      </c>
    </row>
    <row r="2">
      <c r="A2" s="6" t="inlineStr">
        <is>
          <t>CHICAGO</t>
        </is>
      </c>
      <c r="B2" s="6" t="n">
        <v>18</v>
      </c>
      <c r="C2" s="6" t="inlineStr">
        <is>
          <t>09-28..09-30 FY2025; 10-01..10-02 FY2026 (cap/MIE identical across FY here)</t>
        </is>
      </c>
      <c r="D2" s="13">
        <f>ControlPanel!$B$6*410</f>
        <v/>
      </c>
      <c r="E2" s="13">
        <f>80</f>
        <v/>
      </c>
      <c r="F2" s="13">
        <f>180</f>
        <v/>
      </c>
      <c r="G2" s="13">
        <f>Daily!U3+Daily!U4+Daily!U5+Daily!U6+Daily!U7+Daily!U8</f>
        <v/>
      </c>
      <c r="H2" s="13">
        <f>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</f>
        <v/>
      </c>
      <c r="I2" s="13">
        <f>MIN(218,223)</f>
        <v/>
      </c>
      <c r="J2" s="13">
        <f>MIN(218,223)*0.12</f>
        <v/>
      </c>
      <c r="K2" s="13">
        <f>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</f>
        <v/>
      </c>
      <c r="L2" s="13">
        <f>9500</f>
        <v/>
      </c>
      <c r="M2" s="13">
        <f>(ControlPanel!$B$6*410)*18</f>
        <v/>
      </c>
      <c r="N2" s="13">
        <f>(80)*18</f>
        <v/>
      </c>
      <c r="O2" s="13">
        <f>(180)*18</f>
        <v/>
      </c>
      <c r="P2" s="13">
        <f>(Daily!U3+Daily!U4+Daily!U5+Daily!U6+Daily!U7+Daily!U8)*18</f>
        <v/>
      </c>
      <c r="Q2" s="13">
        <f>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</f>
        <v/>
      </c>
      <c r="R2" s="13">
        <f>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</f>
        <v/>
      </c>
      <c r="S2" s="13">
        <f>(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)*ControlPanel!$B$7</f>
        <v/>
      </c>
      <c r="T2" s="13">
        <f>(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)+((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)*ControlPanel!$B$7)</f>
        <v/>
      </c>
      <c r="U2" s="6">
        <f>ControlPanel!$B$5</f>
        <v/>
      </c>
      <c r="V2" s="13">
        <f>((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)+((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)*ControlPanel!$B$7))&lt;=ControlPanel!$B$5</f>
        <v/>
      </c>
      <c r="W2" s="13">
        <f>(ControlPanel!$B$6*410)*18*1.2</f>
        <v/>
      </c>
      <c r="X2" s="13">
        <f>(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)-((ControlPanel!$B$6*410)*18)+((ControlPanel!$B$6*410)*18*1.2)</f>
        <v/>
      </c>
      <c r="Y2" s="13">
        <f>((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)-((ControlPanel!$B$6*410)*18)+((ControlPanel!$B$6*410)*18*1.2))*ControlPanel!$B$7</f>
        <v/>
      </c>
      <c r="Z2" s="13">
        <f>((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)-((ControlPanel!$B$6*410)*18)+((ControlPanel!$B$6*410)*18*1.2))+(((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)-((ControlPanel!$B$6*410)*18)+((ControlPanel!$B$6*410)*18*1.2))*ControlPanel!$B$7)</f>
        <v/>
      </c>
      <c r="AA2" s="13">
        <f>(((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)-((ControlPanel!$B$6*410)*18)+((ControlPanel!$B$6*410)*18*1.2))+(((((ControlPanel!$B$6*410)*18)+((80)*18)+((180)*18)+((Daily!U3+Daily!U4+Daily!U5+Daily!U6+Daily!U7+Daily!U8)*18)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(9500))-((ControlPanel!$B$6*410)*18)+((ControlPanel!$B$6*410)*18*1.2))*ControlPanel!$B$7))&lt;=ControlPanel!$B$5</f>
        <v/>
      </c>
      <c r="AB2" s="13">
        <f>AND(Daily!H3,Daily!H4,Daily!H5,Daily!H6,Daily!H7,Daily!H8)</f>
        <v/>
      </c>
      <c r="AC2" s="6" t="inlineStr">
        <is>
          <t>Cap per 09-28..09-30 FY2025; 10-01..10-02 FY2026 (cap/MIE identical across FY here); M&amp;IE per 09-28..09-30 FY2025; 10-01..10-02 FY2026 (cap/MIE identical across FY here). FY2025 Master rows: lodging 258, M&amp;IE 258. FY2026 Master rows: lodging 254, M&amp;IE 254. Tax is internal 12% assumption on reimbursable lodging (301-11.27). Hotel BF free = no M&amp;IE deduction (301-11.17). Gov meals deducted per 301-11.18 with $5 incidental floor. Stress adds 20% airfare on top of current WF_AIR_MULTIPLIER.</t>
        </is>
      </c>
    </row>
    <row r="3">
      <c r="A3" s="6" t="inlineStr">
        <is>
          <t>CHICAGO</t>
        </is>
      </c>
      <c r="B3" s="6" t="n">
        <v>24</v>
      </c>
      <c r="C3" s="6" t="inlineStr">
        <is>
          <t>09-28..09-30 FY2025; 10-01..10-02 FY2026 (cap/MIE identical across FY here)</t>
        </is>
      </c>
      <c r="D3" s="13">
        <f>ControlPanel!$B$6*410</f>
        <v/>
      </c>
      <c r="E3" s="13">
        <f>80</f>
        <v/>
      </c>
      <c r="F3" s="13">
        <f>180</f>
        <v/>
      </c>
      <c r="G3" s="13">
        <f>Daily!U3+Daily!U4+Daily!U5+Daily!U6+Daily!U7+Daily!U8</f>
        <v/>
      </c>
      <c r="H3" s="13">
        <f>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</f>
        <v/>
      </c>
      <c r="I3" s="13">
        <f>MIN(218,223)</f>
        <v/>
      </c>
      <c r="J3" s="13">
        <f>MIN(218,223)*0.12</f>
        <v/>
      </c>
      <c r="K3" s="13">
        <f>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</f>
        <v/>
      </c>
      <c r="L3" s="13">
        <f>9500</f>
        <v/>
      </c>
      <c r="M3" s="13">
        <f>(ControlPanel!$B$6*410)*24</f>
        <v/>
      </c>
      <c r="N3" s="13">
        <f>(80)*24</f>
        <v/>
      </c>
      <c r="O3" s="13">
        <f>(180)*24</f>
        <v/>
      </c>
      <c r="P3" s="13">
        <f>(Daily!U3+Daily!U4+Daily!U5+Daily!U6+Daily!U7+Daily!U8)*24</f>
        <v/>
      </c>
      <c r="Q3" s="13">
        <f>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</f>
        <v/>
      </c>
      <c r="R3" s="13">
        <f>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</f>
        <v/>
      </c>
      <c r="S3" s="13">
        <f>(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)*ControlPanel!$B$7</f>
        <v/>
      </c>
      <c r="T3" s="13">
        <f>(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)+((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)*ControlPanel!$B$7)</f>
        <v/>
      </c>
      <c r="U3" s="6">
        <f>ControlPanel!$B$5</f>
        <v/>
      </c>
      <c r="V3" s="13">
        <f>((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)+((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)*ControlPanel!$B$7))&lt;=ControlPanel!$B$5</f>
        <v/>
      </c>
      <c r="W3" s="13">
        <f>(ControlPanel!$B$6*410)*24*1.2</f>
        <v/>
      </c>
      <c r="X3" s="13">
        <f>(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)-((ControlPanel!$B$6*410)*24)+((ControlPanel!$B$6*410)*24*1.2)</f>
        <v/>
      </c>
      <c r="Y3" s="13">
        <f>((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)-((ControlPanel!$B$6*410)*24)+((ControlPanel!$B$6*410)*24*1.2))*ControlPanel!$B$7</f>
        <v/>
      </c>
      <c r="Z3" s="13">
        <f>((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)-((ControlPanel!$B$6*410)*24)+((ControlPanel!$B$6*410)*24*1.2))+(((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)-((ControlPanel!$B$6*410)*24)+((ControlPanel!$B$6*410)*24*1.2))*ControlPanel!$B$7)</f>
        <v/>
      </c>
      <c r="AA3" s="13">
        <f>(((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)-((ControlPanel!$B$6*410)*24)+((ControlPanel!$B$6*410)*24*1.2))+(((((ControlPanel!$B$6*410)*24)+((80)*24)+((180)*24)+((Daily!U3+Daily!U4+Daily!U5+Daily!U6+Daily!U7+Daily!U8)*24)+(((MIN(218,223)+MIN(218,223)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(9500))-((ControlPanel!$B$6*410)*24)+((ControlPanel!$B$6*410)*24*1.2))*ControlPanel!$B$7))&lt;=ControlPanel!$B$5</f>
        <v/>
      </c>
      <c r="AB3" s="13">
        <f>AND(Daily!H3,Daily!H4,Daily!H5,Daily!H6,Daily!H7,Daily!H8)</f>
        <v/>
      </c>
      <c r="AC3" s="6" t="inlineStr">
        <is>
          <t>Cap per 09-28..09-30 FY2025; 10-01..10-02 FY2026 (cap/MIE identical across FY here); M&amp;IE per 09-28..09-30 FY2025; 10-01..10-02 FY2026 (cap/MIE identical across FY here). FY2025 Master rows: lodging 258, M&amp;IE 258. FY2026 Master rows: lodging 254, M&amp;IE 254. Tax is internal 12% assumption on reimbursable lodging (301-11.27). Hotel BF free = no M&amp;IE deduction (301-11.17). Gov meals deducted per 301-11.18 with $5 incidental floor. Stress adds 20% airfare on top of current WF_AIR_MULTIPLIER.</t>
        </is>
      </c>
    </row>
    <row r="4">
      <c r="A4" s="6" t="inlineStr">
        <is>
          <t>DENVER</t>
        </is>
      </c>
      <c r="B4" s="6" t="n">
        <v>18</v>
      </c>
      <c r="C4" s="6" t="inlineStr">
        <is>
          <t>09-28..09-30 FY2025; 10-01..10-02 FY2026 (cap/MIE identical across FY here)</t>
        </is>
      </c>
      <c r="D4" s="13">
        <f>ControlPanel!$B$6*340</f>
        <v/>
      </c>
      <c r="E4" s="13">
        <f>70</f>
        <v/>
      </c>
      <c r="F4" s="13">
        <f>180</f>
        <v/>
      </c>
      <c r="G4" s="13">
        <f>Daily!U11+Daily!U12+Daily!U13+Daily!U14+Daily!U15+Daily!U16</f>
        <v/>
      </c>
      <c r="H4" s="13">
        <f>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</f>
        <v/>
      </c>
      <c r="I4" s="13">
        <f>MIN(209,215)</f>
        <v/>
      </c>
      <c r="J4" s="13">
        <f>MIN(209,215)*0.12</f>
        <v/>
      </c>
      <c r="K4" s="13">
        <f>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</f>
        <v/>
      </c>
      <c r="L4" s="13">
        <f>10500</f>
        <v/>
      </c>
      <c r="M4" s="13">
        <f>(ControlPanel!$B$6*340)*18</f>
        <v/>
      </c>
      <c r="N4" s="13">
        <f>(70)*18</f>
        <v/>
      </c>
      <c r="O4" s="13">
        <f>(180)*18</f>
        <v/>
      </c>
      <c r="P4" s="13">
        <f>(Daily!U11+Daily!U12+Daily!U13+Daily!U14+Daily!U15+Daily!U16)*18</f>
        <v/>
      </c>
      <c r="Q4" s="13">
        <f>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</f>
        <v/>
      </c>
      <c r="R4" s="13">
        <f>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</f>
        <v/>
      </c>
      <c r="S4" s="13">
        <f>(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)*ControlPanel!$B$7</f>
        <v/>
      </c>
      <c r="T4" s="13">
        <f>(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)+((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)*ControlPanel!$B$7)</f>
        <v/>
      </c>
      <c r="U4" s="6">
        <f>ControlPanel!$B$5</f>
        <v/>
      </c>
      <c r="V4" s="13">
        <f>((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)+((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)*ControlPanel!$B$7))&lt;=ControlPanel!$B$5</f>
        <v/>
      </c>
      <c r="W4" s="13">
        <f>(ControlPanel!$B$6*340)*18*1.2</f>
        <v/>
      </c>
      <c r="X4" s="13">
        <f>(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)-((ControlPanel!$B$6*340)*18)+((ControlPanel!$B$6*340)*18*1.2)</f>
        <v/>
      </c>
      <c r="Y4" s="13">
        <f>((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)-((ControlPanel!$B$6*340)*18)+((ControlPanel!$B$6*340)*18*1.2))*ControlPanel!$B$7</f>
        <v/>
      </c>
      <c r="Z4" s="13">
        <f>((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)-((ControlPanel!$B$6*340)*18)+((ControlPanel!$B$6*340)*18*1.2))+(((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)-((ControlPanel!$B$6*340)*18)+((ControlPanel!$B$6*340)*18*1.2))*ControlPanel!$B$7)</f>
        <v/>
      </c>
      <c r="AA4" s="13">
        <f>(((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)-((ControlPanel!$B$6*340)*18)+((ControlPanel!$B$6*340)*18*1.2))+(((((ControlPanel!$B$6*340)*18)+((70)*18)+((180)*18)+((Daily!U11+Daily!U12+Daily!U13+Daily!U14+Daily!U15+Daily!U16)*18)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(10500))-((ControlPanel!$B$6*340)*18)+((ControlPanel!$B$6*340)*18*1.2))*ControlPanel!$B$7))&lt;=ControlPanel!$B$5</f>
        <v/>
      </c>
      <c r="AB4" s="13">
        <f>AND(Daily!H11,Daily!H12,Daily!H13,Daily!H14,Daily!H15,Daily!H16)</f>
        <v/>
      </c>
      <c r="AC4" s="6" t="inlineStr">
        <is>
          <t>Cap per 09-28..09-30 FY2025; 10-01..10-02 FY2026 (cap/MIE identical across FY here); M&amp;IE per 09-28..09-30 FY2025; 10-01..10-02 FY2026 (cap/MIE identical across FY here). FY2025 Master rows: lodging 109, M&amp;IE 109. FY2026 Master rows: lodging 107, M&amp;IE 107. Tax is internal 12% assumption on reimbursable lodging (301-11.27). Hotel BF free = no M&amp;IE deduction (301-11.17). Gov meals deducted per 301-11.18 with $5 incidental floor. Stress adds 20% airfare on top of current WF_AIR_MULTIPLIER.</t>
        </is>
      </c>
    </row>
    <row r="5">
      <c r="A5" s="6" t="inlineStr">
        <is>
          <t>DENVER</t>
        </is>
      </c>
      <c r="B5" s="6" t="n">
        <v>24</v>
      </c>
      <c r="C5" s="6" t="inlineStr">
        <is>
          <t>09-28..09-30 FY2025; 10-01..10-02 FY2026 (cap/MIE identical across FY here)</t>
        </is>
      </c>
      <c r="D5" s="13">
        <f>ControlPanel!$B$6*340</f>
        <v/>
      </c>
      <c r="E5" s="13">
        <f>70</f>
        <v/>
      </c>
      <c r="F5" s="13">
        <f>180</f>
        <v/>
      </c>
      <c r="G5" s="13">
        <f>Daily!U11+Daily!U12+Daily!U13+Daily!U14+Daily!U15+Daily!U16</f>
        <v/>
      </c>
      <c r="H5" s="13">
        <f>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</f>
        <v/>
      </c>
      <c r="I5" s="13">
        <f>MIN(209,215)</f>
        <v/>
      </c>
      <c r="J5" s="13">
        <f>MIN(209,215)*0.12</f>
        <v/>
      </c>
      <c r="K5" s="13">
        <f>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</f>
        <v/>
      </c>
      <c r="L5" s="13">
        <f>10500</f>
        <v/>
      </c>
      <c r="M5" s="13">
        <f>(ControlPanel!$B$6*340)*24</f>
        <v/>
      </c>
      <c r="N5" s="13">
        <f>(70)*24</f>
        <v/>
      </c>
      <c r="O5" s="13">
        <f>(180)*24</f>
        <v/>
      </c>
      <c r="P5" s="13">
        <f>(Daily!U11+Daily!U12+Daily!U13+Daily!U14+Daily!U15+Daily!U16)*24</f>
        <v/>
      </c>
      <c r="Q5" s="13">
        <f>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</f>
        <v/>
      </c>
      <c r="R5" s="13">
        <f>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</f>
        <v/>
      </c>
      <c r="S5" s="13">
        <f>(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)*ControlPanel!$B$7</f>
        <v/>
      </c>
      <c r="T5" s="13">
        <f>(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)+((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)*ControlPanel!$B$7)</f>
        <v/>
      </c>
      <c r="U5" s="6">
        <f>ControlPanel!$B$5</f>
        <v/>
      </c>
      <c r="V5" s="13">
        <f>((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)+((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)*ControlPanel!$B$7))&lt;=ControlPanel!$B$5</f>
        <v/>
      </c>
      <c r="W5" s="13">
        <f>(ControlPanel!$B$6*340)*24*1.2</f>
        <v/>
      </c>
      <c r="X5" s="13">
        <f>(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)-((ControlPanel!$B$6*340)*24)+((ControlPanel!$B$6*340)*24*1.2)</f>
        <v/>
      </c>
      <c r="Y5" s="13">
        <f>((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)-((ControlPanel!$B$6*340)*24)+((ControlPanel!$B$6*340)*24*1.2))*ControlPanel!$B$7</f>
        <v/>
      </c>
      <c r="Z5" s="13">
        <f>((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)-((ControlPanel!$B$6*340)*24)+((ControlPanel!$B$6*340)*24*1.2))+(((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)-((ControlPanel!$B$6*340)*24)+((ControlPanel!$B$6*340)*24*1.2))*ControlPanel!$B$7)</f>
        <v/>
      </c>
      <c r="AA5" s="13">
        <f>(((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)-((ControlPanel!$B$6*340)*24)+((ControlPanel!$B$6*340)*24*1.2))+(((((ControlPanel!$B$6*340)*24)+((70)*24)+((180)*24)+((Daily!U11+Daily!U12+Daily!U13+Daily!U14+Daily!U15+Daily!U16)*24)+(((MIN(209,215)+MIN(209,215)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(10500))-((ControlPanel!$B$6*340)*24)+((ControlPanel!$B$6*340)*24*1.2))*ControlPanel!$B$7))&lt;=ControlPanel!$B$5</f>
        <v/>
      </c>
      <c r="AB5" s="13">
        <f>AND(Daily!H11,Daily!H12,Daily!H13,Daily!H14,Daily!H15,Daily!H16)</f>
        <v/>
      </c>
      <c r="AC5" s="6" t="inlineStr">
        <is>
          <t>Cap per 09-28..09-30 FY2025; 10-01..10-02 FY2026 (cap/MIE identical across FY here); M&amp;IE per 09-28..09-30 FY2025; 10-01..10-02 FY2026 (cap/MIE identical across FY here). FY2025 Master rows: lodging 109, M&amp;IE 109. FY2026 Master rows: lodging 107, M&amp;IE 107. Tax is internal 12% assumption on reimbursable lodging (301-11.27). Hotel BF free = no M&amp;IE deduction (301-11.17). Gov meals deducted per 301-11.18 with $5 incidental floor. Stress adds 20% airfare on top of current WF_AIR_MULTIPLIER.</t>
        </is>
      </c>
    </row>
    <row r="6">
      <c r="A6" s="6" t="inlineStr">
        <is>
          <t>PHOENIX</t>
        </is>
      </c>
      <c r="B6" s="6" t="n">
        <v>18</v>
      </c>
      <c r="C6" s="6" t="inlineStr">
        <is>
          <t>09-28..09-30 FY2025; 10-01..10-02 FY2026 (cap/MIE identical across FY here)</t>
        </is>
      </c>
      <c r="D6" s="13">
        <f>ControlPanel!$B$6*510</f>
        <v/>
      </c>
      <c r="E6" s="13">
        <f>90</f>
        <v/>
      </c>
      <c r="F6" s="13">
        <f>180</f>
        <v/>
      </c>
      <c r="G6" s="13">
        <f>Daily!U19+Daily!U20+Daily!U21+Daily!U22+Daily!U23+Daily!U24</f>
        <v/>
      </c>
      <c r="H6" s="13">
        <f>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</f>
        <v/>
      </c>
      <c r="I6" s="13">
        <f>MIN(155,160)</f>
        <v/>
      </c>
      <c r="J6" s="13">
        <f>MIN(155,160)*0.12</f>
        <v/>
      </c>
      <c r="K6" s="13">
        <f>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</f>
        <v/>
      </c>
      <c r="L6" s="13">
        <f>8000</f>
        <v/>
      </c>
      <c r="M6" s="13">
        <f>(ControlPanel!$B$6*510)*18</f>
        <v/>
      </c>
      <c r="N6" s="13">
        <f>(90)*18</f>
        <v/>
      </c>
      <c r="O6" s="13">
        <f>(180)*18</f>
        <v/>
      </c>
      <c r="P6" s="13">
        <f>(Daily!U19+Daily!U20+Daily!U21+Daily!U22+Daily!U23+Daily!U24)*18</f>
        <v/>
      </c>
      <c r="Q6" s="13">
        <f>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</f>
        <v/>
      </c>
      <c r="R6" s="13">
        <f>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</f>
        <v/>
      </c>
      <c r="S6" s="13">
        <f>(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)*ControlPanel!$B$7</f>
        <v/>
      </c>
      <c r="T6" s="13">
        <f>(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)+((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)*ControlPanel!$B$7)</f>
        <v/>
      </c>
      <c r="U6" s="6">
        <f>ControlPanel!$B$5</f>
        <v/>
      </c>
      <c r="V6" s="13">
        <f>((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)+((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)*ControlPanel!$B$7))&lt;=ControlPanel!$B$5</f>
        <v/>
      </c>
      <c r="W6" s="13">
        <f>(ControlPanel!$B$6*510)*18*1.2</f>
        <v/>
      </c>
      <c r="X6" s="13">
        <f>(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)-((ControlPanel!$B$6*510)*18)+((ControlPanel!$B$6*510)*18*1.2)</f>
        <v/>
      </c>
      <c r="Y6" s="13">
        <f>((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)-((ControlPanel!$B$6*510)*18)+((ControlPanel!$B$6*510)*18*1.2))*ControlPanel!$B$7</f>
        <v/>
      </c>
      <c r="Z6" s="13">
        <f>((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)-((ControlPanel!$B$6*510)*18)+((ControlPanel!$B$6*510)*18*1.2))+(((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)-((ControlPanel!$B$6*510)*18)+((ControlPanel!$B$6*510)*18*1.2))*ControlPanel!$B$7)</f>
        <v/>
      </c>
      <c r="AA6" s="13">
        <f>(((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)-((ControlPanel!$B$6*510)*18)+((ControlPanel!$B$6*510)*18*1.2))+(((((ControlPanel!$B$6*510)*18)+((90)*18)+((180)*18)+((Daily!U19+Daily!U20+Daily!U21+Daily!U22+Daily!U23+Daily!U24)*18)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18)+(8000))-((ControlPanel!$B$6*510)*18)+((ControlPanel!$B$6*510)*18*1.2))*ControlPanel!$B$7))&lt;=ControlPanel!$B$5</f>
        <v/>
      </c>
      <c r="AB6" s="13">
        <f>AND(Daily!H19,Daily!H20,Daily!H21,Daily!H22,Daily!H23,Daily!H24)</f>
        <v/>
      </c>
      <c r="AC6" s="6" t="inlineStr">
        <is>
          <t>Cap per 09-28..09-30 FY2025; 10-01..10-02 FY2026 (cap/MIE identical across FY here); M&amp;IE per 09-28..09-30 FY2025; 10-01..10-02 FY2026 (cap/MIE identical across FY here). FY2025 Master rows: lodging 22, M&amp;IE 22. FY2026 Master rows: lodging 18, M&amp;IE 18. Tax is internal 12% assumption on reimbursable lodging (301-11.27). Hotel BF free = no M&amp;IE deduction (301-11.17). Gov meals deducted per 301-11.18 with $5 incidental floor. Stress adds 20% airfare on top of current WF_AIR_MULTIPLIER.</t>
        </is>
      </c>
    </row>
    <row r="7">
      <c r="A7" s="6" t="inlineStr">
        <is>
          <t>PHOENIX</t>
        </is>
      </c>
      <c r="B7" s="6" t="n">
        <v>24</v>
      </c>
      <c r="C7" s="6" t="inlineStr">
        <is>
          <t>09-28..09-30 FY2025; 10-01..10-02 FY2026 (cap/MIE identical across FY here)</t>
        </is>
      </c>
      <c r="D7" s="13">
        <f>ControlPanel!$B$6*510</f>
        <v/>
      </c>
      <c r="E7" s="13">
        <f>90</f>
        <v/>
      </c>
      <c r="F7" s="13">
        <f>180</f>
        <v/>
      </c>
      <c r="G7" s="13">
        <f>Daily!U19+Daily!U20+Daily!U21+Daily!U22+Daily!U23+Daily!U24</f>
        <v/>
      </c>
      <c r="H7" s="13">
        <f>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</f>
        <v/>
      </c>
      <c r="I7" s="13">
        <f>MIN(155,160)</f>
        <v/>
      </c>
      <c r="J7" s="13">
        <f>MIN(155,160)*0.12</f>
        <v/>
      </c>
      <c r="K7" s="13">
        <f>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</f>
        <v/>
      </c>
      <c r="L7" s="13">
        <f>8000</f>
        <v/>
      </c>
      <c r="M7" s="13">
        <f>(ControlPanel!$B$6*510)*24</f>
        <v/>
      </c>
      <c r="N7" s="13">
        <f>(90)*24</f>
        <v/>
      </c>
      <c r="O7" s="13">
        <f>(180)*24</f>
        <v/>
      </c>
      <c r="P7" s="13">
        <f>(Daily!U19+Daily!U20+Daily!U21+Daily!U22+Daily!U23+Daily!U24)*24</f>
        <v/>
      </c>
      <c r="Q7" s="13">
        <f>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</f>
        <v/>
      </c>
      <c r="R7" s="13">
        <f>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</f>
        <v/>
      </c>
      <c r="S7" s="13">
        <f>(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)*ControlPanel!$B$7</f>
        <v/>
      </c>
      <c r="T7" s="13">
        <f>(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)+((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)*ControlPanel!$B$7)</f>
        <v/>
      </c>
      <c r="U7" s="6">
        <f>ControlPanel!$B$5</f>
        <v/>
      </c>
      <c r="V7" s="13">
        <f>((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)+((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)*ControlPanel!$B$7))&lt;=ControlPanel!$B$5</f>
        <v/>
      </c>
      <c r="W7" s="13">
        <f>(ControlPanel!$B$6*510)*24*1.2</f>
        <v/>
      </c>
      <c r="X7" s="13">
        <f>(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)-((ControlPanel!$B$6*510)*24)+((ControlPanel!$B$6*510)*24*1.2)</f>
        <v/>
      </c>
      <c r="Y7" s="13">
        <f>((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)-((ControlPanel!$B$6*510)*24)+((ControlPanel!$B$6*510)*24*1.2))*ControlPanel!$B$7</f>
        <v/>
      </c>
      <c r="Z7" s="13">
        <f>((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)-((ControlPanel!$B$6*510)*24)+((ControlPanel!$B$6*510)*24*1.2))+(((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)-((ControlPanel!$B$6*510)*24)+((ControlPanel!$B$6*510)*24*1.2))*ControlPanel!$B$7)</f>
        <v/>
      </c>
      <c r="AA7" s="13">
        <f>(((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)-((ControlPanel!$B$6*510)*24)+((ControlPanel!$B$6*510)*24*1.2))+(((((ControlPanel!$B$6*510)*24)+((90)*24)+((180)*24)+((Daily!U19+Daily!U20+Daily!U21+Daily!U22+Daily!U23+Daily!U24)*24)+(((MIN(155,160)+MIN(155,160)*0.12)*(IF((ControlPanel!$B$9&lt;=20250927)*(20250927&lt;=20251001),1,0)+IF((ControlPanel!$B$9&lt;=20250928)*(20250928&lt;=20251001),1,0)+IF((ControlPanel!$B$9&lt;=20250929)*(20250929&lt;=20251001),1,0)+IF((ControlPanel!$B$9&lt;=20250930)*(20250930&lt;=20251001),1,0)+IF((ControlPanel!$B$9&lt;=20251001)*(20251001&lt;=20251001),1,0)+IF((ControlPanel!$B$9&lt;=20251002)*(20251002&lt;=20251001),1,0)))*24)+(8000))-((ControlPanel!$B$6*510)*24)+((ControlPanel!$B$6*510)*24*1.2))*ControlPanel!$B$7))&lt;=ControlPanel!$B$5</f>
        <v/>
      </c>
      <c r="AB7" s="13">
        <f>AND(Daily!H19,Daily!H20,Daily!H21,Daily!H22,Daily!H23,Daily!H24)</f>
        <v/>
      </c>
      <c r="AC7" s="6" t="inlineStr">
        <is>
          <t>Cap per 09-28..09-30 FY2025; 10-01..10-02 FY2026 (cap/MIE identical across FY here); M&amp;IE per 09-28..09-30 FY2025; 10-01..10-02 FY2026 (cap/MIE identical across FY here). FY2025 Master rows: lodging 22, M&amp;IE 22. FY2026 Master rows: lodging 18, M&amp;IE 18. Tax is internal 12% assumption on reimbursable lodging (301-11.27). Hotel BF free = no M&amp;IE deduction (301-11.17). Gov meals deducted per 301-11.18 with $5 incidental floor. Stress adds 20% airfare on top of current WF_AIR_MULTIPLIER.</t>
        </is>
      </c>
    </row>
    <row r="10">
      <c r="A10" s="9" t="inlineStr">
        <is>
          <t>Selection helper</t>
        </is>
      </c>
    </row>
    <row r="11">
      <c r="A11" s="11" t="inlineStr">
        <is>
          <t>City</t>
        </is>
      </c>
      <c r="B11" s="11" t="inlineStr">
        <is>
          <t>N</t>
        </is>
      </c>
      <c r="C11" s="11" t="inlineStr">
        <is>
          <t>UnderBudget</t>
        </is>
      </c>
      <c r="D11" s="11" t="inlineStr">
        <is>
          <t>Total</t>
        </is>
      </c>
      <c r="E11" s="11" t="inlineStr">
        <is>
          <t>StressUnder</t>
        </is>
      </c>
      <c r="F11" s="11" t="inlineStr">
        <is>
          <t>StressTotal</t>
        </is>
      </c>
      <c r="G11" s="11" t="inlineStr">
        <is>
          <t>Score (current)</t>
        </is>
      </c>
      <c r="H11" s="11" t="inlineStr">
        <is>
          <t>Score (stress)</t>
        </is>
      </c>
    </row>
    <row r="12">
      <c r="A12" s="6" t="inlineStr">
        <is>
          <t>CHICAGO</t>
        </is>
      </c>
      <c r="B12" s="6" t="n">
        <v>18</v>
      </c>
      <c r="C12" s="6">
        <f>Options!V2</f>
        <v/>
      </c>
      <c r="D12" s="13">
        <f>Options!T2</f>
        <v/>
      </c>
      <c r="E12" s="6">
        <f>Options!AA2</f>
        <v/>
      </c>
      <c r="F12" s="13">
        <f>Options!Z2</f>
        <v/>
      </c>
      <c r="G12" s="13">
        <f>(C12*1000000000000)+(B12*1000000000)+(1000000000-D12)+(90-CODE(LEFT(A12,1)))</f>
        <v/>
      </c>
      <c r="H12" s="13">
        <f>(E12*1000000000000)+(B12*1000000000)+(1000000000-F12)+(90-CODE(LEFT(A12,1)))</f>
        <v/>
      </c>
    </row>
    <row r="13">
      <c r="A13" s="6" t="inlineStr">
        <is>
          <t>CHICAGO</t>
        </is>
      </c>
      <c r="B13" s="6" t="n">
        <v>24</v>
      </c>
      <c r="C13" s="6">
        <f>Options!V3</f>
        <v/>
      </c>
      <c r="D13" s="13">
        <f>Options!T3</f>
        <v/>
      </c>
      <c r="E13" s="6">
        <f>Options!AA3</f>
        <v/>
      </c>
      <c r="F13" s="13">
        <f>Options!Z3</f>
        <v/>
      </c>
      <c r="G13" s="13">
        <f>(C13*1000000000000)+(B13*1000000000)+(1000000000-D13)+(90-CODE(LEFT(A13,1)))</f>
        <v/>
      </c>
      <c r="H13" s="13">
        <f>(E13*1000000000000)+(B13*1000000000)+(1000000000-F13)+(90-CODE(LEFT(A13,1)))</f>
        <v/>
      </c>
    </row>
    <row r="14">
      <c r="A14" s="6" t="inlineStr">
        <is>
          <t>DENVER</t>
        </is>
      </c>
      <c r="B14" s="6" t="n">
        <v>18</v>
      </c>
      <c r="C14" s="6">
        <f>Options!V4</f>
        <v/>
      </c>
      <c r="D14" s="13">
        <f>Options!T4</f>
        <v/>
      </c>
      <c r="E14" s="6">
        <f>Options!AA4</f>
        <v/>
      </c>
      <c r="F14" s="13">
        <f>Options!Z4</f>
        <v/>
      </c>
      <c r="G14" s="13">
        <f>(C14*1000000000000)+(B14*1000000000)+(1000000000-D14)+(90-CODE(LEFT(A14,1)))</f>
        <v/>
      </c>
      <c r="H14" s="13">
        <f>(E14*1000000000000)+(B14*1000000000)+(1000000000-F14)+(90-CODE(LEFT(A14,1)))</f>
        <v/>
      </c>
    </row>
    <row r="15">
      <c r="A15" s="6" t="inlineStr">
        <is>
          <t>DENVER</t>
        </is>
      </c>
      <c r="B15" s="6" t="n">
        <v>24</v>
      </c>
      <c r="C15" s="6">
        <f>Options!V5</f>
        <v/>
      </c>
      <c r="D15" s="13">
        <f>Options!T5</f>
        <v/>
      </c>
      <c r="E15" s="6">
        <f>Options!AA5</f>
        <v/>
      </c>
      <c r="F15" s="13">
        <f>Options!Z5</f>
        <v/>
      </c>
      <c r="G15" s="13">
        <f>(C15*1000000000000)+(B15*1000000000)+(1000000000-D15)+(90-CODE(LEFT(A15,1)))</f>
        <v/>
      </c>
      <c r="H15" s="13">
        <f>(E15*1000000000000)+(B15*1000000000)+(1000000000-F15)+(90-CODE(LEFT(A15,1)))</f>
        <v/>
      </c>
    </row>
    <row r="16">
      <c r="A16" s="6" t="inlineStr">
        <is>
          <t>PHOENIX</t>
        </is>
      </c>
      <c r="B16" s="6" t="n">
        <v>18</v>
      </c>
      <c r="C16" s="6">
        <f>Options!V6</f>
        <v/>
      </c>
      <c r="D16" s="13">
        <f>Options!T6</f>
        <v/>
      </c>
      <c r="E16" s="6">
        <f>Options!AA6</f>
        <v/>
      </c>
      <c r="F16" s="13">
        <f>Options!Z6</f>
        <v/>
      </c>
      <c r="G16" s="13">
        <f>(C16*1000000000000)+(B16*1000000000)+(1000000000-D16)+(90-CODE(LEFT(A16,1)))</f>
        <v/>
      </c>
      <c r="H16" s="13">
        <f>(E16*1000000000000)+(B16*1000000000)+(1000000000-F16)+(90-CODE(LEFT(A16,1)))</f>
        <v/>
      </c>
    </row>
    <row r="17">
      <c r="A17" s="6" t="inlineStr">
        <is>
          <t>PHOENIX</t>
        </is>
      </c>
      <c r="B17" s="6" t="n">
        <v>24</v>
      </c>
      <c r="C17" s="6">
        <f>Options!V7</f>
        <v/>
      </c>
      <c r="D17" s="13">
        <f>Options!T7</f>
        <v/>
      </c>
      <c r="E17" s="6">
        <f>Options!AA7</f>
        <v/>
      </c>
      <c r="F17" s="13">
        <f>Options!Z7</f>
        <v/>
      </c>
      <c r="G17" s="13">
        <f>(C17*1000000000000)+(B17*1000000000)+(1000000000-D17)+(90-CODE(LEFT(A17,1)))</f>
        <v/>
      </c>
      <c r="H17" s="13">
        <f>(E17*1000000000000)+(B17*1000000000)+(1000000000-F17)+(90-CODE(LEFT(A17,1)))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22" customWidth="1" min="3" max="3"/>
    <col width="70" customWidth="1" min="4" max="4"/>
    <col width="32" customWidth="1" min="5" max="5"/>
    <col width="60" customWidth="1" min="6" max="6"/>
    <col width="60" customWidth="1" min="7" max="7"/>
    <col width="16" customWidth="1" min="8" max="8"/>
  </cols>
  <sheetData>
    <row r="1">
      <c r="A1" s="10" t="inlineStr">
        <is>
          <t>Item</t>
        </is>
      </c>
      <c r="B1" s="10" t="inlineStr">
        <is>
          <t>File</t>
        </is>
      </c>
      <c r="C1" s="10" t="inlineStr">
        <is>
          <t>Sheet/Section</t>
        </is>
      </c>
      <c r="D1" s="10" t="inlineStr">
        <is>
          <t>Row/Clause</t>
        </is>
      </c>
      <c r="E1" s="10" t="inlineStr">
        <is>
          <t>Excel Row</t>
        </is>
      </c>
      <c r="F1" s="10" t="inlineStr">
        <is>
          <t>URL / Citation</t>
        </is>
      </c>
      <c r="G1" s="10" t="inlineStr">
        <is>
          <t>Used for</t>
        </is>
      </c>
      <c r="H1" s="10" t="inlineStr">
        <is>
          <t>FY match</t>
        </is>
      </c>
    </row>
    <row r="2">
      <c r="A2" s="14" t="inlineStr">
        <is>
          <t>GSA FY2025 CONUS Lodging+M&amp;IE Master</t>
        </is>
      </c>
      <c r="B2" s="14" t="inlineStr">
        <is>
          <t>FY2025_PerDiemMasterRatesFile.xlsx</t>
        </is>
      </c>
      <c r="C2" s="14" t="inlineStr">
        <is>
          <t>Master (header row 2)</t>
        </is>
      </c>
      <c r="D2" s="14" t="inlineStr">
        <is>
          <t>Chicago-IL Sept (Cook), Denver/Aurora-Apr-Sep, Phoenix/Scottsdale-Sept</t>
        </is>
      </c>
      <c r="E2" s="14" t="inlineStr">
        <is>
          <t>258 (Chicago), 109 (Denver), 22 (Phoenix)</t>
        </is>
      </c>
      <c r="F2" s="14" t="inlineStr">
        <is>
          <t>https://www.gsa.gov/system/files/FY2025_PerDiemMasterRatesFile.xlsx</t>
        </is>
      </c>
      <c r="G2" s="14" t="inlineStr">
        <is>
          <t>Lodging cap and full M&amp;IE rate for 09-28..09-30</t>
        </is>
      </c>
      <c r="H2" s="14" t="inlineStr">
        <is>
          <t>FY2025</t>
        </is>
      </c>
    </row>
    <row r="3">
      <c r="A3" s="14" t="inlineStr">
        <is>
          <t>GSA FY2026 CONUS Lodging+M&amp;IE Master</t>
        </is>
      </c>
      <c r="B3" s="14" t="inlineStr">
        <is>
          <t>FY2026_PerDiemMasterRatesFile.xlsx</t>
        </is>
      </c>
      <c r="C3" s="14" t="inlineStr">
        <is>
          <t>Master (header row 2)</t>
        </is>
      </c>
      <c r="D3" s="14" t="inlineStr">
        <is>
          <t>Chicago-Oct-Nov (Cook/Lake), Denver/Aurora-Oct, Phoenix/Scottsdale-Oct-Jan</t>
        </is>
      </c>
      <c r="E3" s="14" t="inlineStr">
        <is>
          <t>254 (Chicago), 107 (Denver), 18 (Phoenix)</t>
        </is>
      </c>
      <c r="F3" s="14" t="inlineStr">
        <is>
          <t>https://www.gsa.gov/system/files/FY2026_PerDiemMasterRatesFile.xlsx</t>
        </is>
      </c>
      <c r="G3" s="14" t="inlineStr">
        <is>
          <t>Lodging cap and full M&amp;IE rate for 10-01..10-02</t>
        </is>
      </c>
      <c r="H3" s="14" t="inlineStr">
        <is>
          <t>FY2026</t>
        </is>
      </c>
    </row>
    <row r="4">
      <c r="A4" s="14" t="inlineStr">
        <is>
          <t>M&amp;IE breakdown FY2025-Present</t>
        </is>
      </c>
      <c r="B4" s="14" t="inlineStr">
        <is>
          <t>GSA_FY2025_MIE_Breakdown.docx</t>
        </is>
      </c>
      <c r="C4" s="14" t="inlineStr">
        <is>
          <t>Table 1</t>
        </is>
      </c>
      <c r="D4" s="14" t="inlineStr">
        <is>
          <t>$92 row (B=23, L=26, D=38, I=5, FL=69); $86 row (B=22, L=23, D=36, I=5, FL=64.50)</t>
        </is>
      </c>
      <c r="E4" s="14" t="inlineStr">
        <is>
          <t>Table 1 rows for $92 and $86</t>
        </is>
      </c>
      <c r="F4" s="14" t="inlineStr">
        <is>
          <t>https://www.gsa.gov/system/files/FY%202025%20MIE%20Breakdown.docx</t>
        </is>
      </c>
      <c r="G4" s="14" t="inlineStr">
        <is>
          <t>Breakfast/Lunch/Dinner/Incidental deduction amounts; first/last day rate; linked from gsa_per_diem_files.html under "Meals &amp; incidental expenses breakdown"</t>
        </is>
      </c>
      <c r="H4" s="14" t="inlineStr">
        <is>
          <t>FY2025-present</t>
        </is>
      </c>
    </row>
    <row r="5">
      <c r="A5" s="14" t="inlineStr">
        <is>
          <t>GSA per diem download page</t>
        </is>
      </c>
      <c r="B5" s="14" t="inlineStr">
        <is>
          <t>gsa_per_diem_files.html</t>
        </is>
      </c>
      <c r="C5" s="14" t="inlineStr">
        <is>
          <t>HTML body</t>
        </is>
      </c>
      <c r="D5" s="14" t="inlineStr">
        <is>
          <t>Per diem rates &amp; MIE breakdown sections</t>
        </is>
      </c>
      <c r="E5" s="14" t="inlineStr">
        <is>
          <t>n/a</t>
        </is>
      </c>
      <c r="F5" s="14" t="inlineStr">
        <is>
          <t>https://www.gsa.gov/travel/plan-a-trip/per-diem-rates/per-diem-files</t>
        </is>
      </c>
      <c r="G5" s="14" t="inlineStr">
        <is>
          <t>Establishes link between Master Rates XLSX and MIE Breakdown DOCX</t>
        </is>
      </c>
      <c r="H5" s="14" t="inlineStr">
        <is>
          <t>FY2025-present</t>
        </is>
      </c>
    </row>
    <row r="6">
      <c r="A6" s="14" t="inlineStr">
        <is>
          <t>FTR 41 CFR 301-11.17</t>
        </is>
      </c>
      <c r="B6" s="14" t="inlineStr">
        <is>
          <t>eCFR_41_CFR_301-11.xml</t>
        </is>
      </c>
      <c r="C6" s="14" t="inlineStr">
        <is>
          <t>§301-11.17</t>
        </is>
      </c>
      <c r="D6" s="14" t="inlineStr">
        <is>
          <t>"A meal provided by a common carrier or a complimentary meal provided by a hotel/motel does not affect your per diem."</t>
        </is>
      </c>
      <c r="E6" s="14" t="inlineStr">
        <is>
          <t>n/a</t>
        </is>
      </c>
      <c r="F6" s="14" t="inlineStr">
        <is>
          <t>41 CFR 301-11.17</t>
        </is>
      </c>
      <c r="G6" s="14" t="inlineStr">
        <is>
          <t>Hotel free breakfast → NO M&amp;IE deduction in Daily</t>
        </is>
      </c>
      <c r="H6" s="14" t="inlineStr">
        <is>
          <t>FY-current</t>
        </is>
      </c>
    </row>
    <row r="7">
      <c r="A7" s="14" t="inlineStr">
        <is>
          <t>FTR 41 CFR 301-11.18</t>
        </is>
      </c>
      <c r="B7" s="14" t="inlineStr">
        <is>
          <t>eCFR_41_CFR_301-11.xml</t>
        </is>
      </c>
      <c r="C7" s="14" t="inlineStr">
        <is>
          <t>§301-11.18</t>
        </is>
      </c>
      <c r="D7" s="14" t="inlineStr">
        <is>
          <t>Meals furnished by the Government or included in registration fee must be deducted; floor = incidental; on first/last day deduct from decreased (75%) rate.</t>
        </is>
      </c>
      <c r="E7" s="14" t="inlineStr">
        <is>
          <t>n/a</t>
        </is>
      </c>
      <c r="F7" s="14" t="inlineStr">
        <is>
          <t>41 CFR 301-11.18</t>
        </is>
      </c>
      <c r="G7" s="14" t="inlineStr">
        <is>
          <t>Gov dinner/lunch deductions and $5 incidental floor in Daily; first/last-day computation</t>
        </is>
      </c>
      <c r="H7" s="14" t="inlineStr">
        <is>
          <t>FY-current</t>
        </is>
      </c>
    </row>
    <row r="8">
      <c r="A8" s="14" t="inlineStr">
        <is>
          <t>FTR 41 CFR 301-11.27</t>
        </is>
      </c>
      <c r="B8" s="14" t="inlineStr">
        <is>
          <t>eCFR_41_CFR_301-11.xml</t>
        </is>
      </c>
      <c r="C8" s="14" t="inlineStr">
        <is>
          <t>§301-11.27</t>
        </is>
      </c>
      <c r="D8" s="14" t="inlineStr">
        <is>
          <t>"Lodging taxes paid by you are reimbursable ... limited to the taxes on reimbursable lodging costs."</t>
        </is>
      </c>
      <c r="E8" s="14" t="inlineStr">
        <is>
          <t>n/a</t>
        </is>
      </c>
      <c r="F8" s="14" t="inlineStr">
        <is>
          <t>41 CFR 301-11.27</t>
        </is>
      </c>
      <c r="G8" s="14" t="inlineStr">
        <is>
          <t>Tax is computed on reimbursable lodging (not cap); internal 12% assumption in Daily and Options</t>
        </is>
      </c>
      <c r="H8" s="14" t="inlineStr">
        <is>
          <t>FY-current</t>
        </is>
      </c>
    </row>
    <row r="9">
      <c r="A9" s="14" t="inlineStr">
        <is>
          <t>FTR 41 CFR 301-11.101</t>
        </is>
      </c>
      <c r="B9" s="14" t="inlineStr">
        <is>
          <t>eCFR_41_CFR_301-11.xml</t>
        </is>
      </c>
      <c r="C9" s="14" t="inlineStr">
        <is>
          <t>§301-11.101</t>
        </is>
      </c>
      <c r="D9" s="14" t="inlineStr">
        <is>
          <t>First day of travel = 75% M&amp;IE; last day of travel = 75% M&amp;IE</t>
        </is>
      </c>
      <c r="E9" s="14" t="inlineStr">
        <is>
          <t>n/a</t>
        </is>
      </c>
      <c r="F9" s="14" t="inlineStr">
        <is>
          <t>41 CFR 301-11.101</t>
        </is>
      </c>
      <c r="G9" s="14" t="inlineStr">
        <is>
          <t>First/last day 75% rate used in Daily column 13 and M&amp;IE formula</t>
        </is>
      </c>
      <c r="H9" s="14" t="inlineStr">
        <is>
          <t>FY-current</t>
        </is>
      </c>
    </row>
    <row r="10">
      <c r="A10" s="14" t="inlineStr">
        <is>
          <t>FTR 41 CFR 301-74.7</t>
        </is>
      </c>
      <c r="B10" s="14" t="inlineStr">
        <is>
          <t>eCFR_41_CFR_301-74.xml</t>
        </is>
      </c>
      <c r="C10" s="14" t="inlineStr">
        <is>
          <t>§301-74.7</t>
        </is>
      </c>
      <c r="D10" s="14" t="inlineStr">
        <is>
          <t>Light refreshments (coffee, fruit, etc.) are not meals and do not affect M&amp;IE</t>
        </is>
      </c>
      <c r="E10" s="14" t="inlineStr">
        <is>
          <t>n/a</t>
        </is>
      </c>
      <c r="F10" s="14" t="inlineStr">
        <is>
          <t>41 CFR 301-74.7</t>
        </is>
      </c>
      <c r="G10" s="14" t="inlineStr">
        <is>
          <t>Training coffee/fruit breaks do not trigger deduction</t>
        </is>
      </c>
      <c r="H10" s="14" t="inlineStr">
        <is>
          <t>FY-current</t>
        </is>
      </c>
    </row>
    <row r="11">
      <c r="A11" s="14" t="inlineStr">
        <is>
          <t>FTR 41 CFR 301-74.8</t>
        </is>
      </c>
      <c r="B11" s="14" t="inlineStr">
        <is>
          <t>eCFR_41_CFR_301-74.xml</t>
        </is>
      </c>
      <c r="C11" s="14" t="inlineStr">
        <is>
          <t>§301-74.8</t>
        </is>
      </c>
      <c r="D11" s="14" t="inlineStr">
        <is>
          <t>Registration fees must be paid separately from per diem</t>
        </is>
      </c>
      <c r="E11" s="14" t="inlineStr">
        <is>
          <t>n/a</t>
        </is>
      </c>
      <c r="F11" s="14" t="inlineStr">
        <is>
          <t>41 CFR 301-74.8</t>
        </is>
      </c>
      <c r="G11" s="14" t="inlineStr">
        <is>
          <t>Registration is a separate line item, not in M&amp;IE</t>
        </is>
      </c>
      <c r="H11" s="14" t="inlineStr">
        <is>
          <t>FY-current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2026-10-23T08:57:14Z</dcterms:created>
  <dcterms:modified xmlns:dcterms="http://purl.org/dc/terms/" xmlns:xsi="http://www.w3.org/2001/XMLSchema-instance" xsi:type="dcterms:W3CDTF">2026-10-23T08:57:14Z</dcterms:modified>
</cp:coreProperties>
</file>