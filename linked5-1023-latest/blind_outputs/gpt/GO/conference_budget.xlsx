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" sheetId="1" state="visible" r:id="rId3"/>
    <sheet name="Options" sheetId="2" state="visible" r:id="rId4"/>
    <sheet name="FundingBridge" sheetId="3" state="visible" r:id="rId5"/>
    <sheet name="DecisionAudit" sheetId="4" state="visible" r:id="rId6"/>
    <sheet name="Sources" sheetId="5" state="visible" r:id="rId7"/>
  </sheets>
  <definedNames>
    <definedName function="false" hidden="true" localSheetId="0" name="_xlnm._FilterDatabase" vbProcedure="false">Daily!$A$4:$V$19</definedName>
    <definedName function="false" hidden="true" localSheetId="3" name="_xlnm._FilterDatabase" vbProcedure="false">DecisionAudit!$A$4:$F$6</definedName>
    <definedName function="false" hidden="true" localSheetId="2" name="_xlnm._FilterDatabase" vbProcedure="false">FundingBridge!$A$4:$T$16</definedName>
    <definedName function="false" hidden="true" localSheetId="1" name="_xlnm._FilterDatabase" vbProcedure="false">Options!$A$4:$V$10</definedName>
    <definedName function="false" hidden="true" localSheetId="4" name="_xlnm._FilterDatabase" vbProcedure="false">Sources!$A$4:$F$23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<sst xmlns="http://schemas.openxmlformats.org/spreadsheetml/2006/main" count="331" uniqueCount="197">
  <si>
    <r>
      <rPr>
        <b val="true"/>
        <sz val="18"/>
        <color rgb="FFFFFFFF"/>
        <rFont val="Noto Sans CJK SC"/>
        <family val="2"/>
      </rPr>
      <t xml:space="preserve">逐日差旅明细 </t>
    </r>
    <r>
      <rPr>
        <b val="true"/>
        <sz val="18"/>
        <color rgb="FFFFFFFF"/>
        <rFont val="Aptos Display"/>
        <family val="0"/>
        <charset val="1"/>
      </rPr>
      <t xml:space="preserve">| DAILY</t>
    </r>
  </si>
  <si>
    <r>
      <rPr>
        <sz val="10"/>
        <color rgb="FF1F2937"/>
        <rFont val="Noto Sans CJK SC"/>
        <family val="2"/>
      </rPr>
      <t xml:space="preserve">金额均为每人每日美元；住宿上限是报销天花板，预算按实际报价（不超过上限）计入。税率</t>
    </r>
    <r>
      <rPr>
        <sz val="10"/>
        <color rgb="FF1F2937"/>
        <rFont val="Aptos"/>
        <family val="0"/>
        <charset val="1"/>
      </rPr>
      <t xml:space="preserve">12%</t>
    </r>
    <r>
      <rPr>
        <sz val="10"/>
        <color rgb="FF1F2937"/>
        <rFont val="Noto Sans CJK SC"/>
        <family val="2"/>
      </rPr>
      <t xml:space="preserve">为本练习内部预算假设。</t>
    </r>
  </si>
  <si>
    <t xml:space="preserve">地点</t>
  </si>
  <si>
    <r>
      <rPr>
        <b val="true"/>
        <sz val="11"/>
        <color rgb="FFFFFFFF"/>
        <rFont val="Noto Sans CJK SC"/>
        <family val="2"/>
      </rPr>
      <t xml:space="preserve">县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区域</t>
    </r>
  </si>
  <si>
    <t xml:space="preserve">日期</t>
  </si>
  <si>
    <t xml:space="preserve">财政年度</t>
  </si>
  <si>
    <r>
      <rPr>
        <b val="true"/>
        <sz val="11"/>
        <color rgb="FFFFFFFF"/>
        <rFont val="Noto Sans CJK SC"/>
        <family val="2"/>
      </rPr>
      <t xml:space="preserve">住宿夜</t>
    </r>
    <r>
      <rPr>
        <b val="true"/>
        <sz val="11"/>
        <color rgb="FFFFFFFF"/>
        <rFont val="Aptos"/>
        <family val="0"/>
        <charset val="1"/>
      </rPr>
      <t xml:space="preserve">?</t>
    </r>
  </si>
  <si>
    <t xml:space="preserve">住宿上限</t>
  </si>
  <si>
    <t xml:space="preserve">未税报价</t>
  </si>
  <si>
    <t xml:space="preserve">可报销住宿预算</t>
  </si>
  <si>
    <t xml:space="preserve">住宿税率</t>
  </si>
  <si>
    <t xml:space="preserve">住宿税预算</t>
  </si>
  <si>
    <r>
      <rPr>
        <b val="true"/>
        <sz val="11"/>
        <color rgb="FFFFFFFF"/>
        <rFont val="Noto Sans CJK SC"/>
        <family val="2"/>
      </rPr>
      <t xml:space="preserve">全额</t>
    </r>
    <r>
      <rPr>
        <b val="true"/>
        <sz val="11"/>
        <color rgb="FFFFFFFF"/>
        <rFont val="Aptos"/>
        <family val="0"/>
        <charset val="1"/>
      </rPr>
      <t xml:space="preserve">M&amp;IE</t>
    </r>
  </si>
  <si>
    <r>
      <rPr>
        <b val="true"/>
        <sz val="11"/>
        <color rgb="FFFFFFFF"/>
        <rFont val="Noto Sans CJK SC"/>
        <family val="2"/>
      </rPr>
      <t xml:space="preserve">首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末日比例</t>
    </r>
  </si>
  <si>
    <r>
      <rPr>
        <b val="true"/>
        <sz val="11"/>
        <color rgb="FFFFFFFF"/>
        <rFont val="Noto Sans CJK SC"/>
        <family val="2"/>
      </rPr>
      <t xml:space="preserve">比例后</t>
    </r>
    <r>
      <rPr>
        <b val="true"/>
        <sz val="11"/>
        <color rgb="FFFFFFFF"/>
        <rFont val="Aptos"/>
        <family val="0"/>
        <charset val="1"/>
      </rPr>
      <t xml:space="preserve">M&amp;IE</t>
    </r>
  </si>
  <si>
    <t xml:space="preserve">早餐扣减</t>
  </si>
  <si>
    <t xml:space="preserve">午餐扣减</t>
  </si>
  <si>
    <t xml:space="preserve">晚餐扣减</t>
  </si>
  <si>
    <t xml:space="preserve">扣减合计</t>
  </si>
  <si>
    <t xml:space="preserve">最低杂费</t>
  </si>
  <si>
    <r>
      <rPr>
        <b val="true"/>
        <sz val="11"/>
        <color rgb="FFFFFFFF"/>
        <rFont val="Noto Sans CJK SC"/>
        <family val="2"/>
      </rPr>
      <t xml:space="preserve">最终</t>
    </r>
    <r>
      <rPr>
        <b val="true"/>
        <sz val="11"/>
        <color rgb="FFFFFFFF"/>
        <rFont val="Aptos"/>
        <family val="0"/>
        <charset val="1"/>
      </rPr>
      <t xml:space="preserve">M&amp;IE</t>
    </r>
  </si>
  <si>
    <t xml:space="preserve">说明</t>
  </si>
  <si>
    <t xml:space="preserve">费率原表行号</t>
  </si>
  <si>
    <t xml:space="preserve">住宿合规性</t>
  </si>
  <si>
    <t xml:space="preserve">Chicago, IL</t>
  </si>
  <si>
    <t xml:space="preserve">Cook</t>
  </si>
  <si>
    <t xml:space="preserve">2025-09-28</t>
  </si>
  <si>
    <t xml:space="preserve">FY2025</t>
  </si>
  <si>
    <t xml:space="preserve">是</t>
  </si>
  <si>
    <t xml:space="preserve">出发；政府提供欢迎晚餐</t>
  </si>
  <si>
    <t xml:space="preserve">2025-09-29</t>
  </si>
  <si>
    <t xml:space="preserve">培训；注册费含午餐；酒店免费早餐</t>
  </si>
  <si>
    <t xml:space="preserve">2025-09-30</t>
  </si>
  <si>
    <t xml:space="preserve">2025-10-01</t>
  </si>
  <si>
    <t xml:space="preserve">FY2026</t>
  </si>
  <si>
    <t xml:space="preserve">培训；注册费含午餐；政府提供晚餐；酒店免费早餐</t>
  </si>
  <si>
    <t xml:space="preserve">2025-10-02</t>
  </si>
  <si>
    <t xml:space="preserve">否</t>
  </si>
  <si>
    <t xml:space="preserve">返回；政府提供离场午餐；酒店免费早餐</t>
  </si>
  <si>
    <t xml:space="preserve">Denver, CO</t>
  </si>
  <si>
    <t xml:space="preserve">Denver</t>
  </si>
  <si>
    <t xml:space="preserve">Phoenix, AZ</t>
  </si>
  <si>
    <t xml:space="preserve">Maricopa</t>
  </si>
  <si>
    <r>
      <rPr>
        <b val="true"/>
        <sz val="18"/>
        <color rgb="FFFFFFFF"/>
        <rFont val="Noto Sans CJK SC"/>
        <family val="2"/>
      </rPr>
      <t xml:space="preserve">六方案总预算 </t>
    </r>
    <r>
      <rPr>
        <b val="true"/>
        <sz val="18"/>
        <color rgb="FFFFFFFF"/>
        <rFont val="Aptos Display"/>
        <family val="0"/>
        <charset val="1"/>
      </rPr>
      <t xml:space="preserve">| OPTIONS</t>
    </r>
  </si>
  <si>
    <r>
      <rPr>
        <sz val="10"/>
        <color rgb="FF1F2937"/>
        <rFont val="Noto Sans CJK SC"/>
        <family val="2"/>
      </rPr>
      <t xml:space="preserve">目标顺序：先最大化合规人数，再在同人数下选最低总额；本表保留原</t>
    </r>
    <r>
      <rPr>
        <sz val="10"/>
        <color rgb="FF1F2937"/>
        <rFont val="Aptos"/>
        <family val="0"/>
        <charset val="1"/>
      </rPr>
      <t xml:space="preserve">53,000</t>
    </r>
    <r>
      <rPr>
        <sz val="10"/>
        <color rgb="FF1F2937"/>
        <rFont val="Noto Sans CJK SC"/>
        <family val="2"/>
      </rPr>
      <t xml:space="preserve">美元总上限排名，年度资金可行性见</t>
    </r>
    <r>
      <rPr>
        <sz val="10"/>
        <color rgb="FF1F2937"/>
        <rFont val="Aptos"/>
        <family val="0"/>
        <charset val="1"/>
      </rPr>
      <t xml:space="preserve">FundingBridge</t>
    </r>
    <r>
      <rPr>
        <sz val="10"/>
        <color rgb="FF1F2937"/>
        <rFont val="Noto Sans CJK SC"/>
        <family val="2"/>
      </rPr>
      <t xml:space="preserve">。</t>
    </r>
  </si>
  <si>
    <t xml:space="preserve">原总额排名</t>
  </si>
  <si>
    <t xml:space="preserve">人数</t>
  </si>
  <si>
    <r>
      <rPr>
        <b val="true"/>
        <sz val="11"/>
        <color rgb="FFFFFFFF"/>
        <rFont val="Noto Sans CJK SC"/>
        <family val="2"/>
      </rPr>
      <t xml:space="preserve">住宿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人</t>
    </r>
  </si>
  <si>
    <r>
      <rPr>
        <b val="true"/>
        <sz val="11"/>
        <color rgb="FFFFFFFF"/>
        <rFont val="Noto Sans CJK SC"/>
        <family val="2"/>
      </rPr>
      <t xml:space="preserve">住宿税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人</t>
    </r>
  </si>
  <si>
    <r>
      <rPr>
        <b val="true"/>
        <sz val="11"/>
        <color rgb="FFFFFFFF"/>
        <rFont val="Aptos"/>
        <family val="0"/>
        <charset val="1"/>
      </rPr>
      <t xml:space="preserve">M&amp;IE/</t>
    </r>
    <r>
      <rPr>
        <b val="true"/>
        <sz val="11"/>
        <color rgb="FFFFFFFF"/>
        <rFont val="Noto Sans CJK SC"/>
        <family val="2"/>
      </rPr>
      <t xml:space="preserve">人</t>
    </r>
  </si>
  <si>
    <r>
      <rPr>
        <b val="true"/>
        <sz val="11"/>
        <color rgb="FFFFFFFF"/>
        <rFont val="Noto Sans CJK SC"/>
        <family val="2"/>
      </rPr>
      <t xml:space="preserve">机票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人</t>
    </r>
  </si>
  <si>
    <r>
      <rPr>
        <b val="true"/>
        <sz val="11"/>
        <color rgb="FFFFFFFF"/>
        <rFont val="Noto Sans CJK SC"/>
        <family val="2"/>
      </rPr>
      <t xml:space="preserve">当地交通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人</t>
    </r>
  </si>
  <si>
    <r>
      <rPr>
        <b val="true"/>
        <sz val="11"/>
        <color rgb="FFFFFFFF"/>
        <rFont val="Noto Sans CJK SC"/>
        <family val="2"/>
      </rPr>
      <t xml:space="preserve">注册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人</t>
    </r>
  </si>
  <si>
    <t xml:space="preserve">固定场地费</t>
  </si>
  <si>
    <t xml:space="preserve">基础成本</t>
  </si>
  <si>
    <r>
      <rPr>
        <b val="true"/>
        <sz val="11"/>
        <color rgb="FFFFFFFF"/>
        <rFont val="Aptos"/>
        <family val="0"/>
        <charset val="1"/>
      </rPr>
      <t xml:space="preserve">5%</t>
    </r>
    <r>
      <rPr>
        <b val="true"/>
        <sz val="11"/>
        <color rgb="FFFFFFFF"/>
        <rFont val="Noto Sans CJK SC"/>
        <family val="2"/>
      </rPr>
      <t xml:space="preserve">储备</t>
    </r>
  </si>
  <si>
    <t xml:space="preserve">批准总额</t>
  </si>
  <si>
    <r>
      <rPr>
        <b val="true"/>
        <sz val="11"/>
        <color rgb="FFFFFFFF"/>
        <rFont val="Noto Sans CJK SC"/>
        <family val="2"/>
      </rPr>
      <t xml:space="preserve">预算余量</t>
    </r>
    <r>
      <rPr>
        <b val="true"/>
        <sz val="11"/>
        <color rgb="FFFFFFFF"/>
        <rFont val="Aptos"/>
        <family val="0"/>
        <charset val="1"/>
      </rPr>
      <t xml:space="preserve">(53,000-</t>
    </r>
    <r>
      <rPr>
        <b val="true"/>
        <sz val="11"/>
        <color rgb="FFFFFFFF"/>
        <rFont val="Noto Sans CJK SC"/>
        <family val="2"/>
      </rPr>
      <t xml:space="preserve">总额</t>
    </r>
    <r>
      <rPr>
        <b val="true"/>
        <sz val="11"/>
        <color rgb="FFFFFFFF"/>
        <rFont val="Aptos"/>
        <family val="0"/>
        <charset val="1"/>
      </rPr>
      <t xml:space="preserve">)</t>
    </r>
  </si>
  <si>
    <t xml:space="preserve">总额状态</t>
  </si>
  <si>
    <t xml:space="preserve">压力基础成本</t>
  </si>
  <si>
    <r>
      <rPr>
        <b val="true"/>
        <sz val="11"/>
        <color rgb="FFFFFFFF"/>
        <rFont val="Noto Sans CJK SC"/>
        <family val="2"/>
      </rPr>
      <t xml:space="preserve">压力</t>
    </r>
    <r>
      <rPr>
        <b val="true"/>
        <sz val="11"/>
        <color rgb="FFFFFFFF"/>
        <rFont val="Aptos"/>
        <family val="0"/>
        <charset val="1"/>
      </rPr>
      <t xml:space="preserve">5%</t>
    </r>
    <r>
      <rPr>
        <b val="true"/>
        <sz val="11"/>
        <color rgb="FFFFFFFF"/>
        <rFont val="Noto Sans CJK SC"/>
        <family val="2"/>
      </rPr>
      <t xml:space="preserve">储备</t>
    </r>
  </si>
  <si>
    <t xml:space="preserve">压力总额</t>
  </si>
  <si>
    <t xml:space="preserve">压力余量</t>
  </si>
  <si>
    <t xml:space="preserve">压力状态</t>
  </si>
  <si>
    <t xml:space="preserve">总额口径决策标记</t>
  </si>
  <si>
    <r>
      <rPr>
        <b val="true"/>
        <sz val="18"/>
        <color rgb="FFFFFFFF"/>
        <rFont val="Noto Sans CJK SC"/>
        <family val="2"/>
      </rPr>
      <t xml:space="preserve">分年度资金桥接 </t>
    </r>
    <r>
      <rPr>
        <b val="true"/>
        <sz val="18"/>
        <color rgb="FFFFFFFF"/>
        <rFont val="Aptos Display"/>
        <family val="0"/>
        <charset val="1"/>
      </rPr>
      <t xml:space="preserve">| FUNDING BRIDGE</t>
    </r>
  </si>
  <si>
    <r>
      <rPr>
        <sz val="10"/>
        <color rgb="FF1F2937"/>
        <rFont val="Noto Sans CJK SC"/>
        <family val="2"/>
      </rPr>
      <t xml:space="preserve">内部管理归集（非拨款法结论）：两年基础各加</t>
    </r>
    <r>
      <rPr>
        <sz val="10"/>
        <color rgb="FF1F2937"/>
        <rFont val="Aptos"/>
        <family val="0"/>
        <charset val="1"/>
      </rPr>
      <t xml:space="preserve">5%</t>
    </r>
    <r>
      <rPr>
        <sz val="10"/>
        <color rgb="FF1F2937"/>
        <rFont val="Noto Sans CJK SC"/>
        <family val="2"/>
      </rPr>
      <t xml:space="preserve">储备；原额度</t>
    </r>
    <r>
      <rPr>
        <sz val="10"/>
        <color rgb="FF1F2937"/>
        <rFont val="Aptos"/>
        <family val="0"/>
        <charset val="1"/>
      </rPr>
      <t xml:space="preserve">FY2025 $41,000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Aptos"/>
        <family val="0"/>
        <charset val="1"/>
      </rPr>
      <t xml:space="preserve">FY2026 $12,000</t>
    </r>
    <r>
      <rPr>
        <sz val="10"/>
        <color rgb="FF1F2937"/>
        <rFont val="Noto Sans CJK SC"/>
        <family val="2"/>
      </rPr>
      <t xml:space="preserve">；调整仅移动额度，不改变成本或</t>
    </r>
    <r>
      <rPr>
        <sz val="10"/>
        <color rgb="FF1F2937"/>
        <rFont val="Aptos"/>
        <family val="0"/>
        <charset val="1"/>
      </rPr>
      <t xml:space="preserve">$53,000</t>
    </r>
    <r>
      <rPr>
        <sz val="10"/>
        <color rgb="FF1F2937"/>
        <rFont val="Noto Sans CJK SC"/>
        <family val="2"/>
      </rPr>
      <t xml:space="preserve">总上限。</t>
    </r>
  </si>
  <si>
    <t xml:space="preserve">情景</t>
  </si>
  <si>
    <r>
      <rPr>
        <b val="true"/>
        <sz val="11"/>
        <color rgb="FFFFFFFF"/>
        <rFont val="Aptos"/>
        <family val="0"/>
        <charset val="1"/>
      </rPr>
      <t xml:space="preserve">FY2025</t>
    </r>
    <r>
      <rPr>
        <b val="true"/>
        <sz val="11"/>
        <color rgb="FFFFFFFF"/>
        <rFont val="Noto Sans CJK SC"/>
        <family val="2"/>
      </rPr>
      <t xml:space="preserve">基础</t>
    </r>
  </si>
  <si>
    <r>
      <rPr>
        <b val="true"/>
        <sz val="11"/>
        <color rgb="FFFFFFFF"/>
        <rFont val="Aptos"/>
        <family val="0"/>
        <charset val="1"/>
      </rPr>
      <t xml:space="preserve">FY2025</t>
    </r>
    <r>
      <rPr>
        <b val="true"/>
        <sz val="11"/>
        <color rgb="FFFFFFFF"/>
        <rFont val="Noto Sans CJK SC"/>
        <family val="2"/>
      </rPr>
      <t xml:space="preserve">储备</t>
    </r>
  </si>
  <si>
    <r>
      <rPr>
        <b val="true"/>
        <sz val="11"/>
        <color rgb="FFFFFFFF"/>
        <rFont val="Aptos"/>
        <family val="0"/>
        <charset val="1"/>
      </rPr>
      <t xml:space="preserve">FY2025</t>
    </r>
    <r>
      <rPr>
        <b val="true"/>
        <sz val="11"/>
        <color rgb="FFFFFFFF"/>
        <rFont val="Noto Sans CJK SC"/>
        <family val="2"/>
      </rPr>
      <t xml:space="preserve">含储备</t>
    </r>
  </si>
  <si>
    <r>
      <rPr>
        <b val="true"/>
        <sz val="11"/>
        <color rgb="FFFFFFFF"/>
        <rFont val="Aptos"/>
        <family val="0"/>
        <charset val="1"/>
      </rPr>
      <t xml:space="preserve">FY2025</t>
    </r>
    <r>
      <rPr>
        <b val="true"/>
        <sz val="11"/>
        <color rgb="FFFFFFFF"/>
        <rFont val="Noto Sans CJK SC"/>
        <family val="2"/>
      </rPr>
      <t xml:space="preserve">原额度余量</t>
    </r>
  </si>
  <si>
    <r>
      <rPr>
        <b val="true"/>
        <sz val="11"/>
        <color rgb="FFFFFFFF"/>
        <rFont val="Aptos"/>
        <family val="0"/>
        <charset val="1"/>
      </rPr>
      <t xml:space="preserve">FY2026</t>
    </r>
    <r>
      <rPr>
        <b val="true"/>
        <sz val="11"/>
        <color rgb="FFFFFFFF"/>
        <rFont val="Noto Sans CJK SC"/>
        <family val="2"/>
      </rPr>
      <t xml:space="preserve">基础</t>
    </r>
  </si>
  <si>
    <r>
      <rPr>
        <b val="true"/>
        <sz val="11"/>
        <color rgb="FFFFFFFF"/>
        <rFont val="Aptos"/>
        <family val="0"/>
        <charset val="1"/>
      </rPr>
      <t xml:space="preserve">FY2026</t>
    </r>
    <r>
      <rPr>
        <b val="true"/>
        <sz val="11"/>
        <color rgb="FFFFFFFF"/>
        <rFont val="Noto Sans CJK SC"/>
        <family val="2"/>
      </rPr>
      <t xml:space="preserve">储备</t>
    </r>
  </si>
  <si>
    <r>
      <rPr>
        <b val="true"/>
        <sz val="11"/>
        <color rgb="FFFFFFFF"/>
        <rFont val="Aptos"/>
        <family val="0"/>
        <charset val="1"/>
      </rPr>
      <t xml:space="preserve">FY2026</t>
    </r>
    <r>
      <rPr>
        <b val="true"/>
        <sz val="11"/>
        <color rgb="FFFFFFFF"/>
        <rFont val="Noto Sans CJK SC"/>
        <family val="2"/>
      </rPr>
      <t xml:space="preserve">含储备</t>
    </r>
  </si>
  <si>
    <r>
      <rPr>
        <b val="true"/>
        <sz val="11"/>
        <color rgb="FFFFFFFF"/>
        <rFont val="Aptos"/>
        <family val="0"/>
        <charset val="1"/>
      </rPr>
      <t xml:space="preserve">FY2026</t>
    </r>
    <r>
      <rPr>
        <b val="true"/>
        <sz val="11"/>
        <color rgb="FFFFFFFF"/>
        <rFont val="Noto Sans CJK SC"/>
        <family val="2"/>
      </rPr>
      <t xml:space="preserve">原额度余量</t>
    </r>
  </si>
  <si>
    <t xml:space="preserve">两年合计</t>
  </si>
  <si>
    <t xml:space="preserve">总上限余量</t>
  </si>
  <si>
    <r>
      <rPr>
        <b val="true"/>
        <sz val="11"/>
        <color rgb="FFFFFFFF"/>
        <rFont val="Noto Sans CJK SC"/>
        <family val="2"/>
      </rPr>
      <t xml:space="preserve">最小必要调整 </t>
    </r>
    <r>
      <rPr>
        <b val="true"/>
        <sz val="11"/>
        <color rgb="FFFFFFFF"/>
        <rFont val="Aptos"/>
        <family val="0"/>
        <charset val="1"/>
      </rPr>
      <t xml:space="preserve">FY26→FY25</t>
    </r>
  </si>
  <si>
    <r>
      <rPr>
        <b val="true"/>
        <sz val="11"/>
        <color rgb="FFFFFFFF"/>
        <rFont val="Noto Sans CJK SC"/>
        <family val="2"/>
      </rPr>
      <t xml:space="preserve">调整≤</t>
    </r>
    <r>
      <rPr>
        <b val="true"/>
        <sz val="11"/>
        <color rgb="FFFFFFFF"/>
        <rFont val="Aptos"/>
        <family val="0"/>
        <charset val="1"/>
      </rPr>
      <t xml:space="preserve">1,500</t>
    </r>
    <r>
      <rPr>
        <b val="true"/>
        <sz val="11"/>
        <color rgb="FFFFFFFF"/>
        <rFont val="Noto Sans CJK SC"/>
        <family val="2"/>
      </rPr>
      <t xml:space="preserve">且两年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总额可行</t>
    </r>
    <r>
      <rPr>
        <b val="true"/>
        <sz val="11"/>
        <color rgb="FFFFFFFF"/>
        <rFont val="Aptos"/>
        <family val="0"/>
        <charset val="1"/>
      </rPr>
      <t xml:space="preserve">?</t>
    </r>
  </si>
  <si>
    <r>
      <rPr>
        <b val="true"/>
        <sz val="11"/>
        <color rgb="FFFFFFFF"/>
        <rFont val="Noto Sans CJK SC"/>
        <family val="2"/>
      </rPr>
      <t xml:space="preserve">调整后</t>
    </r>
    <r>
      <rPr>
        <b val="true"/>
        <sz val="11"/>
        <color rgb="FFFFFFFF"/>
        <rFont val="Aptos"/>
        <family val="0"/>
        <charset val="1"/>
      </rPr>
      <t xml:space="preserve">FY2025</t>
    </r>
    <r>
      <rPr>
        <b val="true"/>
        <sz val="11"/>
        <color rgb="FFFFFFFF"/>
        <rFont val="Noto Sans CJK SC"/>
        <family val="2"/>
      </rPr>
      <t xml:space="preserve">额度</t>
    </r>
  </si>
  <si>
    <r>
      <rPr>
        <b val="true"/>
        <sz val="11"/>
        <color rgb="FFFFFFFF"/>
        <rFont val="Noto Sans CJK SC"/>
        <family val="2"/>
      </rPr>
      <t xml:space="preserve">调整后</t>
    </r>
    <r>
      <rPr>
        <b val="true"/>
        <sz val="11"/>
        <color rgb="FFFFFFFF"/>
        <rFont val="Aptos"/>
        <family val="0"/>
        <charset val="1"/>
      </rPr>
      <t xml:space="preserve">FY2026</t>
    </r>
    <r>
      <rPr>
        <b val="true"/>
        <sz val="11"/>
        <color rgb="FFFFFFFF"/>
        <rFont val="Noto Sans CJK SC"/>
        <family val="2"/>
      </rPr>
      <t xml:space="preserve">额度</t>
    </r>
  </si>
  <si>
    <r>
      <rPr>
        <b val="true"/>
        <sz val="11"/>
        <color rgb="FFFFFFFF"/>
        <rFont val="Noto Sans CJK SC"/>
        <family val="2"/>
      </rPr>
      <t xml:space="preserve">调整后</t>
    </r>
    <r>
      <rPr>
        <b val="true"/>
        <sz val="11"/>
        <color rgb="FFFFFFFF"/>
        <rFont val="Aptos"/>
        <family val="0"/>
        <charset val="1"/>
      </rPr>
      <t xml:space="preserve">FY2025</t>
    </r>
    <r>
      <rPr>
        <b val="true"/>
        <sz val="11"/>
        <color rgb="FFFFFFFF"/>
        <rFont val="Noto Sans CJK SC"/>
        <family val="2"/>
      </rPr>
      <t xml:space="preserve">余量</t>
    </r>
  </si>
  <si>
    <r>
      <rPr>
        <b val="true"/>
        <sz val="11"/>
        <color rgb="FFFFFFFF"/>
        <rFont val="Noto Sans CJK SC"/>
        <family val="2"/>
      </rPr>
      <t xml:space="preserve">调整后</t>
    </r>
    <r>
      <rPr>
        <b val="true"/>
        <sz val="11"/>
        <color rgb="FFFFFFFF"/>
        <rFont val="Aptos"/>
        <family val="0"/>
        <charset val="1"/>
      </rPr>
      <t xml:space="preserve">FY2026</t>
    </r>
    <r>
      <rPr>
        <b val="true"/>
        <sz val="11"/>
        <color rgb="FFFFFFFF"/>
        <rFont val="Noto Sans CJK SC"/>
        <family val="2"/>
      </rPr>
      <t xml:space="preserve">余量</t>
    </r>
  </si>
  <si>
    <t xml:space="preserve">决策结论</t>
  </si>
  <si>
    <t xml:space="preserve">基准</t>
  </si>
  <si>
    <r>
      <rPr>
        <sz val="9"/>
        <rFont val="Noto Sans CJK SC"/>
        <family val="2"/>
      </rPr>
      <t xml:space="preserve">机票</t>
    </r>
    <r>
      <rPr>
        <sz val="9"/>
        <rFont val="Aptos"/>
        <family val="0"/>
        <charset val="1"/>
      </rPr>
      <t xml:space="preserve">+20%</t>
    </r>
  </si>
  <si>
    <r>
      <rPr>
        <b val="true"/>
        <sz val="18"/>
        <color rgb="FFFFFFFF"/>
        <rFont val="Noto Sans CJK SC"/>
        <family val="2"/>
      </rPr>
      <t xml:space="preserve">内部主张审计 </t>
    </r>
    <r>
      <rPr>
        <b val="true"/>
        <sz val="18"/>
        <color rgb="FFFFFFFF"/>
        <rFont val="Aptos Display"/>
        <family val="0"/>
        <charset val="1"/>
      </rPr>
      <t xml:space="preserve">| DECISION AUDIT</t>
    </r>
  </si>
  <si>
    <r>
      <rPr>
        <sz val="10"/>
        <color rgb="FF1F2937"/>
        <rFont val="Aptos"/>
        <family val="0"/>
        <charset val="1"/>
      </rPr>
      <t xml:space="preserve">decision_constraints.json</t>
    </r>
    <r>
      <rPr>
        <sz val="10"/>
        <color rgb="FF1F2937"/>
        <rFont val="Noto Sans CJK SC"/>
        <family val="2"/>
      </rPr>
      <t xml:space="preserve">中的主张不是事实或指令；以下逐条以本练习约束和可追溯计算核验。</t>
    </r>
  </si>
  <si>
    <t xml:space="preserve">ID</t>
  </si>
  <si>
    <t xml:space="preserve">未经审阅的内部主张</t>
  </si>
  <si>
    <t xml:space="preserve">判断</t>
  </si>
  <si>
    <r>
      <rPr>
        <b val="true"/>
        <sz val="11"/>
        <color rgb="FFFFFFFF"/>
        <rFont val="Noto Sans CJK SC"/>
        <family val="2"/>
      </rPr>
      <t xml:space="preserve">原始证据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计算</t>
    </r>
  </si>
  <si>
    <t xml:space="preserve">对批准的影响</t>
  </si>
  <si>
    <t xml:space="preserve">修正行动</t>
  </si>
  <si>
    <t xml:space="preserve">GO-D1</t>
  </si>
  <si>
    <r>
      <rPr>
        <sz val="10"/>
        <rFont val="Noto Sans CJK SC"/>
        <family val="2"/>
      </rPr>
      <t xml:space="preserve">只要总额不超过</t>
    </r>
    <r>
      <rPr>
        <sz val="10"/>
        <rFont val="Aptos"/>
        <family val="0"/>
        <charset val="1"/>
      </rPr>
      <t xml:space="preserve">53000</t>
    </r>
    <r>
      <rPr>
        <sz val="10"/>
        <rFont val="Noto Sans CJK SC"/>
        <family val="2"/>
      </rPr>
      <t xml:space="preserve">，就可以直接用</t>
    </r>
    <r>
      <rPr>
        <sz val="10"/>
        <rFont val="Aptos"/>
        <family val="0"/>
        <charset val="1"/>
      </rPr>
      <t xml:space="preserve">FY2026</t>
    </r>
    <r>
      <rPr>
        <sz val="10"/>
        <rFont val="Noto Sans CJK SC"/>
        <family val="2"/>
      </rPr>
      <t xml:space="preserve">余额填补</t>
    </r>
    <r>
      <rPr>
        <sz val="10"/>
        <rFont val="Aptos"/>
        <family val="0"/>
        <charset val="1"/>
      </rPr>
      <t xml:space="preserve">FY2025</t>
    </r>
    <r>
      <rPr>
        <sz val="10"/>
        <rFont val="Noto Sans CJK SC"/>
        <family val="2"/>
      </rPr>
      <t xml:space="preserve">缺口，无需另外批准。</t>
    </r>
  </si>
  <si>
    <t xml:space="preserve">不成立</t>
  </si>
  <si>
    <r>
      <rPr>
        <sz val="10"/>
        <rFont val="Aptos"/>
        <family val="0"/>
        <charset val="1"/>
      </rPr>
      <t xml:space="preserve">JSON</t>
    </r>
    <r>
      <rPr>
        <sz val="10"/>
        <rFont val="Noto Sans CJK SC"/>
        <family val="2"/>
      </rPr>
      <t xml:space="preserve">明确：年度上限</t>
    </r>
    <r>
      <rPr>
        <sz val="10"/>
        <rFont val="Aptos"/>
        <family val="0"/>
        <charset val="1"/>
      </rPr>
      <t xml:space="preserve">FY2025 $41,000</t>
    </r>
    <r>
      <rPr>
        <sz val="10"/>
        <rFont val="Noto Sans CJK SC"/>
        <family val="2"/>
      </rPr>
      <t xml:space="preserve">、</t>
    </r>
    <r>
      <rPr>
        <sz val="10"/>
        <rFont val="Aptos"/>
        <family val="0"/>
        <charset val="1"/>
      </rPr>
      <t xml:space="preserve">FY2026 $12,000</t>
    </r>
    <r>
      <rPr>
        <sz val="10"/>
        <rFont val="Noto Sans CJK SC"/>
        <family val="2"/>
      </rPr>
      <t xml:space="preserve">；最多</t>
    </r>
    <r>
      <rPr>
        <sz val="10"/>
        <rFont val="Aptos"/>
        <family val="0"/>
        <charset val="1"/>
      </rPr>
      <t xml:space="preserve">$1,500</t>
    </r>
    <r>
      <rPr>
        <sz val="10"/>
        <rFont val="Noto Sans CJK SC"/>
        <family val="2"/>
      </rPr>
      <t xml:space="preserve">的</t>
    </r>
    <r>
      <rPr>
        <sz val="10"/>
        <rFont val="Aptos"/>
        <family val="0"/>
        <charset val="1"/>
      </rPr>
      <t xml:space="preserve">FY2026→FY2025</t>
    </r>
    <r>
      <rPr>
        <sz val="10"/>
        <rFont val="Noto Sans CJK SC"/>
        <family val="2"/>
      </rPr>
      <t xml:space="preserve">调整“尚未批准”。</t>
    </r>
    <r>
      <rPr>
        <sz val="10"/>
        <rFont val="Aptos"/>
        <family val="0"/>
        <charset val="1"/>
      </rPr>
      <t xml:space="preserve">FundingBridge</t>
    </r>
    <r>
      <rPr>
        <sz val="10"/>
        <rFont val="Noto Sans CJK SC"/>
        <family val="2"/>
      </rPr>
      <t xml:space="preserve">显示</t>
    </r>
    <r>
      <rPr>
        <sz val="10"/>
        <rFont val="Aptos"/>
        <family val="0"/>
        <charset val="1"/>
      </rPr>
      <t xml:space="preserve">Phoenix 24</t>
    </r>
    <r>
      <rPr>
        <sz val="10"/>
        <rFont val="Noto Sans CJK SC"/>
        <family val="2"/>
      </rPr>
      <t xml:space="preserve">基准虽总额</t>
    </r>
    <r>
      <rPr>
        <sz val="10"/>
        <rFont val="Aptos"/>
        <family val="0"/>
        <charset val="1"/>
      </rPr>
      <t xml:space="preserve">$51,174.48</t>
    </r>
    <r>
      <rPr>
        <sz val="10"/>
        <rFont val="Noto Sans CJK SC"/>
        <family val="2"/>
      </rPr>
      <t xml:space="preserve">，但</t>
    </r>
    <r>
      <rPr>
        <sz val="10"/>
        <rFont val="Aptos"/>
        <family val="0"/>
        <charset val="1"/>
      </rPr>
      <t xml:space="preserve">FY2025</t>
    </r>
    <r>
      <rPr>
        <sz val="10"/>
        <rFont val="Noto Sans CJK SC"/>
        <family val="2"/>
      </rPr>
      <t xml:space="preserve">缺口</t>
    </r>
    <r>
      <rPr>
        <sz val="10"/>
        <rFont val="Aptos"/>
        <family val="0"/>
        <charset val="1"/>
      </rPr>
      <t xml:space="preserve">$1,427.56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</si>
  <si>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不得仅凭总额批准</t>
    </r>
    <r>
      <rPr>
        <sz val="10"/>
        <rFont val="Aptos"/>
        <family val="0"/>
        <charset val="1"/>
      </rPr>
      <t xml:space="preserve">Phoenix 24</t>
    </r>
    <r>
      <rPr>
        <sz val="10"/>
        <rFont val="Noto Sans CJK SC"/>
        <family val="2"/>
      </rPr>
      <t xml:space="preserve">；未获调整批准时只能选择年度额度内方案。</t>
    </r>
  </si>
  <si>
    <r>
      <rPr>
        <sz val="10"/>
        <rFont val="Noto Sans CJK SC"/>
        <family val="2"/>
      </rPr>
      <t xml:space="preserve">由预算官书面批准</t>
    </r>
    <r>
      <rPr>
        <sz val="10"/>
        <rFont val="Aptos"/>
        <family val="0"/>
        <charset val="1"/>
      </rPr>
      <t xml:space="preserve">$1,427.56</t>
    </r>
    <r>
      <rPr>
        <sz val="10"/>
        <rFont val="Noto Sans CJK SC"/>
        <family val="2"/>
      </rPr>
      <t xml:space="preserve">额度调整后，方可按</t>
    </r>
    <r>
      <rPr>
        <sz val="10"/>
        <rFont val="Aptos"/>
        <family val="0"/>
        <charset val="1"/>
      </rPr>
      <t xml:space="preserve">Phoenix 24</t>
    </r>
    <r>
      <rPr>
        <sz val="10"/>
        <rFont val="Noto Sans CJK SC"/>
        <family val="2"/>
      </rPr>
      <t xml:space="preserve">基准方案批准；否则采用</t>
    </r>
    <r>
      <rPr>
        <sz val="10"/>
        <rFont val="Aptos"/>
        <family val="0"/>
        <charset val="1"/>
      </rPr>
      <t xml:space="preserve">Phoenix 18</t>
    </r>
    <r>
      <rPr>
        <sz val="10"/>
        <rFont val="Noto Sans CJK SC"/>
        <family val="2"/>
      </rPr>
      <t xml:space="preserve">。</t>
    </r>
  </si>
  <si>
    <t xml:space="preserve">GO-D2</t>
  </si>
  <si>
    <r>
      <rPr>
        <sz val="10"/>
        <rFont val="Noto Sans CJK SC"/>
        <family val="2"/>
      </rPr>
      <t xml:space="preserve">机票上涨</t>
    </r>
    <r>
      <rPr>
        <sz val="10"/>
        <rFont val="Aptos"/>
        <family val="0"/>
        <charset val="1"/>
      </rPr>
      <t xml:space="preserve">20%</t>
    </r>
    <r>
      <rPr>
        <sz val="10"/>
        <rFont val="Noto Sans CJK SC"/>
        <family val="2"/>
      </rPr>
      <t xml:space="preserve">只影响基础费用，应急储备可以保持原金额。</t>
    </r>
  </si>
  <si>
    <r>
      <rPr>
        <sz val="10"/>
        <rFont val="Aptos"/>
        <family val="0"/>
        <charset val="1"/>
      </rPr>
      <t xml:space="preserve">JSON</t>
    </r>
    <r>
      <rPr>
        <sz val="10"/>
        <rFont val="Noto Sans CJK SC"/>
        <family val="2"/>
      </rPr>
      <t xml:space="preserve">规定两年基础小计各加</t>
    </r>
    <r>
      <rPr>
        <sz val="10"/>
        <rFont val="Aptos"/>
        <family val="0"/>
        <charset val="1"/>
      </rPr>
      <t xml:space="preserve">5%</t>
    </r>
    <r>
      <rPr>
        <sz val="10"/>
        <rFont val="Noto Sans CJK SC"/>
        <family val="2"/>
      </rPr>
      <t xml:space="preserve">储备；因此机票增加额也进入储备基数。</t>
    </r>
    <r>
      <rPr>
        <sz val="10"/>
        <rFont val="Aptos"/>
        <family val="0"/>
        <charset val="1"/>
      </rPr>
      <t xml:space="preserve">Options/FundingBridge</t>
    </r>
    <r>
      <rPr>
        <sz val="10"/>
        <rFont val="Noto Sans CJK SC"/>
        <family val="2"/>
      </rPr>
      <t xml:space="preserve">的压力储备</t>
    </r>
    <r>
      <rPr>
        <sz val="10"/>
        <rFont val="Aptos"/>
        <family val="0"/>
        <charset val="1"/>
      </rPr>
      <t xml:space="preserve">=</t>
    </r>
    <r>
      <rPr>
        <sz val="10"/>
        <rFont val="Noto Sans CJK SC"/>
        <family val="2"/>
      </rPr>
      <t xml:space="preserve">压力基础</t>
    </r>
    <r>
      <rPr>
        <sz val="10"/>
        <rFont val="Aptos"/>
        <family val="0"/>
        <charset val="1"/>
      </rPr>
      <t xml:space="preserve">×5%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</si>
  <si>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低估压力总额及</t>
    </r>
    <r>
      <rPr>
        <sz val="10"/>
        <rFont val="Aptos"/>
        <family val="0"/>
        <charset val="1"/>
      </rPr>
      <t xml:space="preserve">FY2025</t>
    </r>
    <r>
      <rPr>
        <sz val="10"/>
        <rFont val="Noto Sans CJK SC"/>
        <family val="2"/>
      </rPr>
      <t xml:space="preserve">需求会造成错误资金认证。</t>
    </r>
  </si>
  <si>
    <r>
      <rPr>
        <sz val="10"/>
        <rFont val="Noto Sans CJK SC"/>
        <family val="2"/>
      </rPr>
      <t xml:space="preserve">每次票价更新后重算基础及</t>
    </r>
    <r>
      <rPr>
        <sz val="10"/>
        <rFont val="Aptos"/>
        <family val="0"/>
        <charset val="1"/>
      </rPr>
      <t xml:space="preserve">5%</t>
    </r>
    <r>
      <rPr>
        <sz val="10"/>
        <rFont val="Noto Sans CJK SC"/>
        <family val="2"/>
      </rPr>
      <t xml:space="preserve">储备；</t>
    </r>
    <r>
      <rPr>
        <sz val="10"/>
        <rFont val="Aptos"/>
        <family val="0"/>
        <charset val="1"/>
      </rPr>
      <t xml:space="preserve">Phoenix 24</t>
    </r>
    <r>
      <rPr>
        <sz val="10"/>
        <rFont val="Noto Sans CJK SC"/>
        <family val="2"/>
      </rPr>
      <t xml:space="preserve">压力总额</t>
    </r>
    <r>
      <rPr>
        <sz val="10"/>
        <rFont val="Aptos"/>
        <family val="0"/>
        <charset val="1"/>
      </rPr>
      <t xml:space="preserve">$53,744.88</t>
    </r>
    <r>
      <rPr>
        <sz val="10"/>
        <rFont val="Noto Sans CJK SC"/>
        <family val="2"/>
      </rPr>
      <t xml:space="preserve">，已超总上限</t>
    </r>
    <r>
      <rPr>
        <sz val="10"/>
        <rFont val="Aptos"/>
        <family val="0"/>
        <charset val="1"/>
      </rPr>
      <t xml:space="preserve">$744.88</t>
    </r>
    <r>
      <rPr>
        <sz val="10"/>
        <rFont val="Noto Sans CJK SC"/>
        <family val="2"/>
      </rPr>
      <t xml:space="preserve">且</t>
    </r>
    <r>
      <rPr>
        <sz val="10"/>
        <rFont val="Aptos"/>
        <family val="0"/>
        <charset val="1"/>
      </rPr>
      <t xml:space="preserve">FY2025</t>
    </r>
    <r>
      <rPr>
        <sz val="10"/>
        <rFont val="Noto Sans CJK SC"/>
        <family val="2"/>
      </rPr>
      <t xml:space="preserve">缺口</t>
    </r>
    <r>
      <rPr>
        <sz val="10"/>
        <rFont val="Aptos"/>
        <family val="0"/>
        <charset val="1"/>
      </rPr>
      <t xml:space="preserve">$3,997.96</t>
    </r>
    <r>
      <rPr>
        <sz val="10"/>
        <rFont val="Noto Sans CJK SC"/>
        <family val="2"/>
      </rPr>
      <t xml:space="preserve">，调整上限内无解。</t>
    </r>
  </si>
  <si>
    <r>
      <rPr>
        <b val="true"/>
        <sz val="18"/>
        <color rgb="FFFFFFFF"/>
        <rFont val="Noto Sans CJK SC"/>
        <family val="2"/>
      </rPr>
      <t xml:space="preserve">来源、假设与口径 </t>
    </r>
    <r>
      <rPr>
        <b val="true"/>
        <sz val="18"/>
        <color rgb="FFFFFFFF"/>
        <rFont val="Aptos Display"/>
        <family val="0"/>
        <charset val="1"/>
      </rPr>
      <t xml:space="preserve">| SOURCES</t>
    </r>
  </si>
  <si>
    <r>
      <rPr>
        <sz val="10"/>
        <color rgb="FF1F2937"/>
        <rFont val="Noto Sans CJK SC"/>
        <family val="2"/>
      </rPr>
      <t xml:space="preserve">离线文件为本工作簿的证据基础；链接来自所提供</t>
    </r>
    <r>
      <rPr>
        <sz val="10"/>
        <color rgb="FF1F2937"/>
        <rFont val="Aptos"/>
        <family val="0"/>
        <charset val="1"/>
      </rPr>
      <t xml:space="preserve">GSA</t>
    </r>
    <r>
      <rPr>
        <sz val="10"/>
        <color rgb="FF1F2937"/>
        <rFont val="Noto Sans CJK SC"/>
        <family val="2"/>
      </rPr>
      <t xml:space="preserve">网页快照，未联网更新。</t>
    </r>
  </si>
  <si>
    <t xml:space="preserve">类别</t>
  </si>
  <si>
    <r>
      <rPr>
        <b val="true"/>
        <sz val="11"/>
        <color rgb="FFFFFFFF"/>
        <rFont val="Noto Sans CJK SC"/>
        <family val="2"/>
      </rPr>
      <t xml:space="preserve">文件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网页</t>
    </r>
  </si>
  <si>
    <t xml:space="preserve">具体位置</t>
  </si>
  <si>
    <r>
      <rPr>
        <b val="true"/>
        <sz val="11"/>
        <color rgb="FFFFFFFF"/>
        <rFont val="Noto Sans CJK SC"/>
        <family val="2"/>
      </rPr>
      <t xml:space="preserve">实际链接</t>
    </r>
    <r>
      <rPr>
        <b val="true"/>
        <sz val="11"/>
        <color rgb="FFFFFFFF"/>
        <rFont val="Apto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条款</t>
    </r>
  </si>
  <si>
    <t xml:space="preserve">如何进入计算或审批</t>
  </si>
  <si>
    <t xml:space="preserve">备注</t>
  </si>
  <si>
    <r>
      <rPr>
        <sz val="9"/>
        <rFont val="Aptos"/>
        <family val="0"/>
        <charset val="1"/>
      </rPr>
      <t xml:space="preserve">GSA</t>
    </r>
    <r>
      <rPr>
        <sz val="9"/>
        <rFont val="Noto Sans CJK SC"/>
        <family val="2"/>
      </rPr>
      <t xml:space="preserve">费率</t>
    </r>
  </si>
  <si>
    <t xml:space="preserve">gsa_per_diem_files.html</t>
  </si>
  <si>
    <r>
      <rPr>
        <sz val="9"/>
        <rFont val="Noto Sans CJK SC"/>
        <family val="2"/>
      </rPr>
      <t xml:space="preserve">链接文字“</t>
    </r>
    <r>
      <rPr>
        <sz val="9"/>
        <rFont val="Aptos"/>
        <family val="0"/>
        <charset val="1"/>
      </rPr>
      <t xml:space="preserve">FY 25 Per Diem Rates”</t>
    </r>
  </si>
  <si>
    <t xml:space="preserve">https://www.gsa.gov/system/files/FY2025_PerDiemMasterRatesFile.xlsx</t>
  </si>
  <si>
    <r>
      <rPr>
        <sz val="9"/>
        <rFont val="Noto Sans CJK SC"/>
        <family val="2"/>
      </rPr>
      <t xml:space="preserve">网页引用</t>
    </r>
    <r>
      <rPr>
        <sz val="9"/>
        <rFont val="Aptos"/>
        <family val="0"/>
        <charset val="1"/>
      </rPr>
      <t xml:space="preserve">FY2025</t>
    </r>
    <r>
      <rPr>
        <sz val="9"/>
        <rFont val="Noto Sans CJK SC"/>
        <family val="2"/>
      </rPr>
      <t xml:space="preserve">费率原件；用于</t>
    </r>
    <r>
      <rPr>
        <sz val="9"/>
        <rFont val="Aptos"/>
        <family val="0"/>
        <charset val="1"/>
      </rPr>
      <t xml:space="preserve">2025-09-28</t>
    </r>
    <r>
      <rPr>
        <sz val="9"/>
        <rFont val="Noto Sans CJK SC"/>
        <family val="2"/>
      </rPr>
      <t xml:space="preserve">至</t>
    </r>
    <r>
      <rPr>
        <sz val="9"/>
        <rFont val="Aptos"/>
        <family val="0"/>
        <charset val="1"/>
      </rPr>
      <t xml:space="preserve">09-30</t>
    </r>
    <r>
      <rPr>
        <sz val="9"/>
        <rFont val="Noto Sans CJK SC"/>
        <family val="2"/>
      </rPr>
      <t xml:space="preserve">的住宿上限与</t>
    </r>
    <r>
      <rPr>
        <sz val="9"/>
        <rFont val="Aptos"/>
        <family val="0"/>
        <charset val="1"/>
      </rPr>
      <t xml:space="preserve">M&amp;IE</t>
    </r>
    <r>
      <rPr>
        <sz val="9"/>
        <rFont val="Noto Sans CJK SC"/>
        <family val="2"/>
      </rPr>
      <t xml:space="preserve">。</t>
    </r>
  </si>
  <si>
    <t xml:space="preserve">实际引用链接（离线快照提取）</t>
  </si>
  <si>
    <r>
      <rPr>
        <sz val="9"/>
        <rFont val="Noto Sans CJK SC"/>
        <family val="2"/>
      </rPr>
      <t xml:space="preserve">链接文字“</t>
    </r>
    <r>
      <rPr>
        <sz val="9"/>
        <rFont val="Aptos"/>
        <family val="0"/>
        <charset val="1"/>
      </rPr>
      <t xml:space="preserve">FY 26 Per Diem Rates”</t>
    </r>
  </si>
  <si>
    <t xml:space="preserve">https://www.gsa.gov/system/files/FY2026_PerDiemMasterRatesFile.xlsx</t>
  </si>
  <si>
    <r>
      <rPr>
        <sz val="9"/>
        <rFont val="Noto Sans CJK SC"/>
        <family val="2"/>
      </rPr>
      <t xml:space="preserve">网页引用</t>
    </r>
    <r>
      <rPr>
        <sz val="9"/>
        <rFont val="Aptos"/>
        <family val="0"/>
        <charset val="1"/>
      </rPr>
      <t xml:space="preserve">FY2026</t>
    </r>
    <r>
      <rPr>
        <sz val="9"/>
        <rFont val="Noto Sans CJK SC"/>
        <family val="2"/>
      </rPr>
      <t xml:space="preserve">费率原件；用于</t>
    </r>
    <r>
      <rPr>
        <sz val="9"/>
        <rFont val="Aptos"/>
        <family val="0"/>
        <charset val="1"/>
      </rPr>
      <t xml:space="preserve">2025-10-01</t>
    </r>
    <r>
      <rPr>
        <sz val="9"/>
        <rFont val="Noto Sans CJK SC"/>
        <family val="2"/>
      </rPr>
      <t xml:space="preserve">至</t>
    </r>
    <r>
      <rPr>
        <sz val="9"/>
        <rFont val="Aptos"/>
        <family val="0"/>
        <charset val="1"/>
      </rPr>
      <t xml:space="preserve">10-02</t>
    </r>
    <r>
      <rPr>
        <sz val="9"/>
        <rFont val="Noto Sans CJK SC"/>
        <family val="2"/>
      </rPr>
      <t xml:space="preserve">的住宿上限与</t>
    </r>
    <r>
      <rPr>
        <sz val="9"/>
        <rFont val="Aptos"/>
        <family val="0"/>
        <charset val="1"/>
      </rPr>
      <t xml:space="preserve">M&amp;IE</t>
    </r>
    <r>
      <rPr>
        <sz val="9"/>
        <rFont val="Noto Sans CJK SC"/>
        <family val="2"/>
      </rPr>
      <t xml:space="preserve">。</t>
    </r>
  </si>
  <si>
    <r>
      <rPr>
        <sz val="9"/>
        <rFont val="Aptos"/>
        <family val="0"/>
        <charset val="1"/>
      </rPr>
      <t xml:space="preserve">GSA</t>
    </r>
    <r>
      <rPr>
        <sz val="9"/>
        <rFont val="Noto Sans CJK SC"/>
        <family val="2"/>
      </rPr>
      <t xml:space="preserve">餐费拆分</t>
    </r>
  </si>
  <si>
    <r>
      <rPr>
        <sz val="9"/>
        <rFont val="Noto Sans CJK SC"/>
        <family val="2"/>
      </rPr>
      <t xml:space="preserve">链接文字“</t>
    </r>
    <r>
      <rPr>
        <sz val="9"/>
        <rFont val="Aptos"/>
        <family val="0"/>
        <charset val="1"/>
      </rPr>
      <t xml:space="preserve">FY 25-Present M&amp;IE Breakdown”</t>
    </r>
  </si>
  <si>
    <t xml:space="preserve">https://www.gsa.gov/system/files/FY%202025%20MIE%20Breakdown.docx</t>
  </si>
  <si>
    <r>
      <rPr>
        <sz val="9"/>
        <rFont val="Noto Sans CJK SC"/>
        <family val="2"/>
      </rPr>
      <t xml:space="preserve">网页引用</t>
    </r>
    <r>
      <rPr>
        <sz val="9"/>
        <rFont val="Aptos"/>
        <family val="0"/>
        <charset val="1"/>
      </rPr>
      <t xml:space="preserve">FY2025</t>
    </r>
    <r>
      <rPr>
        <sz val="9"/>
        <rFont val="Noto Sans CJK SC"/>
        <family val="2"/>
      </rPr>
      <t xml:space="preserve">起</t>
    </r>
    <r>
      <rPr>
        <sz val="9"/>
        <rFont val="Aptos"/>
        <family val="0"/>
        <charset val="1"/>
      </rPr>
      <t xml:space="preserve">M&amp;IE</t>
    </r>
    <r>
      <rPr>
        <sz val="9"/>
        <rFont val="Noto Sans CJK SC"/>
        <family val="2"/>
      </rPr>
      <t xml:space="preserve">拆分原件；</t>
    </r>
    <r>
      <rPr>
        <sz val="9"/>
        <rFont val="Aptos"/>
        <family val="0"/>
        <charset val="1"/>
      </rPr>
      <t xml:space="preserve">$92</t>
    </r>
    <r>
      <rPr>
        <sz val="9"/>
        <rFont val="Noto Sans CJK SC"/>
        <family val="2"/>
      </rPr>
      <t xml:space="preserve">档：早餐</t>
    </r>
    <r>
      <rPr>
        <sz val="9"/>
        <rFont val="Aptos"/>
        <family val="0"/>
        <charset val="1"/>
      </rPr>
      <t xml:space="preserve">23/</t>
    </r>
    <r>
      <rPr>
        <sz val="9"/>
        <rFont val="Noto Sans CJK SC"/>
        <family val="2"/>
      </rPr>
      <t xml:space="preserve">午餐</t>
    </r>
    <r>
      <rPr>
        <sz val="9"/>
        <rFont val="Aptos"/>
        <family val="0"/>
        <charset val="1"/>
      </rPr>
      <t xml:space="preserve">26/</t>
    </r>
    <r>
      <rPr>
        <sz val="9"/>
        <rFont val="Noto Sans CJK SC"/>
        <family val="2"/>
      </rPr>
      <t xml:space="preserve">晚餐</t>
    </r>
    <r>
      <rPr>
        <sz val="9"/>
        <rFont val="Aptos"/>
        <family val="0"/>
        <charset val="1"/>
      </rPr>
      <t xml:space="preserve">38/</t>
    </r>
    <r>
      <rPr>
        <sz val="9"/>
        <rFont val="Noto Sans CJK SC"/>
        <family val="2"/>
      </rPr>
      <t xml:space="preserve">杂费</t>
    </r>
    <r>
      <rPr>
        <sz val="9"/>
        <rFont val="Aptos"/>
        <family val="0"/>
        <charset val="1"/>
      </rPr>
      <t xml:space="preserve">5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$86</t>
    </r>
    <r>
      <rPr>
        <sz val="9"/>
        <rFont val="Noto Sans CJK SC"/>
        <family val="2"/>
      </rPr>
      <t xml:space="preserve">档：</t>
    </r>
    <r>
      <rPr>
        <sz val="9"/>
        <rFont val="Aptos"/>
        <family val="0"/>
        <charset val="1"/>
      </rPr>
      <t xml:space="preserve">22/23/36/5</t>
    </r>
    <r>
      <rPr>
        <sz val="9"/>
        <rFont val="Noto Sans CJK SC"/>
        <family val="2"/>
      </rPr>
      <t xml:space="preserve">；首末日分别</t>
    </r>
    <r>
      <rPr>
        <sz val="9"/>
        <rFont val="Aptos"/>
        <family val="0"/>
        <charset val="1"/>
      </rPr>
      <t xml:space="preserve">$69/$64.50</t>
    </r>
    <r>
      <rPr>
        <sz val="9"/>
        <rFont val="Noto Sans CJK SC"/>
        <family val="2"/>
      </rPr>
      <t xml:space="preserve">。</t>
    </r>
  </si>
  <si>
    <r>
      <rPr>
        <sz val="9"/>
        <rFont val="Aptos"/>
        <family val="0"/>
        <charset val="1"/>
      </rPr>
      <t xml:space="preserve">FY2025</t>
    </r>
    <r>
      <rPr>
        <sz val="9"/>
        <rFont val="Noto Sans CJK SC"/>
        <family val="2"/>
      </rPr>
      <t xml:space="preserve">行</t>
    </r>
  </si>
  <si>
    <t xml:space="preserve">FY2025_PerDiemMasterRatesFile.xlsx</t>
  </si>
  <si>
    <r>
      <rPr>
        <sz val="9"/>
        <rFont val="Aptos"/>
        <family val="0"/>
        <charset val="1"/>
      </rPr>
      <t xml:space="preserve">Master!258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Chicago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9/1–9/30</t>
    </r>
    <r>
      <rPr>
        <sz val="9"/>
        <rFont val="Noto Sans CJK SC"/>
        <family val="2"/>
      </rPr>
      <t xml:space="preserve">）</t>
    </r>
  </si>
  <si>
    <r>
      <rPr>
        <sz val="9"/>
        <rFont val="Aptos"/>
        <family val="0"/>
        <charset val="1"/>
      </rPr>
      <t xml:space="preserve">Cook / Lake</t>
    </r>
    <r>
      <rPr>
        <sz val="9"/>
        <rFont val="Noto Sans CJK SC"/>
        <family val="2"/>
      </rPr>
      <t xml:space="preserve">；住宿</t>
    </r>
    <r>
      <rPr>
        <sz val="9"/>
        <rFont val="Aptos"/>
        <family val="0"/>
        <charset val="1"/>
      </rPr>
      <t xml:space="preserve">223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M&amp;IE 92</t>
    </r>
  </si>
  <si>
    <r>
      <rPr>
        <sz val="9"/>
        <rFont val="Noto Sans CJK SC"/>
        <family val="2"/>
      </rPr>
      <t xml:space="preserve">匹配</t>
    </r>
    <r>
      <rPr>
        <sz val="9"/>
        <rFont val="Aptos"/>
        <family val="0"/>
        <charset val="1"/>
      </rPr>
      <t xml:space="preserve">2025-09-28</t>
    </r>
    <r>
      <rPr>
        <sz val="9"/>
        <rFont val="Noto Sans CJK SC"/>
        <family val="2"/>
      </rPr>
      <t xml:space="preserve">至</t>
    </r>
    <r>
      <rPr>
        <sz val="9"/>
        <rFont val="Aptos"/>
        <family val="0"/>
        <charset val="1"/>
      </rPr>
      <t xml:space="preserve">09-30 Chicago/Cook</t>
    </r>
    <r>
      <rPr>
        <sz val="9"/>
        <rFont val="Noto Sans CJK SC"/>
        <family val="2"/>
      </rPr>
      <t xml:space="preserve">。</t>
    </r>
  </si>
  <si>
    <r>
      <rPr>
        <sz val="9"/>
        <rFont val="Aptos"/>
        <family val="0"/>
        <charset val="1"/>
      </rPr>
      <t xml:space="preserve">Excel</t>
    </r>
    <r>
      <rPr>
        <sz val="9"/>
        <rFont val="Noto Sans CJK SC"/>
        <family val="2"/>
      </rPr>
      <t xml:space="preserve">物理行号，表头在第</t>
    </r>
    <r>
      <rPr>
        <sz val="9"/>
        <rFont val="Aptos"/>
        <family val="0"/>
        <charset val="1"/>
      </rPr>
      <t xml:space="preserve">2</t>
    </r>
    <r>
      <rPr>
        <sz val="9"/>
        <rFont val="Noto Sans CJK SC"/>
        <family val="2"/>
      </rPr>
      <t xml:space="preserve">行</t>
    </r>
  </si>
  <si>
    <r>
      <rPr>
        <sz val="9"/>
        <rFont val="Aptos"/>
        <family val="0"/>
        <charset val="1"/>
      </rPr>
      <t xml:space="preserve">FY2026</t>
    </r>
    <r>
      <rPr>
        <sz val="9"/>
        <rFont val="Noto Sans CJK SC"/>
        <family val="2"/>
      </rPr>
      <t xml:space="preserve">行</t>
    </r>
  </si>
  <si>
    <t xml:space="preserve">FY2026_PerDiemMasterRatesFile.xlsx</t>
  </si>
  <si>
    <r>
      <rPr>
        <sz val="9"/>
        <rFont val="Aptos"/>
        <family val="0"/>
        <charset val="1"/>
      </rPr>
      <t xml:space="preserve">Master!254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Chicago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10/1–11/30</t>
    </r>
    <r>
      <rPr>
        <sz val="9"/>
        <rFont val="Noto Sans CJK SC"/>
        <family val="2"/>
      </rPr>
      <t xml:space="preserve">）</t>
    </r>
  </si>
  <si>
    <r>
      <rPr>
        <sz val="9"/>
        <rFont val="Noto Sans CJK SC"/>
        <family val="2"/>
      </rPr>
      <t xml:space="preserve">匹配</t>
    </r>
    <r>
      <rPr>
        <sz val="9"/>
        <rFont val="Aptos"/>
        <family val="0"/>
        <charset val="1"/>
      </rPr>
      <t xml:space="preserve">2025-10-01</t>
    </r>
    <r>
      <rPr>
        <sz val="9"/>
        <rFont val="Noto Sans CJK SC"/>
        <family val="2"/>
      </rPr>
      <t xml:space="preserve">至</t>
    </r>
    <r>
      <rPr>
        <sz val="9"/>
        <rFont val="Aptos"/>
        <family val="0"/>
        <charset val="1"/>
      </rPr>
      <t xml:space="preserve">10-02 Chicago/Cook</t>
    </r>
    <r>
      <rPr>
        <sz val="9"/>
        <rFont val="Noto Sans CJK SC"/>
        <family val="2"/>
      </rPr>
      <t xml:space="preserve">。</t>
    </r>
  </si>
  <si>
    <t xml:space="preserve">虽数值相同，版本与行号分列</t>
  </si>
  <si>
    <r>
      <rPr>
        <sz val="9"/>
        <rFont val="Aptos"/>
        <family val="0"/>
        <charset val="1"/>
      </rPr>
      <t xml:space="preserve">Master!109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Denver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4/1–9/30</t>
    </r>
    <r>
      <rPr>
        <sz val="9"/>
        <rFont val="Noto Sans CJK SC"/>
        <family val="2"/>
      </rPr>
      <t xml:space="preserve">）</t>
    </r>
  </si>
  <si>
    <r>
      <rPr>
        <sz val="9"/>
        <rFont val="Aptos"/>
        <family val="0"/>
        <charset val="1"/>
      </rPr>
      <t xml:space="preserve">Denver / Adams / Arapahoe / Jefferson</t>
    </r>
    <r>
      <rPr>
        <sz val="9"/>
        <rFont val="Noto Sans CJK SC"/>
        <family val="2"/>
      </rPr>
      <t xml:space="preserve">；住宿</t>
    </r>
    <r>
      <rPr>
        <sz val="9"/>
        <rFont val="Aptos"/>
        <family val="0"/>
        <charset val="1"/>
      </rPr>
      <t xml:space="preserve">215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M&amp;IE 92</t>
    </r>
  </si>
  <si>
    <r>
      <rPr>
        <sz val="9"/>
        <rFont val="Noto Sans CJK SC"/>
        <family val="2"/>
      </rPr>
      <t xml:space="preserve">匹配</t>
    </r>
    <r>
      <rPr>
        <sz val="9"/>
        <rFont val="Aptos"/>
        <family val="0"/>
        <charset val="1"/>
      </rPr>
      <t xml:space="preserve">2025-09-28</t>
    </r>
    <r>
      <rPr>
        <sz val="9"/>
        <rFont val="Noto Sans CJK SC"/>
        <family val="2"/>
      </rPr>
      <t xml:space="preserve">至</t>
    </r>
    <r>
      <rPr>
        <sz val="9"/>
        <rFont val="Aptos"/>
        <family val="0"/>
        <charset val="1"/>
      </rPr>
      <t xml:space="preserve">09-30 Denver/Denver</t>
    </r>
    <r>
      <rPr>
        <sz val="9"/>
        <rFont val="Noto Sans CJK SC"/>
        <family val="2"/>
      </rPr>
      <t xml:space="preserve">。</t>
    </r>
  </si>
  <si>
    <r>
      <rPr>
        <sz val="9"/>
        <rFont val="Aptos"/>
        <family val="0"/>
        <charset val="1"/>
      </rPr>
      <t xml:space="preserve">Excel</t>
    </r>
    <r>
      <rPr>
        <sz val="9"/>
        <rFont val="Noto Sans CJK SC"/>
        <family val="2"/>
      </rPr>
      <t xml:space="preserve">物理行号</t>
    </r>
  </si>
  <si>
    <r>
      <rPr>
        <sz val="9"/>
        <rFont val="Aptos"/>
        <family val="0"/>
        <charset val="1"/>
      </rPr>
      <t xml:space="preserve">Master!107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Denver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10/1–10/31</t>
    </r>
    <r>
      <rPr>
        <sz val="9"/>
        <rFont val="Noto Sans CJK SC"/>
        <family val="2"/>
      </rPr>
      <t xml:space="preserve">）</t>
    </r>
  </si>
  <si>
    <r>
      <rPr>
        <sz val="9"/>
        <rFont val="Noto Sans CJK SC"/>
        <family val="2"/>
      </rPr>
      <t xml:space="preserve">匹配</t>
    </r>
    <r>
      <rPr>
        <sz val="9"/>
        <rFont val="Aptos"/>
        <family val="0"/>
        <charset val="1"/>
      </rPr>
      <t xml:space="preserve">2025-10-01</t>
    </r>
    <r>
      <rPr>
        <sz val="9"/>
        <rFont val="Noto Sans CJK SC"/>
        <family val="2"/>
      </rPr>
      <t xml:space="preserve">至</t>
    </r>
    <r>
      <rPr>
        <sz val="9"/>
        <rFont val="Aptos"/>
        <family val="0"/>
        <charset val="1"/>
      </rPr>
      <t xml:space="preserve">10-02 Denver/Denver</t>
    </r>
    <r>
      <rPr>
        <sz val="9"/>
        <rFont val="Noto Sans CJK SC"/>
        <family val="2"/>
      </rPr>
      <t xml:space="preserve">。</t>
    </r>
  </si>
  <si>
    <r>
      <rPr>
        <sz val="9"/>
        <rFont val="Aptos"/>
        <family val="0"/>
        <charset val="1"/>
      </rPr>
      <t xml:space="preserve">Master!22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Phoenix/Scottsdale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9/1–9/30</t>
    </r>
    <r>
      <rPr>
        <sz val="9"/>
        <rFont val="Noto Sans CJK SC"/>
        <family val="2"/>
      </rPr>
      <t xml:space="preserve">）</t>
    </r>
  </si>
  <si>
    <r>
      <rPr>
        <sz val="9"/>
        <rFont val="Aptos"/>
        <family val="0"/>
        <charset val="1"/>
      </rPr>
      <t xml:space="preserve">Maricopa</t>
    </r>
    <r>
      <rPr>
        <sz val="9"/>
        <rFont val="Noto Sans CJK SC"/>
        <family val="2"/>
      </rPr>
      <t xml:space="preserve">；住宿</t>
    </r>
    <r>
      <rPr>
        <sz val="9"/>
        <rFont val="Aptos"/>
        <family val="0"/>
        <charset val="1"/>
      </rPr>
      <t xml:space="preserve">160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M&amp;IE 86</t>
    </r>
  </si>
  <si>
    <r>
      <rPr>
        <sz val="9"/>
        <rFont val="Noto Sans CJK SC"/>
        <family val="2"/>
      </rPr>
      <t xml:space="preserve">匹配</t>
    </r>
    <r>
      <rPr>
        <sz val="9"/>
        <rFont val="Aptos"/>
        <family val="0"/>
        <charset val="1"/>
      </rPr>
      <t xml:space="preserve">2025-09-28</t>
    </r>
    <r>
      <rPr>
        <sz val="9"/>
        <rFont val="Noto Sans CJK SC"/>
        <family val="2"/>
      </rPr>
      <t xml:space="preserve">至</t>
    </r>
    <r>
      <rPr>
        <sz val="9"/>
        <rFont val="Aptos"/>
        <family val="0"/>
        <charset val="1"/>
      </rPr>
      <t xml:space="preserve">09-30 Phoenix/Maricopa</t>
    </r>
    <r>
      <rPr>
        <sz val="9"/>
        <rFont val="Noto Sans CJK SC"/>
        <family val="2"/>
      </rPr>
      <t xml:space="preserve">。</t>
    </r>
  </si>
  <si>
    <r>
      <rPr>
        <sz val="9"/>
        <rFont val="Aptos"/>
        <family val="0"/>
        <charset val="1"/>
      </rPr>
      <t xml:space="preserve">Master!18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Phoenix/Scottsdale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10/1–1/31</t>
    </r>
    <r>
      <rPr>
        <sz val="9"/>
        <rFont val="Noto Sans CJK SC"/>
        <family val="2"/>
      </rPr>
      <t xml:space="preserve">）</t>
    </r>
  </si>
  <si>
    <r>
      <rPr>
        <sz val="9"/>
        <rFont val="Noto Sans CJK SC"/>
        <family val="2"/>
      </rPr>
      <t xml:space="preserve">匹配</t>
    </r>
    <r>
      <rPr>
        <sz val="9"/>
        <rFont val="Aptos"/>
        <family val="0"/>
        <charset val="1"/>
      </rPr>
      <t xml:space="preserve">2025-10-01</t>
    </r>
    <r>
      <rPr>
        <sz val="9"/>
        <rFont val="Noto Sans CJK SC"/>
        <family val="2"/>
      </rPr>
      <t xml:space="preserve">至</t>
    </r>
    <r>
      <rPr>
        <sz val="9"/>
        <rFont val="Aptos"/>
        <family val="0"/>
        <charset val="1"/>
      </rPr>
      <t xml:space="preserve">10-02 Phoenix/Maricopa</t>
    </r>
    <r>
      <rPr>
        <sz val="9"/>
        <rFont val="Noto Sans CJK SC"/>
        <family val="2"/>
      </rPr>
      <t xml:space="preserve">。</t>
    </r>
  </si>
  <si>
    <t xml:space="preserve">FTR</t>
  </si>
  <si>
    <t xml:space="preserve">eCFR_41_CFR_301-11.xml</t>
  </si>
  <si>
    <r>
      <rPr>
        <sz val="9"/>
        <rFont val="Aptos"/>
        <family val="0"/>
        <charset val="1"/>
      </rPr>
      <t xml:space="preserve">§301-11.100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§301-11.101</t>
    </r>
  </si>
  <si>
    <r>
      <rPr>
        <sz val="9"/>
        <rFont val="Noto Sans CJK SC"/>
        <family val="2"/>
      </rPr>
      <t xml:space="preserve">实际住宿费不超过上限；首末日按</t>
    </r>
    <r>
      <rPr>
        <sz val="9"/>
        <rFont val="Aptos"/>
        <family val="0"/>
        <charset val="1"/>
      </rPr>
      <t xml:space="preserve">M&amp;IE</t>
    </r>
    <r>
      <rPr>
        <sz val="9"/>
        <rFont val="Noto Sans CJK SC"/>
        <family val="2"/>
      </rPr>
      <t xml:space="preserve">的</t>
    </r>
    <r>
      <rPr>
        <sz val="9"/>
        <rFont val="Aptos"/>
        <family val="0"/>
        <charset val="1"/>
      </rPr>
      <t xml:space="preserve">75%</t>
    </r>
  </si>
  <si>
    <r>
      <rPr>
        <sz val="9"/>
        <rFont val="Aptos"/>
        <family val="0"/>
        <charset val="1"/>
      </rPr>
      <t xml:space="preserve">Daily</t>
    </r>
    <r>
      <rPr>
        <sz val="9"/>
        <rFont val="Noto Sans CJK SC"/>
        <family val="2"/>
      </rPr>
      <t xml:space="preserve">先计算首末日</t>
    </r>
    <r>
      <rPr>
        <sz val="9"/>
        <rFont val="Aptos"/>
        <family val="0"/>
        <charset val="1"/>
      </rPr>
      <t xml:space="preserve">75%</t>
    </r>
    <r>
      <rPr>
        <sz val="9"/>
        <rFont val="Noto Sans CJK SC"/>
        <family val="2"/>
      </rPr>
      <t xml:space="preserve">基础；住宿按报价而非上限。</t>
    </r>
  </si>
  <si>
    <r>
      <rPr>
        <sz val="9"/>
        <rFont val="Aptos"/>
        <family val="0"/>
        <charset val="1"/>
      </rPr>
      <t xml:space="preserve">2025-01-01</t>
    </r>
    <r>
      <rPr>
        <sz val="9"/>
        <rFont val="Noto Sans CJK SC"/>
        <family val="2"/>
      </rPr>
      <t xml:space="preserve">冻结文本</t>
    </r>
  </si>
  <si>
    <t xml:space="preserve">§301-11.17</t>
  </si>
  <si>
    <r>
      <rPr>
        <sz val="9"/>
        <rFont val="Noto Sans CJK SC"/>
        <family val="2"/>
      </rPr>
      <t xml:space="preserve">酒店</t>
    </r>
    <r>
      <rPr>
        <sz val="9"/>
        <rFont val="Aptos"/>
        <family val="0"/>
        <charset val="1"/>
      </rPr>
      <t xml:space="preserve">/</t>
    </r>
    <r>
      <rPr>
        <sz val="9"/>
        <rFont val="Noto Sans CJK SC"/>
        <family val="2"/>
      </rPr>
      <t xml:space="preserve">汽车旅馆免费餐不减少</t>
    </r>
    <r>
      <rPr>
        <sz val="9"/>
        <rFont val="Aptos"/>
        <family val="0"/>
        <charset val="1"/>
      </rPr>
      <t xml:space="preserve">per diem</t>
    </r>
  </si>
  <si>
    <r>
      <rPr>
        <sz val="9"/>
        <rFont val="Noto Sans CJK SC"/>
        <family val="2"/>
      </rPr>
      <t xml:space="preserve">每日免费早餐扣减为</t>
    </r>
    <r>
      <rPr>
        <sz val="9"/>
        <rFont val="Aptos"/>
        <family val="0"/>
        <charset val="1"/>
      </rPr>
      <t xml:space="preserve">0</t>
    </r>
    <r>
      <rPr>
        <sz val="9"/>
        <rFont val="Noto Sans CJK SC"/>
        <family val="2"/>
      </rPr>
      <t xml:space="preserve">。</t>
    </r>
  </si>
  <si>
    <t xml:space="preserve">本题酒店早餐免费</t>
  </si>
  <si>
    <t xml:space="preserve">§301-11.18</t>
  </si>
  <si>
    <r>
      <rPr>
        <sz val="9"/>
        <rFont val="Noto Sans CJK SC"/>
        <family val="2"/>
      </rPr>
      <t xml:space="preserve">政府供餐</t>
    </r>
    <r>
      <rPr>
        <sz val="9"/>
        <rFont val="Aptos"/>
        <family val="0"/>
        <charset val="1"/>
      </rPr>
      <t xml:space="preserve">/</t>
    </r>
    <r>
      <rPr>
        <sz val="9"/>
        <rFont val="Noto Sans CJK SC"/>
        <family val="2"/>
      </rPr>
      <t xml:space="preserve">注册费含餐须扣；首末日从已降低</t>
    </r>
    <r>
      <rPr>
        <sz val="9"/>
        <rFont val="Aptos"/>
        <family val="0"/>
        <charset val="1"/>
      </rPr>
      <t xml:space="preserve">M&amp;IE</t>
    </r>
    <r>
      <rPr>
        <sz val="9"/>
        <rFont val="Noto Sans CJK SC"/>
        <family val="2"/>
      </rPr>
      <t xml:space="preserve">扣完整分餐额；不得低于杂费额</t>
    </r>
  </si>
  <si>
    <r>
      <rPr>
        <sz val="9"/>
        <rFont val="Aptos"/>
        <family val="0"/>
        <charset val="1"/>
      </rPr>
      <t xml:space="preserve">Daily</t>
    </r>
    <r>
      <rPr>
        <sz val="9"/>
        <rFont val="Noto Sans CJK SC"/>
        <family val="2"/>
      </rPr>
      <t xml:space="preserve">：最终</t>
    </r>
    <r>
      <rPr>
        <sz val="9"/>
        <rFont val="Aptos"/>
        <family val="0"/>
        <charset val="1"/>
      </rPr>
      <t xml:space="preserve">M&amp;IE=MAX(</t>
    </r>
    <r>
      <rPr>
        <sz val="9"/>
        <rFont val="Noto Sans CJK SC"/>
        <family val="2"/>
      </rPr>
      <t xml:space="preserve">杂费</t>
    </r>
    <r>
      <rPr>
        <sz val="9"/>
        <rFont val="Aptos"/>
        <family val="0"/>
        <charset val="1"/>
      </rPr>
      <t xml:space="preserve">, </t>
    </r>
    <r>
      <rPr>
        <sz val="9"/>
        <rFont val="Noto Sans CJK SC"/>
        <family val="2"/>
      </rPr>
      <t xml:space="preserve">比例后</t>
    </r>
    <r>
      <rPr>
        <sz val="9"/>
        <rFont val="Aptos"/>
        <family val="0"/>
        <charset val="1"/>
      </rPr>
      <t xml:space="preserve">M&amp;IE−</t>
    </r>
    <r>
      <rPr>
        <sz val="9"/>
        <rFont val="Noto Sans CJK SC"/>
        <family val="2"/>
      </rPr>
      <t xml:space="preserve">完整分餐扣减</t>
    </r>
    <r>
      <rPr>
        <sz val="9"/>
        <rFont val="Aptos"/>
        <family val="0"/>
        <charset val="1"/>
      </rPr>
      <t xml:space="preserve">)</t>
    </r>
    <r>
      <rPr>
        <sz val="9"/>
        <rFont val="Noto Sans CJK SC"/>
        <family val="2"/>
      </rPr>
      <t xml:space="preserve">。</t>
    </r>
  </si>
  <si>
    <t xml:space="preserve">无人有例外</t>
  </si>
  <si>
    <t xml:space="preserve">§301-11.27</t>
  </si>
  <si>
    <t xml:space="preserve">住宿税不含在住宿上限；税仅限可报销住宿成本对应税额</t>
  </si>
  <si>
    <r>
      <rPr>
        <sz val="9"/>
        <rFont val="Noto Sans CJK SC"/>
        <family val="2"/>
      </rPr>
      <t xml:space="preserve">税预算</t>
    </r>
    <r>
      <rPr>
        <sz val="9"/>
        <rFont val="Aptos"/>
        <family val="0"/>
        <charset val="1"/>
      </rPr>
      <t xml:space="preserve">=</t>
    </r>
    <r>
      <rPr>
        <sz val="9"/>
        <rFont val="Noto Sans CJK SC"/>
        <family val="2"/>
      </rPr>
      <t xml:space="preserve">可报销实际报价</t>
    </r>
    <r>
      <rPr>
        <sz val="9"/>
        <rFont val="Aptos"/>
        <family val="0"/>
        <charset val="1"/>
      </rPr>
      <t xml:space="preserve">×12%</t>
    </r>
    <r>
      <rPr>
        <sz val="9"/>
        <rFont val="Noto Sans CJK SC"/>
        <family val="2"/>
      </rPr>
      <t xml:space="preserve">；不以住宿上限作为实际支出。</t>
    </r>
  </si>
  <si>
    <r>
      <rPr>
        <sz val="9"/>
        <rFont val="Aptos"/>
        <family val="0"/>
        <charset val="1"/>
      </rPr>
      <t xml:space="preserve">12%</t>
    </r>
    <r>
      <rPr>
        <sz val="9"/>
        <rFont val="Noto Sans CJK SC"/>
        <family val="2"/>
      </rPr>
      <t xml:space="preserve">是内部估算，非当地真实税率</t>
    </r>
  </si>
  <si>
    <t xml:space="preserve">§301-11.300–.303</t>
  </si>
  <si>
    <t xml:space="preserve">实际费用法适用情形、授权人、原则上事前申请、最高限额</t>
  </si>
  <si>
    <t xml:space="preserve">当前报价均在住宿上限内，不需仅因报价申请实际费用；若条件变化导致超标，则事前授权是批准阻断项。</t>
  </si>
  <si>
    <t xml:space="preserve">未假定已获授权</t>
  </si>
  <si>
    <t xml:space="preserve">eCFR_41_CFR_301-74.xml</t>
  </si>
  <si>
    <t xml:space="preserve">§301-74.6</t>
  </si>
  <si>
    <r>
      <rPr>
        <sz val="9"/>
        <rFont val="Noto Sans CJK SC"/>
        <family val="2"/>
      </rPr>
      <t xml:space="preserve">超住宿上限时比较远处合规住宿</t>
    </r>
    <r>
      <rPr>
        <sz val="9"/>
        <rFont val="Aptos"/>
        <family val="0"/>
        <charset val="1"/>
      </rPr>
      <t xml:space="preserve">+</t>
    </r>
    <r>
      <rPr>
        <sz val="9"/>
        <rFont val="Noto Sans CJK SC"/>
        <family val="2"/>
      </rPr>
      <t xml:space="preserve">交通与会议地实际费用法</t>
    </r>
  </si>
  <si>
    <r>
      <rPr>
        <sz val="9"/>
        <rFont val="Noto Sans CJK SC"/>
        <family val="2"/>
      </rPr>
      <t xml:space="preserve">若报价变化超上限，采购</t>
    </r>
    <r>
      <rPr>
        <sz val="9"/>
        <rFont val="Aptos"/>
        <family val="0"/>
        <charset val="1"/>
      </rPr>
      <t xml:space="preserve">/</t>
    </r>
    <r>
      <rPr>
        <sz val="9"/>
        <rFont val="Noto Sans CJK SC"/>
        <family val="2"/>
      </rPr>
      <t xml:space="preserve">差旅应补成本比较。</t>
    </r>
  </si>
  <si>
    <t xml:space="preserve">会议地点尚待核验</t>
  </si>
  <si>
    <r>
      <rPr>
        <sz val="9"/>
        <rFont val="Aptos"/>
        <family val="0"/>
        <charset val="1"/>
      </rPr>
      <t xml:space="preserve">§301-74.7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§301-74.21</t>
    </r>
  </si>
  <si>
    <r>
      <rPr>
        <sz val="9"/>
        <rFont val="Noto Sans CJK SC"/>
        <family val="2"/>
      </rPr>
      <t xml:space="preserve">咖啡、水果等茶歇不扣</t>
    </r>
    <r>
      <rPr>
        <sz val="9"/>
        <rFont val="Aptos"/>
        <family val="0"/>
        <charset val="1"/>
      </rPr>
      <t xml:space="preserve">M&amp;IE</t>
    </r>
    <r>
      <rPr>
        <sz val="9"/>
        <rFont val="Noto Sans CJK SC"/>
        <family val="2"/>
      </rPr>
      <t xml:space="preserve">；政府供餐或注册费含餐要扣</t>
    </r>
  </si>
  <si>
    <r>
      <rPr>
        <sz val="9"/>
        <rFont val="Noto Sans CJK SC"/>
        <family val="2"/>
      </rPr>
      <t xml:space="preserve">茶歇扣减为</t>
    </r>
    <r>
      <rPr>
        <sz val="9"/>
        <rFont val="Aptos"/>
        <family val="0"/>
        <charset val="1"/>
      </rPr>
      <t xml:space="preserve">0</t>
    </r>
    <r>
      <rPr>
        <sz val="9"/>
        <rFont val="Noto Sans CJK SC"/>
        <family val="2"/>
      </rPr>
      <t xml:space="preserve">，午</t>
    </r>
    <r>
      <rPr>
        <sz val="9"/>
        <rFont val="Aptos"/>
        <family val="0"/>
        <charset val="1"/>
      </rPr>
      <t xml:space="preserve">/</t>
    </r>
    <r>
      <rPr>
        <sz val="9"/>
        <rFont val="Noto Sans CJK SC"/>
        <family val="2"/>
      </rPr>
      <t xml:space="preserve">晚餐按拆分额扣减。</t>
    </r>
  </si>
  <si>
    <t xml:space="preserve">内部约束</t>
  </si>
  <si>
    <t xml:space="preserve">decision_constraints.json</t>
  </si>
  <si>
    <t xml:space="preserve">rules.fy_caps / reserve_rate / transfer_limit / allocation</t>
  </si>
  <si>
    <r>
      <rPr>
        <sz val="9"/>
        <rFont val="Aptos"/>
        <family val="0"/>
        <charset val="1"/>
      </rPr>
      <t xml:space="preserve">FY2025 41,000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FY2026 12,000</t>
    </r>
    <r>
      <rPr>
        <sz val="9"/>
        <rFont val="Noto Sans CJK SC"/>
        <family val="2"/>
      </rPr>
      <t xml:space="preserve">；</t>
    </r>
    <r>
      <rPr>
        <sz val="9"/>
        <rFont val="Aptos"/>
        <family val="0"/>
        <charset val="1"/>
      </rPr>
      <t xml:space="preserve">5%</t>
    </r>
    <r>
      <rPr>
        <sz val="9"/>
        <rFont val="Noto Sans CJK SC"/>
        <family val="2"/>
      </rPr>
      <t xml:space="preserve">；最多</t>
    </r>
    <r>
      <rPr>
        <sz val="9"/>
        <rFont val="Aptos"/>
        <family val="0"/>
        <charset val="1"/>
      </rPr>
      <t xml:space="preserve">1,500</t>
    </r>
    <r>
      <rPr>
        <sz val="9"/>
        <rFont val="Noto Sans CJK SC"/>
        <family val="2"/>
      </rPr>
      <t xml:space="preserve">且未批准</t>
    </r>
  </si>
  <si>
    <r>
      <rPr>
        <sz val="9"/>
        <rFont val="Aptos"/>
        <family val="0"/>
        <charset val="1"/>
      </rPr>
      <t xml:space="preserve">FundingBridge</t>
    </r>
    <r>
      <rPr>
        <sz val="9"/>
        <rFont val="Noto Sans CJK SC"/>
        <family val="2"/>
      </rPr>
      <t xml:space="preserve">按指定归集；调整只移动额度，不改变成本。</t>
    </r>
  </si>
  <si>
    <t xml:space="preserve">本练习假设，不是拨款法结论</t>
  </si>
  <si>
    <t xml:space="preserve">报价假设</t>
  </si>
  <si>
    <t xml:space="preserve">题面报价与条件</t>
  </si>
  <si>
    <t xml:space="preserve">全部方案</t>
  </si>
  <si>
    <r>
      <rPr>
        <sz val="9"/>
        <rFont val="Noto Sans CJK SC"/>
        <family val="2"/>
      </rPr>
      <t xml:space="preserve">单间</t>
    </r>
    <r>
      <rPr>
        <sz val="9"/>
        <rFont val="Aptos"/>
        <family val="0"/>
        <charset val="1"/>
      </rPr>
      <t xml:space="preserve">4</t>
    </r>
    <r>
      <rPr>
        <sz val="9"/>
        <rFont val="Noto Sans CJK SC"/>
        <family val="2"/>
      </rPr>
      <t xml:space="preserve">晚；住宿税</t>
    </r>
    <r>
      <rPr>
        <sz val="9"/>
        <rFont val="Aptos"/>
        <family val="0"/>
        <charset val="1"/>
      </rPr>
      <t xml:space="preserve">12%</t>
    </r>
    <r>
      <rPr>
        <sz val="9"/>
        <rFont val="Noto Sans CJK SC"/>
        <family val="2"/>
      </rPr>
      <t xml:space="preserve">；无额外酒店费；固定场地费含指定政府供餐</t>
    </r>
  </si>
  <si>
    <r>
      <rPr>
        <sz val="9"/>
        <rFont val="Aptos"/>
        <family val="0"/>
        <charset val="1"/>
      </rPr>
      <t xml:space="preserve">Options</t>
    </r>
    <r>
      <rPr>
        <sz val="9"/>
        <rFont val="Noto Sans CJK SC"/>
        <family val="2"/>
      </rPr>
      <t xml:space="preserve">和</t>
    </r>
    <r>
      <rPr>
        <sz val="9"/>
        <rFont val="Aptos"/>
        <family val="0"/>
        <charset val="1"/>
      </rPr>
      <t xml:space="preserve">FundingBridge</t>
    </r>
    <r>
      <rPr>
        <sz val="9"/>
        <rFont val="Noto Sans CJK SC"/>
        <family val="2"/>
      </rPr>
      <t xml:space="preserve">成本基础。</t>
    </r>
  </si>
  <si>
    <t xml:space="preserve">报价不代表采购或场地批准</t>
  </si>
  <si>
    <t xml:space="preserve">决策规则</t>
  </si>
  <si>
    <t xml:space="preserve">题面目标</t>
  </si>
  <si>
    <t xml:space="preserve">人数优先→同人数最低总额→英文城市名</t>
  </si>
  <si>
    <t xml:space="preserve">在满足总额、年度资金与阻断条件后应用</t>
  </si>
  <si>
    <r>
      <rPr>
        <sz val="9"/>
        <rFont val="Noto Sans CJK SC"/>
        <family val="2"/>
      </rPr>
      <t xml:space="preserve">无调整：</t>
    </r>
    <r>
      <rPr>
        <sz val="9"/>
        <rFont val="Aptos"/>
        <family val="0"/>
        <charset val="1"/>
      </rPr>
      <t xml:space="preserve">Phoenix 18</t>
    </r>
    <r>
      <rPr>
        <sz val="9"/>
        <rFont val="Noto Sans CJK SC"/>
        <family val="2"/>
      </rPr>
      <t xml:space="preserve">；调整获批：</t>
    </r>
    <r>
      <rPr>
        <sz val="9"/>
        <rFont val="Aptos"/>
        <family val="0"/>
        <charset val="1"/>
      </rPr>
      <t xml:space="preserve">Phoenix 24</t>
    </r>
    <r>
      <rPr>
        <sz val="9"/>
        <rFont val="Noto Sans CJK SC"/>
        <family val="2"/>
      </rPr>
      <t xml:space="preserve">。</t>
    </r>
  </si>
  <si>
    <t xml:space="preserve">压力情景不替代基准批准，但触发执行措施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</si>
</sst>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8"/>
      <color rgb="FFFFFFFF"/>
      <name val="Aptos Display"/>
      <family val="0"/>
      <charset val="1"/>
    </font>
    <font>
      <sz val="10"/>
      <color rgb="FF1F2937"/>
      <name val="Noto Sans CJK SC"/>
      <family val="2"/>
    </font>
    <font>
      <sz val="10"/>
      <color rgb="FF1F2937"/>
      <name val="Aptos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ptos"/>
      <family val="0"/>
      <charset val="1"/>
    </font>
    <font>
      <sz val="9"/>
      <name val="Aptos"/>
      <family val="0"/>
      <charset val="1"/>
    </font>
    <font>
      <sz val="9"/>
      <name val="Noto Sans CJK SC"/>
      <family val="2"/>
    </font>
    <font>
      <sz val="10"/>
      <name val="Aptos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D9EAF7"/>
        <bgColor rgb="FFCCFFFF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CCCC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uditTable" displayName="AuditTable" ref="A4:F6" headerRowCount="1" totalsRowCount="0" totalsRowShown="0">
  <autoFilter ref="A4:F6"/>
  <tableColumns count="6">
    <tableColumn id="1" name="ID"/>
    <tableColumn id="2" name="未经审阅的内部主张"/>
    <tableColumn id="3" name="判断"/>
    <tableColumn id="4" name="原始证据/计算"/>
    <tableColumn id="5" name="对批准的影响"/>
    <tableColumn id="6" name="修正行动"/>
  </tableColumns>
</table>
</file>

<file path=xl/tables/table2.xml><?xml version="1.0" encoding="utf-8"?>
<table xmlns="http://schemas.openxmlformats.org/spreadsheetml/2006/main" id="2" name="DailyTable" displayName="DailyTable" ref="A4:V19" headerRowCount="1" totalsRowCount="0" totalsRowShown="0">
  <autoFilter ref="A4:V19"/>
  <tableColumns count="22">
    <tableColumn id="1" name="地点"/>
    <tableColumn id="2" name="县/区域"/>
    <tableColumn id="3" name="日期"/>
    <tableColumn id="4" name="财政年度"/>
    <tableColumn id="5" name="住宿夜?"/>
    <tableColumn id="6" name="住宿上限"/>
    <tableColumn id="7" name="未税报价"/>
    <tableColumn id="8" name="可报销住宿预算"/>
    <tableColumn id="9" name="住宿税率"/>
    <tableColumn id="10" name="住宿税预算"/>
    <tableColumn id="11" name="全额M&amp;IE"/>
    <tableColumn id="12" name="首/末日比例"/>
    <tableColumn id="13" name="比例后M&amp;IE"/>
    <tableColumn id="14" name="早餐扣减"/>
    <tableColumn id="15" name="午餐扣减"/>
    <tableColumn id="16" name="晚餐扣减"/>
    <tableColumn id="17" name="扣减合计"/>
    <tableColumn id="18" name="最低杂费"/>
    <tableColumn id="19" name="最终M&amp;IE"/>
    <tableColumn id="20" name="说明"/>
    <tableColumn id="21" name="费率原表行号"/>
    <tableColumn id="22" name="住宿合规性"/>
  </tableColumns>
</table>
</file>

<file path=xl/tables/table3.xml><?xml version="1.0" encoding="utf-8"?>
<table xmlns="http://schemas.openxmlformats.org/spreadsheetml/2006/main" id="3" name="FundingTable" displayName="FundingTable" ref="A4:T16" headerRowCount="1" totalsRowCount="0" totalsRowShown="0">
  <autoFilter ref="A4:T16"/>
  <tableColumns count="20">
    <tableColumn id="1" name="地点"/>
    <tableColumn id="2" name="人数"/>
    <tableColumn id="3" name="情景"/>
    <tableColumn id="4" name="FY2025基础"/>
    <tableColumn id="5" name="FY2025储备"/>
    <tableColumn id="6" name="FY2025含储备"/>
    <tableColumn id="7" name="FY2025原额度余量"/>
    <tableColumn id="8" name="FY2026基础"/>
    <tableColumn id="9" name="FY2026储备"/>
    <tableColumn id="10" name="FY2026含储备"/>
    <tableColumn id="11" name="FY2026原额度余量"/>
    <tableColumn id="12" name="两年合计"/>
    <tableColumn id="13" name="总上限余量"/>
    <tableColumn id="14" name="最小必要调整 FY26→FY25"/>
    <tableColumn id="15" name="调整≤1,500且两年/总额可行?"/>
    <tableColumn id="16" name="调整后FY2025额度"/>
    <tableColumn id="17" name="调整后FY2026额度"/>
    <tableColumn id="18" name="调整后FY2025余量"/>
    <tableColumn id="19" name="调整后FY2026余量"/>
    <tableColumn id="20" name="决策结论"/>
  </tableColumns>
</table>
</file>

<file path=xl/tables/table4.xml><?xml version="1.0" encoding="utf-8"?>
<table xmlns="http://schemas.openxmlformats.org/spreadsheetml/2006/main" id="4" name="OptionsTable" displayName="OptionsTable" ref="A4:V10" headerRowCount="1" totalsRowCount="0" totalsRowShown="0">
  <autoFilter ref="A4:V10"/>
  <tableColumns count="22">
    <tableColumn id="1" name="原总额排名"/>
    <tableColumn id="2" name="地点"/>
    <tableColumn id="3" name="人数"/>
    <tableColumn id="4" name="住宿/人"/>
    <tableColumn id="5" name="住宿税/人"/>
    <tableColumn id="6" name="M&amp;IE/人"/>
    <tableColumn id="7" name="机票/人"/>
    <tableColumn id="8" name="当地交通/人"/>
    <tableColumn id="9" name="注册/人"/>
    <tableColumn id="10" name="固定场地费"/>
    <tableColumn id="11" name="基础成本"/>
    <tableColumn id="12" name="5%储备"/>
    <tableColumn id="13" name="批准总额"/>
    <tableColumn id="14" name="预算余量(53,000-总额)"/>
    <tableColumn id="15" name="总额状态"/>
    <tableColumn id="16" name="住宿合规性"/>
    <tableColumn id="17" name="压力基础成本"/>
    <tableColumn id="18" name="压力5%储备"/>
    <tableColumn id="19" name="压力总额"/>
    <tableColumn id="20" name="压力余量"/>
    <tableColumn id="21" name="压力状态"/>
    <tableColumn id="22" name="总额口径决策标记"/>
  </tableColumns>
</table>
</file>

<file path=xl/tables/table5.xml><?xml version="1.0" encoding="utf-8"?>
<table xmlns="http://schemas.openxmlformats.org/spreadsheetml/2006/main" id="5" name="SourcesTable" displayName="SourcesTable" ref="A4:F23" headerRowCount="1" totalsRowCount="0" totalsRowShown="0">
  <autoFilter ref="A4:F23"/>
  <tableColumns count="6">
    <tableColumn id="1" name="类别"/>
    <tableColumn id="2" name="文件/网页"/>
    <tableColumn id="3" name="具体位置"/>
    <tableColumn id="4" name="实际链接/条款"/>
    <tableColumn id="5" name="如何进入计算或审批"/>
    <tableColumn id="6" name="备注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7" min="14" style="0" width="11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39"/>
    <col collapsed="false" customWidth="true" hidden="false" outlineLevel="0" max="21" min="21" style="0" width="13"/>
    <col collapsed="false" customWidth="true" hidden="false" outlineLevel="0" max="22" min="22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5" hidden="false" customHeight="fals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5" t="s">
        <v>28</v>
      </c>
      <c r="F5" s="6" t="n">
        <v>223</v>
      </c>
      <c r="G5" s="6" t="n">
        <v>218</v>
      </c>
      <c r="H5" s="6" t="n">
        <f aca="false">MIN(F5,G5)</f>
        <v>218</v>
      </c>
      <c r="I5" s="7" t="n">
        <v>0.12</v>
      </c>
      <c r="J5" s="6" t="n">
        <f aca="false">H5*I5</f>
        <v>26.16</v>
      </c>
      <c r="K5" s="6" t="n">
        <v>92</v>
      </c>
      <c r="L5" s="8" t="n">
        <v>0.75</v>
      </c>
      <c r="M5" s="6" t="n">
        <f aca="false">K5*L5</f>
        <v>69</v>
      </c>
      <c r="N5" s="6" t="n">
        <v>0</v>
      </c>
      <c r="O5" s="6" t="n">
        <v>0</v>
      </c>
      <c r="P5" s="6" t="n">
        <v>38</v>
      </c>
      <c r="Q5" s="6" t="n">
        <f aca="false">SUM(N5:P5)</f>
        <v>38</v>
      </c>
      <c r="R5" s="6" t="n">
        <v>5</v>
      </c>
      <c r="S5" s="6" t="n">
        <f aca="false">MAX(R5,M5-Q5)</f>
        <v>31</v>
      </c>
      <c r="T5" s="5" t="s">
        <v>29</v>
      </c>
      <c r="U5" s="4" t="n">
        <v>258</v>
      </c>
      <c r="V5" s="5" t="str">
        <f aca="false">IF(E5="否","不适用",IF(G5&lt;=F5,"报价≤上限","需实际费用授权"))</f>
        <v>报价≤上限</v>
      </c>
    </row>
    <row r="6" customFormat="false" ht="15" hidden="false" customHeight="false" outlineLevel="0" collapsed="false">
      <c r="A6" s="4" t="s">
        <v>24</v>
      </c>
      <c r="B6" s="4" t="s">
        <v>25</v>
      </c>
      <c r="C6" s="4" t="s">
        <v>30</v>
      </c>
      <c r="D6" s="4" t="s">
        <v>27</v>
      </c>
      <c r="E6" s="5" t="s">
        <v>28</v>
      </c>
      <c r="F6" s="6" t="n">
        <v>223</v>
      </c>
      <c r="G6" s="6" t="n">
        <v>218</v>
      </c>
      <c r="H6" s="6" t="n">
        <f aca="false">MIN(F6,G6)</f>
        <v>218</v>
      </c>
      <c r="I6" s="7" t="n">
        <v>0.12</v>
      </c>
      <c r="J6" s="6" t="n">
        <f aca="false">H6*I6</f>
        <v>26.16</v>
      </c>
      <c r="K6" s="6" t="n">
        <v>92</v>
      </c>
      <c r="L6" s="8" t="n">
        <v>1</v>
      </c>
      <c r="M6" s="6" t="n">
        <f aca="false">K6*L6</f>
        <v>92</v>
      </c>
      <c r="N6" s="6" t="n">
        <v>0</v>
      </c>
      <c r="O6" s="6" t="n">
        <v>26</v>
      </c>
      <c r="P6" s="6" t="n">
        <v>0</v>
      </c>
      <c r="Q6" s="6" t="n">
        <f aca="false">SUM(N6:P6)</f>
        <v>26</v>
      </c>
      <c r="R6" s="6" t="n">
        <v>5</v>
      </c>
      <c r="S6" s="6" t="n">
        <f aca="false">MAX(R6,M6-Q6)</f>
        <v>66</v>
      </c>
      <c r="T6" s="5" t="s">
        <v>31</v>
      </c>
      <c r="U6" s="4" t="n">
        <v>258</v>
      </c>
      <c r="V6" s="5" t="str">
        <f aca="false">IF(E6="否","不适用",IF(G6&lt;=F6,"报价≤上限","需实际费用授权"))</f>
        <v>报价≤上限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32</v>
      </c>
      <c r="D7" s="4" t="s">
        <v>27</v>
      </c>
      <c r="E7" s="5" t="s">
        <v>28</v>
      </c>
      <c r="F7" s="6" t="n">
        <v>223</v>
      </c>
      <c r="G7" s="6" t="n">
        <v>218</v>
      </c>
      <c r="H7" s="6" t="n">
        <f aca="false">MIN(F7,G7)</f>
        <v>218</v>
      </c>
      <c r="I7" s="7" t="n">
        <v>0.12</v>
      </c>
      <c r="J7" s="6" t="n">
        <f aca="false">H7*I7</f>
        <v>26.16</v>
      </c>
      <c r="K7" s="6" t="n">
        <v>92</v>
      </c>
      <c r="L7" s="8" t="n">
        <v>1</v>
      </c>
      <c r="M7" s="6" t="n">
        <f aca="false">K7*L7</f>
        <v>92</v>
      </c>
      <c r="N7" s="6" t="n">
        <v>0</v>
      </c>
      <c r="O7" s="6" t="n">
        <v>26</v>
      </c>
      <c r="P7" s="6" t="n">
        <v>0</v>
      </c>
      <c r="Q7" s="6" t="n">
        <f aca="false">SUM(N7:P7)</f>
        <v>26</v>
      </c>
      <c r="R7" s="6" t="n">
        <v>5</v>
      </c>
      <c r="S7" s="6" t="n">
        <f aca="false">MAX(R7,M7-Q7)</f>
        <v>66</v>
      </c>
      <c r="T7" s="5" t="s">
        <v>31</v>
      </c>
      <c r="U7" s="4" t="n">
        <v>258</v>
      </c>
      <c r="V7" s="5" t="str">
        <f aca="false">IF(E7="否","不适用",IF(G7&lt;=F7,"报价≤上限","需实际费用授权"))</f>
        <v>报价≤上限</v>
      </c>
    </row>
    <row r="8" customFormat="false" ht="15" hidden="false" customHeight="false" outlineLevel="0" collapsed="false">
      <c r="A8" s="4" t="s">
        <v>24</v>
      </c>
      <c r="B8" s="4" t="s">
        <v>25</v>
      </c>
      <c r="C8" s="4" t="s">
        <v>33</v>
      </c>
      <c r="D8" s="4" t="s">
        <v>34</v>
      </c>
      <c r="E8" s="5" t="s">
        <v>28</v>
      </c>
      <c r="F8" s="6" t="n">
        <v>223</v>
      </c>
      <c r="G8" s="6" t="n">
        <v>218</v>
      </c>
      <c r="H8" s="6" t="n">
        <f aca="false">MIN(F8,G8)</f>
        <v>218</v>
      </c>
      <c r="I8" s="7" t="n">
        <v>0.12</v>
      </c>
      <c r="J8" s="6" t="n">
        <f aca="false">H8*I8</f>
        <v>26.16</v>
      </c>
      <c r="K8" s="6" t="n">
        <v>92</v>
      </c>
      <c r="L8" s="8" t="n">
        <v>1</v>
      </c>
      <c r="M8" s="6" t="n">
        <f aca="false">K8*L8</f>
        <v>92</v>
      </c>
      <c r="N8" s="6" t="n">
        <v>0</v>
      </c>
      <c r="O8" s="6" t="n">
        <v>26</v>
      </c>
      <c r="P8" s="6" t="n">
        <v>38</v>
      </c>
      <c r="Q8" s="6" t="n">
        <f aca="false">SUM(N8:P8)</f>
        <v>64</v>
      </c>
      <c r="R8" s="6" t="n">
        <v>5</v>
      </c>
      <c r="S8" s="6" t="n">
        <f aca="false">MAX(R8,M8-Q8)</f>
        <v>28</v>
      </c>
      <c r="T8" s="5" t="s">
        <v>35</v>
      </c>
      <c r="U8" s="4" t="n">
        <v>254</v>
      </c>
      <c r="V8" s="5" t="str">
        <f aca="false">IF(E8="否","不适用",IF(G8&lt;=F8,"报价≤上限","需实际费用授权"))</f>
        <v>报价≤上限</v>
      </c>
    </row>
    <row r="9" customFormat="false" ht="15" hidden="false" customHeight="false" outlineLevel="0" collapsed="false">
      <c r="A9" s="4" t="s">
        <v>24</v>
      </c>
      <c r="B9" s="4" t="s">
        <v>25</v>
      </c>
      <c r="C9" s="4" t="s">
        <v>36</v>
      </c>
      <c r="D9" s="4" t="s">
        <v>34</v>
      </c>
      <c r="E9" s="5" t="s">
        <v>37</v>
      </c>
      <c r="F9" s="6" t="n">
        <v>0</v>
      </c>
      <c r="G9" s="6" t="n">
        <v>0</v>
      </c>
      <c r="H9" s="6" t="n">
        <f aca="false">MIN(F9,G9)</f>
        <v>0</v>
      </c>
      <c r="I9" s="7" t="n">
        <v>0</v>
      </c>
      <c r="J9" s="6" t="n">
        <f aca="false">H9*I9</f>
        <v>0</v>
      </c>
      <c r="K9" s="6" t="n">
        <v>92</v>
      </c>
      <c r="L9" s="8" t="n">
        <v>0.75</v>
      </c>
      <c r="M9" s="6" t="n">
        <f aca="false">K9*L9</f>
        <v>69</v>
      </c>
      <c r="N9" s="6" t="n">
        <v>0</v>
      </c>
      <c r="O9" s="6" t="n">
        <v>26</v>
      </c>
      <c r="P9" s="6" t="n">
        <v>0</v>
      </c>
      <c r="Q9" s="6" t="n">
        <f aca="false">SUM(N9:P9)</f>
        <v>26</v>
      </c>
      <c r="R9" s="6" t="n">
        <v>5</v>
      </c>
      <c r="S9" s="6" t="n">
        <f aca="false">MAX(R9,M9-Q9)</f>
        <v>43</v>
      </c>
      <c r="T9" s="5" t="s">
        <v>38</v>
      </c>
      <c r="U9" s="4" t="n">
        <v>254</v>
      </c>
      <c r="V9" s="5" t="str">
        <f aca="false">IF(E9="否","不适用",IF(G9&lt;=F9,"报价≤上限","需实际费用授权"))</f>
        <v>不适用</v>
      </c>
    </row>
    <row r="10" customFormat="false" ht="15" hidden="false" customHeight="false" outlineLevel="0" collapsed="false">
      <c r="A10" s="4" t="s">
        <v>39</v>
      </c>
      <c r="B10" s="4" t="s">
        <v>40</v>
      </c>
      <c r="C10" s="4" t="s">
        <v>26</v>
      </c>
      <c r="D10" s="4" t="s">
        <v>27</v>
      </c>
      <c r="E10" s="5" t="s">
        <v>28</v>
      </c>
      <c r="F10" s="6" t="n">
        <v>215</v>
      </c>
      <c r="G10" s="6" t="n">
        <v>209</v>
      </c>
      <c r="H10" s="6" t="n">
        <f aca="false">MIN(F10,G10)</f>
        <v>209</v>
      </c>
      <c r="I10" s="7" t="n">
        <v>0.12</v>
      </c>
      <c r="J10" s="6" t="n">
        <f aca="false">H10*I10</f>
        <v>25.08</v>
      </c>
      <c r="K10" s="6" t="n">
        <v>92</v>
      </c>
      <c r="L10" s="8" t="n">
        <v>0.75</v>
      </c>
      <c r="M10" s="6" t="n">
        <f aca="false">K10*L10</f>
        <v>69</v>
      </c>
      <c r="N10" s="6" t="n">
        <v>0</v>
      </c>
      <c r="O10" s="6" t="n">
        <v>0</v>
      </c>
      <c r="P10" s="6" t="n">
        <v>38</v>
      </c>
      <c r="Q10" s="6" t="n">
        <f aca="false">SUM(N10:P10)</f>
        <v>38</v>
      </c>
      <c r="R10" s="6" t="n">
        <v>5</v>
      </c>
      <c r="S10" s="6" t="n">
        <f aca="false">MAX(R10,M10-Q10)</f>
        <v>31</v>
      </c>
      <c r="T10" s="5" t="s">
        <v>29</v>
      </c>
      <c r="U10" s="4" t="n">
        <v>109</v>
      </c>
      <c r="V10" s="5" t="str">
        <f aca="false">IF(E10="否","不适用",IF(G10&lt;=F10,"报价≤上限","需实际费用授权"))</f>
        <v>报价≤上限</v>
      </c>
    </row>
    <row r="11" customFormat="false" ht="15" hidden="false" customHeight="false" outlineLevel="0" collapsed="false">
      <c r="A11" s="4" t="s">
        <v>39</v>
      </c>
      <c r="B11" s="4" t="s">
        <v>40</v>
      </c>
      <c r="C11" s="4" t="s">
        <v>30</v>
      </c>
      <c r="D11" s="4" t="s">
        <v>27</v>
      </c>
      <c r="E11" s="5" t="s">
        <v>28</v>
      </c>
      <c r="F11" s="6" t="n">
        <v>215</v>
      </c>
      <c r="G11" s="6" t="n">
        <v>209</v>
      </c>
      <c r="H11" s="6" t="n">
        <f aca="false">MIN(F11,G11)</f>
        <v>209</v>
      </c>
      <c r="I11" s="7" t="n">
        <v>0.12</v>
      </c>
      <c r="J11" s="6" t="n">
        <f aca="false">H11*I11</f>
        <v>25.08</v>
      </c>
      <c r="K11" s="6" t="n">
        <v>92</v>
      </c>
      <c r="L11" s="8" t="n">
        <v>1</v>
      </c>
      <c r="M11" s="6" t="n">
        <f aca="false">K11*L11</f>
        <v>92</v>
      </c>
      <c r="N11" s="6" t="n">
        <v>0</v>
      </c>
      <c r="O11" s="6" t="n">
        <v>26</v>
      </c>
      <c r="P11" s="6" t="n">
        <v>0</v>
      </c>
      <c r="Q11" s="6" t="n">
        <f aca="false">SUM(N11:P11)</f>
        <v>26</v>
      </c>
      <c r="R11" s="6" t="n">
        <v>5</v>
      </c>
      <c r="S11" s="6" t="n">
        <f aca="false">MAX(R11,M11-Q11)</f>
        <v>66</v>
      </c>
      <c r="T11" s="5" t="s">
        <v>31</v>
      </c>
      <c r="U11" s="4" t="n">
        <v>109</v>
      </c>
      <c r="V11" s="5" t="str">
        <f aca="false">IF(E11="否","不适用",IF(G11&lt;=F11,"报价≤上限","需实际费用授权"))</f>
        <v>报价≤上限</v>
      </c>
    </row>
    <row r="12" customFormat="false" ht="15" hidden="false" customHeight="false" outlineLevel="0" collapsed="false">
      <c r="A12" s="4" t="s">
        <v>39</v>
      </c>
      <c r="B12" s="4" t="s">
        <v>40</v>
      </c>
      <c r="C12" s="4" t="s">
        <v>32</v>
      </c>
      <c r="D12" s="4" t="s">
        <v>27</v>
      </c>
      <c r="E12" s="5" t="s">
        <v>28</v>
      </c>
      <c r="F12" s="6" t="n">
        <v>215</v>
      </c>
      <c r="G12" s="6" t="n">
        <v>209</v>
      </c>
      <c r="H12" s="6" t="n">
        <f aca="false">MIN(F12,G12)</f>
        <v>209</v>
      </c>
      <c r="I12" s="7" t="n">
        <v>0.12</v>
      </c>
      <c r="J12" s="6" t="n">
        <f aca="false">H12*I12</f>
        <v>25.08</v>
      </c>
      <c r="K12" s="6" t="n">
        <v>92</v>
      </c>
      <c r="L12" s="8" t="n">
        <v>1</v>
      </c>
      <c r="M12" s="6" t="n">
        <f aca="false">K12*L12</f>
        <v>92</v>
      </c>
      <c r="N12" s="6" t="n">
        <v>0</v>
      </c>
      <c r="O12" s="6" t="n">
        <v>26</v>
      </c>
      <c r="P12" s="6" t="n">
        <v>0</v>
      </c>
      <c r="Q12" s="6" t="n">
        <f aca="false">SUM(N12:P12)</f>
        <v>26</v>
      </c>
      <c r="R12" s="6" t="n">
        <v>5</v>
      </c>
      <c r="S12" s="6" t="n">
        <f aca="false">MAX(R12,M12-Q12)</f>
        <v>66</v>
      </c>
      <c r="T12" s="5" t="s">
        <v>31</v>
      </c>
      <c r="U12" s="4" t="n">
        <v>109</v>
      </c>
      <c r="V12" s="5" t="str">
        <f aca="false">IF(E12="否","不适用",IF(G12&lt;=F12,"报价≤上限","需实际费用授权"))</f>
        <v>报价≤上限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4" t="s">
        <v>33</v>
      </c>
      <c r="D13" s="4" t="s">
        <v>34</v>
      </c>
      <c r="E13" s="5" t="s">
        <v>28</v>
      </c>
      <c r="F13" s="6" t="n">
        <v>215</v>
      </c>
      <c r="G13" s="6" t="n">
        <v>209</v>
      </c>
      <c r="H13" s="6" t="n">
        <f aca="false">MIN(F13,G13)</f>
        <v>209</v>
      </c>
      <c r="I13" s="7" t="n">
        <v>0.12</v>
      </c>
      <c r="J13" s="6" t="n">
        <f aca="false">H13*I13</f>
        <v>25.08</v>
      </c>
      <c r="K13" s="6" t="n">
        <v>92</v>
      </c>
      <c r="L13" s="8" t="n">
        <v>1</v>
      </c>
      <c r="M13" s="6" t="n">
        <f aca="false">K13*L13</f>
        <v>92</v>
      </c>
      <c r="N13" s="6" t="n">
        <v>0</v>
      </c>
      <c r="O13" s="6" t="n">
        <v>26</v>
      </c>
      <c r="P13" s="6" t="n">
        <v>38</v>
      </c>
      <c r="Q13" s="6" t="n">
        <f aca="false">SUM(N13:P13)</f>
        <v>64</v>
      </c>
      <c r="R13" s="6" t="n">
        <v>5</v>
      </c>
      <c r="S13" s="6" t="n">
        <f aca="false">MAX(R13,M13-Q13)</f>
        <v>28</v>
      </c>
      <c r="T13" s="5" t="s">
        <v>35</v>
      </c>
      <c r="U13" s="4" t="n">
        <v>107</v>
      </c>
      <c r="V13" s="5" t="str">
        <f aca="false">IF(E13="否","不适用",IF(G13&lt;=F13,"报价≤上限","需实际费用授权"))</f>
        <v>报价≤上限</v>
      </c>
    </row>
    <row r="14" customFormat="false" ht="15" hidden="false" customHeight="false" outlineLevel="0" collapsed="false">
      <c r="A14" s="4" t="s">
        <v>39</v>
      </c>
      <c r="B14" s="4" t="s">
        <v>40</v>
      </c>
      <c r="C14" s="4" t="s">
        <v>36</v>
      </c>
      <c r="D14" s="4" t="s">
        <v>34</v>
      </c>
      <c r="E14" s="5" t="s">
        <v>37</v>
      </c>
      <c r="F14" s="6" t="n">
        <v>0</v>
      </c>
      <c r="G14" s="6" t="n">
        <v>0</v>
      </c>
      <c r="H14" s="6" t="n">
        <f aca="false">MIN(F14,G14)</f>
        <v>0</v>
      </c>
      <c r="I14" s="7" t="n">
        <v>0</v>
      </c>
      <c r="J14" s="6" t="n">
        <f aca="false">H14*I14</f>
        <v>0</v>
      </c>
      <c r="K14" s="6" t="n">
        <v>92</v>
      </c>
      <c r="L14" s="8" t="n">
        <v>0.75</v>
      </c>
      <c r="M14" s="6" t="n">
        <f aca="false">K14*L14</f>
        <v>69</v>
      </c>
      <c r="N14" s="6" t="n">
        <v>0</v>
      </c>
      <c r="O14" s="6" t="n">
        <v>26</v>
      </c>
      <c r="P14" s="6" t="n">
        <v>0</v>
      </c>
      <c r="Q14" s="6" t="n">
        <f aca="false">SUM(N14:P14)</f>
        <v>26</v>
      </c>
      <c r="R14" s="6" t="n">
        <v>5</v>
      </c>
      <c r="S14" s="6" t="n">
        <f aca="false">MAX(R14,M14-Q14)</f>
        <v>43</v>
      </c>
      <c r="T14" s="5" t="s">
        <v>38</v>
      </c>
      <c r="U14" s="4" t="n">
        <v>107</v>
      </c>
      <c r="V14" s="5" t="str">
        <f aca="false">IF(E14="否","不适用",IF(G14&lt;=F14,"报价≤上限","需实际费用授权"))</f>
        <v>不适用</v>
      </c>
    </row>
    <row r="15" customFormat="false" ht="15" hidden="false" customHeight="false" outlineLevel="0" collapsed="false">
      <c r="A15" s="4" t="s">
        <v>41</v>
      </c>
      <c r="B15" s="4" t="s">
        <v>42</v>
      </c>
      <c r="C15" s="4" t="s">
        <v>26</v>
      </c>
      <c r="D15" s="4" t="s">
        <v>27</v>
      </c>
      <c r="E15" s="5" t="s">
        <v>28</v>
      </c>
      <c r="F15" s="6" t="n">
        <v>160</v>
      </c>
      <c r="G15" s="6" t="n">
        <v>155</v>
      </c>
      <c r="H15" s="6" t="n">
        <f aca="false">MIN(F15,G15)</f>
        <v>155</v>
      </c>
      <c r="I15" s="7" t="n">
        <v>0.12</v>
      </c>
      <c r="J15" s="6" t="n">
        <f aca="false">H15*I15</f>
        <v>18.6</v>
      </c>
      <c r="K15" s="6" t="n">
        <v>86</v>
      </c>
      <c r="L15" s="8" t="n">
        <v>0.75</v>
      </c>
      <c r="M15" s="6" t="n">
        <f aca="false">K15*L15</f>
        <v>64.5</v>
      </c>
      <c r="N15" s="6" t="n">
        <v>0</v>
      </c>
      <c r="O15" s="6" t="n">
        <v>0</v>
      </c>
      <c r="P15" s="6" t="n">
        <v>36</v>
      </c>
      <c r="Q15" s="6" t="n">
        <f aca="false">SUM(N15:P15)</f>
        <v>36</v>
      </c>
      <c r="R15" s="6" t="n">
        <v>5</v>
      </c>
      <c r="S15" s="6" t="n">
        <f aca="false">MAX(R15,M15-Q15)</f>
        <v>28.5</v>
      </c>
      <c r="T15" s="5" t="s">
        <v>29</v>
      </c>
      <c r="U15" s="4" t="n">
        <v>22</v>
      </c>
      <c r="V15" s="5" t="str">
        <f aca="false">IF(E15="否","不适用",IF(G15&lt;=F15,"报价≤上限","需实际费用授权"))</f>
        <v>报价≤上限</v>
      </c>
    </row>
    <row r="16" customFormat="false" ht="15" hidden="false" customHeight="false" outlineLevel="0" collapsed="false">
      <c r="A16" s="4" t="s">
        <v>41</v>
      </c>
      <c r="B16" s="4" t="s">
        <v>42</v>
      </c>
      <c r="C16" s="4" t="s">
        <v>30</v>
      </c>
      <c r="D16" s="4" t="s">
        <v>27</v>
      </c>
      <c r="E16" s="5" t="s">
        <v>28</v>
      </c>
      <c r="F16" s="6" t="n">
        <v>160</v>
      </c>
      <c r="G16" s="6" t="n">
        <v>155</v>
      </c>
      <c r="H16" s="6" t="n">
        <f aca="false">MIN(F16,G16)</f>
        <v>155</v>
      </c>
      <c r="I16" s="7" t="n">
        <v>0.12</v>
      </c>
      <c r="J16" s="6" t="n">
        <f aca="false">H16*I16</f>
        <v>18.6</v>
      </c>
      <c r="K16" s="6" t="n">
        <v>86</v>
      </c>
      <c r="L16" s="8" t="n">
        <v>1</v>
      </c>
      <c r="M16" s="6" t="n">
        <f aca="false">K16*L16</f>
        <v>86</v>
      </c>
      <c r="N16" s="6" t="n">
        <v>0</v>
      </c>
      <c r="O16" s="6" t="n">
        <v>23</v>
      </c>
      <c r="P16" s="6" t="n">
        <v>0</v>
      </c>
      <c r="Q16" s="6" t="n">
        <f aca="false">SUM(N16:P16)</f>
        <v>23</v>
      </c>
      <c r="R16" s="6" t="n">
        <v>5</v>
      </c>
      <c r="S16" s="6" t="n">
        <f aca="false">MAX(R16,M16-Q16)</f>
        <v>63</v>
      </c>
      <c r="T16" s="5" t="s">
        <v>31</v>
      </c>
      <c r="U16" s="4" t="n">
        <v>22</v>
      </c>
      <c r="V16" s="5" t="str">
        <f aca="false">IF(E16="否","不适用",IF(G16&lt;=F16,"报价≤上限","需实际费用授权"))</f>
        <v>报价≤上限</v>
      </c>
    </row>
    <row r="17" customFormat="false" ht="15" hidden="false" customHeight="false" outlineLevel="0" collapsed="false">
      <c r="A17" s="4" t="s">
        <v>41</v>
      </c>
      <c r="B17" s="4" t="s">
        <v>42</v>
      </c>
      <c r="C17" s="4" t="s">
        <v>32</v>
      </c>
      <c r="D17" s="4" t="s">
        <v>27</v>
      </c>
      <c r="E17" s="5" t="s">
        <v>28</v>
      </c>
      <c r="F17" s="6" t="n">
        <v>160</v>
      </c>
      <c r="G17" s="6" t="n">
        <v>155</v>
      </c>
      <c r="H17" s="6" t="n">
        <f aca="false">MIN(F17,G17)</f>
        <v>155</v>
      </c>
      <c r="I17" s="7" t="n">
        <v>0.12</v>
      </c>
      <c r="J17" s="6" t="n">
        <f aca="false">H17*I17</f>
        <v>18.6</v>
      </c>
      <c r="K17" s="6" t="n">
        <v>86</v>
      </c>
      <c r="L17" s="8" t="n">
        <v>1</v>
      </c>
      <c r="M17" s="6" t="n">
        <f aca="false">K17*L17</f>
        <v>86</v>
      </c>
      <c r="N17" s="6" t="n">
        <v>0</v>
      </c>
      <c r="O17" s="6" t="n">
        <v>23</v>
      </c>
      <c r="P17" s="6" t="n">
        <v>0</v>
      </c>
      <c r="Q17" s="6" t="n">
        <f aca="false">SUM(N17:P17)</f>
        <v>23</v>
      </c>
      <c r="R17" s="6" t="n">
        <v>5</v>
      </c>
      <c r="S17" s="6" t="n">
        <f aca="false">MAX(R17,M17-Q17)</f>
        <v>63</v>
      </c>
      <c r="T17" s="5" t="s">
        <v>31</v>
      </c>
      <c r="U17" s="4" t="n">
        <v>22</v>
      </c>
      <c r="V17" s="5" t="str">
        <f aca="false">IF(E17="否","不适用",IF(G17&lt;=F17,"报价≤上限","需实际费用授权"))</f>
        <v>报价≤上限</v>
      </c>
    </row>
    <row r="18" customFormat="false" ht="15" hidden="false" customHeight="false" outlineLevel="0" collapsed="false">
      <c r="A18" s="4" t="s">
        <v>41</v>
      </c>
      <c r="B18" s="4" t="s">
        <v>42</v>
      </c>
      <c r="C18" s="4" t="s">
        <v>33</v>
      </c>
      <c r="D18" s="4" t="s">
        <v>34</v>
      </c>
      <c r="E18" s="5" t="s">
        <v>28</v>
      </c>
      <c r="F18" s="6" t="n">
        <v>160</v>
      </c>
      <c r="G18" s="6" t="n">
        <v>155</v>
      </c>
      <c r="H18" s="6" t="n">
        <f aca="false">MIN(F18,G18)</f>
        <v>155</v>
      </c>
      <c r="I18" s="7" t="n">
        <v>0.12</v>
      </c>
      <c r="J18" s="6" t="n">
        <f aca="false">H18*I18</f>
        <v>18.6</v>
      </c>
      <c r="K18" s="6" t="n">
        <v>86</v>
      </c>
      <c r="L18" s="8" t="n">
        <v>1</v>
      </c>
      <c r="M18" s="6" t="n">
        <f aca="false">K18*L18</f>
        <v>86</v>
      </c>
      <c r="N18" s="6" t="n">
        <v>0</v>
      </c>
      <c r="O18" s="6" t="n">
        <v>23</v>
      </c>
      <c r="P18" s="6" t="n">
        <v>36</v>
      </c>
      <c r="Q18" s="6" t="n">
        <f aca="false">SUM(N18:P18)</f>
        <v>59</v>
      </c>
      <c r="R18" s="6" t="n">
        <v>5</v>
      </c>
      <c r="S18" s="6" t="n">
        <f aca="false">MAX(R18,M18-Q18)</f>
        <v>27</v>
      </c>
      <c r="T18" s="5" t="s">
        <v>35</v>
      </c>
      <c r="U18" s="4" t="n">
        <v>18</v>
      </c>
      <c r="V18" s="5" t="str">
        <f aca="false">IF(E18="否","不适用",IF(G18&lt;=F18,"报价≤上限","需实际费用授权"))</f>
        <v>报价≤上限</v>
      </c>
    </row>
    <row r="19" customFormat="false" ht="15" hidden="false" customHeight="false" outlineLevel="0" collapsed="false">
      <c r="A19" s="4" t="s">
        <v>41</v>
      </c>
      <c r="B19" s="4" t="s">
        <v>42</v>
      </c>
      <c r="C19" s="4" t="s">
        <v>36</v>
      </c>
      <c r="D19" s="4" t="s">
        <v>34</v>
      </c>
      <c r="E19" s="5" t="s">
        <v>37</v>
      </c>
      <c r="F19" s="6" t="n">
        <v>0</v>
      </c>
      <c r="G19" s="6" t="n">
        <v>0</v>
      </c>
      <c r="H19" s="6" t="n">
        <f aca="false">MIN(F19,G19)</f>
        <v>0</v>
      </c>
      <c r="I19" s="7" t="n">
        <v>0</v>
      </c>
      <c r="J19" s="6" t="n">
        <f aca="false">H19*I19</f>
        <v>0</v>
      </c>
      <c r="K19" s="6" t="n">
        <v>86</v>
      </c>
      <c r="L19" s="8" t="n">
        <v>0.75</v>
      </c>
      <c r="M19" s="6" t="n">
        <f aca="false">K19*L19</f>
        <v>64.5</v>
      </c>
      <c r="N19" s="6" t="n">
        <v>0</v>
      </c>
      <c r="O19" s="6" t="n">
        <v>23</v>
      </c>
      <c r="P19" s="6" t="n">
        <v>0</v>
      </c>
      <c r="Q19" s="6" t="n">
        <f aca="false">SUM(N19:P19)</f>
        <v>23</v>
      </c>
      <c r="R19" s="6" t="n">
        <v>5</v>
      </c>
      <c r="S19" s="6" t="n">
        <f aca="false">MAX(R19,M19-Q19)</f>
        <v>41.5</v>
      </c>
      <c r="T19" s="5" t="s">
        <v>38</v>
      </c>
      <c r="U19" s="4" t="n">
        <v>18</v>
      </c>
      <c r="V19" s="5" t="str">
        <f aca="false">IF(E19="否","不适用",IF(G19&lt;=F19,"报价≤上限","需实际费用授权"))</f>
        <v>不适用</v>
      </c>
    </row>
  </sheetData>
  <autoFilter ref="A4:V19"/>
  <mergeCells count="2">
    <mergeCell ref="A1:V1"/>
    <mergeCell ref="A2:V2"/>
  </mergeCells>
  <conditionalFormatting sqref="V5:V19">
    <cfRule type="cellIs" priority="2" operator="equal" aboveAverage="0" equalAverage="0" bottom="0" percent="0" rank="0" text="" dxfId="3">
      <formula>"需实际费用授权"</formula>
    </cfRule>
  </conditionalFormatting>
  <printOptions headings="false" gridLines="false" gridLinesSet="true" horizontalCentered="tru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&amp;C第 &amp;P 页 / 共 &amp;N 页&amp;R内部预算工作底稿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6" min="16" style="0" width="20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19" min="19" style="0" width="15"/>
    <col collapsed="false" customWidth="true" hidden="false" outlineLevel="0" max="21" min="20" style="0" width="14"/>
    <col collapsed="false" customWidth="true" hidden="false" outlineLevel="0" max="22" min="22" style="0" width="19"/>
  </cols>
  <sheetData>
    <row r="1" customFormat="false" ht="31.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1.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3.75" hidden="false" customHeight="true" outlineLevel="0" collapsed="false">
      <c r="A4" s="3" t="s">
        <v>45</v>
      </c>
      <c r="B4" s="3" t="s">
        <v>2</v>
      </c>
      <c r="C4" s="3" t="s">
        <v>46</v>
      </c>
      <c r="D4" s="3" t="s">
        <v>47</v>
      </c>
      <c r="E4" s="3" t="s">
        <v>48</v>
      </c>
      <c r="F4" s="9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9" t="s">
        <v>55</v>
      </c>
      <c r="M4" s="3" t="s">
        <v>56</v>
      </c>
      <c r="N4" s="3" t="s">
        <v>57</v>
      </c>
      <c r="O4" s="3" t="s">
        <v>58</v>
      </c>
      <c r="P4" s="3" t="s">
        <v>23</v>
      </c>
      <c r="Q4" s="3" t="s">
        <v>59</v>
      </c>
      <c r="R4" s="3" t="s">
        <v>60</v>
      </c>
      <c r="S4" s="3" t="s">
        <v>61</v>
      </c>
      <c r="T4" s="3" t="s">
        <v>62</v>
      </c>
      <c r="U4" s="3" t="s">
        <v>63</v>
      </c>
      <c r="V4" s="3" t="s">
        <v>64</v>
      </c>
    </row>
    <row r="5" customFormat="false" ht="15" hidden="false" customHeight="false" outlineLevel="0" collapsed="false">
      <c r="A5" s="4" t="e">
        <f aca="false">rank.eq(M5,$M$5:$M$10,1)</f>
        <v>#NAME?</v>
      </c>
      <c r="B5" s="4" t="s">
        <v>24</v>
      </c>
      <c r="C5" s="4" t="n">
        <v>18</v>
      </c>
      <c r="D5" s="6" t="n">
        <f aca="false">SUMIF(Daily!$A$5:$A$19,B5,Daily!$H$5:$H$19)</f>
        <v>872</v>
      </c>
      <c r="E5" s="6" t="n">
        <f aca="false">SUMIF(Daily!$A$5:$A$19,B5,Daily!$J$5:$J$19)</f>
        <v>104.64</v>
      </c>
      <c r="F5" s="6" t="n">
        <f aca="false">SUMIF(Daily!$A$5:$A$19,B5,Daily!$S$5:$S$19)</f>
        <v>234</v>
      </c>
      <c r="G5" s="6" t="n">
        <v>410</v>
      </c>
      <c r="H5" s="6" t="n">
        <v>80</v>
      </c>
      <c r="I5" s="6" t="n">
        <v>180</v>
      </c>
      <c r="J5" s="6" t="n">
        <v>9500</v>
      </c>
      <c r="K5" s="6" t="n">
        <f aca="false">C5*SUM(D5:I5)+J5</f>
        <v>43351.52</v>
      </c>
      <c r="L5" s="6" t="n">
        <f aca="false">K5*5%</f>
        <v>2167.576</v>
      </c>
      <c r="M5" s="6" t="n">
        <f aca="false">K5+L5</f>
        <v>45519.096</v>
      </c>
      <c r="N5" s="6" t="n">
        <f aca="false">53000-M5</f>
        <v>7480.904</v>
      </c>
      <c r="O5" s="6" t="str">
        <f aca="false">IF(N5&gt;=0,"总额内","超总额")</f>
        <v>总额内</v>
      </c>
      <c r="P5" s="6" t="str">
        <f aca="false">IF(COUNTIFS(Daily!$A$5:$A$19,B5,Daily!$V$5:$V$19,"需实际费用授权")=0,"全部报价≤上限","需实际费用授权")</f>
        <v>全部报价≤上限</v>
      </c>
      <c r="Q5" s="6" t="n">
        <f aca="false">K5+C5*G5*20%</f>
        <v>44827.52</v>
      </c>
      <c r="R5" s="6" t="n">
        <f aca="false">Q5*5%</f>
        <v>2241.376</v>
      </c>
      <c r="S5" s="6" t="n">
        <f aca="false">Q5+R5</f>
        <v>47068.896</v>
      </c>
      <c r="T5" s="6" t="n">
        <f aca="false">53000-S5</f>
        <v>5931.10399999999</v>
      </c>
      <c r="U5" s="4" t="str">
        <f aca="false">IF(T5&gt;=0,"压力总额内","压力超总额")</f>
        <v>压力总额内</v>
      </c>
      <c r="V5" s="4" t="str">
        <f aca="false">IF(AND(C5=24,N5&gt;=0),"原总额口径候选",IF(AND(C5=18,N5&gt;=0),"人数次选","不可行"))</f>
        <v>人数次选</v>
      </c>
    </row>
    <row r="6" customFormat="false" ht="15" hidden="false" customHeight="false" outlineLevel="0" collapsed="false">
      <c r="A6" s="4" t="e">
        <f aca="false">rank.eq(M6,$M$5:$M$10,1)</f>
        <v>#NAME?</v>
      </c>
      <c r="B6" s="4" t="s">
        <v>24</v>
      </c>
      <c r="C6" s="4" t="n">
        <v>24</v>
      </c>
      <c r="D6" s="6" t="n">
        <f aca="false">SUMIF(Daily!$A$5:$A$19,B6,Daily!$H$5:$H$19)</f>
        <v>872</v>
      </c>
      <c r="E6" s="6" t="n">
        <f aca="false">SUMIF(Daily!$A$5:$A$19,B6,Daily!$J$5:$J$19)</f>
        <v>104.64</v>
      </c>
      <c r="F6" s="6" t="n">
        <f aca="false">SUMIF(Daily!$A$5:$A$19,B6,Daily!$S$5:$S$19)</f>
        <v>234</v>
      </c>
      <c r="G6" s="6" t="n">
        <v>410</v>
      </c>
      <c r="H6" s="6" t="n">
        <v>80</v>
      </c>
      <c r="I6" s="6" t="n">
        <v>180</v>
      </c>
      <c r="J6" s="6" t="n">
        <v>9500</v>
      </c>
      <c r="K6" s="6" t="n">
        <f aca="false">C6*SUM(D6:I6)+J6</f>
        <v>54635.36</v>
      </c>
      <c r="L6" s="6" t="n">
        <f aca="false">K6*5%</f>
        <v>2731.768</v>
      </c>
      <c r="M6" s="6" t="n">
        <f aca="false">K6+L6</f>
        <v>57367.128</v>
      </c>
      <c r="N6" s="6" t="n">
        <f aca="false">53000-M6</f>
        <v>-4367.128</v>
      </c>
      <c r="O6" s="6" t="str">
        <f aca="false">IF(N6&gt;=0,"总额内","超总额")</f>
        <v>超总额</v>
      </c>
      <c r="P6" s="6" t="str">
        <f aca="false">IF(COUNTIFS(Daily!$A$5:$A$19,B6,Daily!$V$5:$V$19,"需实际费用授权")=0,"全部报价≤上限","需实际费用授权")</f>
        <v>全部报价≤上限</v>
      </c>
      <c r="Q6" s="6" t="n">
        <f aca="false">K6+C6*G6*20%</f>
        <v>56603.36</v>
      </c>
      <c r="R6" s="6" t="n">
        <f aca="false">Q6*5%</f>
        <v>2830.168</v>
      </c>
      <c r="S6" s="6" t="n">
        <f aca="false">Q6+R6</f>
        <v>59433.528</v>
      </c>
      <c r="T6" s="6" t="n">
        <f aca="false">53000-S6</f>
        <v>-6433.528</v>
      </c>
      <c r="U6" s="4" t="str">
        <f aca="false">IF(T6&gt;=0,"压力总额内","压力超总额")</f>
        <v>压力超总额</v>
      </c>
      <c r="V6" s="4" t="str">
        <f aca="false">IF(AND(C6=24,N6&gt;=0),"原总额口径候选",IF(AND(C6=18,N6&gt;=0),"人数次选","不可行"))</f>
        <v>不可行</v>
      </c>
    </row>
    <row r="7" customFormat="false" ht="15" hidden="false" customHeight="false" outlineLevel="0" collapsed="false">
      <c r="A7" s="4" t="e">
        <f aca="false">rank.eq(M7,$M$5:$M$10,1)</f>
        <v>#NAME?</v>
      </c>
      <c r="B7" s="4" t="s">
        <v>39</v>
      </c>
      <c r="C7" s="4" t="n">
        <v>18</v>
      </c>
      <c r="D7" s="6" t="n">
        <f aca="false">SUMIF(Daily!$A$5:$A$19,B7,Daily!$H$5:$H$19)</f>
        <v>836</v>
      </c>
      <c r="E7" s="6" t="n">
        <f aca="false">SUMIF(Daily!$A$5:$A$19,B7,Daily!$J$5:$J$19)</f>
        <v>100.32</v>
      </c>
      <c r="F7" s="6" t="n">
        <f aca="false">SUMIF(Daily!$A$5:$A$19,B7,Daily!$S$5:$S$19)</f>
        <v>234</v>
      </c>
      <c r="G7" s="6" t="n">
        <v>340</v>
      </c>
      <c r="H7" s="6" t="n">
        <v>70</v>
      </c>
      <c r="I7" s="6" t="n">
        <v>180</v>
      </c>
      <c r="J7" s="6" t="n">
        <v>10500</v>
      </c>
      <c r="K7" s="6" t="n">
        <f aca="false">C7*SUM(D7:I7)+J7</f>
        <v>42185.76</v>
      </c>
      <c r="L7" s="6" t="n">
        <f aca="false">K7*5%</f>
        <v>2109.288</v>
      </c>
      <c r="M7" s="6" t="n">
        <f aca="false">K7+L7</f>
        <v>44295.048</v>
      </c>
      <c r="N7" s="6" t="n">
        <f aca="false">53000-M7</f>
        <v>8704.95200000001</v>
      </c>
      <c r="O7" s="6" t="str">
        <f aca="false">IF(N7&gt;=0,"总额内","超总额")</f>
        <v>总额内</v>
      </c>
      <c r="P7" s="6" t="str">
        <f aca="false">IF(COUNTIFS(Daily!$A$5:$A$19,B7,Daily!$V$5:$V$19,"需实际费用授权")=0,"全部报价≤上限","需实际费用授权")</f>
        <v>全部报价≤上限</v>
      </c>
      <c r="Q7" s="6" t="n">
        <f aca="false">K7+C7*G7*20%</f>
        <v>43409.76</v>
      </c>
      <c r="R7" s="6" t="n">
        <f aca="false">Q7*5%</f>
        <v>2170.488</v>
      </c>
      <c r="S7" s="6" t="n">
        <f aca="false">Q7+R7</f>
        <v>45580.248</v>
      </c>
      <c r="T7" s="6" t="n">
        <f aca="false">53000-S7</f>
        <v>7419.75200000001</v>
      </c>
      <c r="U7" s="4" t="str">
        <f aca="false">IF(T7&gt;=0,"压力总额内","压力超总额")</f>
        <v>压力总额内</v>
      </c>
      <c r="V7" s="4" t="str">
        <f aca="false">IF(AND(C7=24,N7&gt;=0),"原总额口径候选",IF(AND(C7=18,N7&gt;=0),"人数次选","不可行"))</f>
        <v>人数次选</v>
      </c>
    </row>
    <row r="8" customFormat="false" ht="15" hidden="false" customHeight="false" outlineLevel="0" collapsed="false">
      <c r="A8" s="4" t="e">
        <f aca="false">rank.eq(M8,$M$5:$M$10,1)</f>
        <v>#NAME?</v>
      </c>
      <c r="B8" s="4" t="s">
        <v>39</v>
      </c>
      <c r="C8" s="4" t="n">
        <v>24</v>
      </c>
      <c r="D8" s="6" t="n">
        <f aca="false">SUMIF(Daily!$A$5:$A$19,B8,Daily!$H$5:$H$19)</f>
        <v>836</v>
      </c>
      <c r="E8" s="6" t="n">
        <f aca="false">SUMIF(Daily!$A$5:$A$19,B8,Daily!$J$5:$J$19)</f>
        <v>100.32</v>
      </c>
      <c r="F8" s="6" t="n">
        <f aca="false">SUMIF(Daily!$A$5:$A$19,B8,Daily!$S$5:$S$19)</f>
        <v>234</v>
      </c>
      <c r="G8" s="6" t="n">
        <v>340</v>
      </c>
      <c r="H8" s="6" t="n">
        <v>70</v>
      </c>
      <c r="I8" s="6" t="n">
        <v>180</v>
      </c>
      <c r="J8" s="6" t="n">
        <v>10500</v>
      </c>
      <c r="K8" s="6" t="n">
        <f aca="false">C8*SUM(D8:I8)+J8</f>
        <v>52747.68</v>
      </c>
      <c r="L8" s="6" t="n">
        <f aca="false">K8*5%</f>
        <v>2637.384</v>
      </c>
      <c r="M8" s="6" t="n">
        <f aca="false">K8+L8</f>
        <v>55385.064</v>
      </c>
      <c r="N8" s="6" t="n">
        <f aca="false">53000-M8</f>
        <v>-2385.064</v>
      </c>
      <c r="O8" s="6" t="str">
        <f aca="false">IF(N8&gt;=0,"总额内","超总额")</f>
        <v>超总额</v>
      </c>
      <c r="P8" s="6" t="str">
        <f aca="false">IF(COUNTIFS(Daily!$A$5:$A$19,B8,Daily!$V$5:$V$19,"需实际费用授权")=0,"全部报价≤上限","需实际费用授权")</f>
        <v>全部报价≤上限</v>
      </c>
      <c r="Q8" s="6" t="n">
        <f aca="false">K8+C8*G8*20%</f>
        <v>54379.68</v>
      </c>
      <c r="R8" s="6" t="n">
        <f aca="false">Q8*5%</f>
        <v>2718.984</v>
      </c>
      <c r="S8" s="6" t="n">
        <f aca="false">Q8+R8</f>
        <v>57098.664</v>
      </c>
      <c r="T8" s="6" t="n">
        <f aca="false">53000-S8</f>
        <v>-4098.664</v>
      </c>
      <c r="U8" s="4" t="str">
        <f aca="false">IF(T8&gt;=0,"压力总额内","压力超总额")</f>
        <v>压力超总额</v>
      </c>
      <c r="V8" s="4" t="str">
        <f aca="false">IF(AND(C8=24,N8&gt;=0),"原总额口径候选",IF(AND(C8=18,N8&gt;=0),"人数次选","不可行"))</f>
        <v>不可行</v>
      </c>
    </row>
    <row r="9" customFormat="false" ht="15" hidden="false" customHeight="false" outlineLevel="0" collapsed="false">
      <c r="A9" s="4" t="e">
        <f aca="false">rank.eq(M9,$M$5:$M$10,1)</f>
        <v>#NAME?</v>
      </c>
      <c r="B9" s="4" t="s">
        <v>41</v>
      </c>
      <c r="C9" s="4" t="n">
        <v>18</v>
      </c>
      <c r="D9" s="6" t="n">
        <f aca="false">SUMIF(Daily!$A$5:$A$19,B9,Daily!$H$5:$H$19)</f>
        <v>620</v>
      </c>
      <c r="E9" s="6" t="n">
        <f aca="false">SUMIF(Daily!$A$5:$A$19,B9,Daily!$J$5:$J$19)</f>
        <v>74.4</v>
      </c>
      <c r="F9" s="6" t="n">
        <f aca="false">SUMIF(Daily!$A$5:$A$19,B9,Daily!$S$5:$S$19)</f>
        <v>223</v>
      </c>
      <c r="G9" s="6" t="n">
        <v>510</v>
      </c>
      <c r="H9" s="6" t="n">
        <v>90</v>
      </c>
      <c r="I9" s="6" t="n">
        <v>180</v>
      </c>
      <c r="J9" s="6" t="n">
        <v>8000</v>
      </c>
      <c r="K9" s="6" t="n">
        <f aca="false">C9*SUM(D9:I9)+J9</f>
        <v>38553.2</v>
      </c>
      <c r="L9" s="6" t="n">
        <f aca="false">K9*5%</f>
        <v>1927.66</v>
      </c>
      <c r="M9" s="6" t="n">
        <f aca="false">K9+L9</f>
        <v>40480.86</v>
      </c>
      <c r="N9" s="6" t="n">
        <f aca="false">53000-M9</f>
        <v>12519.14</v>
      </c>
      <c r="O9" s="6" t="str">
        <f aca="false">IF(N9&gt;=0,"总额内","超总额")</f>
        <v>总额内</v>
      </c>
      <c r="P9" s="6" t="str">
        <f aca="false">IF(COUNTIFS(Daily!$A$5:$A$19,B9,Daily!$V$5:$V$19,"需实际费用授权")=0,"全部报价≤上限","需实际费用授权")</f>
        <v>全部报价≤上限</v>
      </c>
      <c r="Q9" s="6" t="n">
        <f aca="false">K9+C9*G9*20%</f>
        <v>40389.2</v>
      </c>
      <c r="R9" s="6" t="n">
        <f aca="false">Q9*5%</f>
        <v>2019.46</v>
      </c>
      <c r="S9" s="6" t="n">
        <f aca="false">Q9+R9</f>
        <v>42408.66</v>
      </c>
      <c r="T9" s="6" t="n">
        <f aca="false">53000-S9</f>
        <v>10591.34</v>
      </c>
      <c r="U9" s="4" t="str">
        <f aca="false">IF(T9&gt;=0,"压力总额内","压力超总额")</f>
        <v>压力总额内</v>
      </c>
      <c r="V9" s="4" t="str">
        <f aca="false">IF(AND(C9=24,N9&gt;=0),"原总额口径候选",IF(AND(C9=18,N9&gt;=0),"人数次选","不可行"))</f>
        <v>人数次选</v>
      </c>
    </row>
    <row r="10" customFormat="false" ht="15" hidden="false" customHeight="false" outlineLevel="0" collapsed="false">
      <c r="A10" s="4" t="e">
        <f aca="false">rank.eq(M10,$M$5:$M$10,1)</f>
        <v>#NAME?</v>
      </c>
      <c r="B10" s="4" t="s">
        <v>41</v>
      </c>
      <c r="C10" s="4" t="n">
        <v>24</v>
      </c>
      <c r="D10" s="6" t="n">
        <f aca="false">SUMIF(Daily!$A$5:$A$19,B10,Daily!$H$5:$H$19)</f>
        <v>620</v>
      </c>
      <c r="E10" s="6" t="n">
        <f aca="false">SUMIF(Daily!$A$5:$A$19,B10,Daily!$J$5:$J$19)</f>
        <v>74.4</v>
      </c>
      <c r="F10" s="6" t="n">
        <f aca="false">SUMIF(Daily!$A$5:$A$19,B10,Daily!$S$5:$S$19)</f>
        <v>223</v>
      </c>
      <c r="G10" s="6" t="n">
        <v>510</v>
      </c>
      <c r="H10" s="6" t="n">
        <v>90</v>
      </c>
      <c r="I10" s="6" t="n">
        <v>180</v>
      </c>
      <c r="J10" s="6" t="n">
        <v>8000</v>
      </c>
      <c r="K10" s="6" t="n">
        <f aca="false">C10*SUM(D10:I10)+J10</f>
        <v>48737.6</v>
      </c>
      <c r="L10" s="6" t="n">
        <f aca="false">K10*5%</f>
        <v>2436.88</v>
      </c>
      <c r="M10" s="6" t="n">
        <f aca="false">K10+L10</f>
        <v>51174.48</v>
      </c>
      <c r="N10" s="6" t="n">
        <f aca="false">53000-M10</f>
        <v>1825.52</v>
      </c>
      <c r="O10" s="6" t="str">
        <f aca="false">IF(N10&gt;=0,"总额内","超总额")</f>
        <v>总额内</v>
      </c>
      <c r="P10" s="6" t="str">
        <f aca="false">IF(COUNTIFS(Daily!$A$5:$A$19,B10,Daily!$V$5:$V$19,"需实际费用授权")=0,"全部报价≤上限","需实际费用授权")</f>
        <v>全部报价≤上限</v>
      </c>
      <c r="Q10" s="6" t="n">
        <f aca="false">K10+C10*G10*20%</f>
        <v>51185.6</v>
      </c>
      <c r="R10" s="6" t="n">
        <f aca="false">Q10*5%</f>
        <v>2559.28</v>
      </c>
      <c r="S10" s="6" t="n">
        <f aca="false">Q10+R10</f>
        <v>53744.88</v>
      </c>
      <c r="T10" s="6" t="n">
        <f aca="false">53000-S10</f>
        <v>-744.880000000005</v>
      </c>
      <c r="U10" s="4" t="str">
        <f aca="false">IF(T10&gt;=0,"压力总额内","压力超总额")</f>
        <v>压力超总额</v>
      </c>
      <c r="V10" s="4" t="str">
        <f aca="false">IF(AND(C10=24,N10&gt;=0),"原总额口径候选",IF(AND(C10=18,N10&gt;=0),"人数次选","不可行"))</f>
        <v>原总额口径候选</v>
      </c>
    </row>
  </sheetData>
  <autoFilter ref="A4:V10"/>
  <mergeCells count="2">
    <mergeCell ref="A1:V1"/>
    <mergeCell ref="A2:V2"/>
  </mergeCells>
  <conditionalFormatting sqref="N5:N10">
    <cfRule type="cellIs" priority="2" operator="lessThan" aboveAverage="0" equalAverage="0" bottom="0" percent="0" rank="0" text="" dxfId="3">
      <formula>0</formula>
    </cfRule>
  </conditionalFormatting>
  <conditionalFormatting sqref="T5:T10">
    <cfRule type="cellIs" priority="3" operator="lessThan" aboveAverage="0" equalAverage="0" bottom="0" percent="0" rank="0" text="" dxfId="3">
      <formula>0</formula>
    </cfRule>
  </conditionalFormatting>
  <printOptions headings="false" gridLines="false" gridLinesSet="true" horizontalCentered="tru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&amp;C第 &amp;P 页 / 共 &amp;N 页&amp;R内部预算工作底稿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5" min="14" style="0" width="20"/>
    <col collapsed="false" customWidth="true" hidden="false" outlineLevel="0" max="17" min="16" style="0" width="17"/>
    <col collapsed="false" customWidth="true" hidden="false" outlineLevel="0" max="19" min="18" style="0" width="18"/>
    <col collapsed="false" customWidth="true" hidden="false" outlineLevel="0" max="20" min="20" style="0" width="28"/>
  </cols>
  <sheetData>
    <row r="1" customFormat="false" ht="31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1.5" hidden="false" customHeight="tru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3.75" hidden="false" customHeight="true" outlineLevel="0" collapsed="false">
      <c r="A4" s="3" t="s">
        <v>2</v>
      </c>
      <c r="B4" s="3" t="s">
        <v>46</v>
      </c>
      <c r="C4" s="3" t="s">
        <v>67</v>
      </c>
      <c r="D4" s="9" t="s">
        <v>68</v>
      </c>
      <c r="E4" s="9" t="s">
        <v>69</v>
      </c>
      <c r="F4" s="9" t="s">
        <v>70</v>
      </c>
      <c r="G4" s="9" t="s">
        <v>71</v>
      </c>
      <c r="H4" s="9" t="s">
        <v>72</v>
      </c>
      <c r="I4" s="9" t="s">
        <v>73</v>
      </c>
      <c r="J4" s="9" t="s">
        <v>74</v>
      </c>
      <c r="K4" s="9" t="s">
        <v>75</v>
      </c>
      <c r="L4" s="3" t="s">
        <v>76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 t="s">
        <v>83</v>
      </c>
      <c r="T4" s="3" t="s">
        <v>84</v>
      </c>
    </row>
    <row r="5" customFormat="false" ht="15" hidden="false" customHeight="false" outlineLevel="0" collapsed="false">
      <c r="A5" s="4" t="s">
        <v>24</v>
      </c>
      <c r="B5" s="4" t="n">
        <v>18</v>
      </c>
      <c r="C5" s="5" t="s">
        <v>85</v>
      </c>
      <c r="D5" s="6" t="n">
        <f aca="false">18*(410*100%+80/2+180*2/3+SUMIFS(Daily!$H$5:$H$19,Daily!$A$5:$A$19,A5,Daily!$D$5:$D$19,"FY2025")+SUMIFS(Daily!$J$5:$J$19,Daily!$A$5:$A$19,A5,Daily!$D$5:$D$19,"FY2025")+SUMIFS(Daily!$S$5:$S$19,Daily!$A$5:$A$19,A5,Daily!$D$5:$D$19,"FY2025"))+9500</f>
        <v>35878.64</v>
      </c>
      <c r="E5" s="6" t="n">
        <f aca="false">D5*5%</f>
        <v>1793.932</v>
      </c>
      <c r="F5" s="6" t="n">
        <f aca="false">D5+E5</f>
        <v>37672.572</v>
      </c>
      <c r="G5" s="6" t="n">
        <f aca="false">41000-F5</f>
        <v>3327.428</v>
      </c>
      <c r="H5" s="6" t="n">
        <f aca="false">18*(80/2+180/3+SUMIFS(Daily!$H$5:$H$19,Daily!$A$5:$A$19,A5,Daily!$D$5:$D$19,"FY2026")+SUMIFS(Daily!$J$5:$J$19,Daily!$A$5:$A$19,A5,Daily!$D$5:$D$19,"FY2026")+SUMIFS(Daily!$S$5:$S$19,Daily!$A$5:$A$19,A5,Daily!$D$5:$D$19,"FY2026"))</f>
        <v>7472.88</v>
      </c>
      <c r="I5" s="6" t="n">
        <f aca="false">H5*5%</f>
        <v>373.644</v>
      </c>
      <c r="J5" s="6" t="n">
        <f aca="false">H5+I5</f>
        <v>7846.524</v>
      </c>
      <c r="K5" s="6" t="n">
        <f aca="false">12000-J5</f>
        <v>4153.476</v>
      </c>
      <c r="L5" s="6" t="n">
        <f aca="false">F5+J5</f>
        <v>45519.096</v>
      </c>
      <c r="M5" s="6" t="n">
        <f aca="false">53000-L5</f>
        <v>7480.904</v>
      </c>
      <c r="N5" s="6" t="n">
        <f aca="false">MAX(0,F5-41000)</f>
        <v>0</v>
      </c>
      <c r="O5" s="4" t="str">
        <f aca="false">IF(AND(N5&lt;=1500,M5&gt;=0,J5&lt;=12000-N5),"是","否")</f>
        <v>是</v>
      </c>
      <c r="P5" s="6" t="n">
        <f aca="false">41000+N5</f>
        <v>41000</v>
      </c>
      <c r="Q5" s="6" t="n">
        <f aca="false">12000-N5</f>
        <v>12000</v>
      </c>
      <c r="R5" s="6" t="n">
        <f aca="false">P5-F5</f>
        <v>3327.428</v>
      </c>
      <c r="S5" s="6" t="n">
        <f aca="false">Q5-J5</f>
        <v>4153.476</v>
      </c>
      <c r="T5" s="4" t="str">
        <f aca="false">IF(O5="是",IF(N5=0,"无需调整可行","调整获批后可行"),IF(M5&lt;0,"总额超限，无解",IF(N5&gt;1500,"FY2025缺口超调整上限，无解","FY2026移出额度后不足，无解")))</f>
        <v>无需调整可行</v>
      </c>
    </row>
    <row r="6" customFormat="false" ht="15" hidden="false" customHeight="false" outlineLevel="0" collapsed="false">
      <c r="A6" s="4" t="s">
        <v>24</v>
      </c>
      <c r="B6" s="4" t="n">
        <v>18</v>
      </c>
      <c r="C6" s="5" t="s">
        <v>86</v>
      </c>
      <c r="D6" s="6" t="n">
        <f aca="false">18*(410*120%+80/2+180*2/3+SUMIFS(Daily!$H$5:$H$19,Daily!$A$5:$A$19,A6,Daily!$D$5:$D$19,"FY2025")+SUMIFS(Daily!$J$5:$J$19,Daily!$A$5:$A$19,A6,Daily!$D$5:$D$19,"FY2025")+SUMIFS(Daily!$S$5:$S$19,Daily!$A$5:$A$19,A6,Daily!$D$5:$D$19,"FY2025"))+9500</f>
        <v>37354.64</v>
      </c>
      <c r="E6" s="6" t="n">
        <f aca="false">D6*5%</f>
        <v>1867.732</v>
      </c>
      <c r="F6" s="6" t="n">
        <f aca="false">D6+E6</f>
        <v>39222.372</v>
      </c>
      <c r="G6" s="6" t="n">
        <f aca="false">41000-F6</f>
        <v>1777.628</v>
      </c>
      <c r="H6" s="6" t="n">
        <f aca="false">18*(80/2+180/3+SUMIFS(Daily!$H$5:$H$19,Daily!$A$5:$A$19,A6,Daily!$D$5:$D$19,"FY2026")+SUMIFS(Daily!$J$5:$J$19,Daily!$A$5:$A$19,A6,Daily!$D$5:$D$19,"FY2026")+SUMIFS(Daily!$S$5:$S$19,Daily!$A$5:$A$19,A6,Daily!$D$5:$D$19,"FY2026"))</f>
        <v>7472.88</v>
      </c>
      <c r="I6" s="6" t="n">
        <f aca="false">H6*5%</f>
        <v>373.644</v>
      </c>
      <c r="J6" s="6" t="n">
        <f aca="false">H6+I6</f>
        <v>7846.524</v>
      </c>
      <c r="K6" s="6" t="n">
        <f aca="false">12000-J6</f>
        <v>4153.476</v>
      </c>
      <c r="L6" s="6" t="n">
        <f aca="false">F6+J6</f>
        <v>47068.896</v>
      </c>
      <c r="M6" s="6" t="n">
        <f aca="false">53000-L6</f>
        <v>5931.104</v>
      </c>
      <c r="N6" s="6" t="n">
        <f aca="false">MAX(0,F6-41000)</f>
        <v>0</v>
      </c>
      <c r="O6" s="4" t="str">
        <f aca="false">IF(AND(N6&lt;=1500,M6&gt;=0,J6&lt;=12000-N6),"是","否")</f>
        <v>是</v>
      </c>
      <c r="P6" s="6" t="n">
        <f aca="false">41000+N6</f>
        <v>41000</v>
      </c>
      <c r="Q6" s="6" t="n">
        <f aca="false">12000-N6</f>
        <v>12000</v>
      </c>
      <c r="R6" s="6" t="n">
        <f aca="false">P6-F6</f>
        <v>1777.628</v>
      </c>
      <c r="S6" s="6" t="n">
        <f aca="false">Q6-J6</f>
        <v>4153.476</v>
      </c>
      <c r="T6" s="4" t="str">
        <f aca="false">IF(O6="是",IF(N6=0,"无需调整可行","调整获批后可行"),IF(M6&lt;0,"总额超限，无解",IF(N6&gt;1500,"FY2025缺口超调整上限，无解","FY2026移出额度后不足，无解")))</f>
        <v>无需调整可行</v>
      </c>
    </row>
    <row r="7" customFormat="false" ht="15" hidden="false" customHeight="false" outlineLevel="0" collapsed="false">
      <c r="A7" s="4" t="s">
        <v>24</v>
      </c>
      <c r="B7" s="4" t="n">
        <v>24</v>
      </c>
      <c r="C7" s="5" t="s">
        <v>85</v>
      </c>
      <c r="D7" s="6" t="n">
        <f aca="false">24*(410*100%+80/2+180*2/3+SUMIFS(Daily!$H$5:$H$19,Daily!$A$5:$A$19,A7,Daily!$D$5:$D$19,"FY2025")+SUMIFS(Daily!$J$5:$J$19,Daily!$A$5:$A$19,A7,Daily!$D$5:$D$19,"FY2025")+SUMIFS(Daily!$S$5:$S$19,Daily!$A$5:$A$19,A7,Daily!$D$5:$D$19,"FY2025"))+9500</f>
        <v>44671.52</v>
      </c>
      <c r="E7" s="6" t="n">
        <f aca="false">D7*5%</f>
        <v>2233.576</v>
      </c>
      <c r="F7" s="6" t="n">
        <f aca="false">D7+E7</f>
        <v>46905.096</v>
      </c>
      <c r="G7" s="6" t="n">
        <f aca="false">41000-F7</f>
        <v>-5905.09600000001</v>
      </c>
      <c r="H7" s="6" t="n">
        <f aca="false">24*(80/2+180/3+SUMIFS(Daily!$H$5:$H$19,Daily!$A$5:$A$19,A7,Daily!$D$5:$D$19,"FY2026")+SUMIFS(Daily!$J$5:$J$19,Daily!$A$5:$A$19,A7,Daily!$D$5:$D$19,"FY2026")+SUMIFS(Daily!$S$5:$S$19,Daily!$A$5:$A$19,A7,Daily!$D$5:$D$19,"FY2026"))</f>
        <v>9963.84</v>
      </c>
      <c r="I7" s="6" t="n">
        <f aca="false">H7*5%</f>
        <v>498.192</v>
      </c>
      <c r="J7" s="6" t="n">
        <f aca="false">H7+I7</f>
        <v>10462.032</v>
      </c>
      <c r="K7" s="6" t="n">
        <f aca="false">12000-J7</f>
        <v>1537.968</v>
      </c>
      <c r="L7" s="6" t="n">
        <f aca="false">F7+J7</f>
        <v>57367.128</v>
      </c>
      <c r="M7" s="6" t="n">
        <f aca="false">53000-L7</f>
        <v>-4367.128</v>
      </c>
      <c r="N7" s="6" t="n">
        <f aca="false">MAX(0,F7-41000)</f>
        <v>5905.09600000001</v>
      </c>
      <c r="O7" s="4" t="str">
        <f aca="false">IF(AND(N7&lt;=1500,M7&gt;=0,J7&lt;=12000-N7),"是","否")</f>
        <v>否</v>
      </c>
      <c r="P7" s="6" t="n">
        <f aca="false">41000+N7</f>
        <v>46905.096</v>
      </c>
      <c r="Q7" s="6" t="n">
        <f aca="false">12000-N7</f>
        <v>6094.904</v>
      </c>
      <c r="R7" s="6" t="n">
        <f aca="false">P7-F7</f>
        <v>0</v>
      </c>
      <c r="S7" s="6" t="n">
        <f aca="false">Q7-J7</f>
        <v>-4367.128</v>
      </c>
      <c r="T7" s="4" t="str">
        <f aca="false">IF(O7="是",IF(N7=0,"无需调整可行","调整获批后可行"),IF(M7&lt;0,"总额超限，无解",IF(N7&gt;1500,"FY2025缺口超调整上限，无解","FY2026移出额度后不足，无解")))</f>
        <v>总额超限，无解</v>
      </c>
    </row>
    <row r="8" customFormat="false" ht="15" hidden="false" customHeight="false" outlineLevel="0" collapsed="false">
      <c r="A8" s="4" t="s">
        <v>24</v>
      </c>
      <c r="B8" s="4" t="n">
        <v>24</v>
      </c>
      <c r="C8" s="5" t="s">
        <v>86</v>
      </c>
      <c r="D8" s="6" t="n">
        <f aca="false">24*(410*120%+80/2+180*2/3+SUMIFS(Daily!$H$5:$H$19,Daily!$A$5:$A$19,A8,Daily!$D$5:$D$19,"FY2025")+SUMIFS(Daily!$J$5:$J$19,Daily!$A$5:$A$19,A8,Daily!$D$5:$D$19,"FY2025")+SUMIFS(Daily!$S$5:$S$19,Daily!$A$5:$A$19,A8,Daily!$D$5:$D$19,"FY2025"))+9500</f>
        <v>46639.52</v>
      </c>
      <c r="E8" s="6" t="n">
        <f aca="false">D8*5%</f>
        <v>2331.976</v>
      </c>
      <c r="F8" s="6" t="n">
        <f aca="false">D8+E8</f>
        <v>48971.496</v>
      </c>
      <c r="G8" s="6" t="n">
        <f aca="false">41000-F8</f>
        <v>-7971.49600000001</v>
      </c>
      <c r="H8" s="6" t="n">
        <f aca="false">24*(80/2+180/3+SUMIFS(Daily!$H$5:$H$19,Daily!$A$5:$A$19,A8,Daily!$D$5:$D$19,"FY2026")+SUMIFS(Daily!$J$5:$J$19,Daily!$A$5:$A$19,A8,Daily!$D$5:$D$19,"FY2026")+SUMIFS(Daily!$S$5:$S$19,Daily!$A$5:$A$19,A8,Daily!$D$5:$D$19,"FY2026"))</f>
        <v>9963.84</v>
      </c>
      <c r="I8" s="6" t="n">
        <f aca="false">H8*5%</f>
        <v>498.192</v>
      </c>
      <c r="J8" s="6" t="n">
        <f aca="false">H8+I8</f>
        <v>10462.032</v>
      </c>
      <c r="K8" s="6" t="n">
        <f aca="false">12000-J8</f>
        <v>1537.968</v>
      </c>
      <c r="L8" s="6" t="n">
        <f aca="false">F8+J8</f>
        <v>59433.528</v>
      </c>
      <c r="M8" s="6" t="n">
        <f aca="false">53000-L8</f>
        <v>-6433.52800000001</v>
      </c>
      <c r="N8" s="6" t="n">
        <f aca="false">MAX(0,F8-41000)</f>
        <v>7971.49600000001</v>
      </c>
      <c r="O8" s="4" t="str">
        <f aca="false">IF(AND(N8&lt;=1500,M8&gt;=0,J8&lt;=12000-N8),"是","否")</f>
        <v>否</v>
      </c>
      <c r="P8" s="6" t="n">
        <f aca="false">41000+N8</f>
        <v>48971.496</v>
      </c>
      <c r="Q8" s="6" t="n">
        <f aca="false">12000-N8</f>
        <v>4028.50399999999</v>
      </c>
      <c r="R8" s="6" t="n">
        <f aca="false">P8-F8</f>
        <v>0</v>
      </c>
      <c r="S8" s="6" t="n">
        <f aca="false">Q8-J8</f>
        <v>-6433.52800000001</v>
      </c>
      <c r="T8" s="4" t="str">
        <f aca="false">IF(O8="是",IF(N8=0,"无需调整可行","调整获批后可行"),IF(M8&lt;0,"总额超限，无解",IF(N8&gt;1500,"FY2025缺口超调整上限，无解","FY2026移出额度后不足，无解")))</f>
        <v>总额超限，无解</v>
      </c>
    </row>
    <row r="9" customFormat="false" ht="15" hidden="false" customHeight="false" outlineLevel="0" collapsed="false">
      <c r="A9" s="4" t="s">
        <v>39</v>
      </c>
      <c r="B9" s="4" t="n">
        <v>18</v>
      </c>
      <c r="C9" s="5" t="s">
        <v>85</v>
      </c>
      <c r="D9" s="6" t="n">
        <f aca="false">18*(340*100%+70/2+180*2/3+SUMIFS(Daily!$H$5:$H$19,Daily!$A$5:$A$19,A9,Daily!$D$5:$D$19,"FY2025")+SUMIFS(Daily!$J$5:$J$19,Daily!$A$5:$A$19,A9,Daily!$D$5:$D$19,"FY2025")+SUMIFS(Daily!$S$5:$S$19,Daily!$A$5:$A$19,A9,Daily!$D$5:$D$19,"FY2025"))+10500</f>
        <v>34984.32</v>
      </c>
      <c r="E9" s="6" t="n">
        <f aca="false">D9*5%</f>
        <v>1749.216</v>
      </c>
      <c r="F9" s="6" t="n">
        <f aca="false">D9+E9</f>
        <v>36733.536</v>
      </c>
      <c r="G9" s="6" t="n">
        <f aca="false">41000-F9</f>
        <v>4266.464</v>
      </c>
      <c r="H9" s="6" t="n">
        <f aca="false">18*(70/2+180/3+SUMIFS(Daily!$H$5:$H$19,Daily!$A$5:$A$19,A9,Daily!$D$5:$D$19,"FY2026")+SUMIFS(Daily!$J$5:$J$19,Daily!$A$5:$A$19,A9,Daily!$D$5:$D$19,"FY2026")+SUMIFS(Daily!$S$5:$S$19,Daily!$A$5:$A$19,A9,Daily!$D$5:$D$19,"FY2026"))</f>
        <v>7201.44</v>
      </c>
      <c r="I9" s="6" t="n">
        <f aca="false">H9*5%</f>
        <v>360.072</v>
      </c>
      <c r="J9" s="6" t="n">
        <f aca="false">H9+I9</f>
        <v>7561.512</v>
      </c>
      <c r="K9" s="6" t="n">
        <f aca="false">12000-J9</f>
        <v>4438.488</v>
      </c>
      <c r="L9" s="6" t="n">
        <f aca="false">F9+J9</f>
        <v>44295.048</v>
      </c>
      <c r="M9" s="6" t="n">
        <f aca="false">53000-L9</f>
        <v>8704.952</v>
      </c>
      <c r="N9" s="6" t="n">
        <f aca="false">MAX(0,F9-41000)</f>
        <v>0</v>
      </c>
      <c r="O9" s="4" t="str">
        <f aca="false">IF(AND(N9&lt;=1500,M9&gt;=0,J9&lt;=12000-N9),"是","否")</f>
        <v>是</v>
      </c>
      <c r="P9" s="6" t="n">
        <f aca="false">41000+N9</f>
        <v>41000</v>
      </c>
      <c r="Q9" s="6" t="n">
        <f aca="false">12000-N9</f>
        <v>12000</v>
      </c>
      <c r="R9" s="6" t="n">
        <f aca="false">P9-F9</f>
        <v>4266.464</v>
      </c>
      <c r="S9" s="6" t="n">
        <f aca="false">Q9-J9</f>
        <v>4438.488</v>
      </c>
      <c r="T9" s="4" t="str">
        <f aca="false">IF(O9="是",IF(N9=0,"无需调整可行","调整获批后可行"),IF(M9&lt;0,"总额超限，无解",IF(N9&gt;1500,"FY2025缺口超调整上限，无解","FY2026移出额度后不足，无解")))</f>
        <v>无需调整可行</v>
      </c>
    </row>
    <row r="10" customFormat="false" ht="15" hidden="false" customHeight="false" outlineLevel="0" collapsed="false">
      <c r="A10" s="4" t="s">
        <v>39</v>
      </c>
      <c r="B10" s="4" t="n">
        <v>18</v>
      </c>
      <c r="C10" s="5" t="s">
        <v>86</v>
      </c>
      <c r="D10" s="6" t="n">
        <f aca="false">18*(340*120%+70/2+180*2/3+SUMIFS(Daily!$H$5:$H$19,Daily!$A$5:$A$19,A10,Daily!$D$5:$D$19,"FY2025")+SUMIFS(Daily!$J$5:$J$19,Daily!$A$5:$A$19,A10,Daily!$D$5:$D$19,"FY2025")+SUMIFS(Daily!$S$5:$S$19,Daily!$A$5:$A$19,A10,Daily!$D$5:$D$19,"FY2025"))+10500</f>
        <v>36208.32</v>
      </c>
      <c r="E10" s="6" t="n">
        <f aca="false">D10*5%</f>
        <v>1810.416</v>
      </c>
      <c r="F10" s="6" t="n">
        <f aca="false">D10+E10</f>
        <v>38018.736</v>
      </c>
      <c r="G10" s="6" t="n">
        <f aca="false">41000-F10</f>
        <v>2981.264</v>
      </c>
      <c r="H10" s="6" t="n">
        <f aca="false">18*(70/2+180/3+SUMIFS(Daily!$H$5:$H$19,Daily!$A$5:$A$19,A10,Daily!$D$5:$D$19,"FY2026")+SUMIFS(Daily!$J$5:$J$19,Daily!$A$5:$A$19,A10,Daily!$D$5:$D$19,"FY2026")+SUMIFS(Daily!$S$5:$S$19,Daily!$A$5:$A$19,A10,Daily!$D$5:$D$19,"FY2026"))</f>
        <v>7201.44</v>
      </c>
      <c r="I10" s="6" t="n">
        <f aca="false">H10*5%</f>
        <v>360.072</v>
      </c>
      <c r="J10" s="6" t="n">
        <f aca="false">H10+I10</f>
        <v>7561.512</v>
      </c>
      <c r="K10" s="6" t="n">
        <f aca="false">12000-J10</f>
        <v>4438.488</v>
      </c>
      <c r="L10" s="6" t="n">
        <f aca="false">F10+J10</f>
        <v>45580.248</v>
      </c>
      <c r="M10" s="6" t="n">
        <f aca="false">53000-L10</f>
        <v>7419.752</v>
      </c>
      <c r="N10" s="6" t="n">
        <f aca="false">MAX(0,F10-41000)</f>
        <v>0</v>
      </c>
      <c r="O10" s="4" t="str">
        <f aca="false">IF(AND(N10&lt;=1500,M10&gt;=0,J10&lt;=12000-N10),"是","否")</f>
        <v>是</v>
      </c>
      <c r="P10" s="6" t="n">
        <f aca="false">41000+N10</f>
        <v>41000</v>
      </c>
      <c r="Q10" s="6" t="n">
        <f aca="false">12000-N10</f>
        <v>12000</v>
      </c>
      <c r="R10" s="6" t="n">
        <f aca="false">P10-F10</f>
        <v>2981.264</v>
      </c>
      <c r="S10" s="6" t="n">
        <f aca="false">Q10-J10</f>
        <v>4438.488</v>
      </c>
      <c r="T10" s="4" t="str">
        <f aca="false">IF(O10="是",IF(N10=0,"无需调整可行","调整获批后可行"),IF(M10&lt;0,"总额超限，无解",IF(N10&gt;1500,"FY2025缺口超调整上限，无解","FY2026移出额度后不足，无解")))</f>
        <v>无需调整可行</v>
      </c>
    </row>
    <row r="11" customFormat="false" ht="15" hidden="false" customHeight="false" outlineLevel="0" collapsed="false">
      <c r="A11" s="4" t="s">
        <v>39</v>
      </c>
      <c r="B11" s="4" t="n">
        <v>24</v>
      </c>
      <c r="C11" s="5" t="s">
        <v>85</v>
      </c>
      <c r="D11" s="6" t="n">
        <f aca="false">24*(340*100%+70/2+180*2/3+SUMIFS(Daily!$H$5:$H$19,Daily!$A$5:$A$19,A11,Daily!$D$5:$D$19,"FY2025")+SUMIFS(Daily!$J$5:$J$19,Daily!$A$5:$A$19,A11,Daily!$D$5:$D$19,"FY2025")+SUMIFS(Daily!$S$5:$S$19,Daily!$A$5:$A$19,A11,Daily!$D$5:$D$19,"FY2025"))+10500</f>
        <v>43145.76</v>
      </c>
      <c r="E11" s="6" t="n">
        <f aca="false">D11*5%</f>
        <v>2157.288</v>
      </c>
      <c r="F11" s="6" t="n">
        <f aca="false">D11+E11</f>
        <v>45303.048</v>
      </c>
      <c r="G11" s="6" t="n">
        <f aca="false">41000-F11</f>
        <v>-4303.048</v>
      </c>
      <c r="H11" s="6" t="n">
        <f aca="false">24*(70/2+180/3+SUMIFS(Daily!$H$5:$H$19,Daily!$A$5:$A$19,A11,Daily!$D$5:$D$19,"FY2026")+SUMIFS(Daily!$J$5:$J$19,Daily!$A$5:$A$19,A11,Daily!$D$5:$D$19,"FY2026")+SUMIFS(Daily!$S$5:$S$19,Daily!$A$5:$A$19,A11,Daily!$D$5:$D$19,"FY2026"))</f>
        <v>9601.92</v>
      </c>
      <c r="I11" s="6" t="n">
        <f aca="false">H11*5%</f>
        <v>480.096</v>
      </c>
      <c r="J11" s="6" t="n">
        <f aca="false">H11+I11</f>
        <v>10082.016</v>
      </c>
      <c r="K11" s="6" t="n">
        <f aca="false">12000-J11</f>
        <v>1917.984</v>
      </c>
      <c r="L11" s="6" t="n">
        <f aca="false">F11+J11</f>
        <v>55385.064</v>
      </c>
      <c r="M11" s="6" t="n">
        <f aca="false">53000-L11</f>
        <v>-2385.064</v>
      </c>
      <c r="N11" s="6" t="n">
        <f aca="false">MAX(0,F11-41000)</f>
        <v>4303.048</v>
      </c>
      <c r="O11" s="4" t="str">
        <f aca="false">IF(AND(N11&lt;=1500,M11&gt;=0,J11&lt;=12000-N11),"是","否")</f>
        <v>否</v>
      </c>
      <c r="P11" s="6" t="n">
        <f aca="false">41000+N11</f>
        <v>45303.048</v>
      </c>
      <c r="Q11" s="6" t="n">
        <f aca="false">12000-N11</f>
        <v>7696.952</v>
      </c>
      <c r="R11" s="6" t="n">
        <f aca="false">P11-F11</f>
        <v>0</v>
      </c>
      <c r="S11" s="6" t="n">
        <f aca="false">Q11-J11</f>
        <v>-2385.064</v>
      </c>
      <c r="T11" s="4" t="str">
        <f aca="false">IF(O11="是",IF(N11=0,"无需调整可行","调整获批后可行"),IF(M11&lt;0,"总额超限，无解",IF(N11&gt;1500,"FY2025缺口超调整上限，无解","FY2026移出额度后不足，无解")))</f>
        <v>总额超限，无解</v>
      </c>
    </row>
    <row r="12" customFormat="false" ht="15" hidden="false" customHeight="false" outlineLevel="0" collapsed="false">
      <c r="A12" s="4" t="s">
        <v>39</v>
      </c>
      <c r="B12" s="4" t="n">
        <v>24</v>
      </c>
      <c r="C12" s="5" t="s">
        <v>86</v>
      </c>
      <c r="D12" s="6" t="n">
        <f aca="false">24*(340*120%+70/2+180*2/3+SUMIFS(Daily!$H$5:$H$19,Daily!$A$5:$A$19,A12,Daily!$D$5:$D$19,"FY2025")+SUMIFS(Daily!$J$5:$J$19,Daily!$A$5:$A$19,A12,Daily!$D$5:$D$19,"FY2025")+SUMIFS(Daily!$S$5:$S$19,Daily!$A$5:$A$19,A12,Daily!$D$5:$D$19,"FY2025"))+10500</f>
        <v>44777.76</v>
      </c>
      <c r="E12" s="6" t="n">
        <f aca="false">D12*5%</f>
        <v>2238.888</v>
      </c>
      <c r="F12" s="6" t="n">
        <f aca="false">D12+E12</f>
        <v>47016.648</v>
      </c>
      <c r="G12" s="6" t="n">
        <f aca="false">41000-F12</f>
        <v>-6016.648</v>
      </c>
      <c r="H12" s="6" t="n">
        <f aca="false">24*(70/2+180/3+SUMIFS(Daily!$H$5:$H$19,Daily!$A$5:$A$19,A12,Daily!$D$5:$D$19,"FY2026")+SUMIFS(Daily!$J$5:$J$19,Daily!$A$5:$A$19,A12,Daily!$D$5:$D$19,"FY2026")+SUMIFS(Daily!$S$5:$S$19,Daily!$A$5:$A$19,A12,Daily!$D$5:$D$19,"FY2026"))</f>
        <v>9601.92</v>
      </c>
      <c r="I12" s="6" t="n">
        <f aca="false">H12*5%</f>
        <v>480.096</v>
      </c>
      <c r="J12" s="6" t="n">
        <f aca="false">H12+I12</f>
        <v>10082.016</v>
      </c>
      <c r="K12" s="6" t="n">
        <f aca="false">12000-J12</f>
        <v>1917.984</v>
      </c>
      <c r="L12" s="6" t="n">
        <f aca="false">F12+J12</f>
        <v>57098.664</v>
      </c>
      <c r="M12" s="6" t="n">
        <f aca="false">53000-L12</f>
        <v>-4098.664</v>
      </c>
      <c r="N12" s="6" t="n">
        <f aca="false">MAX(0,F12-41000)</f>
        <v>6016.648</v>
      </c>
      <c r="O12" s="4" t="str">
        <f aca="false">IF(AND(N12&lt;=1500,M12&gt;=0,J12&lt;=12000-N12),"是","否")</f>
        <v>否</v>
      </c>
      <c r="P12" s="6" t="n">
        <f aca="false">41000+N12</f>
        <v>47016.648</v>
      </c>
      <c r="Q12" s="6" t="n">
        <f aca="false">12000-N12</f>
        <v>5983.352</v>
      </c>
      <c r="R12" s="6" t="n">
        <f aca="false">P12-F12</f>
        <v>0</v>
      </c>
      <c r="S12" s="6" t="n">
        <f aca="false">Q12-J12</f>
        <v>-4098.664</v>
      </c>
      <c r="T12" s="4" t="str">
        <f aca="false">IF(O12="是",IF(N12=0,"无需调整可行","调整获批后可行"),IF(M12&lt;0,"总额超限，无解",IF(N12&gt;1500,"FY2025缺口超调整上限，无解","FY2026移出额度后不足，无解")))</f>
        <v>总额超限，无解</v>
      </c>
    </row>
    <row r="13" customFormat="false" ht="15" hidden="false" customHeight="false" outlineLevel="0" collapsed="false">
      <c r="A13" s="4" t="s">
        <v>41</v>
      </c>
      <c r="B13" s="4" t="n">
        <v>18</v>
      </c>
      <c r="C13" s="5" t="s">
        <v>85</v>
      </c>
      <c r="D13" s="6" t="n">
        <f aca="false">18*(510*100%+90/2+180*2/3+SUMIFS(Daily!$H$5:$H$19,Daily!$A$5:$A$19,A13,Daily!$D$5:$D$19,"FY2025")+SUMIFS(Daily!$J$5:$J$19,Daily!$A$5:$A$19,A13,Daily!$D$5:$D$19,"FY2025")+SUMIFS(Daily!$S$5:$S$19,Daily!$A$5:$A$19,A13,Daily!$D$5:$D$19,"FY2025"))+8000</f>
        <v>32305.4</v>
      </c>
      <c r="E13" s="6" t="n">
        <f aca="false">D13*5%</f>
        <v>1615.27</v>
      </c>
      <c r="F13" s="6" t="n">
        <f aca="false">D13+E13</f>
        <v>33920.67</v>
      </c>
      <c r="G13" s="6" t="n">
        <f aca="false">41000-F13</f>
        <v>7079.33</v>
      </c>
      <c r="H13" s="6" t="n">
        <f aca="false">18*(90/2+180/3+SUMIFS(Daily!$H$5:$H$19,Daily!$A$5:$A$19,A13,Daily!$D$5:$D$19,"FY2026")+SUMIFS(Daily!$J$5:$J$19,Daily!$A$5:$A$19,A13,Daily!$D$5:$D$19,"FY2026")+SUMIFS(Daily!$S$5:$S$19,Daily!$A$5:$A$19,A13,Daily!$D$5:$D$19,"FY2026"))</f>
        <v>6247.8</v>
      </c>
      <c r="I13" s="6" t="n">
        <f aca="false">H13*5%</f>
        <v>312.39</v>
      </c>
      <c r="J13" s="6" t="n">
        <f aca="false">H13+I13</f>
        <v>6560.19</v>
      </c>
      <c r="K13" s="6" t="n">
        <f aca="false">12000-J13</f>
        <v>5439.81</v>
      </c>
      <c r="L13" s="6" t="n">
        <f aca="false">F13+J13</f>
        <v>40480.86</v>
      </c>
      <c r="M13" s="6" t="n">
        <f aca="false">53000-L13</f>
        <v>12519.14</v>
      </c>
      <c r="N13" s="6" t="n">
        <f aca="false">MAX(0,F13-41000)</f>
        <v>0</v>
      </c>
      <c r="O13" s="4" t="str">
        <f aca="false">IF(AND(N13&lt;=1500,M13&gt;=0,J13&lt;=12000-N13),"是","否")</f>
        <v>是</v>
      </c>
      <c r="P13" s="6" t="n">
        <f aca="false">41000+N13</f>
        <v>41000</v>
      </c>
      <c r="Q13" s="6" t="n">
        <f aca="false">12000-N13</f>
        <v>12000</v>
      </c>
      <c r="R13" s="6" t="n">
        <f aca="false">P13-F13</f>
        <v>7079.33</v>
      </c>
      <c r="S13" s="6" t="n">
        <f aca="false">Q13-J13</f>
        <v>5439.81</v>
      </c>
      <c r="T13" s="4" t="str">
        <f aca="false">IF(O13="是",IF(N13=0,"无需调整可行","调整获批后可行"),IF(M13&lt;0,"总额超限，无解",IF(N13&gt;1500,"FY2025缺口超调整上限，无解","FY2026移出额度后不足，无解")))</f>
        <v>无需调整可行</v>
      </c>
    </row>
    <row r="14" customFormat="false" ht="15" hidden="false" customHeight="false" outlineLevel="0" collapsed="false">
      <c r="A14" s="4" t="s">
        <v>41</v>
      </c>
      <c r="B14" s="4" t="n">
        <v>18</v>
      </c>
      <c r="C14" s="5" t="s">
        <v>86</v>
      </c>
      <c r="D14" s="6" t="n">
        <f aca="false">18*(510*120%+90/2+180*2/3+SUMIFS(Daily!$H$5:$H$19,Daily!$A$5:$A$19,A14,Daily!$D$5:$D$19,"FY2025")+SUMIFS(Daily!$J$5:$J$19,Daily!$A$5:$A$19,A14,Daily!$D$5:$D$19,"FY2025")+SUMIFS(Daily!$S$5:$S$19,Daily!$A$5:$A$19,A14,Daily!$D$5:$D$19,"FY2025"))+8000</f>
        <v>34141.4</v>
      </c>
      <c r="E14" s="6" t="n">
        <f aca="false">D14*5%</f>
        <v>1707.07</v>
      </c>
      <c r="F14" s="6" t="n">
        <f aca="false">D14+E14</f>
        <v>35848.47</v>
      </c>
      <c r="G14" s="6" t="n">
        <f aca="false">41000-F14</f>
        <v>5151.53000000001</v>
      </c>
      <c r="H14" s="6" t="n">
        <f aca="false">18*(90/2+180/3+SUMIFS(Daily!$H$5:$H$19,Daily!$A$5:$A$19,A14,Daily!$D$5:$D$19,"FY2026")+SUMIFS(Daily!$J$5:$J$19,Daily!$A$5:$A$19,A14,Daily!$D$5:$D$19,"FY2026")+SUMIFS(Daily!$S$5:$S$19,Daily!$A$5:$A$19,A14,Daily!$D$5:$D$19,"FY2026"))</f>
        <v>6247.8</v>
      </c>
      <c r="I14" s="6" t="n">
        <f aca="false">H14*5%</f>
        <v>312.39</v>
      </c>
      <c r="J14" s="6" t="n">
        <f aca="false">H14+I14</f>
        <v>6560.19</v>
      </c>
      <c r="K14" s="6" t="n">
        <f aca="false">12000-J14</f>
        <v>5439.81</v>
      </c>
      <c r="L14" s="6" t="n">
        <f aca="false">F14+J14</f>
        <v>42408.66</v>
      </c>
      <c r="M14" s="6" t="n">
        <f aca="false">53000-L14</f>
        <v>10591.34</v>
      </c>
      <c r="N14" s="6" t="n">
        <f aca="false">MAX(0,F14-41000)</f>
        <v>0</v>
      </c>
      <c r="O14" s="4" t="str">
        <f aca="false">IF(AND(N14&lt;=1500,M14&gt;=0,J14&lt;=12000-N14),"是","否")</f>
        <v>是</v>
      </c>
      <c r="P14" s="6" t="n">
        <f aca="false">41000+N14</f>
        <v>41000</v>
      </c>
      <c r="Q14" s="6" t="n">
        <f aca="false">12000-N14</f>
        <v>12000</v>
      </c>
      <c r="R14" s="6" t="n">
        <f aca="false">P14-F14</f>
        <v>5151.53000000001</v>
      </c>
      <c r="S14" s="6" t="n">
        <f aca="false">Q14-J14</f>
        <v>5439.81</v>
      </c>
      <c r="T14" s="4" t="str">
        <f aca="false">IF(O14="是",IF(N14=0,"无需调整可行","调整获批后可行"),IF(M14&lt;0,"总额超限，无解",IF(N14&gt;1500,"FY2025缺口超调整上限，无解","FY2026移出额度后不足，无解")))</f>
        <v>无需调整可行</v>
      </c>
    </row>
    <row r="15" customFormat="false" ht="15" hidden="false" customHeight="false" outlineLevel="0" collapsed="false">
      <c r="A15" s="4" t="s">
        <v>41</v>
      </c>
      <c r="B15" s="4" t="n">
        <v>24</v>
      </c>
      <c r="C15" s="5" t="s">
        <v>85</v>
      </c>
      <c r="D15" s="6" t="n">
        <f aca="false">24*(510*100%+90/2+180*2/3+SUMIFS(Daily!$H$5:$H$19,Daily!$A$5:$A$19,A15,Daily!$D$5:$D$19,"FY2025")+SUMIFS(Daily!$J$5:$J$19,Daily!$A$5:$A$19,A15,Daily!$D$5:$D$19,"FY2025")+SUMIFS(Daily!$S$5:$S$19,Daily!$A$5:$A$19,A15,Daily!$D$5:$D$19,"FY2025"))+8000</f>
        <v>40407.2</v>
      </c>
      <c r="E15" s="6" t="n">
        <f aca="false">D15*5%</f>
        <v>2020.36</v>
      </c>
      <c r="F15" s="6" t="n">
        <f aca="false">D15+E15</f>
        <v>42427.56</v>
      </c>
      <c r="G15" s="6" t="n">
        <f aca="false">41000-F15</f>
        <v>-1427.56</v>
      </c>
      <c r="H15" s="6" t="n">
        <f aca="false">24*(90/2+180/3+SUMIFS(Daily!$H$5:$H$19,Daily!$A$5:$A$19,A15,Daily!$D$5:$D$19,"FY2026")+SUMIFS(Daily!$J$5:$J$19,Daily!$A$5:$A$19,A15,Daily!$D$5:$D$19,"FY2026")+SUMIFS(Daily!$S$5:$S$19,Daily!$A$5:$A$19,A15,Daily!$D$5:$D$19,"FY2026"))</f>
        <v>8330.4</v>
      </c>
      <c r="I15" s="6" t="n">
        <f aca="false">H15*5%</f>
        <v>416.52</v>
      </c>
      <c r="J15" s="6" t="n">
        <f aca="false">H15+I15</f>
        <v>8746.92</v>
      </c>
      <c r="K15" s="6" t="n">
        <f aca="false">12000-J15</f>
        <v>3253.08</v>
      </c>
      <c r="L15" s="6" t="n">
        <f aca="false">F15+J15</f>
        <v>51174.48</v>
      </c>
      <c r="M15" s="6" t="n">
        <f aca="false">53000-L15</f>
        <v>1825.52</v>
      </c>
      <c r="N15" s="6" t="n">
        <f aca="false">MAX(0,F15-41000)</f>
        <v>1427.56</v>
      </c>
      <c r="O15" s="4" t="str">
        <f aca="false">IF(AND(N15&lt;=1500,M15&gt;=0,J15&lt;=12000-N15),"是","否")</f>
        <v>是</v>
      </c>
      <c r="P15" s="6" t="n">
        <f aca="false">41000+N15</f>
        <v>42427.56</v>
      </c>
      <c r="Q15" s="6" t="n">
        <f aca="false">12000-N15</f>
        <v>10572.44</v>
      </c>
      <c r="R15" s="6" t="n">
        <f aca="false">P15-F15</f>
        <v>0</v>
      </c>
      <c r="S15" s="6" t="n">
        <f aca="false">Q15-J15</f>
        <v>1825.52</v>
      </c>
      <c r="T15" s="4" t="str">
        <f aca="false">IF(O15="是",IF(N15=0,"无需调整可行","调整获批后可行"),IF(M15&lt;0,"总额超限，无解",IF(N15&gt;1500,"FY2025缺口超调整上限，无解","FY2026移出额度后不足，无解")))</f>
        <v>调整获批后可行</v>
      </c>
    </row>
    <row r="16" customFormat="false" ht="15" hidden="false" customHeight="false" outlineLevel="0" collapsed="false">
      <c r="A16" s="4" t="s">
        <v>41</v>
      </c>
      <c r="B16" s="4" t="n">
        <v>24</v>
      </c>
      <c r="C16" s="5" t="s">
        <v>86</v>
      </c>
      <c r="D16" s="6" t="n">
        <f aca="false">24*(510*120%+90/2+180*2/3+SUMIFS(Daily!$H$5:$H$19,Daily!$A$5:$A$19,A16,Daily!$D$5:$D$19,"FY2025")+SUMIFS(Daily!$J$5:$J$19,Daily!$A$5:$A$19,A16,Daily!$D$5:$D$19,"FY2025")+SUMIFS(Daily!$S$5:$S$19,Daily!$A$5:$A$19,A16,Daily!$D$5:$D$19,"FY2025"))+8000</f>
        <v>42855.2</v>
      </c>
      <c r="E16" s="6" t="n">
        <f aca="false">D16*5%</f>
        <v>2142.76</v>
      </c>
      <c r="F16" s="6" t="n">
        <f aca="false">D16+E16</f>
        <v>44997.96</v>
      </c>
      <c r="G16" s="6" t="n">
        <f aca="false">41000-F16</f>
        <v>-3997.96</v>
      </c>
      <c r="H16" s="6" t="n">
        <f aca="false">24*(90/2+180/3+SUMIFS(Daily!$H$5:$H$19,Daily!$A$5:$A$19,A16,Daily!$D$5:$D$19,"FY2026")+SUMIFS(Daily!$J$5:$J$19,Daily!$A$5:$A$19,A16,Daily!$D$5:$D$19,"FY2026")+SUMIFS(Daily!$S$5:$S$19,Daily!$A$5:$A$19,A16,Daily!$D$5:$D$19,"FY2026"))</f>
        <v>8330.4</v>
      </c>
      <c r="I16" s="6" t="n">
        <f aca="false">H16*5%</f>
        <v>416.52</v>
      </c>
      <c r="J16" s="6" t="n">
        <f aca="false">H16+I16</f>
        <v>8746.92</v>
      </c>
      <c r="K16" s="6" t="n">
        <f aca="false">12000-J16</f>
        <v>3253.08</v>
      </c>
      <c r="L16" s="6" t="n">
        <f aca="false">F16+J16</f>
        <v>53744.88</v>
      </c>
      <c r="M16" s="6" t="n">
        <f aca="false">53000-L16</f>
        <v>-744.880000000005</v>
      </c>
      <c r="N16" s="6" t="n">
        <f aca="false">MAX(0,F16-41000)</f>
        <v>3997.96</v>
      </c>
      <c r="O16" s="4" t="str">
        <f aca="false">IF(AND(N16&lt;=1500,M16&gt;=0,J16&lt;=12000-N16),"是","否")</f>
        <v>否</v>
      </c>
      <c r="P16" s="6" t="n">
        <f aca="false">41000+N16</f>
        <v>44997.96</v>
      </c>
      <c r="Q16" s="6" t="n">
        <f aca="false">12000-N16</f>
        <v>8002.04</v>
      </c>
      <c r="R16" s="6" t="n">
        <f aca="false">P16-F16</f>
        <v>0</v>
      </c>
      <c r="S16" s="6" t="n">
        <f aca="false">Q16-J16</f>
        <v>-744.880000000001</v>
      </c>
      <c r="T16" s="4" t="str">
        <f aca="false">IF(O16="是",IF(N16=0,"无需调整可行","调整获批后可行"),IF(M16&lt;0,"总额超限，无解",IF(N16&gt;1500,"FY2025缺口超调整上限，无解","FY2026移出额度后不足，无解")))</f>
        <v>总额超限，无解</v>
      </c>
    </row>
  </sheetData>
  <autoFilter ref="A4:T16"/>
  <mergeCells count="2">
    <mergeCell ref="A1:T1"/>
    <mergeCell ref="A2:T2"/>
  </mergeCells>
  <conditionalFormatting sqref="G5:G16">
    <cfRule type="cellIs" priority="2" operator="lessThan" aboveAverage="0" equalAverage="0" bottom="0" percent="0" rank="0" text="" dxfId="3">
      <formula>0</formula>
    </cfRule>
  </conditionalFormatting>
  <conditionalFormatting sqref="K5:K16">
    <cfRule type="cellIs" priority="3" operator="lessThan" aboveAverage="0" equalAverage="0" bottom="0" percent="0" rank="0" text="" dxfId="3">
      <formula>0</formula>
    </cfRule>
  </conditionalFormatting>
  <conditionalFormatting sqref="M5:M16">
    <cfRule type="cellIs" priority="4" operator="lessThan" aboveAverage="0" equalAverage="0" bottom="0" percent="0" rank="0" text="" dxfId="3">
      <formula>0</formula>
    </cfRule>
  </conditionalFormatting>
  <conditionalFormatting sqref="R5:R16">
    <cfRule type="cellIs" priority="5" operator="lessThan" aboveAverage="0" equalAverage="0" bottom="0" percent="0" rank="0" text="" dxfId="3">
      <formula>0</formula>
    </cfRule>
  </conditionalFormatting>
  <conditionalFormatting sqref="S5:S16">
    <cfRule type="cellIs" priority="6" operator="lessThan" aboveAverage="0" equalAverage="0" bottom="0" percent="0" rank="0" text="" dxfId="3">
      <formula>0</formula>
    </cfRule>
  </conditionalFormatting>
  <printOptions headings="false" gridLines="false" gridLinesSet="true" horizontalCentered="tru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&amp;C第 &amp;P 页 / 共 &amp;N 页&amp;R内部预算工作底稿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42"/>
    <col collapsed="false" customWidth="true" hidden="false" outlineLevel="0" max="6" min="6" style="0" width="48"/>
  </cols>
  <sheetData>
    <row r="1" customFormat="false" ht="31.5" hidden="false" customHeight="true" outlineLevel="0" collapsed="false">
      <c r="A1" s="1" t="s">
        <v>87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10" t="s">
        <v>88</v>
      </c>
      <c r="B2" s="10"/>
      <c r="C2" s="10"/>
      <c r="D2" s="10"/>
      <c r="E2" s="10"/>
      <c r="F2" s="10"/>
    </row>
    <row r="4" customFormat="false" ht="33.75" hidden="false" customHeight="true" outlineLevel="0" collapsed="false">
      <c r="A4" s="9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</row>
    <row r="5" customFormat="false" ht="87.75" hidden="false" customHeight="true" outlineLevel="0" collapsed="false">
      <c r="A5" s="11" t="s">
        <v>95</v>
      </c>
      <c r="B5" s="12" t="s">
        <v>96</v>
      </c>
      <c r="C5" s="12" t="s">
        <v>97</v>
      </c>
      <c r="D5" s="11" t="s">
        <v>98</v>
      </c>
      <c r="E5" s="12" t="s">
        <v>99</v>
      </c>
      <c r="F5" s="12" t="s">
        <v>100</v>
      </c>
    </row>
    <row r="6" customFormat="false" ht="87.75" hidden="false" customHeight="true" outlineLevel="0" collapsed="false">
      <c r="A6" s="11" t="s">
        <v>101</v>
      </c>
      <c r="B6" s="12" t="s">
        <v>102</v>
      </c>
      <c r="C6" s="12" t="s">
        <v>97</v>
      </c>
      <c r="D6" s="11" t="s">
        <v>103</v>
      </c>
      <c r="E6" s="12" t="s">
        <v>104</v>
      </c>
      <c r="F6" s="12" t="s">
        <v>105</v>
      </c>
    </row>
  </sheetData>
  <autoFilter ref="A4:F6"/>
  <mergeCells count="2">
    <mergeCell ref="A1:F1"/>
    <mergeCell ref="A2:F2"/>
  </mergeCells>
  <printOptions headings="false" gridLines="false" gridLinesSet="true" horizontalCentered="tru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&amp;C第 &amp;P 页 / 共 &amp;N 页&amp;R内部预算工作底稿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  <col collapsed="false" customWidth="true" hidden="false" outlineLevel="0" max="3" min="3" style="0" width="42"/>
    <col collapsed="false" customWidth="true" hidden="false" outlineLevel="0" max="4" min="4" style="0" width="60"/>
    <col collapsed="false" customWidth="true" hidden="false" outlineLevel="0" max="5" min="5" style="0" width="58"/>
    <col collapsed="false" customWidth="true" hidden="false" outlineLevel="0" max="6" min="6" style="0" width="34"/>
  </cols>
  <sheetData>
    <row r="1" customFormat="false" ht="31.5" hidden="false" customHeight="true" outlineLevel="0" collapsed="false">
      <c r="A1" s="1" t="s">
        <v>106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107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108</v>
      </c>
      <c r="B4" s="3" t="s">
        <v>109</v>
      </c>
      <c r="C4" s="3" t="s">
        <v>110</v>
      </c>
      <c r="D4" s="3" t="s">
        <v>111</v>
      </c>
      <c r="E4" s="3" t="s">
        <v>112</v>
      </c>
      <c r="F4" s="3" t="s">
        <v>113</v>
      </c>
    </row>
    <row r="5" customFormat="false" ht="54" hidden="false" customHeight="true" outlineLevel="0" collapsed="false">
      <c r="A5" s="4" t="s">
        <v>114</v>
      </c>
      <c r="B5" s="4" t="s">
        <v>115</v>
      </c>
      <c r="C5" s="5" t="s">
        <v>116</v>
      </c>
      <c r="D5" s="4" t="s">
        <v>117</v>
      </c>
      <c r="E5" s="5" t="s">
        <v>118</v>
      </c>
      <c r="F5" s="5" t="s">
        <v>119</v>
      </c>
    </row>
    <row r="6" customFormat="false" ht="54" hidden="false" customHeight="true" outlineLevel="0" collapsed="false">
      <c r="A6" s="4" t="s">
        <v>114</v>
      </c>
      <c r="B6" s="4" t="s">
        <v>115</v>
      </c>
      <c r="C6" s="5" t="s">
        <v>120</v>
      </c>
      <c r="D6" s="4" t="s">
        <v>121</v>
      </c>
      <c r="E6" s="5" t="s">
        <v>122</v>
      </c>
      <c r="F6" s="5" t="s">
        <v>119</v>
      </c>
    </row>
    <row r="7" customFormat="false" ht="54" hidden="false" customHeight="true" outlineLevel="0" collapsed="false">
      <c r="A7" s="4" t="s">
        <v>123</v>
      </c>
      <c r="B7" s="4" t="s">
        <v>115</v>
      </c>
      <c r="C7" s="5" t="s">
        <v>124</v>
      </c>
      <c r="D7" s="4" t="s">
        <v>125</v>
      </c>
      <c r="E7" s="5" t="s">
        <v>126</v>
      </c>
      <c r="F7" s="5" t="s">
        <v>119</v>
      </c>
    </row>
    <row r="8" customFormat="false" ht="54" hidden="false" customHeight="true" outlineLevel="0" collapsed="false">
      <c r="A8" s="4" t="s">
        <v>127</v>
      </c>
      <c r="B8" s="4" t="s">
        <v>128</v>
      </c>
      <c r="C8" s="4" t="s">
        <v>129</v>
      </c>
      <c r="D8" s="4" t="s">
        <v>130</v>
      </c>
      <c r="E8" s="5" t="s">
        <v>131</v>
      </c>
      <c r="F8" s="4" t="s">
        <v>132</v>
      </c>
    </row>
    <row r="9" customFormat="false" ht="54" hidden="false" customHeight="true" outlineLevel="0" collapsed="false">
      <c r="A9" s="4" t="s">
        <v>133</v>
      </c>
      <c r="B9" s="4" t="s">
        <v>134</v>
      </c>
      <c r="C9" s="4" t="s">
        <v>135</v>
      </c>
      <c r="D9" s="4" t="s">
        <v>130</v>
      </c>
      <c r="E9" s="5" t="s">
        <v>136</v>
      </c>
      <c r="F9" s="5" t="s">
        <v>137</v>
      </c>
    </row>
    <row r="10" customFormat="false" ht="54" hidden="false" customHeight="true" outlineLevel="0" collapsed="false">
      <c r="A10" s="4" t="s">
        <v>127</v>
      </c>
      <c r="B10" s="4" t="s">
        <v>128</v>
      </c>
      <c r="C10" s="4" t="s">
        <v>138</v>
      </c>
      <c r="D10" s="4" t="s">
        <v>139</v>
      </c>
      <c r="E10" s="5" t="s">
        <v>140</v>
      </c>
      <c r="F10" s="4" t="s">
        <v>141</v>
      </c>
    </row>
    <row r="11" customFormat="false" ht="54" hidden="false" customHeight="true" outlineLevel="0" collapsed="false">
      <c r="A11" s="4" t="s">
        <v>133</v>
      </c>
      <c r="B11" s="4" t="s">
        <v>134</v>
      </c>
      <c r="C11" s="4" t="s">
        <v>142</v>
      </c>
      <c r="D11" s="4" t="s">
        <v>139</v>
      </c>
      <c r="E11" s="5" t="s">
        <v>143</v>
      </c>
      <c r="F11" s="5" t="s">
        <v>137</v>
      </c>
    </row>
    <row r="12" customFormat="false" ht="54" hidden="false" customHeight="true" outlineLevel="0" collapsed="false">
      <c r="A12" s="4" t="s">
        <v>127</v>
      </c>
      <c r="B12" s="4" t="s">
        <v>128</v>
      </c>
      <c r="C12" s="4" t="s">
        <v>144</v>
      </c>
      <c r="D12" s="4" t="s">
        <v>145</v>
      </c>
      <c r="E12" s="5" t="s">
        <v>146</v>
      </c>
      <c r="F12" s="4" t="s">
        <v>141</v>
      </c>
    </row>
    <row r="13" customFormat="false" ht="54" hidden="false" customHeight="true" outlineLevel="0" collapsed="false">
      <c r="A13" s="4" t="s">
        <v>133</v>
      </c>
      <c r="B13" s="4" t="s">
        <v>134</v>
      </c>
      <c r="C13" s="4" t="s">
        <v>147</v>
      </c>
      <c r="D13" s="4" t="s">
        <v>145</v>
      </c>
      <c r="E13" s="5" t="s">
        <v>148</v>
      </c>
      <c r="F13" s="5" t="s">
        <v>137</v>
      </c>
    </row>
    <row r="14" customFormat="false" ht="54" hidden="false" customHeight="true" outlineLevel="0" collapsed="false">
      <c r="A14" s="4" t="s">
        <v>149</v>
      </c>
      <c r="B14" s="4" t="s">
        <v>150</v>
      </c>
      <c r="C14" s="4" t="s">
        <v>151</v>
      </c>
      <c r="D14" s="5" t="s">
        <v>152</v>
      </c>
      <c r="E14" s="4" t="s">
        <v>153</v>
      </c>
      <c r="F14" s="4" t="s">
        <v>154</v>
      </c>
    </row>
    <row r="15" customFormat="false" ht="54" hidden="false" customHeight="true" outlineLevel="0" collapsed="false">
      <c r="A15" s="4" t="s">
        <v>149</v>
      </c>
      <c r="B15" s="4" t="s">
        <v>150</v>
      </c>
      <c r="C15" s="4" t="s">
        <v>155</v>
      </c>
      <c r="D15" s="5" t="s">
        <v>156</v>
      </c>
      <c r="E15" s="5" t="s">
        <v>157</v>
      </c>
      <c r="F15" s="5" t="s">
        <v>158</v>
      </c>
    </row>
    <row r="16" customFormat="false" ht="54" hidden="false" customHeight="true" outlineLevel="0" collapsed="false">
      <c r="A16" s="4" t="s">
        <v>149</v>
      </c>
      <c r="B16" s="4" t="s">
        <v>150</v>
      </c>
      <c r="C16" s="4" t="s">
        <v>159</v>
      </c>
      <c r="D16" s="5" t="s">
        <v>160</v>
      </c>
      <c r="E16" s="4" t="s">
        <v>161</v>
      </c>
      <c r="F16" s="5" t="s">
        <v>162</v>
      </c>
    </row>
    <row r="17" customFormat="false" ht="54" hidden="false" customHeight="true" outlineLevel="0" collapsed="false">
      <c r="A17" s="4" t="s">
        <v>149</v>
      </c>
      <c r="B17" s="4" t="s">
        <v>150</v>
      </c>
      <c r="C17" s="4" t="s">
        <v>163</v>
      </c>
      <c r="D17" s="5" t="s">
        <v>164</v>
      </c>
      <c r="E17" s="5" t="s">
        <v>165</v>
      </c>
      <c r="F17" s="4" t="s">
        <v>166</v>
      </c>
    </row>
    <row r="18" customFormat="false" ht="54" hidden="false" customHeight="true" outlineLevel="0" collapsed="false">
      <c r="A18" s="4" t="s">
        <v>149</v>
      </c>
      <c r="B18" s="4" t="s">
        <v>150</v>
      </c>
      <c r="C18" s="4" t="s">
        <v>167</v>
      </c>
      <c r="D18" s="5" t="s">
        <v>168</v>
      </c>
      <c r="E18" s="5" t="s">
        <v>169</v>
      </c>
      <c r="F18" s="5" t="s">
        <v>170</v>
      </c>
    </row>
    <row r="19" customFormat="false" ht="54" hidden="false" customHeight="true" outlineLevel="0" collapsed="false">
      <c r="A19" s="4" t="s">
        <v>149</v>
      </c>
      <c r="B19" s="4" t="s">
        <v>171</v>
      </c>
      <c r="C19" s="4" t="s">
        <v>172</v>
      </c>
      <c r="D19" s="5" t="s">
        <v>173</v>
      </c>
      <c r="E19" s="5" t="s">
        <v>174</v>
      </c>
      <c r="F19" s="5" t="s">
        <v>175</v>
      </c>
    </row>
    <row r="20" customFormat="false" ht="54" hidden="false" customHeight="true" outlineLevel="0" collapsed="false">
      <c r="A20" s="4" t="s">
        <v>149</v>
      </c>
      <c r="B20" s="4" t="s">
        <v>171</v>
      </c>
      <c r="C20" s="4" t="s">
        <v>176</v>
      </c>
      <c r="D20" s="5" t="s">
        <v>177</v>
      </c>
      <c r="E20" s="5" t="s">
        <v>178</v>
      </c>
      <c r="F20" s="4"/>
    </row>
    <row r="21" customFormat="false" ht="54" hidden="false" customHeight="true" outlineLevel="0" collapsed="false">
      <c r="A21" s="5" t="s">
        <v>179</v>
      </c>
      <c r="B21" s="4" t="s">
        <v>180</v>
      </c>
      <c r="C21" s="4" t="s">
        <v>181</v>
      </c>
      <c r="D21" s="4" t="s">
        <v>182</v>
      </c>
      <c r="E21" s="4" t="s">
        <v>183</v>
      </c>
      <c r="F21" s="5" t="s">
        <v>184</v>
      </c>
    </row>
    <row r="22" customFormat="false" ht="54" hidden="false" customHeight="true" outlineLevel="0" collapsed="false">
      <c r="A22" s="5" t="s">
        <v>185</v>
      </c>
      <c r="B22" s="5" t="s">
        <v>186</v>
      </c>
      <c r="C22" s="5" t="s">
        <v>187</v>
      </c>
      <c r="D22" s="5" t="s">
        <v>188</v>
      </c>
      <c r="E22" s="4" t="s">
        <v>189</v>
      </c>
      <c r="F22" s="5" t="s">
        <v>190</v>
      </c>
    </row>
    <row r="23" customFormat="false" ht="54" hidden="false" customHeight="true" outlineLevel="0" collapsed="false">
      <c r="A23" s="5" t="s">
        <v>191</v>
      </c>
      <c r="B23" s="5" t="s">
        <v>192</v>
      </c>
      <c r="C23" s="5" t="s">
        <v>193</v>
      </c>
      <c r="D23" s="5" t="s">
        <v>194</v>
      </c>
      <c r="E23" s="5" t="s">
        <v>195</v>
      </c>
      <c r="F23" s="5" t="s">
        <v>196</v>
      </c>
    </row>
  </sheetData>
  <autoFilter ref="A4:F23"/>
  <mergeCells count="2">
    <mergeCell ref="A1:F1"/>
    <mergeCell ref="A2:F2"/>
  </mergeCells>
  <printOptions headings="false" gridLines="false" gridLinesSet="true" horizontalCentered="tru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&amp;C第 &amp;P 页 / 共 &amp;N 页&amp;R内部预算工作底稿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2026-10-23T05:05:36Z</dcterms:created>
  <dc:creator>openpyxl</dc:creator>
  <dc:description/>
  <dc:language>en-US</dc:language>
  <cp:lastModifiedBy/>
  <dcterms:modified xsi:type="dcterms:W3CDTF">2026-10-23T05:05:36Z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