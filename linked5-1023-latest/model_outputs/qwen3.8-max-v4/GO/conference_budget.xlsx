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Itinerar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  <color rgb="00555555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60" customWidth="1" min="3" max="3"/>
  </cols>
  <sheetData>
    <row r="1">
      <c r="A1" s="1" t="inlineStr">
        <is>
          <t>可调整参数（修改后 Daily / Options 各表自动更新；导出快照文件前请重新核对）</t>
        </is>
      </c>
    </row>
    <row r="2">
      <c r="A2" s="2" t="inlineStr">
        <is>
          <t>参数</t>
        </is>
      </c>
      <c r="B2" s="2" t="inlineStr">
        <is>
          <t>交付采用值</t>
        </is>
      </c>
      <c r="C2" s="2" t="inlineStr">
        <is>
          <t>允许范围/说明</t>
        </is>
      </c>
    </row>
    <row r="3">
      <c r="A3" t="inlineStr">
        <is>
          <t>批准预算上限（含储备，USD）</t>
        </is>
      </c>
      <c r="B3" t="n">
        <v>53000</v>
      </c>
      <c r="C3" t="inlineStr">
        <is>
          <t>0-100000</t>
        </is>
      </c>
    </row>
    <row r="4">
      <c r="A4" t="inlineStr">
        <is>
          <t>票价调整系数</t>
        </is>
      </c>
      <c r="B4" t="n">
        <v>1</v>
      </c>
      <c r="C4" t="inlineStr">
        <is>
          <t>0.5-2；压力情景=调整后票价再×1.2</t>
        </is>
      </c>
    </row>
    <row r="5">
      <c r="A5" t="inlineStr">
        <is>
          <t>应急储备比例（适用于基础费用小计）</t>
        </is>
      </c>
      <c r="B5" s="3" t="n">
        <v>0.05</v>
      </c>
      <c r="C5" t="inlineStr">
        <is>
          <t>0-20%</t>
        </is>
      </c>
    </row>
    <row r="6">
      <c r="A6" t="inlineStr">
        <is>
          <t>11月28日政府提供早餐</t>
        </is>
      </c>
      <c r="B6" t="inlineStr">
        <is>
          <t>否</t>
        </is>
      </c>
      <c r="C6" t="inlineStr">
        <is>
          <t>是/否；改为“是”时不新增采购费用，仅减少M&amp;IE参考额</t>
        </is>
      </c>
    </row>
    <row r="7">
      <c r="A7" t="inlineStr">
        <is>
          <t>抵达日期</t>
        </is>
      </c>
      <c r="B7" t="inlineStr">
        <is>
          <t>2026-11-28</t>
        </is>
      </c>
      <c r="C7" t="inlineStr">
        <is>
          <t>须完整参加11/29-12/1培训</t>
        </is>
      </c>
    </row>
    <row r="8">
      <c r="A8" t="inlineStr">
        <is>
          <t>返程日期</t>
        </is>
      </c>
      <c r="B8" t="inlineStr">
        <is>
          <t>2026-12-02</t>
        </is>
      </c>
      <c r="C8" t="inlineStr">
        <is>
          <t>同上</t>
        </is>
      </c>
    </row>
    <row r="9">
      <c r="A9" t="inlineStr">
        <is>
          <t>参训人数（决策档）</t>
        </is>
      </c>
      <c r="B9" t="n">
        <v>24</v>
      </c>
      <c r="C9" t="inlineStr">
        <is>
          <t>18或24</t>
        </is>
      </c>
    </row>
    <row r="11">
      <c r="A11" s="4" t="inlineStr">
        <is>
          <t>报价适用性检查</t>
        </is>
      </c>
    </row>
    <row r="12">
      <c r="A12" t="inlineStr">
        <is>
          <t>报价检索日期（Google Flights / Google Hotels）</t>
        </is>
      </c>
      <c r="B12" s="5" t="inlineStr">
        <is>
          <t>2026-10-24</t>
        </is>
      </c>
    </row>
    <row r="13">
      <c r="A13" t="inlineStr">
        <is>
          <t>行程与报价日期一致性</t>
        </is>
      </c>
      <c r="B13" s="5">
        <f>IF(AND(B7="2026-11-28",B8="2026-12-02"),"一致：报价适用（仍须出票前复核）","不一致：报价不适用，须重新询价（暂估）")</f>
        <v/>
      </c>
    </row>
    <row r="14">
      <c r="A14" t="inlineStr">
        <is>
          <t>参数变动提示</t>
        </is>
      </c>
      <c r="B14" s="5">
        <f>IF(AND(B3=53000,B4=1,B5=0.05,B6="否",B7="2026-11-28",B8="2026-12-02",B9=24),"与交付快照一致","参数已调整：请重新核对并重新导出 docx/csv/pptx/pdf 快照")</f>
        <v/>
      </c>
    </row>
    <row r="16">
      <c r="A16" s="4" t="inlineStr">
        <is>
          <t>未询价参数（默认0，执行前须询价；不默认各方案相同）</t>
        </is>
      </c>
    </row>
    <row r="17">
      <c r="A17" s="6" t="inlineStr">
        <is>
          <t>芝加哥 场地+茶歇（USD，整团）</t>
        </is>
      </c>
      <c r="B17" s="7" t="n">
        <v>0</v>
      </c>
    </row>
    <row r="18">
      <c r="A18" s="6" t="inlineStr">
        <is>
          <t>丹佛 场地+茶歇</t>
        </is>
      </c>
      <c r="B18" s="7" t="n">
        <v>0</v>
      </c>
    </row>
    <row r="19">
      <c r="A19" s="6" t="inlineStr">
        <is>
          <t>凤凰城 场地+茶歇</t>
        </is>
      </c>
      <c r="B19" s="7" t="n">
        <v>0</v>
      </c>
    </row>
    <row r="20">
      <c r="A20" s="6" t="inlineStr">
        <is>
          <t>波士顿 场地+茶歇</t>
        </is>
      </c>
      <c r="B20" s="7" t="n">
        <v>0</v>
      </c>
    </row>
    <row r="21">
      <c r="A21" s="6" t="inlineStr">
        <is>
          <t>西雅图 场地+茶歇</t>
        </is>
      </c>
      <c r="B21" s="7" t="n">
        <v>0</v>
      </c>
    </row>
  </sheetData>
  <dataValidations count="2">
    <dataValidation sqref="B6" showDropDown="0" showInputMessage="0" showErrorMessage="0" allowBlank="0" type="list">
      <formula1>"是,否"</formula1>
    </dataValidation>
    <dataValidation sqref="B9" showDropDown="0" showInputMessage="0" showErrorMessage="0" allowBlank="0" type="list">
      <formula1>"18,24"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6" customWidth="1" min="4" max="4"/>
    <col width="24" customWidth="1" min="5" max="5"/>
    <col width="26" customWidth="1" min="6" max="6"/>
    <col width="20" customWidth="1" min="7" max="7"/>
    <col width="52" customWidth="1" min="8" max="8"/>
  </cols>
  <sheetData>
    <row r="1">
      <c r="A1" s="1" t="inlineStr">
        <is>
          <t>逐日明细（推荐方案：Chicago，24人；M&amp;IE为参考额，不计入预算）</t>
        </is>
      </c>
    </row>
    <row r="2">
      <c r="A2" s="8" t="inlineStr">
        <is>
          <t>依据：41 CFR 301-11.17（酒店免费早餐不扣M&amp;IE）、301-11.18（政府/注册费提供餐食扣减）；FY2027费率文件；GSA FY2025 M&amp;IE分项（92档：早23/午26/晚38/杂5，首末日69）</t>
        </is>
      </c>
    </row>
    <row r="4">
      <c r="A4" s="2" t="inlineStr">
        <is>
          <t>日期</t>
        </is>
      </c>
      <c r="B4" s="2" t="inlineStr">
        <is>
          <t>行程内容</t>
        </is>
      </c>
      <c r="C4" s="2" t="inlineStr">
        <is>
          <t>住宿夜数(间)</t>
        </is>
      </c>
      <c r="D4" s="2" t="inlineStr">
        <is>
          <t>早餐来源</t>
        </is>
      </c>
      <c r="E4" s="2" t="inlineStr">
        <is>
          <t>机构/注册费供餐</t>
        </is>
      </c>
      <c r="F4" s="2" t="inlineStr">
        <is>
          <t>M&amp;IE参考额-每人(FY27,CHI)</t>
        </is>
      </c>
      <c r="G4" s="2" t="inlineStr">
        <is>
          <t>机构供餐成本-每人(估)</t>
        </is>
      </c>
      <c r="H4" s="2" t="inlineStr">
        <is>
          <t>说明</t>
        </is>
      </c>
    </row>
    <row r="5">
      <c r="A5" t="inlineStr">
        <is>
          <t>2026-11-28</t>
        </is>
      </c>
      <c r="B5" t="inlineStr">
        <is>
          <t>DCA→ORD 航班+酒店入住；晚间机构晚餐</t>
        </is>
      </c>
      <c r="C5" t="n">
        <v>1</v>
      </c>
      <c r="D5" t="inlineStr">
        <is>
          <t>酒店含早(次日起)</t>
        </is>
      </c>
      <c r="E5" t="inlineStr">
        <is>
          <t>晚餐(机构)</t>
        </is>
      </c>
      <c r="F5" s="7">
        <f>MAX(0,0.75*92-38-IF(Params!$B$6="是",23,0))</f>
        <v/>
      </c>
      <c r="G5" s="7">
        <f>38</f>
        <v/>
      </c>
      <c r="H5" t="inlineStr">
        <is>
          <t>首末日75%扣机构晚餐38；参数=是再扣早餐23</t>
        </is>
      </c>
    </row>
    <row r="6">
      <c r="A6" t="inlineStr">
        <is>
          <t>2026-11-29</t>
        </is>
      </c>
      <c r="B6" t="inlineStr">
        <is>
          <t>培训日1；午餐含于注册费；酒店免费早餐不扣减</t>
        </is>
      </c>
      <c r="C6" t="n">
        <v>1</v>
      </c>
      <c r="D6" t="inlineStr">
        <is>
          <t>酒店含早(免费,301-11.17)</t>
        </is>
      </c>
      <c r="E6" t="inlineStr">
        <is>
          <t>午餐(注册费)</t>
        </is>
      </c>
      <c r="F6" s="7">
        <f>92-26</f>
        <v/>
      </c>
      <c r="G6" s="7" t="n">
        <v>0</v>
      </c>
      <c r="H6" t="inlineStr">
        <is>
          <t>仅扣注册费午餐26</t>
        </is>
      </c>
    </row>
    <row r="7">
      <c r="A7" t="inlineStr">
        <is>
          <t>2026-11-30</t>
        </is>
      </c>
      <c r="B7" t="inlineStr">
        <is>
          <t>培训日2；午餐含于注册费</t>
        </is>
      </c>
      <c r="C7" t="n">
        <v>1</v>
      </c>
      <c r="D7" t="inlineStr">
        <is>
          <t>酒店含早(免费,301-11.17)</t>
        </is>
      </c>
      <c r="E7" t="inlineStr">
        <is>
          <t>午餐(注册费)</t>
        </is>
      </c>
      <c r="F7" s="7">
        <f>92-26</f>
        <v/>
      </c>
      <c r="G7" s="7" t="n">
        <v>0</v>
      </c>
      <c r="H7" t="inlineStr">
        <is>
          <t>同前</t>
        </is>
      </c>
    </row>
    <row r="8">
      <c r="A8" t="inlineStr">
        <is>
          <t>2026-12-01</t>
        </is>
      </c>
      <c r="B8" t="inlineStr">
        <is>
          <t>培训日3；午餐含于注册费；晚间机构晚餐</t>
        </is>
      </c>
      <c r="C8" t="n">
        <v>1</v>
      </c>
      <c r="D8" t="inlineStr">
        <is>
          <t>酒店含早(免费,301-11.17)</t>
        </is>
      </c>
      <c r="E8" t="inlineStr">
        <is>
          <t>午餐(注册费)+晚餐(机构)</t>
        </is>
      </c>
      <c r="F8" s="7">
        <f>92-26-38</f>
        <v/>
      </c>
      <c r="G8" s="7">
        <f>38</f>
        <v/>
      </c>
      <c r="H8" t="inlineStr">
        <is>
          <t>扣午餐26与机构晚餐38</t>
        </is>
      </c>
    </row>
    <row r="9">
      <c r="A9" t="inlineStr">
        <is>
          <t>2026-12-02</t>
        </is>
      </c>
      <c r="B9" t="inlineStr">
        <is>
          <t>退房返程；午餐机构提供</t>
        </is>
      </c>
      <c r="C9" t="n">
        <v>0</v>
      </c>
      <c r="D9" t="inlineStr">
        <is>
          <t>—</t>
        </is>
      </c>
      <c r="E9" t="inlineStr">
        <is>
          <t>午餐(机构)</t>
        </is>
      </c>
      <c r="F9" s="7">
        <f>MAX(0,0.75*92-26)</f>
        <v/>
      </c>
      <c r="G9" s="7">
        <f>26</f>
        <v/>
      </c>
      <c r="H9" t="inlineStr">
        <is>
          <t>首末日75%扣机构午餐26</t>
        </is>
      </c>
    </row>
    <row r="10">
      <c r="A10" s="4" t="inlineStr">
        <is>
          <t>合计（每人）</t>
        </is>
      </c>
      <c r="F10" s="7">
        <f>SUM(F5:F9)</f>
        <v/>
      </c>
      <c r="G10" s="7">
        <f>SUM(G5:G9)</f>
        <v/>
      </c>
    </row>
    <row r="12">
      <c r="A12" s="8" t="inlineStr">
        <is>
          <t>注：M&amp;IE参考额不计入本次预算（预算仅含题面列明费用）；机构供餐成本按FY27芝加哥餐值估算并计入预算“机构供餐”行。</t>
        </is>
      </c>
    </row>
    <row r="13">
      <c r="A13" s="8" t="inlineStr">
        <is>
          <t>注：11/29-12/1行公式中“酒店含早不扣”依301-11.17；参数B6=“是”时额外扣早餐值且不新增采购费用。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候选方案比较（报价日2026-10-24；Google Flights/Google Hotels；USD；4夜=11/28入住-12/2退房）</t>
        </is>
      </c>
    </row>
    <row r="2">
      <c r="A2" s="8" t="inlineStr">
        <is>
          <t>酒店准入：Google评分≥4.0且评价数≥500，近期评论无系统性卫生/夜间噪声/维护缺陷；超FY27住宿上限者不得作为合规推荐（不截价比较）。</t>
        </is>
      </c>
    </row>
    <row r="4">
      <c r="A4" s="4" t="inlineStr">
        <is>
          <t>每城输入（单人/单间口径；整团按人数×单价，未确认团体价）</t>
        </is>
      </c>
    </row>
    <row r="5">
      <c r="A5" s="2" t="inlineStr">
        <is>
          <t>城市</t>
        </is>
      </c>
      <c r="B5" s="2" t="inlineStr">
        <is>
          <t>目的地机场/出发机场</t>
        </is>
      </c>
      <c r="C5" s="2" t="inlineStr">
        <is>
          <t>往返机票/人</t>
        </is>
      </c>
      <c r="D5" s="2" t="inlineStr">
        <is>
          <t>酒店(推荐)</t>
        </is>
      </c>
      <c r="E5" s="2" t="inlineStr">
        <is>
          <t>房价/夜/间</t>
        </is>
      </c>
      <c r="F5" s="2" t="inlineStr">
        <is>
          <t>含早</t>
        </is>
      </c>
      <c r="G5" s="2" t="inlineStr">
        <is>
          <t>评分(评价数)</t>
        </is>
      </c>
      <c r="H5" s="2" t="inlineStr">
        <is>
          <t>备选酒店</t>
        </is>
      </c>
      <c r="I5" s="2" t="inlineStr">
        <is>
          <t>备选房价/夜</t>
        </is>
      </c>
      <c r="J5" s="2" t="inlineStr">
        <is>
          <t>M&amp;IE餐值:早/午/晚</t>
        </is>
      </c>
      <c r="K5" s="2" t="inlineStr">
        <is>
          <t>地面交通/人(估)</t>
        </is>
      </c>
      <c r="L5" s="2" t="inlineStr">
        <is>
          <t>注册费/人</t>
        </is>
      </c>
    </row>
    <row r="6">
      <c r="A6" t="inlineStr">
        <is>
          <t>Chicago, IL</t>
        </is>
      </c>
      <c r="B6" t="inlineStr">
        <is>
          <t>ORD / DCA</t>
        </is>
      </c>
      <c r="C6" s="7" t="n">
        <v>270</v>
      </c>
      <c r="D6" t="inlineStr">
        <is>
          <t>Embassy Suites by Hilton Chicago O'Hare Rosemont</t>
        </is>
      </c>
      <c r="E6" s="7" t="n">
        <v>101</v>
      </c>
      <c r="F6" t="inlineStr">
        <is>
          <t>含早</t>
        </is>
      </c>
      <c r="G6" t="inlineStr">
        <is>
          <t>4.1 (3.4K)</t>
        </is>
      </c>
      <c r="H6" t="inlineStr">
        <is>
          <t>DoubleTree by Hilton Chicago O'Hare Airport-Rosemont</t>
        </is>
      </c>
      <c r="I6" s="7" t="n">
        <v>133</v>
      </c>
      <c r="J6" t="inlineStr">
        <is>
          <t>23/26/38</t>
        </is>
      </c>
      <c r="K6" s="7" t="n">
        <v>5</v>
      </c>
      <c r="L6" s="7" t="n">
        <v>180</v>
      </c>
    </row>
    <row r="7">
      <c r="A7" t="inlineStr">
        <is>
          <t>Denver, CO</t>
        </is>
      </c>
      <c r="B7" t="inlineStr">
        <is>
          <t>DEN / IAD</t>
        </is>
      </c>
      <c r="C7" s="7" t="n">
        <v>578</v>
      </c>
      <c r="D7" t="inlineStr">
        <is>
          <t>Holiday Inn Express &amp; Suites Denver Airport by IHG</t>
        </is>
      </c>
      <c r="E7" s="7" t="n">
        <v>113</v>
      </c>
      <c r="F7" t="inlineStr">
        <is>
          <t>含早</t>
        </is>
      </c>
      <c r="G7" t="inlineStr">
        <is>
          <t>4.0 (1.4K)</t>
        </is>
      </c>
      <c r="H7" t="inlineStr">
        <is>
          <t>Tru by Hilton Denver Airport Tower Road</t>
        </is>
      </c>
      <c r="I7" s="7" t="n">
        <v>112</v>
      </c>
      <c r="J7" t="inlineStr">
        <is>
          <t>23/26/38</t>
        </is>
      </c>
      <c r="K7" s="7" t="n">
        <v>10</v>
      </c>
      <c r="L7" s="7" t="n">
        <v>180</v>
      </c>
    </row>
    <row r="8">
      <c r="A8" t="inlineStr">
        <is>
          <t>Phoenix, AZ</t>
        </is>
      </c>
      <c r="B8" t="inlineStr">
        <is>
          <t>PHX / IAD</t>
        </is>
      </c>
      <c r="C8" s="7" t="n">
        <v>499</v>
      </c>
      <c r="D8" t="inlineStr">
        <is>
          <t>Holiday Inn &amp; Suites Phoenix Airport North by IHG</t>
        </is>
      </c>
      <c r="E8" s="7" t="n">
        <v>126</v>
      </c>
      <c r="F8" t="inlineStr">
        <is>
          <t>早餐$计入</t>
        </is>
      </c>
      <c r="G8" t="inlineStr">
        <is>
          <t>4.0 (1.8K)</t>
        </is>
      </c>
      <c r="H8" t="inlineStr">
        <is>
          <t>Crowne Plaza Phoenix Airport - PHX</t>
        </is>
      </c>
      <c r="I8" s="7" t="n">
        <v>127</v>
      </c>
      <c r="J8" t="inlineStr">
        <is>
          <t>22/23/36</t>
        </is>
      </c>
      <c r="K8" s="7" t="n">
        <v>10</v>
      </c>
      <c r="L8" s="7" t="n">
        <v>180</v>
      </c>
    </row>
    <row r="9">
      <c r="A9" t="inlineStr">
        <is>
          <t>Boston, MA</t>
        </is>
      </c>
      <c r="B9" t="inlineStr">
        <is>
          <t>BOS / DCA</t>
        </is>
      </c>
      <c r="C9" s="7" t="n">
        <v>311</v>
      </c>
      <c r="D9" t="inlineStr">
        <is>
          <t>Residence Inn by Marriott Boston Logan Airport/Chelsea</t>
        </is>
      </c>
      <c r="E9" s="7" t="n">
        <v>154</v>
      </c>
      <c r="F9" t="inlineStr">
        <is>
          <t>含早</t>
        </is>
      </c>
      <c r="G9" t="inlineStr">
        <is>
          <t>4.3 (855)</t>
        </is>
      </c>
      <c r="H9" t="inlineStr">
        <is>
          <t>Courtyard by Marriott Boston Logan Airport</t>
        </is>
      </c>
      <c r="I9" s="7" t="n">
        <v>165</v>
      </c>
      <c r="J9" t="inlineStr">
        <is>
          <t>23/26/38</t>
        </is>
      </c>
      <c r="K9" s="7" t="n">
        <v>5</v>
      </c>
      <c r="L9" s="7" t="n">
        <v>180</v>
      </c>
    </row>
    <row r="10">
      <c r="A10" t="inlineStr">
        <is>
          <t>Seattle, WA</t>
        </is>
      </c>
      <c r="B10" t="inlineStr">
        <is>
          <t>SEA / IAD</t>
        </is>
      </c>
      <c r="C10" s="7" t="n">
        <v>590</v>
      </c>
      <c r="D10" t="inlineStr">
        <is>
          <t>Country Inn &amp; Suites by Radisson Sea-Tac</t>
        </is>
      </c>
      <c r="E10" s="7" t="n">
        <v>101</v>
      </c>
      <c r="F10" t="inlineStr">
        <is>
          <t>含早</t>
        </is>
      </c>
      <c r="G10" t="inlineStr">
        <is>
          <t>4.3 (2.0K)</t>
        </is>
      </c>
      <c r="H10" t="inlineStr">
        <is>
          <t>Holiday Inn Express &amp; Suites Seattle-Sea-Tac Airport by IHG</t>
        </is>
      </c>
      <c r="I10" s="7" t="n">
        <v>100</v>
      </c>
      <c r="J10" t="inlineStr">
        <is>
          <t>23/26/38</t>
        </is>
      </c>
      <c r="K10" s="7" t="n">
        <v>10</v>
      </c>
      <c r="L10" s="7" t="n">
        <v>180</v>
      </c>
    </row>
    <row r="13">
      <c r="A13" s="4" t="inlineStr">
        <is>
          <t>整团测算（N=人数；住宿=房价×4夜×N；住宿税=12%×住宿；机构供餐=每人(38+38+午值)×N；PHX早餐$=15/夜/间计入住宿）</t>
        </is>
      </c>
    </row>
    <row r="14">
      <c r="A14" s="2" t="inlineStr">
        <is>
          <t>城市</t>
        </is>
      </c>
      <c r="B14" s="2" t="inlineStr">
        <is>
          <t>N</t>
        </is>
      </c>
      <c r="C14" s="2" t="inlineStr">
        <is>
          <t>机票小计</t>
        </is>
      </c>
      <c r="D14" s="2" t="inlineStr">
        <is>
          <t>住宿小计(含PHX早餐$)</t>
        </is>
      </c>
      <c r="E14" s="2" t="inlineStr">
        <is>
          <t>住宿税12%</t>
        </is>
      </c>
      <c r="F14" s="2" t="inlineStr">
        <is>
          <t>注册费</t>
        </is>
      </c>
      <c r="G14" s="2" t="inlineStr">
        <is>
          <t>机构供餐</t>
        </is>
      </c>
      <c r="H14" s="2" t="inlineStr">
        <is>
          <t>地面交通</t>
        </is>
      </c>
      <c r="I14" s="2" t="inlineStr">
        <is>
          <t>未询价(场地+茶歇)</t>
        </is>
      </c>
      <c r="J14" s="2" t="inlineStr">
        <is>
          <t>基础小计</t>
        </is>
      </c>
      <c r="K14" s="2" t="inlineStr">
        <is>
          <t>储备</t>
        </is>
      </c>
      <c r="L14" s="2" t="inlineStr">
        <is>
          <t>含储备总额</t>
        </is>
      </c>
      <c r="M14" s="2" t="inlineStr">
        <is>
          <t>对上限余量</t>
        </is>
      </c>
      <c r="N14" s="2" t="inlineStr">
        <is>
          <t>可行</t>
        </is>
      </c>
      <c r="O14" s="2" t="inlineStr">
        <is>
          <t>人均(含储备)</t>
        </is>
      </c>
      <c r="P14" t="inlineStr">
        <is>
          <t>24人可行总额</t>
        </is>
      </c>
      <c r="Q14" t="inlineStr">
        <is>
          <t>18人可行总额</t>
        </is>
      </c>
    </row>
    <row r="15">
      <c r="A15">
        <f>A6</f>
        <v/>
      </c>
      <c r="B15" t="n">
        <v>18</v>
      </c>
      <c r="C15" s="7">
        <f>C6*Params!$B$4*B15</f>
        <v/>
      </c>
      <c r="D15" s="7">
        <f>(E6+IF(A15="Phoenix, AZ",15,0))*4*B15</f>
        <v/>
      </c>
      <c r="E15" s="7">
        <f>0.12*D15</f>
        <v/>
      </c>
      <c r="F15" s="7">
        <f>L6*B15</f>
        <v/>
      </c>
      <c r="G15" s="7">
        <f>(38+38+IF(A15="Phoenix, AZ",23,26))*B15</f>
        <v/>
      </c>
      <c r="H15" s="7">
        <f>K6*B15</f>
        <v/>
      </c>
      <c r="I15" s="7">
        <f>Params!B17</f>
        <v/>
      </c>
      <c r="J15" s="7">
        <f>SUM(C15:I15)</f>
        <v/>
      </c>
      <c r="K15" s="7">
        <f>J15*Params!$B$5</f>
        <v/>
      </c>
      <c r="L15" s="7">
        <f>J15+K15</f>
        <v/>
      </c>
      <c r="M15" s="7">
        <f>Params!$B$3-L15</f>
        <v/>
      </c>
      <c r="N15">
        <f>IF(L15&lt;=Params!$B$3,"是","否")</f>
        <v/>
      </c>
      <c r="O15" s="7">
        <f>L15/B15</f>
        <v/>
      </c>
      <c r="P15">
        <f>IF(AND($B15=24,$N15="是"),$L15,"")</f>
        <v/>
      </c>
      <c r="Q15">
        <f>IF(AND($B15=18,$N15="是"),$L15,"")</f>
        <v/>
      </c>
    </row>
    <row r="16">
      <c r="A16">
        <f>A6</f>
        <v/>
      </c>
      <c r="B16" t="n">
        <v>24</v>
      </c>
      <c r="C16" s="7">
        <f>C6*Params!$B$4*B16</f>
        <v/>
      </c>
      <c r="D16" s="7">
        <f>(E6+IF(A16="Phoenix, AZ",15,0))*4*B16</f>
        <v/>
      </c>
      <c r="E16" s="7">
        <f>0.12*D16</f>
        <v/>
      </c>
      <c r="F16" s="7">
        <f>L6*B16</f>
        <v/>
      </c>
      <c r="G16" s="7">
        <f>(38+38+IF(A16="Phoenix, AZ",23,26))*B16</f>
        <v/>
      </c>
      <c r="H16" s="7">
        <f>K6*B16</f>
        <v/>
      </c>
      <c r="I16" s="7">
        <f>Params!B17</f>
        <v/>
      </c>
      <c r="J16" s="7">
        <f>SUM(C16:I16)</f>
        <v/>
      </c>
      <c r="K16" s="7">
        <f>J16*Params!$B$5</f>
        <v/>
      </c>
      <c r="L16" s="7">
        <f>J16+K16</f>
        <v/>
      </c>
      <c r="M16" s="7">
        <f>Params!$B$3-L16</f>
        <v/>
      </c>
      <c r="N16">
        <f>IF(L16&lt;=Params!$B$3,"是","否")</f>
        <v/>
      </c>
      <c r="O16" s="7">
        <f>L16/B16</f>
        <v/>
      </c>
      <c r="P16">
        <f>IF(AND($B16=24,$N16="是"),$L16,"")</f>
        <v/>
      </c>
      <c r="Q16">
        <f>IF(AND($B16=18,$N16="是"),$L16,"")</f>
        <v/>
      </c>
    </row>
    <row r="17">
      <c r="A17">
        <f>A7</f>
        <v/>
      </c>
      <c r="B17" t="n">
        <v>18</v>
      </c>
      <c r="C17" s="7">
        <f>C7*Params!$B$4*B17</f>
        <v/>
      </c>
      <c r="D17" s="7">
        <f>(E7+IF(A17="Phoenix, AZ",15,0))*4*B17</f>
        <v/>
      </c>
      <c r="E17" s="7">
        <f>0.12*D17</f>
        <v/>
      </c>
      <c r="F17" s="7">
        <f>L7*B17</f>
        <v/>
      </c>
      <c r="G17" s="7">
        <f>(38+38+IF(A17="Phoenix, AZ",23,26))*B17</f>
        <v/>
      </c>
      <c r="H17" s="7">
        <f>K7*B17</f>
        <v/>
      </c>
      <c r="I17" s="7">
        <f>Params!B18</f>
        <v/>
      </c>
      <c r="J17" s="7">
        <f>SUM(C17:I17)</f>
        <v/>
      </c>
      <c r="K17" s="7">
        <f>J17*Params!$B$5</f>
        <v/>
      </c>
      <c r="L17" s="7">
        <f>J17+K17</f>
        <v/>
      </c>
      <c r="M17" s="7">
        <f>Params!$B$3-L17</f>
        <v/>
      </c>
      <c r="N17">
        <f>IF(L17&lt;=Params!$B$3,"是","否")</f>
        <v/>
      </c>
      <c r="O17" s="7">
        <f>L17/B17</f>
        <v/>
      </c>
      <c r="P17">
        <f>IF(AND($B17=24,$N17="是"),$L17,"")</f>
        <v/>
      </c>
      <c r="Q17">
        <f>IF(AND($B17=18,$N17="是"),$L17,"")</f>
        <v/>
      </c>
    </row>
    <row r="18">
      <c r="A18">
        <f>A7</f>
        <v/>
      </c>
      <c r="B18" t="n">
        <v>24</v>
      </c>
      <c r="C18" s="7">
        <f>C7*Params!$B$4*B18</f>
        <v/>
      </c>
      <c r="D18" s="7">
        <f>(E7+IF(A18="Phoenix, AZ",15,0))*4*B18</f>
        <v/>
      </c>
      <c r="E18" s="7">
        <f>0.12*D18</f>
        <v/>
      </c>
      <c r="F18" s="7">
        <f>L7*B18</f>
        <v/>
      </c>
      <c r="G18" s="7">
        <f>(38+38+IF(A18="Phoenix, AZ",23,26))*B18</f>
        <v/>
      </c>
      <c r="H18" s="7">
        <f>K7*B18</f>
        <v/>
      </c>
      <c r="I18" s="7">
        <f>Params!B18</f>
        <v/>
      </c>
      <c r="J18" s="7">
        <f>SUM(C18:I18)</f>
        <v/>
      </c>
      <c r="K18" s="7">
        <f>J18*Params!$B$5</f>
        <v/>
      </c>
      <c r="L18" s="7">
        <f>J18+K18</f>
        <v/>
      </c>
      <c r="M18" s="7">
        <f>Params!$B$3-L18</f>
        <v/>
      </c>
      <c r="N18">
        <f>IF(L18&lt;=Params!$B$3,"是","否")</f>
        <v/>
      </c>
      <c r="O18" s="7">
        <f>L18/B18</f>
        <v/>
      </c>
      <c r="P18">
        <f>IF(AND($B18=24,$N18="是"),$L18,"")</f>
        <v/>
      </c>
      <c r="Q18">
        <f>IF(AND($B18=18,$N18="是"),$L18,"")</f>
        <v/>
      </c>
    </row>
    <row r="19">
      <c r="A19">
        <f>A8</f>
        <v/>
      </c>
      <c r="B19" t="n">
        <v>18</v>
      </c>
      <c r="C19" s="7">
        <f>C8*Params!$B$4*B19</f>
        <v/>
      </c>
      <c r="D19" s="7">
        <f>(E8+IF(A19="Phoenix, AZ",15,0))*4*B19</f>
        <v/>
      </c>
      <c r="E19" s="7">
        <f>0.12*D19</f>
        <v/>
      </c>
      <c r="F19" s="7">
        <f>L8*B19</f>
        <v/>
      </c>
      <c r="G19" s="7">
        <f>(38+38+IF(A19="Phoenix, AZ",23,26))*B19</f>
        <v/>
      </c>
      <c r="H19" s="7">
        <f>K8*B19</f>
        <v/>
      </c>
      <c r="I19" s="7">
        <f>Params!B19</f>
        <v/>
      </c>
      <c r="J19" s="7">
        <f>SUM(C19:I19)</f>
        <v/>
      </c>
      <c r="K19" s="7">
        <f>J19*Params!$B$5</f>
        <v/>
      </c>
      <c r="L19" s="7">
        <f>J19+K19</f>
        <v/>
      </c>
      <c r="M19" s="7">
        <f>Params!$B$3-L19</f>
        <v/>
      </c>
      <c r="N19">
        <f>IF(L19&lt;=Params!$B$3,"是","否")</f>
        <v/>
      </c>
      <c r="O19" s="7">
        <f>L19/B19</f>
        <v/>
      </c>
      <c r="P19">
        <f>IF(AND($B19=24,$N19="是"),$L19,"")</f>
        <v/>
      </c>
      <c r="Q19">
        <f>IF(AND($B19=18,$N19="是"),$L19,"")</f>
        <v/>
      </c>
    </row>
    <row r="20">
      <c r="A20">
        <f>A8</f>
        <v/>
      </c>
      <c r="B20" t="n">
        <v>24</v>
      </c>
      <c r="C20" s="7">
        <f>C8*Params!$B$4*B20</f>
        <v/>
      </c>
      <c r="D20" s="7">
        <f>(E8+IF(A20="Phoenix, AZ",15,0))*4*B20</f>
        <v/>
      </c>
      <c r="E20" s="7">
        <f>0.12*D20</f>
        <v/>
      </c>
      <c r="F20" s="7">
        <f>L8*B20</f>
        <v/>
      </c>
      <c r="G20" s="7">
        <f>(38+38+IF(A20="Phoenix, AZ",23,26))*B20</f>
        <v/>
      </c>
      <c r="H20" s="7">
        <f>K8*B20</f>
        <v/>
      </c>
      <c r="I20" s="7">
        <f>Params!B19</f>
        <v/>
      </c>
      <c r="J20" s="7">
        <f>SUM(C20:I20)</f>
        <v/>
      </c>
      <c r="K20" s="7">
        <f>J20*Params!$B$5</f>
        <v/>
      </c>
      <c r="L20" s="7">
        <f>J20+K20</f>
        <v/>
      </c>
      <c r="M20" s="7">
        <f>Params!$B$3-L20</f>
        <v/>
      </c>
      <c r="N20">
        <f>IF(L20&lt;=Params!$B$3,"是","否")</f>
        <v/>
      </c>
      <c r="O20" s="7">
        <f>L20/B20</f>
        <v/>
      </c>
      <c r="P20">
        <f>IF(AND($B20=24,$N20="是"),$L20,"")</f>
        <v/>
      </c>
      <c r="Q20">
        <f>IF(AND($B20=18,$N20="是"),$L20,"")</f>
        <v/>
      </c>
    </row>
    <row r="21">
      <c r="A21">
        <f>A9</f>
        <v/>
      </c>
      <c r="B21" t="n">
        <v>18</v>
      </c>
      <c r="C21" s="7">
        <f>C9*Params!$B$4*B21</f>
        <v/>
      </c>
      <c r="D21" s="7">
        <f>(E9+IF(A21="Phoenix, AZ",15,0))*4*B21</f>
        <v/>
      </c>
      <c r="E21" s="7">
        <f>0.12*D21</f>
        <v/>
      </c>
      <c r="F21" s="7">
        <f>L9*B21</f>
        <v/>
      </c>
      <c r="G21" s="7">
        <f>(38+38+IF(A21="Phoenix, AZ",23,26))*B21</f>
        <v/>
      </c>
      <c r="H21" s="7">
        <f>K9*B21</f>
        <v/>
      </c>
      <c r="I21" s="7">
        <f>Params!B20</f>
        <v/>
      </c>
      <c r="J21" s="7">
        <f>SUM(C21:I21)</f>
        <v/>
      </c>
      <c r="K21" s="7">
        <f>J21*Params!$B$5</f>
        <v/>
      </c>
      <c r="L21" s="7">
        <f>J21+K21</f>
        <v/>
      </c>
      <c r="M21" s="7">
        <f>Params!$B$3-L21</f>
        <v/>
      </c>
      <c r="N21">
        <f>IF(L21&lt;=Params!$B$3,"是","否")</f>
        <v/>
      </c>
      <c r="O21" s="7">
        <f>L21/B21</f>
        <v/>
      </c>
      <c r="P21">
        <f>IF(AND($B21=24,$N21="是"),$L21,"")</f>
        <v/>
      </c>
      <c r="Q21">
        <f>IF(AND($B21=18,$N21="是"),$L21,"")</f>
        <v/>
      </c>
    </row>
    <row r="22">
      <c r="A22">
        <f>A9</f>
        <v/>
      </c>
      <c r="B22" t="n">
        <v>24</v>
      </c>
      <c r="C22" s="7">
        <f>C9*Params!$B$4*B22</f>
        <v/>
      </c>
      <c r="D22" s="7">
        <f>(E9+IF(A22="Phoenix, AZ",15,0))*4*B22</f>
        <v/>
      </c>
      <c r="E22" s="7">
        <f>0.12*D22</f>
        <v/>
      </c>
      <c r="F22" s="7">
        <f>L9*B22</f>
        <v/>
      </c>
      <c r="G22" s="7">
        <f>(38+38+IF(A22="Phoenix, AZ",23,26))*B22</f>
        <v/>
      </c>
      <c r="H22" s="7">
        <f>K9*B22</f>
        <v/>
      </c>
      <c r="I22" s="7">
        <f>Params!B20</f>
        <v/>
      </c>
      <c r="J22" s="7">
        <f>SUM(C22:I22)</f>
        <v/>
      </c>
      <c r="K22" s="7">
        <f>J22*Params!$B$5</f>
        <v/>
      </c>
      <c r="L22" s="7">
        <f>J22+K22</f>
        <v/>
      </c>
      <c r="M22" s="7">
        <f>Params!$B$3-L22</f>
        <v/>
      </c>
      <c r="N22">
        <f>IF(L22&lt;=Params!$B$3,"是","否")</f>
        <v/>
      </c>
      <c r="O22" s="7">
        <f>L22/B22</f>
        <v/>
      </c>
      <c r="P22">
        <f>IF(AND($B22=24,$N22="是"),$L22,"")</f>
        <v/>
      </c>
      <c r="Q22">
        <f>IF(AND($B22=18,$N22="是"),$L22,"")</f>
        <v/>
      </c>
    </row>
    <row r="23">
      <c r="A23">
        <f>A10</f>
        <v/>
      </c>
      <c r="B23" t="n">
        <v>18</v>
      </c>
      <c r="C23" s="7">
        <f>C10*Params!$B$4*B23</f>
        <v/>
      </c>
      <c r="D23" s="7">
        <f>(E10+IF(A23="Phoenix, AZ",15,0))*4*B23</f>
        <v/>
      </c>
      <c r="E23" s="7">
        <f>0.12*D23</f>
        <v/>
      </c>
      <c r="F23" s="7">
        <f>L10*B23</f>
        <v/>
      </c>
      <c r="G23" s="7">
        <f>(38+38+IF(A23="Phoenix, AZ",23,26))*B23</f>
        <v/>
      </c>
      <c r="H23" s="7">
        <f>K10*B23</f>
        <v/>
      </c>
      <c r="I23" s="7">
        <f>Params!B21</f>
        <v/>
      </c>
      <c r="J23" s="7">
        <f>SUM(C23:I23)</f>
        <v/>
      </c>
      <c r="K23" s="7">
        <f>J23*Params!$B$5</f>
        <v/>
      </c>
      <c r="L23" s="7">
        <f>J23+K23</f>
        <v/>
      </c>
      <c r="M23" s="7">
        <f>Params!$B$3-L23</f>
        <v/>
      </c>
      <c r="N23">
        <f>IF(L23&lt;=Params!$B$3,"是","否")</f>
        <v/>
      </c>
      <c r="O23" s="7">
        <f>L23/B23</f>
        <v/>
      </c>
      <c r="P23">
        <f>IF(AND($B23=24,$N23="是"),$L23,"")</f>
        <v/>
      </c>
      <c r="Q23">
        <f>IF(AND($B23=18,$N23="是"),$L23,"")</f>
        <v/>
      </c>
    </row>
    <row r="24">
      <c r="A24">
        <f>A10</f>
        <v/>
      </c>
      <c r="B24" t="n">
        <v>24</v>
      </c>
      <c r="C24" s="7">
        <f>C10*Params!$B$4*B24</f>
        <v/>
      </c>
      <c r="D24" s="7">
        <f>(E10+IF(A24="Phoenix, AZ",15,0))*4*B24</f>
        <v/>
      </c>
      <c r="E24" s="7">
        <f>0.12*D24</f>
        <v/>
      </c>
      <c r="F24" s="7">
        <f>L10*B24</f>
        <v/>
      </c>
      <c r="G24" s="7">
        <f>(38+38+IF(A24="Phoenix, AZ",23,26))*B24</f>
        <v/>
      </c>
      <c r="H24" s="7">
        <f>K10*B24</f>
        <v/>
      </c>
      <c r="I24" s="7">
        <f>Params!B21</f>
        <v/>
      </c>
      <c r="J24" s="7">
        <f>SUM(C24:I24)</f>
        <v/>
      </c>
      <c r="K24" s="7">
        <f>J24*Params!$B$5</f>
        <v/>
      </c>
      <c r="L24" s="7">
        <f>J24+K24</f>
        <v/>
      </c>
      <c r="M24" s="7">
        <f>Params!$B$3-L24</f>
        <v/>
      </c>
      <c r="N24">
        <f>IF(L24&lt;=Params!$B$3,"是","否")</f>
        <v/>
      </c>
      <c r="O24" s="7">
        <f>L24/B24</f>
        <v/>
      </c>
      <c r="P24">
        <f>IF(AND($B24=24,$N24="是"),$L24,"")</f>
        <v/>
      </c>
      <c r="Q24">
        <f>IF(AND($B24=18,$N24="是"),$L24,"")</f>
        <v/>
      </c>
    </row>
    <row r="26">
      <c r="A26" s="4" t="inlineStr">
        <is>
          <t>推荐判定（人数优先→含储备总额低→城市英文名序）</t>
        </is>
      </c>
    </row>
    <row r="27">
      <c r="A27" t="inlineStr">
        <is>
          <t>24人档可行方案中含储备总额最低者</t>
        </is>
      </c>
      <c r="B27" s="9">
        <f>INDEX($A$15:$A$24,MATCH(MIN(P15:P24),P15:P24,0))</f>
        <v/>
      </c>
    </row>
    <row r="28">
      <c r="A28" t="inlineStr">
        <is>
          <t>备选（24人档含储备总额次低者）</t>
        </is>
      </c>
      <c r="B28" s="9">
        <f>INDEX($A$15:$A$24,MATCH(SMALL(P15:P24,2),P15:P24,0))</f>
        <v/>
      </c>
    </row>
    <row r="29">
      <c r="A29" t="inlineStr">
        <is>
          <t>18人档最低者（24人全不可行时启用）</t>
        </is>
      </c>
      <c r="B29" s="9">
        <f>INDEX($A$15:$A$24,MATCH(MIN(Q15:Q24),Q15:Q24,0))</f>
        <v/>
      </c>
    </row>
    <row r="30">
      <c r="A30" t="inlineStr">
        <is>
          <t>第三顺位（24人档第三低）</t>
        </is>
      </c>
      <c r="B30">
        <f>INDEX($A$15:$A$24,MATCH(SMALL(P15:P24,3),P15:P24,0))</f>
        <v/>
      </c>
    </row>
    <row r="31">
      <c r="A31" s="4" t="inlineStr">
        <is>
          <t>压力情景：票价在调整系数基础上再+20%（仅机票×1.2）</t>
        </is>
      </c>
    </row>
    <row r="32">
      <c r="A32" s="2" t="inlineStr">
        <is>
          <t>城市</t>
        </is>
      </c>
      <c r="B32" s="2" t="inlineStr">
        <is>
          <t>N</t>
        </is>
      </c>
      <c r="C32" s="2" t="inlineStr">
        <is>
          <t>机票小计×1.2</t>
        </is>
      </c>
      <c r="D32" s="2" t="inlineStr">
        <is>
          <t>基础小计</t>
        </is>
      </c>
      <c r="E32" s="2" t="inlineStr">
        <is>
          <t>储备</t>
        </is>
      </c>
      <c r="F32" s="2" t="inlineStr">
        <is>
          <t>含储备总额</t>
        </is>
      </c>
      <c r="G32" s="2" t="inlineStr">
        <is>
          <t>余量</t>
        </is>
      </c>
      <c r="H32" s="2" t="inlineStr">
        <is>
          <t>可行</t>
        </is>
      </c>
    </row>
    <row r="33">
      <c r="A33">
        <f>A15</f>
        <v/>
      </c>
      <c r="B33">
        <f>B15</f>
        <v/>
      </c>
      <c r="C33" s="7">
        <f>C15*1.2</f>
        <v/>
      </c>
      <c r="D33" s="7">
        <f>D15+E15+F15+G15+H15+I15+C33</f>
        <v/>
      </c>
      <c r="E33" s="7">
        <f>D33*Params!$B$5</f>
        <v/>
      </c>
      <c r="F33" s="7">
        <f>D33+E33</f>
        <v/>
      </c>
      <c r="G33" s="7">
        <f>Params!$B$3-F33</f>
        <v/>
      </c>
      <c r="H33">
        <f>IF(F33&lt;=Params!$B$3,"是","否")</f>
        <v/>
      </c>
    </row>
    <row r="34">
      <c r="A34">
        <f>A16</f>
        <v/>
      </c>
      <c r="B34">
        <f>B16</f>
        <v/>
      </c>
      <c r="C34" s="7">
        <f>C16*1.2</f>
        <v/>
      </c>
      <c r="D34" s="7">
        <f>D16+E16+F16+G16+H16+I16+C34</f>
        <v/>
      </c>
      <c r="E34" s="7">
        <f>D34*Params!$B$5</f>
        <v/>
      </c>
      <c r="F34" s="7">
        <f>D34+E34</f>
        <v/>
      </c>
      <c r="G34" s="7">
        <f>Params!$B$3-F34</f>
        <v/>
      </c>
      <c r="H34">
        <f>IF(F34&lt;=Params!$B$3,"是","否")</f>
        <v/>
      </c>
    </row>
    <row r="35">
      <c r="A35">
        <f>A17</f>
        <v/>
      </c>
      <c r="B35">
        <f>B17</f>
        <v/>
      </c>
      <c r="C35" s="7">
        <f>C17*1.2</f>
        <v/>
      </c>
      <c r="D35" s="7">
        <f>D17+E17+F17+G17+H17+I17+C35</f>
        <v/>
      </c>
      <c r="E35" s="7">
        <f>D35*Params!$B$5</f>
        <v/>
      </c>
      <c r="F35" s="7">
        <f>D35+E35</f>
        <v/>
      </c>
      <c r="G35" s="7">
        <f>Params!$B$3-F35</f>
        <v/>
      </c>
      <c r="H35">
        <f>IF(F35&lt;=Params!$B$3,"是","否")</f>
        <v/>
      </c>
    </row>
    <row r="36">
      <c r="A36">
        <f>A18</f>
        <v/>
      </c>
      <c r="B36">
        <f>B18</f>
        <v/>
      </c>
      <c r="C36" s="7">
        <f>C18*1.2</f>
        <v/>
      </c>
      <c r="D36" s="7">
        <f>D18+E18+F18+G18+H18+I18+C36</f>
        <v/>
      </c>
      <c r="E36" s="7">
        <f>D36*Params!$B$5</f>
        <v/>
      </c>
      <c r="F36" s="7">
        <f>D36+E36</f>
        <v/>
      </c>
      <c r="G36" s="7">
        <f>Params!$B$3-F36</f>
        <v/>
      </c>
      <c r="H36">
        <f>IF(F36&lt;=Params!$B$3,"是","否")</f>
        <v/>
      </c>
    </row>
    <row r="37">
      <c r="A37">
        <f>A19</f>
        <v/>
      </c>
      <c r="B37">
        <f>B19</f>
        <v/>
      </c>
      <c r="C37" s="7">
        <f>C19*1.2</f>
        <v/>
      </c>
      <c r="D37" s="7">
        <f>D19+E19+F19+G19+H19+I19+C37</f>
        <v/>
      </c>
      <c r="E37" s="7">
        <f>D37*Params!$B$5</f>
        <v/>
      </c>
      <c r="F37" s="7">
        <f>D37+E37</f>
        <v/>
      </c>
      <c r="G37" s="7">
        <f>Params!$B$3-F37</f>
        <v/>
      </c>
      <c r="H37">
        <f>IF(F37&lt;=Params!$B$3,"是","否")</f>
        <v/>
      </c>
    </row>
    <row r="38">
      <c r="A38">
        <f>A20</f>
        <v/>
      </c>
      <c r="B38">
        <f>B20</f>
        <v/>
      </c>
      <c r="C38" s="7">
        <f>C20*1.2</f>
        <v/>
      </c>
      <c r="D38" s="7">
        <f>D20+E20+F20+G20+H20+I20+C38</f>
        <v/>
      </c>
      <c r="E38" s="7">
        <f>D38*Params!$B$5</f>
        <v/>
      </c>
      <c r="F38" s="7">
        <f>D38+E38</f>
        <v/>
      </c>
      <c r="G38" s="7">
        <f>Params!$B$3-F38</f>
        <v/>
      </c>
      <c r="H38">
        <f>IF(F38&lt;=Params!$B$3,"是","否")</f>
        <v/>
      </c>
    </row>
    <row r="39">
      <c r="A39">
        <f>A21</f>
        <v/>
      </c>
      <c r="B39">
        <f>B21</f>
        <v/>
      </c>
      <c r="C39" s="7">
        <f>C21*1.2</f>
        <v/>
      </c>
      <c r="D39" s="7">
        <f>D21+E21+F21+G21+H21+I21+C39</f>
        <v/>
      </c>
      <c r="E39" s="7">
        <f>D39*Params!$B$5</f>
        <v/>
      </c>
      <c r="F39" s="7">
        <f>D39+E39</f>
        <v/>
      </c>
      <c r="G39" s="7">
        <f>Params!$B$3-F39</f>
        <v/>
      </c>
      <c r="H39">
        <f>IF(F39&lt;=Params!$B$3,"是","否")</f>
        <v/>
      </c>
    </row>
    <row r="40">
      <c r="A40">
        <f>A22</f>
        <v/>
      </c>
      <c r="B40">
        <f>B22</f>
        <v/>
      </c>
      <c r="C40" s="7">
        <f>C22*1.2</f>
        <v/>
      </c>
      <c r="D40" s="7">
        <f>D22+E22+F22+G22+H22+I22+C40</f>
        <v/>
      </c>
      <c r="E40" s="7">
        <f>D40*Params!$B$5</f>
        <v/>
      </c>
      <c r="F40" s="7">
        <f>D40+E40</f>
        <v/>
      </c>
      <c r="G40" s="7">
        <f>Params!$B$3-F40</f>
        <v/>
      </c>
      <c r="H40">
        <f>IF(F40&lt;=Params!$B$3,"是","否")</f>
        <v/>
      </c>
    </row>
    <row r="41">
      <c r="A41">
        <f>A23</f>
        <v/>
      </c>
      <c r="B41">
        <f>B23</f>
        <v/>
      </c>
      <c r="C41" s="7">
        <f>C23*1.2</f>
        <v/>
      </c>
      <c r="D41" s="7">
        <f>D23+E23+F23+G23+H23+I23+C41</f>
        <v/>
      </c>
      <c r="E41" s="7">
        <f>D41*Params!$B$5</f>
        <v/>
      </c>
      <c r="F41" s="7">
        <f>D41+E41</f>
        <v/>
      </c>
      <c r="G41" s="7">
        <f>Params!$B$3-F41</f>
        <v/>
      </c>
      <c r="H41">
        <f>IF(F41&lt;=Params!$B$3,"是","否")</f>
        <v/>
      </c>
    </row>
    <row r="42">
      <c r="A42">
        <f>A24</f>
        <v/>
      </c>
      <c r="B42">
        <f>B24</f>
        <v/>
      </c>
      <c r="C42" s="7">
        <f>C24*1.2</f>
        <v/>
      </c>
      <c r="D42" s="7">
        <f>D24+E24+F24+G24+H24+I24+C42</f>
        <v/>
      </c>
      <c r="E42" s="7">
        <f>D42*Params!$B$5</f>
        <v/>
      </c>
      <c r="F42" s="7">
        <f>D42+E42</f>
        <v/>
      </c>
      <c r="G42" s="7">
        <f>Params!$B$3-F42</f>
        <v/>
      </c>
      <c r="H42">
        <f>IF(F42&lt;=Params!$B$3,"是","否")</f>
        <v/>
      </c>
    </row>
    <row r="44">
      <c r="A44" s="4" t="inlineStr">
        <is>
          <t>临界值与分段行动条件（f=机票涨幅0-20%；V=该城未询价费用）</t>
        </is>
      </c>
    </row>
    <row r="45">
      <c r="A45" t="inlineStr">
        <is>
          <t>推荐切换临界涨幅(Chicago 24 vs 备选Boston 24)</t>
        </is>
      </c>
      <c r="B45">
        <f>(J22-J16)/(C16-C22)</f>
        <v/>
      </c>
      <c r="C45" t="inlineStr">
        <is>
          <t>负值→0-20%区间内不切换；储备率对两侧同比例，临界涨幅以基础小计与机票小计解出</t>
        </is>
      </c>
      <c r="D45" t="inlineStr">
        <is>
          <t>未询价上限口径：储备同样覆盖未询价费用，故 V_max=上限/(1+储备率)-基础小计</t>
        </is>
      </c>
    </row>
    <row r="46">
      <c r="A46" t="inlineStr">
        <is>
          <t>Chicago 24 未询价上限(基准)</t>
        </is>
      </c>
      <c r="B46" s="7">
        <f>(Params!$B$3/(1+Params!$B$5))-J16</f>
        <v/>
      </c>
    </row>
    <row r="47">
      <c r="A47" t="inlineStr">
        <is>
          <t>Boston 24 未询价上限(基准)</t>
        </is>
      </c>
      <c r="B47" s="7">
        <f>(Params!$B$3/(1+Params!$B$5))-J22</f>
        <v/>
      </c>
    </row>
    <row r="48">
      <c r="A48" t="inlineStr">
        <is>
          <t>Chicago 24 未询价上限(+20%票价)</t>
        </is>
      </c>
      <c r="B48" s="7">
        <f>(Params!$B$3/(1+Params!$B$5))-D34</f>
        <v/>
      </c>
    </row>
    <row r="49">
      <c r="A49" t="inlineStr">
        <is>
          <t>Boston 24 未询价上限(+20%票价)</t>
        </is>
      </c>
      <c r="B49" s="7">
        <f>(Params!$B$3/(1+Params!$B$5))-D40</f>
        <v/>
      </c>
    </row>
    <row r="50">
      <c r="A50" t="inlineStr">
        <is>
          <t>Chicago 18 未询价上限(基准)</t>
        </is>
      </c>
      <c r="B50" s="7">
        <f>(Params!$B$3/(1+Params!$B$5))-J15</f>
        <v/>
      </c>
    </row>
    <row r="51">
      <c r="A51" t="inlineStr">
        <is>
          <t>Boston 18 未询价上限(基准)</t>
        </is>
      </c>
      <c r="B51" s="7">
        <f>(Params!$B$3/(1+Params!$B$5))-J21</f>
        <v/>
      </c>
    </row>
    <row r="53">
      <c r="A53" s="4" t="inlineStr">
        <is>
          <t>分段行动条件（基准票价，V_chi/V_bos为两城未询价费用）</t>
        </is>
      </c>
    </row>
    <row r="54">
      <c r="A54" t="inlineStr">
        <is>
          <t>保留推荐 Chicago 24：V_chi ≤ 上限(CHI24) 且 V_chi-V_bos ≤ (J22-J16) 差额</t>
        </is>
      </c>
    </row>
    <row r="55">
      <c r="A55" t="inlineStr">
        <is>
          <t>转向备选 Boston 24：V_chi &gt; 上限(CHI24) 且 V_bos ≤ 上限(BOS24)；或 V_chi-V_bos &gt; 差额 且两者均可行</t>
        </is>
      </c>
    </row>
    <row r="56">
      <c r="A56" t="inlineStr">
        <is>
          <t>降为18人：Chicago 24 与 Boston 24 均超上限；18人档取含储备总额（含各自V）最低且可行者，基准报价下为 Chicago 18（仅当 V_chi18-V_bos18 &gt; L21-L15 差额时改 Boston 18）</t>
        </is>
      </c>
    </row>
    <row r="57">
      <c r="A57" t="inlineStr">
        <is>
          <t>两档均不可行：所有城市 V 均超各自18人上限 → 不举办/重新选址，报负责人</t>
        </is>
      </c>
    </row>
    <row r="58">
      <c r="A58" t="inlineStr">
        <is>
          <t>+20%票价情景：以上上限改用压力表数值，判定逻辑不变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FY2025/FY2026/FY2027 住宿上限与M&amp;IE对照（行程月份：2026年11月、12月；历史对照不代表过去真实报价，不适用本次报销）</t>
        </is>
      </c>
    </row>
    <row r="3">
      <c r="A3" s="2" t="inlineStr">
        <is>
          <t>城市</t>
        </is>
      </c>
      <c r="B3" s="2" t="inlineStr">
        <is>
          <t>县/区域</t>
        </is>
      </c>
      <c r="C3" s="2" t="inlineStr">
        <is>
          <t>FY25住宿上限(11月)</t>
        </is>
      </c>
      <c r="D3" s="2" t="inlineStr">
        <is>
          <t>FY25(12月)</t>
        </is>
      </c>
      <c r="E3" s="2" t="inlineStr">
        <is>
          <t>FY26(11月)</t>
        </is>
      </c>
      <c r="F3" s="2" t="inlineStr">
        <is>
          <t>FY26(12月)</t>
        </is>
      </c>
      <c r="G3" s="2" t="inlineStr">
        <is>
          <t>FY27(11月)</t>
        </is>
      </c>
      <c r="H3" s="2" t="inlineStr">
        <is>
          <t>FY27(12月)</t>
        </is>
      </c>
      <c r="I3" s="2" t="inlineStr">
        <is>
          <t>M&amp;IE(三版同)</t>
        </is>
      </c>
      <c r="J3" s="2" t="inlineStr">
        <is>
          <t>推荐酒店房价/夜</t>
        </is>
      </c>
      <c r="K3" s="2" t="inlineStr">
        <is>
          <t>FY27合规</t>
        </is>
      </c>
      <c r="L3" s="2" t="inlineStr">
        <is>
          <t>FY26合规</t>
        </is>
      </c>
      <c r="M3" s="2" t="inlineStr">
        <is>
          <t>FY25合规</t>
        </is>
      </c>
    </row>
    <row r="4">
      <c r="A4" t="inlineStr">
        <is>
          <t>Chicago, IL</t>
        </is>
      </c>
      <c r="B4" t="inlineStr">
        <is>
          <t>Cook / Lake</t>
        </is>
      </c>
      <c r="C4" t="n">
        <v>223</v>
      </c>
      <c r="D4" t="n">
        <v>142</v>
      </c>
      <c r="E4" t="n">
        <v>223</v>
      </c>
      <c r="F4" t="n">
        <v>142</v>
      </c>
      <c r="G4" t="n">
        <v>232</v>
      </c>
      <c r="H4" t="n">
        <v>148</v>
      </c>
      <c r="I4" t="n">
        <v>92</v>
      </c>
      <c r="J4" t="n">
        <v>101</v>
      </c>
      <c r="K4">
        <f>IF(AND(J4&lt;=G4,J4&lt;=H4),"合规","超限")</f>
        <v/>
      </c>
      <c r="L4">
        <f>IF(AND(J4&lt;=E4,J4&lt;=F4),"合规","超限")</f>
        <v/>
      </c>
      <c r="M4">
        <f>IF(AND(J4&lt;=C4,J4&lt;=D4),"合规","超限")</f>
        <v/>
      </c>
    </row>
    <row r="5">
      <c r="A5" t="inlineStr">
        <is>
          <t>Denver, CO</t>
        </is>
      </c>
      <c r="B5" t="inlineStr">
        <is>
          <t>Denver / Adams / Arapahoe / Jefferson</t>
        </is>
      </c>
      <c r="C5" t="n">
        <v>165</v>
      </c>
      <c r="D5" t="n">
        <v>165</v>
      </c>
      <c r="E5" t="n">
        <v>165</v>
      </c>
      <c r="F5" t="n">
        <v>165</v>
      </c>
      <c r="G5" t="n">
        <v>170</v>
      </c>
      <c r="H5" t="n">
        <v>170</v>
      </c>
      <c r="I5" t="n">
        <v>92</v>
      </c>
      <c r="J5" t="n">
        <v>113</v>
      </c>
      <c r="K5">
        <f>IF(AND(J5&lt;=G5,J5&lt;=H5),"合规","超限")</f>
        <v/>
      </c>
      <c r="L5">
        <f>IF(AND(J5&lt;=E5,J5&lt;=F5),"合规","超限")</f>
        <v/>
      </c>
      <c r="M5">
        <f>IF(AND(J5&lt;=C5,J5&lt;=D5),"合规","超限")</f>
        <v/>
      </c>
    </row>
    <row r="6">
      <c r="A6" t="inlineStr">
        <is>
          <t>Phoenix, AZ</t>
        </is>
      </c>
      <c r="B6" t="inlineStr">
        <is>
          <t>Maricopa</t>
        </is>
      </c>
      <c r="C6" t="n">
        <v>160</v>
      </c>
      <c r="D6" t="n">
        <v>160</v>
      </c>
      <c r="E6" t="n">
        <v>160</v>
      </c>
      <c r="F6" t="n">
        <v>160</v>
      </c>
      <c r="G6" t="n">
        <v>165</v>
      </c>
      <c r="H6" t="n">
        <v>165</v>
      </c>
      <c r="I6" t="n">
        <v>86</v>
      </c>
      <c r="J6" t="n">
        <v>126</v>
      </c>
      <c r="K6">
        <f>IF(AND(J6&lt;=G6,J6&lt;=H6),"合规","超限")</f>
        <v/>
      </c>
      <c r="L6">
        <f>IF(AND(J6&lt;=E6,J6&lt;=F6),"合规","超限")</f>
        <v/>
      </c>
      <c r="M6">
        <f>IF(AND(J6&lt;=C6,J6&lt;=D6),"合规","超限")</f>
        <v/>
      </c>
    </row>
    <row r="7">
      <c r="A7" t="inlineStr">
        <is>
          <t>Boston, MA</t>
        </is>
      </c>
      <c r="B7" t="inlineStr">
        <is>
          <t>Suffolk, city of Cambridge</t>
        </is>
      </c>
      <c r="C7" t="n">
        <v>209</v>
      </c>
      <c r="D7" t="n">
        <v>209</v>
      </c>
      <c r="E7" t="n">
        <v>209</v>
      </c>
      <c r="F7" t="n">
        <v>209</v>
      </c>
      <c r="G7" t="n">
        <v>213</v>
      </c>
      <c r="H7" t="n">
        <v>213</v>
      </c>
      <c r="I7" t="n">
        <v>92</v>
      </c>
      <c r="J7" t="n">
        <v>154</v>
      </c>
      <c r="K7">
        <f>IF(AND(J7&lt;=G7,J7&lt;=H7),"合规","超限")</f>
        <v/>
      </c>
      <c r="L7">
        <f>IF(AND(J7&lt;=E7,J7&lt;=F7),"合规","超限")</f>
        <v/>
      </c>
      <c r="M7">
        <f>IF(AND(J7&lt;=C7,J7&lt;=D7),"合规","超限")</f>
        <v/>
      </c>
    </row>
    <row r="8">
      <c r="A8" t="inlineStr">
        <is>
          <t>Seattle, WA</t>
        </is>
      </c>
      <c r="B8" t="inlineStr">
        <is>
          <t>King</t>
        </is>
      </c>
      <c r="C8" t="n">
        <v>188</v>
      </c>
      <c r="D8" t="n">
        <v>188</v>
      </c>
      <c r="E8" t="n">
        <v>188</v>
      </c>
      <c r="F8" t="n">
        <v>188</v>
      </c>
      <c r="G8" t="n">
        <v>188</v>
      </c>
      <c r="H8" t="n">
        <v>188</v>
      </c>
      <c r="I8" t="n">
        <v>92</v>
      </c>
      <c r="J8" t="n">
        <v>101</v>
      </c>
      <c r="K8">
        <f>IF(AND(J8&lt;=G8,J8&lt;=H8),"合规","超限")</f>
        <v/>
      </c>
      <c r="L8">
        <f>IF(AND(J8&lt;=E8,J8&lt;=F8),"合规","超限")</f>
        <v/>
      </c>
      <c r="M8">
        <f>IF(AND(J8&lt;=C8,J8&lt;=D8),"合规","超限")</f>
        <v/>
      </c>
    </row>
    <row r="9">
      <c r="A9" s="4" t="inlineStr">
        <is>
          <t>被排除酒店对照</t>
        </is>
      </c>
    </row>
    <row r="10">
      <c r="A10" t="inlineStr">
        <is>
          <t>The Westin Denver International Airport</t>
        </is>
      </c>
      <c r="B10" t="n">
        <v>426</v>
      </c>
      <c r="C10">
        <f>IF(B10&lt;=G5,"合规","超限：FY27 11月上限170")</f>
        <v/>
      </c>
      <c r="D10" t="inlineStr">
        <is>
          <t>三版均超限，不得作为合规推荐，不截价比较</t>
        </is>
      </c>
    </row>
    <row r="12">
      <c r="A12" s="4" t="inlineStr">
        <is>
          <t>结论</t>
        </is>
      </c>
    </row>
    <row r="13">
      <c r="A13" s="5" t="inlineStr">
        <is>
          <t>三版费率对预算金额无影响（预算采用市场报价）；对合规性：五城推荐酒店在三版下均合规，Westin在三版下均超限；选址判断不因年度版本改变。M&amp;IE三版同值（92/86），餐食扣减参考额不变。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24" customWidth="1" min="4" max="4"/>
    <col width="8" customWidth="1" min="5" max="5"/>
    <col width="34" customWidth="1" min="6" max="6"/>
    <col width="8" customWidth="1" min="7" max="7"/>
    <col width="8" customWidth="1" min="8" max="8"/>
    <col width="18" customWidth="1" min="9" max="9"/>
    <col width="26" customWidth="1" min="10" max="10"/>
  </cols>
  <sheetData>
    <row r="1">
      <c r="A1" s="1" t="inlineStr">
        <is>
          <t>行程与酒店组合（衔接核对）</t>
        </is>
      </c>
    </row>
    <row r="3">
      <c r="A3" s="2" t="inlineStr">
        <is>
          <t>城市</t>
        </is>
      </c>
      <c r="B3" s="2" t="inlineStr">
        <is>
          <t>去程航班(11/28)</t>
        </is>
      </c>
      <c r="C3" s="2" t="inlineStr">
        <is>
          <t>到达</t>
        </is>
      </c>
      <c r="D3" s="2" t="inlineStr">
        <is>
          <t>返程航班(12/2)</t>
        </is>
      </c>
      <c r="E3" s="2" t="inlineStr">
        <is>
          <t>离开</t>
        </is>
      </c>
      <c r="F3" s="2" t="inlineStr">
        <is>
          <t>酒店</t>
        </is>
      </c>
      <c r="G3" s="2" t="inlineStr">
        <is>
          <t>入住</t>
        </is>
      </c>
      <c r="H3" s="2" t="inlineStr">
        <is>
          <t>退房</t>
        </is>
      </c>
      <c r="I3" s="2" t="inlineStr">
        <is>
          <t>机场-酒店交通</t>
        </is>
      </c>
      <c r="J3" s="2" t="inlineStr">
        <is>
          <t>场地日期/容量</t>
        </is>
      </c>
    </row>
    <row r="4">
      <c r="A4" t="inlineStr">
        <is>
          <t>Chicago</t>
        </is>
      </c>
      <c r="B4" t="inlineStr">
        <is>
          <t>AA DCA-ORD 非经停</t>
        </is>
      </c>
      <c r="C4" t="inlineStr">
        <is>
          <t>07:32</t>
        </is>
      </c>
      <c r="D4" t="inlineStr">
        <is>
          <t>AA ORD-DCA 非经停</t>
        </is>
      </c>
      <c r="E4" t="inlineStr">
        <is>
          <t>16:59</t>
        </is>
      </c>
      <c r="F4" t="inlineStr">
        <is>
          <t>Embassy Suites Rosemont</t>
        </is>
      </c>
      <c r="G4" t="inlineStr">
        <is>
          <t>11/28</t>
        </is>
      </c>
      <c r="H4" t="inlineStr">
        <is>
          <t>12/2</t>
        </is>
      </c>
      <c r="I4" t="inlineStr">
        <is>
          <t>酒店穿梭(待核实)</t>
        </is>
      </c>
      <c r="J4" t="inlineStr">
        <is>
          <t>11/29-12/1, ≥24人(待核实)</t>
        </is>
      </c>
    </row>
    <row r="5">
      <c r="A5" t="inlineStr">
        <is>
          <t>Denver</t>
        </is>
      </c>
      <c r="B5" t="inlineStr">
        <is>
          <t>UA IAD-DEN 非经停</t>
        </is>
      </c>
      <c r="C5" t="inlineStr">
        <is>
          <t>08:19</t>
        </is>
      </c>
      <c r="D5" t="inlineStr">
        <is>
          <t>UA DEN-IAD 非经停</t>
        </is>
      </c>
      <c r="E5" t="inlineStr">
        <is>
          <t>14:10</t>
        </is>
      </c>
      <c r="F5" t="inlineStr">
        <is>
          <t>HIE Denver Airport</t>
        </is>
      </c>
      <c r="G5" t="inlineStr">
        <is>
          <t>11/28</t>
        </is>
      </c>
      <c r="H5" t="inlineStr">
        <is>
          <t>12/2</t>
        </is>
      </c>
      <c r="I5" t="inlineStr">
        <is>
          <t>酒店穿梭(待核实)</t>
        </is>
      </c>
      <c r="J5" t="inlineStr">
        <is>
          <t>同上</t>
        </is>
      </c>
    </row>
    <row r="6">
      <c r="A6" t="inlineStr">
        <is>
          <t>Phoenix</t>
        </is>
      </c>
      <c r="B6" t="inlineStr">
        <is>
          <t>UA IAD-PHX 非经停</t>
        </is>
      </c>
      <c r="C6" t="inlineStr">
        <is>
          <t>11:33</t>
        </is>
      </c>
      <c r="D6" t="inlineStr">
        <is>
          <t>UA PHX-IAD 非经停</t>
        </is>
      </c>
      <c r="E6" t="inlineStr">
        <is>
          <t>14:54</t>
        </is>
      </c>
      <c r="F6" t="inlineStr">
        <is>
          <t>HI &amp; Suites Airport North</t>
        </is>
      </c>
      <c r="G6" t="inlineStr">
        <is>
          <t>11/28</t>
        </is>
      </c>
      <c r="H6" t="inlineStr">
        <is>
          <t>12/2</t>
        </is>
      </c>
      <c r="I6" t="inlineStr">
        <is>
          <t>酒店穿梭(待核实)</t>
        </is>
      </c>
      <c r="J6" t="inlineStr">
        <is>
          <t>同上</t>
        </is>
      </c>
    </row>
    <row r="7">
      <c r="A7" t="inlineStr">
        <is>
          <t>Boston</t>
        </is>
      </c>
      <c r="B7" t="inlineStr">
        <is>
          <t>DL DCA-BOS 非经停</t>
        </is>
      </c>
      <c r="C7" t="inlineStr">
        <is>
          <t>07:38</t>
        </is>
      </c>
      <c r="D7" t="inlineStr">
        <is>
          <t>DL BOS-DCA 非经停</t>
        </is>
      </c>
      <c r="E7" t="inlineStr">
        <is>
          <t>14:29</t>
        </is>
      </c>
      <c r="F7" t="inlineStr">
        <is>
          <t>Residence Inn Chelsea</t>
        </is>
      </c>
      <c r="G7" t="inlineStr">
        <is>
          <t>11/28</t>
        </is>
      </c>
      <c r="H7" t="inlineStr">
        <is>
          <t>12/2</t>
        </is>
      </c>
      <c r="I7" t="inlineStr">
        <is>
          <t>酒店穿梭(待核实)</t>
        </is>
      </c>
      <c r="J7" t="inlineStr">
        <is>
          <t>同上</t>
        </is>
      </c>
    </row>
    <row r="8">
      <c r="A8" t="inlineStr">
        <is>
          <t>Seattle</t>
        </is>
      </c>
      <c r="B8" t="inlineStr">
        <is>
          <t>UA IAD-SEA 非经停</t>
        </is>
      </c>
      <c r="C8" t="inlineStr">
        <is>
          <t>20:56</t>
        </is>
      </c>
      <c r="D8" t="inlineStr">
        <is>
          <t>UA SEA-IAD 非经停</t>
        </is>
      </c>
      <c r="E8" t="inlineStr">
        <is>
          <t>08:09</t>
        </is>
      </c>
      <c r="F8" t="inlineStr">
        <is>
          <t>Country Inn &amp; Suites Sea-Tac</t>
        </is>
      </c>
      <c r="G8" t="inlineStr">
        <is>
          <t>11/28</t>
        </is>
      </c>
      <c r="H8" t="inlineStr">
        <is>
          <t>12/2</t>
        </is>
      </c>
      <c r="I8" t="inlineStr">
        <is>
          <t>酒店穿梭(待核实)</t>
        </is>
      </c>
      <c r="J8" t="inlineStr">
        <is>
          <t>同上</t>
        </is>
      </c>
    </row>
    <row r="10">
      <c r="A10" s="10" t="inlineStr">
        <is>
          <t>衔接说明：去程11/28抵达均早于酒店入住时间或可寄存；返程12/2起飞均晚于退房+培训结束次日；Seattle去程20:56抵达当晚入住、次日培训开始前无冲突。场地容量与团体库存未核实，列为执行条件。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40" customWidth="1" min="4" max="4"/>
    <col width="12" customWidth="1" min="5" max="5"/>
    <col width="44" customWidth="1" min="6" max="6"/>
  </cols>
  <sheetData>
    <row r="1">
      <c r="A1" s="1" t="inlineStr">
        <is>
          <t>来源登记（查询时间均为2026-10-24 UTC）</t>
        </is>
      </c>
    </row>
    <row r="3">
      <c r="A3" s="2" t="inlineStr">
        <is>
          <t>项目</t>
        </is>
      </c>
      <c r="B3" s="2" t="inlineStr">
        <is>
          <t>数值/结论</t>
        </is>
      </c>
      <c r="C3" s="2" t="inlineStr">
        <is>
          <t>来源</t>
        </is>
      </c>
      <c r="D3" s="2" t="inlineStr">
        <is>
          <t>URL</t>
        </is>
      </c>
      <c r="E3" s="2" t="inlineStr">
        <is>
          <t>查询时间</t>
        </is>
      </c>
      <c r="F3" s="2" t="inlineStr">
        <is>
          <t>适用日期/条件</t>
        </is>
      </c>
    </row>
    <row r="4">
      <c r="A4" t="inlineStr">
        <is>
          <t>机票 CHI</t>
        </is>
      </c>
      <c r="B4" t="inlineStr">
        <is>
          <t>DCA-ORD往返非经停 $270/人</t>
        </is>
      </c>
      <c r="C4" t="inlineStr">
        <is>
          <t>Google Flights</t>
        </is>
      </c>
      <c r="D4" t="inlineStr">
        <is>
          <t>https://www.google.com/travel/flights</t>
        </is>
      </c>
      <c r="E4" t="inlineStr">
        <is>
          <t>2026-10-24</t>
        </is>
      </c>
      <c r="F4" s="5" t="inlineStr">
        <is>
          <t>2026-11-28去/12-02返,1人,含税费, Economy incl. Basic</t>
        </is>
      </c>
    </row>
    <row r="5">
      <c r="A5" t="inlineStr">
        <is>
          <t>机票 DEN</t>
        </is>
      </c>
      <c r="B5" t="inlineStr">
        <is>
          <t>IAD-DEN往返非经停 $578/人</t>
        </is>
      </c>
      <c r="C5" t="inlineStr">
        <is>
          <t>Google Flights</t>
        </is>
      </c>
      <c r="D5" t="inlineStr">
        <is>
          <t>https://www.google.com/travel/flights</t>
        </is>
      </c>
      <c r="E5" t="inlineStr">
        <is>
          <t>2026-10-24</t>
        </is>
      </c>
      <c r="F5" s="5" t="inlineStr">
        <is>
          <t>同上</t>
        </is>
      </c>
    </row>
    <row r="6">
      <c r="A6" t="inlineStr">
        <is>
          <t>机票 PHX</t>
        </is>
      </c>
      <c r="B6" t="inlineStr">
        <is>
          <t>IAD-PHX往返非经停 $499/人</t>
        </is>
      </c>
      <c r="C6" t="inlineStr">
        <is>
          <t>Google Flights</t>
        </is>
      </c>
      <c r="D6" t="inlineStr">
        <is>
          <t>https://www.google.com/travel/flights</t>
        </is>
      </c>
      <c r="E6" t="inlineStr">
        <is>
          <t>2026-10-24</t>
        </is>
      </c>
      <c r="F6" s="5" t="inlineStr">
        <is>
          <t>同上</t>
        </is>
      </c>
    </row>
    <row r="7">
      <c r="A7" t="inlineStr">
        <is>
          <t>机票 BOS</t>
        </is>
      </c>
      <c r="B7" t="inlineStr">
        <is>
          <t>DCA-BOS往返非经停 $311/人</t>
        </is>
      </c>
      <c r="C7" t="inlineStr">
        <is>
          <t>Google Flights</t>
        </is>
      </c>
      <c r="D7" t="inlineStr">
        <is>
          <t>https://www.google.com/travel/flights</t>
        </is>
      </c>
      <c r="E7" t="inlineStr">
        <is>
          <t>2026-10-24</t>
        </is>
      </c>
      <c r="F7" s="5" t="inlineStr">
        <is>
          <t>同上</t>
        </is>
      </c>
    </row>
    <row r="8">
      <c r="A8" t="inlineStr">
        <is>
          <t>机票 SEA</t>
        </is>
      </c>
      <c r="B8" t="inlineStr">
        <is>
          <t>IAD-SEA往返非经停 $590/人</t>
        </is>
      </c>
      <c r="C8" t="inlineStr">
        <is>
          <t>Google Flights</t>
        </is>
      </c>
      <c r="D8" t="inlineStr">
        <is>
          <t>https://www.google.com/travel/flights</t>
        </is>
      </c>
      <c r="E8" t="inlineStr">
        <is>
          <t>2026-10-24</t>
        </is>
      </c>
      <c r="F8" s="5" t="inlineStr">
        <is>
          <t>同上</t>
        </is>
      </c>
    </row>
    <row r="9">
      <c r="A9" t="inlineStr">
        <is>
          <t>酒店 CHI 推荐</t>
        </is>
      </c>
      <c r="B9" t="inlineStr">
        <is>
          <t>Embassy Suites Rosemont $101/夜 含早 4.1(3.4K)</t>
        </is>
      </c>
      <c r="C9" t="inlineStr">
        <is>
          <t>Google Hotels</t>
        </is>
      </c>
      <c r="D9" t="inlineStr">
        <is>
          <t>https://www.google.com/travel/hotels</t>
        </is>
      </c>
      <c r="E9" t="inlineStr">
        <is>
          <t>2026-10-24</t>
        </is>
      </c>
      <c r="F9" s="5" t="inlineStr">
        <is>
          <t>11/28-12/2,1间1人,USD,列表价</t>
        </is>
      </c>
    </row>
    <row r="10">
      <c r="A10" t="inlineStr">
        <is>
          <t>酒店 CHI 备选</t>
        </is>
      </c>
      <c r="B10" t="inlineStr">
        <is>
          <t>DoubleTree O'Hare-Rosemont $133/夜 早餐$ 4.2(3.1K)</t>
        </is>
      </c>
      <c r="C10" t="inlineStr">
        <is>
          <t>Google Hotels</t>
        </is>
      </c>
      <c r="D10" t="inlineStr">
        <is>
          <t>https://www.google.com/travel/hotels</t>
        </is>
      </c>
      <c r="E10" t="inlineStr">
        <is>
          <t>2026-10-24</t>
        </is>
      </c>
      <c r="F10" s="5" t="inlineStr">
        <is>
          <t>同上</t>
        </is>
      </c>
    </row>
    <row r="11">
      <c r="A11" t="inlineStr">
        <is>
          <t>酒店 CHI 排除</t>
        </is>
      </c>
      <c r="B11" t="inlineStr">
        <is>
          <t>ESA Allstate Arena 3.9分未达准入线且当前列表无报价，仅作历史对照不纳入测算</t>
        </is>
      </c>
      <c r="C11" t="inlineStr">
        <is>
          <t>Google Hotels</t>
        </is>
      </c>
      <c r="D11" t="inlineStr">
        <is>
          <t>https://www.google.com/travel/hotels</t>
        </is>
      </c>
      <c r="E11" t="inlineStr">
        <is>
          <t>2026-10-24</t>
        </is>
      </c>
      <c r="F11" s="5" t="inlineStr">
        <is>
          <t>未达质量准入</t>
        </is>
      </c>
    </row>
    <row r="12">
      <c r="A12" t="inlineStr">
        <is>
          <t>酒店 DEN 推荐</t>
        </is>
      </c>
      <c r="B12" t="inlineStr">
        <is>
          <t>HIE Denver Airport $113/夜 含早 4.0(1.4K)</t>
        </is>
      </c>
      <c r="C12" t="inlineStr">
        <is>
          <t>Google Hotels</t>
        </is>
      </c>
      <c r="D12" t="inlineStr">
        <is>
          <t>https://www.google.com/travel/hotels</t>
        </is>
      </c>
      <c r="E12" t="inlineStr">
        <is>
          <t>2026-10-24</t>
        </is>
      </c>
      <c r="F12" s="5" t="inlineStr">
        <is>
          <t>同上;ESA Aurora North当前列表无报价</t>
        </is>
      </c>
    </row>
    <row r="13">
      <c r="A13" t="inlineStr">
        <is>
          <t>酒店 DEN 备选</t>
        </is>
      </c>
      <c r="B13" t="inlineStr">
        <is>
          <t>Tru by Hilton Denver Airport Tower Road $112/夜 含早 4.0(881)</t>
        </is>
      </c>
      <c r="C13" t="inlineStr">
        <is>
          <t>Google Hotels</t>
        </is>
      </c>
      <c r="D13" t="inlineStr">
        <is>
          <t>https://www.google.com/travel/hotels</t>
        </is>
      </c>
      <c r="E13" t="inlineStr">
        <is>
          <t>2026-10-24</t>
        </is>
      </c>
      <c r="F13" s="5" t="inlineStr">
        <is>
          <t>同上;La Quinta 3.7未达准入线改列排除</t>
        </is>
      </c>
    </row>
    <row r="14">
      <c r="A14" t="inlineStr">
        <is>
          <t>酒店 DEN 排除</t>
        </is>
      </c>
      <c r="B14" t="inlineStr">
        <is>
          <t>The Westin DEN $426/夜 &gt; FY27上限170; La Quinta DIA 3.7(2.7K)未达准入线</t>
        </is>
      </c>
      <c r="C14" t="inlineStr">
        <is>
          <t>Google Hotels</t>
        </is>
      </c>
      <c r="D14" t="inlineStr">
        <is>
          <t>https://www.google.com/travel/hotels</t>
        </is>
      </c>
      <c r="E14" t="inlineStr">
        <is>
          <t>2026-10-24</t>
        </is>
      </c>
      <c r="F14" s="5" t="inlineStr">
        <is>
          <t>超限/未达准入不得推荐</t>
        </is>
      </c>
    </row>
    <row r="15">
      <c r="A15" t="inlineStr">
        <is>
          <t>酒店 PHX 推荐</t>
        </is>
      </c>
      <c r="B15" t="inlineStr">
        <is>
          <t>HI &amp; Suites Phoenix Airport North $126/夜 早餐$ 4.0(1.8K)</t>
        </is>
      </c>
      <c r="C15" t="inlineStr">
        <is>
          <t>Google Hotels</t>
        </is>
      </c>
      <c r="D15" t="inlineStr">
        <is>
          <t>https://www.google.com/travel/hotels</t>
        </is>
      </c>
      <c r="E15" t="inlineStr">
        <is>
          <t>2026-10-24</t>
        </is>
      </c>
      <c r="F15" s="5" t="inlineStr">
        <is>
          <t>同上</t>
        </is>
      </c>
    </row>
    <row r="16">
      <c r="A16" t="inlineStr">
        <is>
          <t>酒店 PHX 备选</t>
        </is>
      </c>
      <c r="B16" t="inlineStr">
        <is>
          <t>Crowne Plaza Phoenix Airport $127-128/夜 4.0(2.5K)</t>
        </is>
      </c>
      <c r="C16" t="inlineStr">
        <is>
          <t>Google Hotels</t>
        </is>
      </c>
      <c r="D16" t="inlineStr">
        <is>
          <t>https://www.google.com/travel/hotels</t>
        </is>
      </c>
      <c r="E16" t="inlineStr">
        <is>
          <t>2026-10-24</t>
        </is>
      </c>
      <c r="F16" s="5" t="inlineStr">
        <is>
          <t>同上</t>
        </is>
      </c>
    </row>
    <row r="17">
      <c r="A17" t="inlineStr">
        <is>
          <t>酒店 BOS 推荐</t>
        </is>
      </c>
      <c r="B17" t="inlineStr">
        <is>
          <t>Residence Inn Boston Logan/Chelsea $154/夜 含早 4.3(855)</t>
        </is>
      </c>
      <c r="C17" t="inlineStr">
        <is>
          <t>Google Hotels</t>
        </is>
      </c>
      <c r="D17" t="inlineStr">
        <is>
          <t>https://www.google.com/travel/hotels</t>
        </is>
      </c>
      <c r="E17" t="inlineStr">
        <is>
          <t>2026-10-24</t>
        </is>
      </c>
      <c r="F17" s="5" t="inlineStr">
        <is>
          <t>同上</t>
        </is>
      </c>
    </row>
    <row r="18">
      <c r="A18" t="inlineStr">
        <is>
          <t>酒店 BOS 备选</t>
        </is>
      </c>
      <c r="B18" t="inlineStr">
        <is>
          <t>Courtyard Boston Logan $165/夜 早餐$ 4.0(2.1K)</t>
        </is>
      </c>
      <c r="C18" t="inlineStr">
        <is>
          <t>Google Hotels</t>
        </is>
      </c>
      <c r="D18" t="inlineStr">
        <is>
          <t>https://www.google.com/travel/hotels</t>
        </is>
      </c>
      <c r="E18" t="inlineStr">
        <is>
          <t>2026-10-24</t>
        </is>
      </c>
      <c r="F18" s="5" t="inlineStr">
        <is>
          <t>同上</t>
        </is>
      </c>
    </row>
    <row r="19">
      <c r="A19" t="inlineStr">
        <is>
          <t>酒店 BOS 证据缺口</t>
        </is>
      </c>
      <c r="B19" t="inlineStr">
        <is>
          <t>Residence Inn Logan/Chelsea 价格面板两次截取失败(页面加载错误)，$154/4.3(855)取自列表页文本；签约前复核</t>
        </is>
      </c>
      <c r="C19" t="inlineStr">
        <is>
          <t>尝试记录</t>
        </is>
      </c>
      <c r="D19" t="inlineStr">
        <is>
          <t>https://www.google.com/travel/hotels</t>
        </is>
      </c>
      <c r="E19" t="inlineStr">
        <is>
          <t>2026-10-24</t>
        </is>
      </c>
      <c r="F19" s="5" t="inlineStr">
        <is>
          <t>待补:见approval_register.csv</t>
        </is>
      </c>
    </row>
    <row r="20">
      <c r="A20" t="inlineStr">
        <is>
          <t>酒店 SEA 推荐</t>
        </is>
      </c>
      <c r="B20" t="inlineStr">
        <is>
          <t>Country Inn &amp; Suites Sea-Tac $101/夜 含早 4.3(2.0K)</t>
        </is>
      </c>
      <c r="C20" t="inlineStr">
        <is>
          <t>Google Hotels</t>
        </is>
      </c>
      <c r="D20" t="inlineStr">
        <is>
          <t>https://www.google.com/travel/hotels</t>
        </is>
      </c>
      <c r="E20" t="inlineStr">
        <is>
          <t>2026-10-24</t>
        </is>
      </c>
      <c r="F20" s="5" t="inlineStr">
        <is>
          <t>同上</t>
        </is>
      </c>
    </row>
    <row r="21">
      <c r="A21" t="inlineStr">
        <is>
          <t>酒店 SEA 备选</t>
        </is>
      </c>
      <c r="B21" t="inlineStr">
        <is>
          <t>HIE Seattle-Sea-Tac $100/夜 含早 4.1(1.5K)</t>
        </is>
      </c>
      <c r="C21" t="inlineStr">
        <is>
          <t>Google Hotels</t>
        </is>
      </c>
      <c r="D21" t="inlineStr">
        <is>
          <t>https://www.google.com/travel/hotels</t>
        </is>
      </c>
      <c r="E21" t="inlineStr">
        <is>
          <t>2026-10-24</t>
        </is>
      </c>
      <c r="F21" s="5" t="inlineStr">
        <is>
          <t>同上</t>
        </is>
      </c>
    </row>
    <row r="22">
      <c r="A22" t="inlineStr">
        <is>
          <t>FY27费率</t>
        </is>
      </c>
      <c r="B22" t="inlineStr">
        <is>
          <t>CHI 11月232/12月148; DEN 170; PHX 165; BOS 213; SEA 188; M&amp;IE 92/86</t>
        </is>
      </c>
      <c r="C22" t="inlineStr">
        <is>
          <t>FY2027_PerDiemRates_Validated090126.xlsx</t>
        </is>
      </c>
      <c r="D22" t="inlineStr">
        <is>
          <t>/app/input_files/</t>
        </is>
      </c>
      <c r="E22" t="inlineStr">
        <is>
          <t>2026-10-24</t>
        </is>
      </c>
      <c r="F22" s="5" t="inlineStr">
        <is>
          <t>2026-10-01起生效</t>
        </is>
      </c>
    </row>
    <row r="23">
      <c r="A23" t="inlineStr">
        <is>
          <t>FY26费率</t>
        </is>
      </c>
      <c r="B23" t="inlineStr">
        <is>
          <t>CHI 223/142; DEN 165; PHX 160; BOS 209; SEA 188</t>
        </is>
      </c>
      <c r="C23" t="inlineStr">
        <is>
          <t>FY2026_PerDiemMasterRatesFile.xlsx</t>
        </is>
      </c>
      <c r="D23" t="inlineStr">
        <is>
          <t>/app/input_files/</t>
        </is>
      </c>
      <c r="E23" t="inlineStr">
        <is>
          <t>2026-10-24</t>
        </is>
      </c>
      <c r="F23" s="5" t="inlineStr">
        <is>
          <t>历史对照</t>
        </is>
      </c>
    </row>
    <row r="24">
      <c r="A24" t="inlineStr">
        <is>
          <t>FY25费率</t>
        </is>
      </c>
      <c r="B24" t="inlineStr">
        <is>
          <t>同FY26</t>
        </is>
      </c>
      <c r="C24" t="inlineStr">
        <is>
          <t>FY2025_PerDiemMasterRatesFile.xlsx</t>
        </is>
      </c>
      <c r="D24" t="inlineStr">
        <is>
          <t>/app/input_files/</t>
        </is>
      </c>
      <c r="E24" t="inlineStr">
        <is>
          <t>2026-10-24</t>
        </is>
      </c>
      <c r="F24" s="5" t="inlineStr">
        <is>
          <t>历史对照</t>
        </is>
      </c>
    </row>
    <row r="25">
      <c r="A25" t="inlineStr">
        <is>
          <t>M&amp;IE分项</t>
        </is>
      </c>
      <c r="B25" t="inlineStr">
        <is>
          <t>92档:早23午26晚38杂5,首末69; 86档:早22午23晚36,首末64.5</t>
        </is>
      </c>
      <c r="C25" t="inlineStr">
        <is>
          <t>GSA_FY2025_MIE_Breakdown.docx</t>
        </is>
      </c>
      <c r="D25" t="inlineStr">
        <is>
          <t>/app/input_files/</t>
        </is>
      </c>
      <c r="E25" t="inlineStr">
        <is>
          <t>2026-10-24</t>
        </is>
      </c>
      <c r="F25" s="5" t="inlineStr">
        <is>
          <t>FY2025分项;FY26/27同值档适用</t>
        </is>
      </c>
    </row>
    <row r="26">
      <c r="A26" t="inlineStr">
        <is>
          <t>差旅规则</t>
        </is>
      </c>
      <c r="B26" t="inlineStr">
        <is>
          <t>301-11.17/18 餐食扣减; 301-74.1-74.9 会议规划</t>
        </is>
      </c>
      <c r="C26" t="inlineStr">
        <is>
          <t>eCFR 41 CFR 301-11 / 301-74</t>
        </is>
      </c>
      <c r="D26" t="inlineStr">
        <is>
          <t>/app/input_files/</t>
        </is>
      </c>
      <c r="E26" t="inlineStr">
        <is>
          <t>2026-10-24</t>
        </is>
      </c>
      <c r="F26" s="5" t="inlineStr">
        <is>
          <t>2025-01-01冻结版</t>
        </is>
      </c>
    </row>
    <row r="27">
      <c r="A27" t="inlineStr">
        <is>
          <t>RD Instruction 2036-A</t>
        </is>
      </c>
      <c r="B27" t="inlineStr">
        <is>
          <t>官网rd.usda.gov访问被拒(403),未能核验2024-07-19版条款</t>
        </is>
      </c>
      <c r="C27" t="inlineStr">
        <is>
          <t>尝试记录</t>
        </is>
      </c>
      <c r="D27" t="inlineStr">
        <is>
          <t>https://www.rd.usda.gov/about-rd/directives</t>
        </is>
      </c>
      <c r="E27" t="inlineStr">
        <is>
          <t>2026-10-24</t>
        </is>
      </c>
      <c r="F27" s="5" t="inlineStr">
        <is>
          <t>待补证:见approval_register.csv</t>
        </is>
      </c>
    </row>
    <row r="28">
      <c r="A28" t="inlineStr">
        <is>
          <t>地面交通</t>
        </is>
      </c>
      <c r="B28" t="inlineStr">
        <is>
          <t>出发机场往返: DCA$5/IAD$10/目的地铁路或穿梭$0(酒店穿梭,待核实)</t>
        </is>
      </c>
      <c r="C28" t="inlineStr">
        <is>
          <t>内部估算</t>
        </is>
      </c>
      <c r="D28" t="inlineStr">
        <is>
          <t>—</t>
        </is>
      </c>
      <c r="E28" t="inlineStr">
        <is>
          <t>2026-10-24</t>
        </is>
      </c>
      <c r="F28" s="5" t="inlineStr">
        <is>
          <t>估算,待询价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2026-10-24T06:33:44Z</dcterms:created>
  <dcterms:modified xmlns:dcterms="http://purl.org/dc/terms/" xmlns:xsi="http://www.w3.org/2001/XMLSchema-instance" xsi:type="dcterms:W3CDTF">2026-10-24T06:33:44Z</dcterms:modified>
</cp:coreProperties>
</file>